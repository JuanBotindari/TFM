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3\"/>
    </mc:Choice>
  </mc:AlternateContent>
  <xr:revisionPtr revIDLastSave="0" documentId="13_ncr:1_{B3C67C7D-31D1-4F9D-B078-AC4F78C3E260}" xr6:coauthVersionLast="47" xr6:coauthVersionMax="47" xr10:uidLastSave="{00000000-0000-0000-0000-000000000000}"/>
  <bookViews>
    <workbookView xWindow="28680" yWindow="-120" windowWidth="20730" windowHeight="11040" tabRatio="828" activeTab="2" xr2:uid="{00000000-000D-0000-FFFF-FFFF00000000}"/>
  </bookViews>
  <sheets>
    <sheet name="Lista_CUIT" sheetId="8" r:id="rId1"/>
    <sheet name="Ene-23" sheetId="2" r:id="rId2"/>
    <sheet name="Feb-23" sheetId="10" r:id="rId3"/>
    <sheet name="Mar-23" sheetId="11" r:id="rId4"/>
    <sheet name="Abr-23" sheetId="12" r:id="rId5"/>
    <sheet name="May-23" sheetId="16" r:id="rId6"/>
    <sheet name="Jun-23" sheetId="13" r:id="rId7"/>
    <sheet name="Jul-23" sheetId="15" r:id="rId8"/>
    <sheet name="Ago-23" sheetId="18" r:id="rId9"/>
    <sheet name="Sep-23" sheetId="19" r:id="rId10"/>
    <sheet name="Oct-23" sheetId="14" r:id="rId11"/>
    <sheet name="Nov-23" sheetId="21" r:id="rId12"/>
    <sheet name="Dic-23" sheetId="20" r:id="rId13"/>
    <sheet name="Asto-Cpras" sheetId="3" r:id="rId14"/>
    <sheet name="Asto-Vtas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1" i="20" l="1"/>
  <c r="J91" i="20"/>
  <c r="G10" i="20" l="1"/>
  <c r="I10" i="20"/>
  <c r="P10" i="20" s="1"/>
  <c r="Q10" i="20"/>
  <c r="R10" i="20"/>
  <c r="G9" i="20"/>
  <c r="I9" i="20"/>
  <c r="Q9" i="20"/>
  <c r="R9" i="20"/>
  <c r="P9" i="20" l="1"/>
  <c r="G99" i="20"/>
  <c r="H99" i="20" s="1"/>
  <c r="J101" i="20"/>
  <c r="G98" i="20"/>
  <c r="H98" i="20" s="1"/>
  <c r="H132" i="20"/>
  <c r="J132" i="20"/>
  <c r="K132" i="20"/>
  <c r="H107" i="20"/>
  <c r="H108" i="20"/>
  <c r="H109" i="20"/>
  <c r="J107" i="20"/>
  <c r="J108" i="20"/>
  <c r="J109" i="20"/>
  <c r="K107" i="20"/>
  <c r="K108" i="20"/>
  <c r="K109" i="20"/>
  <c r="H110" i="20"/>
  <c r="H111" i="20"/>
  <c r="H112" i="20"/>
  <c r="J110" i="20"/>
  <c r="J111" i="20"/>
  <c r="J112" i="20"/>
  <c r="K110" i="20"/>
  <c r="K111" i="20"/>
  <c r="K112" i="20"/>
  <c r="H113" i="20"/>
  <c r="H114" i="20"/>
  <c r="H115" i="20"/>
  <c r="J113" i="20"/>
  <c r="J114" i="20"/>
  <c r="J115" i="20"/>
  <c r="K113" i="20"/>
  <c r="K114" i="20"/>
  <c r="K115" i="20"/>
  <c r="H116" i="20"/>
  <c r="H117" i="20"/>
  <c r="H118" i="20"/>
  <c r="J116" i="20"/>
  <c r="J117" i="20"/>
  <c r="J118" i="20"/>
  <c r="K116" i="20"/>
  <c r="K117" i="20"/>
  <c r="K118" i="20"/>
  <c r="H119" i="20"/>
  <c r="H120" i="20"/>
  <c r="H121" i="20"/>
  <c r="J119" i="20"/>
  <c r="J120" i="20"/>
  <c r="J121" i="20"/>
  <c r="K119" i="20"/>
  <c r="K120" i="20"/>
  <c r="K121" i="20"/>
  <c r="H122" i="20"/>
  <c r="H123" i="20"/>
  <c r="H124" i="20"/>
  <c r="J122" i="20"/>
  <c r="J123" i="20"/>
  <c r="J124" i="20"/>
  <c r="K122" i="20"/>
  <c r="K123" i="20"/>
  <c r="K124" i="20"/>
  <c r="H125" i="20"/>
  <c r="H126" i="20"/>
  <c r="H127" i="20"/>
  <c r="J125" i="20"/>
  <c r="J126" i="20"/>
  <c r="J127" i="20"/>
  <c r="K125" i="20"/>
  <c r="K126" i="20"/>
  <c r="K127" i="20"/>
  <c r="G12" i="20"/>
  <c r="G27" i="20"/>
  <c r="G88" i="20"/>
  <c r="G13" i="20"/>
  <c r="G14" i="20"/>
  <c r="G15" i="20"/>
  <c r="G16" i="20"/>
  <c r="G17" i="20"/>
  <c r="G19" i="20"/>
  <c r="G20" i="20"/>
  <c r="G21" i="20"/>
  <c r="I12" i="20"/>
  <c r="P12" i="20" s="1"/>
  <c r="I27" i="20"/>
  <c r="P27" i="20" s="1"/>
  <c r="P88" i="20"/>
  <c r="I13" i="20"/>
  <c r="P13" i="20" s="1"/>
  <c r="I14" i="20"/>
  <c r="P14" i="20" s="1"/>
  <c r="I15" i="20"/>
  <c r="P15" i="20" s="1"/>
  <c r="P16" i="20"/>
  <c r="I17" i="20"/>
  <c r="P17" i="20" s="1"/>
  <c r="P19" i="20"/>
  <c r="I20" i="20"/>
  <c r="P20" i="20" s="1"/>
  <c r="I21" i="20"/>
  <c r="P21" i="20" s="1"/>
  <c r="Q12" i="20"/>
  <c r="Q27" i="20"/>
  <c r="Q88" i="20"/>
  <c r="Q13" i="20"/>
  <c r="Q14" i="20"/>
  <c r="Q15" i="20"/>
  <c r="Q16" i="20"/>
  <c r="Q17" i="20"/>
  <c r="Q19" i="20"/>
  <c r="Q20" i="20"/>
  <c r="Q21" i="20"/>
  <c r="R12" i="20"/>
  <c r="R27" i="20"/>
  <c r="R88" i="20"/>
  <c r="R13" i="20"/>
  <c r="R14" i="20"/>
  <c r="R15" i="20"/>
  <c r="R16" i="20"/>
  <c r="R17" i="20"/>
  <c r="R19" i="20"/>
  <c r="R20" i="20"/>
  <c r="R21" i="20"/>
  <c r="G22" i="20"/>
  <c r="G23" i="20"/>
  <c r="G24" i="20"/>
  <c r="G25" i="20"/>
  <c r="G28" i="20"/>
  <c r="G29" i="20"/>
  <c r="G30" i="20"/>
  <c r="G33" i="20"/>
  <c r="G31" i="20"/>
  <c r="G34" i="20"/>
  <c r="G32" i="20"/>
  <c r="I22" i="20"/>
  <c r="P22" i="20" s="1"/>
  <c r="I23" i="20"/>
  <c r="P23" i="20" s="1"/>
  <c r="I24" i="20"/>
  <c r="P24" i="20" s="1"/>
  <c r="I25" i="20"/>
  <c r="P25" i="20" s="1"/>
  <c r="I28" i="20"/>
  <c r="P28" i="20" s="1"/>
  <c r="I29" i="20"/>
  <c r="P29" i="20" s="1"/>
  <c r="I30" i="20"/>
  <c r="P30" i="20" s="1"/>
  <c r="I33" i="20"/>
  <c r="P33" i="20" s="1"/>
  <c r="I31" i="20"/>
  <c r="P31" i="20" s="1"/>
  <c r="I34" i="20"/>
  <c r="P34" i="20" s="1"/>
  <c r="I32" i="20"/>
  <c r="P32" i="20" s="1"/>
  <c r="Q22" i="20"/>
  <c r="Q23" i="20"/>
  <c r="Q24" i="20"/>
  <c r="Q25" i="20"/>
  <c r="Q28" i="20"/>
  <c r="Q29" i="20"/>
  <c r="Q30" i="20"/>
  <c r="Q33" i="20"/>
  <c r="Q31" i="20"/>
  <c r="Q34" i="20"/>
  <c r="Q32" i="20"/>
  <c r="R22" i="20"/>
  <c r="R23" i="20"/>
  <c r="R24" i="20"/>
  <c r="R25" i="20"/>
  <c r="R28" i="20"/>
  <c r="R29" i="20"/>
  <c r="R30" i="20"/>
  <c r="R33" i="20"/>
  <c r="R31" i="20"/>
  <c r="R34" i="20"/>
  <c r="R32" i="20"/>
  <c r="G35" i="20"/>
  <c r="G36" i="20"/>
  <c r="G38" i="20"/>
  <c r="G39" i="20"/>
  <c r="G40" i="20"/>
  <c r="G41" i="20"/>
  <c r="G42" i="20"/>
  <c r="G43" i="20"/>
  <c r="G44" i="20"/>
  <c r="G45" i="20"/>
  <c r="G46" i="20"/>
  <c r="I35" i="20"/>
  <c r="P35" i="20" s="1"/>
  <c r="I36" i="20"/>
  <c r="P36" i="20" s="1"/>
  <c r="P38" i="20"/>
  <c r="I39" i="20"/>
  <c r="P39" i="20" s="1"/>
  <c r="I40" i="20"/>
  <c r="P40" i="20" s="1"/>
  <c r="I41" i="20"/>
  <c r="P41" i="20" s="1"/>
  <c r="P42" i="20"/>
  <c r="I43" i="20"/>
  <c r="P43" i="20" s="1"/>
  <c r="I44" i="20"/>
  <c r="P44" i="20" s="1"/>
  <c r="I45" i="20"/>
  <c r="P45" i="20" s="1"/>
  <c r="I46" i="20"/>
  <c r="P46" i="20" s="1"/>
  <c r="Q35" i="20"/>
  <c r="Q36" i="20"/>
  <c r="Q38" i="20"/>
  <c r="Q39" i="20"/>
  <c r="Q40" i="20"/>
  <c r="Q41" i="20"/>
  <c r="Q42" i="20"/>
  <c r="Q43" i="20"/>
  <c r="Q44" i="20"/>
  <c r="Q45" i="20"/>
  <c r="Q46" i="20"/>
  <c r="R35" i="20"/>
  <c r="R36" i="20"/>
  <c r="R38" i="20"/>
  <c r="R39" i="20"/>
  <c r="R40" i="20"/>
  <c r="R41" i="20"/>
  <c r="R42" i="20"/>
  <c r="R43" i="20"/>
  <c r="R44" i="20"/>
  <c r="R45" i="20"/>
  <c r="R46" i="20"/>
  <c r="G48" i="20"/>
  <c r="G52" i="20"/>
  <c r="G53" i="20"/>
  <c r="G49" i="20"/>
  <c r="G54" i="20"/>
  <c r="G50" i="20"/>
  <c r="G51" i="20"/>
  <c r="G56" i="20"/>
  <c r="G55" i="20"/>
  <c r="G58" i="20"/>
  <c r="G59" i="20"/>
  <c r="I48" i="20"/>
  <c r="P48" i="20" s="1"/>
  <c r="I52" i="20"/>
  <c r="P52" i="20" s="1"/>
  <c r="I53" i="20"/>
  <c r="P53" i="20" s="1"/>
  <c r="I49" i="20"/>
  <c r="P49" i="20" s="1"/>
  <c r="I54" i="20"/>
  <c r="P54" i="20" s="1"/>
  <c r="I50" i="20"/>
  <c r="P50" i="20" s="1"/>
  <c r="I51" i="20"/>
  <c r="P51" i="20" s="1"/>
  <c r="I56" i="20"/>
  <c r="P56" i="20" s="1"/>
  <c r="I55" i="20"/>
  <c r="P55" i="20" s="1"/>
  <c r="I58" i="20"/>
  <c r="P58" i="20" s="1"/>
  <c r="I59" i="20"/>
  <c r="P59" i="20" s="1"/>
  <c r="Q48" i="20"/>
  <c r="Q52" i="20"/>
  <c r="Q53" i="20"/>
  <c r="Q49" i="20"/>
  <c r="Q54" i="20"/>
  <c r="Q50" i="20"/>
  <c r="Q51" i="20"/>
  <c r="Q56" i="20"/>
  <c r="Q55" i="20"/>
  <c r="Q58" i="20"/>
  <c r="Q59" i="20"/>
  <c r="R48" i="20"/>
  <c r="R52" i="20"/>
  <c r="R53" i="20"/>
  <c r="R49" i="20"/>
  <c r="R54" i="20"/>
  <c r="R50" i="20"/>
  <c r="R51" i="20"/>
  <c r="R56" i="20"/>
  <c r="R55" i="20"/>
  <c r="R58" i="20"/>
  <c r="R59" i="20"/>
  <c r="G61" i="20"/>
  <c r="G60" i="20"/>
  <c r="G62" i="20"/>
  <c r="G64" i="20"/>
  <c r="G65" i="20"/>
  <c r="G63" i="20"/>
  <c r="G66" i="20"/>
  <c r="G67" i="20"/>
  <c r="G68" i="20"/>
  <c r="G69" i="20"/>
  <c r="G70" i="20"/>
  <c r="I61" i="20"/>
  <c r="P61" i="20" s="1"/>
  <c r="I60" i="20"/>
  <c r="P60" i="20" s="1"/>
  <c r="I62" i="20"/>
  <c r="P62" i="20" s="1"/>
  <c r="I64" i="20"/>
  <c r="P64" i="20" s="1"/>
  <c r="I65" i="20"/>
  <c r="P65" i="20" s="1"/>
  <c r="I63" i="20"/>
  <c r="P63" i="20" s="1"/>
  <c r="I66" i="20"/>
  <c r="P66" i="20" s="1"/>
  <c r="I67" i="20"/>
  <c r="P67" i="20" s="1"/>
  <c r="I68" i="20"/>
  <c r="P68" i="20" s="1"/>
  <c r="I69" i="20"/>
  <c r="P69" i="20" s="1"/>
  <c r="I70" i="20"/>
  <c r="P70" i="20" s="1"/>
  <c r="Q61" i="20"/>
  <c r="Q60" i="20"/>
  <c r="Q62" i="20"/>
  <c r="Q64" i="20"/>
  <c r="Q65" i="20"/>
  <c r="Q63" i="20"/>
  <c r="Q66" i="20"/>
  <c r="Q67" i="20"/>
  <c r="Q68" i="20"/>
  <c r="Q69" i="20"/>
  <c r="Q70" i="20"/>
  <c r="R61" i="20"/>
  <c r="R60" i="20"/>
  <c r="R62" i="20"/>
  <c r="R64" i="20"/>
  <c r="R65" i="20"/>
  <c r="R63" i="20"/>
  <c r="R66" i="20"/>
  <c r="R67" i="20"/>
  <c r="R68" i="20"/>
  <c r="R69" i="20"/>
  <c r="R70" i="20"/>
  <c r="G71" i="20"/>
  <c r="G72" i="20"/>
  <c r="G73" i="20"/>
  <c r="G74" i="20"/>
  <c r="G75" i="20"/>
  <c r="G76" i="20"/>
  <c r="G77" i="20"/>
  <c r="G78" i="20"/>
  <c r="G79" i="20"/>
  <c r="G80" i="20"/>
  <c r="G84" i="20"/>
  <c r="I71" i="20"/>
  <c r="P71" i="20" s="1"/>
  <c r="P73" i="20"/>
  <c r="I74" i="20"/>
  <c r="P74" i="20" s="1"/>
  <c r="I75" i="20"/>
  <c r="P75" i="20" s="1"/>
  <c r="I76" i="20"/>
  <c r="P76" i="20" s="1"/>
  <c r="I77" i="20"/>
  <c r="P77" i="20" s="1"/>
  <c r="I78" i="20"/>
  <c r="P78" i="20" s="1"/>
  <c r="I79" i="20"/>
  <c r="P79" i="20" s="1"/>
  <c r="I80" i="20"/>
  <c r="P80" i="20" s="1"/>
  <c r="I84" i="20"/>
  <c r="P84" i="20" s="1"/>
  <c r="P72" i="20"/>
  <c r="Q71" i="20"/>
  <c r="Q72" i="20"/>
  <c r="Q73" i="20"/>
  <c r="Q74" i="20"/>
  <c r="Q75" i="20"/>
  <c r="Q76" i="20"/>
  <c r="Q77" i="20"/>
  <c r="Q78" i="20"/>
  <c r="Q79" i="20"/>
  <c r="Q80" i="20"/>
  <c r="Q84" i="20"/>
  <c r="R71" i="20"/>
  <c r="R72" i="20"/>
  <c r="R73" i="20"/>
  <c r="R74" i="20"/>
  <c r="R75" i="20"/>
  <c r="R76" i="20"/>
  <c r="R77" i="20"/>
  <c r="R78" i="20"/>
  <c r="R79" i="20"/>
  <c r="R80" i="20"/>
  <c r="R84" i="20"/>
  <c r="G85" i="20"/>
  <c r="G81" i="20"/>
  <c r="G86" i="20"/>
  <c r="G82" i="20"/>
  <c r="G87" i="20"/>
  <c r="G89" i="20"/>
  <c r="G90" i="20"/>
  <c r="G26" i="20"/>
  <c r="G37" i="20"/>
  <c r="G57" i="20"/>
  <c r="G47" i="20"/>
  <c r="I85" i="20"/>
  <c r="P85" i="20" s="1"/>
  <c r="I81" i="20"/>
  <c r="P81" i="20" s="1"/>
  <c r="I86" i="20"/>
  <c r="P86" i="20" s="1"/>
  <c r="I82" i="20"/>
  <c r="P82" i="20" s="1"/>
  <c r="I87" i="20"/>
  <c r="P87" i="20" s="1"/>
  <c r="I89" i="20"/>
  <c r="P89" i="20" s="1"/>
  <c r="I90" i="20"/>
  <c r="P90" i="20" s="1"/>
  <c r="I26" i="20"/>
  <c r="P26" i="20" s="1"/>
  <c r="I37" i="20"/>
  <c r="P37" i="20" s="1"/>
  <c r="I57" i="20"/>
  <c r="P57" i="20" s="1"/>
  <c r="I47" i="20"/>
  <c r="P47" i="20" s="1"/>
  <c r="Q85" i="20"/>
  <c r="Q81" i="20"/>
  <c r="Q86" i="20"/>
  <c r="Q82" i="20"/>
  <c r="Q87" i="20"/>
  <c r="Q89" i="20"/>
  <c r="Q90" i="20"/>
  <c r="Q26" i="20"/>
  <c r="Q37" i="20"/>
  <c r="Q57" i="20"/>
  <c r="Q47" i="20"/>
  <c r="R85" i="20"/>
  <c r="R81" i="20"/>
  <c r="R86" i="20"/>
  <c r="R82" i="20"/>
  <c r="R87" i="20"/>
  <c r="R89" i="20"/>
  <c r="R90" i="20"/>
  <c r="R26" i="20"/>
  <c r="R37" i="20"/>
  <c r="R57" i="20"/>
  <c r="R47" i="20"/>
  <c r="G83" i="20"/>
  <c r="I83" i="20"/>
  <c r="P83" i="20" s="1"/>
  <c r="Q83" i="20"/>
  <c r="R83" i="20"/>
  <c r="G10" i="21"/>
  <c r="I10" i="21"/>
  <c r="P10" i="21" s="1"/>
  <c r="Q10" i="21"/>
  <c r="R10" i="21"/>
  <c r="G133" i="21" l="1"/>
  <c r="H133" i="21" s="1"/>
  <c r="G132" i="21"/>
  <c r="H132" i="21" s="1"/>
  <c r="K133" i="21"/>
  <c r="H134" i="21"/>
  <c r="G9" i="21"/>
  <c r="I9" i="21"/>
  <c r="P9" i="21" s="1"/>
  <c r="Q9" i="21"/>
  <c r="R9" i="21"/>
  <c r="G69" i="21"/>
  <c r="I69" i="21"/>
  <c r="P69" i="21" s="1"/>
  <c r="Q69" i="21"/>
  <c r="R69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L206" i="21"/>
  <c r="L207" i="21"/>
  <c r="L208" i="21"/>
  <c r="L209" i="21"/>
  <c r="L210" i="2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L392" i="21"/>
  <c r="L393" i="21"/>
  <c r="L394" i="21"/>
  <c r="L395" i="21"/>
  <c r="L396" i="21"/>
  <c r="L397" i="21"/>
  <c r="L398" i="21"/>
  <c r="L399" i="21"/>
  <c r="L400" i="21"/>
  <c r="L401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G172" i="21"/>
  <c r="G173" i="21"/>
  <c r="G174" i="21"/>
  <c r="G175" i="21"/>
  <c r="I172" i="21"/>
  <c r="I173" i="21"/>
  <c r="I174" i="21"/>
  <c r="I175" i="21"/>
  <c r="L172" i="21"/>
  <c r="L173" i="21"/>
  <c r="L174" i="21"/>
  <c r="L175" i="21"/>
  <c r="G183" i="21"/>
  <c r="G184" i="21"/>
  <c r="G185" i="21"/>
  <c r="L183" i="21"/>
  <c r="L184" i="21"/>
  <c r="L185" i="21"/>
  <c r="G186" i="21"/>
  <c r="G187" i="21"/>
  <c r="G188" i="21"/>
  <c r="G189" i="21"/>
  <c r="G190" i="21"/>
  <c r="L186" i="21"/>
  <c r="L187" i="21"/>
  <c r="L188" i="21"/>
  <c r="L189" i="21"/>
  <c r="L190" i="21"/>
  <c r="G191" i="21"/>
  <c r="G192" i="21"/>
  <c r="G193" i="21"/>
  <c r="G194" i="21"/>
  <c r="G195" i="21"/>
  <c r="L191" i="21"/>
  <c r="L192" i="21"/>
  <c r="L193" i="21"/>
  <c r="L194" i="21"/>
  <c r="L195" i="21"/>
  <c r="G196" i="21"/>
  <c r="G197" i="21"/>
  <c r="G198" i="21"/>
  <c r="G199" i="21"/>
  <c r="G200" i="21"/>
  <c r="L196" i="21"/>
  <c r="L197" i="21"/>
  <c r="L198" i="21"/>
  <c r="L199" i="21"/>
  <c r="L200" i="21"/>
  <c r="H146" i="21"/>
  <c r="H147" i="21"/>
  <c r="H148" i="21"/>
  <c r="H149" i="21"/>
  <c r="H150" i="21"/>
  <c r="H151" i="21"/>
  <c r="J146" i="21"/>
  <c r="J147" i="21"/>
  <c r="J148" i="21"/>
  <c r="J149" i="21"/>
  <c r="J150" i="21"/>
  <c r="J151" i="21"/>
  <c r="K146" i="21"/>
  <c r="K147" i="21"/>
  <c r="K148" i="21"/>
  <c r="K149" i="21"/>
  <c r="K150" i="21"/>
  <c r="K151" i="21"/>
  <c r="H144" i="21"/>
  <c r="H145" i="21"/>
  <c r="H152" i="21"/>
  <c r="H153" i="21"/>
  <c r="H154" i="21"/>
  <c r="J144" i="21"/>
  <c r="J145" i="21"/>
  <c r="J152" i="21"/>
  <c r="J153" i="21"/>
  <c r="J154" i="21"/>
  <c r="K144" i="21"/>
  <c r="K145" i="21"/>
  <c r="K152" i="21"/>
  <c r="K153" i="21"/>
  <c r="K154" i="21"/>
  <c r="H142" i="21"/>
  <c r="H143" i="21"/>
  <c r="H155" i="21"/>
  <c r="J142" i="21"/>
  <c r="J143" i="21"/>
  <c r="J155" i="21"/>
  <c r="K142" i="21"/>
  <c r="K143" i="21"/>
  <c r="K155" i="21"/>
  <c r="H156" i="21"/>
  <c r="H157" i="21"/>
  <c r="H158" i="21"/>
  <c r="J156" i="21"/>
  <c r="J157" i="21"/>
  <c r="J158" i="21"/>
  <c r="K156" i="21"/>
  <c r="K157" i="21"/>
  <c r="K158" i="21"/>
  <c r="G112" i="21"/>
  <c r="G111" i="21"/>
  <c r="G113" i="21"/>
  <c r="G114" i="21"/>
  <c r="G115" i="21"/>
  <c r="G116" i="21"/>
  <c r="G118" i="21"/>
  <c r="G117" i="21"/>
  <c r="G119" i="21"/>
  <c r="G121" i="21"/>
  <c r="G124" i="21"/>
  <c r="G123" i="21"/>
  <c r="G120" i="21"/>
  <c r="G122" i="21"/>
  <c r="G55" i="21"/>
  <c r="G64" i="21"/>
  <c r="G98" i="21"/>
  <c r="I112" i="21"/>
  <c r="P112" i="21" s="1"/>
  <c r="I113" i="21"/>
  <c r="P113" i="21" s="1"/>
  <c r="P114" i="21"/>
  <c r="I115" i="21"/>
  <c r="P115" i="21" s="1"/>
  <c r="I116" i="21"/>
  <c r="P116" i="21" s="1"/>
  <c r="I118" i="21"/>
  <c r="P118" i="21" s="1"/>
  <c r="I117" i="21"/>
  <c r="P117" i="21" s="1"/>
  <c r="I119" i="21"/>
  <c r="P119" i="21" s="1"/>
  <c r="I121" i="21"/>
  <c r="P121" i="21" s="1"/>
  <c r="I124" i="21"/>
  <c r="P124" i="21" s="1"/>
  <c r="I123" i="21"/>
  <c r="P123" i="21" s="1"/>
  <c r="I120" i="21"/>
  <c r="P120" i="21" s="1"/>
  <c r="P122" i="21"/>
  <c r="I55" i="21"/>
  <c r="P55" i="21" s="1"/>
  <c r="I64" i="21"/>
  <c r="P64" i="21" s="1"/>
  <c r="I98" i="21"/>
  <c r="P98" i="21" s="1"/>
  <c r="P111" i="21"/>
  <c r="Q112" i="21"/>
  <c r="Q111" i="21"/>
  <c r="Q113" i="21"/>
  <c r="Q114" i="21"/>
  <c r="Q115" i="21"/>
  <c r="Q116" i="21"/>
  <c r="Q118" i="21"/>
  <c r="Q117" i="21"/>
  <c r="Q119" i="21"/>
  <c r="Q121" i="21"/>
  <c r="Q124" i="21"/>
  <c r="Q123" i="21"/>
  <c r="Q120" i="21"/>
  <c r="Q122" i="21"/>
  <c r="Q55" i="21"/>
  <c r="Q64" i="21"/>
  <c r="Q98" i="21"/>
  <c r="R112" i="21"/>
  <c r="R111" i="21"/>
  <c r="R113" i="21"/>
  <c r="R114" i="21"/>
  <c r="R115" i="21"/>
  <c r="R116" i="21"/>
  <c r="R118" i="21"/>
  <c r="R117" i="21"/>
  <c r="R119" i="21"/>
  <c r="R121" i="21"/>
  <c r="R124" i="21"/>
  <c r="R123" i="21"/>
  <c r="R120" i="21"/>
  <c r="R122" i="21"/>
  <c r="R55" i="21"/>
  <c r="R64" i="21"/>
  <c r="R98" i="21"/>
  <c r="G45" i="21"/>
  <c r="G110" i="21"/>
  <c r="G18" i="21"/>
  <c r="G19" i="21"/>
  <c r="G13" i="21"/>
  <c r="G17" i="21"/>
  <c r="G16" i="21"/>
  <c r="G21" i="21"/>
  <c r="G11" i="21"/>
  <c r="G15" i="21"/>
  <c r="G28" i="21"/>
  <c r="G25" i="21"/>
  <c r="G22" i="21"/>
  <c r="G26" i="21"/>
  <c r="G24" i="21"/>
  <c r="G27" i="21"/>
  <c r="G23" i="21"/>
  <c r="G37" i="21"/>
  <c r="G36" i="21"/>
  <c r="G31" i="21"/>
  <c r="G33" i="21"/>
  <c r="G29" i="21"/>
  <c r="G34" i="21"/>
  <c r="G30" i="21"/>
  <c r="G35" i="21"/>
  <c r="G38" i="21"/>
  <c r="G32" i="21"/>
  <c r="G40" i="21"/>
  <c r="G41" i="21"/>
  <c r="P45" i="21"/>
  <c r="I110" i="21"/>
  <c r="I18" i="21"/>
  <c r="P18" i="21" s="1"/>
  <c r="I19" i="21"/>
  <c r="P19" i="21" s="1"/>
  <c r="I13" i="21"/>
  <c r="P13" i="21" s="1"/>
  <c r="I17" i="21"/>
  <c r="P17" i="21" s="1"/>
  <c r="I16" i="21"/>
  <c r="P16" i="21" s="1"/>
  <c r="P21" i="21"/>
  <c r="I11" i="21"/>
  <c r="P11" i="21" s="1"/>
  <c r="I15" i="21"/>
  <c r="P15" i="21" s="1"/>
  <c r="I28" i="21"/>
  <c r="P28" i="21" s="1"/>
  <c r="I25" i="21"/>
  <c r="P25" i="21" s="1"/>
  <c r="I22" i="21"/>
  <c r="P22" i="21" s="1"/>
  <c r="I26" i="21"/>
  <c r="P26" i="21" s="1"/>
  <c r="I24" i="21"/>
  <c r="P24" i="21" s="1"/>
  <c r="I27" i="21"/>
  <c r="P27" i="21" s="1"/>
  <c r="I23" i="21"/>
  <c r="P23" i="21" s="1"/>
  <c r="I37" i="21"/>
  <c r="P37" i="21" s="1"/>
  <c r="I36" i="21"/>
  <c r="P36" i="21" s="1"/>
  <c r="I31" i="21"/>
  <c r="P31" i="21" s="1"/>
  <c r="I33" i="21"/>
  <c r="P33" i="21" s="1"/>
  <c r="I29" i="21"/>
  <c r="P29" i="21" s="1"/>
  <c r="I34" i="21"/>
  <c r="P34" i="21" s="1"/>
  <c r="I30" i="21"/>
  <c r="P30" i="21" s="1"/>
  <c r="I35" i="21"/>
  <c r="P35" i="21" s="1"/>
  <c r="I38" i="21"/>
  <c r="P38" i="21" s="1"/>
  <c r="I32" i="21"/>
  <c r="P32" i="21" s="1"/>
  <c r="I40" i="21"/>
  <c r="P40" i="21" s="1"/>
  <c r="I41" i="21"/>
  <c r="P41" i="21" s="1"/>
  <c r="P110" i="21"/>
  <c r="Q45" i="21"/>
  <c r="Q110" i="21"/>
  <c r="Q18" i="21"/>
  <c r="Q19" i="21"/>
  <c r="Q13" i="21"/>
  <c r="Q17" i="21"/>
  <c r="Q16" i="21"/>
  <c r="Q21" i="21"/>
  <c r="Q11" i="21"/>
  <c r="Q15" i="21"/>
  <c r="Q28" i="21"/>
  <c r="Q25" i="21"/>
  <c r="Q22" i="21"/>
  <c r="Q26" i="21"/>
  <c r="Q24" i="21"/>
  <c r="Q27" i="21"/>
  <c r="Q23" i="21"/>
  <c r="Q37" i="21"/>
  <c r="Q36" i="21"/>
  <c r="Q31" i="21"/>
  <c r="Q33" i="21"/>
  <c r="Q29" i="21"/>
  <c r="Q34" i="21"/>
  <c r="Q30" i="21"/>
  <c r="Q35" i="21"/>
  <c r="Q38" i="21"/>
  <c r="Q32" i="21"/>
  <c r="Q40" i="21"/>
  <c r="Q41" i="21"/>
  <c r="R45" i="21"/>
  <c r="R110" i="21"/>
  <c r="R18" i="21"/>
  <c r="R19" i="21"/>
  <c r="R13" i="21"/>
  <c r="R17" i="21"/>
  <c r="R16" i="21"/>
  <c r="R21" i="21"/>
  <c r="R11" i="21"/>
  <c r="R15" i="21"/>
  <c r="R28" i="21"/>
  <c r="R25" i="21"/>
  <c r="R22" i="21"/>
  <c r="R26" i="21"/>
  <c r="R24" i="21"/>
  <c r="R27" i="21"/>
  <c r="R23" i="21"/>
  <c r="R37" i="21"/>
  <c r="R36" i="21"/>
  <c r="R31" i="21"/>
  <c r="R33" i="21"/>
  <c r="R29" i="21"/>
  <c r="R34" i="21"/>
  <c r="R30" i="21"/>
  <c r="R35" i="21"/>
  <c r="R38" i="21"/>
  <c r="R32" i="21"/>
  <c r="R40" i="21"/>
  <c r="R41" i="21"/>
  <c r="G80" i="21"/>
  <c r="G85" i="21"/>
  <c r="G86" i="21"/>
  <c r="G89" i="21"/>
  <c r="G88" i="21"/>
  <c r="G87" i="21"/>
  <c r="G92" i="21"/>
  <c r="G91" i="21"/>
  <c r="G90" i="21"/>
  <c r="G95" i="21"/>
  <c r="G94" i="21"/>
  <c r="G96" i="21"/>
  <c r="I80" i="21"/>
  <c r="P80" i="21" s="1"/>
  <c r="I85" i="21"/>
  <c r="P85" i="21" s="1"/>
  <c r="I89" i="21"/>
  <c r="P89" i="21" s="1"/>
  <c r="I88" i="21"/>
  <c r="P88" i="21" s="1"/>
  <c r="I87" i="21"/>
  <c r="P87" i="21" s="1"/>
  <c r="I92" i="21"/>
  <c r="P92" i="21" s="1"/>
  <c r="I91" i="21"/>
  <c r="P91" i="21" s="1"/>
  <c r="I90" i="21"/>
  <c r="P90" i="21" s="1"/>
  <c r="I95" i="21"/>
  <c r="P95" i="21" s="1"/>
  <c r="I94" i="21"/>
  <c r="P94" i="21" s="1"/>
  <c r="I96" i="21"/>
  <c r="P96" i="21" s="1"/>
  <c r="P86" i="21"/>
  <c r="Q80" i="21"/>
  <c r="Q85" i="21"/>
  <c r="Q86" i="21"/>
  <c r="Q89" i="21"/>
  <c r="Q88" i="21"/>
  <c r="Q87" i="21"/>
  <c r="Q92" i="21"/>
  <c r="Q91" i="21"/>
  <c r="Q90" i="21"/>
  <c r="Q95" i="21"/>
  <c r="Q94" i="21"/>
  <c r="Q96" i="21"/>
  <c r="R80" i="21"/>
  <c r="R85" i="21"/>
  <c r="R86" i="21"/>
  <c r="R89" i="21"/>
  <c r="R88" i="21"/>
  <c r="R87" i="21"/>
  <c r="R92" i="21"/>
  <c r="R91" i="21"/>
  <c r="R90" i="21"/>
  <c r="R95" i="21"/>
  <c r="R94" i="21"/>
  <c r="R96" i="21"/>
  <c r="G105" i="21"/>
  <c r="I105" i="21"/>
  <c r="P105" i="21" s="1"/>
  <c r="Q105" i="21"/>
  <c r="R105" i="21"/>
  <c r="G104" i="21"/>
  <c r="I104" i="21"/>
  <c r="P104" i="21" s="1"/>
  <c r="Q104" i="21"/>
  <c r="R104" i="21"/>
  <c r="G108" i="21"/>
  <c r="I108" i="21"/>
  <c r="P108" i="21" s="1"/>
  <c r="Q108" i="21"/>
  <c r="R108" i="21"/>
  <c r="G109" i="21"/>
  <c r="I109" i="21"/>
  <c r="P109" i="21" s="1"/>
  <c r="Q109" i="21"/>
  <c r="R109" i="21"/>
  <c r="G107" i="21"/>
  <c r="I107" i="21"/>
  <c r="P107" i="21" s="1"/>
  <c r="Q107" i="21"/>
  <c r="R107" i="21"/>
  <c r="G12" i="21"/>
  <c r="G14" i="21"/>
  <c r="G39" i="21"/>
  <c r="G42" i="21"/>
  <c r="G43" i="21"/>
  <c r="G44" i="21"/>
  <c r="I12" i="21"/>
  <c r="P12" i="21" s="1"/>
  <c r="I14" i="21"/>
  <c r="P14" i="21" s="1"/>
  <c r="I39" i="21"/>
  <c r="P39" i="21" s="1"/>
  <c r="I42" i="21"/>
  <c r="P42" i="21" s="1"/>
  <c r="I44" i="21"/>
  <c r="P44" i="21" s="1"/>
  <c r="P43" i="21"/>
  <c r="Q12" i="21"/>
  <c r="Q14" i="21"/>
  <c r="Q39" i="21"/>
  <c r="Q42" i="21"/>
  <c r="Q43" i="21"/>
  <c r="Q44" i="21"/>
  <c r="R12" i="21"/>
  <c r="R14" i="21"/>
  <c r="R39" i="21"/>
  <c r="R42" i="21"/>
  <c r="R43" i="21"/>
  <c r="R44" i="21"/>
  <c r="G48" i="21"/>
  <c r="G47" i="21"/>
  <c r="G51" i="21"/>
  <c r="G52" i="21"/>
  <c r="G49" i="21"/>
  <c r="G50" i="21"/>
  <c r="I47" i="21"/>
  <c r="P47" i="21" s="1"/>
  <c r="I51" i="21"/>
  <c r="P51" i="21" s="1"/>
  <c r="I52" i="21"/>
  <c r="P52" i="21" s="1"/>
  <c r="I49" i="21"/>
  <c r="P49" i="21" s="1"/>
  <c r="I50" i="21"/>
  <c r="P50" i="21" s="1"/>
  <c r="P48" i="21"/>
  <c r="Q48" i="21"/>
  <c r="Q47" i="21"/>
  <c r="Q51" i="21"/>
  <c r="Q52" i="21"/>
  <c r="Q49" i="21"/>
  <c r="Q50" i="21"/>
  <c r="R48" i="21"/>
  <c r="R47" i="21"/>
  <c r="R51" i="21"/>
  <c r="R52" i="21"/>
  <c r="R49" i="21"/>
  <c r="R50" i="21"/>
  <c r="G53" i="21"/>
  <c r="G54" i="21"/>
  <c r="G56" i="21"/>
  <c r="G46" i="21"/>
  <c r="G65" i="21"/>
  <c r="G60" i="21"/>
  <c r="I53" i="21"/>
  <c r="P53" i="21" s="1"/>
  <c r="I54" i="21"/>
  <c r="P54" i="21" s="1"/>
  <c r="I56" i="21"/>
  <c r="P56" i="21" s="1"/>
  <c r="I46" i="21"/>
  <c r="P46" i="21" s="1"/>
  <c r="I65" i="21"/>
  <c r="P65" i="21" s="1"/>
  <c r="I60" i="21"/>
  <c r="P60" i="21" s="1"/>
  <c r="Q53" i="21"/>
  <c r="Q54" i="21"/>
  <c r="Q56" i="21"/>
  <c r="Q46" i="21"/>
  <c r="Q65" i="21"/>
  <c r="Q60" i="21"/>
  <c r="R53" i="21"/>
  <c r="R54" i="21"/>
  <c r="R56" i="21"/>
  <c r="R46" i="21"/>
  <c r="R65" i="21"/>
  <c r="R60" i="21"/>
  <c r="G62" i="21"/>
  <c r="G59" i="21"/>
  <c r="G66" i="21"/>
  <c r="G67" i="21"/>
  <c r="G68" i="21"/>
  <c r="G61" i="21"/>
  <c r="I62" i="21"/>
  <c r="P62" i="21" s="1"/>
  <c r="I59" i="21"/>
  <c r="P59" i="21" s="1"/>
  <c r="I66" i="21"/>
  <c r="P66" i="21" s="1"/>
  <c r="I67" i="21"/>
  <c r="P67" i="21" s="1"/>
  <c r="I68" i="21"/>
  <c r="P68" i="21" s="1"/>
  <c r="I61" i="21"/>
  <c r="P61" i="21" s="1"/>
  <c r="Q62" i="21"/>
  <c r="Q59" i="21"/>
  <c r="Q66" i="21"/>
  <c r="Q67" i="21"/>
  <c r="Q68" i="21"/>
  <c r="Q61" i="21"/>
  <c r="R62" i="21"/>
  <c r="R59" i="21"/>
  <c r="R66" i="21"/>
  <c r="R67" i="21"/>
  <c r="R68" i="21"/>
  <c r="R61" i="21"/>
  <c r="G63" i="21"/>
  <c r="G58" i="21"/>
  <c r="G57" i="21"/>
  <c r="G70" i="21"/>
  <c r="G71" i="21"/>
  <c r="G72" i="21"/>
  <c r="I58" i="21"/>
  <c r="P58" i="21" s="1"/>
  <c r="I70" i="21"/>
  <c r="P70" i="21" s="1"/>
  <c r="I71" i="21"/>
  <c r="I72" i="21"/>
  <c r="P72" i="21" s="1"/>
  <c r="P63" i="21"/>
  <c r="P57" i="21"/>
  <c r="P71" i="21"/>
  <c r="Q63" i="21"/>
  <c r="Q58" i="21"/>
  <c r="Q57" i="21"/>
  <c r="Q70" i="21"/>
  <c r="Q71" i="21"/>
  <c r="Q72" i="21"/>
  <c r="R63" i="21"/>
  <c r="R58" i="21"/>
  <c r="R57" i="21"/>
  <c r="R70" i="21"/>
  <c r="R71" i="21"/>
  <c r="R72" i="21"/>
  <c r="G75" i="21"/>
  <c r="G76" i="21"/>
  <c r="G74" i="21"/>
  <c r="G73" i="21"/>
  <c r="G77" i="21"/>
  <c r="G78" i="21"/>
  <c r="I75" i="21"/>
  <c r="P75" i="21" s="1"/>
  <c r="I76" i="21"/>
  <c r="P76" i="21" s="1"/>
  <c r="I74" i="21"/>
  <c r="P74" i="21" s="1"/>
  <c r="I73" i="21"/>
  <c r="P73" i="21" s="1"/>
  <c r="I77" i="21"/>
  <c r="P77" i="21" s="1"/>
  <c r="P78" i="21"/>
  <c r="Q75" i="21"/>
  <c r="Q76" i="21"/>
  <c r="Q74" i="21"/>
  <c r="Q73" i="21"/>
  <c r="Q77" i="21"/>
  <c r="Q78" i="21"/>
  <c r="R75" i="21"/>
  <c r="R76" i="21"/>
  <c r="R74" i="21"/>
  <c r="R73" i="21"/>
  <c r="R77" i="21"/>
  <c r="R78" i="21"/>
  <c r="G79" i="21"/>
  <c r="G83" i="21"/>
  <c r="G84" i="21"/>
  <c r="G82" i="21"/>
  <c r="G81" i="21"/>
  <c r="G97" i="21"/>
  <c r="I79" i="21"/>
  <c r="P79" i="21" s="1"/>
  <c r="I83" i="21"/>
  <c r="P83" i="21" s="1"/>
  <c r="I84" i="21"/>
  <c r="P84" i="21" s="1"/>
  <c r="I82" i="21"/>
  <c r="P82" i="21" s="1"/>
  <c r="I81" i="21"/>
  <c r="P81" i="21" s="1"/>
  <c r="I97" i="21"/>
  <c r="P97" i="21" s="1"/>
  <c r="Q79" i="21"/>
  <c r="Q83" i="21"/>
  <c r="Q84" i="21"/>
  <c r="Q82" i="21"/>
  <c r="Q81" i="21"/>
  <c r="Q97" i="21"/>
  <c r="R79" i="21"/>
  <c r="R83" i="21"/>
  <c r="R84" i="21"/>
  <c r="R82" i="21"/>
  <c r="R81" i="21"/>
  <c r="R97" i="21"/>
  <c r="G81" i="18"/>
  <c r="I81" i="18"/>
  <c r="P81" i="18" s="1"/>
  <c r="Q81" i="18"/>
  <c r="R81" i="18"/>
  <c r="G115" i="14" l="1"/>
  <c r="H115" i="14" s="1"/>
  <c r="H116" i="14"/>
  <c r="H117" i="14"/>
  <c r="G107" i="14"/>
  <c r="I107" i="14"/>
  <c r="P107" i="14" s="1"/>
  <c r="Q107" i="14"/>
  <c r="R107" i="14"/>
  <c r="G106" i="14"/>
  <c r="I106" i="14"/>
  <c r="P106" i="14" s="1"/>
  <c r="Q106" i="14"/>
  <c r="R106" i="14"/>
  <c r="G58" i="14"/>
  <c r="I58" i="14"/>
  <c r="P58" i="14" s="1"/>
  <c r="Q58" i="14"/>
  <c r="R58" i="14"/>
  <c r="G57" i="14"/>
  <c r="I57" i="14"/>
  <c r="P57" i="14" s="1"/>
  <c r="Q57" i="14"/>
  <c r="R57" i="14"/>
  <c r="G75" i="14"/>
  <c r="G72" i="14"/>
  <c r="G73" i="14"/>
  <c r="G74" i="14"/>
  <c r="G76" i="14"/>
  <c r="G77" i="14"/>
  <c r="G79" i="14"/>
  <c r="G80" i="14"/>
  <c r="G78" i="14"/>
  <c r="G81" i="14"/>
  <c r="G85" i="14"/>
  <c r="G82" i="14"/>
  <c r="G84" i="14"/>
  <c r="G86" i="14"/>
  <c r="G83" i="14"/>
  <c r="G90" i="14"/>
  <c r="G89" i="14"/>
  <c r="G87" i="14"/>
  <c r="G88" i="14"/>
  <c r="G91" i="14"/>
  <c r="G94" i="14"/>
  <c r="G92" i="14"/>
  <c r="G93" i="14"/>
  <c r="G95" i="14"/>
  <c r="G96" i="14"/>
  <c r="G97" i="14"/>
  <c r="G98" i="14"/>
  <c r="G105" i="14"/>
  <c r="G101" i="14"/>
  <c r="G99" i="14"/>
  <c r="G100" i="14"/>
  <c r="G103" i="14"/>
  <c r="G102" i="14"/>
  <c r="G104" i="14"/>
  <c r="G18" i="14"/>
  <c r="G27" i="14"/>
  <c r="G51" i="14"/>
  <c r="G59" i="14"/>
  <c r="I75" i="14"/>
  <c r="P75" i="14" s="1"/>
  <c r="I72" i="14"/>
  <c r="P72" i="14" s="1"/>
  <c r="I73" i="14"/>
  <c r="P73" i="14" s="1"/>
  <c r="I74" i="14"/>
  <c r="P74" i="14" s="1"/>
  <c r="I76" i="14"/>
  <c r="P76" i="14" s="1"/>
  <c r="I77" i="14"/>
  <c r="P77" i="14" s="1"/>
  <c r="I79" i="14"/>
  <c r="P79" i="14" s="1"/>
  <c r="I80" i="14"/>
  <c r="P80" i="14" s="1"/>
  <c r="I78" i="14"/>
  <c r="P78" i="14" s="1"/>
  <c r="I81" i="14"/>
  <c r="P81" i="14" s="1"/>
  <c r="I85" i="14"/>
  <c r="P85" i="14" s="1"/>
  <c r="I82" i="14"/>
  <c r="P82" i="14" s="1"/>
  <c r="I84" i="14"/>
  <c r="P84" i="14" s="1"/>
  <c r="I86" i="14"/>
  <c r="P86" i="14" s="1"/>
  <c r="I83" i="14"/>
  <c r="P83" i="14" s="1"/>
  <c r="I90" i="14"/>
  <c r="P90" i="14" s="1"/>
  <c r="I89" i="14"/>
  <c r="P89" i="14" s="1"/>
  <c r="I87" i="14"/>
  <c r="P87" i="14" s="1"/>
  <c r="I88" i="14"/>
  <c r="P88" i="14" s="1"/>
  <c r="I91" i="14"/>
  <c r="P91" i="14" s="1"/>
  <c r="I93" i="14"/>
  <c r="P93" i="14" s="1"/>
  <c r="I95" i="14"/>
  <c r="P95" i="14" s="1"/>
  <c r="I96" i="14"/>
  <c r="P96" i="14" s="1"/>
  <c r="I97" i="14"/>
  <c r="P97" i="14" s="1"/>
  <c r="I98" i="14"/>
  <c r="P98" i="14" s="1"/>
  <c r="I105" i="14"/>
  <c r="P105" i="14" s="1"/>
  <c r="I101" i="14"/>
  <c r="P101" i="14" s="1"/>
  <c r="I99" i="14"/>
  <c r="P99" i="14" s="1"/>
  <c r="I100" i="14"/>
  <c r="P100" i="14" s="1"/>
  <c r="I103" i="14"/>
  <c r="P103" i="14" s="1"/>
  <c r="I104" i="14"/>
  <c r="P104" i="14" s="1"/>
  <c r="I18" i="14"/>
  <c r="P18" i="14" s="1"/>
  <c r="I27" i="14"/>
  <c r="P27" i="14" s="1"/>
  <c r="I51" i="14"/>
  <c r="P51" i="14" s="1"/>
  <c r="I59" i="14"/>
  <c r="P59" i="14" s="1"/>
  <c r="P94" i="14"/>
  <c r="P92" i="14"/>
  <c r="P102" i="14"/>
  <c r="Q75" i="14"/>
  <c r="Q72" i="14"/>
  <c r="Q73" i="14"/>
  <c r="Q74" i="14"/>
  <c r="Q76" i="14"/>
  <c r="Q77" i="14"/>
  <c r="Q79" i="14"/>
  <c r="Q80" i="14"/>
  <c r="Q78" i="14"/>
  <c r="Q81" i="14"/>
  <c r="Q85" i="14"/>
  <c r="Q82" i="14"/>
  <c r="Q84" i="14"/>
  <c r="Q86" i="14"/>
  <c r="Q83" i="14"/>
  <c r="Q90" i="14"/>
  <c r="Q89" i="14"/>
  <c r="Q87" i="14"/>
  <c r="Q88" i="14"/>
  <c r="Q91" i="14"/>
  <c r="Q94" i="14"/>
  <c r="Q92" i="14"/>
  <c r="Q93" i="14"/>
  <c r="Q95" i="14"/>
  <c r="Q96" i="14"/>
  <c r="Q97" i="14"/>
  <c r="Q98" i="14"/>
  <c r="Q105" i="14"/>
  <c r="Q101" i="14"/>
  <c r="Q99" i="14"/>
  <c r="Q100" i="14"/>
  <c r="Q103" i="14"/>
  <c r="Q102" i="14"/>
  <c r="Q104" i="14"/>
  <c r="Q18" i="14"/>
  <c r="Q27" i="14"/>
  <c r="Q51" i="14"/>
  <c r="Q59" i="14"/>
  <c r="R75" i="14"/>
  <c r="R72" i="14"/>
  <c r="R73" i="14"/>
  <c r="R74" i="14"/>
  <c r="R76" i="14"/>
  <c r="R77" i="14"/>
  <c r="R79" i="14"/>
  <c r="R80" i="14"/>
  <c r="R78" i="14"/>
  <c r="R81" i="14"/>
  <c r="R85" i="14"/>
  <c r="R82" i="14"/>
  <c r="R84" i="14"/>
  <c r="R86" i="14"/>
  <c r="R83" i="14"/>
  <c r="R90" i="14"/>
  <c r="R89" i="14"/>
  <c r="R87" i="14"/>
  <c r="R88" i="14"/>
  <c r="R91" i="14"/>
  <c r="R94" i="14"/>
  <c r="R92" i="14"/>
  <c r="R93" i="14"/>
  <c r="R95" i="14"/>
  <c r="R96" i="14"/>
  <c r="R97" i="14"/>
  <c r="R98" i="14"/>
  <c r="R105" i="14"/>
  <c r="R101" i="14"/>
  <c r="R99" i="14"/>
  <c r="R100" i="14"/>
  <c r="R103" i="14"/>
  <c r="R102" i="14"/>
  <c r="R104" i="14"/>
  <c r="R18" i="14"/>
  <c r="R27" i="14"/>
  <c r="R51" i="14"/>
  <c r="R59" i="14"/>
  <c r="H151" i="14"/>
  <c r="H133" i="14"/>
  <c r="H138" i="14"/>
  <c r="H139" i="14"/>
  <c r="H142" i="14"/>
  <c r="H140" i="14"/>
  <c r="H141" i="14"/>
  <c r="H149" i="14"/>
  <c r="H147" i="14"/>
  <c r="J151" i="14"/>
  <c r="J133" i="14"/>
  <c r="J138" i="14"/>
  <c r="J139" i="14"/>
  <c r="J142" i="14"/>
  <c r="J140" i="14"/>
  <c r="J141" i="14"/>
  <c r="J149" i="14"/>
  <c r="J147" i="14"/>
  <c r="K151" i="14"/>
  <c r="K133" i="14"/>
  <c r="K138" i="14"/>
  <c r="K139" i="14"/>
  <c r="K142" i="14"/>
  <c r="K140" i="14"/>
  <c r="K141" i="14"/>
  <c r="K149" i="14"/>
  <c r="K147" i="14"/>
  <c r="H148" i="14"/>
  <c r="H144" i="14"/>
  <c r="H146" i="14"/>
  <c r="H143" i="14"/>
  <c r="H145" i="14"/>
  <c r="H159" i="14"/>
  <c r="H156" i="14"/>
  <c r="H155" i="14"/>
  <c r="H154" i="14"/>
  <c r="J148" i="14"/>
  <c r="J144" i="14"/>
  <c r="J146" i="14"/>
  <c r="J143" i="14"/>
  <c r="J145" i="14"/>
  <c r="J159" i="14"/>
  <c r="J156" i="14"/>
  <c r="J155" i="14"/>
  <c r="J154" i="14"/>
  <c r="K148" i="14"/>
  <c r="K144" i="14"/>
  <c r="K146" i="14"/>
  <c r="K143" i="14"/>
  <c r="K145" i="14"/>
  <c r="K159" i="14"/>
  <c r="K156" i="14"/>
  <c r="K155" i="14"/>
  <c r="K154" i="14"/>
  <c r="H132" i="14"/>
  <c r="H153" i="14"/>
  <c r="H157" i="14"/>
  <c r="H130" i="14"/>
  <c r="H135" i="14"/>
  <c r="H136" i="14"/>
  <c r="H131" i="14"/>
  <c r="H160" i="14"/>
  <c r="H124" i="14"/>
  <c r="J132" i="14"/>
  <c r="J153" i="14"/>
  <c r="J157" i="14"/>
  <c r="J130" i="14"/>
  <c r="J135" i="14"/>
  <c r="J136" i="14"/>
  <c r="J131" i="14"/>
  <c r="J160" i="14"/>
  <c r="J124" i="14"/>
  <c r="K132" i="14"/>
  <c r="K153" i="14"/>
  <c r="K157" i="14"/>
  <c r="K130" i="14"/>
  <c r="K135" i="14"/>
  <c r="K136" i="14"/>
  <c r="K131" i="14"/>
  <c r="K160" i="14"/>
  <c r="K124" i="14"/>
  <c r="H158" i="14"/>
  <c r="H150" i="14"/>
  <c r="H152" i="14"/>
  <c r="H161" i="14"/>
  <c r="J158" i="14"/>
  <c r="J150" i="14"/>
  <c r="J152" i="14"/>
  <c r="J161" i="14"/>
  <c r="K158" i="14"/>
  <c r="K150" i="14"/>
  <c r="K152" i="14"/>
  <c r="K161" i="14"/>
  <c r="H137" i="14"/>
  <c r="J137" i="14"/>
  <c r="K137" i="14"/>
  <c r="H134" i="14"/>
  <c r="H125" i="14"/>
  <c r="J134" i="14"/>
  <c r="J125" i="14"/>
  <c r="K134" i="14"/>
  <c r="K125" i="14"/>
  <c r="H127" i="14"/>
  <c r="H126" i="14"/>
  <c r="H129" i="14"/>
  <c r="H128" i="14"/>
  <c r="J127" i="14"/>
  <c r="J126" i="14"/>
  <c r="J129" i="14"/>
  <c r="J128" i="14"/>
  <c r="K127" i="14"/>
  <c r="K126" i="14"/>
  <c r="K129" i="14"/>
  <c r="K128" i="14"/>
  <c r="G14" i="14" l="1"/>
  <c r="G12" i="14"/>
  <c r="G11" i="14"/>
  <c r="G10" i="14"/>
  <c r="G13" i="14"/>
  <c r="G17" i="14"/>
  <c r="G21" i="14"/>
  <c r="I14" i="14"/>
  <c r="P14" i="14" s="1"/>
  <c r="I12" i="14"/>
  <c r="P12" i="14" s="1"/>
  <c r="I11" i="14"/>
  <c r="P11" i="14" s="1"/>
  <c r="I10" i="14"/>
  <c r="P10" i="14" s="1"/>
  <c r="I13" i="14"/>
  <c r="P13" i="14" s="1"/>
  <c r="I17" i="14"/>
  <c r="P17" i="14" s="1"/>
  <c r="I21" i="14"/>
  <c r="P21" i="14" s="1"/>
  <c r="Q14" i="14"/>
  <c r="Q12" i="14"/>
  <c r="Q11" i="14"/>
  <c r="Q10" i="14"/>
  <c r="Q13" i="14"/>
  <c r="Q17" i="14"/>
  <c r="Q21" i="14"/>
  <c r="R14" i="14"/>
  <c r="R12" i="14"/>
  <c r="R11" i="14"/>
  <c r="R10" i="14"/>
  <c r="R13" i="14"/>
  <c r="R17" i="14"/>
  <c r="R21" i="14"/>
  <c r="G23" i="14"/>
  <c r="G16" i="14"/>
  <c r="G19" i="14"/>
  <c r="G22" i="14"/>
  <c r="G20" i="14"/>
  <c r="G15" i="14"/>
  <c r="G24" i="14"/>
  <c r="I23" i="14"/>
  <c r="P23" i="14" s="1"/>
  <c r="I16" i="14"/>
  <c r="P16" i="14" s="1"/>
  <c r="I19" i="14"/>
  <c r="P19" i="14" s="1"/>
  <c r="I22" i="14"/>
  <c r="P22" i="14" s="1"/>
  <c r="I20" i="14"/>
  <c r="P20" i="14" s="1"/>
  <c r="I15" i="14"/>
  <c r="P15" i="14" s="1"/>
  <c r="I24" i="14"/>
  <c r="P24" i="14" s="1"/>
  <c r="Q23" i="14"/>
  <c r="Q16" i="14"/>
  <c r="Q19" i="14"/>
  <c r="Q22" i="14"/>
  <c r="Q20" i="14"/>
  <c r="Q15" i="14"/>
  <c r="Q24" i="14"/>
  <c r="R23" i="14"/>
  <c r="R16" i="14"/>
  <c r="R19" i="14"/>
  <c r="R22" i="14"/>
  <c r="R20" i="14"/>
  <c r="R15" i="14"/>
  <c r="R24" i="14"/>
  <c r="G26" i="14"/>
  <c r="G25" i="14"/>
  <c r="G33" i="14"/>
  <c r="G31" i="14"/>
  <c r="G29" i="14"/>
  <c r="G30" i="14"/>
  <c r="G32" i="14"/>
  <c r="I26" i="14"/>
  <c r="P26" i="14" s="1"/>
  <c r="I25" i="14"/>
  <c r="P25" i="14" s="1"/>
  <c r="I33" i="14"/>
  <c r="P33" i="14" s="1"/>
  <c r="I31" i="14"/>
  <c r="P31" i="14" s="1"/>
  <c r="I29" i="14"/>
  <c r="P29" i="14" s="1"/>
  <c r="I30" i="14"/>
  <c r="P30" i="14" s="1"/>
  <c r="I32" i="14"/>
  <c r="P32" i="14" s="1"/>
  <c r="Q26" i="14"/>
  <c r="Q25" i="14"/>
  <c r="Q33" i="14"/>
  <c r="Q31" i="14"/>
  <c r="Q29" i="14"/>
  <c r="Q30" i="14"/>
  <c r="Q32" i="14"/>
  <c r="R26" i="14"/>
  <c r="R25" i="14"/>
  <c r="R33" i="14"/>
  <c r="R31" i="14"/>
  <c r="R29" i="14"/>
  <c r="R30" i="14"/>
  <c r="R32" i="14"/>
  <c r="G28" i="14"/>
  <c r="G34" i="14"/>
  <c r="G35" i="14"/>
  <c r="G36" i="14"/>
  <c r="G39" i="14"/>
  <c r="G44" i="14"/>
  <c r="G37" i="14"/>
  <c r="I28" i="14"/>
  <c r="P28" i="14" s="1"/>
  <c r="I34" i="14"/>
  <c r="P34" i="14" s="1"/>
  <c r="I35" i="14"/>
  <c r="P35" i="14" s="1"/>
  <c r="I36" i="14"/>
  <c r="P36" i="14" s="1"/>
  <c r="I39" i="14"/>
  <c r="P39" i="14" s="1"/>
  <c r="I44" i="14"/>
  <c r="P44" i="14" s="1"/>
  <c r="I37" i="14"/>
  <c r="P37" i="14" s="1"/>
  <c r="Q28" i="14"/>
  <c r="Q34" i="14"/>
  <c r="Q35" i="14"/>
  <c r="Q36" i="14"/>
  <c r="Q39" i="14"/>
  <c r="Q44" i="14"/>
  <c r="Q37" i="14"/>
  <c r="R28" i="14"/>
  <c r="R34" i="14"/>
  <c r="R35" i="14"/>
  <c r="R36" i="14"/>
  <c r="R39" i="14"/>
  <c r="R44" i="14"/>
  <c r="R37" i="14"/>
  <c r="G45" i="14"/>
  <c r="G42" i="14"/>
  <c r="G46" i="14"/>
  <c r="G47" i="14"/>
  <c r="G43" i="14"/>
  <c r="G38" i="14"/>
  <c r="G40" i="14"/>
  <c r="P45" i="14"/>
  <c r="I42" i="14"/>
  <c r="P42" i="14" s="1"/>
  <c r="I46" i="14"/>
  <c r="P46" i="14" s="1"/>
  <c r="I47" i="14"/>
  <c r="P47" i="14" s="1"/>
  <c r="I43" i="14"/>
  <c r="P43" i="14" s="1"/>
  <c r="I38" i="14"/>
  <c r="P38" i="14" s="1"/>
  <c r="I40" i="14"/>
  <c r="P40" i="14" s="1"/>
  <c r="Q45" i="14"/>
  <c r="Q42" i="14"/>
  <c r="Q46" i="14"/>
  <c r="Q47" i="14"/>
  <c r="Q43" i="14"/>
  <c r="Q38" i="14"/>
  <c r="Q40" i="14"/>
  <c r="R45" i="14"/>
  <c r="R42" i="14"/>
  <c r="R46" i="14"/>
  <c r="R47" i="14"/>
  <c r="R43" i="14"/>
  <c r="R38" i="14"/>
  <c r="R40" i="14"/>
  <c r="G41" i="14"/>
  <c r="G48" i="14"/>
  <c r="G50" i="14"/>
  <c r="G52" i="14"/>
  <c r="G54" i="14"/>
  <c r="G56" i="14"/>
  <c r="I41" i="14"/>
  <c r="P41" i="14" s="1"/>
  <c r="I48" i="14"/>
  <c r="P48" i="14" s="1"/>
  <c r="I49" i="14"/>
  <c r="P49" i="14" s="1"/>
  <c r="I50" i="14"/>
  <c r="P50" i="14" s="1"/>
  <c r="I52" i="14"/>
  <c r="P52" i="14" s="1"/>
  <c r="I54" i="14"/>
  <c r="P54" i="14" s="1"/>
  <c r="I56" i="14"/>
  <c r="P56" i="14" s="1"/>
  <c r="Q41" i="14"/>
  <c r="Q48" i="14"/>
  <c r="Q49" i="14"/>
  <c r="Q50" i="14"/>
  <c r="Q52" i="14"/>
  <c r="Q54" i="14"/>
  <c r="Q56" i="14"/>
  <c r="R41" i="14"/>
  <c r="R48" i="14"/>
  <c r="R49" i="14"/>
  <c r="R50" i="14"/>
  <c r="R52" i="14"/>
  <c r="R54" i="14"/>
  <c r="R56" i="14"/>
  <c r="G53" i="14"/>
  <c r="G55" i="14"/>
  <c r="G61" i="14"/>
  <c r="G60" i="14"/>
  <c r="G62" i="14"/>
  <c r="G63" i="14"/>
  <c r="G64" i="14"/>
  <c r="I53" i="14"/>
  <c r="P53" i="14" s="1"/>
  <c r="I55" i="14"/>
  <c r="P55" i="14" s="1"/>
  <c r="I61" i="14"/>
  <c r="P61" i="14" s="1"/>
  <c r="I60" i="14"/>
  <c r="P60" i="14" s="1"/>
  <c r="I62" i="14"/>
  <c r="P62" i="14" s="1"/>
  <c r="I63" i="14"/>
  <c r="P63" i="14" s="1"/>
  <c r="I64" i="14"/>
  <c r="P64" i="14" s="1"/>
  <c r="Q53" i="14"/>
  <c r="Q55" i="14"/>
  <c r="Q61" i="14"/>
  <c r="Q60" i="14"/>
  <c r="Q62" i="14"/>
  <c r="Q63" i="14"/>
  <c r="Q64" i="14"/>
  <c r="R53" i="14"/>
  <c r="R55" i="14"/>
  <c r="R61" i="14"/>
  <c r="R60" i="14"/>
  <c r="R62" i="14"/>
  <c r="R63" i="14"/>
  <c r="R64" i="14"/>
  <c r="M109" i="19"/>
  <c r="M119" i="19"/>
  <c r="H108" i="19" l="1"/>
  <c r="M108" i="19" s="1"/>
  <c r="H111" i="19"/>
  <c r="M111" i="19" s="1"/>
  <c r="H112" i="19"/>
  <c r="M112" i="19" s="1"/>
  <c r="H115" i="19"/>
  <c r="M115" i="19" s="1"/>
  <c r="H116" i="19"/>
  <c r="M116" i="19" s="1"/>
  <c r="H120" i="19"/>
  <c r="M120" i="19" s="1"/>
  <c r="H110" i="19"/>
  <c r="M110" i="19" s="1"/>
  <c r="H113" i="19"/>
  <c r="M113" i="19" s="1"/>
  <c r="H114" i="19"/>
  <c r="M114" i="19" s="1"/>
  <c r="H117" i="19"/>
  <c r="M117" i="19" s="1"/>
  <c r="H118" i="19"/>
  <c r="M118" i="19" s="1"/>
  <c r="H121" i="19"/>
  <c r="M121" i="19" s="1"/>
  <c r="H106" i="19" l="1"/>
  <c r="M106" i="19" s="1"/>
  <c r="H107" i="19"/>
  <c r="M107" i="19" s="1"/>
  <c r="H155" i="19"/>
  <c r="H135" i="19"/>
  <c r="J155" i="19"/>
  <c r="J135" i="19"/>
  <c r="K155" i="19"/>
  <c r="K135" i="19"/>
  <c r="H142" i="19"/>
  <c r="H147" i="19"/>
  <c r="J142" i="19"/>
  <c r="J147" i="19"/>
  <c r="K142" i="19"/>
  <c r="K147" i="19"/>
  <c r="H156" i="19"/>
  <c r="J156" i="19"/>
  <c r="K156" i="19"/>
  <c r="H146" i="19"/>
  <c r="H149" i="19"/>
  <c r="H128" i="19"/>
  <c r="H143" i="19"/>
  <c r="H129" i="19"/>
  <c r="H140" i="19"/>
  <c r="H131" i="19"/>
  <c r="H144" i="19"/>
  <c r="J146" i="19"/>
  <c r="J149" i="19"/>
  <c r="J128" i="19"/>
  <c r="J143" i="19"/>
  <c r="J129" i="19"/>
  <c r="J140" i="19"/>
  <c r="J131" i="19"/>
  <c r="J144" i="19"/>
  <c r="K146" i="19"/>
  <c r="K149" i="19"/>
  <c r="K128" i="19"/>
  <c r="K143" i="19"/>
  <c r="K129" i="19"/>
  <c r="K140" i="19"/>
  <c r="K131" i="19"/>
  <c r="K144" i="19"/>
  <c r="H150" i="19"/>
  <c r="H130" i="19"/>
  <c r="H132" i="19"/>
  <c r="H148" i="19"/>
  <c r="H133" i="19"/>
  <c r="H136" i="19"/>
  <c r="H137" i="19"/>
  <c r="H138" i="19"/>
  <c r="J150" i="19"/>
  <c r="J130" i="19"/>
  <c r="J132" i="19"/>
  <c r="J148" i="19"/>
  <c r="J133" i="19"/>
  <c r="J136" i="19"/>
  <c r="J137" i="19"/>
  <c r="J138" i="19"/>
  <c r="K150" i="19"/>
  <c r="K130" i="19"/>
  <c r="K132" i="19"/>
  <c r="K148" i="19"/>
  <c r="K133" i="19"/>
  <c r="K136" i="19"/>
  <c r="K137" i="19"/>
  <c r="K138" i="19"/>
  <c r="H145" i="19"/>
  <c r="H134" i="19"/>
  <c r="H141" i="19"/>
  <c r="J145" i="19"/>
  <c r="J134" i="19"/>
  <c r="J141" i="19"/>
  <c r="K145" i="19"/>
  <c r="K134" i="19"/>
  <c r="K141" i="19"/>
  <c r="H151" i="19"/>
  <c r="H152" i="19"/>
  <c r="H153" i="19"/>
  <c r="J151" i="19"/>
  <c r="J152" i="19"/>
  <c r="J153" i="19"/>
  <c r="K151" i="19"/>
  <c r="K152" i="19"/>
  <c r="K153" i="19"/>
  <c r="G33" i="19"/>
  <c r="G97" i="19"/>
  <c r="G41" i="19"/>
  <c r="G9" i="19"/>
  <c r="G15" i="19"/>
  <c r="G30" i="19"/>
  <c r="G63" i="19"/>
  <c r="G64" i="19"/>
  <c r="G65" i="19"/>
  <c r="G66" i="19"/>
  <c r="G67" i="19"/>
  <c r="G68" i="19"/>
  <c r="G70" i="19"/>
  <c r="G71" i="19"/>
  <c r="G31" i="19"/>
  <c r="G51" i="19"/>
  <c r="G52" i="19"/>
  <c r="G83" i="19"/>
  <c r="G85" i="19"/>
  <c r="G86" i="19"/>
  <c r="G36" i="19"/>
  <c r="G88" i="19"/>
  <c r="G89" i="19"/>
  <c r="G77" i="19"/>
  <c r="G10" i="19"/>
  <c r="G32" i="19"/>
  <c r="G90" i="19"/>
  <c r="G53" i="19"/>
  <c r="G91" i="19"/>
  <c r="G78" i="19"/>
  <c r="G72" i="19"/>
  <c r="G93" i="19"/>
  <c r="G57" i="19"/>
  <c r="G11" i="19"/>
  <c r="G73" i="19"/>
  <c r="G12" i="19"/>
  <c r="G74" i="19"/>
  <c r="G24" i="19"/>
  <c r="G42" i="19"/>
  <c r="G43" i="19"/>
  <c r="G44" i="19"/>
  <c r="G45" i="19"/>
  <c r="G79" i="19"/>
  <c r="I33" i="19"/>
  <c r="P33" i="19" s="1"/>
  <c r="P97" i="19"/>
  <c r="I41" i="19"/>
  <c r="P41" i="19" s="1"/>
  <c r="I9" i="19"/>
  <c r="P9" i="19" s="1"/>
  <c r="I15" i="19"/>
  <c r="P15" i="19" s="1"/>
  <c r="I30" i="19"/>
  <c r="P30" i="19" s="1"/>
  <c r="I63" i="19"/>
  <c r="P63" i="19" s="1"/>
  <c r="I64" i="19"/>
  <c r="P64" i="19" s="1"/>
  <c r="I65" i="19"/>
  <c r="P65" i="19" s="1"/>
  <c r="I66" i="19"/>
  <c r="P66" i="19" s="1"/>
  <c r="I67" i="19"/>
  <c r="P67" i="19" s="1"/>
  <c r="I68" i="19"/>
  <c r="P68" i="19" s="1"/>
  <c r="I70" i="19"/>
  <c r="P70" i="19" s="1"/>
  <c r="I71" i="19"/>
  <c r="P71" i="19" s="1"/>
  <c r="I31" i="19"/>
  <c r="P31" i="19" s="1"/>
  <c r="I51" i="19"/>
  <c r="P51" i="19" s="1"/>
  <c r="I52" i="19"/>
  <c r="P52" i="19" s="1"/>
  <c r="I83" i="19"/>
  <c r="P83" i="19" s="1"/>
  <c r="I85" i="19"/>
  <c r="P85" i="19" s="1"/>
  <c r="I86" i="19"/>
  <c r="P86" i="19" s="1"/>
  <c r="I36" i="19"/>
  <c r="P36" i="19" s="1"/>
  <c r="P88" i="19"/>
  <c r="I89" i="19"/>
  <c r="P89" i="19" s="1"/>
  <c r="I77" i="19"/>
  <c r="P77" i="19" s="1"/>
  <c r="I10" i="19"/>
  <c r="P10" i="19" s="1"/>
  <c r="P32" i="19"/>
  <c r="I90" i="19"/>
  <c r="P90" i="19" s="1"/>
  <c r="I53" i="19"/>
  <c r="P53" i="19" s="1"/>
  <c r="I91" i="19"/>
  <c r="P91" i="19" s="1"/>
  <c r="I78" i="19"/>
  <c r="P78" i="19" s="1"/>
  <c r="I72" i="19"/>
  <c r="P72" i="19" s="1"/>
  <c r="I93" i="19"/>
  <c r="P93" i="19" s="1"/>
  <c r="I57" i="19"/>
  <c r="P57" i="19" s="1"/>
  <c r="I11" i="19"/>
  <c r="P11" i="19" s="1"/>
  <c r="I73" i="19"/>
  <c r="P73" i="19" s="1"/>
  <c r="P12" i="19"/>
  <c r="I74" i="19"/>
  <c r="P74" i="19" s="1"/>
  <c r="I24" i="19"/>
  <c r="P24" i="19" s="1"/>
  <c r="I42" i="19"/>
  <c r="P42" i="19" s="1"/>
  <c r="I43" i="19"/>
  <c r="P43" i="19" s="1"/>
  <c r="I44" i="19"/>
  <c r="P44" i="19" s="1"/>
  <c r="I45" i="19"/>
  <c r="P45" i="19" s="1"/>
  <c r="I79" i="19"/>
  <c r="P79" i="19" s="1"/>
  <c r="Q33" i="19"/>
  <c r="Q97" i="19"/>
  <c r="Q41" i="19"/>
  <c r="Q9" i="19"/>
  <c r="Q15" i="19"/>
  <c r="Q30" i="19"/>
  <c r="Q63" i="19"/>
  <c r="Q64" i="19"/>
  <c r="Q65" i="19"/>
  <c r="Q66" i="19"/>
  <c r="Q67" i="19"/>
  <c r="Q68" i="19"/>
  <c r="Q70" i="19"/>
  <c r="Q71" i="19"/>
  <c r="Q31" i="19"/>
  <c r="Q51" i="19"/>
  <c r="Q52" i="19"/>
  <c r="Q83" i="19"/>
  <c r="Q85" i="19"/>
  <c r="Q86" i="19"/>
  <c r="Q36" i="19"/>
  <c r="Q88" i="19"/>
  <c r="Q89" i="19"/>
  <c r="Q77" i="19"/>
  <c r="Q10" i="19"/>
  <c r="Q32" i="19"/>
  <c r="Q90" i="19"/>
  <c r="Q53" i="19"/>
  <c r="Q91" i="19"/>
  <c r="Q78" i="19"/>
  <c r="Q72" i="19"/>
  <c r="Q93" i="19"/>
  <c r="Q57" i="19"/>
  <c r="Q11" i="19"/>
  <c r="Q73" i="19"/>
  <c r="Q12" i="19"/>
  <c r="Q74" i="19"/>
  <c r="Q24" i="19"/>
  <c r="Q42" i="19"/>
  <c r="Q43" i="19"/>
  <c r="Q44" i="19"/>
  <c r="Q45" i="19"/>
  <c r="Q79" i="19"/>
  <c r="R33" i="19"/>
  <c r="R97" i="19"/>
  <c r="R41" i="19"/>
  <c r="R9" i="19"/>
  <c r="R15" i="19"/>
  <c r="R30" i="19"/>
  <c r="R63" i="19"/>
  <c r="R64" i="19"/>
  <c r="R65" i="19"/>
  <c r="R66" i="19"/>
  <c r="R67" i="19"/>
  <c r="R68" i="19"/>
  <c r="R70" i="19"/>
  <c r="R71" i="19"/>
  <c r="R31" i="19"/>
  <c r="R51" i="19"/>
  <c r="R52" i="19"/>
  <c r="R83" i="19"/>
  <c r="R85" i="19"/>
  <c r="R86" i="19"/>
  <c r="R36" i="19"/>
  <c r="R88" i="19"/>
  <c r="R89" i="19"/>
  <c r="R77" i="19"/>
  <c r="R10" i="19"/>
  <c r="R32" i="19"/>
  <c r="R90" i="19"/>
  <c r="R53" i="19"/>
  <c r="R91" i="19"/>
  <c r="R78" i="19"/>
  <c r="R72" i="19"/>
  <c r="R93" i="19"/>
  <c r="R57" i="19"/>
  <c r="R11" i="19"/>
  <c r="R73" i="19"/>
  <c r="R12" i="19"/>
  <c r="R74" i="19"/>
  <c r="R24" i="19"/>
  <c r="R42" i="19"/>
  <c r="R43" i="19"/>
  <c r="R44" i="19"/>
  <c r="R45" i="19"/>
  <c r="R79" i="19"/>
  <c r="G46" i="19"/>
  <c r="G34" i="19"/>
  <c r="G54" i="19"/>
  <c r="G16" i="19"/>
  <c r="G84" i="19"/>
  <c r="G37" i="19"/>
  <c r="G17" i="19"/>
  <c r="G47" i="19"/>
  <c r="G25" i="19"/>
  <c r="G26" i="19"/>
  <c r="G75" i="19"/>
  <c r="G80" i="19"/>
  <c r="G35" i="19"/>
  <c r="G58" i="19"/>
  <c r="G18" i="19"/>
  <c r="G23" i="19"/>
  <c r="G27" i="19"/>
  <c r="G19" i="19"/>
  <c r="G20" i="19"/>
  <c r="G59" i="19"/>
  <c r="G60" i="19"/>
  <c r="G38" i="19"/>
  <c r="G76" i="19"/>
  <c r="G49" i="19"/>
  <c r="G87" i="19"/>
  <c r="G13" i="19"/>
  <c r="G21" i="19"/>
  <c r="G14" i="19"/>
  <c r="G22" i="19"/>
  <c r="G28" i="19"/>
  <c r="G29" i="19"/>
  <c r="G39" i="19"/>
  <c r="G40" i="19"/>
  <c r="G48" i="19"/>
  <c r="G50" i="19"/>
  <c r="G55" i="19"/>
  <c r="G56" i="19"/>
  <c r="G61" i="19"/>
  <c r="G62" i="19"/>
  <c r="G69" i="19"/>
  <c r="G81" i="19"/>
  <c r="G82" i="19"/>
  <c r="I46" i="19"/>
  <c r="P46" i="19" s="1"/>
  <c r="I34" i="19"/>
  <c r="P34" i="19" s="1"/>
  <c r="I54" i="19"/>
  <c r="P54" i="19" s="1"/>
  <c r="I16" i="19"/>
  <c r="P16" i="19" s="1"/>
  <c r="I84" i="19"/>
  <c r="P84" i="19" s="1"/>
  <c r="I37" i="19"/>
  <c r="P37" i="19" s="1"/>
  <c r="I17" i="19"/>
  <c r="P17" i="19" s="1"/>
  <c r="I47" i="19"/>
  <c r="P47" i="19" s="1"/>
  <c r="I25" i="19"/>
  <c r="P25" i="19" s="1"/>
  <c r="I26" i="19"/>
  <c r="P26" i="19" s="1"/>
  <c r="I75" i="19"/>
  <c r="P75" i="19" s="1"/>
  <c r="I80" i="19"/>
  <c r="P80" i="19" s="1"/>
  <c r="I35" i="19"/>
  <c r="P35" i="19" s="1"/>
  <c r="I58" i="19"/>
  <c r="P58" i="19" s="1"/>
  <c r="I18" i="19"/>
  <c r="P18" i="19" s="1"/>
  <c r="I23" i="19"/>
  <c r="P23" i="19" s="1"/>
  <c r="I27" i="19"/>
  <c r="P27" i="19" s="1"/>
  <c r="I19" i="19"/>
  <c r="P19" i="19" s="1"/>
  <c r="I20" i="19"/>
  <c r="P20" i="19" s="1"/>
  <c r="I59" i="19"/>
  <c r="P59" i="19" s="1"/>
  <c r="I60" i="19"/>
  <c r="P60" i="19" s="1"/>
  <c r="I38" i="19"/>
  <c r="P38" i="19" s="1"/>
  <c r="I76" i="19"/>
  <c r="P76" i="19" s="1"/>
  <c r="I49" i="19"/>
  <c r="P49" i="19" s="1"/>
  <c r="I87" i="19"/>
  <c r="P87" i="19" s="1"/>
  <c r="I13" i="19"/>
  <c r="P13" i="19" s="1"/>
  <c r="I21" i="19"/>
  <c r="P21" i="19" s="1"/>
  <c r="I14" i="19"/>
  <c r="P14" i="19" s="1"/>
  <c r="I22" i="19"/>
  <c r="P22" i="19" s="1"/>
  <c r="I28" i="19"/>
  <c r="P28" i="19" s="1"/>
  <c r="I29" i="19"/>
  <c r="P29" i="19" s="1"/>
  <c r="I39" i="19"/>
  <c r="P39" i="19" s="1"/>
  <c r="I40" i="19"/>
  <c r="P40" i="19" s="1"/>
  <c r="I48" i="19"/>
  <c r="P48" i="19" s="1"/>
  <c r="P50" i="19"/>
  <c r="I55" i="19"/>
  <c r="P55" i="19" s="1"/>
  <c r="I56" i="19"/>
  <c r="P56" i="19" s="1"/>
  <c r="I61" i="19"/>
  <c r="P61" i="19" s="1"/>
  <c r="I62" i="19"/>
  <c r="P62" i="19" s="1"/>
  <c r="I69" i="19"/>
  <c r="P69" i="19" s="1"/>
  <c r="I81" i="19"/>
  <c r="P81" i="19" s="1"/>
  <c r="I82" i="19"/>
  <c r="P82" i="19" s="1"/>
  <c r="Q46" i="19"/>
  <c r="Q34" i="19"/>
  <c r="Q54" i="19"/>
  <c r="Q16" i="19"/>
  <c r="Q84" i="19"/>
  <c r="Q37" i="19"/>
  <c r="Q17" i="19"/>
  <c r="Q47" i="19"/>
  <c r="Q25" i="19"/>
  <c r="Q26" i="19"/>
  <c r="Q75" i="19"/>
  <c r="Q80" i="19"/>
  <c r="Q35" i="19"/>
  <c r="Q58" i="19"/>
  <c r="Q18" i="19"/>
  <c r="Q23" i="19"/>
  <c r="Q27" i="19"/>
  <c r="Q19" i="19"/>
  <c r="Q20" i="19"/>
  <c r="Q59" i="19"/>
  <c r="Q60" i="19"/>
  <c r="Q38" i="19"/>
  <c r="Q76" i="19"/>
  <c r="Q49" i="19"/>
  <c r="Q87" i="19"/>
  <c r="Q13" i="19"/>
  <c r="Q21" i="19"/>
  <c r="Q14" i="19"/>
  <c r="Q22" i="19"/>
  <c r="Q28" i="19"/>
  <c r="Q29" i="19"/>
  <c r="Q39" i="19"/>
  <c r="Q40" i="19"/>
  <c r="Q48" i="19"/>
  <c r="Q50" i="19"/>
  <c r="Q55" i="19"/>
  <c r="Q56" i="19"/>
  <c r="Q61" i="19"/>
  <c r="Q62" i="19"/>
  <c r="Q69" i="19"/>
  <c r="Q81" i="19"/>
  <c r="Q82" i="19"/>
  <c r="R46" i="19"/>
  <c r="R34" i="19"/>
  <c r="R54" i="19"/>
  <c r="R16" i="19"/>
  <c r="R84" i="19"/>
  <c r="R37" i="19"/>
  <c r="R17" i="19"/>
  <c r="R47" i="19"/>
  <c r="R25" i="19"/>
  <c r="R26" i="19"/>
  <c r="R75" i="19"/>
  <c r="R80" i="19"/>
  <c r="R35" i="19"/>
  <c r="R58" i="19"/>
  <c r="R18" i="19"/>
  <c r="R23" i="19"/>
  <c r="R27" i="19"/>
  <c r="R19" i="19"/>
  <c r="R20" i="19"/>
  <c r="R59" i="19"/>
  <c r="R60" i="19"/>
  <c r="R38" i="19"/>
  <c r="R76" i="19"/>
  <c r="R49" i="19"/>
  <c r="R87" i="19"/>
  <c r="R13" i="19"/>
  <c r="R21" i="19"/>
  <c r="R14" i="19"/>
  <c r="R22" i="19"/>
  <c r="R28" i="19"/>
  <c r="R29" i="19"/>
  <c r="R39" i="19"/>
  <c r="R40" i="19"/>
  <c r="R48" i="19"/>
  <c r="R50" i="19"/>
  <c r="R55" i="19"/>
  <c r="R56" i="19"/>
  <c r="R61" i="19"/>
  <c r="R62" i="19"/>
  <c r="R69" i="19"/>
  <c r="R81" i="19"/>
  <c r="R82" i="19"/>
  <c r="G95" i="19"/>
  <c r="G96" i="19"/>
  <c r="G98" i="19"/>
  <c r="I95" i="19"/>
  <c r="P95" i="19" s="1"/>
  <c r="I96" i="19"/>
  <c r="P96" i="19" s="1"/>
  <c r="I98" i="19"/>
  <c r="P98" i="19" s="1"/>
  <c r="Q95" i="19"/>
  <c r="Q96" i="19"/>
  <c r="Q98" i="19"/>
  <c r="R95" i="19"/>
  <c r="R96" i="19"/>
  <c r="R98" i="19"/>
  <c r="G128" i="18" l="1"/>
  <c r="H128" i="18" s="1"/>
  <c r="H130" i="18"/>
  <c r="H129" i="18"/>
  <c r="G105" i="18"/>
  <c r="I105" i="18"/>
  <c r="P105" i="18" s="1"/>
  <c r="Q105" i="18"/>
  <c r="R105" i="18"/>
  <c r="O18" i="18"/>
  <c r="P18" i="18" s="1"/>
  <c r="G75" i="18"/>
  <c r="I75" i="18"/>
  <c r="P75" i="18" s="1"/>
  <c r="Q75" i="18"/>
  <c r="R75" i="18"/>
  <c r="G54" i="18"/>
  <c r="I54" i="18"/>
  <c r="P54" i="18" s="1"/>
  <c r="Q54" i="18"/>
  <c r="R54" i="18"/>
  <c r="G40" i="18"/>
  <c r="I40" i="18"/>
  <c r="P40" i="18" s="1"/>
  <c r="Q40" i="18"/>
  <c r="R40" i="18"/>
  <c r="G9" i="18"/>
  <c r="I9" i="18"/>
  <c r="P9" i="18" s="1"/>
  <c r="Q9" i="18"/>
  <c r="R9" i="18"/>
  <c r="G86" i="18"/>
  <c r="I86" i="18"/>
  <c r="P86" i="18" s="1"/>
  <c r="Q86" i="18"/>
  <c r="R86" i="18"/>
  <c r="G10" i="18"/>
  <c r="I10" i="18"/>
  <c r="P10" i="18" s="1"/>
  <c r="Q10" i="18"/>
  <c r="R10" i="18"/>
  <c r="G109" i="18"/>
  <c r="I109" i="18"/>
  <c r="P109" i="18" s="1"/>
  <c r="Q109" i="18"/>
  <c r="R109" i="18"/>
  <c r="G35" i="18"/>
  <c r="I35" i="18"/>
  <c r="P35" i="18" s="1"/>
  <c r="Q35" i="18"/>
  <c r="R35" i="18"/>
  <c r="G106" i="18"/>
  <c r="I106" i="18"/>
  <c r="P106" i="18" s="1"/>
  <c r="Q106" i="18"/>
  <c r="R106" i="18"/>
  <c r="G107" i="18"/>
  <c r="I107" i="18"/>
  <c r="P107" i="18" s="1"/>
  <c r="Q107" i="18"/>
  <c r="R107" i="18"/>
  <c r="G111" i="18"/>
  <c r="G110" i="18"/>
  <c r="G114" i="18"/>
  <c r="G112" i="18"/>
  <c r="G113" i="18"/>
  <c r="G116" i="18"/>
  <c r="G118" i="18"/>
  <c r="G119" i="18"/>
  <c r="G120" i="18"/>
  <c r="G115" i="18"/>
  <c r="G117" i="18"/>
  <c r="G22" i="18"/>
  <c r="G68" i="18"/>
  <c r="G97" i="18"/>
  <c r="I111" i="18"/>
  <c r="I110" i="18"/>
  <c r="I114" i="18"/>
  <c r="I112" i="18"/>
  <c r="I113" i="18"/>
  <c r="I116" i="18"/>
  <c r="P116" i="18" s="1"/>
  <c r="I119" i="18"/>
  <c r="P119" i="18" s="1"/>
  <c r="I120" i="18"/>
  <c r="P120" i="18" s="1"/>
  <c r="I117" i="18"/>
  <c r="P117" i="18" s="1"/>
  <c r="I22" i="18"/>
  <c r="P22" i="18" s="1"/>
  <c r="I68" i="18"/>
  <c r="P68" i="18" s="1"/>
  <c r="I97" i="18"/>
  <c r="P97" i="18" s="1"/>
  <c r="P111" i="18"/>
  <c r="P110" i="18"/>
  <c r="P114" i="18"/>
  <c r="P112" i="18"/>
  <c r="P113" i="18"/>
  <c r="P118" i="18"/>
  <c r="P115" i="18"/>
  <c r="Q111" i="18"/>
  <c r="Q110" i="18"/>
  <c r="Q114" i="18"/>
  <c r="Q112" i="18"/>
  <c r="Q113" i="18"/>
  <c r="Q116" i="18"/>
  <c r="Q118" i="18"/>
  <c r="Q119" i="18"/>
  <c r="Q120" i="18"/>
  <c r="Q115" i="18"/>
  <c r="Q117" i="18"/>
  <c r="Q22" i="18"/>
  <c r="Q68" i="18"/>
  <c r="Q97" i="18"/>
  <c r="R111" i="18"/>
  <c r="R110" i="18"/>
  <c r="R114" i="18"/>
  <c r="R112" i="18"/>
  <c r="R113" i="18"/>
  <c r="R116" i="18"/>
  <c r="R118" i="18"/>
  <c r="R119" i="18"/>
  <c r="R120" i="18"/>
  <c r="R115" i="18"/>
  <c r="R117" i="18"/>
  <c r="R22" i="18"/>
  <c r="R68" i="18"/>
  <c r="R97" i="18"/>
  <c r="G37" i="18"/>
  <c r="G39" i="18"/>
  <c r="G38" i="18"/>
  <c r="G42" i="18"/>
  <c r="G41" i="18"/>
  <c r="G49" i="18"/>
  <c r="G44" i="18"/>
  <c r="G47" i="18"/>
  <c r="G46" i="18"/>
  <c r="G45" i="18"/>
  <c r="G48" i="18"/>
  <c r="G43" i="18"/>
  <c r="I39" i="18"/>
  <c r="P39" i="18" s="1"/>
  <c r="I38" i="18"/>
  <c r="P38" i="18" s="1"/>
  <c r="I42" i="18"/>
  <c r="P42" i="18" s="1"/>
  <c r="I41" i="18"/>
  <c r="P41" i="18" s="1"/>
  <c r="I49" i="18"/>
  <c r="P49" i="18" s="1"/>
  <c r="P44" i="18"/>
  <c r="I47" i="18"/>
  <c r="P47" i="18" s="1"/>
  <c r="I46" i="18"/>
  <c r="P46" i="18" s="1"/>
  <c r="I45" i="18"/>
  <c r="P45" i="18" s="1"/>
  <c r="I43" i="18"/>
  <c r="P43" i="18" s="1"/>
  <c r="P37" i="18"/>
  <c r="P48" i="18"/>
  <c r="Q37" i="18"/>
  <c r="Q39" i="18"/>
  <c r="Q38" i="18"/>
  <c r="Q42" i="18"/>
  <c r="Q41" i="18"/>
  <c r="Q49" i="18"/>
  <c r="Q44" i="18"/>
  <c r="Q47" i="18"/>
  <c r="Q46" i="18"/>
  <c r="Q45" i="18"/>
  <c r="Q48" i="18"/>
  <c r="Q43" i="18"/>
  <c r="R37" i="18"/>
  <c r="R39" i="18"/>
  <c r="R38" i="18"/>
  <c r="R42" i="18"/>
  <c r="R41" i="18"/>
  <c r="R49" i="18"/>
  <c r="R44" i="18"/>
  <c r="R47" i="18"/>
  <c r="R46" i="18"/>
  <c r="R45" i="18"/>
  <c r="R48" i="18"/>
  <c r="R43" i="18"/>
  <c r="G53" i="18"/>
  <c r="G56" i="18"/>
  <c r="G55" i="18"/>
  <c r="G51" i="18"/>
  <c r="G52" i="18"/>
  <c r="G50" i="18"/>
  <c r="G57" i="18"/>
  <c r="G58" i="18"/>
  <c r="G59" i="18"/>
  <c r="G60" i="18"/>
  <c r="G61" i="18"/>
  <c r="G62" i="18"/>
  <c r="I53" i="18"/>
  <c r="I56" i="18"/>
  <c r="I55" i="18"/>
  <c r="P55" i="18" s="1"/>
  <c r="I51" i="18"/>
  <c r="P51" i="18" s="1"/>
  <c r="I52" i="18"/>
  <c r="P52" i="18" s="1"/>
  <c r="I50" i="18"/>
  <c r="P50" i="18" s="1"/>
  <c r="I57" i="18"/>
  <c r="P57" i="18" s="1"/>
  <c r="I58" i="18"/>
  <c r="P58" i="18" s="1"/>
  <c r="I59" i="18"/>
  <c r="P59" i="18" s="1"/>
  <c r="I60" i="18"/>
  <c r="P60" i="18" s="1"/>
  <c r="I61" i="18"/>
  <c r="P61" i="18" s="1"/>
  <c r="I62" i="18"/>
  <c r="P62" i="18" s="1"/>
  <c r="P53" i="18"/>
  <c r="P56" i="18"/>
  <c r="Q53" i="18"/>
  <c r="Q56" i="18"/>
  <c r="Q55" i="18"/>
  <c r="Q51" i="18"/>
  <c r="Q52" i="18"/>
  <c r="Q50" i="18"/>
  <c r="Q57" i="18"/>
  <c r="Q58" i="18"/>
  <c r="Q59" i="18"/>
  <c r="Q60" i="18"/>
  <c r="Q61" i="18"/>
  <c r="Q62" i="18"/>
  <c r="R53" i="18"/>
  <c r="R56" i="18"/>
  <c r="R55" i="18"/>
  <c r="R51" i="18"/>
  <c r="R52" i="18"/>
  <c r="R50" i="18"/>
  <c r="R57" i="18"/>
  <c r="R58" i="18"/>
  <c r="R59" i="18"/>
  <c r="R60" i="18"/>
  <c r="R61" i="18"/>
  <c r="R62" i="18"/>
  <c r="G64" i="18"/>
  <c r="G63" i="18"/>
  <c r="G67" i="18"/>
  <c r="G66" i="18"/>
  <c r="G65" i="18"/>
  <c r="G73" i="18"/>
  <c r="G71" i="18"/>
  <c r="G72" i="18"/>
  <c r="G74" i="18"/>
  <c r="G70" i="18"/>
  <c r="G76" i="18"/>
  <c r="G69" i="18"/>
  <c r="I64" i="18"/>
  <c r="I63" i="18"/>
  <c r="I67" i="18"/>
  <c r="I66" i="18"/>
  <c r="I65" i="18"/>
  <c r="P65" i="18" s="1"/>
  <c r="I73" i="18"/>
  <c r="P73" i="18" s="1"/>
  <c r="I71" i="18"/>
  <c r="P71" i="18" s="1"/>
  <c r="I72" i="18"/>
  <c r="P72" i="18" s="1"/>
  <c r="I74" i="18"/>
  <c r="P74" i="18" s="1"/>
  <c r="I70" i="18"/>
  <c r="P70" i="18" s="1"/>
  <c r="I76" i="18"/>
  <c r="P76" i="18" s="1"/>
  <c r="I69" i="18"/>
  <c r="P69" i="18" s="1"/>
  <c r="P64" i="18"/>
  <c r="P63" i="18"/>
  <c r="P67" i="18"/>
  <c r="P66" i="18"/>
  <c r="Q64" i="18"/>
  <c r="Q63" i="18"/>
  <c r="Q67" i="18"/>
  <c r="Q66" i="18"/>
  <c r="Q65" i="18"/>
  <c r="Q73" i="18"/>
  <c r="Q71" i="18"/>
  <c r="Q72" i="18"/>
  <c r="Q74" i="18"/>
  <c r="Q70" i="18"/>
  <c r="Q76" i="18"/>
  <c r="Q69" i="18"/>
  <c r="R64" i="18"/>
  <c r="R63" i="18"/>
  <c r="R67" i="18"/>
  <c r="R66" i="18"/>
  <c r="R65" i="18"/>
  <c r="R73" i="18"/>
  <c r="R71" i="18"/>
  <c r="R72" i="18"/>
  <c r="R74" i="18"/>
  <c r="R70" i="18"/>
  <c r="R76" i="18"/>
  <c r="R69" i="18"/>
  <c r="H141" i="18"/>
  <c r="H142" i="18"/>
  <c r="H143" i="18"/>
  <c r="H144" i="18"/>
  <c r="H145" i="18"/>
  <c r="H146" i="18"/>
  <c r="H147" i="18"/>
  <c r="H148" i="18"/>
  <c r="H149" i="18"/>
  <c r="H150" i="18"/>
  <c r="J141" i="18"/>
  <c r="J142" i="18"/>
  <c r="J143" i="18"/>
  <c r="J144" i="18"/>
  <c r="J145" i="18"/>
  <c r="J146" i="18"/>
  <c r="J147" i="18"/>
  <c r="J148" i="18"/>
  <c r="J149" i="18"/>
  <c r="J150" i="18"/>
  <c r="K141" i="18"/>
  <c r="K142" i="18"/>
  <c r="K143" i="18"/>
  <c r="K144" i="18"/>
  <c r="K145" i="18"/>
  <c r="K146" i="18"/>
  <c r="K147" i="18"/>
  <c r="K148" i="18"/>
  <c r="K149" i="18"/>
  <c r="K150" i="18"/>
  <c r="H138" i="18"/>
  <c r="H139" i="18"/>
  <c r="H140" i="18"/>
  <c r="J138" i="18"/>
  <c r="J139" i="18"/>
  <c r="J140" i="18"/>
  <c r="K138" i="18"/>
  <c r="K139" i="18"/>
  <c r="K140" i="18"/>
  <c r="H151" i="18"/>
  <c r="H152" i="18"/>
  <c r="H153" i="18"/>
  <c r="J151" i="18"/>
  <c r="J152" i="18"/>
  <c r="J153" i="18"/>
  <c r="K151" i="18"/>
  <c r="K152" i="18"/>
  <c r="K153" i="18"/>
  <c r="H154" i="18"/>
  <c r="H155" i="18"/>
  <c r="H156" i="18"/>
  <c r="J154" i="18"/>
  <c r="J155" i="18"/>
  <c r="J156" i="18"/>
  <c r="K154" i="18"/>
  <c r="K155" i="18"/>
  <c r="K156" i="18"/>
  <c r="H157" i="18"/>
  <c r="H158" i="18"/>
  <c r="H159" i="18"/>
  <c r="J157" i="18"/>
  <c r="J158" i="18"/>
  <c r="J159" i="18"/>
  <c r="K157" i="18"/>
  <c r="K158" i="18"/>
  <c r="K159" i="18"/>
  <c r="H160" i="18"/>
  <c r="H161" i="18"/>
  <c r="H162" i="18"/>
  <c r="J160" i="18"/>
  <c r="J161" i="18"/>
  <c r="J162" i="18"/>
  <c r="K160" i="18"/>
  <c r="K161" i="18"/>
  <c r="K162" i="18"/>
  <c r="H163" i="18"/>
  <c r="H164" i="18"/>
  <c r="H165" i="18"/>
  <c r="J163" i="18"/>
  <c r="J164" i="18"/>
  <c r="J165" i="18"/>
  <c r="K163" i="18"/>
  <c r="K164" i="18"/>
  <c r="K165" i="18"/>
  <c r="G11" i="18"/>
  <c r="G18" i="18"/>
  <c r="G17" i="18"/>
  <c r="G12" i="18"/>
  <c r="G16" i="18"/>
  <c r="G15" i="18"/>
  <c r="G14" i="18"/>
  <c r="I11" i="18"/>
  <c r="P11" i="18" s="1"/>
  <c r="I17" i="18"/>
  <c r="P17" i="18" s="1"/>
  <c r="I12" i="18"/>
  <c r="P12" i="18" s="1"/>
  <c r="P16" i="18"/>
  <c r="P15" i="18"/>
  <c r="I14" i="18"/>
  <c r="P14" i="18" s="1"/>
  <c r="Q11" i="18"/>
  <c r="Q18" i="18"/>
  <c r="Q17" i="18"/>
  <c r="Q12" i="18"/>
  <c r="Q16" i="18"/>
  <c r="Q15" i="18"/>
  <c r="Q14" i="18"/>
  <c r="R11" i="18"/>
  <c r="R18" i="18"/>
  <c r="R17" i="18"/>
  <c r="R12" i="18"/>
  <c r="R16" i="18"/>
  <c r="R15" i="18"/>
  <c r="R14" i="18"/>
  <c r="G19" i="18"/>
  <c r="G20" i="18"/>
  <c r="G21" i="18"/>
  <c r="G27" i="18"/>
  <c r="G28" i="18"/>
  <c r="G29" i="18"/>
  <c r="G32" i="18"/>
  <c r="I19" i="18"/>
  <c r="P19" i="18" s="1"/>
  <c r="I20" i="18"/>
  <c r="P20" i="18" s="1"/>
  <c r="P21" i="18"/>
  <c r="I27" i="18"/>
  <c r="P27" i="18" s="1"/>
  <c r="I28" i="18"/>
  <c r="P28" i="18" s="1"/>
  <c r="I29" i="18"/>
  <c r="P29" i="18" s="1"/>
  <c r="I32" i="18"/>
  <c r="P32" i="18" s="1"/>
  <c r="Q19" i="18"/>
  <c r="Q20" i="18"/>
  <c r="Q21" i="18"/>
  <c r="Q27" i="18"/>
  <c r="Q28" i="18"/>
  <c r="Q29" i="18"/>
  <c r="Q32" i="18"/>
  <c r="R19" i="18"/>
  <c r="R20" i="18"/>
  <c r="R21" i="18"/>
  <c r="R27" i="18"/>
  <c r="R28" i="18"/>
  <c r="R29" i="18"/>
  <c r="R32" i="18"/>
  <c r="G31" i="18"/>
  <c r="G26" i="18"/>
  <c r="G30" i="18"/>
  <c r="G24" i="18"/>
  <c r="G23" i="18"/>
  <c r="G25" i="18"/>
  <c r="G33" i="18"/>
  <c r="I31" i="18"/>
  <c r="P31" i="18" s="1"/>
  <c r="I26" i="18"/>
  <c r="P26" i="18" s="1"/>
  <c r="I30" i="18"/>
  <c r="P30" i="18" s="1"/>
  <c r="I24" i="18"/>
  <c r="P24" i="18" s="1"/>
  <c r="I23" i="18"/>
  <c r="P23" i="18" s="1"/>
  <c r="I25" i="18"/>
  <c r="P25" i="18" s="1"/>
  <c r="I33" i="18"/>
  <c r="P33" i="18" s="1"/>
  <c r="Q31" i="18"/>
  <c r="Q26" i="18"/>
  <c r="Q30" i="18"/>
  <c r="Q24" i="18"/>
  <c r="Q23" i="18"/>
  <c r="Q25" i="18"/>
  <c r="Q33" i="18"/>
  <c r="R31" i="18"/>
  <c r="R26" i="18"/>
  <c r="R30" i="18"/>
  <c r="R24" i="18"/>
  <c r="R23" i="18"/>
  <c r="R25" i="18"/>
  <c r="R33" i="18"/>
  <c r="G36" i="18"/>
  <c r="G34" i="18"/>
  <c r="G77" i="18"/>
  <c r="G79" i="18"/>
  <c r="G80" i="18"/>
  <c r="G78" i="18"/>
  <c r="G84" i="18"/>
  <c r="I36" i="18"/>
  <c r="P36" i="18" s="1"/>
  <c r="I34" i="18"/>
  <c r="P34" i="18" s="1"/>
  <c r="I77" i="18"/>
  <c r="P77" i="18" s="1"/>
  <c r="I79" i="18"/>
  <c r="P79" i="18" s="1"/>
  <c r="I80" i="18"/>
  <c r="P80" i="18" s="1"/>
  <c r="I78" i="18"/>
  <c r="P78" i="18" s="1"/>
  <c r="I84" i="18"/>
  <c r="P84" i="18" s="1"/>
  <c r="Q36" i="18"/>
  <c r="Q34" i="18"/>
  <c r="Q77" i="18"/>
  <c r="Q79" i="18"/>
  <c r="Q80" i="18"/>
  <c r="Q78" i="18"/>
  <c r="Q84" i="18"/>
  <c r="R36" i="18"/>
  <c r="R34" i="18"/>
  <c r="R77" i="18"/>
  <c r="R79" i="18"/>
  <c r="R80" i="18"/>
  <c r="R78" i="18"/>
  <c r="R84" i="18"/>
  <c r="G82" i="18"/>
  <c r="G83" i="18"/>
  <c r="G85" i="18"/>
  <c r="G87" i="18"/>
  <c r="G88" i="18"/>
  <c r="G89" i="18"/>
  <c r="G90" i="18"/>
  <c r="I82" i="18"/>
  <c r="P82" i="18" s="1"/>
  <c r="I83" i="18"/>
  <c r="P83" i="18" s="1"/>
  <c r="I85" i="18"/>
  <c r="P85" i="18" s="1"/>
  <c r="I87" i="18"/>
  <c r="P87" i="18" s="1"/>
  <c r="I88" i="18"/>
  <c r="P88" i="18" s="1"/>
  <c r="I89" i="18"/>
  <c r="P89" i="18" s="1"/>
  <c r="I90" i="18"/>
  <c r="P90" i="18" s="1"/>
  <c r="Q82" i="18"/>
  <c r="Q83" i="18"/>
  <c r="Q85" i="18"/>
  <c r="Q87" i="18"/>
  <c r="Q88" i="18"/>
  <c r="Q89" i="18"/>
  <c r="Q90" i="18"/>
  <c r="R82" i="18"/>
  <c r="R83" i="18"/>
  <c r="R85" i="18"/>
  <c r="R87" i="18"/>
  <c r="R88" i="18"/>
  <c r="R89" i="18"/>
  <c r="R90" i="18"/>
  <c r="G92" i="18"/>
  <c r="G91" i="18"/>
  <c r="G93" i="18"/>
  <c r="G96" i="18"/>
  <c r="G94" i="18"/>
  <c r="G95" i="18"/>
  <c r="G101" i="18"/>
  <c r="I92" i="18"/>
  <c r="P92" i="18" s="1"/>
  <c r="I91" i="18"/>
  <c r="P91" i="18" s="1"/>
  <c r="P93" i="18"/>
  <c r="I96" i="18"/>
  <c r="P96" i="18" s="1"/>
  <c r="P94" i="18"/>
  <c r="I95" i="18"/>
  <c r="P95" i="18" s="1"/>
  <c r="I101" i="18"/>
  <c r="P101" i="18" s="1"/>
  <c r="Q92" i="18"/>
  <c r="Q91" i="18"/>
  <c r="Q93" i="18"/>
  <c r="Q96" i="18"/>
  <c r="Q94" i="18"/>
  <c r="Q95" i="18"/>
  <c r="Q101" i="18"/>
  <c r="R92" i="18"/>
  <c r="R91" i="18"/>
  <c r="R93" i="18"/>
  <c r="R96" i="18"/>
  <c r="R94" i="18"/>
  <c r="R95" i="18"/>
  <c r="R101" i="18"/>
  <c r="O83" i="15"/>
  <c r="O13" i="15"/>
  <c r="O12" i="15"/>
  <c r="G102" i="15" l="1"/>
  <c r="I102" i="15"/>
  <c r="P102" i="15" s="1"/>
  <c r="Q102" i="15"/>
  <c r="R102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H151" i="15"/>
  <c r="H167" i="15"/>
  <c r="H168" i="15"/>
  <c r="H169" i="15"/>
  <c r="H170" i="15"/>
  <c r="H171" i="15"/>
  <c r="H172" i="15"/>
  <c r="J151" i="15"/>
  <c r="J167" i="15"/>
  <c r="J168" i="15"/>
  <c r="J169" i="15"/>
  <c r="J170" i="15"/>
  <c r="J171" i="15"/>
  <c r="J172" i="15"/>
  <c r="K151" i="15"/>
  <c r="K167" i="15"/>
  <c r="K168" i="15"/>
  <c r="K169" i="15"/>
  <c r="K170" i="15"/>
  <c r="K171" i="15"/>
  <c r="K172" i="15"/>
  <c r="H173" i="15"/>
  <c r="H174" i="15"/>
  <c r="H175" i="15"/>
  <c r="H176" i="15"/>
  <c r="H177" i="15"/>
  <c r="H178" i="15"/>
  <c r="H179" i="15"/>
  <c r="J173" i="15"/>
  <c r="J174" i="15"/>
  <c r="J175" i="15"/>
  <c r="J176" i="15"/>
  <c r="J177" i="15"/>
  <c r="J178" i="15"/>
  <c r="J179" i="15"/>
  <c r="K173" i="15"/>
  <c r="K174" i="15"/>
  <c r="K175" i="15"/>
  <c r="K176" i="15"/>
  <c r="K177" i="15"/>
  <c r="K178" i="15"/>
  <c r="K179" i="15"/>
  <c r="H180" i="15"/>
  <c r="H181" i="15"/>
  <c r="H182" i="15"/>
  <c r="H183" i="15"/>
  <c r="H184" i="15"/>
  <c r="J180" i="15"/>
  <c r="J181" i="15"/>
  <c r="J182" i="15"/>
  <c r="J183" i="15"/>
  <c r="J184" i="15"/>
  <c r="K180" i="15"/>
  <c r="K181" i="15"/>
  <c r="K182" i="15"/>
  <c r="K183" i="15"/>
  <c r="K184" i="15"/>
  <c r="G10" i="15" l="1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7" i="15"/>
  <c r="G49" i="15"/>
  <c r="G50" i="15"/>
  <c r="I10" i="15"/>
  <c r="P10" i="15" s="1"/>
  <c r="I11" i="15"/>
  <c r="P11" i="15" s="1"/>
  <c r="I12" i="15"/>
  <c r="P12" i="15" s="1"/>
  <c r="I13" i="15"/>
  <c r="P13" i="15" s="1"/>
  <c r="I14" i="15"/>
  <c r="P14" i="15" s="1"/>
  <c r="I15" i="15"/>
  <c r="P15" i="15" s="1"/>
  <c r="I16" i="15"/>
  <c r="P16" i="15" s="1"/>
  <c r="I17" i="15"/>
  <c r="P17" i="15" s="1"/>
  <c r="I18" i="15"/>
  <c r="P18" i="15" s="1"/>
  <c r="I19" i="15"/>
  <c r="P19" i="15" s="1"/>
  <c r="I20" i="15"/>
  <c r="P20" i="15" s="1"/>
  <c r="I21" i="15"/>
  <c r="P21" i="15" s="1"/>
  <c r="I22" i="15"/>
  <c r="P22" i="15" s="1"/>
  <c r="I23" i="15"/>
  <c r="P23" i="15" s="1"/>
  <c r="I24" i="15"/>
  <c r="P24" i="15" s="1"/>
  <c r="I26" i="15"/>
  <c r="P26" i="15" s="1"/>
  <c r="I27" i="15"/>
  <c r="P27" i="15" s="1"/>
  <c r="I28" i="15"/>
  <c r="P28" i="15" s="1"/>
  <c r="I29" i="15"/>
  <c r="P29" i="15" s="1"/>
  <c r="I30" i="15"/>
  <c r="P30" i="15" s="1"/>
  <c r="I31" i="15"/>
  <c r="P31" i="15" s="1"/>
  <c r="I32" i="15"/>
  <c r="P32" i="15" s="1"/>
  <c r="I33" i="15"/>
  <c r="P33" i="15" s="1"/>
  <c r="I34" i="15"/>
  <c r="P34" i="15" s="1"/>
  <c r="I36" i="15"/>
  <c r="P36" i="15" s="1"/>
  <c r="I37" i="15"/>
  <c r="P37" i="15" s="1"/>
  <c r="I38" i="15"/>
  <c r="P38" i="15" s="1"/>
  <c r="I40" i="15"/>
  <c r="P40" i="15" s="1"/>
  <c r="I41" i="15"/>
  <c r="P41" i="15" s="1"/>
  <c r="I42" i="15"/>
  <c r="P42" i="15" s="1"/>
  <c r="I43" i="15"/>
  <c r="P43" i="15" s="1"/>
  <c r="I44" i="15"/>
  <c r="P44" i="15" s="1"/>
  <c r="I45" i="15"/>
  <c r="P45" i="15" s="1"/>
  <c r="I47" i="15"/>
  <c r="P47" i="15" s="1"/>
  <c r="I48" i="15"/>
  <c r="P48" i="15" s="1"/>
  <c r="I49" i="15"/>
  <c r="P49" i="15" s="1"/>
  <c r="I50" i="15"/>
  <c r="P50" i="15" s="1"/>
  <c r="P25" i="15"/>
  <c r="P35" i="15"/>
  <c r="P3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7" i="15"/>
  <c r="Q48" i="15"/>
  <c r="Q49" i="15"/>
  <c r="Q50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7" i="15"/>
  <c r="R48" i="15"/>
  <c r="R49" i="15"/>
  <c r="R50" i="15"/>
  <c r="G51" i="15"/>
  <c r="G52" i="15"/>
  <c r="G53" i="15"/>
  <c r="G54" i="15"/>
  <c r="G55" i="15"/>
  <c r="G56" i="15"/>
  <c r="G57" i="15"/>
  <c r="G58" i="15"/>
  <c r="G59" i="15"/>
  <c r="G60" i="15"/>
  <c r="G61" i="15"/>
  <c r="G63" i="15"/>
  <c r="G64" i="15"/>
  <c r="G65" i="15"/>
  <c r="G66" i="15"/>
  <c r="G67" i="15"/>
  <c r="G68" i="15"/>
  <c r="G69" i="15"/>
  <c r="G70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8" i="15"/>
  <c r="G89" i="15"/>
  <c r="G90" i="15"/>
  <c r="G92" i="15"/>
  <c r="G93" i="15"/>
  <c r="G94" i="15"/>
  <c r="I52" i="15"/>
  <c r="I53" i="15"/>
  <c r="I54" i="15"/>
  <c r="I55" i="15"/>
  <c r="P55" i="15" s="1"/>
  <c r="I56" i="15"/>
  <c r="P56" i="15" s="1"/>
  <c r="I57" i="15"/>
  <c r="P57" i="15" s="1"/>
  <c r="I58" i="15"/>
  <c r="P58" i="15" s="1"/>
  <c r="I59" i="15"/>
  <c r="I60" i="15"/>
  <c r="P60" i="15" s="1"/>
  <c r="I61" i="15"/>
  <c r="P61" i="15" s="1"/>
  <c r="I63" i="15"/>
  <c r="P63" i="15" s="1"/>
  <c r="I64" i="15"/>
  <c r="I65" i="15"/>
  <c r="P65" i="15" s="1"/>
  <c r="I66" i="15"/>
  <c r="P66" i="15" s="1"/>
  <c r="I67" i="15"/>
  <c r="P67" i="15" s="1"/>
  <c r="I68" i="15"/>
  <c r="P68" i="15" s="1"/>
  <c r="I69" i="15"/>
  <c r="P69" i="15" s="1"/>
  <c r="I70" i="15"/>
  <c r="P70" i="15" s="1"/>
  <c r="I72" i="15"/>
  <c r="P72" i="15" s="1"/>
  <c r="I73" i="15"/>
  <c r="P73" i="15" s="1"/>
  <c r="I74" i="15"/>
  <c r="P74" i="15" s="1"/>
  <c r="I75" i="15"/>
  <c r="P75" i="15" s="1"/>
  <c r="I76" i="15"/>
  <c r="P76" i="15" s="1"/>
  <c r="I77" i="15"/>
  <c r="P77" i="15" s="1"/>
  <c r="I78" i="15"/>
  <c r="P78" i="15" s="1"/>
  <c r="I79" i="15"/>
  <c r="P79" i="15" s="1"/>
  <c r="I80" i="15"/>
  <c r="P80" i="15" s="1"/>
  <c r="I81" i="15"/>
  <c r="P81" i="15" s="1"/>
  <c r="I82" i="15"/>
  <c r="P82" i="15" s="1"/>
  <c r="I83" i="15"/>
  <c r="P83" i="15" s="1"/>
  <c r="I84" i="15"/>
  <c r="P84" i="15" s="1"/>
  <c r="I85" i="15"/>
  <c r="P85" i="15" s="1"/>
  <c r="I86" i="15"/>
  <c r="P86" i="15" s="1"/>
  <c r="I88" i="15"/>
  <c r="P88" i="15" s="1"/>
  <c r="I89" i="15"/>
  <c r="P89" i="15" s="1"/>
  <c r="I90" i="15"/>
  <c r="P90" i="15" s="1"/>
  <c r="I92" i="15"/>
  <c r="P92" i="15" s="1"/>
  <c r="I93" i="15"/>
  <c r="P93" i="15" s="1"/>
  <c r="I94" i="15"/>
  <c r="P94" i="15" s="1"/>
  <c r="P51" i="15"/>
  <c r="P52" i="15"/>
  <c r="P53" i="15"/>
  <c r="P54" i="15"/>
  <c r="P59" i="15"/>
  <c r="P64" i="15"/>
  <c r="Q51" i="15"/>
  <c r="Q52" i="15"/>
  <c r="Q53" i="15"/>
  <c r="Q54" i="15"/>
  <c r="Q55" i="15"/>
  <c r="Q56" i="15"/>
  <c r="Q57" i="15"/>
  <c r="Q58" i="15"/>
  <c r="Q59" i="15"/>
  <c r="Q60" i="15"/>
  <c r="Q61" i="15"/>
  <c r="Q63" i="15"/>
  <c r="Q64" i="15"/>
  <c r="Q65" i="15"/>
  <c r="Q66" i="15"/>
  <c r="Q67" i="15"/>
  <c r="Q68" i="15"/>
  <c r="Q69" i="15"/>
  <c r="Q70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8" i="15"/>
  <c r="Q89" i="15"/>
  <c r="Q90" i="15"/>
  <c r="Q92" i="15"/>
  <c r="Q93" i="15"/>
  <c r="Q94" i="15"/>
  <c r="R51" i="15"/>
  <c r="R52" i="15"/>
  <c r="R53" i="15"/>
  <c r="R54" i="15"/>
  <c r="R55" i="15"/>
  <c r="R56" i="15"/>
  <c r="R57" i="15"/>
  <c r="R58" i="15"/>
  <c r="R59" i="15"/>
  <c r="R60" i="15"/>
  <c r="R61" i="15"/>
  <c r="R63" i="15"/>
  <c r="R64" i="15"/>
  <c r="R65" i="15"/>
  <c r="R66" i="15"/>
  <c r="R67" i="15"/>
  <c r="R68" i="15"/>
  <c r="R69" i="15"/>
  <c r="R70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8" i="15"/>
  <c r="R89" i="15"/>
  <c r="R90" i="15"/>
  <c r="R92" i="15"/>
  <c r="R93" i="15"/>
  <c r="R94" i="15"/>
  <c r="G95" i="15"/>
  <c r="G96" i="15"/>
  <c r="G97" i="15"/>
  <c r="G98" i="15"/>
  <c r="G99" i="15"/>
  <c r="G104" i="15"/>
  <c r="G105" i="15"/>
  <c r="G106" i="15"/>
  <c r="G107" i="15"/>
  <c r="G108" i="15"/>
  <c r="G109" i="15"/>
  <c r="G110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00" i="15"/>
  <c r="G71" i="15"/>
  <c r="G101" i="15"/>
  <c r="G46" i="15"/>
  <c r="G62" i="15"/>
  <c r="G87" i="15"/>
  <c r="G91" i="15"/>
  <c r="G111" i="15"/>
  <c r="G103" i="15"/>
  <c r="G129" i="15"/>
  <c r="G130" i="15"/>
  <c r="I95" i="15"/>
  <c r="P95" i="15" s="1"/>
  <c r="I96" i="15"/>
  <c r="P96" i="15" s="1"/>
  <c r="I97" i="15"/>
  <c r="P97" i="15" s="1"/>
  <c r="I98" i="15"/>
  <c r="I99" i="15"/>
  <c r="P99" i="15" s="1"/>
  <c r="I104" i="15"/>
  <c r="P104" i="15" s="1"/>
  <c r="I105" i="15"/>
  <c r="P105" i="15" s="1"/>
  <c r="I106" i="15"/>
  <c r="P106" i="15" s="1"/>
  <c r="I107" i="15"/>
  <c r="P107" i="15" s="1"/>
  <c r="I108" i="15"/>
  <c r="P108" i="15" s="1"/>
  <c r="I109" i="15"/>
  <c r="P109" i="15" s="1"/>
  <c r="I110" i="15"/>
  <c r="P110" i="15" s="1"/>
  <c r="I112" i="15"/>
  <c r="P112" i="15" s="1"/>
  <c r="I113" i="15"/>
  <c r="P113" i="15" s="1"/>
  <c r="I114" i="15"/>
  <c r="P114" i="15" s="1"/>
  <c r="I115" i="15"/>
  <c r="P115" i="15" s="1"/>
  <c r="I116" i="15"/>
  <c r="P116" i="15" s="1"/>
  <c r="I117" i="15"/>
  <c r="P117" i="15" s="1"/>
  <c r="I118" i="15"/>
  <c r="P118" i="15" s="1"/>
  <c r="I119" i="15"/>
  <c r="P119" i="15" s="1"/>
  <c r="I120" i="15"/>
  <c r="P120" i="15" s="1"/>
  <c r="I121" i="15"/>
  <c r="P121" i="15" s="1"/>
  <c r="I122" i="15"/>
  <c r="P122" i="15" s="1"/>
  <c r="P123" i="15"/>
  <c r="I124" i="15"/>
  <c r="P124" i="15" s="1"/>
  <c r="I125" i="15"/>
  <c r="P125" i="15" s="1"/>
  <c r="I126" i="15"/>
  <c r="P126" i="15" s="1"/>
  <c r="I127" i="15"/>
  <c r="P127" i="15" s="1"/>
  <c r="I128" i="15"/>
  <c r="P128" i="15" s="1"/>
  <c r="I100" i="15"/>
  <c r="P100" i="15" s="1"/>
  <c r="I71" i="15"/>
  <c r="P71" i="15" s="1"/>
  <c r="I101" i="15"/>
  <c r="P101" i="15" s="1"/>
  <c r="I62" i="15"/>
  <c r="P62" i="15" s="1"/>
  <c r="I87" i="15"/>
  <c r="P87" i="15" s="1"/>
  <c r="I91" i="15"/>
  <c r="P91" i="15" s="1"/>
  <c r="I111" i="15"/>
  <c r="P111" i="15" s="1"/>
  <c r="I103" i="15"/>
  <c r="P103" i="15" s="1"/>
  <c r="I129" i="15"/>
  <c r="P129" i="15" s="1"/>
  <c r="I130" i="15"/>
  <c r="P130" i="15" s="1"/>
  <c r="P98" i="15"/>
  <c r="P46" i="15"/>
  <c r="Q95" i="15"/>
  <c r="Q96" i="15"/>
  <c r="Q97" i="15"/>
  <c r="Q98" i="15"/>
  <c r="Q99" i="15"/>
  <c r="Q104" i="15"/>
  <c r="Q105" i="15"/>
  <c r="Q106" i="15"/>
  <c r="Q107" i="15"/>
  <c r="Q108" i="15"/>
  <c r="Q109" i="15"/>
  <c r="Q110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00" i="15"/>
  <c r="Q71" i="15"/>
  <c r="Q101" i="15"/>
  <c r="Q46" i="15"/>
  <c r="Q62" i="15"/>
  <c r="Q87" i="15"/>
  <c r="Q91" i="15"/>
  <c r="Q111" i="15"/>
  <c r="Q103" i="15"/>
  <c r="Q129" i="15"/>
  <c r="Q130" i="15"/>
  <c r="R95" i="15"/>
  <c r="R96" i="15"/>
  <c r="R97" i="15"/>
  <c r="R98" i="15"/>
  <c r="R99" i="15"/>
  <c r="R104" i="15"/>
  <c r="R105" i="15"/>
  <c r="R106" i="15"/>
  <c r="R107" i="15"/>
  <c r="R108" i="15"/>
  <c r="R109" i="15"/>
  <c r="R110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00" i="15"/>
  <c r="R71" i="15"/>
  <c r="R101" i="15"/>
  <c r="R46" i="15"/>
  <c r="R62" i="15"/>
  <c r="R87" i="15"/>
  <c r="R91" i="15"/>
  <c r="R111" i="15"/>
  <c r="R103" i="15"/>
  <c r="R129" i="15"/>
  <c r="R130" i="15"/>
  <c r="G131" i="15"/>
  <c r="G132" i="15"/>
  <c r="G133" i="15"/>
  <c r="I131" i="15"/>
  <c r="P131" i="15" s="1"/>
  <c r="I132" i="15"/>
  <c r="P132" i="15" s="1"/>
  <c r="I133" i="15"/>
  <c r="P133" i="15" s="1"/>
  <c r="Q131" i="15"/>
  <c r="Q132" i="15"/>
  <c r="Q133" i="15"/>
  <c r="R131" i="15"/>
  <c r="R132" i="15"/>
  <c r="R133" i="15"/>
  <c r="G9" i="15"/>
  <c r="P9" i="15"/>
  <c r="Q9" i="15"/>
  <c r="R9" i="15"/>
  <c r="H111" i="13" l="1"/>
  <c r="H112" i="13"/>
  <c r="H113" i="13"/>
  <c r="G174" i="13" l="1"/>
  <c r="G175" i="13"/>
  <c r="G176" i="13"/>
  <c r="G177" i="13"/>
  <c r="I174" i="13"/>
  <c r="L174" i="13" s="1"/>
  <c r="I175" i="13"/>
  <c r="L175" i="13" s="1"/>
  <c r="I176" i="13"/>
  <c r="L176" i="13" s="1"/>
  <c r="I177" i="13"/>
  <c r="L177" i="13" s="1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H123" i="13"/>
  <c r="H124" i="13"/>
  <c r="H125" i="13"/>
  <c r="H126" i="13"/>
  <c r="H127" i="13"/>
  <c r="J123" i="13"/>
  <c r="J124" i="13"/>
  <c r="J125" i="13"/>
  <c r="J126" i="13"/>
  <c r="J127" i="13"/>
  <c r="K123" i="13"/>
  <c r="K124" i="13"/>
  <c r="K125" i="13"/>
  <c r="K126" i="13"/>
  <c r="K127" i="13"/>
  <c r="H120" i="13"/>
  <c r="H121" i="13"/>
  <c r="H122" i="13"/>
  <c r="J120" i="13"/>
  <c r="J121" i="13"/>
  <c r="J122" i="13"/>
  <c r="K120" i="13"/>
  <c r="K121" i="13"/>
  <c r="K122" i="13"/>
  <c r="G21" i="13" l="1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I21" i="13"/>
  <c r="P21" i="13" s="1"/>
  <c r="I22" i="13"/>
  <c r="P22" i="13" s="1"/>
  <c r="I23" i="13"/>
  <c r="P23" i="13" s="1"/>
  <c r="I24" i="13"/>
  <c r="P24" i="13" s="1"/>
  <c r="I25" i="13"/>
  <c r="I26" i="13"/>
  <c r="I27" i="13"/>
  <c r="I28" i="13"/>
  <c r="P28" i="13" s="1"/>
  <c r="I29" i="13"/>
  <c r="P29" i="13" s="1"/>
  <c r="I30" i="13"/>
  <c r="P30" i="13" s="1"/>
  <c r="I31" i="13"/>
  <c r="P31" i="13" s="1"/>
  <c r="I32" i="13"/>
  <c r="P32" i="13" s="1"/>
  <c r="I33" i="13"/>
  <c r="P33" i="13" s="1"/>
  <c r="I34" i="13"/>
  <c r="P34" i="13" s="1"/>
  <c r="I35" i="13"/>
  <c r="P35" i="13" s="1"/>
  <c r="I36" i="13"/>
  <c r="P36" i="13" s="1"/>
  <c r="I37" i="13"/>
  <c r="P37" i="13" s="1"/>
  <c r="I38" i="13"/>
  <c r="P38" i="13" s="1"/>
  <c r="I39" i="13"/>
  <c r="P39" i="13" s="1"/>
  <c r="I40" i="13"/>
  <c r="P40" i="13" s="1"/>
  <c r="P25" i="13"/>
  <c r="P26" i="13"/>
  <c r="P27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G41" i="13"/>
  <c r="G42" i="13"/>
  <c r="G43" i="13"/>
  <c r="G44" i="13"/>
  <c r="G45" i="13"/>
  <c r="G46" i="13"/>
  <c r="G47" i="13"/>
  <c r="G48" i="13"/>
  <c r="G49" i="13"/>
  <c r="G51" i="13"/>
  <c r="G52" i="13"/>
  <c r="G53" i="13"/>
  <c r="G54" i="13"/>
  <c r="G55" i="13"/>
  <c r="G56" i="13"/>
  <c r="G57" i="13"/>
  <c r="G58" i="13"/>
  <c r="G59" i="13"/>
  <c r="G60" i="13"/>
  <c r="G61" i="13"/>
  <c r="I41" i="13"/>
  <c r="P41" i="13" s="1"/>
  <c r="I42" i="13"/>
  <c r="P42" i="13" s="1"/>
  <c r="I43" i="13"/>
  <c r="P43" i="13" s="1"/>
  <c r="I45" i="13"/>
  <c r="P45" i="13" s="1"/>
  <c r="I46" i="13"/>
  <c r="I47" i="13"/>
  <c r="P47" i="13" s="1"/>
  <c r="I48" i="13"/>
  <c r="P48" i="13" s="1"/>
  <c r="I49" i="13"/>
  <c r="P49" i="13" s="1"/>
  <c r="I51" i="13"/>
  <c r="P51" i="13" s="1"/>
  <c r="I52" i="13"/>
  <c r="P52" i="13" s="1"/>
  <c r="I53" i="13"/>
  <c r="P53" i="13" s="1"/>
  <c r="I54" i="13"/>
  <c r="P54" i="13" s="1"/>
  <c r="I55" i="13"/>
  <c r="P55" i="13" s="1"/>
  <c r="I56" i="13"/>
  <c r="P56" i="13" s="1"/>
  <c r="I57" i="13"/>
  <c r="P57" i="13" s="1"/>
  <c r="I58" i="13"/>
  <c r="P58" i="13" s="1"/>
  <c r="I59" i="13"/>
  <c r="P59" i="13" s="1"/>
  <c r="I60" i="13"/>
  <c r="P60" i="13" s="1"/>
  <c r="I61" i="13"/>
  <c r="P61" i="13" s="1"/>
  <c r="P44" i="13"/>
  <c r="P46" i="13"/>
  <c r="Q41" i="13"/>
  <c r="Q42" i="13"/>
  <c r="Q43" i="13"/>
  <c r="Q44" i="13"/>
  <c r="Q45" i="13"/>
  <c r="Q46" i="13"/>
  <c r="Q47" i="13"/>
  <c r="Q48" i="13"/>
  <c r="Q49" i="13"/>
  <c r="Q51" i="13"/>
  <c r="Q52" i="13"/>
  <c r="Q53" i="13"/>
  <c r="Q54" i="13"/>
  <c r="Q55" i="13"/>
  <c r="Q56" i="13"/>
  <c r="Q57" i="13"/>
  <c r="Q58" i="13"/>
  <c r="Q59" i="13"/>
  <c r="Q60" i="13"/>
  <c r="Q61" i="13"/>
  <c r="R41" i="13"/>
  <c r="R42" i="13"/>
  <c r="R43" i="13"/>
  <c r="R44" i="13"/>
  <c r="R45" i="13"/>
  <c r="R46" i="13"/>
  <c r="R47" i="13"/>
  <c r="R48" i="13"/>
  <c r="R49" i="13"/>
  <c r="R51" i="13"/>
  <c r="R52" i="13"/>
  <c r="R53" i="13"/>
  <c r="R54" i="13"/>
  <c r="R55" i="13"/>
  <c r="R56" i="13"/>
  <c r="R57" i="13"/>
  <c r="R58" i="13"/>
  <c r="R59" i="13"/>
  <c r="R60" i="13"/>
  <c r="R61" i="13"/>
  <c r="G62" i="13"/>
  <c r="G64" i="13"/>
  <c r="G65" i="13"/>
  <c r="G66" i="13"/>
  <c r="G67" i="13"/>
  <c r="G68" i="13"/>
  <c r="G69" i="13"/>
  <c r="G70" i="13"/>
  <c r="G71" i="13"/>
  <c r="G72" i="13"/>
  <c r="G74" i="13"/>
  <c r="G75" i="13"/>
  <c r="G76" i="13"/>
  <c r="G77" i="13"/>
  <c r="G78" i="13"/>
  <c r="G79" i="13"/>
  <c r="G80" i="13"/>
  <c r="G81" i="13"/>
  <c r="G82" i="13"/>
  <c r="G84" i="13"/>
  <c r="I62" i="13"/>
  <c r="I64" i="13"/>
  <c r="I65" i="13"/>
  <c r="I66" i="13"/>
  <c r="P66" i="13" s="1"/>
  <c r="I67" i="13"/>
  <c r="P67" i="13" s="1"/>
  <c r="I68" i="13"/>
  <c r="P68" i="13" s="1"/>
  <c r="I69" i="13"/>
  <c r="P69" i="13" s="1"/>
  <c r="I70" i="13"/>
  <c r="P70" i="13" s="1"/>
  <c r="I71" i="13"/>
  <c r="P71" i="13" s="1"/>
  <c r="I72" i="13"/>
  <c r="P72" i="13" s="1"/>
  <c r="I74" i="13"/>
  <c r="P74" i="13" s="1"/>
  <c r="I75" i="13"/>
  <c r="P75" i="13" s="1"/>
  <c r="I76" i="13"/>
  <c r="P76" i="13" s="1"/>
  <c r="I77" i="13"/>
  <c r="P77" i="13" s="1"/>
  <c r="I78" i="13"/>
  <c r="P78" i="13" s="1"/>
  <c r="I79" i="13"/>
  <c r="P79" i="13" s="1"/>
  <c r="I80" i="13"/>
  <c r="P80" i="13" s="1"/>
  <c r="I81" i="13"/>
  <c r="P81" i="13" s="1"/>
  <c r="I82" i="13"/>
  <c r="P82" i="13" s="1"/>
  <c r="I84" i="13"/>
  <c r="P84" i="13" s="1"/>
  <c r="P62" i="13"/>
  <c r="P64" i="13"/>
  <c r="P65" i="13"/>
  <c r="Q62" i="13"/>
  <c r="Q64" i="13"/>
  <c r="Q65" i="13"/>
  <c r="Q66" i="13"/>
  <c r="Q67" i="13"/>
  <c r="Q68" i="13"/>
  <c r="Q69" i="13"/>
  <c r="Q70" i="13"/>
  <c r="Q71" i="13"/>
  <c r="Q72" i="13"/>
  <c r="Q74" i="13"/>
  <c r="Q75" i="13"/>
  <c r="Q76" i="13"/>
  <c r="Q77" i="13"/>
  <c r="Q78" i="13"/>
  <c r="Q79" i="13"/>
  <c r="Q80" i="13"/>
  <c r="Q81" i="13"/>
  <c r="Q82" i="13"/>
  <c r="Q84" i="13"/>
  <c r="R62" i="13"/>
  <c r="R64" i="13"/>
  <c r="R65" i="13"/>
  <c r="R66" i="13"/>
  <c r="R67" i="13"/>
  <c r="R68" i="13"/>
  <c r="R69" i="13"/>
  <c r="R70" i="13"/>
  <c r="R71" i="13"/>
  <c r="R72" i="13"/>
  <c r="R74" i="13"/>
  <c r="R75" i="13"/>
  <c r="R76" i="13"/>
  <c r="R77" i="13"/>
  <c r="R78" i="13"/>
  <c r="R79" i="13"/>
  <c r="R80" i="13"/>
  <c r="R81" i="13"/>
  <c r="R82" i="13"/>
  <c r="R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9" i="13"/>
  <c r="G100" i="13"/>
  <c r="G101" i="13"/>
  <c r="G102" i="13"/>
  <c r="G98" i="13"/>
  <c r="G63" i="13"/>
  <c r="G73" i="13"/>
  <c r="I85" i="13"/>
  <c r="P85" i="13" s="1"/>
  <c r="I86" i="13"/>
  <c r="I87" i="13"/>
  <c r="P87" i="13" s="1"/>
  <c r="I88" i="13"/>
  <c r="P88" i="13" s="1"/>
  <c r="I89" i="13"/>
  <c r="P89" i="13" s="1"/>
  <c r="I90" i="13"/>
  <c r="P90" i="13" s="1"/>
  <c r="I91" i="13"/>
  <c r="P91" i="13" s="1"/>
  <c r="I92" i="13"/>
  <c r="P92" i="13" s="1"/>
  <c r="I93" i="13"/>
  <c r="P93" i="13" s="1"/>
  <c r="I96" i="13"/>
  <c r="P96" i="13" s="1"/>
  <c r="I97" i="13"/>
  <c r="P97" i="13" s="1"/>
  <c r="I99" i="13"/>
  <c r="P99" i="13" s="1"/>
  <c r="I101" i="13"/>
  <c r="P101" i="13" s="1"/>
  <c r="I102" i="13"/>
  <c r="P102" i="13" s="1"/>
  <c r="I98" i="13"/>
  <c r="P98" i="13" s="1"/>
  <c r="I63" i="13"/>
  <c r="P63" i="13" s="1"/>
  <c r="I73" i="13"/>
  <c r="P73" i="13" s="1"/>
  <c r="P86" i="13"/>
  <c r="P94" i="13"/>
  <c r="P95" i="13"/>
  <c r="P100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9" i="13"/>
  <c r="Q100" i="13"/>
  <c r="Q101" i="13"/>
  <c r="Q102" i="13"/>
  <c r="Q98" i="13"/>
  <c r="Q63" i="13"/>
  <c r="Q73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9" i="13"/>
  <c r="R100" i="13"/>
  <c r="R101" i="13"/>
  <c r="R102" i="13"/>
  <c r="R98" i="13"/>
  <c r="R63" i="13"/>
  <c r="R73" i="13"/>
  <c r="G50" i="13"/>
  <c r="G83" i="13"/>
  <c r="G9" i="13"/>
  <c r="G103" i="13"/>
  <c r="I50" i="13"/>
  <c r="P50" i="13" s="1"/>
  <c r="I83" i="13"/>
  <c r="P83" i="13" s="1"/>
  <c r="I9" i="13"/>
  <c r="P9" i="13" s="1"/>
  <c r="I103" i="13"/>
  <c r="P103" i="13" s="1"/>
  <c r="Q50" i="13"/>
  <c r="Q83" i="13"/>
  <c r="Q9" i="13"/>
  <c r="Q103" i="13"/>
  <c r="R50" i="13"/>
  <c r="R83" i="13"/>
  <c r="R9" i="13"/>
  <c r="R103" i="13"/>
  <c r="G13" i="13"/>
  <c r="G14" i="13"/>
  <c r="G15" i="13"/>
  <c r="G16" i="13"/>
  <c r="G17" i="13"/>
  <c r="I13" i="13"/>
  <c r="P13" i="13" s="1"/>
  <c r="I14" i="13"/>
  <c r="P14" i="13" s="1"/>
  <c r="I15" i="13"/>
  <c r="P15" i="13" s="1"/>
  <c r="P16" i="13"/>
  <c r="I17" i="13"/>
  <c r="P17" i="13" s="1"/>
  <c r="Q13" i="13"/>
  <c r="Q14" i="13"/>
  <c r="Q15" i="13"/>
  <c r="Q16" i="13"/>
  <c r="Q17" i="13"/>
  <c r="R13" i="13"/>
  <c r="R14" i="13"/>
  <c r="R15" i="13"/>
  <c r="R16" i="13"/>
  <c r="R17" i="13"/>
  <c r="G18" i="13"/>
  <c r="G19" i="13"/>
  <c r="G20" i="13"/>
  <c r="P18" i="13"/>
  <c r="I19" i="13"/>
  <c r="P19" i="13" s="1"/>
  <c r="I20" i="13"/>
  <c r="P20" i="13" s="1"/>
  <c r="Q18" i="13"/>
  <c r="Q19" i="13"/>
  <c r="Q20" i="13"/>
  <c r="R18" i="13"/>
  <c r="R19" i="13"/>
  <c r="R20" i="13"/>
  <c r="K13" i="16" l="1"/>
  <c r="H135" i="16" l="1"/>
  <c r="J135" i="16"/>
  <c r="K135" i="16"/>
  <c r="H133" i="16"/>
  <c r="J133" i="16"/>
  <c r="K133" i="16"/>
  <c r="H143" i="16"/>
  <c r="H140" i="16"/>
  <c r="H147" i="16"/>
  <c r="J143" i="16"/>
  <c r="J140" i="16"/>
  <c r="J147" i="16"/>
  <c r="K143" i="16"/>
  <c r="K140" i="16"/>
  <c r="K147" i="16"/>
  <c r="H139" i="16"/>
  <c r="H132" i="16"/>
  <c r="J139" i="16"/>
  <c r="J132" i="16"/>
  <c r="K139" i="16"/>
  <c r="K132" i="16"/>
  <c r="H134" i="16"/>
  <c r="H148" i="16"/>
  <c r="J134" i="16"/>
  <c r="J148" i="16"/>
  <c r="K134" i="16"/>
  <c r="K148" i="16"/>
  <c r="G15" i="16" l="1"/>
  <c r="G14" i="16"/>
  <c r="G21" i="16"/>
  <c r="I15" i="16"/>
  <c r="P15" i="16" s="1"/>
  <c r="I14" i="16"/>
  <c r="P14" i="16" s="1"/>
  <c r="I21" i="16"/>
  <c r="P21" i="16" s="1"/>
  <c r="Q15" i="16"/>
  <c r="Q14" i="16"/>
  <c r="Q21" i="16"/>
  <c r="R15" i="16"/>
  <c r="R14" i="16"/>
  <c r="R21" i="16"/>
  <c r="G36" i="16"/>
  <c r="G43" i="16"/>
  <c r="I36" i="16"/>
  <c r="P36" i="16" s="1"/>
  <c r="I43" i="16"/>
  <c r="P43" i="16" s="1"/>
  <c r="Q36" i="16"/>
  <c r="Q43" i="16"/>
  <c r="R36" i="16"/>
  <c r="R43" i="16"/>
  <c r="G55" i="16"/>
  <c r="G60" i="16"/>
  <c r="I55" i="16"/>
  <c r="P55" i="16" s="1"/>
  <c r="I60" i="16"/>
  <c r="P60" i="16" s="1"/>
  <c r="Q55" i="16"/>
  <c r="Q60" i="16"/>
  <c r="R55" i="16"/>
  <c r="R60" i="16"/>
  <c r="G83" i="16"/>
  <c r="G84" i="16"/>
  <c r="G87" i="16"/>
  <c r="I83" i="16"/>
  <c r="P83" i="16" s="1"/>
  <c r="I84" i="16"/>
  <c r="P84" i="16" s="1"/>
  <c r="I87" i="16"/>
  <c r="P87" i="16" s="1"/>
  <c r="Q83" i="16"/>
  <c r="Q84" i="16"/>
  <c r="Q87" i="16"/>
  <c r="R83" i="16"/>
  <c r="R84" i="16"/>
  <c r="R87" i="16"/>
  <c r="G100" i="16"/>
  <c r="G101" i="16"/>
  <c r="P100" i="16"/>
  <c r="I101" i="16"/>
  <c r="P101" i="16" s="1"/>
  <c r="Q100" i="16"/>
  <c r="Q101" i="16"/>
  <c r="R100" i="16"/>
  <c r="R101" i="16"/>
  <c r="G16" i="16"/>
  <c r="I16" i="16"/>
  <c r="P16" i="16" s="1"/>
  <c r="Q16" i="16"/>
  <c r="R16" i="16"/>
  <c r="I226" i="16"/>
  <c r="I227" i="16"/>
  <c r="L227" i="16" s="1"/>
  <c r="I228" i="16"/>
  <c r="L228" i="16" s="1"/>
  <c r="I229" i="16"/>
  <c r="L229" i="16" s="1"/>
  <c r="I230" i="16"/>
  <c r="L230" i="16" s="1"/>
  <c r="I231" i="16"/>
  <c r="L231" i="16" s="1"/>
  <c r="I232" i="16"/>
  <c r="L232" i="16" s="1"/>
  <c r="I233" i="16"/>
  <c r="L233" i="16" s="1"/>
  <c r="I234" i="16"/>
  <c r="L234" i="16" s="1"/>
  <c r="I235" i="16"/>
  <c r="L235" i="16" s="1"/>
  <c r="I236" i="16"/>
  <c r="L236" i="16" s="1"/>
  <c r="I237" i="16"/>
  <c r="L237" i="16" s="1"/>
  <c r="I238" i="16"/>
  <c r="L238" i="16" s="1"/>
  <c r="I239" i="16"/>
  <c r="L239" i="16" s="1"/>
  <c r="I240" i="16"/>
  <c r="L240" i="16" s="1"/>
  <c r="I241" i="16"/>
  <c r="L241" i="16" s="1"/>
  <c r="I242" i="16"/>
  <c r="L242" i="16" s="1"/>
  <c r="I243" i="16"/>
  <c r="L243" i="16" s="1"/>
  <c r="I244" i="16"/>
  <c r="L244" i="16" s="1"/>
  <c r="I245" i="16"/>
  <c r="L245" i="16" s="1"/>
  <c r="I246" i="16"/>
  <c r="L246" i="16" s="1"/>
  <c r="I247" i="16"/>
  <c r="L247" i="16" s="1"/>
  <c r="I248" i="16"/>
  <c r="L248" i="16" s="1"/>
  <c r="I249" i="16"/>
  <c r="L249" i="16" s="1"/>
  <c r="I250" i="16"/>
  <c r="L250" i="16" s="1"/>
  <c r="I251" i="16"/>
  <c r="L251" i="16" s="1"/>
  <c r="I252" i="16"/>
  <c r="L252" i="16" s="1"/>
  <c r="I253" i="16"/>
  <c r="L253" i="16" s="1"/>
  <c r="I254" i="16"/>
  <c r="L254" i="16" s="1"/>
  <c r="I255" i="16"/>
  <c r="L255" i="16" s="1"/>
  <c r="I256" i="16"/>
  <c r="L256" i="16" s="1"/>
  <c r="I257" i="16"/>
  <c r="L257" i="16" s="1"/>
  <c r="I258" i="16"/>
  <c r="L258" i="16" s="1"/>
  <c r="I259" i="16"/>
  <c r="L259" i="16" s="1"/>
  <c r="I260" i="16"/>
  <c r="L260" i="16" s="1"/>
  <c r="I261" i="16"/>
  <c r="L261" i="16" s="1"/>
  <c r="I262" i="16"/>
  <c r="L262" i="16" s="1"/>
  <c r="I263" i="16"/>
  <c r="L263" i="16" s="1"/>
  <c r="I264" i="16"/>
  <c r="L264" i="16" s="1"/>
  <c r="I265" i="16"/>
  <c r="L265" i="16" s="1"/>
  <c r="I266" i="16"/>
  <c r="L266" i="16" s="1"/>
  <c r="I267" i="16"/>
  <c r="L267" i="16" s="1"/>
  <c r="I268" i="16"/>
  <c r="L268" i="16" s="1"/>
  <c r="I269" i="16"/>
  <c r="L269" i="16" s="1"/>
  <c r="I270" i="16"/>
  <c r="L270" i="16" s="1"/>
  <c r="I271" i="16"/>
  <c r="L271" i="16" s="1"/>
  <c r="I272" i="16"/>
  <c r="L272" i="16" s="1"/>
  <c r="I273" i="16"/>
  <c r="L273" i="16" s="1"/>
  <c r="I274" i="16"/>
  <c r="L274" i="16" s="1"/>
  <c r="I275" i="16"/>
  <c r="L275" i="16" s="1"/>
  <c r="I276" i="16"/>
  <c r="L276" i="16" s="1"/>
  <c r="I277" i="16"/>
  <c r="L277" i="16" s="1"/>
  <c r="I278" i="16"/>
  <c r="L278" i="16" s="1"/>
  <c r="I279" i="16"/>
  <c r="L279" i="16" s="1"/>
  <c r="I280" i="16"/>
  <c r="L280" i="16" s="1"/>
  <c r="I281" i="16"/>
  <c r="L281" i="16" s="1"/>
  <c r="I282" i="16"/>
  <c r="L282" i="16" s="1"/>
  <c r="I283" i="16"/>
  <c r="L283" i="16" s="1"/>
  <c r="I284" i="16"/>
  <c r="L284" i="16" s="1"/>
  <c r="I285" i="16"/>
  <c r="L285" i="16" s="1"/>
  <c r="I286" i="16"/>
  <c r="L286" i="16" s="1"/>
  <c r="I287" i="16"/>
  <c r="L287" i="16" s="1"/>
  <c r="I288" i="16"/>
  <c r="L288" i="16" s="1"/>
  <c r="I289" i="16"/>
  <c r="L289" i="16" s="1"/>
  <c r="I290" i="16"/>
  <c r="L290" i="16" s="1"/>
  <c r="I291" i="16"/>
  <c r="L291" i="16" s="1"/>
  <c r="I292" i="16"/>
  <c r="L292" i="16" s="1"/>
  <c r="I293" i="16"/>
  <c r="L293" i="16" s="1"/>
  <c r="I294" i="16"/>
  <c r="L294" i="16" s="1"/>
  <c r="I295" i="16"/>
  <c r="L295" i="16" s="1"/>
  <c r="I296" i="16"/>
  <c r="L296" i="16" s="1"/>
  <c r="I297" i="16"/>
  <c r="L297" i="16" s="1"/>
  <c r="I298" i="16"/>
  <c r="L298" i="16" s="1"/>
  <c r="I299" i="16"/>
  <c r="L299" i="16" s="1"/>
  <c r="I300" i="16"/>
  <c r="L300" i="16" s="1"/>
  <c r="I301" i="16"/>
  <c r="L301" i="16" s="1"/>
  <c r="I302" i="16"/>
  <c r="L302" i="16" s="1"/>
  <c r="I303" i="16"/>
  <c r="L303" i="16" s="1"/>
  <c r="I304" i="16"/>
  <c r="L304" i="16" s="1"/>
  <c r="I305" i="16"/>
  <c r="L305" i="16" s="1"/>
  <c r="I306" i="16"/>
  <c r="L306" i="16" s="1"/>
  <c r="I307" i="16"/>
  <c r="L307" i="16" s="1"/>
  <c r="I308" i="16"/>
  <c r="L308" i="16" s="1"/>
  <c r="I309" i="16"/>
  <c r="L309" i="16" s="1"/>
  <c r="I310" i="16"/>
  <c r="L310" i="16" s="1"/>
  <c r="I311" i="16"/>
  <c r="L311" i="16" s="1"/>
  <c r="I312" i="16"/>
  <c r="L312" i="16" s="1"/>
  <c r="I313" i="16"/>
  <c r="L313" i="16" s="1"/>
  <c r="I314" i="16"/>
  <c r="L314" i="16" s="1"/>
  <c r="I315" i="16"/>
  <c r="L315" i="16" s="1"/>
  <c r="I316" i="16"/>
  <c r="L316" i="16" s="1"/>
  <c r="I317" i="16"/>
  <c r="L317" i="16" s="1"/>
  <c r="I318" i="16"/>
  <c r="L318" i="16" s="1"/>
  <c r="I319" i="16"/>
  <c r="L319" i="16" s="1"/>
  <c r="I320" i="16"/>
  <c r="L320" i="16" s="1"/>
  <c r="I321" i="16"/>
  <c r="L321" i="16" s="1"/>
  <c r="I322" i="16"/>
  <c r="L322" i="16" s="1"/>
  <c r="I323" i="16"/>
  <c r="L323" i="16" s="1"/>
  <c r="I324" i="16"/>
  <c r="L324" i="16" s="1"/>
  <c r="I325" i="16"/>
  <c r="L325" i="16" s="1"/>
  <c r="I326" i="16"/>
  <c r="L326" i="16" s="1"/>
  <c r="I327" i="16"/>
  <c r="L327" i="16" s="1"/>
  <c r="I328" i="16"/>
  <c r="L328" i="16" s="1"/>
  <c r="I329" i="16"/>
  <c r="L329" i="16" s="1"/>
  <c r="I330" i="16"/>
  <c r="L330" i="16" s="1"/>
  <c r="I331" i="16"/>
  <c r="L331" i="16" s="1"/>
  <c r="I332" i="16"/>
  <c r="L332" i="16" s="1"/>
  <c r="I333" i="16"/>
  <c r="L333" i="16" s="1"/>
  <c r="I334" i="16"/>
  <c r="L334" i="16" s="1"/>
  <c r="I335" i="16"/>
  <c r="L335" i="16" s="1"/>
  <c r="I336" i="16"/>
  <c r="L336" i="16" s="1"/>
  <c r="I337" i="16"/>
  <c r="L337" i="16" s="1"/>
  <c r="I338" i="16"/>
  <c r="L338" i="16" s="1"/>
  <c r="I339" i="16"/>
  <c r="L339" i="16" s="1"/>
  <c r="I340" i="16"/>
  <c r="L340" i="16" s="1"/>
  <c r="I341" i="16"/>
  <c r="L341" i="16" s="1"/>
  <c r="I342" i="16"/>
  <c r="L342" i="16" s="1"/>
  <c r="I343" i="16"/>
  <c r="L343" i="16" s="1"/>
  <c r="I344" i="16"/>
  <c r="L344" i="16" s="1"/>
  <c r="I345" i="16"/>
  <c r="L345" i="16" s="1"/>
  <c r="I346" i="16"/>
  <c r="L346" i="16" s="1"/>
  <c r="I347" i="16"/>
  <c r="L347" i="16" s="1"/>
  <c r="I348" i="16"/>
  <c r="I349" i="16"/>
  <c r="I350" i="16"/>
  <c r="I351" i="16"/>
  <c r="I352" i="16"/>
  <c r="I353" i="16"/>
  <c r="L353" i="16" s="1"/>
  <c r="I354" i="16"/>
  <c r="L354" i="16" s="1"/>
  <c r="I355" i="16"/>
  <c r="I356" i="16"/>
  <c r="L356" i="16" s="1"/>
  <c r="I357" i="16"/>
  <c r="L357" i="16" s="1"/>
  <c r="I358" i="16"/>
  <c r="L358" i="16" s="1"/>
  <c r="I359" i="16"/>
  <c r="I360" i="16"/>
  <c r="L360" i="16" s="1"/>
  <c r="I361" i="16"/>
  <c r="L361" i="16" s="1"/>
  <c r="I362" i="16"/>
  <c r="L362" i="16" s="1"/>
  <c r="I363" i="16"/>
  <c r="L363" i="16" s="1"/>
  <c r="I364" i="16"/>
  <c r="L364" i="16" s="1"/>
  <c r="I365" i="16"/>
  <c r="L365" i="16" s="1"/>
  <c r="I366" i="16"/>
  <c r="L366" i="16" s="1"/>
  <c r="I367" i="16"/>
  <c r="L367" i="16" s="1"/>
  <c r="I368" i="16"/>
  <c r="L368" i="16" s="1"/>
  <c r="I369" i="16"/>
  <c r="L369" i="16" s="1"/>
  <c r="I370" i="16"/>
  <c r="L370" i="16" s="1"/>
  <c r="I371" i="16"/>
  <c r="L371" i="16" s="1"/>
  <c r="I372" i="16"/>
  <c r="L372" i="16" s="1"/>
  <c r="I373" i="16"/>
  <c r="L373" i="16" s="1"/>
  <c r="I374" i="16"/>
  <c r="L374" i="16" s="1"/>
  <c r="I375" i="16"/>
  <c r="L375" i="16" s="1"/>
  <c r="I376" i="16"/>
  <c r="L376" i="16" s="1"/>
  <c r="I377" i="16"/>
  <c r="L377" i="16" s="1"/>
  <c r="I378" i="16"/>
  <c r="L378" i="16" s="1"/>
  <c r="I379" i="16"/>
  <c r="L379" i="16" s="1"/>
  <c r="I380" i="16"/>
  <c r="L380" i="16" s="1"/>
  <c r="I381" i="16"/>
  <c r="L381" i="16" s="1"/>
  <c r="I382" i="16"/>
  <c r="L382" i="16" s="1"/>
  <c r="I383" i="16"/>
  <c r="L383" i="16" s="1"/>
  <c r="I384" i="16"/>
  <c r="L384" i="16" s="1"/>
  <c r="I385" i="16"/>
  <c r="L385" i="16" s="1"/>
  <c r="I386" i="16"/>
  <c r="L386" i="16" s="1"/>
  <c r="I387" i="16"/>
  <c r="L387" i="16" s="1"/>
  <c r="I388" i="16"/>
  <c r="L388" i="16" s="1"/>
  <c r="I389" i="16"/>
  <c r="L389" i="16" s="1"/>
  <c r="I390" i="16"/>
  <c r="L390" i="16" s="1"/>
  <c r="I391" i="16"/>
  <c r="L391" i="16" s="1"/>
  <c r="I392" i="16"/>
  <c r="L392" i="16" s="1"/>
  <c r="I393" i="16"/>
  <c r="L393" i="16" s="1"/>
  <c r="I394" i="16"/>
  <c r="L394" i="16" s="1"/>
  <c r="I395" i="16"/>
  <c r="L395" i="16" s="1"/>
  <c r="I396" i="16"/>
  <c r="L396" i="16" s="1"/>
  <c r="I397" i="16"/>
  <c r="L397" i="16" s="1"/>
  <c r="I398" i="16"/>
  <c r="L398" i="16" s="1"/>
  <c r="I399" i="16"/>
  <c r="L399" i="16" s="1"/>
  <c r="I400" i="16"/>
  <c r="L400" i="16" s="1"/>
  <c r="I401" i="16"/>
  <c r="L401" i="16" s="1"/>
  <c r="I402" i="16"/>
  <c r="L402" i="16" s="1"/>
  <c r="I403" i="16"/>
  <c r="L403" i="16" s="1"/>
  <c r="I404" i="16"/>
  <c r="L404" i="16" s="1"/>
  <c r="I405" i="16"/>
  <c r="L405" i="16" s="1"/>
  <c r="I406" i="16"/>
  <c r="L406" i="16" s="1"/>
  <c r="I407" i="16"/>
  <c r="L407" i="16" s="1"/>
  <c r="I408" i="16"/>
  <c r="L408" i="16" s="1"/>
  <c r="I409" i="16"/>
  <c r="L409" i="16" s="1"/>
  <c r="I410" i="16"/>
  <c r="L410" i="16" s="1"/>
  <c r="I411" i="16"/>
  <c r="L411" i="16" s="1"/>
  <c r="I412" i="16"/>
  <c r="L412" i="16" s="1"/>
  <c r="I413" i="16"/>
  <c r="L413" i="16" s="1"/>
  <c r="I414" i="16"/>
  <c r="L414" i="16" s="1"/>
  <c r="I415" i="16"/>
  <c r="L415" i="16" s="1"/>
  <c r="I416" i="16"/>
  <c r="L416" i="16" s="1"/>
  <c r="I417" i="16"/>
  <c r="L417" i="16" s="1"/>
  <c r="I418" i="16"/>
  <c r="L418" i="16" s="1"/>
  <c r="I419" i="16"/>
  <c r="L419" i="16" s="1"/>
  <c r="I420" i="16"/>
  <c r="L420" i="16" s="1"/>
  <c r="I421" i="16"/>
  <c r="L421" i="16" s="1"/>
  <c r="I422" i="16"/>
  <c r="L422" i="16" s="1"/>
  <c r="I423" i="16"/>
  <c r="L423" i="16" s="1"/>
  <c r="I424" i="16"/>
  <c r="L424" i="16" s="1"/>
  <c r="I425" i="16"/>
  <c r="L425" i="16" s="1"/>
  <c r="I426" i="16"/>
  <c r="L426" i="16" s="1"/>
  <c r="I427" i="16"/>
  <c r="L427" i="16" s="1"/>
  <c r="I428" i="16"/>
  <c r="L428" i="16" s="1"/>
  <c r="I429" i="16"/>
  <c r="L429" i="16" s="1"/>
  <c r="I430" i="16"/>
  <c r="L430" i="16" s="1"/>
  <c r="I431" i="16"/>
  <c r="L431" i="16" s="1"/>
  <c r="I432" i="16"/>
  <c r="L432" i="16" s="1"/>
  <c r="I433" i="16"/>
  <c r="L433" i="16" s="1"/>
  <c r="I434" i="16"/>
  <c r="L434" i="16" s="1"/>
  <c r="I435" i="16"/>
  <c r="L435" i="16" s="1"/>
  <c r="I436" i="16"/>
  <c r="L436" i="16" s="1"/>
  <c r="I437" i="16"/>
  <c r="L437" i="16" s="1"/>
  <c r="I438" i="16"/>
  <c r="L438" i="16" s="1"/>
  <c r="I439" i="16"/>
  <c r="L439" i="16" s="1"/>
  <c r="I440" i="16"/>
  <c r="L440" i="16" s="1"/>
  <c r="I441" i="16"/>
  <c r="L441" i="16" s="1"/>
  <c r="I442" i="16"/>
  <c r="L442" i="16" s="1"/>
  <c r="I443" i="16"/>
  <c r="L443" i="16" s="1"/>
  <c r="I444" i="16"/>
  <c r="L444" i="16" s="1"/>
  <c r="I445" i="16"/>
  <c r="L445" i="16" s="1"/>
  <c r="I446" i="16"/>
  <c r="L446" i="16" s="1"/>
  <c r="I447" i="16"/>
  <c r="L447" i="16" s="1"/>
  <c r="I448" i="16"/>
  <c r="L448" i="16" s="1"/>
  <c r="I449" i="16"/>
  <c r="L449" i="16" s="1"/>
  <c r="I450" i="16"/>
  <c r="L450" i="16" s="1"/>
  <c r="I451" i="16"/>
  <c r="L451" i="16" s="1"/>
  <c r="I452" i="16"/>
  <c r="L452" i="16" s="1"/>
  <c r="I453" i="16"/>
  <c r="L453" i="16" s="1"/>
  <c r="I454" i="16"/>
  <c r="L454" i="16" s="1"/>
  <c r="I455" i="16"/>
  <c r="L455" i="16" s="1"/>
  <c r="I456" i="16"/>
  <c r="L456" i="16" s="1"/>
  <c r="I457" i="16"/>
  <c r="L457" i="16" s="1"/>
  <c r="I458" i="16"/>
  <c r="L458" i="16" s="1"/>
  <c r="I459" i="16"/>
  <c r="L459" i="16" s="1"/>
  <c r="I460" i="16"/>
  <c r="L460" i="16" s="1"/>
  <c r="I461" i="16"/>
  <c r="L461" i="16" s="1"/>
  <c r="I462" i="16"/>
  <c r="L462" i="16" s="1"/>
  <c r="I463" i="16"/>
  <c r="L463" i="16" s="1"/>
  <c r="I464" i="16"/>
  <c r="L464" i="16" s="1"/>
  <c r="I465" i="16"/>
  <c r="L465" i="16" s="1"/>
  <c r="I466" i="16"/>
  <c r="L466" i="16" s="1"/>
  <c r="I467" i="16"/>
  <c r="L467" i="16" s="1"/>
  <c r="I468" i="16"/>
  <c r="L468" i="16" s="1"/>
  <c r="I469" i="16"/>
  <c r="L469" i="16" s="1"/>
  <c r="I470" i="16"/>
  <c r="L470" i="16" s="1"/>
  <c r="I471" i="16"/>
  <c r="L471" i="16" s="1"/>
  <c r="I472" i="16"/>
  <c r="L472" i="16" s="1"/>
  <c r="I473" i="16"/>
  <c r="L473" i="16" s="1"/>
  <c r="I474" i="16"/>
  <c r="L474" i="16" s="1"/>
  <c r="I475" i="16"/>
  <c r="L475" i="16" s="1"/>
  <c r="I476" i="16"/>
  <c r="L476" i="16" s="1"/>
  <c r="I477" i="16"/>
  <c r="L477" i="16" s="1"/>
  <c r="I478" i="16"/>
  <c r="L478" i="16" s="1"/>
  <c r="I479" i="16"/>
  <c r="L479" i="16" s="1"/>
  <c r="I480" i="16"/>
  <c r="L480" i="16" s="1"/>
  <c r="I481" i="16"/>
  <c r="L481" i="16" s="1"/>
  <c r="I482" i="16"/>
  <c r="L482" i="16" s="1"/>
  <c r="I483" i="16"/>
  <c r="L483" i="16" s="1"/>
  <c r="I484" i="16"/>
  <c r="L484" i="16" s="1"/>
  <c r="I485" i="16"/>
  <c r="L485" i="16" s="1"/>
  <c r="I486" i="16"/>
  <c r="L486" i="16" s="1"/>
  <c r="I487" i="16"/>
  <c r="L487" i="16" s="1"/>
  <c r="I488" i="16"/>
  <c r="L488" i="16" s="1"/>
  <c r="I489" i="16"/>
  <c r="L489" i="16" s="1"/>
  <c r="I490" i="16"/>
  <c r="L490" i="16" s="1"/>
  <c r="I491" i="16"/>
  <c r="L491" i="16" s="1"/>
  <c r="I492" i="16"/>
  <c r="L492" i="16" s="1"/>
  <c r="I493" i="16"/>
  <c r="L493" i="16" s="1"/>
  <c r="I494" i="16"/>
  <c r="L494" i="16" s="1"/>
  <c r="I495" i="16"/>
  <c r="L495" i="16" s="1"/>
  <c r="I496" i="16"/>
  <c r="L496" i="16" s="1"/>
  <c r="I497" i="16"/>
  <c r="L497" i="16" s="1"/>
  <c r="I498" i="16"/>
  <c r="L498" i="16" s="1"/>
  <c r="I499" i="16"/>
  <c r="L499" i="16" s="1"/>
  <c r="I500" i="16"/>
  <c r="L500" i="16" s="1"/>
  <c r="I501" i="16"/>
  <c r="L501" i="16" s="1"/>
  <c r="I502" i="16"/>
  <c r="L502" i="16" s="1"/>
  <c r="I503" i="16"/>
  <c r="L503" i="16" s="1"/>
  <c r="I504" i="16"/>
  <c r="L504" i="16" s="1"/>
  <c r="I505" i="16"/>
  <c r="L505" i="16" s="1"/>
  <c r="I506" i="16"/>
  <c r="L506" i="16" s="1"/>
  <c r="I507" i="16"/>
  <c r="L507" i="16" s="1"/>
  <c r="I508" i="16"/>
  <c r="L508" i="16" s="1"/>
  <c r="I509" i="16"/>
  <c r="L509" i="16" s="1"/>
  <c r="I510" i="16"/>
  <c r="L510" i="16" s="1"/>
  <c r="I511" i="16"/>
  <c r="L511" i="16" s="1"/>
  <c r="I512" i="16"/>
  <c r="L512" i="16" s="1"/>
  <c r="I513" i="16"/>
  <c r="L513" i="16" s="1"/>
  <c r="I514" i="16"/>
  <c r="L514" i="16" s="1"/>
  <c r="I515" i="16"/>
  <c r="L515" i="16" s="1"/>
  <c r="I516" i="16"/>
  <c r="L516" i="16" s="1"/>
  <c r="I517" i="16"/>
  <c r="L517" i="16" s="1"/>
  <c r="I518" i="16"/>
  <c r="L518" i="16" s="1"/>
  <c r="I519" i="16"/>
  <c r="L519" i="16" s="1"/>
  <c r="I520" i="16"/>
  <c r="L520" i="16" s="1"/>
  <c r="I521" i="16"/>
  <c r="L521" i="16" s="1"/>
  <c r="I522" i="16"/>
  <c r="L522" i="16" s="1"/>
  <c r="I523" i="16"/>
  <c r="L523" i="16" s="1"/>
  <c r="I524" i="16"/>
  <c r="L524" i="16" s="1"/>
  <c r="I525" i="16"/>
  <c r="L525" i="16" s="1"/>
  <c r="I526" i="16"/>
  <c r="L526" i="16" s="1"/>
  <c r="I527" i="16"/>
  <c r="L527" i="16" s="1"/>
  <c r="I528" i="16"/>
  <c r="L528" i="16" s="1"/>
  <c r="I529" i="16"/>
  <c r="L529" i="16" s="1"/>
  <c r="I530" i="16"/>
  <c r="L530" i="16" s="1"/>
  <c r="I531" i="16"/>
  <c r="L531" i="16" s="1"/>
  <c r="I532" i="16"/>
  <c r="L532" i="16" s="1"/>
  <c r="I533" i="16"/>
  <c r="L533" i="16" s="1"/>
  <c r="I534" i="16"/>
  <c r="L534" i="16" s="1"/>
  <c r="I535" i="16"/>
  <c r="L535" i="16" s="1"/>
  <c r="I536" i="16"/>
  <c r="L536" i="16" s="1"/>
  <c r="I537" i="16"/>
  <c r="L537" i="16" s="1"/>
  <c r="I538" i="16"/>
  <c r="L538" i="16" s="1"/>
  <c r="I539" i="16"/>
  <c r="I540" i="16"/>
  <c r="L540" i="16" s="1"/>
  <c r="I541" i="16"/>
  <c r="L541" i="16" s="1"/>
  <c r="I542" i="16"/>
  <c r="I543" i="16"/>
  <c r="I544" i="16"/>
  <c r="L544" i="16" s="1"/>
  <c r="L539" i="16"/>
  <c r="L542" i="16"/>
  <c r="L543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G503" i="16"/>
  <c r="G504" i="16"/>
  <c r="G505" i="16"/>
  <c r="G506" i="16"/>
  <c r="G507" i="16"/>
  <c r="G508" i="16"/>
  <c r="G509" i="16"/>
  <c r="G510" i="16"/>
  <c r="G511" i="16"/>
  <c r="G512" i="16"/>
  <c r="G513" i="16"/>
  <c r="G514" i="16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L355" i="16"/>
  <c r="L359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29" i="16"/>
  <c r="G230" i="16"/>
  <c r="G231" i="16"/>
  <c r="G232" i="16"/>
  <c r="G233" i="16"/>
  <c r="G234" i="16"/>
  <c r="G235" i="16"/>
  <c r="G236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I162" i="16"/>
  <c r="L162" i="16" s="1"/>
  <c r="I163" i="16"/>
  <c r="I164" i="16"/>
  <c r="L164" i="16" s="1"/>
  <c r="I165" i="16"/>
  <c r="L165" i="16" s="1"/>
  <c r="I166" i="16"/>
  <c r="L166" i="16" s="1"/>
  <c r="I167" i="16"/>
  <c r="L167" i="16" s="1"/>
  <c r="I168" i="16"/>
  <c r="L168" i="16" s="1"/>
  <c r="I169" i="16"/>
  <c r="L169" i="16" s="1"/>
  <c r="I170" i="16"/>
  <c r="L170" i="16" s="1"/>
  <c r="I171" i="16"/>
  <c r="L171" i="16" s="1"/>
  <c r="I172" i="16"/>
  <c r="L172" i="16" s="1"/>
  <c r="I173" i="16"/>
  <c r="L173" i="16" s="1"/>
  <c r="I174" i="16"/>
  <c r="L174" i="16" s="1"/>
  <c r="I175" i="16"/>
  <c r="L175" i="16" s="1"/>
  <c r="I176" i="16"/>
  <c r="L176" i="16" s="1"/>
  <c r="I177" i="16"/>
  <c r="L177" i="16" s="1"/>
  <c r="I178" i="16"/>
  <c r="L178" i="16" s="1"/>
  <c r="L163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I179" i="16"/>
  <c r="L179" i="16" s="1"/>
  <c r="I180" i="16"/>
  <c r="I181" i="16"/>
  <c r="L181" i="16" s="1"/>
  <c r="I182" i="16"/>
  <c r="L182" i="16" s="1"/>
  <c r="I183" i="16"/>
  <c r="L183" i="16" s="1"/>
  <c r="I184" i="16"/>
  <c r="L184" i="16" s="1"/>
  <c r="I185" i="16"/>
  <c r="L185" i="16" s="1"/>
  <c r="I186" i="16"/>
  <c r="L186" i="16" s="1"/>
  <c r="I187" i="16"/>
  <c r="L187" i="16" s="1"/>
  <c r="I188" i="16"/>
  <c r="L188" i="16" s="1"/>
  <c r="I189" i="16"/>
  <c r="L189" i="16" s="1"/>
  <c r="I190" i="16"/>
  <c r="L190" i="16" s="1"/>
  <c r="I191" i="16"/>
  <c r="L191" i="16" s="1"/>
  <c r="I192" i="16"/>
  <c r="L192" i="16" s="1"/>
  <c r="I193" i="16"/>
  <c r="L193" i="16" s="1"/>
  <c r="I194" i="16"/>
  <c r="L194" i="16" s="1"/>
  <c r="I195" i="16"/>
  <c r="L195" i="16" s="1"/>
  <c r="L18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227" i="16"/>
  <c r="G228" i="16"/>
  <c r="G310" i="16"/>
  <c r="G341" i="16"/>
  <c r="G342" i="16"/>
  <c r="G343" i="16"/>
  <c r="G344" i="16"/>
  <c r="G345" i="16"/>
  <c r="G346" i="16"/>
  <c r="G347" i="16"/>
  <c r="G206" i="16"/>
  <c r="G207" i="16"/>
  <c r="G208" i="16"/>
  <c r="G209" i="16"/>
  <c r="G210" i="16"/>
  <c r="G211" i="16"/>
  <c r="G212" i="16"/>
  <c r="G213" i="16"/>
  <c r="G214" i="16"/>
  <c r="G215" i="16"/>
  <c r="G216" i="16"/>
  <c r="I206" i="16"/>
  <c r="L206" i="16" s="1"/>
  <c r="I207" i="16"/>
  <c r="L207" i="16" s="1"/>
  <c r="I208" i="16"/>
  <c r="L208" i="16" s="1"/>
  <c r="I209" i="16"/>
  <c r="L209" i="16" s="1"/>
  <c r="I210" i="16"/>
  <c r="L210" i="16" s="1"/>
  <c r="I211" i="16"/>
  <c r="L211" i="16" s="1"/>
  <c r="I212" i="16"/>
  <c r="L212" i="16" s="1"/>
  <c r="I213" i="16"/>
  <c r="L213" i="16" s="1"/>
  <c r="I214" i="16"/>
  <c r="L214" i="16" s="1"/>
  <c r="I215" i="16"/>
  <c r="L215" i="16" s="1"/>
  <c r="I216" i="16"/>
  <c r="L216" i="16" s="1"/>
  <c r="G217" i="16"/>
  <c r="G218" i="16"/>
  <c r="G219" i="16"/>
  <c r="I217" i="16"/>
  <c r="L217" i="16" s="1"/>
  <c r="I218" i="16"/>
  <c r="L218" i="16" s="1"/>
  <c r="I219" i="16"/>
  <c r="L219" i="16" s="1"/>
  <c r="G204" i="16"/>
  <c r="G205" i="16"/>
  <c r="I204" i="16"/>
  <c r="L204" i="16" s="1"/>
  <c r="I205" i="16"/>
  <c r="L205" i="16" s="1"/>
  <c r="G161" i="16"/>
  <c r="G196" i="16"/>
  <c r="G197" i="16"/>
  <c r="G198" i="16"/>
  <c r="G199" i="16"/>
  <c r="G200" i="16"/>
  <c r="G201" i="16"/>
  <c r="I161" i="16"/>
  <c r="L161" i="16" s="1"/>
  <c r="I196" i="16"/>
  <c r="L196" i="16" s="1"/>
  <c r="I197" i="16"/>
  <c r="L197" i="16" s="1"/>
  <c r="I198" i="16"/>
  <c r="L198" i="16" s="1"/>
  <c r="I199" i="16"/>
  <c r="L199" i="16" s="1"/>
  <c r="I200" i="16"/>
  <c r="L200" i="16" s="1"/>
  <c r="I201" i="16"/>
  <c r="L201" i="16" s="1"/>
  <c r="G202" i="16"/>
  <c r="G203" i="16"/>
  <c r="I202" i="16"/>
  <c r="L202" i="16" s="1"/>
  <c r="I203" i="16"/>
  <c r="L203" i="16" s="1"/>
  <c r="G11" i="16" l="1"/>
  <c r="P11" i="16"/>
  <c r="Q11" i="16"/>
  <c r="R11" i="16"/>
  <c r="H138" i="16"/>
  <c r="H129" i="16"/>
  <c r="H136" i="16"/>
  <c r="H137" i="16"/>
  <c r="H144" i="16"/>
  <c r="H149" i="16"/>
  <c r="H141" i="16"/>
  <c r="H142" i="16"/>
  <c r="J138" i="16"/>
  <c r="J129" i="16"/>
  <c r="J136" i="16"/>
  <c r="J137" i="16"/>
  <c r="J144" i="16"/>
  <c r="J149" i="16"/>
  <c r="J141" i="16"/>
  <c r="J142" i="16"/>
  <c r="K138" i="16"/>
  <c r="K129" i="16"/>
  <c r="K136" i="16"/>
  <c r="K137" i="16"/>
  <c r="K144" i="16"/>
  <c r="K149" i="16"/>
  <c r="K141" i="16"/>
  <c r="K142" i="16"/>
  <c r="H150" i="16"/>
  <c r="H151" i="16"/>
  <c r="H125" i="16"/>
  <c r="H124" i="16"/>
  <c r="H126" i="16"/>
  <c r="H127" i="16"/>
  <c r="H118" i="16"/>
  <c r="H123" i="16"/>
  <c r="J150" i="16"/>
  <c r="J151" i="16"/>
  <c r="J125" i="16"/>
  <c r="J124" i="16"/>
  <c r="J126" i="16"/>
  <c r="J127" i="16"/>
  <c r="J118" i="16"/>
  <c r="J123" i="16"/>
  <c r="K150" i="16"/>
  <c r="K151" i="16"/>
  <c r="K125" i="16"/>
  <c r="K124" i="16"/>
  <c r="K126" i="16"/>
  <c r="K127" i="16"/>
  <c r="K118" i="16"/>
  <c r="K123" i="16"/>
  <c r="H122" i="16"/>
  <c r="H121" i="16"/>
  <c r="H120" i="16"/>
  <c r="H119" i="16"/>
  <c r="H145" i="16"/>
  <c r="J122" i="16"/>
  <c r="J121" i="16"/>
  <c r="J120" i="16"/>
  <c r="J119" i="16"/>
  <c r="J145" i="16"/>
  <c r="K122" i="16"/>
  <c r="K121" i="16"/>
  <c r="K120" i="16"/>
  <c r="K119" i="16"/>
  <c r="K145" i="16"/>
  <c r="H130" i="16"/>
  <c r="J130" i="16"/>
  <c r="K130" i="16"/>
  <c r="G35" i="16"/>
  <c r="G68" i="16"/>
  <c r="G41" i="16"/>
  <c r="G95" i="16"/>
  <c r="I35" i="16"/>
  <c r="P35" i="16" s="1"/>
  <c r="I68" i="16"/>
  <c r="P68" i="16" s="1"/>
  <c r="P41" i="16"/>
  <c r="I95" i="16"/>
  <c r="P95" i="16" s="1"/>
  <c r="Q35" i="16"/>
  <c r="Q68" i="16"/>
  <c r="Q41" i="16"/>
  <c r="Q95" i="16"/>
  <c r="R35" i="16"/>
  <c r="R68" i="16"/>
  <c r="R41" i="16"/>
  <c r="R95" i="16"/>
  <c r="G22" i="16"/>
  <c r="G64" i="16"/>
  <c r="G72" i="16"/>
  <c r="G73" i="16"/>
  <c r="G74" i="16"/>
  <c r="G18" i="16"/>
  <c r="G19" i="16"/>
  <c r="G23" i="16"/>
  <c r="G24" i="16"/>
  <c r="G29" i="16"/>
  <c r="G49" i="16"/>
  <c r="G50" i="16"/>
  <c r="G51" i="16"/>
  <c r="G52" i="16"/>
  <c r="G79" i="16"/>
  <c r="G97" i="16"/>
  <c r="G98" i="16"/>
  <c r="G61" i="16"/>
  <c r="G38" i="16"/>
  <c r="G96" i="16"/>
  <c r="I22" i="16"/>
  <c r="I64" i="16"/>
  <c r="P64" i="16" s="1"/>
  <c r="I72" i="16"/>
  <c r="P72" i="16" s="1"/>
  <c r="I73" i="16"/>
  <c r="I74" i="16"/>
  <c r="P74" i="16" s="1"/>
  <c r="I18" i="16"/>
  <c r="P18" i="16" s="1"/>
  <c r="I19" i="16"/>
  <c r="P19" i="16" s="1"/>
  <c r="I23" i="16"/>
  <c r="P23" i="16" s="1"/>
  <c r="I24" i="16"/>
  <c r="P24" i="16" s="1"/>
  <c r="I29" i="16"/>
  <c r="P29" i="16" s="1"/>
  <c r="I49" i="16"/>
  <c r="P49" i="16" s="1"/>
  <c r="I50" i="16"/>
  <c r="P50" i="16" s="1"/>
  <c r="I51" i="16"/>
  <c r="P51" i="16" s="1"/>
  <c r="I52" i="16"/>
  <c r="P52" i="16" s="1"/>
  <c r="I79" i="16"/>
  <c r="I97" i="16"/>
  <c r="P97" i="16" s="1"/>
  <c r="I98" i="16"/>
  <c r="P98" i="16" s="1"/>
  <c r="I61" i="16"/>
  <c r="P61" i="16" s="1"/>
  <c r="I38" i="16"/>
  <c r="P38" i="16" s="1"/>
  <c r="I96" i="16"/>
  <c r="P96" i="16" s="1"/>
  <c r="P22" i="16"/>
  <c r="P73" i="16"/>
  <c r="P79" i="16"/>
  <c r="Q22" i="16"/>
  <c r="Q64" i="16"/>
  <c r="Q72" i="16"/>
  <c r="Q73" i="16"/>
  <c r="Q74" i="16"/>
  <c r="Q18" i="16"/>
  <c r="Q19" i="16"/>
  <c r="Q23" i="16"/>
  <c r="Q24" i="16"/>
  <c r="Q29" i="16"/>
  <c r="Q49" i="16"/>
  <c r="Q50" i="16"/>
  <c r="Q51" i="16"/>
  <c r="Q52" i="16"/>
  <c r="Q79" i="16"/>
  <c r="Q97" i="16"/>
  <c r="Q98" i="16"/>
  <c r="Q61" i="16"/>
  <c r="Q38" i="16"/>
  <c r="Q96" i="16"/>
  <c r="R22" i="16"/>
  <c r="R64" i="16"/>
  <c r="R72" i="16"/>
  <c r="R73" i="16"/>
  <c r="R74" i="16"/>
  <c r="R18" i="16"/>
  <c r="R19" i="16"/>
  <c r="R23" i="16"/>
  <c r="R24" i="16"/>
  <c r="R29" i="16"/>
  <c r="R49" i="16"/>
  <c r="R50" i="16"/>
  <c r="R51" i="16"/>
  <c r="R52" i="16"/>
  <c r="R79" i="16"/>
  <c r="R97" i="16"/>
  <c r="R98" i="16"/>
  <c r="R61" i="16"/>
  <c r="R38" i="16"/>
  <c r="R96" i="16"/>
  <c r="G13" i="16"/>
  <c r="G65" i="16"/>
  <c r="G9" i="16"/>
  <c r="G99" i="16"/>
  <c r="G75" i="16"/>
  <c r="G67" i="16"/>
  <c r="G25" i="16"/>
  <c r="G66" i="16"/>
  <c r="G47" i="16"/>
  <c r="G48" i="16"/>
  <c r="G92" i="16"/>
  <c r="G90" i="16"/>
  <c r="G91" i="16"/>
  <c r="G70" i="16"/>
  <c r="I65" i="16"/>
  <c r="I9" i="16"/>
  <c r="P9" i="16" s="1"/>
  <c r="I99" i="16"/>
  <c r="P99" i="16" s="1"/>
  <c r="I75" i="16"/>
  <c r="P75" i="16" s="1"/>
  <c r="I67" i="16"/>
  <c r="P67" i="16" s="1"/>
  <c r="I47" i="16"/>
  <c r="I48" i="16"/>
  <c r="P48" i="16" s="1"/>
  <c r="I92" i="16"/>
  <c r="P92" i="16" s="1"/>
  <c r="I90" i="16"/>
  <c r="P90" i="16" s="1"/>
  <c r="I91" i="16"/>
  <c r="P91" i="16" s="1"/>
  <c r="I70" i="16"/>
  <c r="P70" i="16" s="1"/>
  <c r="P13" i="16"/>
  <c r="P65" i="16"/>
  <c r="P25" i="16"/>
  <c r="P66" i="16"/>
  <c r="P47" i="16"/>
  <c r="Q13" i="16"/>
  <c r="Q65" i="16"/>
  <c r="Q9" i="16"/>
  <c r="Q99" i="16"/>
  <c r="Q75" i="16"/>
  <c r="Q67" i="16"/>
  <c r="Q25" i="16"/>
  <c r="Q66" i="16"/>
  <c r="Q47" i="16"/>
  <c r="Q48" i="16"/>
  <c r="Q92" i="16"/>
  <c r="Q90" i="16"/>
  <c r="Q91" i="16"/>
  <c r="Q70" i="16"/>
  <c r="R13" i="16"/>
  <c r="R65" i="16"/>
  <c r="R9" i="16"/>
  <c r="R99" i="16"/>
  <c r="R75" i="16"/>
  <c r="R67" i="16"/>
  <c r="R25" i="16"/>
  <c r="R66" i="16"/>
  <c r="R47" i="16"/>
  <c r="R48" i="16"/>
  <c r="R92" i="16"/>
  <c r="R90" i="16"/>
  <c r="R91" i="16"/>
  <c r="R70" i="16"/>
  <c r="G10" i="16"/>
  <c r="G71" i="16"/>
  <c r="G88" i="16"/>
  <c r="G53" i="16"/>
  <c r="G39" i="16"/>
  <c r="G77" i="16"/>
  <c r="G12" i="16"/>
  <c r="I10" i="16"/>
  <c r="P10" i="16" s="1"/>
  <c r="I71" i="16"/>
  <c r="P71" i="16" s="1"/>
  <c r="I88" i="16"/>
  <c r="P88" i="16" s="1"/>
  <c r="I53" i="16"/>
  <c r="P53" i="16" s="1"/>
  <c r="I39" i="16"/>
  <c r="P39" i="16" s="1"/>
  <c r="I77" i="16"/>
  <c r="P77" i="16" s="1"/>
  <c r="I12" i="16"/>
  <c r="P12" i="16" s="1"/>
  <c r="Q10" i="16"/>
  <c r="Q71" i="16"/>
  <c r="Q88" i="16"/>
  <c r="Q53" i="16"/>
  <c r="Q39" i="16"/>
  <c r="Q77" i="16"/>
  <c r="Q12" i="16"/>
  <c r="R10" i="16"/>
  <c r="R71" i="16"/>
  <c r="R88" i="16"/>
  <c r="R53" i="16"/>
  <c r="R39" i="16"/>
  <c r="R77" i="16"/>
  <c r="R12" i="16"/>
  <c r="G33" i="16"/>
  <c r="G45" i="16"/>
  <c r="G69" i="16"/>
  <c r="G85" i="16"/>
  <c r="G76" i="16"/>
  <c r="G94" i="16"/>
  <c r="G89" i="16"/>
  <c r="I33" i="16"/>
  <c r="P33" i="16" s="1"/>
  <c r="I45" i="16"/>
  <c r="P45" i="16" s="1"/>
  <c r="I69" i="16"/>
  <c r="P69" i="16" s="1"/>
  <c r="I85" i="16"/>
  <c r="P85" i="16" s="1"/>
  <c r="I76" i="16"/>
  <c r="P76" i="16" s="1"/>
  <c r="I94" i="16"/>
  <c r="P94" i="16" s="1"/>
  <c r="I89" i="16"/>
  <c r="P89" i="16" s="1"/>
  <c r="Q33" i="16"/>
  <c r="Q45" i="16"/>
  <c r="Q69" i="16"/>
  <c r="Q85" i="16"/>
  <c r="Q76" i="16"/>
  <c r="Q94" i="16"/>
  <c r="Q89" i="16"/>
  <c r="R33" i="16"/>
  <c r="R45" i="16"/>
  <c r="R69" i="16"/>
  <c r="R85" i="16"/>
  <c r="R76" i="16"/>
  <c r="R94" i="16"/>
  <c r="R89" i="16"/>
  <c r="G54" i="16"/>
  <c r="G80" i="16"/>
  <c r="G46" i="16"/>
  <c r="G93" i="16"/>
  <c r="G17" i="16"/>
  <c r="G44" i="16"/>
  <c r="G86" i="16"/>
  <c r="I54" i="16"/>
  <c r="P54" i="16" s="1"/>
  <c r="I80" i="16"/>
  <c r="P80" i="16" s="1"/>
  <c r="I46" i="16"/>
  <c r="P46" i="16" s="1"/>
  <c r="I93" i="16"/>
  <c r="P93" i="16" s="1"/>
  <c r="I17" i="16"/>
  <c r="P17" i="16" s="1"/>
  <c r="I44" i="16"/>
  <c r="P44" i="16" s="1"/>
  <c r="I86" i="16"/>
  <c r="P86" i="16" s="1"/>
  <c r="Q54" i="16"/>
  <c r="Q80" i="16"/>
  <c r="Q46" i="16"/>
  <c r="Q93" i="16"/>
  <c r="Q17" i="16"/>
  <c r="Q44" i="16"/>
  <c r="Q86" i="16"/>
  <c r="R54" i="16"/>
  <c r="R80" i="16"/>
  <c r="R46" i="16"/>
  <c r="R93" i="16"/>
  <c r="R17" i="16"/>
  <c r="R44" i="16"/>
  <c r="R86" i="16"/>
  <c r="G82" i="16"/>
  <c r="G37" i="16"/>
  <c r="G56" i="16"/>
  <c r="G57" i="16"/>
  <c r="G58" i="16"/>
  <c r="G40" i="16"/>
  <c r="G20" i="16"/>
  <c r="I82" i="16"/>
  <c r="P82" i="16" s="1"/>
  <c r="I37" i="16"/>
  <c r="P37" i="16" s="1"/>
  <c r="I56" i="16"/>
  <c r="P56" i="16" s="1"/>
  <c r="I57" i="16"/>
  <c r="P57" i="16" s="1"/>
  <c r="I58" i="16"/>
  <c r="P58" i="16" s="1"/>
  <c r="I40" i="16"/>
  <c r="P40" i="16" s="1"/>
  <c r="I20" i="16"/>
  <c r="P20" i="16" s="1"/>
  <c r="Q82" i="16"/>
  <c r="Q37" i="16"/>
  <c r="Q56" i="16"/>
  <c r="Q57" i="16"/>
  <c r="Q58" i="16"/>
  <c r="Q40" i="16"/>
  <c r="Q20" i="16"/>
  <c r="R82" i="16"/>
  <c r="R37" i="16"/>
  <c r="R56" i="16"/>
  <c r="R57" i="16"/>
  <c r="R58" i="16"/>
  <c r="R40" i="16"/>
  <c r="R20" i="16"/>
  <c r="G31" i="16"/>
  <c r="I31" i="16"/>
  <c r="P31" i="16" s="1"/>
  <c r="Q31" i="16"/>
  <c r="R31" i="16"/>
  <c r="G34" i="16"/>
  <c r="I34" i="16"/>
  <c r="P34" i="16" s="1"/>
  <c r="Q34" i="16"/>
  <c r="R34" i="16"/>
  <c r="G26" i="16"/>
  <c r="I26" i="16"/>
  <c r="P26" i="16" s="1"/>
  <c r="Q26" i="16"/>
  <c r="R26" i="16"/>
  <c r="G27" i="16"/>
  <c r="I27" i="16"/>
  <c r="P27" i="16" s="1"/>
  <c r="Q27" i="16"/>
  <c r="R27" i="16"/>
  <c r="G30" i="16"/>
  <c r="I30" i="16"/>
  <c r="P30" i="16" s="1"/>
  <c r="Q30" i="16"/>
  <c r="R30" i="16"/>
  <c r="G198" i="19" l="1"/>
  <c r="J118" i="12" l="1"/>
  <c r="K118" i="12"/>
  <c r="G117" i="12" l="1"/>
  <c r="I117" i="12"/>
  <c r="P117" i="12" s="1"/>
  <c r="Q117" i="12"/>
  <c r="R117" i="12"/>
  <c r="G38" i="12"/>
  <c r="I38" i="12"/>
  <c r="P38" i="12" s="1"/>
  <c r="Q38" i="12"/>
  <c r="R38" i="12"/>
  <c r="I79" i="12"/>
  <c r="P79" i="12" s="1"/>
  <c r="G37" i="12"/>
  <c r="I37" i="12"/>
  <c r="P37" i="12" s="1"/>
  <c r="Q37" i="12"/>
  <c r="R37" i="12"/>
  <c r="G79" i="12"/>
  <c r="Q79" i="12"/>
  <c r="R79" i="12"/>
  <c r="G17" i="12"/>
  <c r="I17" i="12"/>
  <c r="P17" i="12" s="1"/>
  <c r="Q17" i="12"/>
  <c r="R17" i="12"/>
  <c r="G18" i="12"/>
  <c r="I18" i="12"/>
  <c r="P18" i="12" s="1"/>
  <c r="Q18" i="12"/>
  <c r="R18" i="12"/>
  <c r="G15" i="12"/>
  <c r="I15" i="12"/>
  <c r="P15" i="12" s="1"/>
  <c r="Q15" i="12"/>
  <c r="R15" i="12"/>
  <c r="G10" i="12"/>
  <c r="I10" i="12"/>
  <c r="P10" i="12" s="1"/>
  <c r="Q10" i="12"/>
  <c r="R10" i="12"/>
  <c r="G9" i="12"/>
  <c r="I9" i="12"/>
  <c r="Q9" i="12"/>
  <c r="R9" i="12"/>
  <c r="G11" i="12"/>
  <c r="I11" i="12"/>
  <c r="P11" i="12" s="1"/>
  <c r="Q11" i="12"/>
  <c r="R11" i="12"/>
  <c r="G16" i="12"/>
  <c r="I16" i="12"/>
  <c r="P16" i="12" s="1"/>
  <c r="Q16" i="12"/>
  <c r="R16" i="12"/>
  <c r="P9" i="12" l="1"/>
  <c r="G14" i="12"/>
  <c r="I14" i="12"/>
  <c r="P14" i="12" s="1"/>
  <c r="Q14" i="12"/>
  <c r="R14" i="12"/>
  <c r="G12" i="12"/>
  <c r="I12" i="12"/>
  <c r="P12" i="12" s="1"/>
  <c r="Q12" i="12"/>
  <c r="R12" i="12"/>
  <c r="G13" i="12"/>
  <c r="I13" i="12"/>
  <c r="P13" i="12" s="1"/>
  <c r="Q13" i="12"/>
  <c r="R13" i="12"/>
  <c r="I257" i="12"/>
  <c r="I258" i="12"/>
  <c r="I259" i="12"/>
  <c r="I260" i="12"/>
  <c r="I261" i="12"/>
  <c r="I262" i="12"/>
  <c r="I263" i="12"/>
  <c r="I264" i="12"/>
  <c r="L264" i="12" s="1"/>
  <c r="I265" i="12"/>
  <c r="I266" i="12"/>
  <c r="I267" i="12"/>
  <c r="L267" i="12" s="1"/>
  <c r="I268" i="12"/>
  <c r="L268" i="12" s="1"/>
  <c r="I269" i="12"/>
  <c r="I270" i="12"/>
  <c r="I271" i="12"/>
  <c r="L271" i="12" s="1"/>
  <c r="I272" i="12"/>
  <c r="L272" i="12" s="1"/>
  <c r="I273" i="12"/>
  <c r="I274" i="12"/>
  <c r="I275" i="12"/>
  <c r="L275" i="12" s="1"/>
  <c r="I276" i="12"/>
  <c r="L276" i="12" s="1"/>
  <c r="I277" i="12"/>
  <c r="I278" i="12"/>
  <c r="I279" i="12"/>
  <c r="I280" i="12"/>
  <c r="L280" i="12" s="1"/>
  <c r="I281" i="12"/>
  <c r="I282" i="12"/>
  <c r="I283" i="12"/>
  <c r="L283" i="12" s="1"/>
  <c r="I284" i="12"/>
  <c r="L284" i="12" s="1"/>
  <c r="I285" i="12"/>
  <c r="I286" i="12"/>
  <c r="I287" i="12"/>
  <c r="L287" i="12" s="1"/>
  <c r="I288" i="12"/>
  <c r="L288" i="12" s="1"/>
  <c r="I289" i="12"/>
  <c r="I290" i="12"/>
  <c r="I291" i="12"/>
  <c r="L291" i="12" s="1"/>
  <c r="I292" i="12"/>
  <c r="L292" i="12" s="1"/>
  <c r="I293" i="12"/>
  <c r="I294" i="12"/>
  <c r="I295" i="12"/>
  <c r="L295" i="12" s="1"/>
  <c r="I296" i="12"/>
  <c r="L296" i="12" s="1"/>
  <c r="I297" i="12"/>
  <c r="I298" i="12"/>
  <c r="I299" i="12"/>
  <c r="L299" i="12" s="1"/>
  <c r="I300" i="12"/>
  <c r="L300" i="12" s="1"/>
  <c r="I301" i="12"/>
  <c r="I302" i="12"/>
  <c r="I303" i="12"/>
  <c r="I304" i="12"/>
  <c r="L304" i="12" s="1"/>
  <c r="I305" i="12"/>
  <c r="I306" i="12"/>
  <c r="I307" i="12"/>
  <c r="L307" i="12" s="1"/>
  <c r="I308" i="12"/>
  <c r="L308" i="12" s="1"/>
  <c r="I309" i="12"/>
  <c r="I310" i="12"/>
  <c r="I311" i="12"/>
  <c r="L311" i="12" s="1"/>
  <c r="I312" i="12"/>
  <c r="L312" i="12" s="1"/>
  <c r="I313" i="12"/>
  <c r="I314" i="12"/>
  <c r="I315" i="12"/>
  <c r="L315" i="12" s="1"/>
  <c r="I316" i="12"/>
  <c r="L316" i="12" s="1"/>
  <c r="I317" i="12"/>
  <c r="I318" i="12"/>
  <c r="I319" i="12"/>
  <c r="I320" i="12"/>
  <c r="L320" i="12" s="1"/>
  <c r="I321" i="12"/>
  <c r="I322" i="12"/>
  <c r="I323" i="12"/>
  <c r="L323" i="12" s="1"/>
  <c r="I324" i="12"/>
  <c r="L324" i="12" s="1"/>
  <c r="I325" i="12"/>
  <c r="I326" i="12"/>
  <c r="I327" i="12"/>
  <c r="L327" i="12" s="1"/>
  <c r="I328" i="12"/>
  <c r="L328" i="12" s="1"/>
  <c r="I329" i="12"/>
  <c r="I330" i="12"/>
  <c r="I331" i="12"/>
  <c r="L331" i="12" s="1"/>
  <c r="I332" i="12"/>
  <c r="L332" i="12" s="1"/>
  <c r="I333" i="12"/>
  <c r="I334" i="12"/>
  <c r="I335" i="12"/>
  <c r="I336" i="12"/>
  <c r="L336" i="12" s="1"/>
  <c r="I337" i="12"/>
  <c r="I338" i="12"/>
  <c r="I339" i="12"/>
  <c r="L339" i="12" s="1"/>
  <c r="I340" i="12"/>
  <c r="L340" i="12" s="1"/>
  <c r="I341" i="12"/>
  <c r="I342" i="12"/>
  <c r="I343" i="12"/>
  <c r="L343" i="12" s="1"/>
  <c r="I344" i="12"/>
  <c r="L344" i="12" s="1"/>
  <c r="I345" i="12"/>
  <c r="I346" i="12"/>
  <c r="I347" i="12"/>
  <c r="L347" i="12" s="1"/>
  <c r="I348" i="12"/>
  <c r="L348" i="12" s="1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L400" i="12" s="1"/>
  <c r="I401" i="12"/>
  <c r="I402" i="12"/>
  <c r="I403" i="12"/>
  <c r="L403" i="12" s="1"/>
  <c r="I404" i="12"/>
  <c r="I405" i="12"/>
  <c r="I406" i="12"/>
  <c r="I407" i="12"/>
  <c r="L407" i="12" s="1"/>
  <c r="I408" i="12"/>
  <c r="I409" i="12"/>
  <c r="I410" i="12"/>
  <c r="I411" i="12"/>
  <c r="L411" i="12" s="1"/>
  <c r="I412" i="12"/>
  <c r="I413" i="12"/>
  <c r="I414" i="12"/>
  <c r="I415" i="12"/>
  <c r="L415" i="12" s="1"/>
  <c r="I416" i="12"/>
  <c r="I417" i="12"/>
  <c r="I418" i="12"/>
  <c r="I419" i="12"/>
  <c r="L419" i="12" s="1"/>
  <c r="I420" i="12"/>
  <c r="I421" i="12"/>
  <c r="I422" i="12"/>
  <c r="I423" i="12"/>
  <c r="L423" i="12" s="1"/>
  <c r="I424" i="12"/>
  <c r="I425" i="12"/>
  <c r="I426" i="12"/>
  <c r="I427" i="12"/>
  <c r="L427" i="12" s="1"/>
  <c r="I428" i="12"/>
  <c r="I429" i="12"/>
  <c r="I430" i="12"/>
  <c r="I431" i="12"/>
  <c r="L431" i="12" s="1"/>
  <c r="I432" i="12"/>
  <c r="I433" i="12"/>
  <c r="I434" i="12"/>
  <c r="I435" i="12"/>
  <c r="L435" i="12" s="1"/>
  <c r="I436" i="12"/>
  <c r="I437" i="12"/>
  <c r="I438" i="12"/>
  <c r="I439" i="12"/>
  <c r="L439" i="12" s="1"/>
  <c r="I440" i="12"/>
  <c r="I441" i="12"/>
  <c r="I442" i="12"/>
  <c r="I443" i="12"/>
  <c r="L443" i="12" s="1"/>
  <c r="I444" i="12"/>
  <c r="I445" i="12"/>
  <c r="I446" i="12"/>
  <c r="I447" i="12"/>
  <c r="L447" i="12" s="1"/>
  <c r="I448" i="12"/>
  <c r="I449" i="12"/>
  <c r="I450" i="12"/>
  <c r="I451" i="12"/>
  <c r="L451" i="12" s="1"/>
  <c r="I452" i="12"/>
  <c r="I453" i="12"/>
  <c r="I454" i="12"/>
  <c r="I455" i="12"/>
  <c r="L455" i="12" s="1"/>
  <c r="I456" i="12"/>
  <c r="I457" i="12"/>
  <c r="I458" i="12"/>
  <c r="I459" i="12"/>
  <c r="L459" i="12" s="1"/>
  <c r="I460" i="12"/>
  <c r="I461" i="12"/>
  <c r="I462" i="12"/>
  <c r="I463" i="12"/>
  <c r="L463" i="12" s="1"/>
  <c r="I464" i="12"/>
  <c r="I465" i="12"/>
  <c r="I466" i="12"/>
  <c r="I467" i="12"/>
  <c r="L467" i="12" s="1"/>
  <c r="I468" i="12"/>
  <c r="I469" i="12"/>
  <c r="I470" i="12"/>
  <c r="I471" i="12"/>
  <c r="L471" i="12" s="1"/>
  <c r="I472" i="12"/>
  <c r="I473" i="12"/>
  <c r="I474" i="12"/>
  <c r="I475" i="12"/>
  <c r="L475" i="12" s="1"/>
  <c r="I476" i="12"/>
  <c r="I477" i="12"/>
  <c r="I478" i="12"/>
  <c r="I479" i="12"/>
  <c r="L479" i="12" s="1"/>
  <c r="I480" i="12"/>
  <c r="I481" i="12"/>
  <c r="I482" i="12"/>
  <c r="I483" i="12"/>
  <c r="L483" i="12" s="1"/>
  <c r="I484" i="12"/>
  <c r="I485" i="12"/>
  <c r="I486" i="12"/>
  <c r="I487" i="12"/>
  <c r="L487" i="12" s="1"/>
  <c r="I488" i="12"/>
  <c r="I489" i="12"/>
  <c r="I490" i="12"/>
  <c r="I491" i="12"/>
  <c r="L491" i="12" s="1"/>
  <c r="I492" i="12"/>
  <c r="I493" i="12"/>
  <c r="I494" i="12"/>
  <c r="I495" i="12"/>
  <c r="L495" i="12" s="1"/>
  <c r="I496" i="12"/>
  <c r="I497" i="12"/>
  <c r="I498" i="12"/>
  <c r="I499" i="12"/>
  <c r="L499" i="12" s="1"/>
  <c r="I500" i="12"/>
  <c r="I501" i="12"/>
  <c r="I502" i="12"/>
  <c r="I503" i="12"/>
  <c r="L503" i="12" s="1"/>
  <c r="I504" i="12"/>
  <c r="I505" i="12"/>
  <c r="I506" i="12"/>
  <c r="I507" i="12"/>
  <c r="L507" i="12" s="1"/>
  <c r="I508" i="12"/>
  <c r="I509" i="12"/>
  <c r="I510" i="12"/>
  <c r="I511" i="12"/>
  <c r="L511" i="12" s="1"/>
  <c r="I512" i="12"/>
  <c r="I513" i="12"/>
  <c r="I514" i="12"/>
  <c r="I515" i="12"/>
  <c r="L515" i="12" s="1"/>
  <c r="I516" i="12"/>
  <c r="I517" i="12"/>
  <c r="I518" i="12"/>
  <c r="I519" i="12"/>
  <c r="L519" i="12" s="1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1" i="12"/>
  <c r="L402" i="12"/>
  <c r="L404" i="12"/>
  <c r="L405" i="12"/>
  <c r="L406" i="12"/>
  <c r="L408" i="12"/>
  <c r="L409" i="12"/>
  <c r="L410" i="12"/>
  <c r="L412" i="12"/>
  <c r="L413" i="12"/>
  <c r="L414" i="12"/>
  <c r="L416" i="12"/>
  <c r="L417" i="12"/>
  <c r="L418" i="12"/>
  <c r="L420" i="12"/>
  <c r="L421" i="12"/>
  <c r="L422" i="12"/>
  <c r="L424" i="12"/>
  <c r="L425" i="12"/>
  <c r="L426" i="12"/>
  <c r="L428" i="12"/>
  <c r="L429" i="12"/>
  <c r="L430" i="12"/>
  <c r="L432" i="12"/>
  <c r="L433" i="12"/>
  <c r="L434" i="12"/>
  <c r="L436" i="12"/>
  <c r="L437" i="12"/>
  <c r="L438" i="12"/>
  <c r="L440" i="12"/>
  <c r="L441" i="12"/>
  <c r="L442" i="12"/>
  <c r="L444" i="12"/>
  <c r="L445" i="12"/>
  <c r="L446" i="12"/>
  <c r="L448" i="12"/>
  <c r="L449" i="12"/>
  <c r="L450" i="12"/>
  <c r="L452" i="12"/>
  <c r="L453" i="12"/>
  <c r="L454" i="12"/>
  <c r="L456" i="12"/>
  <c r="L457" i="12"/>
  <c r="L458" i="12"/>
  <c r="L460" i="12"/>
  <c r="L461" i="12"/>
  <c r="L462" i="12"/>
  <c r="L464" i="12"/>
  <c r="L465" i="12"/>
  <c r="L466" i="12"/>
  <c r="L468" i="12"/>
  <c r="L469" i="12"/>
  <c r="L470" i="12"/>
  <c r="L472" i="12"/>
  <c r="L473" i="12"/>
  <c r="L474" i="12"/>
  <c r="L476" i="12"/>
  <c r="L477" i="12"/>
  <c r="L478" i="12"/>
  <c r="L480" i="12"/>
  <c r="L481" i="12"/>
  <c r="L482" i="12"/>
  <c r="L484" i="12"/>
  <c r="L485" i="12"/>
  <c r="L486" i="12"/>
  <c r="L488" i="12"/>
  <c r="L489" i="12"/>
  <c r="L490" i="12"/>
  <c r="L492" i="12"/>
  <c r="L493" i="12"/>
  <c r="L494" i="12"/>
  <c r="L496" i="12"/>
  <c r="L497" i="12"/>
  <c r="L498" i="12"/>
  <c r="L500" i="12"/>
  <c r="L501" i="12"/>
  <c r="L502" i="12"/>
  <c r="L504" i="12"/>
  <c r="L505" i="12"/>
  <c r="L506" i="12"/>
  <c r="L508" i="12"/>
  <c r="L509" i="12"/>
  <c r="L510" i="12"/>
  <c r="L512" i="12"/>
  <c r="L513" i="12"/>
  <c r="L514" i="12"/>
  <c r="L516" i="12"/>
  <c r="L517" i="12"/>
  <c r="L518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L262" i="12"/>
  <c r="L263" i="12"/>
  <c r="L265" i="12"/>
  <c r="L266" i="12"/>
  <c r="L269" i="12"/>
  <c r="L270" i="12"/>
  <c r="L273" i="12"/>
  <c r="L274" i="12"/>
  <c r="L277" i="12"/>
  <c r="L278" i="12"/>
  <c r="L279" i="12"/>
  <c r="L281" i="12"/>
  <c r="L282" i="12"/>
  <c r="L285" i="12"/>
  <c r="L286" i="12"/>
  <c r="G351" i="12"/>
  <c r="L351" i="12"/>
  <c r="G350" i="12"/>
  <c r="L350" i="12"/>
  <c r="G349" i="12"/>
  <c r="L349" i="12"/>
  <c r="G348" i="12"/>
  <c r="G347" i="12"/>
  <c r="G346" i="12"/>
  <c r="L346" i="12"/>
  <c r="G345" i="12"/>
  <c r="L345" i="12"/>
  <c r="G344" i="12"/>
  <c r="G343" i="12"/>
  <c r="G342" i="12"/>
  <c r="L342" i="12"/>
  <c r="G341" i="12"/>
  <c r="L341" i="12"/>
  <c r="G340" i="12"/>
  <c r="G339" i="12"/>
  <c r="G338" i="12"/>
  <c r="L338" i="12"/>
  <c r="G337" i="12"/>
  <c r="L337" i="12"/>
  <c r="G336" i="12"/>
  <c r="G335" i="12"/>
  <c r="L335" i="12"/>
  <c r="G334" i="12"/>
  <c r="L334" i="12"/>
  <c r="G333" i="12"/>
  <c r="L333" i="12"/>
  <c r="G332" i="12"/>
  <c r="G331" i="12"/>
  <c r="G330" i="12"/>
  <c r="L330" i="12"/>
  <c r="G329" i="12"/>
  <c r="L329" i="12"/>
  <c r="G328" i="12"/>
  <c r="G327" i="12"/>
  <c r="G326" i="12"/>
  <c r="L326" i="12"/>
  <c r="G325" i="12"/>
  <c r="L325" i="12"/>
  <c r="G324" i="12"/>
  <c r="G323" i="12"/>
  <c r="G322" i="12"/>
  <c r="L322" i="12"/>
  <c r="G321" i="12"/>
  <c r="L321" i="12"/>
  <c r="G320" i="12"/>
  <c r="G319" i="12"/>
  <c r="L319" i="12"/>
  <c r="G318" i="12"/>
  <c r="L318" i="12"/>
  <c r="G317" i="12"/>
  <c r="L317" i="12"/>
  <c r="G316" i="12"/>
  <c r="G315" i="12"/>
  <c r="G314" i="12"/>
  <c r="L314" i="12"/>
  <c r="G313" i="12"/>
  <c r="L313" i="12"/>
  <c r="G312" i="12"/>
  <c r="G311" i="12"/>
  <c r="G310" i="12"/>
  <c r="L310" i="12"/>
  <c r="G309" i="12"/>
  <c r="L309" i="12"/>
  <c r="G308" i="12"/>
  <c r="G307" i="12"/>
  <c r="G306" i="12"/>
  <c r="L306" i="12"/>
  <c r="G305" i="12"/>
  <c r="L305" i="12"/>
  <c r="G304" i="12"/>
  <c r="G303" i="12"/>
  <c r="L303" i="12"/>
  <c r="G302" i="12"/>
  <c r="L302" i="12"/>
  <c r="G301" i="12"/>
  <c r="L301" i="12"/>
  <c r="G300" i="12"/>
  <c r="G299" i="12"/>
  <c r="G298" i="12"/>
  <c r="L298" i="12"/>
  <c r="G297" i="12"/>
  <c r="L297" i="12"/>
  <c r="G296" i="12"/>
  <c r="G295" i="12"/>
  <c r="G294" i="12"/>
  <c r="L294" i="12"/>
  <c r="G293" i="12"/>
  <c r="L293" i="12"/>
  <c r="G292" i="12"/>
  <c r="G291" i="12"/>
  <c r="G290" i="12"/>
  <c r="L290" i="12"/>
  <c r="G253" i="12"/>
  <c r="I253" i="12"/>
  <c r="L253" i="12" s="1"/>
  <c r="G252" i="12"/>
  <c r="I252" i="12"/>
  <c r="L252" i="12" s="1"/>
  <c r="G251" i="12"/>
  <c r="I251" i="12"/>
  <c r="L251" i="12" s="1"/>
  <c r="G250" i="12"/>
  <c r="I250" i="12"/>
  <c r="L250" i="12" s="1"/>
  <c r="G249" i="12"/>
  <c r="I249" i="12"/>
  <c r="L249" i="12" s="1"/>
  <c r="G248" i="12"/>
  <c r="I248" i="12"/>
  <c r="L248" i="12" s="1"/>
  <c r="G247" i="12"/>
  <c r="I247" i="12"/>
  <c r="L247" i="12" s="1"/>
  <c r="G246" i="12"/>
  <c r="I246" i="12"/>
  <c r="L246" i="12" s="1"/>
  <c r="G245" i="12"/>
  <c r="I245" i="12"/>
  <c r="L245" i="12" s="1"/>
  <c r="G244" i="12"/>
  <c r="I244" i="12"/>
  <c r="L244" i="12" s="1"/>
  <c r="G243" i="12"/>
  <c r="I243" i="12"/>
  <c r="L243" i="12" s="1"/>
  <c r="G242" i="12"/>
  <c r="I242" i="12"/>
  <c r="L242" i="12" s="1"/>
  <c r="G241" i="12"/>
  <c r="I241" i="12"/>
  <c r="L241" i="12" s="1"/>
  <c r="G240" i="12"/>
  <c r="I240" i="12"/>
  <c r="L240" i="12" s="1"/>
  <c r="G239" i="12"/>
  <c r="I239" i="12"/>
  <c r="L239" i="12" s="1"/>
  <c r="G238" i="12"/>
  <c r="I238" i="12"/>
  <c r="L238" i="12" s="1"/>
  <c r="G237" i="12"/>
  <c r="I237" i="12"/>
  <c r="L237" i="12" s="1"/>
  <c r="G236" i="12"/>
  <c r="I236" i="12"/>
  <c r="L236" i="12" s="1"/>
  <c r="G235" i="12"/>
  <c r="I235" i="12"/>
  <c r="L235" i="12" s="1"/>
  <c r="G234" i="12"/>
  <c r="I234" i="12"/>
  <c r="L234" i="12" s="1"/>
  <c r="G233" i="12"/>
  <c r="I233" i="12"/>
  <c r="L233" i="12" s="1"/>
  <c r="G232" i="12"/>
  <c r="I232" i="12"/>
  <c r="L232" i="12" s="1"/>
  <c r="G231" i="12"/>
  <c r="I231" i="12"/>
  <c r="L231" i="12" s="1"/>
  <c r="G230" i="12"/>
  <c r="I230" i="12"/>
  <c r="L230" i="12" s="1"/>
  <c r="G229" i="12"/>
  <c r="I229" i="12"/>
  <c r="L229" i="12" s="1"/>
  <c r="G228" i="12"/>
  <c r="I228" i="12"/>
  <c r="L228" i="12" s="1"/>
  <c r="G227" i="12"/>
  <c r="I227" i="12"/>
  <c r="L227" i="12" s="1"/>
  <c r="G226" i="12"/>
  <c r="I226" i="12"/>
  <c r="L226" i="12" s="1"/>
  <c r="G225" i="12"/>
  <c r="I225" i="12"/>
  <c r="L225" i="12" s="1"/>
  <c r="G224" i="12"/>
  <c r="I224" i="12"/>
  <c r="L224" i="12" s="1"/>
  <c r="G223" i="12"/>
  <c r="I223" i="12"/>
  <c r="L223" i="12" s="1"/>
  <c r="G222" i="12"/>
  <c r="I222" i="12"/>
  <c r="L222" i="12" s="1"/>
  <c r="G221" i="12"/>
  <c r="I221" i="12"/>
  <c r="L221" i="12" s="1"/>
  <c r="G220" i="12"/>
  <c r="I220" i="12"/>
  <c r="L220" i="12" s="1"/>
  <c r="G219" i="12"/>
  <c r="I219" i="12"/>
  <c r="L219" i="12" s="1"/>
  <c r="G218" i="12"/>
  <c r="I218" i="12"/>
  <c r="L218" i="12" s="1"/>
  <c r="G217" i="12"/>
  <c r="I217" i="12"/>
  <c r="L217" i="12" s="1"/>
  <c r="G216" i="12"/>
  <c r="I216" i="12"/>
  <c r="L216" i="12" s="1"/>
  <c r="G215" i="12"/>
  <c r="I215" i="12"/>
  <c r="L215" i="12" s="1"/>
  <c r="G214" i="12"/>
  <c r="I214" i="12"/>
  <c r="L214" i="12" s="1"/>
  <c r="G213" i="12"/>
  <c r="I213" i="12"/>
  <c r="L213" i="12" s="1"/>
  <c r="G212" i="12"/>
  <c r="I212" i="12"/>
  <c r="L212" i="12" s="1"/>
  <c r="G211" i="12"/>
  <c r="I211" i="12"/>
  <c r="L211" i="12" s="1"/>
  <c r="G210" i="12"/>
  <c r="I210" i="12"/>
  <c r="L210" i="12" s="1"/>
  <c r="G209" i="12"/>
  <c r="I209" i="12"/>
  <c r="L209" i="12" s="1"/>
  <c r="G208" i="12"/>
  <c r="I208" i="12"/>
  <c r="L208" i="12" s="1"/>
  <c r="G207" i="12"/>
  <c r="I207" i="12"/>
  <c r="L207" i="12" s="1"/>
  <c r="G206" i="12"/>
  <c r="I206" i="12"/>
  <c r="L206" i="12" s="1"/>
  <c r="G205" i="12"/>
  <c r="I205" i="12"/>
  <c r="L205" i="12" s="1"/>
  <c r="G204" i="12"/>
  <c r="I204" i="12"/>
  <c r="L204" i="12" s="1"/>
  <c r="G203" i="12"/>
  <c r="I203" i="12"/>
  <c r="L203" i="12" s="1"/>
  <c r="G202" i="12"/>
  <c r="I202" i="12"/>
  <c r="L202" i="12" s="1"/>
  <c r="G201" i="12"/>
  <c r="I201" i="12"/>
  <c r="L201" i="12" s="1"/>
  <c r="G200" i="12"/>
  <c r="I200" i="12"/>
  <c r="L200" i="12" s="1"/>
  <c r="H125" i="12"/>
  <c r="H126" i="12"/>
  <c r="H127" i="12"/>
  <c r="G90" i="12" l="1"/>
  <c r="I90" i="12"/>
  <c r="P90" i="12" s="1"/>
  <c r="Q90" i="12"/>
  <c r="R90" i="12"/>
  <c r="G62" i="12"/>
  <c r="I62" i="12"/>
  <c r="P62" i="12" s="1"/>
  <c r="Q62" i="12"/>
  <c r="R62" i="12"/>
  <c r="G71" i="12"/>
  <c r="I71" i="12"/>
  <c r="P71" i="12" s="1"/>
  <c r="Q71" i="12"/>
  <c r="R71" i="12"/>
  <c r="G95" i="12"/>
  <c r="I95" i="12"/>
  <c r="P95" i="12" s="1"/>
  <c r="Q95" i="12"/>
  <c r="R95" i="12"/>
  <c r="G27" i="12"/>
  <c r="I27" i="12"/>
  <c r="P27" i="12" s="1"/>
  <c r="Q27" i="12"/>
  <c r="R27" i="12"/>
  <c r="G39" i="12"/>
  <c r="I39" i="12"/>
  <c r="P39" i="12" s="1"/>
  <c r="Q39" i="12"/>
  <c r="R39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H135" i="12"/>
  <c r="H136" i="12"/>
  <c r="H177" i="12"/>
  <c r="J135" i="12"/>
  <c r="J136" i="12"/>
  <c r="J177" i="12"/>
  <c r="K135" i="12"/>
  <c r="K136" i="12"/>
  <c r="K177" i="12"/>
  <c r="H178" i="12"/>
  <c r="H179" i="12"/>
  <c r="J178" i="12"/>
  <c r="J179" i="12"/>
  <c r="K178" i="12"/>
  <c r="K179" i="12"/>
  <c r="G80" i="12"/>
  <c r="I80" i="12"/>
  <c r="P80" i="12" s="1"/>
  <c r="Q80" i="12"/>
  <c r="R80" i="12"/>
  <c r="G32" i="12"/>
  <c r="G30" i="12"/>
  <c r="G34" i="12"/>
  <c r="G25" i="12"/>
  <c r="G35" i="12"/>
  <c r="G24" i="12"/>
  <c r="G21" i="12"/>
  <c r="G33" i="12"/>
  <c r="G31" i="12"/>
  <c r="G23" i="12"/>
  <c r="G22" i="12"/>
  <c r="G40" i="12"/>
  <c r="G41" i="12"/>
  <c r="G42" i="12"/>
  <c r="G44" i="12"/>
  <c r="G43" i="12"/>
  <c r="G45" i="12"/>
  <c r="I32" i="12"/>
  <c r="P32" i="12" s="1"/>
  <c r="I34" i="12"/>
  <c r="P34" i="12" s="1"/>
  <c r="I25" i="12"/>
  <c r="P25" i="12" s="1"/>
  <c r="I35" i="12"/>
  <c r="P35" i="12" s="1"/>
  <c r="I24" i="12"/>
  <c r="P24" i="12" s="1"/>
  <c r="I21" i="12"/>
  <c r="P21" i="12" s="1"/>
  <c r="I33" i="12"/>
  <c r="P33" i="12" s="1"/>
  <c r="I31" i="12"/>
  <c r="P31" i="12" s="1"/>
  <c r="I23" i="12"/>
  <c r="P23" i="12" s="1"/>
  <c r="I22" i="12"/>
  <c r="P22" i="12" s="1"/>
  <c r="I40" i="12"/>
  <c r="P40" i="12" s="1"/>
  <c r="I41" i="12"/>
  <c r="P41" i="12" s="1"/>
  <c r="I42" i="12"/>
  <c r="P42" i="12" s="1"/>
  <c r="P44" i="12"/>
  <c r="I43" i="12"/>
  <c r="P43" i="12" s="1"/>
  <c r="P45" i="12"/>
  <c r="P30" i="12"/>
  <c r="Q32" i="12"/>
  <c r="Q30" i="12"/>
  <c r="Q34" i="12"/>
  <c r="Q25" i="12"/>
  <c r="Q35" i="12"/>
  <c r="Q24" i="12"/>
  <c r="Q21" i="12"/>
  <c r="Q33" i="12"/>
  <c r="Q31" i="12"/>
  <c r="Q23" i="12"/>
  <c r="Q22" i="12"/>
  <c r="Q40" i="12"/>
  <c r="Q41" i="12"/>
  <c r="Q42" i="12"/>
  <c r="Q44" i="12"/>
  <c r="Q43" i="12"/>
  <c r="Q45" i="12"/>
  <c r="R32" i="12"/>
  <c r="R30" i="12"/>
  <c r="R34" i="12"/>
  <c r="R25" i="12"/>
  <c r="R35" i="12"/>
  <c r="R24" i="12"/>
  <c r="R21" i="12"/>
  <c r="R33" i="12"/>
  <c r="R31" i="12"/>
  <c r="R23" i="12"/>
  <c r="R22" i="12"/>
  <c r="R40" i="12"/>
  <c r="R41" i="12"/>
  <c r="R42" i="12"/>
  <c r="R44" i="12"/>
  <c r="R43" i="12"/>
  <c r="R45" i="12"/>
  <c r="G46" i="12"/>
  <c r="G47" i="12"/>
  <c r="G49" i="12"/>
  <c r="G48" i="12"/>
  <c r="G50" i="12"/>
  <c r="G54" i="12"/>
  <c r="G53" i="12"/>
  <c r="G52" i="12"/>
  <c r="G51" i="12"/>
  <c r="G57" i="12"/>
  <c r="G58" i="12"/>
  <c r="G59" i="12"/>
  <c r="G60" i="12"/>
  <c r="G55" i="12"/>
  <c r="G56" i="12"/>
  <c r="G64" i="12"/>
  <c r="G61" i="12"/>
  <c r="I46" i="12"/>
  <c r="P46" i="12" s="1"/>
  <c r="I47" i="12"/>
  <c r="P47" i="12" s="1"/>
  <c r="I49" i="12"/>
  <c r="P49" i="12" s="1"/>
  <c r="P48" i="12"/>
  <c r="I50" i="12"/>
  <c r="P50" i="12" s="1"/>
  <c r="I54" i="12"/>
  <c r="P54" i="12" s="1"/>
  <c r="I53" i="12"/>
  <c r="P53" i="12" s="1"/>
  <c r="I52" i="12"/>
  <c r="P52" i="12" s="1"/>
  <c r="I51" i="12"/>
  <c r="P51" i="12" s="1"/>
  <c r="I57" i="12"/>
  <c r="P57" i="12" s="1"/>
  <c r="I58" i="12"/>
  <c r="P58" i="12" s="1"/>
  <c r="I59" i="12"/>
  <c r="P59" i="12" s="1"/>
  <c r="I60" i="12"/>
  <c r="P60" i="12" s="1"/>
  <c r="I55" i="12"/>
  <c r="P55" i="12" s="1"/>
  <c r="I56" i="12"/>
  <c r="P56" i="12" s="1"/>
  <c r="I64" i="12"/>
  <c r="P64" i="12" s="1"/>
  <c r="I61" i="12"/>
  <c r="P61" i="12" s="1"/>
  <c r="Q46" i="12"/>
  <c r="Q47" i="12"/>
  <c r="Q49" i="12"/>
  <c r="Q48" i="12"/>
  <c r="Q50" i="12"/>
  <c r="Q54" i="12"/>
  <c r="Q53" i="12"/>
  <c r="Q52" i="12"/>
  <c r="Q51" i="12"/>
  <c r="Q57" i="12"/>
  <c r="Q58" i="12"/>
  <c r="Q59" i="12"/>
  <c r="Q60" i="12"/>
  <c r="Q55" i="12"/>
  <c r="Q56" i="12"/>
  <c r="Q64" i="12"/>
  <c r="Q61" i="12"/>
  <c r="R46" i="12"/>
  <c r="R47" i="12"/>
  <c r="R49" i="12"/>
  <c r="R48" i="12"/>
  <c r="R50" i="12"/>
  <c r="R54" i="12"/>
  <c r="R53" i="12"/>
  <c r="R52" i="12"/>
  <c r="R51" i="12"/>
  <c r="R57" i="12"/>
  <c r="R58" i="12"/>
  <c r="R59" i="12"/>
  <c r="R60" i="12"/>
  <c r="R55" i="12"/>
  <c r="R56" i="12"/>
  <c r="R64" i="12"/>
  <c r="R61" i="12"/>
  <c r="G28" i="12"/>
  <c r="G26" i="12"/>
  <c r="G29" i="12"/>
  <c r="G63" i="12"/>
  <c r="G68" i="12"/>
  <c r="G67" i="12"/>
  <c r="G66" i="12"/>
  <c r="G70" i="12"/>
  <c r="G69" i="12"/>
  <c r="G72" i="12"/>
  <c r="G74" i="12"/>
  <c r="G73" i="12"/>
  <c r="G77" i="12"/>
  <c r="G76" i="12"/>
  <c r="G75" i="12"/>
  <c r="G78" i="12"/>
  <c r="I28" i="12"/>
  <c r="P28" i="12" s="1"/>
  <c r="I26" i="12"/>
  <c r="P26" i="12" s="1"/>
  <c r="I63" i="12"/>
  <c r="P63" i="12" s="1"/>
  <c r="I68" i="12"/>
  <c r="P68" i="12" s="1"/>
  <c r="I67" i="12"/>
  <c r="I66" i="12"/>
  <c r="P66" i="12" s="1"/>
  <c r="I70" i="12"/>
  <c r="P70" i="12" s="1"/>
  <c r="I69" i="12"/>
  <c r="P69" i="12" s="1"/>
  <c r="I72" i="12"/>
  <c r="P72" i="12" s="1"/>
  <c r="I74" i="12"/>
  <c r="P74" i="12" s="1"/>
  <c r="I73" i="12"/>
  <c r="P73" i="12" s="1"/>
  <c r="I77" i="12"/>
  <c r="P77" i="12" s="1"/>
  <c r="I76" i="12"/>
  <c r="P76" i="12" s="1"/>
  <c r="I75" i="12"/>
  <c r="P75" i="12" s="1"/>
  <c r="I78" i="12"/>
  <c r="P78" i="12" s="1"/>
  <c r="P29" i="12"/>
  <c r="P67" i="12"/>
  <c r="Q28" i="12"/>
  <c r="Q26" i="12"/>
  <c r="Q29" i="12"/>
  <c r="Q63" i="12"/>
  <c r="Q68" i="12"/>
  <c r="Q67" i="12"/>
  <c r="Q66" i="12"/>
  <c r="Q70" i="12"/>
  <c r="Q69" i="12"/>
  <c r="Q72" i="12"/>
  <c r="Q74" i="12"/>
  <c r="Q73" i="12"/>
  <c r="Q77" i="12"/>
  <c r="Q76" i="12"/>
  <c r="Q75" i="12"/>
  <c r="Q78" i="12"/>
  <c r="R28" i="12"/>
  <c r="R26" i="12"/>
  <c r="R29" i="12"/>
  <c r="R63" i="12"/>
  <c r="R68" i="12"/>
  <c r="R67" i="12"/>
  <c r="R66" i="12"/>
  <c r="R70" i="12"/>
  <c r="R69" i="12"/>
  <c r="R72" i="12"/>
  <c r="R74" i="12"/>
  <c r="R73" i="12"/>
  <c r="R77" i="12"/>
  <c r="R76" i="12"/>
  <c r="R75" i="12"/>
  <c r="R78" i="12"/>
  <c r="G88" i="12"/>
  <c r="G92" i="12"/>
  <c r="G91" i="12"/>
  <c r="G94" i="12"/>
  <c r="G93" i="12"/>
  <c r="G96" i="12"/>
  <c r="G99" i="12"/>
  <c r="G100" i="12"/>
  <c r="G98" i="12"/>
  <c r="G97" i="12"/>
  <c r="G103" i="12"/>
  <c r="G105" i="12"/>
  <c r="G106" i="12"/>
  <c r="I88" i="12"/>
  <c r="P88" i="12" s="1"/>
  <c r="I92" i="12"/>
  <c r="I91" i="12"/>
  <c r="P91" i="12" s="1"/>
  <c r="I94" i="12"/>
  <c r="P94" i="12" s="1"/>
  <c r="I93" i="12"/>
  <c r="P93" i="12" s="1"/>
  <c r="I96" i="12"/>
  <c r="P96" i="12" s="1"/>
  <c r="I99" i="12"/>
  <c r="P99" i="12" s="1"/>
  <c r="I100" i="12"/>
  <c r="P100" i="12" s="1"/>
  <c r="I98" i="12"/>
  <c r="P98" i="12" s="1"/>
  <c r="I97" i="12"/>
  <c r="P97" i="12" s="1"/>
  <c r="I103" i="12"/>
  <c r="P103" i="12" s="1"/>
  <c r="I105" i="12"/>
  <c r="P105" i="12" s="1"/>
  <c r="I106" i="12"/>
  <c r="P106" i="12" s="1"/>
  <c r="P92" i="12"/>
  <c r="Q88" i="12"/>
  <c r="Q92" i="12"/>
  <c r="Q91" i="12"/>
  <c r="Q94" i="12"/>
  <c r="Q93" i="12"/>
  <c r="Q96" i="12"/>
  <c r="Q99" i="12"/>
  <c r="Q100" i="12"/>
  <c r="Q98" i="12"/>
  <c r="Q97" i="12"/>
  <c r="Q103" i="12"/>
  <c r="Q105" i="12"/>
  <c r="Q106" i="12"/>
  <c r="R88" i="12"/>
  <c r="R92" i="12"/>
  <c r="R91" i="12"/>
  <c r="R94" i="12"/>
  <c r="R93" i="12"/>
  <c r="R96" i="12"/>
  <c r="R99" i="12"/>
  <c r="R100" i="12"/>
  <c r="R98" i="12"/>
  <c r="R97" i="12"/>
  <c r="R103" i="12"/>
  <c r="R105" i="12"/>
  <c r="R106" i="12"/>
  <c r="G82" i="12"/>
  <c r="I82" i="12"/>
  <c r="P82" i="12" s="1"/>
  <c r="Q82" i="12"/>
  <c r="R82" i="12"/>
  <c r="G65" i="12"/>
  <c r="I65" i="12"/>
  <c r="P65" i="12" s="1"/>
  <c r="Q65" i="12"/>
  <c r="R65" i="12"/>
  <c r="G115" i="12"/>
  <c r="I115" i="12"/>
  <c r="P115" i="12" s="1"/>
  <c r="Q115" i="12"/>
  <c r="R115" i="12"/>
  <c r="G114" i="12"/>
  <c r="I114" i="12"/>
  <c r="P114" i="12" s="1"/>
  <c r="Q114" i="12"/>
  <c r="R114" i="12"/>
  <c r="G116" i="12"/>
  <c r="I116" i="12"/>
  <c r="P116" i="12" s="1"/>
  <c r="Q116" i="12"/>
  <c r="R116" i="12"/>
  <c r="G113" i="12"/>
  <c r="P113" i="12"/>
  <c r="Q113" i="12"/>
  <c r="R113" i="12"/>
  <c r="G112" i="12"/>
  <c r="I112" i="12"/>
  <c r="P112" i="12" s="1"/>
  <c r="Q112" i="12"/>
  <c r="R112" i="12"/>
  <c r="G111" i="12"/>
  <c r="I111" i="12"/>
  <c r="P111" i="12" s="1"/>
  <c r="Q111" i="12"/>
  <c r="R111" i="12"/>
  <c r="G110" i="12"/>
  <c r="I110" i="12"/>
  <c r="P110" i="12" s="1"/>
  <c r="Q110" i="12"/>
  <c r="R110" i="12"/>
  <c r="G109" i="12"/>
  <c r="I109" i="12"/>
  <c r="P109" i="12" s="1"/>
  <c r="Q109" i="12"/>
  <c r="R109" i="12"/>
  <c r="G107" i="12"/>
  <c r="I107" i="12"/>
  <c r="P107" i="12" s="1"/>
  <c r="Q107" i="12"/>
  <c r="R107" i="12"/>
  <c r="G108" i="12"/>
  <c r="I108" i="12"/>
  <c r="P108" i="12" s="1"/>
  <c r="Q108" i="12"/>
  <c r="R108" i="12"/>
  <c r="G102" i="12"/>
  <c r="I102" i="12"/>
  <c r="P102" i="12" s="1"/>
  <c r="Q102" i="12"/>
  <c r="R102" i="12"/>
  <c r="G101" i="12"/>
  <c r="I101" i="12"/>
  <c r="P101" i="12" s="1"/>
  <c r="Q101" i="12"/>
  <c r="R101" i="12"/>
  <c r="G104" i="12"/>
  <c r="I104" i="12"/>
  <c r="P104" i="12" s="1"/>
  <c r="Q104" i="12"/>
  <c r="R104" i="12"/>
  <c r="G89" i="12"/>
  <c r="I89" i="12"/>
  <c r="P89" i="12" s="1"/>
  <c r="Q89" i="12"/>
  <c r="R89" i="12"/>
  <c r="G86" i="12"/>
  <c r="I86" i="12"/>
  <c r="P86" i="12" s="1"/>
  <c r="Q86" i="12"/>
  <c r="R86" i="12"/>
  <c r="G109" i="11" l="1"/>
  <c r="I109" i="11"/>
  <c r="P109" i="11" s="1"/>
  <c r="Q109" i="11"/>
  <c r="R109" i="11"/>
  <c r="H134" i="11"/>
  <c r="H135" i="11"/>
  <c r="H136" i="11"/>
  <c r="G76" i="11"/>
  <c r="I76" i="11"/>
  <c r="P76" i="11" s="1"/>
  <c r="Q76" i="11"/>
  <c r="R76" i="11"/>
  <c r="G75" i="11"/>
  <c r="I75" i="11"/>
  <c r="P75" i="11" s="1"/>
  <c r="Q75" i="11"/>
  <c r="R75" i="11"/>
  <c r="G74" i="11"/>
  <c r="I74" i="11"/>
  <c r="P74" i="11" s="1"/>
  <c r="Q74" i="11"/>
  <c r="R74" i="11"/>
  <c r="G88" i="11"/>
  <c r="I88" i="11"/>
  <c r="P88" i="11" s="1"/>
  <c r="Q88" i="11"/>
  <c r="R88" i="11"/>
  <c r="G87" i="11"/>
  <c r="I87" i="11"/>
  <c r="P87" i="11" s="1"/>
  <c r="Q87" i="11"/>
  <c r="R87" i="11"/>
  <c r="G86" i="11"/>
  <c r="I86" i="11"/>
  <c r="P86" i="11" s="1"/>
  <c r="Q86" i="11"/>
  <c r="R86" i="11"/>
  <c r="G85" i="11"/>
  <c r="I85" i="11"/>
  <c r="P85" i="11" s="1"/>
  <c r="Q85" i="11"/>
  <c r="R85" i="11"/>
  <c r="G84" i="11"/>
  <c r="I84" i="11"/>
  <c r="P84" i="11" s="1"/>
  <c r="Q84" i="11"/>
  <c r="R84" i="11"/>
  <c r="H144" i="11"/>
  <c r="H147" i="11"/>
  <c r="J144" i="11"/>
  <c r="J147" i="11"/>
  <c r="K144" i="11"/>
  <c r="K147" i="11"/>
  <c r="H148" i="11"/>
  <c r="H151" i="11"/>
  <c r="J148" i="11"/>
  <c r="J151" i="11"/>
  <c r="K148" i="11"/>
  <c r="K151" i="11"/>
  <c r="H152" i="11"/>
  <c r="H158" i="11"/>
  <c r="J152" i="11"/>
  <c r="J158" i="11"/>
  <c r="K152" i="11"/>
  <c r="K158" i="11"/>
  <c r="H159" i="11"/>
  <c r="H172" i="11"/>
  <c r="J159" i="11"/>
  <c r="J172" i="11"/>
  <c r="K159" i="11"/>
  <c r="K172" i="11"/>
  <c r="H173" i="11"/>
  <c r="H174" i="11"/>
  <c r="J173" i="11"/>
  <c r="J174" i="11"/>
  <c r="K173" i="11"/>
  <c r="K174" i="11"/>
  <c r="H176" i="11"/>
  <c r="H150" i="11"/>
  <c r="J176" i="11"/>
  <c r="J150" i="11"/>
  <c r="K176" i="11"/>
  <c r="K150" i="11"/>
  <c r="H160" i="11"/>
  <c r="H177" i="11"/>
  <c r="J160" i="11"/>
  <c r="J177" i="11"/>
  <c r="K160" i="11"/>
  <c r="K177" i="11"/>
  <c r="H178" i="11"/>
  <c r="J178" i="11"/>
  <c r="K178" i="11"/>
  <c r="G83" i="11"/>
  <c r="I83" i="11"/>
  <c r="P83" i="11" s="1"/>
  <c r="Q83" i="11"/>
  <c r="R83" i="11"/>
  <c r="G69" i="11"/>
  <c r="I69" i="11"/>
  <c r="P69" i="11" s="1"/>
  <c r="Q69" i="11"/>
  <c r="R69" i="11"/>
  <c r="G68" i="11"/>
  <c r="I68" i="11"/>
  <c r="P68" i="11" s="1"/>
  <c r="Q68" i="11"/>
  <c r="R68" i="11"/>
  <c r="G125" i="11"/>
  <c r="I125" i="11"/>
  <c r="P125" i="11" s="1"/>
  <c r="Q125" i="11"/>
  <c r="R125" i="11"/>
  <c r="G120" i="11"/>
  <c r="I120" i="11"/>
  <c r="P120" i="11" s="1"/>
  <c r="Q120" i="11"/>
  <c r="R120" i="11"/>
  <c r="G123" i="11"/>
  <c r="I123" i="11"/>
  <c r="P123" i="11" s="1"/>
  <c r="Q123" i="11"/>
  <c r="R123" i="11"/>
  <c r="G121" i="11"/>
  <c r="I121" i="11"/>
  <c r="P121" i="11" s="1"/>
  <c r="Q121" i="11"/>
  <c r="R121" i="11"/>
  <c r="G126" i="11"/>
  <c r="I126" i="11"/>
  <c r="P126" i="11" s="1"/>
  <c r="Q126" i="11"/>
  <c r="R126" i="11"/>
  <c r="G114" i="11"/>
  <c r="I114" i="11"/>
  <c r="P114" i="11" s="1"/>
  <c r="Q114" i="11"/>
  <c r="R114" i="11"/>
  <c r="G113" i="11"/>
  <c r="I113" i="11"/>
  <c r="P113" i="11" s="1"/>
  <c r="Q113" i="11"/>
  <c r="R113" i="11"/>
  <c r="G104" i="11"/>
  <c r="I104" i="11"/>
  <c r="P104" i="11" s="1"/>
  <c r="Q104" i="11"/>
  <c r="R104" i="11"/>
  <c r="G102" i="11"/>
  <c r="I102" i="11"/>
  <c r="P102" i="11" s="1"/>
  <c r="Q102" i="11"/>
  <c r="R102" i="11"/>
  <c r="G101" i="11"/>
  <c r="I101" i="11"/>
  <c r="P101" i="11" s="1"/>
  <c r="Q101" i="11"/>
  <c r="R101" i="11"/>
  <c r="G94" i="11"/>
  <c r="I94" i="11"/>
  <c r="P94" i="11" s="1"/>
  <c r="Q94" i="11"/>
  <c r="R94" i="11"/>
  <c r="G93" i="11"/>
  <c r="I93" i="11"/>
  <c r="P93" i="11" s="1"/>
  <c r="Q93" i="11"/>
  <c r="R93" i="11"/>
  <c r="G90" i="11"/>
  <c r="I90" i="11"/>
  <c r="P90" i="11" s="1"/>
  <c r="Q90" i="11"/>
  <c r="R90" i="11"/>
  <c r="G78" i="11"/>
  <c r="I78" i="11"/>
  <c r="P78" i="11" s="1"/>
  <c r="Q78" i="11"/>
  <c r="R78" i="11"/>
  <c r="G73" i="11"/>
  <c r="I73" i="11"/>
  <c r="P73" i="11" s="1"/>
  <c r="Q73" i="11"/>
  <c r="R73" i="11"/>
  <c r="G66" i="11"/>
  <c r="I66" i="11"/>
  <c r="P66" i="11" s="1"/>
  <c r="Q66" i="11"/>
  <c r="R66" i="11"/>
  <c r="G65" i="11"/>
  <c r="I65" i="11"/>
  <c r="P65" i="11" s="1"/>
  <c r="Q65" i="11"/>
  <c r="R65" i="11"/>
  <c r="G63" i="11"/>
  <c r="I63" i="11"/>
  <c r="P63" i="11" s="1"/>
  <c r="Q63" i="11"/>
  <c r="R63" i="11"/>
  <c r="G56" i="11"/>
  <c r="I56" i="11"/>
  <c r="P56" i="11" s="1"/>
  <c r="Q56" i="11"/>
  <c r="R56" i="11"/>
  <c r="G54" i="11"/>
  <c r="I54" i="11"/>
  <c r="P54" i="11" s="1"/>
  <c r="Q54" i="11"/>
  <c r="R54" i="11"/>
  <c r="G46" i="11"/>
  <c r="I46" i="11"/>
  <c r="P46" i="11" s="1"/>
  <c r="Q46" i="11"/>
  <c r="R46" i="11"/>
  <c r="G45" i="11"/>
  <c r="I45" i="11"/>
  <c r="P45" i="11" s="1"/>
  <c r="Q45" i="11"/>
  <c r="R45" i="11"/>
  <c r="G51" i="11"/>
  <c r="I51" i="11"/>
  <c r="P51" i="11" s="1"/>
  <c r="Q51" i="11"/>
  <c r="R51" i="11"/>
  <c r="G47" i="11"/>
  <c r="I47" i="11"/>
  <c r="P47" i="11" s="1"/>
  <c r="Q47" i="11"/>
  <c r="R47" i="11"/>
  <c r="G42" i="11"/>
  <c r="I42" i="11"/>
  <c r="P42" i="11" s="1"/>
  <c r="Q42" i="11"/>
  <c r="R42" i="11"/>
  <c r="G30" i="11"/>
  <c r="I30" i="11"/>
  <c r="P30" i="11" s="1"/>
  <c r="Q30" i="11"/>
  <c r="R30" i="11"/>
  <c r="G24" i="11"/>
  <c r="I24" i="11"/>
  <c r="P24" i="11" s="1"/>
  <c r="Q24" i="11"/>
  <c r="R24" i="11"/>
  <c r="G23" i="11"/>
  <c r="I23" i="11"/>
  <c r="P23" i="11" s="1"/>
  <c r="Q23" i="11"/>
  <c r="R23" i="11"/>
  <c r="H143" i="11"/>
  <c r="H145" i="11"/>
  <c r="H146" i="11"/>
  <c r="H149" i="11"/>
  <c r="J143" i="11"/>
  <c r="J145" i="11"/>
  <c r="J146" i="11"/>
  <c r="J149" i="11"/>
  <c r="K143" i="11"/>
  <c r="K145" i="11"/>
  <c r="K146" i="11"/>
  <c r="K149" i="11"/>
  <c r="H153" i="11"/>
  <c r="H154" i="11"/>
  <c r="H155" i="11"/>
  <c r="H156" i="11"/>
  <c r="J153" i="11"/>
  <c r="J154" i="11"/>
  <c r="J155" i="11"/>
  <c r="J156" i="11"/>
  <c r="K153" i="11"/>
  <c r="K154" i="11"/>
  <c r="K155" i="11"/>
  <c r="K156" i="11"/>
  <c r="H157" i="11"/>
  <c r="H161" i="11"/>
  <c r="H162" i="11"/>
  <c r="H163" i="11"/>
  <c r="J157" i="11"/>
  <c r="J161" i="11"/>
  <c r="J162" i="11"/>
  <c r="J163" i="11"/>
  <c r="K157" i="11"/>
  <c r="K161" i="11"/>
  <c r="K162" i="11"/>
  <c r="K163" i="11"/>
  <c r="H164" i="11"/>
  <c r="H165" i="11"/>
  <c r="H166" i="11"/>
  <c r="H167" i="11"/>
  <c r="J164" i="11"/>
  <c r="J165" i="11"/>
  <c r="J166" i="11"/>
  <c r="J167" i="11"/>
  <c r="K164" i="11"/>
  <c r="K165" i="11"/>
  <c r="K166" i="11"/>
  <c r="K167" i="11"/>
  <c r="H168" i="11"/>
  <c r="H169" i="11"/>
  <c r="H170" i="11"/>
  <c r="H171" i="11"/>
  <c r="J168" i="11"/>
  <c r="J169" i="11"/>
  <c r="J170" i="11"/>
  <c r="J171" i="11"/>
  <c r="K168" i="11"/>
  <c r="K169" i="11"/>
  <c r="K170" i="11"/>
  <c r="K171" i="11"/>
  <c r="H175" i="11"/>
  <c r="J175" i="11"/>
  <c r="K175" i="11"/>
  <c r="G10" i="11"/>
  <c r="G12" i="11"/>
  <c r="G17" i="11"/>
  <c r="G20" i="11"/>
  <c r="G22" i="11"/>
  <c r="G19" i="11"/>
  <c r="I10" i="11"/>
  <c r="P10" i="11" s="1"/>
  <c r="P12" i="11"/>
  <c r="I17" i="11"/>
  <c r="P17" i="11" s="1"/>
  <c r="I20" i="11"/>
  <c r="P20" i="11" s="1"/>
  <c r="I22" i="11"/>
  <c r="P22" i="11" s="1"/>
  <c r="I19" i="11"/>
  <c r="P19" i="11" s="1"/>
  <c r="Q10" i="11"/>
  <c r="Q12" i="11"/>
  <c r="Q17" i="11"/>
  <c r="Q20" i="11"/>
  <c r="Q22" i="11"/>
  <c r="Q19" i="11"/>
  <c r="R10" i="11"/>
  <c r="R12" i="11"/>
  <c r="R17" i="11"/>
  <c r="R20" i="11"/>
  <c r="R22" i="11"/>
  <c r="R19" i="11"/>
  <c r="J124" i="11"/>
  <c r="K92" i="11"/>
  <c r="P92" i="11" s="1"/>
  <c r="K50" i="11"/>
  <c r="P50" i="11" s="1"/>
  <c r="J40" i="11"/>
  <c r="P40" i="11" s="1"/>
  <c r="K27" i="11"/>
  <c r="P27" i="11" s="1"/>
  <c r="I36" i="11"/>
  <c r="G49" i="14"/>
  <c r="G50" i="11"/>
  <c r="G52" i="11"/>
  <c r="G55" i="11"/>
  <c r="G58" i="11"/>
  <c r="G57" i="11"/>
  <c r="G59" i="11"/>
  <c r="G61" i="11"/>
  <c r="G62" i="11"/>
  <c r="G60" i="11"/>
  <c r="G64" i="11"/>
  <c r="G67" i="11"/>
  <c r="G71" i="11"/>
  <c r="I52" i="11"/>
  <c r="P52" i="11" s="1"/>
  <c r="I55" i="11"/>
  <c r="P55" i="11" s="1"/>
  <c r="I53" i="11"/>
  <c r="P53" i="11" s="1"/>
  <c r="I58" i="11"/>
  <c r="P58" i="11" s="1"/>
  <c r="I57" i="11"/>
  <c r="P57" i="11" s="1"/>
  <c r="I59" i="11"/>
  <c r="P59" i="11" s="1"/>
  <c r="I61" i="11"/>
  <c r="P61" i="11" s="1"/>
  <c r="I62" i="11"/>
  <c r="I60" i="11"/>
  <c r="P60" i="11" s="1"/>
  <c r="I64" i="11"/>
  <c r="P64" i="11" s="1"/>
  <c r="I67" i="11"/>
  <c r="P67" i="11" s="1"/>
  <c r="I71" i="11"/>
  <c r="Q50" i="11"/>
  <c r="Q52" i="11"/>
  <c r="Q55" i="11"/>
  <c r="Q53" i="11"/>
  <c r="Q58" i="11"/>
  <c r="Q57" i="11"/>
  <c r="Q59" i="11"/>
  <c r="Q61" i="11"/>
  <c r="Q62" i="11"/>
  <c r="Q60" i="11"/>
  <c r="Q64" i="11"/>
  <c r="Q67" i="11"/>
  <c r="Q71" i="11"/>
  <c r="R50" i="11"/>
  <c r="R52" i="11"/>
  <c r="R55" i="11"/>
  <c r="R53" i="11"/>
  <c r="R58" i="11"/>
  <c r="R57" i="11"/>
  <c r="R59" i="11"/>
  <c r="R61" i="11"/>
  <c r="R62" i="11"/>
  <c r="R60" i="11"/>
  <c r="R64" i="11"/>
  <c r="R67" i="11"/>
  <c r="R71" i="11"/>
  <c r="G72" i="11"/>
  <c r="G70" i="11"/>
  <c r="G81" i="11"/>
  <c r="G77" i="11"/>
  <c r="G82" i="11"/>
  <c r="G79" i="11"/>
  <c r="G80" i="11"/>
  <c r="G91" i="11"/>
  <c r="G89" i="11"/>
  <c r="G92" i="11"/>
  <c r="G96" i="11"/>
  <c r="G95" i="11"/>
  <c r="G97" i="11"/>
  <c r="I72" i="11"/>
  <c r="P72" i="11" s="1"/>
  <c r="I70" i="11"/>
  <c r="P70" i="11" s="1"/>
  <c r="I81" i="11"/>
  <c r="I77" i="11"/>
  <c r="I82" i="11"/>
  <c r="P82" i="11" s="1"/>
  <c r="I79" i="11"/>
  <c r="P79" i="11" s="1"/>
  <c r="I80" i="11"/>
  <c r="I91" i="11"/>
  <c r="I89" i="11"/>
  <c r="P89" i="11" s="1"/>
  <c r="I96" i="11"/>
  <c r="I95" i="11"/>
  <c r="P97" i="11"/>
  <c r="Q72" i="11"/>
  <c r="Q70" i="11"/>
  <c r="Q81" i="11"/>
  <c r="Q77" i="11"/>
  <c r="Q82" i="11"/>
  <c r="Q79" i="11"/>
  <c r="Q80" i="11"/>
  <c r="Q91" i="11"/>
  <c r="Q89" i="11"/>
  <c r="Q92" i="11"/>
  <c r="Q96" i="11"/>
  <c r="Q95" i="11"/>
  <c r="Q97" i="11"/>
  <c r="R72" i="11"/>
  <c r="R70" i="11"/>
  <c r="R81" i="11"/>
  <c r="R77" i="11"/>
  <c r="R82" i="11"/>
  <c r="R79" i="11"/>
  <c r="R80" i="11"/>
  <c r="R91" i="11"/>
  <c r="R89" i="11"/>
  <c r="R92" i="11"/>
  <c r="R96" i="11"/>
  <c r="R95" i="11"/>
  <c r="R97" i="11"/>
  <c r="G34" i="11"/>
  <c r="G31" i="11"/>
  <c r="G32" i="11"/>
  <c r="G33" i="11"/>
  <c r="G39" i="11"/>
  <c r="G36" i="11"/>
  <c r="G38" i="11"/>
  <c r="G37" i="11"/>
  <c r="G40" i="11"/>
  <c r="G41" i="11"/>
  <c r="G44" i="11"/>
  <c r="G43" i="11"/>
  <c r="G48" i="11"/>
  <c r="I34" i="11"/>
  <c r="P34" i="11" s="1"/>
  <c r="I31" i="11"/>
  <c r="P31" i="11" s="1"/>
  <c r="I32" i="11"/>
  <c r="P32" i="11" s="1"/>
  <c r="I33" i="11"/>
  <c r="I39" i="11"/>
  <c r="P39" i="11" s="1"/>
  <c r="I38" i="11"/>
  <c r="P38" i="11" s="1"/>
  <c r="I37" i="11"/>
  <c r="P37" i="11" s="1"/>
  <c r="I41" i="11"/>
  <c r="P41" i="11" s="1"/>
  <c r="I44" i="11"/>
  <c r="P44" i="11" s="1"/>
  <c r="I43" i="11"/>
  <c r="P43" i="11" s="1"/>
  <c r="I48" i="11"/>
  <c r="P48" i="11" s="1"/>
  <c r="Q34" i="11"/>
  <c r="Q31" i="11"/>
  <c r="Q32" i="11"/>
  <c r="Q33" i="11"/>
  <c r="Q39" i="11"/>
  <c r="Q36" i="11"/>
  <c r="Q38" i="11"/>
  <c r="Q37" i="11"/>
  <c r="Q40" i="11"/>
  <c r="Q41" i="11"/>
  <c r="Q44" i="11"/>
  <c r="Q43" i="11"/>
  <c r="Q48" i="11"/>
  <c r="R34" i="11"/>
  <c r="R31" i="11"/>
  <c r="R32" i="11"/>
  <c r="R33" i="11"/>
  <c r="R39" i="11"/>
  <c r="R36" i="11"/>
  <c r="R38" i="11"/>
  <c r="R37" i="11"/>
  <c r="R40" i="11"/>
  <c r="R41" i="11"/>
  <c r="R44" i="11"/>
  <c r="R43" i="11"/>
  <c r="R48" i="11"/>
  <c r="G18" i="11"/>
  <c r="G16" i="11"/>
  <c r="G21" i="11"/>
  <c r="I18" i="11"/>
  <c r="P18" i="11" s="1"/>
  <c r="I16" i="11"/>
  <c r="I21" i="11"/>
  <c r="P21" i="11" s="1"/>
  <c r="Q18" i="11"/>
  <c r="Q16" i="11"/>
  <c r="Q21" i="11"/>
  <c r="R18" i="11"/>
  <c r="R16" i="11"/>
  <c r="R21" i="11"/>
  <c r="G25" i="11"/>
  <c r="G26" i="11"/>
  <c r="G27" i="11"/>
  <c r="I25" i="11"/>
  <c r="P25" i="11" s="1"/>
  <c r="I26" i="11"/>
  <c r="P26" i="11" s="1"/>
  <c r="Q25" i="11"/>
  <c r="Q26" i="11"/>
  <c r="Q27" i="11"/>
  <c r="R25" i="11"/>
  <c r="R26" i="11"/>
  <c r="R27" i="11"/>
  <c r="G28" i="11"/>
  <c r="G29" i="11"/>
  <c r="G35" i="11"/>
  <c r="G49" i="11"/>
  <c r="I28" i="11"/>
  <c r="P28" i="11" s="1"/>
  <c r="I29" i="11"/>
  <c r="P29" i="11" s="1"/>
  <c r="I35" i="11"/>
  <c r="P35" i="11" s="1"/>
  <c r="I49" i="11"/>
  <c r="P49" i="11" s="1"/>
  <c r="Q28" i="11"/>
  <c r="Q29" i="11"/>
  <c r="Q35" i="11"/>
  <c r="Q49" i="11"/>
  <c r="R28" i="11"/>
  <c r="R29" i="11"/>
  <c r="R35" i="11"/>
  <c r="R49" i="11"/>
  <c r="G98" i="11"/>
  <c r="G99" i="11"/>
  <c r="G100" i="11"/>
  <c r="I98" i="11"/>
  <c r="P98" i="11" s="1"/>
  <c r="I99" i="11"/>
  <c r="P99" i="11" s="1"/>
  <c r="I100" i="11"/>
  <c r="Q98" i="11"/>
  <c r="Q99" i="11"/>
  <c r="Q100" i="11"/>
  <c r="R98" i="11"/>
  <c r="R99" i="11"/>
  <c r="R100" i="11"/>
  <c r="G105" i="11"/>
  <c r="G106" i="11"/>
  <c r="G107" i="11"/>
  <c r="G103" i="11"/>
  <c r="I105" i="11"/>
  <c r="P105" i="11" s="1"/>
  <c r="I106" i="11"/>
  <c r="P106" i="11" s="1"/>
  <c r="I107" i="11"/>
  <c r="I103" i="11"/>
  <c r="Q105" i="11"/>
  <c r="Q106" i="11"/>
  <c r="Q107" i="11"/>
  <c r="Q103" i="11"/>
  <c r="R105" i="11"/>
  <c r="R106" i="11"/>
  <c r="R107" i="11"/>
  <c r="R103" i="11"/>
  <c r="G108" i="11"/>
  <c r="G111" i="11"/>
  <c r="G112" i="11"/>
  <c r="G110" i="11"/>
  <c r="I108" i="11"/>
  <c r="P108" i="11" s="1"/>
  <c r="I111" i="11"/>
  <c r="P111" i="11" s="1"/>
  <c r="I112" i="11"/>
  <c r="I110" i="11"/>
  <c r="Q108" i="11"/>
  <c r="Q111" i="11"/>
  <c r="Q112" i="11"/>
  <c r="Q110" i="11"/>
  <c r="R108" i="11"/>
  <c r="R111" i="11"/>
  <c r="R112" i="11"/>
  <c r="R110" i="11"/>
  <c r="G115" i="11"/>
  <c r="G116" i="11"/>
  <c r="G118" i="11"/>
  <c r="G117" i="11"/>
  <c r="I115" i="11"/>
  <c r="P115" i="11" s="1"/>
  <c r="I116" i="11"/>
  <c r="P116" i="11" s="1"/>
  <c r="I118" i="11"/>
  <c r="I117" i="11"/>
  <c r="Q115" i="11"/>
  <c r="Q116" i="11"/>
  <c r="Q118" i="11"/>
  <c r="Q117" i="11"/>
  <c r="R115" i="11"/>
  <c r="R116" i="11"/>
  <c r="R118" i="11"/>
  <c r="R117" i="11"/>
  <c r="G53" i="11" l="1"/>
  <c r="G48" i="15"/>
  <c r="P118" i="11"/>
  <c r="P112" i="11"/>
  <c r="P107" i="11"/>
  <c r="P100" i="11"/>
  <c r="P33" i="11"/>
  <c r="P117" i="11"/>
  <c r="P110" i="11"/>
  <c r="P103" i="11"/>
  <c r="P16" i="11"/>
  <c r="P95" i="11"/>
  <c r="P91" i="11"/>
  <c r="P77" i="11"/>
  <c r="P36" i="11"/>
  <c r="P96" i="11"/>
  <c r="P80" i="11"/>
  <c r="P81" i="11"/>
  <c r="P71" i="11"/>
  <c r="P62" i="11"/>
  <c r="G9" i="10" l="1"/>
  <c r="I9" i="10"/>
  <c r="P9" i="10" s="1"/>
  <c r="G504" i="10" l="1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114" i="10"/>
  <c r="P114" i="10"/>
  <c r="Q114" i="10"/>
  <c r="R114" i="10"/>
  <c r="I248" i="10" l="1"/>
  <c r="I249" i="10"/>
  <c r="I250" i="10"/>
  <c r="I251" i="10"/>
  <c r="I252" i="10"/>
  <c r="I253" i="10"/>
  <c r="I254" i="10"/>
  <c r="I255" i="10"/>
  <c r="L255" i="10" s="1"/>
  <c r="I256" i="10"/>
  <c r="L256" i="10" s="1"/>
  <c r="I257" i="10"/>
  <c r="I258" i="10"/>
  <c r="I259" i="10"/>
  <c r="L259" i="10" s="1"/>
  <c r="I260" i="10"/>
  <c r="L260" i="10" s="1"/>
  <c r="I261" i="10"/>
  <c r="L261" i="10" s="1"/>
  <c r="I262" i="10"/>
  <c r="I263" i="10"/>
  <c r="L263" i="10" s="1"/>
  <c r="I264" i="10"/>
  <c r="L264" i="10" s="1"/>
  <c r="I265" i="10"/>
  <c r="I266" i="10"/>
  <c r="I267" i="10"/>
  <c r="L267" i="10" s="1"/>
  <c r="I268" i="10"/>
  <c r="L268" i="10" s="1"/>
  <c r="I269" i="10"/>
  <c r="L269" i="10" s="1"/>
  <c r="I270" i="10"/>
  <c r="I271" i="10"/>
  <c r="L271" i="10" s="1"/>
  <c r="I272" i="10"/>
  <c r="L272" i="10" s="1"/>
  <c r="I273" i="10"/>
  <c r="I274" i="10"/>
  <c r="I275" i="10"/>
  <c r="L275" i="10" s="1"/>
  <c r="I276" i="10"/>
  <c r="L276" i="10" s="1"/>
  <c r="I277" i="10"/>
  <c r="L277" i="10" s="1"/>
  <c r="I278" i="10"/>
  <c r="I279" i="10"/>
  <c r="L279" i="10" s="1"/>
  <c r="I280" i="10"/>
  <c r="I281" i="10"/>
  <c r="L281" i="10" s="1"/>
  <c r="I282" i="10"/>
  <c r="I283" i="10"/>
  <c r="L283" i="10" s="1"/>
  <c r="I284" i="10"/>
  <c r="I285" i="10"/>
  <c r="L285" i="10" s="1"/>
  <c r="I286" i="10"/>
  <c r="I287" i="10"/>
  <c r="L287" i="10" s="1"/>
  <c r="I288" i="10"/>
  <c r="I289" i="10"/>
  <c r="I290" i="10"/>
  <c r="I291" i="10"/>
  <c r="L291" i="10" s="1"/>
  <c r="I292" i="10"/>
  <c r="I293" i="10"/>
  <c r="I294" i="10"/>
  <c r="I295" i="10"/>
  <c r="I296" i="10"/>
  <c r="L296" i="10" s="1"/>
  <c r="I297" i="10"/>
  <c r="I298" i="10"/>
  <c r="I299" i="10"/>
  <c r="L299" i="10" s="1"/>
  <c r="I300" i="10"/>
  <c r="L300" i="10" s="1"/>
  <c r="I301" i="10"/>
  <c r="L301" i="10" s="1"/>
  <c r="I302" i="10"/>
  <c r="I303" i="10"/>
  <c r="L303" i="10" s="1"/>
  <c r="I304" i="10"/>
  <c r="L304" i="10" s="1"/>
  <c r="I305" i="10"/>
  <c r="I306" i="10"/>
  <c r="I307" i="10"/>
  <c r="L307" i="10" s="1"/>
  <c r="I308" i="10"/>
  <c r="L308" i="10" s="1"/>
  <c r="I309" i="10"/>
  <c r="L309" i="10" s="1"/>
  <c r="I310" i="10"/>
  <c r="I311" i="10"/>
  <c r="L311" i="10" s="1"/>
  <c r="I312" i="10"/>
  <c r="L312" i="10" s="1"/>
  <c r="I313" i="10"/>
  <c r="I314" i="10"/>
  <c r="I315" i="10"/>
  <c r="L315" i="10" s="1"/>
  <c r="I316" i="10"/>
  <c r="L316" i="10" s="1"/>
  <c r="I317" i="10"/>
  <c r="L317" i="10" s="1"/>
  <c r="I318" i="10"/>
  <c r="I319" i="10"/>
  <c r="L319" i="10" s="1"/>
  <c r="I320" i="10"/>
  <c r="L320" i="10" s="1"/>
  <c r="I321" i="10"/>
  <c r="I322" i="10"/>
  <c r="I323" i="10"/>
  <c r="L323" i="10" s="1"/>
  <c r="I324" i="10"/>
  <c r="L324" i="10" s="1"/>
  <c r="I325" i="10"/>
  <c r="L325" i="10" s="1"/>
  <c r="I326" i="10"/>
  <c r="I327" i="10"/>
  <c r="I328" i="10"/>
  <c r="L328" i="10" s="1"/>
  <c r="I329" i="10"/>
  <c r="I330" i="10"/>
  <c r="I331" i="10"/>
  <c r="L331" i="10" s="1"/>
  <c r="I332" i="10"/>
  <c r="L332" i="10" s="1"/>
  <c r="I333" i="10"/>
  <c r="L333" i="10" s="1"/>
  <c r="I334" i="10"/>
  <c r="I335" i="10"/>
  <c r="L335" i="10" s="1"/>
  <c r="I336" i="10"/>
  <c r="L336" i="10" s="1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L254" i="10"/>
  <c r="L257" i="10"/>
  <c r="L258" i="10"/>
  <c r="L262" i="10"/>
  <c r="L265" i="10"/>
  <c r="L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L270" i="10"/>
  <c r="L273" i="10"/>
  <c r="L274" i="10"/>
  <c r="L278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L280" i="10"/>
  <c r="L282" i="10"/>
  <c r="L284" i="10"/>
  <c r="L286" i="10"/>
  <c r="L288" i="10"/>
  <c r="L289" i="10"/>
  <c r="L290" i="10"/>
  <c r="L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L293" i="10"/>
  <c r="L294" i="10"/>
  <c r="L295" i="10"/>
  <c r="L297" i="10"/>
  <c r="L298" i="10"/>
  <c r="L302" i="10"/>
  <c r="L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L306" i="10"/>
  <c r="L310" i="10"/>
  <c r="L313" i="10"/>
  <c r="L314" i="10"/>
  <c r="L318" i="10"/>
  <c r="G336" i="10"/>
  <c r="G335" i="10"/>
  <c r="G334" i="10"/>
  <c r="L334" i="10"/>
  <c r="G333" i="10"/>
  <c r="G332" i="10"/>
  <c r="G331" i="10"/>
  <c r="G330" i="10"/>
  <c r="L330" i="10"/>
  <c r="G329" i="10"/>
  <c r="L329" i="10"/>
  <c r="G328" i="10"/>
  <c r="G327" i="10"/>
  <c r="L327" i="10"/>
  <c r="G326" i="10"/>
  <c r="L326" i="10"/>
  <c r="G325" i="10"/>
  <c r="G324" i="10"/>
  <c r="G323" i="10"/>
  <c r="G322" i="10"/>
  <c r="L322" i="10"/>
  <c r="G321" i="10"/>
  <c r="L321" i="10"/>
  <c r="G320" i="10"/>
  <c r="G319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I203" i="10"/>
  <c r="L203" i="10" s="1"/>
  <c r="I204" i="10"/>
  <c r="L204" i="10" s="1"/>
  <c r="I205" i="10"/>
  <c r="L205" i="10" s="1"/>
  <c r="I206" i="10"/>
  <c r="L206" i="10" s="1"/>
  <c r="I207" i="10"/>
  <c r="L207" i="10" s="1"/>
  <c r="I208" i="10"/>
  <c r="L208" i="10" s="1"/>
  <c r="I209" i="10"/>
  <c r="L209" i="10" s="1"/>
  <c r="I210" i="10"/>
  <c r="L210" i="10" s="1"/>
  <c r="I211" i="10"/>
  <c r="L211" i="10" s="1"/>
  <c r="I212" i="10"/>
  <c r="L212" i="10" s="1"/>
  <c r="I213" i="10"/>
  <c r="L213" i="10" s="1"/>
  <c r="I214" i="10"/>
  <c r="L214" i="10" s="1"/>
  <c r="I215" i="10"/>
  <c r="L215" i="10" s="1"/>
  <c r="I216" i="10"/>
  <c r="L216" i="10" s="1"/>
  <c r="I217" i="10"/>
  <c r="L217" i="10" s="1"/>
  <c r="I218" i="10"/>
  <c r="L218" i="10" s="1"/>
  <c r="I219" i="10"/>
  <c r="L219" i="10" s="1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I220" i="10"/>
  <c r="L220" i="10" s="1"/>
  <c r="I221" i="10"/>
  <c r="L221" i="10" s="1"/>
  <c r="I222" i="10"/>
  <c r="L222" i="10" s="1"/>
  <c r="I223" i="10"/>
  <c r="L223" i="10" s="1"/>
  <c r="I224" i="10"/>
  <c r="L224" i="10" s="1"/>
  <c r="I225" i="10"/>
  <c r="L225" i="10" s="1"/>
  <c r="I226" i="10"/>
  <c r="L226" i="10" s="1"/>
  <c r="I227" i="10"/>
  <c r="L227" i="10" s="1"/>
  <c r="I228" i="10"/>
  <c r="L228" i="10" s="1"/>
  <c r="I229" i="10"/>
  <c r="L229" i="10" s="1"/>
  <c r="I230" i="10"/>
  <c r="L230" i="10" s="1"/>
  <c r="I231" i="10"/>
  <c r="L231" i="10" s="1"/>
  <c r="I232" i="10"/>
  <c r="L232" i="10" s="1"/>
  <c r="I233" i="10"/>
  <c r="L233" i="10" s="1"/>
  <c r="I234" i="10"/>
  <c r="L234" i="10" s="1"/>
  <c r="I235" i="10"/>
  <c r="L235" i="10" s="1"/>
  <c r="I236" i="10"/>
  <c r="L236" i="10" s="1"/>
  <c r="G244" i="10"/>
  <c r="I244" i="10"/>
  <c r="L244" i="10" s="1"/>
  <c r="G243" i="10"/>
  <c r="I243" i="10"/>
  <c r="L243" i="10" s="1"/>
  <c r="G242" i="10"/>
  <c r="I242" i="10"/>
  <c r="L242" i="10" s="1"/>
  <c r="G241" i="10"/>
  <c r="I241" i="10"/>
  <c r="L241" i="10" s="1"/>
  <c r="G240" i="10"/>
  <c r="I240" i="10"/>
  <c r="L240" i="10" s="1"/>
  <c r="G239" i="10"/>
  <c r="I239" i="10"/>
  <c r="L239" i="10" s="1"/>
  <c r="G238" i="10"/>
  <c r="I238" i="10"/>
  <c r="L238" i="10" s="1"/>
  <c r="G237" i="10"/>
  <c r="I237" i="10"/>
  <c r="L237" i="10" s="1"/>
  <c r="G202" i="10"/>
  <c r="I202" i="10"/>
  <c r="L202" i="10" s="1"/>
  <c r="I86" i="10" l="1"/>
  <c r="O86" i="10"/>
  <c r="H175" i="10"/>
  <c r="H173" i="10"/>
  <c r="H172" i="10"/>
  <c r="H171" i="10"/>
  <c r="H170" i="10"/>
  <c r="H169" i="10"/>
  <c r="H166" i="10"/>
  <c r="H168" i="10"/>
  <c r="H160" i="10"/>
  <c r="H142" i="10"/>
  <c r="H143" i="10"/>
  <c r="H144" i="10"/>
  <c r="J175" i="10"/>
  <c r="J173" i="10"/>
  <c r="J172" i="10"/>
  <c r="J171" i="10"/>
  <c r="J170" i="10"/>
  <c r="J169" i="10"/>
  <c r="J166" i="10"/>
  <c r="J168" i="10"/>
  <c r="J160" i="10"/>
  <c r="J142" i="10"/>
  <c r="J143" i="10"/>
  <c r="J144" i="10"/>
  <c r="K175" i="10"/>
  <c r="K173" i="10"/>
  <c r="K172" i="10"/>
  <c r="K171" i="10"/>
  <c r="K170" i="10"/>
  <c r="K169" i="10"/>
  <c r="K166" i="10"/>
  <c r="K168" i="10"/>
  <c r="K160" i="10"/>
  <c r="K142" i="10"/>
  <c r="K143" i="10"/>
  <c r="K144" i="10"/>
  <c r="H145" i="10"/>
  <c r="H146" i="10"/>
  <c r="H161" i="10"/>
  <c r="H151" i="10"/>
  <c r="H150" i="10"/>
  <c r="H165" i="10"/>
  <c r="H149" i="10"/>
  <c r="H176" i="10"/>
  <c r="H148" i="10"/>
  <c r="H163" i="10"/>
  <c r="H139" i="10"/>
  <c r="H152" i="10"/>
  <c r="J145" i="10"/>
  <c r="J146" i="10"/>
  <c r="J161" i="10"/>
  <c r="J151" i="10"/>
  <c r="J150" i="10"/>
  <c r="J165" i="10"/>
  <c r="J149" i="10"/>
  <c r="J176" i="10"/>
  <c r="J148" i="10"/>
  <c r="J163" i="10"/>
  <c r="J139" i="10"/>
  <c r="J152" i="10"/>
  <c r="K145" i="10"/>
  <c r="K146" i="10"/>
  <c r="K161" i="10"/>
  <c r="K151" i="10"/>
  <c r="K150" i="10"/>
  <c r="K165" i="10"/>
  <c r="K149" i="10"/>
  <c r="K176" i="10"/>
  <c r="K148" i="10"/>
  <c r="K163" i="10"/>
  <c r="K139" i="10"/>
  <c r="K152" i="10"/>
  <c r="H138" i="10"/>
  <c r="H177" i="10"/>
  <c r="H179" i="10"/>
  <c r="H140" i="10"/>
  <c r="H153" i="10"/>
  <c r="H154" i="10"/>
  <c r="H156" i="10"/>
  <c r="H155" i="10"/>
  <c r="H162" i="10"/>
  <c r="H157" i="10"/>
  <c r="H158" i="10"/>
  <c r="H167" i="10"/>
  <c r="J138" i="10"/>
  <c r="J177" i="10"/>
  <c r="J179" i="10"/>
  <c r="J140" i="10"/>
  <c r="J153" i="10"/>
  <c r="J154" i="10"/>
  <c r="J156" i="10"/>
  <c r="J155" i="10"/>
  <c r="J162" i="10"/>
  <c r="J157" i="10"/>
  <c r="J158" i="10"/>
  <c r="J167" i="10"/>
  <c r="K138" i="10"/>
  <c r="K177" i="10"/>
  <c r="K179" i="10"/>
  <c r="K140" i="10"/>
  <c r="K153" i="10"/>
  <c r="K154" i="10"/>
  <c r="K156" i="10"/>
  <c r="K155" i="10"/>
  <c r="K162" i="10"/>
  <c r="K157" i="10"/>
  <c r="K158" i="10"/>
  <c r="K167" i="10"/>
  <c r="H164" i="10"/>
  <c r="H159" i="10"/>
  <c r="H147" i="10"/>
  <c r="H141" i="10"/>
  <c r="J164" i="10"/>
  <c r="J159" i="10"/>
  <c r="J147" i="10"/>
  <c r="J141" i="10"/>
  <c r="K164" i="10"/>
  <c r="K159" i="10"/>
  <c r="K147" i="10"/>
  <c r="K141" i="10"/>
  <c r="H174" i="10"/>
  <c r="H178" i="10"/>
  <c r="J174" i="10"/>
  <c r="J178" i="10"/>
  <c r="K174" i="10"/>
  <c r="K178" i="10"/>
  <c r="G84" i="10"/>
  <c r="I84" i="10"/>
  <c r="P84" i="10" s="1"/>
  <c r="Q84" i="10"/>
  <c r="R84" i="10"/>
  <c r="G37" i="10"/>
  <c r="I37" i="10"/>
  <c r="P37" i="10" s="1"/>
  <c r="Q37" i="10"/>
  <c r="R37" i="10"/>
  <c r="G116" i="10"/>
  <c r="P116" i="10"/>
  <c r="Q116" i="10"/>
  <c r="R116" i="10"/>
  <c r="G93" i="10"/>
  <c r="I93" i="10"/>
  <c r="P93" i="10" s="1"/>
  <c r="Q93" i="10"/>
  <c r="R93" i="10"/>
  <c r="G46" i="10"/>
  <c r="I46" i="10"/>
  <c r="P46" i="10" s="1"/>
  <c r="Q46" i="10"/>
  <c r="R46" i="10"/>
  <c r="G47" i="10"/>
  <c r="I47" i="10"/>
  <c r="P47" i="10" s="1"/>
  <c r="Q47" i="10"/>
  <c r="R47" i="10"/>
  <c r="G13" i="10"/>
  <c r="I13" i="10"/>
  <c r="P13" i="10" s="1"/>
  <c r="Q13" i="10"/>
  <c r="R13" i="10"/>
  <c r="G14" i="10"/>
  <c r="I14" i="10"/>
  <c r="P14" i="10" s="1"/>
  <c r="Q14" i="10"/>
  <c r="R14" i="10"/>
  <c r="G61" i="10"/>
  <c r="I61" i="10"/>
  <c r="P61" i="10" s="1"/>
  <c r="Q61" i="10"/>
  <c r="R61" i="10"/>
  <c r="G56" i="10"/>
  <c r="I56" i="10"/>
  <c r="P56" i="10" s="1"/>
  <c r="Q56" i="10"/>
  <c r="R56" i="10"/>
  <c r="G28" i="10"/>
  <c r="I28" i="10"/>
  <c r="P28" i="10" s="1"/>
  <c r="Q28" i="10"/>
  <c r="R28" i="10"/>
  <c r="G35" i="10"/>
  <c r="I35" i="10"/>
  <c r="P35" i="10" s="1"/>
  <c r="Q35" i="10"/>
  <c r="R35" i="10"/>
  <c r="G24" i="10"/>
  <c r="G23" i="10"/>
  <c r="G17" i="10"/>
  <c r="G11" i="10"/>
  <c r="G25" i="10"/>
  <c r="G18" i="10"/>
  <c r="G16" i="10"/>
  <c r="G10" i="10"/>
  <c r="G12" i="10"/>
  <c r="G22" i="10"/>
  <c r="G19" i="10"/>
  <c r="G20" i="10"/>
  <c r="G29" i="10"/>
  <c r="G26" i="10"/>
  <c r="G34" i="10"/>
  <c r="G33" i="10"/>
  <c r="G32" i="10"/>
  <c r="G30" i="10"/>
  <c r="G27" i="10"/>
  <c r="G31" i="10"/>
  <c r="I24" i="10"/>
  <c r="P24" i="10" s="1"/>
  <c r="P23" i="10"/>
  <c r="I17" i="10"/>
  <c r="P17" i="10" s="1"/>
  <c r="I11" i="10"/>
  <c r="P11" i="10" s="1"/>
  <c r="I25" i="10"/>
  <c r="P25" i="10" s="1"/>
  <c r="I18" i="10"/>
  <c r="P18" i="10" s="1"/>
  <c r="I16" i="10"/>
  <c r="P16" i="10" s="1"/>
  <c r="I10" i="10"/>
  <c r="P10" i="10" s="1"/>
  <c r="I12" i="10"/>
  <c r="P12" i="10" s="1"/>
  <c r="I22" i="10"/>
  <c r="P22" i="10" s="1"/>
  <c r="I19" i="10"/>
  <c r="P19" i="10" s="1"/>
  <c r="I20" i="10"/>
  <c r="P20" i="10" s="1"/>
  <c r="I29" i="10"/>
  <c r="P29" i="10" s="1"/>
  <c r="I26" i="10"/>
  <c r="P26" i="10" s="1"/>
  <c r="I34" i="10"/>
  <c r="P34" i="10" s="1"/>
  <c r="I33" i="10"/>
  <c r="P33" i="10" s="1"/>
  <c r="I32" i="10"/>
  <c r="P32" i="10" s="1"/>
  <c r="I30" i="10"/>
  <c r="P30" i="10" s="1"/>
  <c r="I27" i="10"/>
  <c r="P27" i="10" s="1"/>
  <c r="I31" i="10"/>
  <c r="P31" i="10" s="1"/>
  <c r="Q24" i="10"/>
  <c r="Q23" i="10"/>
  <c r="Q9" i="10"/>
  <c r="Q17" i="10"/>
  <c r="Q11" i="10"/>
  <c r="Q25" i="10"/>
  <c r="Q18" i="10"/>
  <c r="Q16" i="10"/>
  <c r="Q10" i="10"/>
  <c r="Q12" i="10"/>
  <c r="Q22" i="10"/>
  <c r="Q19" i="10"/>
  <c r="Q20" i="10"/>
  <c r="Q29" i="10"/>
  <c r="Q26" i="10"/>
  <c r="Q34" i="10"/>
  <c r="Q33" i="10"/>
  <c r="Q32" i="10"/>
  <c r="Q30" i="10"/>
  <c r="Q27" i="10"/>
  <c r="Q31" i="10"/>
  <c r="R24" i="10"/>
  <c r="R23" i="10"/>
  <c r="R9" i="10"/>
  <c r="R17" i="10"/>
  <c r="R11" i="10"/>
  <c r="R25" i="10"/>
  <c r="R18" i="10"/>
  <c r="R16" i="10"/>
  <c r="R10" i="10"/>
  <c r="R12" i="10"/>
  <c r="R22" i="10"/>
  <c r="R19" i="10"/>
  <c r="R20" i="10"/>
  <c r="R29" i="10"/>
  <c r="R26" i="10"/>
  <c r="R34" i="10"/>
  <c r="R33" i="10"/>
  <c r="R32" i="10"/>
  <c r="R30" i="10"/>
  <c r="R27" i="10"/>
  <c r="R31" i="10"/>
  <c r="G36" i="10"/>
  <c r="G41" i="10"/>
  <c r="G38" i="10"/>
  <c r="G40" i="10"/>
  <c r="G39" i="10"/>
  <c r="G42" i="10"/>
  <c r="G45" i="10"/>
  <c r="G44" i="10"/>
  <c r="G43" i="10"/>
  <c r="G54" i="10"/>
  <c r="G53" i="10"/>
  <c r="G51" i="10"/>
  <c r="I36" i="10"/>
  <c r="P36" i="10" s="1"/>
  <c r="I41" i="10"/>
  <c r="P41" i="10" s="1"/>
  <c r="I38" i="10"/>
  <c r="P38" i="10" s="1"/>
  <c r="I40" i="10"/>
  <c r="P40" i="10" s="1"/>
  <c r="I39" i="10"/>
  <c r="P39" i="10" s="1"/>
  <c r="I42" i="10"/>
  <c r="P42" i="10" s="1"/>
  <c r="I45" i="10"/>
  <c r="P45" i="10" s="1"/>
  <c r="I44" i="10"/>
  <c r="P44" i="10" s="1"/>
  <c r="I43" i="10"/>
  <c r="P43" i="10" s="1"/>
  <c r="I54" i="10"/>
  <c r="P54" i="10" s="1"/>
  <c r="I53" i="10"/>
  <c r="P53" i="10" s="1"/>
  <c r="I51" i="10"/>
  <c r="P51" i="10" s="1"/>
  <c r="Q36" i="10"/>
  <c r="Q41" i="10"/>
  <c r="Q38" i="10"/>
  <c r="Q40" i="10"/>
  <c r="Q39" i="10"/>
  <c r="Q42" i="10"/>
  <c r="Q45" i="10"/>
  <c r="Q44" i="10"/>
  <c r="Q43" i="10"/>
  <c r="Q54" i="10"/>
  <c r="Q53" i="10"/>
  <c r="Q51" i="10"/>
  <c r="R36" i="10"/>
  <c r="R41" i="10"/>
  <c r="R38" i="10"/>
  <c r="R40" i="10"/>
  <c r="R39" i="10"/>
  <c r="R42" i="10"/>
  <c r="R45" i="10"/>
  <c r="R44" i="10"/>
  <c r="R43" i="10"/>
  <c r="R54" i="10"/>
  <c r="R53" i="10"/>
  <c r="R51" i="10"/>
  <c r="G48" i="10"/>
  <c r="G52" i="10"/>
  <c r="G55" i="10"/>
  <c r="G50" i="10"/>
  <c r="G49" i="10"/>
  <c r="G59" i="10"/>
  <c r="G58" i="10"/>
  <c r="G57" i="10"/>
  <c r="G60" i="10"/>
  <c r="G64" i="10"/>
  <c r="G63" i="10"/>
  <c r="G62" i="10"/>
  <c r="I48" i="10"/>
  <c r="P48" i="10" s="1"/>
  <c r="I52" i="10"/>
  <c r="P52" i="10" s="1"/>
  <c r="I55" i="10"/>
  <c r="P55" i="10" s="1"/>
  <c r="I50" i="10"/>
  <c r="P50" i="10" s="1"/>
  <c r="I49" i="10"/>
  <c r="P49" i="10" s="1"/>
  <c r="I59" i="10"/>
  <c r="P59" i="10" s="1"/>
  <c r="I58" i="10"/>
  <c r="P58" i="10" s="1"/>
  <c r="I57" i="10"/>
  <c r="P57" i="10" s="1"/>
  <c r="I63" i="10"/>
  <c r="P63" i="10" s="1"/>
  <c r="I62" i="10"/>
  <c r="P62" i="10" s="1"/>
  <c r="P60" i="10"/>
  <c r="P64" i="10"/>
  <c r="Q48" i="10"/>
  <c r="Q52" i="10"/>
  <c r="Q55" i="10"/>
  <c r="Q50" i="10"/>
  <c r="Q49" i="10"/>
  <c r="Q59" i="10"/>
  <c r="Q58" i="10"/>
  <c r="Q57" i="10"/>
  <c r="Q60" i="10"/>
  <c r="Q64" i="10"/>
  <c r="Q63" i="10"/>
  <c r="Q62" i="10"/>
  <c r="R48" i="10"/>
  <c r="R52" i="10"/>
  <c r="R55" i="10"/>
  <c r="R50" i="10"/>
  <c r="R49" i="10"/>
  <c r="R59" i="10"/>
  <c r="R58" i="10"/>
  <c r="R57" i="10"/>
  <c r="R60" i="10"/>
  <c r="R64" i="10"/>
  <c r="R63" i="10"/>
  <c r="R62" i="10"/>
  <c r="G65" i="10"/>
  <c r="G66" i="10"/>
  <c r="G67" i="10"/>
  <c r="G72" i="10"/>
  <c r="G73" i="10"/>
  <c r="G71" i="10"/>
  <c r="G74" i="10"/>
  <c r="G70" i="10"/>
  <c r="G69" i="10"/>
  <c r="G68" i="10"/>
  <c r="G75" i="10"/>
  <c r="G79" i="10"/>
  <c r="I65" i="10"/>
  <c r="P65" i="10" s="1"/>
  <c r="I66" i="10"/>
  <c r="P66" i="10" s="1"/>
  <c r="I67" i="10"/>
  <c r="P67" i="10" s="1"/>
  <c r="I72" i="10"/>
  <c r="P72" i="10" s="1"/>
  <c r="I73" i="10"/>
  <c r="P73" i="10" s="1"/>
  <c r="I71" i="10"/>
  <c r="P71" i="10" s="1"/>
  <c r="I74" i="10"/>
  <c r="P74" i="10" s="1"/>
  <c r="I70" i="10"/>
  <c r="P70" i="10" s="1"/>
  <c r="I69" i="10"/>
  <c r="P69" i="10" s="1"/>
  <c r="I68" i="10"/>
  <c r="P68" i="10" s="1"/>
  <c r="I75" i="10"/>
  <c r="P75" i="10" s="1"/>
  <c r="I79" i="10"/>
  <c r="P79" i="10" s="1"/>
  <c r="Q65" i="10"/>
  <c r="Q66" i="10"/>
  <c r="Q67" i="10"/>
  <c r="Q72" i="10"/>
  <c r="Q73" i="10"/>
  <c r="Q71" i="10"/>
  <c r="Q74" i="10"/>
  <c r="Q70" i="10"/>
  <c r="Q69" i="10"/>
  <c r="Q68" i="10"/>
  <c r="Q75" i="10"/>
  <c r="Q79" i="10"/>
  <c r="R65" i="10"/>
  <c r="R66" i="10"/>
  <c r="R67" i="10"/>
  <c r="R72" i="10"/>
  <c r="R73" i="10"/>
  <c r="R71" i="10"/>
  <c r="R74" i="10"/>
  <c r="R70" i="10"/>
  <c r="R69" i="10"/>
  <c r="R68" i="10"/>
  <c r="R75" i="10"/>
  <c r="R79" i="10"/>
  <c r="G78" i="10"/>
  <c r="G81" i="10"/>
  <c r="G80" i="10"/>
  <c r="G76" i="10"/>
  <c r="G77" i="10"/>
  <c r="G82" i="10"/>
  <c r="G83" i="10"/>
  <c r="G87" i="10"/>
  <c r="G86" i="10"/>
  <c r="G85" i="10"/>
  <c r="G88" i="10"/>
  <c r="G89" i="10"/>
  <c r="I78" i="10"/>
  <c r="P78" i="10" s="1"/>
  <c r="I81" i="10"/>
  <c r="P81" i="10" s="1"/>
  <c r="I80" i="10"/>
  <c r="P80" i="10" s="1"/>
  <c r="I76" i="10"/>
  <c r="P76" i="10" s="1"/>
  <c r="I77" i="10"/>
  <c r="P77" i="10" s="1"/>
  <c r="I82" i="10"/>
  <c r="P82" i="10" s="1"/>
  <c r="I83" i="10"/>
  <c r="P83" i="10" s="1"/>
  <c r="I87" i="10"/>
  <c r="P87" i="10" s="1"/>
  <c r="I85" i="10"/>
  <c r="P85" i="10" s="1"/>
  <c r="I88" i="10"/>
  <c r="P88" i="10" s="1"/>
  <c r="I89" i="10"/>
  <c r="P89" i="10" s="1"/>
  <c r="P86" i="10"/>
  <c r="Q78" i="10"/>
  <c r="Q81" i="10"/>
  <c r="Q80" i="10"/>
  <c r="Q76" i="10"/>
  <c r="Q77" i="10"/>
  <c r="Q82" i="10"/>
  <c r="Q83" i="10"/>
  <c r="Q87" i="10"/>
  <c r="Q86" i="10"/>
  <c r="Q85" i="10"/>
  <c r="Q88" i="10"/>
  <c r="Q89" i="10"/>
  <c r="R78" i="10"/>
  <c r="R81" i="10"/>
  <c r="R80" i="10"/>
  <c r="R76" i="10"/>
  <c r="R77" i="10"/>
  <c r="R82" i="10"/>
  <c r="R83" i="10"/>
  <c r="R87" i="10"/>
  <c r="R86" i="10"/>
  <c r="R85" i="10"/>
  <c r="R88" i="10"/>
  <c r="R89" i="10"/>
  <c r="G90" i="10"/>
  <c r="G97" i="10"/>
  <c r="G98" i="10"/>
  <c r="G96" i="10"/>
  <c r="G91" i="10"/>
  <c r="G92" i="10"/>
  <c r="G94" i="10"/>
  <c r="G95" i="10"/>
  <c r="G102" i="10"/>
  <c r="G100" i="10"/>
  <c r="G99" i="10"/>
  <c r="G101" i="10"/>
  <c r="I90" i="10"/>
  <c r="I97" i="10"/>
  <c r="I98" i="10"/>
  <c r="P98" i="10" s="1"/>
  <c r="I96" i="10"/>
  <c r="P96" i="10" s="1"/>
  <c r="I91" i="10"/>
  <c r="P91" i="10" s="1"/>
  <c r="I92" i="10"/>
  <c r="P92" i="10" s="1"/>
  <c r="I94" i="10"/>
  <c r="P94" i="10" s="1"/>
  <c r="I95" i="10"/>
  <c r="P95" i="10" s="1"/>
  <c r="I102" i="10"/>
  <c r="P102" i="10" s="1"/>
  <c r="I100" i="10"/>
  <c r="P100" i="10" s="1"/>
  <c r="I99" i="10"/>
  <c r="P99" i="10" s="1"/>
  <c r="I101" i="10"/>
  <c r="P101" i="10" s="1"/>
  <c r="P90" i="10"/>
  <c r="P97" i="10"/>
  <c r="Q90" i="10"/>
  <c r="Q97" i="10"/>
  <c r="Q98" i="10"/>
  <c r="Q96" i="10"/>
  <c r="Q91" i="10"/>
  <c r="Q92" i="10"/>
  <c r="Q94" i="10"/>
  <c r="Q95" i="10"/>
  <c r="Q102" i="10"/>
  <c r="Q100" i="10"/>
  <c r="Q99" i="10"/>
  <c r="Q101" i="10"/>
  <c r="R90" i="10"/>
  <c r="R97" i="10"/>
  <c r="R98" i="10"/>
  <c r="R96" i="10"/>
  <c r="R91" i="10"/>
  <c r="R92" i="10"/>
  <c r="R94" i="10"/>
  <c r="R95" i="10"/>
  <c r="R102" i="10"/>
  <c r="R100" i="10"/>
  <c r="R99" i="10"/>
  <c r="R101" i="10"/>
  <c r="G117" i="10"/>
  <c r="P117" i="10"/>
  <c r="Q117" i="10"/>
  <c r="R117" i="10"/>
  <c r="G115" i="10"/>
  <c r="I115" i="10"/>
  <c r="P115" i="10" s="1"/>
  <c r="Q115" i="10"/>
  <c r="R115" i="10"/>
  <c r="G121" i="10"/>
  <c r="I121" i="10"/>
  <c r="P121" i="10" s="1"/>
  <c r="Q121" i="10"/>
  <c r="R121" i="10"/>
  <c r="G113" i="10"/>
  <c r="I113" i="10"/>
  <c r="P113" i="10" s="1"/>
  <c r="Q113" i="10"/>
  <c r="R113" i="10"/>
  <c r="G120" i="10"/>
  <c r="I120" i="10"/>
  <c r="P120" i="10" s="1"/>
  <c r="Q120" i="10"/>
  <c r="R120" i="10"/>
  <c r="G119" i="10"/>
  <c r="I119" i="10"/>
  <c r="P119" i="10" s="1"/>
  <c r="Q119" i="10"/>
  <c r="R119" i="10"/>
  <c r="G118" i="10"/>
  <c r="I118" i="10"/>
  <c r="P118" i="10" s="1"/>
  <c r="Q118" i="10"/>
  <c r="R118" i="10"/>
  <c r="G107" i="10"/>
  <c r="I107" i="10"/>
  <c r="P107" i="10" s="1"/>
  <c r="Q107" i="10"/>
  <c r="R107" i="10"/>
  <c r="G111" i="10"/>
  <c r="I111" i="10"/>
  <c r="P111" i="10" s="1"/>
  <c r="Q111" i="10"/>
  <c r="R111" i="10"/>
  <c r="G112" i="10"/>
  <c r="I112" i="10"/>
  <c r="P112" i="10" s="1"/>
  <c r="Q112" i="10"/>
  <c r="R112" i="10"/>
  <c r="G109" i="10"/>
  <c r="I109" i="10"/>
  <c r="P109" i="10" s="1"/>
  <c r="Q109" i="10"/>
  <c r="R109" i="10"/>
  <c r="H114" i="2" l="1"/>
  <c r="H115" i="2"/>
  <c r="H116" i="2"/>
  <c r="G35" i="2" l="1"/>
  <c r="I35" i="2"/>
  <c r="P35" i="2" s="1"/>
  <c r="Q35" i="2"/>
  <c r="R35" i="2"/>
  <c r="H151" i="2" l="1"/>
  <c r="H129" i="2"/>
  <c r="H127" i="2"/>
  <c r="H138" i="2"/>
  <c r="H139" i="2"/>
  <c r="H142" i="2"/>
  <c r="J151" i="2"/>
  <c r="J129" i="2"/>
  <c r="J127" i="2"/>
  <c r="J138" i="2"/>
  <c r="J139" i="2"/>
  <c r="J142" i="2"/>
  <c r="K151" i="2"/>
  <c r="K129" i="2"/>
  <c r="K127" i="2"/>
  <c r="K138" i="2"/>
  <c r="K139" i="2"/>
  <c r="K142" i="2"/>
  <c r="H143" i="2"/>
  <c r="H134" i="2"/>
  <c r="H135" i="2"/>
  <c r="H144" i="2"/>
  <c r="H145" i="2"/>
  <c r="H146" i="2"/>
  <c r="J143" i="2"/>
  <c r="J134" i="2"/>
  <c r="J135" i="2"/>
  <c r="J144" i="2"/>
  <c r="J145" i="2"/>
  <c r="J146" i="2"/>
  <c r="K143" i="2"/>
  <c r="K134" i="2"/>
  <c r="K135" i="2"/>
  <c r="K144" i="2"/>
  <c r="K145" i="2"/>
  <c r="K146" i="2"/>
  <c r="J82" i="2"/>
  <c r="P82" i="2" s="1"/>
  <c r="G27" i="2"/>
  <c r="G106" i="2"/>
  <c r="G78" i="2"/>
  <c r="G20" i="2"/>
  <c r="G61" i="2"/>
  <c r="I27" i="2"/>
  <c r="P27" i="2" s="1"/>
  <c r="I106" i="2"/>
  <c r="I78" i="2"/>
  <c r="P78" i="2" s="1"/>
  <c r="I20" i="2"/>
  <c r="P20" i="2" s="1"/>
  <c r="I61" i="2"/>
  <c r="P61" i="2" s="1"/>
  <c r="P106" i="2"/>
  <c r="Q27" i="2"/>
  <c r="Q106" i="2"/>
  <c r="Q78" i="2"/>
  <c r="Q20" i="2"/>
  <c r="Q61" i="2"/>
  <c r="R27" i="2"/>
  <c r="R106" i="2"/>
  <c r="R78" i="2"/>
  <c r="R20" i="2"/>
  <c r="R61" i="2"/>
  <c r="G86" i="2"/>
  <c r="I86" i="2"/>
  <c r="P86" i="2" s="1"/>
  <c r="Q86" i="2"/>
  <c r="R86" i="2"/>
  <c r="G82" i="2"/>
  <c r="Q82" i="2"/>
  <c r="R82" i="2"/>
  <c r="G15" i="2"/>
  <c r="I15" i="2"/>
  <c r="P15" i="2" s="1"/>
  <c r="Q15" i="2"/>
  <c r="R15" i="2"/>
  <c r="G92" i="2"/>
  <c r="I92" i="2"/>
  <c r="P92" i="2" s="1"/>
  <c r="Q92" i="2"/>
  <c r="R92" i="2"/>
  <c r="G46" i="2"/>
  <c r="I46" i="2"/>
  <c r="P46" i="2" s="1"/>
  <c r="Q46" i="2"/>
  <c r="R46" i="2"/>
  <c r="G90" i="2"/>
  <c r="I90" i="2"/>
  <c r="P90" i="2" s="1"/>
  <c r="Q90" i="2"/>
  <c r="R90" i="2"/>
  <c r="G89" i="2"/>
  <c r="I89" i="2"/>
  <c r="P89" i="2" s="1"/>
  <c r="Q89" i="2"/>
  <c r="R89" i="2"/>
  <c r="G100" i="2"/>
  <c r="I100" i="2"/>
  <c r="P100" i="2" s="1"/>
  <c r="Q100" i="2"/>
  <c r="R100" i="2"/>
  <c r="G97" i="2"/>
  <c r="I97" i="2"/>
  <c r="P97" i="2" s="1"/>
  <c r="Q97" i="2"/>
  <c r="R97" i="2"/>
  <c r="G98" i="2"/>
  <c r="I98" i="2"/>
  <c r="P98" i="2" s="1"/>
  <c r="Q98" i="2"/>
  <c r="R98" i="2"/>
  <c r="G104" i="2"/>
  <c r="I104" i="2"/>
  <c r="P104" i="2" s="1"/>
  <c r="Q104" i="2"/>
  <c r="R104" i="2"/>
  <c r="G103" i="2"/>
  <c r="I103" i="2"/>
  <c r="P103" i="2" s="1"/>
  <c r="Q103" i="2"/>
  <c r="R103" i="2"/>
  <c r="G85" i="2"/>
  <c r="I85" i="2"/>
  <c r="P85" i="2" s="1"/>
  <c r="Q85" i="2"/>
  <c r="R85" i="2"/>
  <c r="G88" i="2"/>
  <c r="I88" i="2"/>
  <c r="P88" i="2" s="1"/>
  <c r="Q88" i="2"/>
  <c r="R88" i="2"/>
  <c r="G105" i="2"/>
  <c r="I105" i="2"/>
  <c r="P105" i="2" s="1"/>
  <c r="Q105" i="2"/>
  <c r="R105" i="2"/>
  <c r="H147" i="2"/>
  <c r="H159" i="2"/>
  <c r="H123" i="2"/>
  <c r="H124" i="2"/>
  <c r="H130" i="2"/>
  <c r="H131" i="2"/>
  <c r="H132" i="2"/>
  <c r="H125" i="2"/>
  <c r="H153" i="2"/>
  <c r="H154" i="2"/>
  <c r="H155" i="2"/>
  <c r="H156" i="2"/>
  <c r="H160" i="2"/>
  <c r="H140" i="2"/>
  <c r="H126" i="2"/>
  <c r="H161" i="2"/>
  <c r="J147" i="2"/>
  <c r="J159" i="2"/>
  <c r="J123" i="2"/>
  <c r="J124" i="2"/>
  <c r="J130" i="2"/>
  <c r="J131" i="2"/>
  <c r="J132" i="2"/>
  <c r="J125" i="2"/>
  <c r="J153" i="2"/>
  <c r="J154" i="2"/>
  <c r="J155" i="2"/>
  <c r="J156" i="2"/>
  <c r="J160" i="2"/>
  <c r="J140" i="2"/>
  <c r="J126" i="2"/>
  <c r="J161" i="2"/>
  <c r="K147" i="2"/>
  <c r="K159" i="2"/>
  <c r="K123" i="2"/>
  <c r="K124" i="2"/>
  <c r="K130" i="2"/>
  <c r="K131" i="2"/>
  <c r="K132" i="2"/>
  <c r="K125" i="2"/>
  <c r="K153" i="2"/>
  <c r="K154" i="2"/>
  <c r="K155" i="2"/>
  <c r="K156" i="2"/>
  <c r="K160" i="2"/>
  <c r="K140" i="2"/>
  <c r="K126" i="2"/>
  <c r="K161" i="2"/>
  <c r="H158" i="2"/>
  <c r="H149" i="2"/>
  <c r="H150" i="2"/>
  <c r="H133" i="2"/>
  <c r="H163" i="2"/>
  <c r="H157" i="2"/>
  <c r="H148" i="2"/>
  <c r="H164" i="2"/>
  <c r="H137" i="2"/>
  <c r="H136" i="2"/>
  <c r="J158" i="2"/>
  <c r="J149" i="2"/>
  <c r="J150" i="2"/>
  <c r="J133" i="2"/>
  <c r="J163" i="2"/>
  <c r="J157" i="2"/>
  <c r="J148" i="2"/>
  <c r="J164" i="2"/>
  <c r="J137" i="2"/>
  <c r="J136" i="2"/>
  <c r="K158" i="2"/>
  <c r="K149" i="2"/>
  <c r="K150" i="2"/>
  <c r="K133" i="2"/>
  <c r="K163" i="2"/>
  <c r="K157" i="2"/>
  <c r="K148" i="2"/>
  <c r="K164" i="2"/>
  <c r="K137" i="2"/>
  <c r="K136" i="2"/>
  <c r="H141" i="2"/>
  <c r="J141" i="2"/>
  <c r="K141" i="2"/>
  <c r="H162" i="2"/>
  <c r="H128" i="2"/>
  <c r="J162" i="2"/>
  <c r="J128" i="2"/>
  <c r="K162" i="2"/>
  <c r="K128" i="2"/>
  <c r="G18" i="2"/>
  <c r="I18" i="2"/>
  <c r="P18" i="2" s="1"/>
  <c r="Q18" i="2"/>
  <c r="R18" i="2"/>
  <c r="G13" i="2"/>
  <c r="I13" i="2"/>
  <c r="P13" i="2" s="1"/>
  <c r="Q13" i="2"/>
  <c r="R13" i="2"/>
  <c r="G95" i="2"/>
  <c r="I95" i="2"/>
  <c r="P95" i="2" s="1"/>
  <c r="Q95" i="2"/>
  <c r="R95" i="2"/>
  <c r="G75" i="2"/>
  <c r="I75" i="2"/>
  <c r="P75" i="2" s="1"/>
  <c r="Q75" i="2"/>
  <c r="R75" i="2"/>
  <c r="G101" i="2"/>
  <c r="I101" i="2"/>
  <c r="P101" i="2" s="1"/>
  <c r="Q101" i="2"/>
  <c r="R101" i="2"/>
  <c r="G99" i="2"/>
  <c r="I99" i="2"/>
  <c r="P99" i="2" s="1"/>
  <c r="Q99" i="2"/>
  <c r="R99" i="2"/>
  <c r="G36" i="2"/>
  <c r="I36" i="2"/>
  <c r="P36" i="2" s="1"/>
  <c r="Q36" i="2"/>
  <c r="R36" i="2"/>
  <c r="G84" i="2"/>
  <c r="I84" i="2"/>
  <c r="P84" i="2" s="1"/>
  <c r="Q84" i="2"/>
  <c r="R84" i="2"/>
  <c r="G102" i="2"/>
  <c r="I102" i="2"/>
  <c r="P102" i="2" s="1"/>
  <c r="Q102" i="2"/>
  <c r="R102" i="2"/>
  <c r="G77" i="2"/>
  <c r="I77" i="2"/>
  <c r="P77" i="2" s="1"/>
  <c r="Q77" i="2"/>
  <c r="R77" i="2"/>
  <c r="G93" i="2"/>
  <c r="I93" i="2"/>
  <c r="P93" i="2" s="1"/>
  <c r="Q93" i="2"/>
  <c r="R93" i="2"/>
  <c r="G87" i="2"/>
  <c r="P87" i="2"/>
  <c r="Q87" i="2"/>
  <c r="R87" i="2"/>
  <c r="G51" i="2"/>
  <c r="I51" i="2"/>
  <c r="P51" i="2" s="1"/>
  <c r="Q51" i="2"/>
  <c r="R51" i="2"/>
  <c r="G67" i="2"/>
  <c r="I67" i="2"/>
  <c r="P67" i="2" s="1"/>
  <c r="Q67" i="2"/>
  <c r="R67" i="2"/>
  <c r="G31" i="2"/>
  <c r="I31" i="2"/>
  <c r="P31" i="2" s="1"/>
  <c r="Q31" i="2"/>
  <c r="R31" i="2"/>
  <c r="G59" i="2"/>
  <c r="I59" i="2"/>
  <c r="P59" i="2" s="1"/>
  <c r="Q59" i="2"/>
  <c r="R59" i="2"/>
  <c r="G58" i="2"/>
  <c r="I58" i="2"/>
  <c r="P58" i="2" s="1"/>
  <c r="Q58" i="2"/>
  <c r="R58" i="2"/>
  <c r="G74" i="2"/>
  <c r="I74" i="2"/>
  <c r="P74" i="2" s="1"/>
  <c r="Q74" i="2"/>
  <c r="R74" i="2"/>
  <c r="G62" i="2"/>
  <c r="I62" i="2"/>
  <c r="P62" i="2" s="1"/>
  <c r="Q62" i="2"/>
  <c r="R62" i="2"/>
  <c r="G14" i="2"/>
  <c r="I14" i="2"/>
  <c r="P14" i="2" s="1"/>
  <c r="Q14" i="2"/>
  <c r="R14" i="2"/>
  <c r="G81" i="2"/>
  <c r="I81" i="2"/>
  <c r="P81" i="2" s="1"/>
  <c r="Q81" i="2"/>
  <c r="R81" i="2"/>
  <c r="G9" i="2"/>
  <c r="I9" i="2"/>
  <c r="P9" i="2" s="1"/>
  <c r="Q9" i="2"/>
  <c r="R9" i="2"/>
  <c r="G83" i="2"/>
  <c r="I83" i="2"/>
  <c r="P83" i="2" s="1"/>
  <c r="Q83" i="2"/>
  <c r="R83" i="2"/>
  <c r="G94" i="2"/>
  <c r="I94" i="2"/>
  <c r="P94" i="2" s="1"/>
  <c r="Q94" i="2"/>
  <c r="R94" i="2"/>
  <c r="G96" i="2"/>
  <c r="I96" i="2"/>
  <c r="P96" i="2" s="1"/>
  <c r="Q96" i="2"/>
  <c r="R96" i="2"/>
  <c r="G73" i="2"/>
  <c r="I73" i="2"/>
  <c r="P73" i="2" s="1"/>
  <c r="Q73" i="2"/>
  <c r="R73" i="2"/>
  <c r="G72" i="2"/>
  <c r="I72" i="2"/>
  <c r="P72" i="2" s="1"/>
  <c r="Q72" i="2"/>
  <c r="R72" i="2"/>
  <c r="G55" i="2"/>
  <c r="I55" i="2"/>
  <c r="P55" i="2" s="1"/>
  <c r="Q55" i="2"/>
  <c r="R55" i="2"/>
  <c r="G60" i="2"/>
  <c r="I60" i="2"/>
  <c r="P60" i="2" s="1"/>
  <c r="Q60" i="2"/>
  <c r="R60" i="2"/>
  <c r="G47" i="2"/>
  <c r="I47" i="2"/>
  <c r="P47" i="2" s="1"/>
  <c r="Q47" i="2"/>
  <c r="R47" i="2"/>
  <c r="G53" i="2"/>
  <c r="I53" i="2"/>
  <c r="P53" i="2" s="1"/>
  <c r="Q53" i="2"/>
  <c r="R53" i="2"/>
  <c r="G66" i="2"/>
  <c r="I66" i="2"/>
  <c r="P66" i="2" s="1"/>
  <c r="Q66" i="2"/>
  <c r="R66" i="2"/>
  <c r="G34" i="2"/>
  <c r="I34" i="2"/>
  <c r="P34" i="2" s="1"/>
  <c r="Q34" i="2"/>
  <c r="R34" i="2"/>
  <c r="G52" i="2"/>
  <c r="I52" i="2"/>
  <c r="P52" i="2" s="1"/>
  <c r="Q52" i="2"/>
  <c r="R52" i="2"/>
  <c r="G12" i="2"/>
  <c r="I12" i="2"/>
  <c r="P12" i="2" s="1"/>
  <c r="Q12" i="2"/>
  <c r="R12" i="2"/>
  <c r="G80" i="2"/>
  <c r="I80" i="2"/>
  <c r="P80" i="2" s="1"/>
  <c r="Q80" i="2"/>
  <c r="R80" i="2"/>
  <c r="G65" i="2"/>
  <c r="I65" i="2"/>
  <c r="P65" i="2" s="1"/>
  <c r="Q65" i="2"/>
  <c r="R65" i="2"/>
  <c r="G49" i="2"/>
  <c r="I49" i="2"/>
  <c r="P49" i="2" s="1"/>
  <c r="Q49" i="2"/>
  <c r="R49" i="2"/>
  <c r="G30" i="2"/>
  <c r="I30" i="2"/>
  <c r="P30" i="2" s="1"/>
  <c r="Q30" i="2"/>
  <c r="R30" i="2"/>
  <c r="G43" i="2"/>
  <c r="I43" i="2"/>
  <c r="P43" i="2" s="1"/>
  <c r="Q43" i="2"/>
  <c r="R43" i="2"/>
  <c r="G71" i="2"/>
  <c r="I71" i="2"/>
  <c r="P71" i="2" s="1"/>
  <c r="Q71" i="2"/>
  <c r="R71" i="2"/>
  <c r="G22" i="2"/>
  <c r="I22" i="2"/>
  <c r="P22" i="2" s="1"/>
  <c r="Q22" i="2"/>
  <c r="R22" i="2"/>
  <c r="G50" i="2"/>
  <c r="I50" i="2"/>
  <c r="P50" i="2" s="1"/>
  <c r="Q50" i="2"/>
  <c r="R50" i="2"/>
  <c r="G16" i="2"/>
  <c r="I16" i="2"/>
  <c r="P16" i="2" s="1"/>
  <c r="Q16" i="2"/>
  <c r="R16" i="2"/>
  <c r="G57" i="2"/>
  <c r="I57" i="2"/>
  <c r="P57" i="2" s="1"/>
  <c r="Q57" i="2"/>
  <c r="R57" i="2"/>
  <c r="G56" i="2"/>
  <c r="I56" i="2"/>
  <c r="P56" i="2" s="1"/>
  <c r="Q56" i="2"/>
  <c r="R56" i="2"/>
  <c r="G64" i="2"/>
  <c r="P64" i="2"/>
  <c r="Q64" i="2"/>
  <c r="R64" i="2"/>
  <c r="G48" i="2"/>
  <c r="I48" i="2"/>
  <c r="P48" i="2" s="1"/>
  <c r="Q48" i="2"/>
  <c r="R48" i="2"/>
  <c r="G19" i="2"/>
  <c r="I19" i="2"/>
  <c r="P19" i="2" s="1"/>
  <c r="Q19" i="2"/>
  <c r="R19" i="2"/>
  <c r="G42" i="2"/>
  <c r="I42" i="2"/>
  <c r="P42" i="2" s="1"/>
  <c r="Q42" i="2"/>
  <c r="R42" i="2"/>
  <c r="G33" i="2"/>
  <c r="I33" i="2"/>
  <c r="P33" i="2" s="1"/>
  <c r="Q33" i="2"/>
  <c r="R33" i="2"/>
  <c r="G11" i="2"/>
  <c r="I11" i="2"/>
  <c r="P11" i="2" s="1"/>
  <c r="Q11" i="2"/>
  <c r="R11" i="2"/>
  <c r="G29" i="2"/>
  <c r="I29" i="2"/>
  <c r="P29" i="2" s="1"/>
  <c r="Q29" i="2"/>
  <c r="R29" i="2"/>
  <c r="G41" i="2"/>
  <c r="I41" i="2"/>
  <c r="P41" i="2" s="1"/>
  <c r="Q41" i="2"/>
  <c r="R41" i="2"/>
  <c r="G91" i="2"/>
  <c r="P91" i="2"/>
  <c r="Q91" i="2"/>
  <c r="R91" i="2"/>
  <c r="G76" i="2"/>
  <c r="I76" i="2"/>
  <c r="P76" i="2" s="1"/>
  <c r="Q76" i="2"/>
  <c r="R76" i="2"/>
  <c r="G26" i="2"/>
  <c r="I26" i="2"/>
  <c r="P26" i="2" s="1"/>
  <c r="Q26" i="2"/>
  <c r="R26" i="2"/>
  <c r="G25" i="2"/>
  <c r="I25" i="2"/>
  <c r="P25" i="2" s="1"/>
  <c r="Q25" i="2"/>
  <c r="R25" i="2"/>
  <c r="G24" i="2"/>
  <c r="I24" i="2"/>
  <c r="P24" i="2" s="1"/>
  <c r="Q24" i="2"/>
  <c r="R24" i="2"/>
  <c r="G40" i="2"/>
  <c r="I40" i="2"/>
  <c r="P40" i="2" s="1"/>
  <c r="Q40" i="2"/>
  <c r="R40" i="2"/>
  <c r="G23" i="2"/>
  <c r="P23" i="2"/>
  <c r="Q23" i="2"/>
  <c r="R23" i="2"/>
  <c r="G69" i="2"/>
  <c r="I69" i="2"/>
  <c r="P69" i="2" s="1"/>
  <c r="Q69" i="2"/>
  <c r="R69" i="2"/>
  <c r="G45" i="2"/>
  <c r="I45" i="2"/>
  <c r="P45" i="2" s="1"/>
  <c r="Q45" i="2"/>
  <c r="R45" i="2"/>
  <c r="G28" i="2"/>
  <c r="I28" i="2"/>
  <c r="P28" i="2" s="1"/>
  <c r="Q28" i="2"/>
  <c r="R28" i="2"/>
  <c r="G39" i="2"/>
  <c r="I39" i="2"/>
  <c r="P39" i="2" s="1"/>
  <c r="Q39" i="2"/>
  <c r="R39" i="2"/>
  <c r="G70" i="2"/>
  <c r="I70" i="2"/>
  <c r="P70" i="2" s="1"/>
  <c r="Q70" i="2"/>
  <c r="R70" i="2"/>
  <c r="G32" i="2"/>
  <c r="I32" i="2"/>
  <c r="P32" i="2" s="1"/>
  <c r="Q32" i="2"/>
  <c r="R32" i="2"/>
  <c r="G63" i="2"/>
  <c r="P63" i="2"/>
  <c r="Q63" i="2"/>
  <c r="R63" i="2"/>
  <c r="G54" i="2"/>
  <c r="I54" i="2"/>
  <c r="P54" i="2" s="1"/>
  <c r="Q54" i="2"/>
  <c r="R54" i="2"/>
  <c r="G172" i="20" l="1"/>
  <c r="G173" i="20"/>
  <c r="G174" i="20"/>
  <c r="G175" i="20"/>
  <c r="G176" i="20"/>
  <c r="G418" i="21"/>
  <c r="G419" i="21"/>
  <c r="G420" i="21"/>
  <c r="G421" i="21"/>
  <c r="G422" i="21"/>
  <c r="G206" i="14"/>
  <c r="G207" i="14"/>
  <c r="G208" i="14"/>
  <c r="G209" i="14"/>
  <c r="G210" i="14"/>
  <c r="G199" i="19"/>
  <c r="G200" i="19"/>
  <c r="G201" i="19"/>
  <c r="G202" i="19"/>
  <c r="G207" i="18"/>
  <c r="G208" i="18"/>
  <c r="G209" i="18"/>
  <c r="G210" i="18"/>
  <c r="G211" i="18"/>
  <c r="G225" i="15"/>
  <c r="G226" i="15"/>
  <c r="G227" i="15"/>
  <c r="G228" i="15"/>
  <c r="G229" i="15"/>
  <c r="G201" i="13"/>
  <c r="G202" i="13"/>
  <c r="G203" i="13"/>
  <c r="G204" i="13"/>
  <c r="G205" i="13"/>
  <c r="G548" i="16"/>
  <c r="G549" i="16"/>
  <c r="G550" i="16"/>
  <c r="G551" i="16"/>
  <c r="G552" i="16"/>
  <c r="G523" i="12"/>
  <c r="G524" i="12"/>
  <c r="G525" i="12"/>
  <c r="G526" i="12"/>
  <c r="G527" i="12"/>
  <c r="G221" i="11"/>
  <c r="G222" i="11"/>
  <c r="G223" i="11"/>
  <c r="G224" i="11"/>
  <c r="G220" i="11"/>
  <c r="G209" i="2"/>
  <c r="G210" i="2"/>
  <c r="G211" i="2"/>
  <c r="G212" i="2"/>
  <c r="G208" i="2"/>
  <c r="G482" i="10"/>
  <c r="G479" i="10"/>
  <c r="G480" i="10"/>
  <c r="G481" i="10"/>
  <c r="G478" i="10"/>
  <c r="G249" i="10"/>
  <c r="G250" i="10"/>
  <c r="G251" i="10"/>
  <c r="G252" i="10"/>
  <c r="G253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B18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138" i="20" s="1"/>
  <c r="N1" i="21"/>
  <c r="K167" i="21" s="1"/>
  <c r="N1" i="14"/>
  <c r="K172" i="14" s="1"/>
  <c r="N1" i="19"/>
  <c r="K164" i="19" s="1"/>
  <c r="N1" i="18"/>
  <c r="K173" i="18" s="1"/>
  <c r="N1" i="15"/>
  <c r="K191" i="15" s="1"/>
  <c r="N1" i="13"/>
  <c r="K169" i="13" s="1"/>
  <c r="N1" i="16"/>
  <c r="K157" i="16" s="1"/>
  <c r="N1" i="12"/>
  <c r="K187" i="12" s="1"/>
  <c r="N1" i="11"/>
  <c r="K186" i="11" s="1"/>
  <c r="G1" i="20"/>
  <c r="G1" i="21"/>
  <c r="G1" i="14"/>
  <c r="G1" i="19"/>
  <c r="G1" i="18"/>
  <c r="G1" i="15"/>
  <c r="G1" i="13"/>
  <c r="G1" i="16"/>
  <c r="G1" i="12"/>
  <c r="G1" i="11"/>
  <c r="G1" i="10"/>
  <c r="M415" i="21"/>
  <c r="K415" i="21"/>
  <c r="J415" i="21"/>
  <c r="I415" i="21"/>
  <c r="H415" i="21"/>
  <c r="L205" i="21"/>
  <c r="L204" i="21"/>
  <c r="L203" i="21"/>
  <c r="L202" i="21"/>
  <c r="L201" i="21"/>
  <c r="L182" i="21"/>
  <c r="G182" i="21"/>
  <c r="M177" i="21"/>
  <c r="K177" i="21"/>
  <c r="J177" i="21"/>
  <c r="H177" i="21"/>
  <c r="I176" i="21"/>
  <c r="L176" i="21" s="1"/>
  <c r="G176" i="21"/>
  <c r="I171" i="21"/>
  <c r="G171" i="21"/>
  <c r="I161" i="21"/>
  <c r="K160" i="21"/>
  <c r="J160" i="21"/>
  <c r="H160" i="21"/>
  <c r="K159" i="21"/>
  <c r="J159" i="21"/>
  <c r="H159" i="21"/>
  <c r="K141" i="21"/>
  <c r="J141" i="21"/>
  <c r="H141" i="21"/>
  <c r="L135" i="21"/>
  <c r="J135" i="21"/>
  <c r="I135" i="21"/>
  <c r="H135" i="21"/>
  <c r="G135" i="21"/>
  <c r="O125" i="21"/>
  <c r="N125" i="21"/>
  <c r="M125" i="21"/>
  <c r="L125" i="21"/>
  <c r="K125" i="21"/>
  <c r="J125" i="21"/>
  <c r="H125" i="21"/>
  <c r="R106" i="21"/>
  <c r="Q106" i="21"/>
  <c r="I106" i="21"/>
  <c r="P106" i="21" s="1"/>
  <c r="G106" i="21"/>
  <c r="R102" i="21"/>
  <c r="Q102" i="21"/>
  <c r="I102" i="21"/>
  <c r="P102" i="21" s="1"/>
  <c r="G102" i="21"/>
  <c r="R100" i="21"/>
  <c r="Q100" i="21"/>
  <c r="I100" i="21"/>
  <c r="P100" i="21" s="1"/>
  <c r="G100" i="21"/>
  <c r="R99" i="21"/>
  <c r="Q99" i="21"/>
  <c r="I99" i="21"/>
  <c r="P99" i="21" s="1"/>
  <c r="G99" i="21"/>
  <c r="R103" i="21"/>
  <c r="Q103" i="21"/>
  <c r="I103" i="21"/>
  <c r="P103" i="21" s="1"/>
  <c r="G103" i="21"/>
  <c r="R101" i="21"/>
  <c r="Q101" i="21"/>
  <c r="I101" i="21"/>
  <c r="P101" i="21" s="1"/>
  <c r="G101" i="21"/>
  <c r="R93" i="21"/>
  <c r="Q93" i="21"/>
  <c r="I93" i="21"/>
  <c r="P93" i="21" s="1"/>
  <c r="G93" i="21"/>
  <c r="R20" i="21"/>
  <c r="Q20" i="21"/>
  <c r="I20" i="21"/>
  <c r="P20" i="21" s="1"/>
  <c r="G20" i="21"/>
  <c r="M162" i="20"/>
  <c r="K162" i="20"/>
  <c r="J162" i="20"/>
  <c r="I162" i="20"/>
  <c r="H162" i="20"/>
  <c r="L161" i="20"/>
  <c r="L160" i="20"/>
  <c r="L159" i="20"/>
  <c r="L158" i="20"/>
  <c r="L157" i="20"/>
  <c r="L156" i="20"/>
  <c r="G156" i="20"/>
  <c r="M151" i="20"/>
  <c r="K151" i="20"/>
  <c r="J151" i="20"/>
  <c r="H151" i="20"/>
  <c r="I150" i="20"/>
  <c r="L150" i="20" s="1"/>
  <c r="G150" i="20"/>
  <c r="I149" i="20"/>
  <c r="L149" i="20" s="1"/>
  <c r="G149" i="20"/>
  <c r="I148" i="20"/>
  <c r="L148" i="20" s="1"/>
  <c r="G148" i="20"/>
  <c r="I147" i="20"/>
  <c r="L147" i="20" s="1"/>
  <c r="G147" i="20"/>
  <c r="I146" i="20"/>
  <c r="L146" i="20" s="1"/>
  <c r="G146" i="20"/>
  <c r="I145" i="20"/>
  <c r="L145" i="20" s="1"/>
  <c r="G145" i="20"/>
  <c r="I144" i="20"/>
  <c r="L144" i="20" s="1"/>
  <c r="G144" i="20"/>
  <c r="I143" i="20"/>
  <c r="L143" i="20" s="1"/>
  <c r="G143" i="20"/>
  <c r="I142" i="20"/>
  <c r="G142" i="20"/>
  <c r="I133" i="20"/>
  <c r="K131" i="20"/>
  <c r="J131" i="20"/>
  <c r="H131" i="20"/>
  <c r="K130" i="20"/>
  <c r="J130" i="20"/>
  <c r="H130" i="20"/>
  <c r="K129" i="20"/>
  <c r="J129" i="20"/>
  <c r="H129" i="20"/>
  <c r="K128" i="20"/>
  <c r="J128" i="20"/>
  <c r="H128" i="20"/>
  <c r="L101" i="20"/>
  <c r="K101" i="20"/>
  <c r="I101" i="20"/>
  <c r="G101" i="20"/>
  <c r="O91" i="20"/>
  <c r="N91" i="20"/>
  <c r="M91" i="20"/>
  <c r="L91" i="20"/>
  <c r="H91" i="20"/>
  <c r="R11" i="20"/>
  <c r="Q11" i="20"/>
  <c r="I11" i="20"/>
  <c r="G11" i="20"/>
  <c r="R18" i="20"/>
  <c r="Q18" i="20"/>
  <c r="I18" i="20"/>
  <c r="G18" i="20"/>
  <c r="M188" i="19"/>
  <c r="K188" i="19"/>
  <c r="J188" i="19"/>
  <c r="I188" i="19"/>
  <c r="H188" i="19"/>
  <c r="L187" i="19"/>
  <c r="L186" i="19"/>
  <c r="L185" i="19"/>
  <c r="L184" i="19"/>
  <c r="L183" i="19"/>
  <c r="L182" i="19"/>
  <c r="G182" i="19"/>
  <c r="M177" i="19"/>
  <c r="K177" i="19"/>
  <c r="J177" i="19"/>
  <c r="H177" i="19"/>
  <c r="I176" i="19"/>
  <c r="L176" i="19" s="1"/>
  <c r="G176" i="19"/>
  <c r="I175" i="19"/>
  <c r="L175" i="19" s="1"/>
  <c r="G175" i="19"/>
  <c r="I174" i="19"/>
  <c r="L174" i="19" s="1"/>
  <c r="G174" i="19"/>
  <c r="I173" i="19"/>
  <c r="L173" i="19" s="1"/>
  <c r="G173" i="19"/>
  <c r="I172" i="19"/>
  <c r="L172" i="19" s="1"/>
  <c r="G172" i="19"/>
  <c r="I171" i="19"/>
  <c r="L171" i="19" s="1"/>
  <c r="G171" i="19"/>
  <c r="I170" i="19"/>
  <c r="L170" i="19" s="1"/>
  <c r="G170" i="19"/>
  <c r="I169" i="19"/>
  <c r="L169" i="19" s="1"/>
  <c r="G169" i="19"/>
  <c r="I168" i="19"/>
  <c r="L168" i="19" s="1"/>
  <c r="G168" i="19"/>
  <c r="I158" i="19"/>
  <c r="K157" i="19"/>
  <c r="J157" i="19"/>
  <c r="H157" i="19"/>
  <c r="K154" i="19"/>
  <c r="J154" i="19"/>
  <c r="H154" i="19"/>
  <c r="K139" i="19"/>
  <c r="J139" i="19"/>
  <c r="H139" i="19"/>
  <c r="L122" i="19"/>
  <c r="K122" i="19"/>
  <c r="J122" i="19"/>
  <c r="I122" i="19"/>
  <c r="H122" i="19"/>
  <c r="G122" i="19"/>
  <c r="O99" i="19"/>
  <c r="N99" i="19"/>
  <c r="M99" i="19"/>
  <c r="L99" i="19"/>
  <c r="K99" i="19"/>
  <c r="J99" i="19"/>
  <c r="H99" i="19"/>
  <c r="R92" i="19"/>
  <c r="Q92" i="19"/>
  <c r="I92" i="19"/>
  <c r="P92" i="19" s="1"/>
  <c r="G92" i="19"/>
  <c r="R94" i="19"/>
  <c r="Q94" i="19"/>
  <c r="I94" i="19"/>
  <c r="P94" i="19" s="1"/>
  <c r="G94" i="19"/>
  <c r="M197" i="18"/>
  <c r="K197" i="18"/>
  <c r="J197" i="18"/>
  <c r="I197" i="18"/>
  <c r="H197" i="18"/>
  <c r="L196" i="18"/>
  <c r="L195" i="18"/>
  <c r="L194" i="18"/>
  <c r="L193" i="18"/>
  <c r="L192" i="18"/>
  <c r="L191" i="18"/>
  <c r="G191" i="18"/>
  <c r="M186" i="18"/>
  <c r="K186" i="18"/>
  <c r="J186" i="18"/>
  <c r="H186" i="18"/>
  <c r="I185" i="18"/>
  <c r="L185" i="18" s="1"/>
  <c r="G185" i="18"/>
  <c r="I184" i="18"/>
  <c r="L184" i="18" s="1"/>
  <c r="G184" i="18"/>
  <c r="I183" i="18"/>
  <c r="L183" i="18" s="1"/>
  <c r="G183" i="18"/>
  <c r="I182" i="18"/>
  <c r="L182" i="18" s="1"/>
  <c r="G182" i="18"/>
  <c r="I181" i="18"/>
  <c r="L181" i="18" s="1"/>
  <c r="G181" i="18"/>
  <c r="I180" i="18"/>
  <c r="L180" i="18" s="1"/>
  <c r="G180" i="18"/>
  <c r="I179" i="18"/>
  <c r="L179" i="18" s="1"/>
  <c r="G179" i="18"/>
  <c r="I178" i="18"/>
  <c r="L178" i="18" s="1"/>
  <c r="G178" i="18"/>
  <c r="I177" i="18"/>
  <c r="G177" i="18"/>
  <c r="I167" i="18"/>
  <c r="K166" i="18"/>
  <c r="J166" i="18"/>
  <c r="H166" i="18"/>
  <c r="K137" i="18"/>
  <c r="J137" i="18"/>
  <c r="H137" i="18"/>
  <c r="L131" i="18"/>
  <c r="K131" i="18"/>
  <c r="J131" i="18"/>
  <c r="I131" i="18"/>
  <c r="H131" i="18"/>
  <c r="G131" i="18"/>
  <c r="O121" i="18"/>
  <c r="N121" i="18"/>
  <c r="M121" i="18"/>
  <c r="L121" i="18"/>
  <c r="K121" i="18"/>
  <c r="J121" i="18"/>
  <c r="H121" i="18"/>
  <c r="R108" i="18"/>
  <c r="Q108" i="18"/>
  <c r="I108" i="18"/>
  <c r="P108" i="18" s="1"/>
  <c r="G108" i="18"/>
  <c r="R103" i="18"/>
  <c r="Q103" i="18"/>
  <c r="I103" i="18"/>
  <c r="P103" i="18" s="1"/>
  <c r="G103" i="18"/>
  <c r="R104" i="18"/>
  <c r="Q104" i="18"/>
  <c r="I104" i="18"/>
  <c r="P104" i="18" s="1"/>
  <c r="G104" i="18"/>
  <c r="R99" i="18"/>
  <c r="Q99" i="18"/>
  <c r="I99" i="18"/>
  <c r="P99" i="18" s="1"/>
  <c r="G99" i="18"/>
  <c r="R100" i="18"/>
  <c r="Q100" i="18"/>
  <c r="I100" i="18"/>
  <c r="P100" i="18" s="1"/>
  <c r="G100" i="18"/>
  <c r="R98" i="18"/>
  <c r="Q98" i="18"/>
  <c r="I98" i="18"/>
  <c r="P98" i="18" s="1"/>
  <c r="G98" i="18"/>
  <c r="R102" i="18"/>
  <c r="Q102" i="18"/>
  <c r="I102" i="18"/>
  <c r="P102" i="18" s="1"/>
  <c r="G102" i="18"/>
  <c r="R13" i="18"/>
  <c r="Q13" i="18"/>
  <c r="I13" i="18"/>
  <c r="P13" i="18" s="1"/>
  <c r="G13" i="18"/>
  <c r="M545" i="16"/>
  <c r="K545" i="16"/>
  <c r="J545" i="16"/>
  <c r="I545" i="16"/>
  <c r="H545" i="16"/>
  <c r="L352" i="16"/>
  <c r="L351" i="16"/>
  <c r="L350" i="16"/>
  <c r="L349" i="16"/>
  <c r="L348" i="16"/>
  <c r="L226" i="16"/>
  <c r="G226" i="16"/>
  <c r="M221" i="16"/>
  <c r="K221" i="16"/>
  <c r="J221" i="16"/>
  <c r="H221" i="16"/>
  <c r="I220" i="16"/>
  <c r="L220" i="16" s="1"/>
  <c r="G220" i="16"/>
  <c r="I152" i="16"/>
  <c r="K131" i="16"/>
  <c r="J131" i="16"/>
  <c r="H131" i="16"/>
  <c r="K146" i="16"/>
  <c r="J146" i="16"/>
  <c r="H146" i="16"/>
  <c r="K128" i="16"/>
  <c r="J128" i="16"/>
  <c r="H128" i="16"/>
  <c r="L112" i="16"/>
  <c r="K112" i="16"/>
  <c r="J112" i="16"/>
  <c r="I112" i="16"/>
  <c r="H112" i="16"/>
  <c r="G112" i="16"/>
  <c r="O102" i="16"/>
  <c r="N102" i="16"/>
  <c r="M102" i="16"/>
  <c r="L102" i="16"/>
  <c r="K102" i="16"/>
  <c r="J102" i="16"/>
  <c r="H102" i="16"/>
  <c r="R81" i="16"/>
  <c r="Q81" i="16"/>
  <c r="I81" i="16"/>
  <c r="P81" i="16" s="1"/>
  <c r="G81" i="16"/>
  <c r="R42" i="16"/>
  <c r="Q42" i="16"/>
  <c r="I42" i="16"/>
  <c r="P42" i="16" s="1"/>
  <c r="G42" i="16"/>
  <c r="R32" i="16"/>
  <c r="Q32" i="16"/>
  <c r="I32" i="16"/>
  <c r="P32" i="16" s="1"/>
  <c r="G32" i="16"/>
  <c r="R59" i="16"/>
  <c r="Q59" i="16"/>
  <c r="I59" i="16"/>
  <c r="P59" i="16" s="1"/>
  <c r="G59" i="16"/>
  <c r="R63" i="16"/>
  <c r="Q63" i="16"/>
  <c r="I63" i="16"/>
  <c r="P63" i="16" s="1"/>
  <c r="G63" i="16"/>
  <c r="R78" i="16"/>
  <c r="Q78" i="16"/>
  <c r="I78" i="16"/>
  <c r="P78" i="16" s="1"/>
  <c r="G78" i="16"/>
  <c r="R62" i="16"/>
  <c r="Q62" i="16"/>
  <c r="I62" i="16"/>
  <c r="P62" i="16" s="1"/>
  <c r="G62" i="16"/>
  <c r="R28" i="16"/>
  <c r="Q28" i="16"/>
  <c r="I28" i="16"/>
  <c r="G28" i="16"/>
  <c r="M215" i="15"/>
  <c r="K215" i="15"/>
  <c r="J215" i="15"/>
  <c r="I215" i="15"/>
  <c r="H215" i="15"/>
  <c r="L214" i="15"/>
  <c r="L213" i="15"/>
  <c r="L212" i="15"/>
  <c r="L211" i="15"/>
  <c r="L210" i="15"/>
  <c r="L209" i="15"/>
  <c r="G209" i="15"/>
  <c r="M204" i="15"/>
  <c r="K204" i="15"/>
  <c r="J204" i="15"/>
  <c r="H204" i="15"/>
  <c r="I203" i="15"/>
  <c r="L203" i="15" s="1"/>
  <c r="G203" i="15"/>
  <c r="I202" i="15"/>
  <c r="L202" i="15" s="1"/>
  <c r="G202" i="15"/>
  <c r="I201" i="15"/>
  <c r="L201" i="15" s="1"/>
  <c r="G201" i="15"/>
  <c r="I200" i="15"/>
  <c r="L200" i="15" s="1"/>
  <c r="G200" i="15"/>
  <c r="I199" i="15"/>
  <c r="L199" i="15" s="1"/>
  <c r="G199" i="15"/>
  <c r="I198" i="15"/>
  <c r="L198" i="15" s="1"/>
  <c r="G198" i="15"/>
  <c r="I197" i="15"/>
  <c r="L197" i="15" s="1"/>
  <c r="G197" i="15"/>
  <c r="I196" i="15"/>
  <c r="L196" i="15" s="1"/>
  <c r="G196" i="15"/>
  <c r="I195" i="15"/>
  <c r="G195" i="15"/>
  <c r="I185" i="15"/>
  <c r="L145" i="15"/>
  <c r="K145" i="15"/>
  <c r="J145" i="15"/>
  <c r="I145" i="15"/>
  <c r="H145" i="15"/>
  <c r="G145" i="15"/>
  <c r="O135" i="15"/>
  <c r="N135" i="15"/>
  <c r="M135" i="15"/>
  <c r="L135" i="15"/>
  <c r="K135" i="15"/>
  <c r="J135" i="15"/>
  <c r="H135" i="15"/>
  <c r="R134" i="15"/>
  <c r="Q134" i="15"/>
  <c r="I134" i="15"/>
  <c r="P134" i="15" s="1"/>
  <c r="G134" i="15"/>
  <c r="M196" i="14"/>
  <c r="K196" i="14"/>
  <c r="J196" i="14"/>
  <c r="I196" i="14"/>
  <c r="H196" i="14"/>
  <c r="L195" i="14"/>
  <c r="L194" i="14"/>
  <c r="L193" i="14"/>
  <c r="L192" i="14"/>
  <c r="L191" i="14"/>
  <c r="L190" i="14"/>
  <c r="G190" i="14"/>
  <c r="M185" i="14"/>
  <c r="K185" i="14"/>
  <c r="J185" i="14"/>
  <c r="H185" i="14"/>
  <c r="I184" i="14"/>
  <c r="L184" i="14" s="1"/>
  <c r="G184" i="14"/>
  <c r="I183" i="14"/>
  <c r="L183" i="14" s="1"/>
  <c r="G183" i="14"/>
  <c r="I182" i="14"/>
  <c r="L182" i="14" s="1"/>
  <c r="G182" i="14"/>
  <c r="I181" i="14"/>
  <c r="L181" i="14" s="1"/>
  <c r="G181" i="14"/>
  <c r="I180" i="14"/>
  <c r="L180" i="14" s="1"/>
  <c r="G180" i="14"/>
  <c r="I179" i="14"/>
  <c r="L179" i="14" s="1"/>
  <c r="G179" i="14"/>
  <c r="I178" i="14"/>
  <c r="L178" i="14" s="1"/>
  <c r="G178" i="14"/>
  <c r="I177" i="14"/>
  <c r="L177" i="14" s="1"/>
  <c r="G177" i="14"/>
  <c r="I176" i="14"/>
  <c r="G176" i="14"/>
  <c r="I166" i="14"/>
  <c r="K165" i="14"/>
  <c r="J165" i="14"/>
  <c r="H165" i="14"/>
  <c r="K164" i="14"/>
  <c r="J164" i="14"/>
  <c r="H164" i="14"/>
  <c r="K163" i="14"/>
  <c r="J163" i="14"/>
  <c r="H163" i="14"/>
  <c r="K162" i="14"/>
  <c r="J162" i="14"/>
  <c r="H162" i="14"/>
  <c r="L118" i="14"/>
  <c r="K118" i="14"/>
  <c r="J118" i="14"/>
  <c r="I118" i="14"/>
  <c r="H118" i="14"/>
  <c r="G118" i="14"/>
  <c r="O108" i="14"/>
  <c r="N108" i="14"/>
  <c r="M108" i="14"/>
  <c r="L108" i="14"/>
  <c r="K108" i="14"/>
  <c r="J108" i="14"/>
  <c r="H108" i="14"/>
  <c r="R71" i="14"/>
  <c r="Q71" i="14"/>
  <c r="I71" i="14"/>
  <c r="P71" i="14" s="1"/>
  <c r="G71" i="14"/>
  <c r="R69" i="14"/>
  <c r="Q69" i="14"/>
  <c r="I69" i="14"/>
  <c r="P69" i="14" s="1"/>
  <c r="G69" i="14"/>
  <c r="R70" i="14"/>
  <c r="Q70" i="14"/>
  <c r="I70" i="14"/>
  <c r="P70" i="14" s="1"/>
  <c r="G70" i="14"/>
  <c r="R65" i="14"/>
  <c r="Q65" i="14"/>
  <c r="I65" i="14"/>
  <c r="P65" i="14" s="1"/>
  <c r="G65" i="14"/>
  <c r="R67" i="14"/>
  <c r="Q67" i="14"/>
  <c r="I67" i="14"/>
  <c r="P67" i="14" s="1"/>
  <c r="G67" i="14"/>
  <c r="R66" i="14"/>
  <c r="Q66" i="14"/>
  <c r="I66" i="14"/>
  <c r="P66" i="14" s="1"/>
  <c r="G66" i="14"/>
  <c r="R68" i="14"/>
  <c r="Q68" i="14"/>
  <c r="I68" i="14"/>
  <c r="P68" i="14" s="1"/>
  <c r="G68" i="14"/>
  <c r="R9" i="14"/>
  <c r="Q9" i="14"/>
  <c r="G9" i="14"/>
  <c r="M191" i="13"/>
  <c r="K191" i="13"/>
  <c r="J191" i="13"/>
  <c r="I191" i="13"/>
  <c r="H191" i="13"/>
  <c r="L190" i="13"/>
  <c r="L189" i="13"/>
  <c r="L188" i="13"/>
  <c r="L187" i="13"/>
  <c r="L186" i="13"/>
  <c r="L185" i="13"/>
  <c r="G185" i="13"/>
  <c r="M180" i="13"/>
  <c r="K180" i="13"/>
  <c r="J180" i="13"/>
  <c r="H180" i="13"/>
  <c r="I179" i="13"/>
  <c r="L179" i="13" s="1"/>
  <c r="G179" i="13"/>
  <c r="I178" i="13"/>
  <c r="L178" i="13" s="1"/>
  <c r="G178" i="13"/>
  <c r="I173" i="13"/>
  <c r="G173" i="13"/>
  <c r="I163" i="13"/>
  <c r="K162" i="13"/>
  <c r="J162" i="13"/>
  <c r="H162" i="13"/>
  <c r="K161" i="13"/>
  <c r="J161" i="13"/>
  <c r="H161" i="13"/>
  <c r="L114" i="13"/>
  <c r="K114" i="13"/>
  <c r="J114" i="13"/>
  <c r="G114" i="13"/>
  <c r="O104" i="13"/>
  <c r="N104" i="13"/>
  <c r="M104" i="13"/>
  <c r="L104" i="13"/>
  <c r="K104" i="13"/>
  <c r="J104" i="13"/>
  <c r="H104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M520" i="12"/>
  <c r="K520" i="12"/>
  <c r="J520" i="12"/>
  <c r="I520" i="12"/>
  <c r="H520" i="12"/>
  <c r="L289" i="12"/>
  <c r="L261" i="12"/>
  <c r="L260" i="12"/>
  <c r="L259" i="12"/>
  <c r="L258" i="12"/>
  <c r="L257" i="12"/>
  <c r="G257" i="12"/>
  <c r="M254" i="12"/>
  <c r="K254" i="12"/>
  <c r="J254" i="12"/>
  <c r="H254" i="12"/>
  <c r="I199" i="12"/>
  <c r="L199" i="12" s="1"/>
  <c r="G199" i="12"/>
  <c r="I198" i="12"/>
  <c r="L198" i="12" s="1"/>
  <c r="G198" i="12"/>
  <c r="I197" i="12"/>
  <c r="L197" i="12" s="1"/>
  <c r="G197" i="12"/>
  <c r="I196" i="12"/>
  <c r="L196" i="12" s="1"/>
  <c r="G196" i="12"/>
  <c r="I195" i="12"/>
  <c r="L195" i="12" s="1"/>
  <c r="G195" i="12"/>
  <c r="I194" i="12"/>
  <c r="L194" i="12" s="1"/>
  <c r="G194" i="12"/>
  <c r="I193" i="12"/>
  <c r="L193" i="12" s="1"/>
  <c r="G193" i="12"/>
  <c r="I192" i="12"/>
  <c r="L192" i="12" s="1"/>
  <c r="G192" i="12"/>
  <c r="I191" i="12"/>
  <c r="G191" i="12"/>
  <c r="I181" i="12"/>
  <c r="K180" i="12"/>
  <c r="J180" i="12"/>
  <c r="H180" i="12"/>
  <c r="K134" i="12"/>
  <c r="J134" i="12"/>
  <c r="H134" i="12"/>
  <c r="L128" i="12"/>
  <c r="K128" i="12"/>
  <c r="J128" i="12"/>
  <c r="I128" i="12"/>
  <c r="H128" i="12"/>
  <c r="G128" i="12"/>
  <c r="O118" i="12"/>
  <c r="N118" i="12"/>
  <c r="M118" i="12"/>
  <c r="L118" i="12"/>
  <c r="H118" i="12"/>
  <c r="R83" i="12"/>
  <c r="Q83" i="12"/>
  <c r="I83" i="12"/>
  <c r="P83" i="12" s="1"/>
  <c r="G83" i="12"/>
  <c r="R85" i="12"/>
  <c r="Q85" i="12"/>
  <c r="I85" i="12"/>
  <c r="P85" i="12" s="1"/>
  <c r="G85" i="12"/>
  <c r="R84" i="12"/>
  <c r="Q84" i="12"/>
  <c r="I84" i="12"/>
  <c r="P84" i="12" s="1"/>
  <c r="G84" i="12"/>
  <c r="R81" i="12"/>
  <c r="Q81" i="12"/>
  <c r="I81" i="12"/>
  <c r="P81" i="12" s="1"/>
  <c r="G81" i="12"/>
  <c r="R87" i="12"/>
  <c r="Q87" i="12"/>
  <c r="I87" i="12"/>
  <c r="P87" i="12" s="1"/>
  <c r="G87" i="12"/>
  <c r="R36" i="12"/>
  <c r="Q36" i="12"/>
  <c r="I36" i="12"/>
  <c r="P36" i="12" s="1"/>
  <c r="G36" i="12"/>
  <c r="R20" i="12"/>
  <c r="Q20" i="12"/>
  <c r="I20" i="12"/>
  <c r="G20" i="12"/>
  <c r="R19" i="12"/>
  <c r="Q19" i="12"/>
  <c r="P19" i="12"/>
  <c r="G19" i="12"/>
  <c r="M210" i="11"/>
  <c r="K210" i="11"/>
  <c r="J210" i="11"/>
  <c r="I210" i="11"/>
  <c r="H210" i="11"/>
  <c r="L209" i="11"/>
  <c r="L208" i="11"/>
  <c r="L207" i="11"/>
  <c r="L206" i="11"/>
  <c r="L205" i="11"/>
  <c r="L204" i="11"/>
  <c r="G204" i="11"/>
  <c r="M199" i="11"/>
  <c r="K199" i="11"/>
  <c r="J199" i="11"/>
  <c r="H199" i="11"/>
  <c r="I198" i="11"/>
  <c r="L198" i="11" s="1"/>
  <c r="G198" i="11"/>
  <c r="I197" i="11"/>
  <c r="L197" i="11" s="1"/>
  <c r="G197" i="11"/>
  <c r="I196" i="11"/>
  <c r="L196" i="11" s="1"/>
  <c r="G196" i="11"/>
  <c r="I195" i="11"/>
  <c r="L195" i="11" s="1"/>
  <c r="G195" i="11"/>
  <c r="I194" i="11"/>
  <c r="L194" i="11" s="1"/>
  <c r="G194" i="11"/>
  <c r="I193" i="11"/>
  <c r="L193" i="11" s="1"/>
  <c r="G193" i="11"/>
  <c r="I192" i="11"/>
  <c r="L192" i="11" s="1"/>
  <c r="G192" i="11"/>
  <c r="I191" i="11"/>
  <c r="L191" i="11" s="1"/>
  <c r="G191" i="11"/>
  <c r="I190" i="11"/>
  <c r="G190" i="11"/>
  <c r="I180" i="11"/>
  <c r="K179" i="11"/>
  <c r="J179" i="11"/>
  <c r="H179" i="11"/>
  <c r="L137" i="11"/>
  <c r="K137" i="11"/>
  <c r="J137" i="11"/>
  <c r="I137" i="11"/>
  <c r="H137" i="11"/>
  <c r="G137" i="11"/>
  <c r="O127" i="11"/>
  <c r="N127" i="11"/>
  <c r="M127" i="11"/>
  <c r="L127" i="11"/>
  <c r="K127" i="11"/>
  <c r="J127" i="11"/>
  <c r="H127" i="11"/>
  <c r="R13" i="11"/>
  <c r="Q13" i="11"/>
  <c r="I13" i="11"/>
  <c r="P13" i="11" s="1"/>
  <c r="G13" i="11"/>
  <c r="R122" i="11"/>
  <c r="Q122" i="11"/>
  <c r="I122" i="11"/>
  <c r="P122" i="11" s="1"/>
  <c r="G122" i="11"/>
  <c r="R119" i="11"/>
  <c r="Q119" i="11"/>
  <c r="I119" i="11"/>
  <c r="P119" i="11" s="1"/>
  <c r="G119" i="11"/>
  <c r="R124" i="11"/>
  <c r="Q124" i="11"/>
  <c r="P124" i="11"/>
  <c r="G124" i="11"/>
  <c r="R15" i="11"/>
  <c r="Q15" i="11"/>
  <c r="I15" i="11"/>
  <c r="P15" i="11" s="1"/>
  <c r="G15" i="11"/>
  <c r="R14" i="11"/>
  <c r="Q14" i="11"/>
  <c r="I14" i="11"/>
  <c r="P14" i="11" s="1"/>
  <c r="G14" i="11"/>
  <c r="R11" i="11"/>
  <c r="Q11" i="11"/>
  <c r="I11" i="11"/>
  <c r="P11" i="11" s="1"/>
  <c r="G11" i="11"/>
  <c r="R9" i="11"/>
  <c r="Q9" i="11"/>
  <c r="I9" i="11"/>
  <c r="G9" i="11"/>
  <c r="N1" i="10"/>
  <c r="K189" i="10" s="1"/>
  <c r="M475" i="10"/>
  <c r="K475" i="10"/>
  <c r="J475" i="10"/>
  <c r="I475" i="10"/>
  <c r="H475" i="10"/>
  <c r="L253" i="10"/>
  <c r="L252" i="10"/>
  <c r="L251" i="10"/>
  <c r="L250" i="10"/>
  <c r="L249" i="10"/>
  <c r="L248" i="10"/>
  <c r="G248" i="10"/>
  <c r="M245" i="10"/>
  <c r="K245" i="10"/>
  <c r="J245" i="10"/>
  <c r="H245" i="10"/>
  <c r="I201" i="10"/>
  <c r="L201" i="10" s="1"/>
  <c r="G201" i="10"/>
  <c r="I200" i="10"/>
  <c r="L200" i="10" s="1"/>
  <c r="G200" i="10"/>
  <c r="I199" i="10"/>
  <c r="L199" i="10" s="1"/>
  <c r="G199" i="10"/>
  <c r="I198" i="10"/>
  <c r="L198" i="10" s="1"/>
  <c r="G198" i="10"/>
  <c r="I197" i="10"/>
  <c r="L197" i="10" s="1"/>
  <c r="G197" i="10"/>
  <c r="I196" i="10"/>
  <c r="L196" i="10" s="1"/>
  <c r="G196" i="10"/>
  <c r="I195" i="10"/>
  <c r="L195" i="10" s="1"/>
  <c r="G195" i="10"/>
  <c r="I194" i="10"/>
  <c r="L194" i="10" s="1"/>
  <c r="G194" i="10"/>
  <c r="I193" i="10"/>
  <c r="G193" i="10"/>
  <c r="I183" i="10"/>
  <c r="K182" i="10"/>
  <c r="J182" i="10"/>
  <c r="H182" i="10"/>
  <c r="K181" i="10"/>
  <c r="J181" i="10"/>
  <c r="H181" i="10"/>
  <c r="K180" i="10"/>
  <c r="J180" i="10"/>
  <c r="H180" i="10"/>
  <c r="L132" i="10"/>
  <c r="K132" i="10"/>
  <c r="J132" i="10"/>
  <c r="I132" i="10"/>
  <c r="H132" i="10"/>
  <c r="G132" i="10"/>
  <c r="O122" i="10"/>
  <c r="N122" i="10"/>
  <c r="M122" i="10"/>
  <c r="L122" i="10"/>
  <c r="K122" i="10"/>
  <c r="J122" i="10"/>
  <c r="H122" i="10"/>
  <c r="R108" i="10"/>
  <c r="Q108" i="10"/>
  <c r="I108" i="10"/>
  <c r="P108" i="10" s="1"/>
  <c r="G108" i="10"/>
  <c r="R110" i="10"/>
  <c r="Q110" i="10"/>
  <c r="I110" i="10"/>
  <c r="P110" i="10" s="1"/>
  <c r="G110" i="10"/>
  <c r="R105" i="10"/>
  <c r="Q105" i="10"/>
  <c r="I105" i="10"/>
  <c r="P105" i="10" s="1"/>
  <c r="G105" i="10"/>
  <c r="R103" i="10"/>
  <c r="Q103" i="10"/>
  <c r="I103" i="10"/>
  <c r="P103" i="10" s="1"/>
  <c r="G103" i="10"/>
  <c r="R106" i="10"/>
  <c r="Q106" i="10"/>
  <c r="I106" i="10"/>
  <c r="P106" i="10" s="1"/>
  <c r="G106" i="10"/>
  <c r="R104" i="10"/>
  <c r="Q104" i="10"/>
  <c r="I104" i="10"/>
  <c r="P104" i="10" s="1"/>
  <c r="G104" i="10"/>
  <c r="R21" i="10"/>
  <c r="Q21" i="10"/>
  <c r="I21" i="10"/>
  <c r="P21" i="10" s="1"/>
  <c r="G21" i="10"/>
  <c r="R15" i="10"/>
  <c r="Q15" i="10"/>
  <c r="I15" i="10"/>
  <c r="P15" i="10" s="1"/>
  <c r="G15" i="10"/>
  <c r="I178" i="2"/>
  <c r="L178" i="2" s="1"/>
  <c r="I179" i="2"/>
  <c r="L179" i="2" s="1"/>
  <c r="I180" i="2"/>
  <c r="L180" i="2" s="1"/>
  <c r="I181" i="2"/>
  <c r="L181" i="2" s="1"/>
  <c r="I182" i="2"/>
  <c r="L182" i="2" s="1"/>
  <c r="I183" i="2"/>
  <c r="L183" i="2" s="1"/>
  <c r="I184" i="2"/>
  <c r="L184" i="2" s="1"/>
  <c r="I185" i="2"/>
  <c r="L185" i="2" s="1"/>
  <c r="I186" i="2"/>
  <c r="L186" i="2" s="1"/>
  <c r="G185" i="2"/>
  <c r="G186" i="2"/>
  <c r="G180" i="2"/>
  <c r="G181" i="2"/>
  <c r="G182" i="2"/>
  <c r="G183" i="2"/>
  <c r="G184" i="2"/>
  <c r="G179" i="2"/>
  <c r="K165" i="2"/>
  <c r="K166" i="2"/>
  <c r="K167" i="2"/>
  <c r="J165" i="2"/>
  <c r="J166" i="2"/>
  <c r="J167" i="2"/>
  <c r="H165" i="2"/>
  <c r="H166" i="2"/>
  <c r="H167" i="2"/>
  <c r="L194" i="2"/>
  <c r="L195" i="2"/>
  <c r="L197" i="2"/>
  <c r="L193" i="2"/>
  <c r="L196" i="2"/>
  <c r="G192" i="2"/>
  <c r="L192" i="2"/>
  <c r="G38" i="2"/>
  <c r="I38" i="2"/>
  <c r="P38" i="2" s="1"/>
  <c r="Q38" i="2"/>
  <c r="R38" i="2"/>
  <c r="G10" i="2"/>
  <c r="I10" i="2"/>
  <c r="P10" i="2" s="1"/>
  <c r="Q10" i="2"/>
  <c r="R10" i="2"/>
  <c r="G21" i="2"/>
  <c r="I21" i="2"/>
  <c r="P21" i="2" s="1"/>
  <c r="Q21" i="2"/>
  <c r="R21" i="2"/>
  <c r="I44" i="2"/>
  <c r="P44" i="2" s="1"/>
  <c r="I68" i="2"/>
  <c r="P68" i="2" s="1"/>
  <c r="I17" i="2"/>
  <c r="P17" i="2" s="1"/>
  <c r="I37" i="2"/>
  <c r="P37" i="2" s="1"/>
  <c r="I168" i="2"/>
  <c r="K117" i="2"/>
  <c r="J117" i="2"/>
  <c r="I117" i="2"/>
  <c r="H117" i="2"/>
  <c r="G117" i="2"/>
  <c r="L117" i="2"/>
  <c r="K198" i="2"/>
  <c r="J198" i="2"/>
  <c r="I198" i="2"/>
  <c r="H198" i="2"/>
  <c r="M198" i="2"/>
  <c r="K174" i="2"/>
  <c r="K187" i="2"/>
  <c r="J187" i="2"/>
  <c r="H187" i="2"/>
  <c r="M187" i="2"/>
  <c r="G178" i="2"/>
  <c r="K152" i="2"/>
  <c r="R44" i="2"/>
  <c r="R79" i="2"/>
  <c r="R68" i="2"/>
  <c r="R17" i="2"/>
  <c r="R37" i="2"/>
  <c r="J152" i="2"/>
  <c r="H152" i="2"/>
  <c r="G37" i="2"/>
  <c r="Q37" i="2"/>
  <c r="G17" i="2"/>
  <c r="Q17" i="2"/>
  <c r="G68" i="2"/>
  <c r="Q68" i="2"/>
  <c r="O107" i="2"/>
  <c r="N107" i="2"/>
  <c r="M107" i="2"/>
  <c r="L107" i="2"/>
  <c r="K107" i="2"/>
  <c r="J107" i="2"/>
  <c r="H107" i="2"/>
  <c r="Q44" i="2"/>
  <c r="Q79" i="2"/>
  <c r="P79" i="2"/>
  <c r="P122" i="10" l="1"/>
  <c r="P11" i="20"/>
  <c r="I91" i="20"/>
  <c r="J4" i="14"/>
  <c r="J4" i="15"/>
  <c r="B4" i="18"/>
  <c r="J4" i="20"/>
  <c r="B4" i="13"/>
  <c r="J4" i="13"/>
  <c r="I151" i="20"/>
  <c r="M4" i="20" s="1"/>
  <c r="I177" i="21"/>
  <c r="M4" i="21" s="1"/>
  <c r="B4" i="16"/>
  <c r="J4" i="16"/>
  <c r="P20" i="12"/>
  <c r="P118" i="12" s="1"/>
  <c r="I118" i="12"/>
  <c r="G4" i="12" s="1"/>
  <c r="L196" i="14"/>
  <c r="J4" i="18"/>
  <c r="B4" i="19"/>
  <c r="J4" i="19"/>
  <c r="B4" i="21"/>
  <c r="J4" i="21"/>
  <c r="I245" i="10"/>
  <c r="M4" i="10" s="1"/>
  <c r="J4" i="11"/>
  <c r="B4" i="12"/>
  <c r="J4" i="12"/>
  <c r="L210" i="11"/>
  <c r="B4" i="11"/>
  <c r="I199" i="11"/>
  <c r="M4" i="11" s="1"/>
  <c r="B4" i="20"/>
  <c r="B4" i="10"/>
  <c r="I118" i="2"/>
  <c r="J4" i="10"/>
  <c r="B4" i="14"/>
  <c r="B4" i="15"/>
  <c r="I186" i="18"/>
  <c r="M4" i="18" s="1"/>
  <c r="L415" i="21"/>
  <c r="B4" i="2"/>
  <c r="G18" i="4"/>
  <c r="L18" i="4"/>
  <c r="I127" i="11"/>
  <c r="G4" i="11" s="1"/>
  <c r="I99" i="19"/>
  <c r="G4" i="19" s="1"/>
  <c r="G4" i="4"/>
  <c r="B25" i="4"/>
  <c r="P9" i="11"/>
  <c r="P127" i="11" s="1"/>
  <c r="I254" i="12"/>
  <c r="M4" i="12" s="1"/>
  <c r="I221" i="16"/>
  <c r="M4" i="16" s="1"/>
  <c r="P18" i="20"/>
  <c r="L4" i="4"/>
  <c r="G25" i="4"/>
  <c r="L520" i="12"/>
  <c r="L197" i="18"/>
  <c r="L188" i="19"/>
  <c r="B11" i="4"/>
  <c r="L25" i="4"/>
  <c r="I177" i="19"/>
  <c r="M4" i="19" s="1"/>
  <c r="I185" i="14"/>
  <c r="M4" i="14" s="1"/>
  <c r="I204" i="15"/>
  <c r="M4" i="15" s="1"/>
  <c r="I102" i="16"/>
  <c r="G4" i="16" s="1"/>
  <c r="L545" i="16"/>
  <c r="G11" i="4"/>
  <c r="I108" i="14"/>
  <c r="G4" i="14" s="1"/>
  <c r="I135" i="15"/>
  <c r="G4" i="15" s="1"/>
  <c r="P28" i="16"/>
  <c r="P102" i="16" s="1"/>
  <c r="L11" i="4"/>
  <c r="I180" i="13"/>
  <c r="M4" i="13" s="1"/>
  <c r="P9" i="14"/>
  <c r="P108" i="14" s="1"/>
  <c r="P135" i="15"/>
  <c r="L215" i="15"/>
  <c r="P99" i="19"/>
  <c r="L177" i="19"/>
  <c r="L191" i="13"/>
  <c r="L162" i="20"/>
  <c r="L475" i="10"/>
  <c r="P125" i="21"/>
  <c r="L171" i="21"/>
  <c r="L177" i="21" s="1"/>
  <c r="I125" i="21"/>
  <c r="G4" i="21" s="1"/>
  <c r="L142" i="20"/>
  <c r="L151" i="20" s="1"/>
  <c r="P121" i="18"/>
  <c r="L177" i="18"/>
  <c r="L186" i="18" s="1"/>
  <c r="I121" i="18"/>
  <c r="G4" i="18" s="1"/>
  <c r="L221" i="16"/>
  <c r="L195" i="15"/>
  <c r="L204" i="15" s="1"/>
  <c r="L176" i="14"/>
  <c r="L185" i="14" s="1"/>
  <c r="P104" i="13"/>
  <c r="L173" i="13"/>
  <c r="L180" i="13" s="1"/>
  <c r="I104" i="13"/>
  <c r="L191" i="12"/>
  <c r="L254" i="12" s="1"/>
  <c r="L190" i="11"/>
  <c r="L199" i="11" s="1"/>
  <c r="L193" i="10"/>
  <c r="L245" i="10" s="1"/>
  <c r="I122" i="10"/>
  <c r="G4" i="10" s="1"/>
  <c r="I187" i="2"/>
  <c r="M4" i="2" s="1"/>
  <c r="I107" i="2"/>
  <c r="J4" i="2"/>
  <c r="L198" i="2"/>
  <c r="L187" i="2"/>
  <c r="P107" i="2"/>
  <c r="P91" i="20" l="1"/>
  <c r="P4" i="10"/>
  <c r="P4" i="21"/>
  <c r="P4" i="18"/>
  <c r="P4" i="16"/>
  <c r="P4" i="11"/>
  <c r="G4" i="2"/>
  <c r="P4" i="2" s="1"/>
  <c r="P4" i="15"/>
  <c r="P4" i="19"/>
  <c r="P4" i="14"/>
  <c r="P4" i="12"/>
  <c r="G44" i="2"/>
  <c r="G79" i="2"/>
  <c r="I114" i="13"/>
  <c r="H114" i="13"/>
  <c r="G4" i="13" l="1"/>
  <c r="P4" i="13" s="1"/>
  <c r="K135" i="21"/>
  <c r="H100" i="20" l="1"/>
  <c r="H101" i="20"/>
  <c r="G4" i="20"/>
  <c r="P4" i="20"/>
</calcChain>
</file>

<file path=xl/sharedStrings.xml><?xml version="1.0" encoding="utf-8"?>
<sst xmlns="http://schemas.openxmlformats.org/spreadsheetml/2006/main" count="4010" uniqueCount="2361">
  <si>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</si>
  <si>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</si>
  <si>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</si>
  <si>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</si>
  <si>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</si>
  <si>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</si>
  <si>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</si>
  <si>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</si>
  <si>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</si>
  <si>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</si>
  <si>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</si>
  <si>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</si>
  <si>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</si>
  <si>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</si>
  <si>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</si>
  <si>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</si>
  <si>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</si>
  <si>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</si>
  <si>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</si>
  <si>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</si>
  <si>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</si>
  <si>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</si>
  <si>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</si>
  <si>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</si>
  <si>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</si>
  <si>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</si>
  <si>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</si>
  <si>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</si>
  <si>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</si>
  <si>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</si>
  <si>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</si>
  <si>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</si>
  <si>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</si>
  <si>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</si>
  <si>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</si>
  <si>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</si>
  <si>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</si>
  <si>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</si>
  <si>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</si>
  <si>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</si>
  <si>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</si>
  <si>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</si>
  <si>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</si>
  <si>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</si>
  <si>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</si>
  <si>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</si>
  <si>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</si>
  <si>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</si>
  <si>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</si>
  <si>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</si>
  <si>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</si>
  <si>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</si>
  <si>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</si>
  <si>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</si>
  <si>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</si>
  <si>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</si>
  <si>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</si>
  <si>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</si>
  <si>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</si>
  <si>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</si>
  <si>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</si>
  <si>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</si>
  <si>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</si>
  <si>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</si>
  <si>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</si>
  <si>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</si>
  <si>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</si>
  <si>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</si>
  <si>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</si>
  <si>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</si>
  <si>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</si>
  <si>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</si>
  <si>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</si>
  <si>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</si>
  <si>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</si>
  <si>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</si>
  <si>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</si>
  <si>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</si>
  <si>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</si>
  <si>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</si>
  <si>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</si>
  <si>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</si>
  <si>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</si>
  <si>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ALKO SRL</t>
  </si>
  <si>
    <t>Mercaderia</t>
  </si>
  <si>
    <t>Combustibe</t>
  </si>
  <si>
    <t>Extracto</t>
  </si>
  <si>
    <t>Otros</t>
  </si>
  <si>
    <t>CENCOSUD S.A.</t>
  </si>
  <si>
    <t>COCA COLA FEMSA DE BS AS SA</t>
  </si>
  <si>
    <t>Alquiler</t>
  </si>
  <si>
    <t>COTO CICSA</t>
  </si>
  <si>
    <t>DEHEZA SAICF E I</t>
  </si>
  <si>
    <t>Telefonia</t>
  </si>
  <si>
    <t>ESTUDIO BOTINDARI</t>
  </si>
  <si>
    <t>GABRIEL GONZALEZ SAGASETA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</si>
  <si>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</si>
  <si>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</si>
  <si>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</si>
  <si>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</si>
  <si>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</si>
  <si>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</si>
  <si>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</si>
  <si>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</si>
  <si>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</si>
  <si>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</si>
  <si>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</si>
  <si>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</si>
  <si>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</si>
  <si>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</si>
  <si>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</si>
  <si>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</si>
  <si>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</si>
  <si>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</si>
  <si>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</si>
  <si>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</si>
  <si>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</si>
  <si>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</si>
  <si>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</si>
  <si>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</si>
  <si>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</si>
  <si>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ABIUSO MARTHA</t>
  </si>
  <si>
    <t>AGH S.A</t>
  </si>
  <si>
    <t>AGUA Y SANEAMIENTOS ARG SA</t>
  </si>
  <si>
    <t>AKIAN GRAFICA EDITORA SA</t>
  </si>
  <si>
    <t>ALANAR S.R.L.</t>
  </si>
  <si>
    <t xml:space="preserve">ALEJANDRO DARIO LOPEZ 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</si>
  <si>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</si>
  <si>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</si>
  <si>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</si>
  <si>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</si>
  <si>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</si>
  <si>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</si>
  <si>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</si>
  <si>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</si>
  <si>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</si>
  <si>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</si>
  <si>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</si>
  <si>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</si>
  <si>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</si>
  <si>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</si>
  <si>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</si>
  <si>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</si>
  <si>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</si>
  <si>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</si>
  <si>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</si>
  <si>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</si>
  <si>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</si>
  <si>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</si>
  <si>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</si>
  <si>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</si>
  <si>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</si>
  <si>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</si>
  <si>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</si>
  <si>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</si>
  <si>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</si>
  <si>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</si>
  <si>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</si>
  <si>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</si>
  <si>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</si>
  <si>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</si>
  <si>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</si>
  <si>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</si>
  <si>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</si>
  <si>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</si>
  <si>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</si>
  <si>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AUTOSERVICIO DIARCO SA</t>
  </si>
  <si>
    <t>AUTOSTADT S.A.</t>
  </si>
  <si>
    <t>AUTOSTRASSE S.A.</t>
  </si>
  <si>
    <t>AVANCE-MAG</t>
  </si>
  <si>
    <t>AVILA MARTIN LEONARDO</t>
  </si>
  <si>
    <t>AXION ENERGY ARG SA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</si>
  <si>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</si>
  <si>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</si>
  <si>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</si>
  <si>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</si>
  <si>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</si>
  <si>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</si>
  <si>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</si>
  <si>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</si>
  <si>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</si>
  <si>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</si>
  <si>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</si>
  <si>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</si>
  <si>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</si>
  <si>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</si>
  <si>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</si>
  <si>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</si>
  <si>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</si>
  <si>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</si>
  <si>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</si>
  <si>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 xml:space="preserve">BOECHI JUAN </t>
  </si>
  <si>
    <t>BOSAN SA</t>
  </si>
  <si>
    <t>BOTINDARI JUAN IGNACIO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</si>
  <si>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</si>
  <si>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</si>
  <si>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</si>
  <si>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</si>
  <si>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</si>
  <si>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</si>
  <si>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</si>
  <si>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</si>
  <si>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</si>
  <si>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</si>
  <si>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</si>
  <si>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</si>
  <si>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</si>
  <si>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</si>
  <si>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</si>
  <si>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</si>
  <si>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</si>
  <si>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</si>
  <si>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</si>
  <si>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</si>
  <si>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</si>
  <si>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</si>
  <si>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</si>
  <si>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</si>
  <si>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</si>
  <si>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</si>
  <si>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</si>
  <si>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</si>
  <si>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</si>
  <si>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</si>
  <si>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CIERRES ABROJO &amp; HERRAJES SRL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</si>
  <si>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</si>
  <si>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</si>
  <si>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</si>
  <si>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</si>
  <si>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</si>
  <si>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</si>
  <si>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</si>
  <si>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COHUI SA</t>
  </si>
  <si>
    <t>COLAFRANCESCO RICARDO DANIEL</t>
  </si>
  <si>
    <t>COLTEX SRL</t>
  </si>
  <si>
    <t>COMERCIAL ALPACA SA</t>
  </si>
  <si>
    <t>Comercial e Industrial SRL</t>
  </si>
  <si>
    <t>COMPAÑÍA AMERICANA DE LAPICES S.R.L.</t>
  </si>
  <si>
    <t>COMPUMUNDO</t>
  </si>
  <si>
    <t>CONSORCIO BTOME MITRE 2466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</si>
  <si>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</si>
  <si>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</si>
  <si>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</si>
  <si>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</si>
  <si>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</si>
  <si>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</si>
  <si>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</si>
  <si>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</si>
  <si>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</si>
  <si>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CORTELLA ANA MARIA</t>
  </si>
  <si>
    <t>CPDD SRL</t>
  </si>
  <si>
    <t>CRYSLAN SA</t>
  </si>
  <si>
    <t>CSKY S.A</t>
  </si>
  <si>
    <t>CUELLAR OMAR EDGARDO</t>
  </si>
  <si>
    <t>CUEROSUR</t>
  </si>
  <si>
    <t>D ACCORD SA</t>
  </si>
  <si>
    <t>DALAMY S.A</t>
  </si>
  <si>
    <t>DAMIANOVICH JORGE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</si>
  <si>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</si>
  <si>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</si>
  <si>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</si>
  <si>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</si>
  <si>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</si>
  <si>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</si>
  <si>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</si>
  <si>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</si>
  <si>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</si>
  <si>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</si>
  <si>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</si>
  <si>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</si>
  <si>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</si>
  <si>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</si>
  <si>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</si>
  <si>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</si>
  <si>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</si>
  <si>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</si>
  <si>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</si>
  <si>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</si>
  <si>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</si>
  <si>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</si>
  <si>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</si>
  <si>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</si>
  <si>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</si>
  <si>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</si>
  <si>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</si>
  <si>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</si>
  <si>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</si>
  <si>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</si>
  <si>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</si>
  <si>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</si>
  <si>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</si>
  <si>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</si>
  <si>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</si>
  <si>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</si>
  <si>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</si>
  <si>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</si>
  <si>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</si>
  <si>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</si>
  <si>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</si>
  <si>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</si>
  <si>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</si>
  <si>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</si>
  <si>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</si>
  <si>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EMPRESA DISTRIBUIDORA SUR S.A.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</si>
  <si>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</si>
  <si>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</si>
  <si>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</si>
  <si>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</si>
  <si>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</si>
  <si>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</si>
  <si>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</si>
  <si>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</si>
  <si>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</si>
  <si>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</si>
  <si>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</si>
  <si>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</si>
  <si>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</si>
  <si>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ESTEBAN URRESTI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</si>
  <si>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</si>
  <si>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</si>
  <si>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</si>
  <si>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</si>
  <si>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</si>
  <si>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</si>
  <si>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</si>
  <si>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</si>
  <si>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FAVICUR ICSA</t>
  </si>
  <si>
    <t>FEDERAC. PATRONAL SEG. SA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</si>
  <si>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</si>
  <si>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</si>
  <si>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</si>
  <si>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</si>
  <si>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</si>
  <si>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</si>
  <si>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</si>
  <si>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</si>
  <si>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FERRT.INDUS.ONCE SRL</t>
  </si>
  <si>
    <t>FERRUM SA</t>
  </si>
  <si>
    <t>FHAVILL SA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</si>
  <si>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</si>
  <si>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</si>
  <si>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</si>
  <si>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</si>
  <si>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</si>
  <si>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</si>
  <si>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</si>
  <si>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</si>
  <si>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</si>
  <si>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</si>
  <si>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</si>
  <si>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</si>
  <si>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GAED S.H.</t>
  </si>
  <si>
    <t>GALANDER SA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</si>
  <si>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</si>
  <si>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</si>
  <si>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</si>
  <si>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</si>
  <si>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</si>
  <si>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</si>
  <si>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</si>
  <si>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</si>
  <si>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</si>
  <si>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</si>
  <si>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</si>
  <si>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</si>
  <si>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</si>
  <si>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</si>
  <si>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</si>
  <si>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</si>
  <si>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</si>
  <si>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</si>
  <si>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</si>
  <si>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</si>
  <si>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</si>
  <si>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</si>
  <si>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</si>
  <si>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</si>
  <si>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</si>
  <si>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</si>
  <si>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</si>
  <si>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</si>
  <si>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</si>
  <si>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</si>
  <si>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</si>
  <si>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</si>
  <si>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</si>
  <si>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</si>
  <si>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</si>
  <si>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</si>
  <si>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</si>
  <si>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</si>
  <si>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</si>
  <si>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</si>
  <si>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</si>
  <si>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</si>
  <si>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</si>
  <si>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</si>
  <si>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</si>
  <si>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</si>
  <si>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</si>
  <si>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</si>
  <si>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</si>
  <si>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</si>
  <si>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</si>
  <si>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</si>
  <si>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</si>
  <si>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</si>
  <si>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</si>
  <si>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</si>
  <si>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</si>
  <si>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</si>
  <si>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</si>
  <si>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</si>
  <si>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</si>
  <si>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</si>
  <si>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</si>
  <si>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</si>
  <si>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INTENSE LIFE SA</t>
  </si>
  <si>
    <t>INV. MINORISTA SA</t>
  </si>
  <si>
    <t xml:space="preserve">IRAOLA Y CIA SA </t>
  </si>
  <si>
    <t>IRIME SRL</t>
  </si>
  <si>
    <t>ITALSUR S.A.</t>
  </si>
  <si>
    <t xml:space="preserve">ITAR AMOBLAMIENTOS SRL </t>
  </si>
  <si>
    <t>JANET W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</si>
  <si>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</si>
  <si>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</si>
  <si>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</si>
  <si>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</si>
  <si>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</si>
  <si>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</si>
  <si>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</si>
  <si>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</si>
  <si>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</si>
  <si>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</si>
  <si>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</si>
  <si>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</si>
  <si>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</si>
  <si>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</si>
  <si>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</si>
  <si>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</si>
  <si>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</si>
  <si>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LA CAMIONERA MENDOCINA SRL</t>
  </si>
  <si>
    <t>LA INDUSTRIAL ELECT. SA</t>
  </si>
  <si>
    <t>LA MERIDIONAL SEG. SA</t>
  </si>
  <si>
    <t xml:space="preserve">LAFONT SRL </t>
  </si>
  <si>
    <t>LANDRO RICARDO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</si>
  <si>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</si>
  <si>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</si>
  <si>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</si>
  <si>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</si>
  <si>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</si>
  <si>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</si>
  <si>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</si>
  <si>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</si>
  <si>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</si>
  <si>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</si>
  <si>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</si>
  <si>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</si>
  <si>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</si>
  <si>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</si>
  <si>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</si>
  <si>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</si>
  <si>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</si>
  <si>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</si>
  <si>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</si>
  <si>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</si>
  <si>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</si>
  <si>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</si>
  <si>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</si>
  <si>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</si>
  <si>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</si>
  <si>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</si>
  <si>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</si>
  <si>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</si>
  <si>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</si>
  <si>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</si>
  <si>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</si>
  <si>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</si>
  <si>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</si>
  <si>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</si>
  <si>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</si>
  <si>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</si>
  <si>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</si>
  <si>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</si>
  <si>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</si>
  <si>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MAYCAR S.A</t>
  </si>
  <si>
    <t>MB Papeles SRL</t>
  </si>
  <si>
    <t>MBP PROVEEDORES INDUSTRIALES</t>
  </si>
  <si>
    <t>MD CARGAS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</si>
  <si>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</si>
  <si>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</si>
  <si>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</si>
  <si>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</si>
  <si>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</si>
  <si>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</si>
  <si>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</si>
  <si>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</si>
  <si>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</si>
  <si>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</si>
  <si>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</si>
  <si>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</si>
  <si>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</si>
  <si>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</si>
  <si>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</si>
  <si>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</si>
  <si>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</si>
  <si>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</si>
  <si>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</si>
  <si>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</si>
  <si>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</si>
  <si>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</si>
  <si>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</si>
  <si>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</si>
  <si>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</si>
  <si>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</si>
  <si>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</si>
  <si>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</si>
  <si>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MONTENEGRO LUCIO FANDOR</t>
  </si>
  <si>
    <t xml:space="preserve">MORON GOMA A </t>
  </si>
  <si>
    <t>MOTORVILLE SA</t>
  </si>
  <si>
    <t>MR ALTER CORPORATION SRL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</si>
  <si>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</si>
  <si>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</si>
  <si>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</si>
  <si>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</si>
  <si>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</si>
  <si>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</si>
  <si>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</si>
  <si>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</si>
  <si>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</si>
  <si>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</si>
  <si>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</si>
  <si>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</si>
  <si>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</si>
  <si>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</si>
  <si>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</si>
  <si>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</si>
  <si>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</si>
  <si>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</si>
  <si>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</si>
  <si>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</si>
  <si>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</si>
  <si>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</si>
  <si>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</si>
  <si>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</si>
  <si>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</si>
  <si>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</si>
  <si>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</si>
  <si>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</si>
  <si>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</si>
  <si>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</si>
  <si>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</si>
  <si>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</si>
  <si>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</si>
  <si>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</si>
  <si>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</si>
  <si>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</si>
  <si>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</si>
  <si>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</si>
  <si>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</si>
  <si>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</si>
  <si>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</si>
  <si>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 xml:space="preserve">OLGUIN CAMILA LIDIA </t>
  </si>
  <si>
    <t>OLIVARES HNOS SA</t>
  </si>
  <si>
    <t>OMINT ART SA</t>
  </si>
  <si>
    <t>OMINT SA</t>
  </si>
  <si>
    <t>ONS SRL</t>
  </si>
  <si>
    <t>ORBIS MERTIG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</si>
  <si>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</si>
  <si>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</si>
  <si>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</si>
  <si>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</si>
  <si>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</si>
  <si>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</si>
  <si>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</si>
  <si>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</si>
  <si>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</si>
  <si>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</si>
  <si>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OYOLI SA</t>
  </si>
  <si>
    <t>PABLO DANIEL SPADAVACCHIA</t>
  </si>
  <si>
    <t>PAESANO CARLOS CHAVEZ RUBEN SH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</si>
  <si>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</si>
  <si>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</si>
  <si>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</si>
  <si>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</si>
  <si>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</si>
  <si>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</si>
  <si>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</si>
  <si>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</si>
  <si>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</si>
  <si>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</si>
  <si>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</si>
  <si>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</si>
  <si>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</si>
  <si>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</si>
  <si>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PIETRUSZKA ALBERTO</t>
  </si>
  <si>
    <t>PILKINGTON AUTOMOTIVE SA</t>
  </si>
  <si>
    <t xml:space="preserve">PINDELEC SA </t>
  </si>
  <si>
    <t>PINTO LEONEL EMILIANO</t>
  </si>
  <si>
    <t xml:space="preserve">PINTURERIA REX </t>
  </si>
  <si>
    <t>PINTURERIAS SAGITARIO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</si>
  <si>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</si>
  <si>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</si>
  <si>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</si>
  <si>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</si>
  <si>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</si>
  <si>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</si>
  <si>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</si>
  <si>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</si>
  <si>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</si>
  <si>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</si>
  <si>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</si>
  <si>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</si>
  <si>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</si>
  <si>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</si>
  <si>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 xml:space="preserve">PYFER SA </t>
  </si>
  <si>
    <t>QUAGLIA EDIT LUJAN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</si>
  <si>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</si>
  <si>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</si>
  <si>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</si>
  <si>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</si>
  <si>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</si>
  <si>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</si>
  <si>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</si>
  <si>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</si>
  <si>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</si>
  <si>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</si>
  <si>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</si>
  <si>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</si>
  <si>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</si>
  <si>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</si>
  <si>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</si>
  <si>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</si>
  <si>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</si>
  <si>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</si>
  <si>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</si>
  <si>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</si>
  <si>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</si>
  <si>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</si>
  <si>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</si>
  <si>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</si>
  <si>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</si>
  <si>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</si>
  <si>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</si>
  <si>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</si>
  <si>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</si>
  <si>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</si>
  <si>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</si>
  <si>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</si>
  <si>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</si>
  <si>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</si>
  <si>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</si>
  <si>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</si>
  <si>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</si>
  <si>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</si>
  <si>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</si>
  <si>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</si>
  <si>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</si>
  <si>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</si>
  <si>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</si>
  <si>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</si>
  <si>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</si>
  <si>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</si>
  <si>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</si>
  <si>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</si>
  <si>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</si>
  <si>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</si>
  <si>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</si>
  <si>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</si>
  <si>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</si>
  <si>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</si>
  <si>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</si>
  <si>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</si>
  <si>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</si>
  <si>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</si>
  <si>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</si>
  <si>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</si>
  <si>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</si>
  <si>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</si>
  <si>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</si>
  <si>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</si>
  <si>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</si>
  <si>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</si>
  <si>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</si>
  <si>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</si>
  <si>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</si>
  <si>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</si>
  <si>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</si>
  <si>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</si>
  <si>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</si>
  <si>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</si>
  <si>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</si>
  <si>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</si>
  <si>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</si>
  <si>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</si>
  <si>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</si>
  <si>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</si>
  <si>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</si>
  <si>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</si>
  <si>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</si>
  <si>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</si>
  <si>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</si>
  <si>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</si>
  <si>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</si>
  <si>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</si>
  <si>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</si>
  <si>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</si>
  <si>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</si>
  <si>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</si>
  <si>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</si>
  <si>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</si>
  <si>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</si>
  <si>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</si>
  <si>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</si>
  <si>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</si>
  <si>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</si>
  <si>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</si>
  <si>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</si>
  <si>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</si>
  <si>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</si>
  <si>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</si>
  <si>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TEKNOVENTILACION SRL</t>
  </si>
  <si>
    <t>TELMEX ARGENTINA S.A.</t>
  </si>
  <si>
    <t>TERMINACIONES GRAFICAS SA</t>
  </si>
  <si>
    <t>TEXTIL ESPARTILLO SA.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</si>
  <si>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</si>
  <si>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</si>
  <si>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</si>
  <si>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</si>
  <si>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</si>
  <si>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</si>
  <si>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</si>
  <si>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</si>
  <si>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</si>
  <si>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</si>
  <si>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</si>
  <si>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</si>
  <si>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</si>
  <si>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</si>
  <si>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</si>
  <si>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</si>
  <si>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</si>
  <si>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</si>
  <si>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</si>
  <si>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</si>
  <si>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</si>
  <si>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</si>
  <si>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</si>
  <si>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</si>
  <si>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</si>
  <si>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</si>
  <si>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</si>
  <si>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</si>
  <si>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</si>
  <si>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</si>
  <si>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</si>
  <si>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</si>
  <si>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</si>
  <si>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</si>
  <si>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</si>
  <si>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</si>
  <si>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</si>
  <si>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</si>
  <si>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</si>
  <si>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</si>
  <si>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</si>
  <si>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</si>
  <si>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</si>
  <si>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</si>
  <si>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</si>
  <si>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</si>
  <si>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</si>
  <si>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</si>
  <si>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</si>
  <si>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</si>
  <si>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</si>
  <si>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</si>
  <si>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</si>
  <si>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</si>
  <si>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</si>
  <si>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</si>
  <si>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</si>
  <si>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</si>
  <si>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</si>
  <si>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</si>
  <si>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WESTAFLEX SA ARGENTINA</t>
  </si>
  <si>
    <t>YAGMOUR SRL</t>
  </si>
  <si>
    <t>YAPAY SRL</t>
  </si>
  <si>
    <t>YOCARANT S.A.</t>
  </si>
  <si>
    <t>YPF SA</t>
  </si>
  <si>
    <t>ORTOPEDIA GEMINIS S.A.</t>
  </si>
  <si>
    <t>EDUEARDO FRANCISCO NARDOMARINO</t>
  </si>
  <si>
    <t>FLETE</t>
  </si>
  <si>
    <t>AGOSTINO, ANA CAROLINA</t>
  </si>
  <si>
    <t>AGRISOL SA</t>
  </si>
  <si>
    <t>INSUMO</t>
  </si>
  <si>
    <t>SERVICIOS</t>
  </si>
  <si>
    <t>AGÜERO, PATRICIA ALEJANDRA</t>
  </si>
  <si>
    <t>AGUERRIDO NAZARENO ISMAEL</t>
  </si>
  <si>
    <t>Aguiar Elvira</t>
  </si>
  <si>
    <t>Aguilar Omar Adolfo</t>
  </si>
  <si>
    <t>Aguirre Diego</t>
  </si>
  <si>
    <t>Aguirre Rodrigo</t>
  </si>
  <si>
    <t>AGUIRRE SERGIO SEBASTIAN</t>
  </si>
  <si>
    <t>AISEMBERG FREDY</t>
  </si>
  <si>
    <t xml:space="preserve">ALAN COLLECTION SA </t>
  </si>
  <si>
    <t>ALARCON CAPRA, KARINA ANDREA</t>
  </si>
  <si>
    <t>ALBAJARI DIEGO MARCOS</t>
  </si>
  <si>
    <t>ALBAMIE SA</t>
  </si>
  <si>
    <t>CLIENTE</t>
  </si>
  <si>
    <t>ALBANESE, ARTURO ANTONIO</t>
  </si>
  <si>
    <t>Aldazabal Martin Claudio</t>
  </si>
  <si>
    <t>ALDO SODANO</t>
  </si>
  <si>
    <t>ALEJANDRA SIFFREDI TORRES SANMARCO</t>
  </si>
  <si>
    <t>ALEJANDRO DANIEL TORRES</t>
  </si>
  <si>
    <t>ALEJANDRO, ULISES ISAAC</t>
  </si>
  <si>
    <t>ALEXANDER FLEMING SA</t>
  </si>
  <si>
    <t>Mantenimiento</t>
  </si>
  <si>
    <t>Alfano Alberico Alejandro</t>
  </si>
  <si>
    <t>Alfar Construcciones SA</t>
  </si>
  <si>
    <t>Alicia Lemma</t>
  </si>
  <si>
    <t>ALLARIO, MARTIN EMANUEL</t>
  </si>
  <si>
    <t>ALO FER S.A.</t>
  </si>
  <si>
    <t>ALONSO CLAUDIA MARCELA</t>
  </si>
  <si>
    <t>ALONSO DE LARA JOSE LUIS</t>
  </si>
  <si>
    <t>ALONSO FERNANDO LUIS</t>
  </si>
  <si>
    <t>ALSINA MARCELO DANIEL SH</t>
  </si>
  <si>
    <t>PROVEEDOR</t>
  </si>
  <si>
    <t>ALTO CALABRIA S.R.L.</t>
  </si>
  <si>
    <t>COMIDA</t>
  </si>
  <si>
    <t>ALVAREZ CAROLINA</t>
  </si>
  <si>
    <t>Alvarez Danisa Tatiana</t>
  </si>
  <si>
    <t>ALVAREZ FIGUEIRA, JHONATAN EMANUEL</t>
  </si>
  <si>
    <t>ALVAREZ HERRERA ROSA DE LOURDES</t>
  </si>
  <si>
    <t>ALVAREZ PIMIENTO DAVID</t>
  </si>
  <si>
    <t>Amalia Mazón Torrijos</t>
  </si>
  <si>
    <t>AMENDOLARO MARIA</t>
  </si>
  <si>
    <t>AMERELLI MIRTA SUSANA</t>
  </si>
  <si>
    <t>AMERICAN EXPRESS ARG SA</t>
  </si>
  <si>
    <t>EXTRACTO</t>
  </si>
  <si>
    <t xml:space="preserve">AMERICO PIANELLI </t>
  </si>
  <si>
    <t>AMOROS, MONICA DELIA</t>
  </si>
  <si>
    <t>Amparo Salud S.R.L.</t>
  </si>
  <si>
    <t>SERVICIOS DE INTERNET</t>
  </si>
  <si>
    <t>ANA NOGA</t>
  </si>
  <si>
    <t>Andrade Mesquita Jose</t>
  </si>
  <si>
    <t>ANDREES PAPAZIAN Y A.PAPAZIAN SH</t>
  </si>
  <si>
    <t>INSUMOS</t>
  </si>
  <si>
    <t>ANDRES RAMON GALEANO</t>
  </si>
  <si>
    <t>Angelini, Maria Concepcion</t>
  </si>
  <si>
    <t xml:space="preserve">ANITA ZULMA PACHECO </t>
  </si>
  <si>
    <t>Apresa Asistencia Y Prestaciones De Salud Sa</t>
  </si>
  <si>
    <t>AQUINO EDUARDO Y RODRIGUEZ FRANCISCO SOCIEDAD DE HECHO</t>
  </si>
  <si>
    <t xml:space="preserve">ARANA, MARCELLA OFELIA </t>
  </si>
  <si>
    <t>ARCE BARBARA NOEMI</t>
  </si>
  <si>
    <t>ARCUSIN BERTA</t>
  </si>
  <si>
    <t>ARGENDIVE S.R.L.</t>
  </si>
  <si>
    <t>Arraztoa, Lili Perla</t>
  </si>
  <si>
    <t>ARRIGO RAUL AGUSTIN</t>
  </si>
  <si>
    <t>Arroyo Sosa Sandra Rocio</t>
  </si>
  <si>
    <t>ARTYLUZ SRL</t>
  </si>
  <si>
    <t>Asoc. Mutual Personal Bco. Pcia de Rio Negro</t>
  </si>
  <si>
    <t>ASOCIACION DE OBRAS SOCIALES DE TRELEW</t>
  </si>
  <si>
    <t>Asociacion Empleados Del Ipross Asempi</t>
  </si>
  <si>
    <t>ASOCIACION MUTUAL SANCOR SALUD</t>
  </si>
  <si>
    <t>30-59035479-8</t>
  </si>
  <si>
    <t>SALUD</t>
  </si>
  <si>
    <t>ASTRO DE ARGENTINA S.A.</t>
  </si>
  <si>
    <t>30-69097351-7</t>
  </si>
  <si>
    <t>ATENCION AMBULATORIA S.A.</t>
  </si>
  <si>
    <t>Atencion Ambulatoria Sa</t>
  </si>
  <si>
    <t>ATHAND S.R.L.</t>
  </si>
  <si>
    <t>ATLANTICO AZUL SA</t>
  </si>
  <si>
    <t>AUTOMATIZACIONES D R G S A</t>
  </si>
  <si>
    <t>Autonavi Srl</t>
  </si>
  <si>
    <t>PEAJE</t>
  </si>
  <si>
    <t>AUTOPISTAS DE BUENOS AIRES (AUBASA) SA</t>
  </si>
  <si>
    <t>Autopista</t>
  </si>
  <si>
    <t> 30607371799</t>
  </si>
  <si>
    <t>AVILA MURIEL AYELEN MILAGROS</t>
  </si>
  <si>
    <t>AYALA MAURICIO JUAN JOSE</t>
  </si>
  <si>
    <t>Ayarragaray Maria Marta</t>
  </si>
  <si>
    <t>AYUDAS TECNICAS SRL</t>
  </si>
  <si>
    <t>AYZAGUER FRANCISCO</t>
  </si>
  <si>
    <t>AZIBI SA</t>
  </si>
  <si>
    <t>AZINTER S.A.</t>
  </si>
  <si>
    <t>Badano Maria Gabriela</t>
  </si>
  <si>
    <t xml:space="preserve">Badeni Mariana Elena </t>
  </si>
  <si>
    <t>Badmadjian Roberto Carlos</t>
  </si>
  <si>
    <t>BAEZ, LUIS ATILIO</t>
  </si>
  <si>
    <t>BAIRES CARTELES SA</t>
  </si>
  <si>
    <t>BAIRES ROCKS SRL</t>
  </si>
  <si>
    <t>Balague Macarena Sol</t>
  </si>
  <si>
    <t>Balbuena Enzo</t>
  </si>
  <si>
    <t>Baldo Ruben Oscar</t>
  </si>
  <si>
    <t>BALIZANO, AUGUSTO EUGENIO</t>
  </si>
  <si>
    <t>BANCO ALICIA SRL</t>
  </si>
  <si>
    <t>BANCO CREDICOOP COOPERATIVO LTDO</t>
  </si>
  <si>
    <t xml:space="preserve">BANCO PATAGONIA SOCIEDAD ANONIMA </t>
  </si>
  <si>
    <t>BARBARO SOCIEDAD COLECTIVA</t>
  </si>
  <si>
    <t>BARQUIN MARIA ANTONIA</t>
  </si>
  <si>
    <t xml:space="preserve">BARREDA JORGE OSVALDO </t>
  </si>
  <si>
    <t>Barrera, Ricardo Dario</t>
  </si>
  <si>
    <t>BARROCA, BARBARA BELEN</t>
  </si>
  <si>
    <t>BASTIDAS XIOMARA</t>
  </si>
  <si>
    <t>BEATRIZ STICCO</t>
  </si>
  <si>
    <t>BEATRIZ WARRAND</t>
  </si>
  <si>
    <t>BELIZAN, RENE</t>
  </si>
  <si>
    <t>BELLA RODOLFO GUSTAVO</t>
  </si>
  <si>
    <t>BELLAVIA EDUARDO ENRIQUE</t>
  </si>
  <si>
    <t>gastos varios</t>
  </si>
  <si>
    <t>BELLAVIGNA, CLAUDIO ERNESTO</t>
  </si>
  <si>
    <t>BELTRAMONE, JOVITA</t>
  </si>
  <si>
    <t>BELTRAN ALEJANDRA</t>
  </si>
  <si>
    <t xml:space="preserve">BENITEZ JUAN JOSE </t>
  </si>
  <si>
    <t>BENNUN FERNANDO RUBEN</t>
  </si>
  <si>
    <t>BERENSTEIN DANIEL ADRIAN</t>
  </si>
  <si>
    <t>BEZEM, ANA CLARA</t>
  </si>
  <si>
    <t>BIALECKI SARA</t>
  </si>
  <si>
    <t>BIGBOX S.A.</t>
  </si>
  <si>
    <t>BILLALO GABRIEL</t>
  </si>
  <si>
    <t>BIODINAMICA ASIST E INSUMOS</t>
  </si>
  <si>
    <t>BIOMAX INSUMOS MEDICOS SA</t>
  </si>
  <si>
    <t xml:space="preserve">BLANCO MIRIAN SUSANA </t>
  </si>
  <si>
    <t>Blasco Mariano Luis</t>
  </si>
  <si>
    <t>Blotto Silvana</t>
  </si>
  <si>
    <t>BOERIS ELENA Vizcaino  DE</t>
  </si>
  <si>
    <t>Bohorquez Vivas, Sandra Janneth</t>
  </si>
  <si>
    <t>Bonaventura Teresa Antonia Elisa</t>
  </si>
  <si>
    <t xml:space="preserve">BOND FERANDO </t>
  </si>
  <si>
    <t>BORGARO PATRICIA ANALIA</t>
  </si>
  <si>
    <t>Bortnik Rosa</t>
  </si>
  <si>
    <t xml:space="preserve">BOSSERO, MARIA CRISTINA </t>
  </si>
  <si>
    <t>Bossi, Silvia Felisa</t>
  </si>
  <si>
    <t>BOTAFRIA BRASERIE SRL</t>
  </si>
  <si>
    <t>BOTINDARI JUAN CARLOS</t>
  </si>
  <si>
    <t>Bottoni Marta</t>
  </si>
  <si>
    <t>BOUREAU QUALITAS SRL</t>
  </si>
  <si>
    <t>BOUZA, HEBE LIA L.DE</t>
  </si>
  <si>
    <t>Bouza, Raul Rodolfo</t>
  </si>
  <si>
    <t>Bover Amalia Marina</t>
  </si>
  <si>
    <t>BRACHETTA SEBASTIAN NICOLAS</t>
  </si>
  <si>
    <t>Bravo Marta Viviana</t>
  </si>
  <si>
    <t>Brescia Zavala Carla Mercedes</t>
  </si>
  <si>
    <t>BRIÑON DANIELA</t>
  </si>
  <si>
    <t>BRITEZ ORTIZ MARIA LUISA</t>
  </si>
  <si>
    <t>BRITOS, MAURO EMANUEL</t>
  </si>
  <si>
    <t>Brittan Jorge Pascual</t>
  </si>
  <si>
    <t>BUCCIERI AGUSTIN DARIO</t>
  </si>
  <si>
    <t>BULDAIN CECILIA</t>
  </si>
  <si>
    <t>BULLA MARIA DELIA</t>
  </si>
  <si>
    <t>CABRERA SCALLY MARIA INES</t>
  </si>
  <si>
    <t>CABRERA, ALDO RENE</t>
  </si>
  <si>
    <t>Caceres Gabriela Laura</t>
  </si>
  <si>
    <t>CAIME PEREYRA LEONEL ELIAS</t>
  </si>
  <si>
    <t xml:space="preserve">CALZADA VICTOR HUGO </t>
  </si>
  <si>
    <t xml:space="preserve">CAMACHO MELINA </t>
  </si>
  <si>
    <t>CAMPO, VALERIA  ROXANA</t>
  </si>
  <si>
    <t xml:space="preserve">CAMPOS JUANA </t>
  </si>
  <si>
    <t>CANCINO PAMELA RITA</t>
  </si>
  <si>
    <t>CANEO JUAN</t>
  </si>
  <si>
    <t>CANOSA MARIA CRISTINA</t>
  </si>
  <si>
    <t>CAPORASO ANTONIO JOSE</t>
  </si>
  <si>
    <t>Capriotti, Maria Alejandra</t>
  </si>
  <si>
    <t>Carames Jorge</t>
  </si>
  <si>
    <t>CARAMES, PATRICIO HERNAN</t>
  </si>
  <si>
    <t>CARBONELLI VERACRUZ MAGALI</t>
  </si>
  <si>
    <t>CARDEMIL RAFAEL ALFREDO</t>
  </si>
  <si>
    <t>CARDONE CARMEN CRISTINA</t>
  </si>
  <si>
    <t>Cardozo Rodrigo</t>
  </si>
  <si>
    <t>Caretta Carlos Alberto</t>
  </si>
  <si>
    <t>CARFLEX SRL</t>
  </si>
  <si>
    <t>Carina Serra</t>
  </si>
  <si>
    <t xml:space="preserve">CARLUZZO JOSE </t>
  </si>
  <si>
    <t>CARON MARIA FERNANDA</t>
  </si>
  <si>
    <t>CARUSO ANALIA</t>
  </si>
  <si>
    <t>CARUSO LUCIA</t>
  </si>
  <si>
    <t>CARUSO NICOLAS JOEL</t>
  </si>
  <si>
    <t>CASA ABE SA</t>
  </si>
  <si>
    <t>CASA SUEDY SA</t>
  </si>
  <si>
    <t>Casella Antonieta</t>
  </si>
  <si>
    <t>CASTAÑO, DANIEL MARTIN</t>
  </si>
  <si>
    <t>Castillo Angela Rosario</t>
  </si>
  <si>
    <t xml:space="preserve">Casto Roberto Ruiz </t>
  </si>
  <si>
    <t>CASTRO MARIA SEGUNDA</t>
  </si>
  <si>
    <t>CASTRO TORNERIA SRL</t>
  </si>
  <si>
    <t>CASTRO, CARLOS DANIEL</t>
  </si>
  <si>
    <t>CASTROMAN JUAN ALBERTO</t>
  </si>
  <si>
    <t>Ceballos Silvia</t>
  </si>
  <si>
    <t>CEDRO, JUAN MANUEL</t>
  </si>
  <si>
    <t>CELLAI, SILVIA ANDREA</t>
  </si>
  <si>
    <t>Ceramicas Argentinas Publicitarias Sa</t>
  </si>
  <si>
    <t>CEREALES DON NINO SA</t>
  </si>
  <si>
    <t>Cerrajeros Srl</t>
  </si>
  <si>
    <t>Cerrutti Ceferino Carlos</t>
  </si>
  <si>
    <t>CERVIÑO, OSCAR ALBERTO</t>
  </si>
  <si>
    <t>ALQUILER LOCAL</t>
  </si>
  <si>
    <t>CHAMOSA JOSE MARIA</t>
  </si>
  <si>
    <t>CHAVEZ LINA</t>
  </si>
  <si>
    <t>CHAVEZ RIZZITANO GABRIELA MARCELA</t>
  </si>
  <si>
    <t>Chiarenza Lenardo MARTIN</t>
  </si>
  <si>
    <t>Chiari Maria Enriqueta del Socorro</t>
  </si>
  <si>
    <t>CHIOCCHIO, MAXIMILIANO</t>
  </si>
  <si>
    <t>Chirino Jose</t>
  </si>
  <si>
    <t>CHITCHIAN SA</t>
  </si>
  <si>
    <t>CHMOIS MARCELO ALEJANDRO</t>
  </si>
  <si>
    <t>CHUN ZEBALLOS JOSE</t>
  </si>
  <si>
    <t>Ciacera Juan Jose</t>
  </si>
  <si>
    <t>Ciccarossi Cecilia Ines</t>
  </si>
  <si>
    <t>CICERCHIA, CARLA</t>
  </si>
  <si>
    <t>CIERRER, ABROJO &amp; HERRAJES SRL</t>
  </si>
  <si>
    <t>Cinicola, Pascual Alfonso</t>
  </si>
  <si>
    <t>Cirisan Maria Adela</t>
  </si>
  <si>
    <t>CLAUDIA GRACIELA VINAGRE</t>
  </si>
  <si>
    <t>CLAUDIA LARICCHIUTA</t>
  </si>
  <si>
    <t>COBELAS Juan Roberto</t>
  </si>
  <si>
    <t>Colaizzo Maria Laura</t>
  </si>
  <si>
    <t>Collazo Beatriz Josefa</t>
  </si>
  <si>
    <t>COLLAZO MAURO GABRIEL</t>
  </si>
  <si>
    <t>COLLET SUSANA</t>
  </si>
  <si>
    <t>COLMAN LIDIA FLORENCIA</t>
  </si>
  <si>
    <t>COMPLEJO TALA DEL MONTE SA</t>
  </si>
  <si>
    <t>CONGRESO INSUMOS SA</t>
  </si>
  <si>
    <t>CONSORCIO BARTOLME MITRE 2466</t>
  </si>
  <si>
    <t>CONTI FERNANDO MARCELO</t>
  </si>
  <si>
    <t>CONTROL TECNICO DE VEH. SA</t>
  </si>
  <si>
    <t>Control Y Acceso S.R.L.</t>
  </si>
  <si>
    <t>COORDINACION ECOLOGICA AREA METROPOLITANA SOCIEDAD DEL ESTADO</t>
  </si>
  <si>
    <t>Corniolo, Juan Javier</t>
  </si>
  <si>
    <t>CORONEL DAMIAN PABLO</t>
  </si>
  <si>
    <t>CORRAO HECTOR RUBEN</t>
  </si>
  <si>
    <t>CORREDORES VIALES SOCIEDAD ANONIMA</t>
  </si>
  <si>
    <t>CORRENTI, RICARDO FRANCISCO</t>
  </si>
  <si>
    <t>CORREO ANDREANI SA</t>
  </si>
  <si>
    <t>VARIOS</t>
  </si>
  <si>
    <t>CORREO OFICIAL DE LA REPUBLICA ARGENTINA SOCIEDAD ANONIMA</t>
  </si>
  <si>
    <t>CORRIENTES 3002 SRL</t>
  </si>
  <si>
    <t>CATERING - COMIDA</t>
  </si>
  <si>
    <t>Corte Suprema De Justicia Obra Social Del Poder Judicial</t>
  </si>
  <si>
    <t>CORTES Julio Cesar</t>
  </si>
  <si>
    <t>CPS COMUNICACIONES SA</t>
  </si>
  <si>
    <t>SERVICIO DE TELEFONIA</t>
  </si>
  <si>
    <t>Creciendo Juntos S.A.</t>
  </si>
  <si>
    <t>CRISTELLA JUAN CARLOS</t>
  </si>
  <si>
    <t>CRISTIAN GOLDENHORN</t>
  </si>
  <si>
    <t xml:space="preserve">CRUZ PATAGONICA S.R.L. </t>
  </si>
  <si>
    <t>Cyref</t>
  </si>
  <si>
    <t>D &amp; R MEDICAL DEPOT SOCIEDAD ANONIMA</t>
  </si>
  <si>
    <t xml:space="preserve">DA SILVA OLIVEIRA MARIA DAS GRACIAS </t>
  </si>
  <si>
    <t>DAHL ROCHA CLARA</t>
  </si>
  <si>
    <t>DANDREIZ MARIA BELEN</t>
  </si>
  <si>
    <t>DANIEL ARMANDO GORONDO</t>
  </si>
  <si>
    <t>DANIEL BERON</t>
  </si>
  <si>
    <t>DANIEL YAGI</t>
  </si>
  <si>
    <t>Daniela Etulain</t>
  </si>
  <si>
    <t xml:space="preserve">DAP WORLD </t>
  </si>
  <si>
    <t>DATI MODERNELL JOSE LUIS</t>
  </si>
  <si>
    <t>Davico Hernán Carlos</t>
  </si>
  <si>
    <t>Dccion. Adm. De La Subs. De Salud Pcia. De Neuquen</t>
  </si>
  <si>
    <t>DDV SRL</t>
  </si>
  <si>
    <t>De la Torre Carina</t>
  </si>
  <si>
    <t>DE LAS CARRERAS ALFREDO ALBERTO MANUEL</t>
  </si>
  <si>
    <t>De Matteis Karina</t>
  </si>
  <si>
    <t>DE OFFICE SRL</t>
  </si>
  <si>
    <t>De Ruggiero, Beatriz</t>
  </si>
  <si>
    <t>DEL GESSO FRANCO JESUS</t>
  </si>
  <si>
    <t>DEL MARMOL, MABEL ELSA</t>
  </si>
  <si>
    <t>DEL VECCHIO JUAN JOSE</t>
  </si>
  <si>
    <t>DELICIAS MITRE</t>
  </si>
  <si>
    <t>Dell Orto Silvia Cristina</t>
  </si>
  <si>
    <t>DEMARIA AUGUSTO CARLOS</t>
  </si>
  <si>
    <t>DEMARO, NOEMI</t>
  </si>
  <si>
    <t>DENEGRI EVANGELINA SOLEDAD</t>
  </si>
  <si>
    <t>Desalvo Miguel Angel</t>
  </si>
  <si>
    <t>DESPEGAR.COM.AR SA</t>
  </si>
  <si>
    <t>DEVOTO ALBERTO ANGEL</t>
  </si>
  <si>
    <t>DI FEO HORACIO</t>
  </si>
  <si>
    <t>DI FEO HUGO PASCUAL GUILLERMO</t>
  </si>
  <si>
    <t>DI FIORE VLADIMIR SEBASTIAN</t>
  </si>
  <si>
    <t>Di Virgilio Carina Lucia</t>
  </si>
  <si>
    <t>Diaz Colodrero Maria Isabel</t>
  </si>
  <si>
    <t>Diaz de Wilson Angelica</t>
  </si>
  <si>
    <t>DIAZ ESTECHE CYNTHIA MARIA</t>
  </si>
  <si>
    <t>DIAZ JORGE ALBERTO</t>
  </si>
  <si>
    <t>DIAZ MARIA DOLORES</t>
  </si>
  <si>
    <t>DIEGO MARTIN RIOS</t>
  </si>
  <si>
    <t>DINAMO SRL</t>
  </si>
  <si>
    <t>DIRECCION NACIONAL DEL SERVICIO PENITENCIARIO FEDERAL</t>
  </si>
  <si>
    <t>Disanto Orfilia Estela</t>
  </si>
  <si>
    <t>DISTRIBUIDORA LARREA SA</t>
  </si>
  <si>
    <t>DJEREDJIAN DINO</t>
  </si>
  <si>
    <t>Dobisky Aida</t>
  </si>
  <si>
    <t>Dora Rizzutto</t>
  </si>
  <si>
    <t>Dorligh Lorena</t>
  </si>
  <si>
    <t>DORREMOCEA SUSANA</t>
  </si>
  <si>
    <t>DORTONA, RUBEN FERNANDO</t>
  </si>
  <si>
    <t>DRUETTA ANDREA MARIEL</t>
  </si>
  <si>
    <t>DUARTE FABIAN RODOLFO</t>
  </si>
  <si>
    <t>DUBRETIC/PABLO A</t>
  </si>
  <si>
    <t>DUECK, LETICIA</t>
  </si>
  <si>
    <t>E.ALVAREZ Y HERNES G SH</t>
  </si>
  <si>
    <t>Edb Logistica</t>
  </si>
  <si>
    <t>Edgardo Betraki Obeid</t>
  </si>
  <si>
    <t>EDUARDO ALBERTO SAMEL</t>
  </si>
  <si>
    <t>EDUARDO EXEQUIEL ESSAYAG</t>
  </si>
  <si>
    <t>EDUARDO FRANCISCO NARDOMARINO</t>
  </si>
  <si>
    <t>Eduardo Garcia Bosch</t>
  </si>
  <si>
    <t>Eduardo Pereda y Hnas. Agropecuaria Sociedad Anónima</t>
  </si>
  <si>
    <t>El Centro De Microondas S.A</t>
  </si>
  <si>
    <t>EL JUMILIANO SA</t>
  </si>
  <si>
    <t>EL RINCON DE PIEDRA D.. SRL</t>
  </si>
  <si>
    <t>ELECTRICIDAD AREV S R L</t>
  </si>
  <si>
    <t>ELENORA PELIZA</t>
  </si>
  <si>
    <t>ELIDA MABEL CASTELLI</t>
  </si>
  <si>
    <t>EMILSE ROMEO</t>
  </si>
  <si>
    <t>ENCINA AVELINO</t>
  </si>
  <si>
    <t>ENRIQUE LUIS SAGGESE</t>
  </si>
  <si>
    <t>ENRIQUE MARTIN ROSSI SA</t>
  </si>
  <si>
    <t>ENRIQUETA MARIA DEL SOCORRO MAJO</t>
  </si>
  <si>
    <t>Ensalud S.A</t>
  </si>
  <si>
    <t>30-70711845-4</t>
  </si>
  <si>
    <t>ENSALUD SA</t>
  </si>
  <si>
    <t>Eremita Dora</t>
  </si>
  <si>
    <t>ERLICH DANIEL</t>
  </si>
  <si>
    <t>ERNESTO SCARONE</t>
  </si>
  <si>
    <t>EROLES RUBEN</t>
  </si>
  <si>
    <t>Errasquin, Ana Maria</t>
  </si>
  <si>
    <t>Escudero, Armando Rodolfo</t>
  </si>
  <si>
    <t xml:space="preserve">ESELEVSKY GRINBERG BERTA </t>
  </si>
  <si>
    <t>ESPAÑA MARQUEZ, MONICA</t>
  </si>
  <si>
    <t>ESPINOLA LORENA</t>
  </si>
  <si>
    <t>ESTACION DE SERVICIO</t>
  </si>
  <si>
    <t>ESTACION DE SERVICIO ALC SRL</t>
  </si>
  <si>
    <t>ESTACION LIMA SA</t>
  </si>
  <si>
    <t>ETHEL CARMEN REY DE MARSENGO</t>
  </si>
  <si>
    <t>EXPOJARDIN CANNING SRL</t>
  </si>
  <si>
    <t>EXPRESO BISONTE S R L</t>
  </si>
  <si>
    <t>Eyesun Srl</t>
  </si>
  <si>
    <t>F&amp;F Color S.R.L.</t>
  </si>
  <si>
    <t>FABORT SRL</t>
  </si>
  <si>
    <t>Falbo Maria Luz</t>
  </si>
  <si>
    <t>Falco Matilde Teresa</t>
  </si>
  <si>
    <t>FALK SZEVA CYPA</t>
  </si>
  <si>
    <t>FARIÑA, SILVIA GRACIELA</t>
  </si>
  <si>
    <t>FARMACITY SA</t>
  </si>
  <si>
    <t>FEDAGAS SA</t>
  </si>
  <si>
    <t>FEDERACION ARG. DE EMPLEADOS DE COMERCIO</t>
  </si>
  <si>
    <t>FEDERICO PABLO FEOLA</t>
  </si>
  <si>
    <t>FELGUEROSO, CAMILA</t>
  </si>
  <si>
    <t>FERNANDEZ ALLENDE MERCEDES JAZMIN</t>
  </si>
  <si>
    <t>Fernandez Barbara</t>
  </si>
  <si>
    <t>FERNANDEZ CRISTIAN</t>
  </si>
  <si>
    <t>FERNANDEZ FLORENCIA SOL</t>
  </si>
  <si>
    <t>Fernandez Gabriela Veronica</t>
  </si>
  <si>
    <t>Fernandez Juana Maria</t>
  </si>
  <si>
    <t>Fernandez Manuela</t>
  </si>
  <si>
    <t>FERNANDEZ MAURO</t>
  </si>
  <si>
    <t>fernandez Vera, Juan Manuel</t>
  </si>
  <si>
    <t>Fernandez, Guillermo Julio</t>
  </si>
  <si>
    <t>FERNANDEZ, MICAELA DENISE</t>
  </si>
  <si>
    <t>Fernandez, Silvina Alejandra</t>
  </si>
  <si>
    <t>FERNANDO VALDEBENITO</t>
  </si>
  <si>
    <t>Ferrando Gonzalo Cesar</t>
  </si>
  <si>
    <t>FERRARO ELSA</t>
  </si>
  <si>
    <t>FERRAZIN CAROLINA ELEONORA INES</t>
  </si>
  <si>
    <t>FERRERO PEDRO JAVIER</t>
  </si>
  <si>
    <t>FERRETERIA CENTRAL SRL</t>
  </si>
  <si>
    <t>FERRETERIA INDUSTRIAL ONCE SRL</t>
  </si>
  <si>
    <t>FERREYRA, DANIEL HORACIO</t>
  </si>
  <si>
    <t>Ferro Beatriz</t>
  </si>
  <si>
    <t>FERRO, BEATRIZ ANGELA</t>
  </si>
  <si>
    <t>Feuer Daniel</t>
  </si>
  <si>
    <t>Fidel Marone Martin</t>
  </si>
  <si>
    <t>Fiorella Rispo</t>
  </si>
  <si>
    <t>FIRSTECH SA</t>
  </si>
  <si>
    <t>FLEGO LAURA GRACIELA</t>
  </si>
  <si>
    <t>FLORENTIN, CINTIA YANINA</t>
  </si>
  <si>
    <t>FLORES FERNANDEZ, FERNANDO ANIBAL</t>
  </si>
  <si>
    <t>FLORES, MARIA ESTER</t>
  </si>
  <si>
    <t>FLUSS SA</t>
  </si>
  <si>
    <t>FONT NINE LUIS EDUARDO</t>
  </si>
  <si>
    <t>FONTANAROSA GASTON HERNAN</t>
  </si>
  <si>
    <t>FONTANELLA SILVANA GABRIELA</t>
  </si>
  <si>
    <t>Fontenla Nuñez Silvina</t>
  </si>
  <si>
    <t>FOPPIANO, ANA MARIA</t>
  </si>
  <si>
    <t>FRANCO GISELA VANESA</t>
  </si>
  <si>
    <t>FRANFELIRENU S.R.L</t>
  </si>
  <si>
    <t>Franzanti, Lia Julia</t>
  </si>
  <si>
    <t>30-71065725-0</t>
  </si>
  <si>
    <t>FRATERNA COOP DE PROVISION</t>
  </si>
  <si>
    <t>FRATERNA COOPERRATIVA DE PROVISION DE SERVICIOS LIMITADA</t>
  </si>
  <si>
    <t>FRICHER MARIA ALEJANDRA</t>
  </si>
  <si>
    <t>Frontaloni Oreste</t>
  </si>
  <si>
    <t>FUENTES GRACIELA BEATRIZ</t>
  </si>
  <si>
    <t>FUNDACION EMPRESARIA MADERERA</t>
  </si>
  <si>
    <t>30-70804992-8</t>
  </si>
  <si>
    <t>FUNDACION I.Q. DEL CALLAO</t>
  </si>
  <si>
    <t>Fundacion Instituto Quirurgico Del Callao</t>
  </si>
  <si>
    <t>FUNDACION UNIVERSIDAD DE SAN ANDRES</t>
  </si>
  <si>
    <t>FUNES  RICARDO JORGE</t>
  </si>
  <si>
    <t>FUNES ANTONIO</t>
  </si>
  <si>
    <t>FURLANETTO MARTIN</t>
  </si>
  <si>
    <t>FURLANETTO VICTOR</t>
  </si>
  <si>
    <t>FUSARO MARIA DEL CARMEN</t>
  </si>
  <si>
    <t>FUTURO SRL</t>
  </si>
  <si>
    <t>GABRIELA VANINA GALLO</t>
  </si>
  <si>
    <t>GAETE MONICA ELIZABETH</t>
  </si>
  <si>
    <t>GALE GABRIELA</t>
  </si>
  <si>
    <t>GALEANO, ANA MARIA</t>
  </si>
  <si>
    <t>GALENO ARGENTINA SA</t>
  </si>
  <si>
    <t>30-52242816-3</t>
  </si>
  <si>
    <t>GALENO ART SA</t>
  </si>
  <si>
    <t>GALENO CASTRO MELINA VALENTINA</t>
  </si>
  <si>
    <t>GALIANO MARIA LIDIA</t>
  </si>
  <si>
    <t xml:space="preserve">GALLI ANDREA NATALIA </t>
  </si>
  <si>
    <t>GALLI GRACIELA SILVIA</t>
  </si>
  <si>
    <t>GAMALECTRIC S.A.</t>
  </si>
  <si>
    <t>Gambande, Sergio Enrique</t>
  </si>
  <si>
    <t>GARBARINO SAICeI</t>
  </si>
  <si>
    <t>GARCIA BATALLAN LAUTARO</t>
  </si>
  <si>
    <t xml:space="preserve">GARCIA DARIO GABRIEL </t>
  </si>
  <si>
    <t>GARCIA FERNANDEZ, ARIEL</t>
  </si>
  <si>
    <t>Garcia Heber Dante</t>
  </si>
  <si>
    <t xml:space="preserve">GARCIA MARIA FLORENCIA </t>
  </si>
  <si>
    <t>GARCIA MONICA CRISTINA</t>
  </si>
  <si>
    <t>García, Rosa Martes</t>
  </si>
  <si>
    <t>Garracino Mariana</t>
  </si>
  <si>
    <t>GASPAR BERNARDI E HIJOS SA</t>
  </si>
  <si>
    <t>Gaston Garcia</t>
  </si>
  <si>
    <t>GEN SRL</t>
  </si>
  <si>
    <t>GENDARMERIA NACIONAL</t>
  </si>
  <si>
    <t>Gerardi Rodolfo Ruben</t>
  </si>
  <si>
    <t>Gerardo Juan Carlos</t>
  </si>
  <si>
    <t>Gil Julio</t>
  </si>
  <si>
    <t>GIMENEZ SONIA GLADYS</t>
  </si>
  <si>
    <t>GIMENEZ, ALDO EUDORO</t>
  </si>
  <si>
    <t>GITMED INSUMOS MEDICOS SRL</t>
  </si>
  <si>
    <t>GIULIETTI LUIS ALBERTO</t>
  </si>
  <si>
    <t>GLOBAL BUSINESS SRL</t>
  </si>
  <si>
    <t>GLORIA BEATRIZ MORENO RICCO</t>
  </si>
  <si>
    <t>Gomez Cesar Luis</t>
  </si>
  <si>
    <t>GOMEZ HECTOR EDUARDO</t>
  </si>
  <si>
    <t>GOMEZ, MARIA ESTER</t>
  </si>
  <si>
    <t>GONZALEZ ALFREDO SEBASTIAN</t>
  </si>
  <si>
    <t>GONZALEZ CARLOS RAUL</t>
  </si>
  <si>
    <t>Gonzalez Dorila</t>
  </si>
  <si>
    <t>Gonzalez Gaydou Mateo</t>
  </si>
  <si>
    <t>Gonzalez Jose Alberto</t>
  </si>
  <si>
    <t>Gonzalez Julia Elena</t>
  </si>
  <si>
    <t xml:space="preserve">GONZALEZ LAURA BEATRIZ </t>
  </si>
  <si>
    <t>Gonzalez Paula Alejandra</t>
  </si>
  <si>
    <t>GONZALEZ SAGASETA GABRIEL</t>
  </si>
  <si>
    <t>GONZALEZ SIBIARDO OSCAR Y VM</t>
  </si>
  <si>
    <t>Gonzalez Silvia</t>
  </si>
  <si>
    <t>GONZALEZ, PAULA ALEJANDRA</t>
  </si>
  <si>
    <t>Gourovich Gabriel</t>
  </si>
  <si>
    <t xml:space="preserve">GOWLAND, RAFAEL </t>
  </si>
  <si>
    <t>GRACIA, EMANUEL FELIPE</t>
  </si>
  <si>
    <t>GRACIELA BERNUNZIO</t>
  </si>
  <si>
    <t>GRACIELA NORMA GUIET</t>
  </si>
  <si>
    <t>GRAFF NATALY GISELLE</t>
  </si>
  <si>
    <t>GRAHAM LUIS</t>
  </si>
  <si>
    <t>GRAN VIEW SRL</t>
  </si>
  <si>
    <t>Grandi Vera</t>
  </si>
  <si>
    <t>Grau Baena, Guadalupe</t>
  </si>
  <si>
    <t>Green Ventura Miguel</t>
  </si>
  <si>
    <t>GRIDEL WALTER DIEGO</t>
  </si>
  <si>
    <t>Groppa Sara</t>
  </si>
  <si>
    <t>GRUPO NORTE SRL</t>
  </si>
  <si>
    <t>GRUPO RBM SRL</t>
  </si>
  <si>
    <t>GUALDONI, MARIA DEL PILAR PATRICIA</t>
  </si>
  <si>
    <t>GUARDIOLA, RUBEN OSCAR</t>
  </si>
  <si>
    <t>GUAYMAS, TIBURCIO HERNAN</t>
  </si>
  <si>
    <t>GUELLER Isidoro</t>
  </si>
  <si>
    <t>GUILLAN SANDRA SILVIA</t>
  </si>
  <si>
    <t>GUIMARANS, MIRTA LUISA</t>
  </si>
  <si>
    <t>GUSTAVO ANTONIO CANO AVILA</t>
  </si>
  <si>
    <t>GUTIERREZ MARTINA</t>
  </si>
  <si>
    <t>GUZMAN VALENTINA ABRIL</t>
  </si>
  <si>
    <t>HABLENDEAUNO S.A</t>
  </si>
  <si>
    <t>Hansen Wilhelm Gabriel Alejandro</t>
  </si>
  <si>
    <t>HASSON, RAFAEL ALFREDO</t>
  </si>
  <si>
    <t>HAYDEE DE ROSSI</t>
  </si>
  <si>
    <t>HAYDEE ELVIRA VIVA</t>
  </si>
  <si>
    <t>HAYDEE PIZZONI</t>
  </si>
  <si>
    <t>30-71053801-4</t>
  </si>
  <si>
    <t>HC HOMECARE INT DOM SA</t>
  </si>
  <si>
    <t>Hc Homecare Internacion Domiciliaria S.A.</t>
  </si>
  <si>
    <t>HEREDIA CARLOS ALBERTO</t>
  </si>
  <si>
    <t>HERLICZCK MARIA</t>
  </si>
  <si>
    <t>Herman Patrica</t>
  </si>
  <si>
    <t>HERMIDA ADRIANA MARCELA</t>
  </si>
  <si>
    <t>Hernandez Martin</t>
  </si>
  <si>
    <t>HERNANDEZ RIVERO ADRIAN</t>
  </si>
  <si>
    <t>HERRERA CORINA</t>
  </si>
  <si>
    <t>HERRERA GUILLERMO SEBASTIAN</t>
  </si>
  <si>
    <t>HERRERA ROSARIO AZUCENA</t>
  </si>
  <si>
    <t>HERRERA SERGIO DANIEL ALBERTO</t>
  </si>
  <si>
    <t>HERRERO CHRISTIAN GUSTAVO</t>
  </si>
  <si>
    <t xml:space="preserve">HIGA MARCELA SANDRA </t>
  </si>
  <si>
    <t>HINCK SA</t>
  </si>
  <si>
    <t>HIPER ON LINE SRL</t>
  </si>
  <si>
    <t>HUBERMAN, GUILLERMO</t>
  </si>
  <si>
    <t>HUMMEL ESTELA INES</t>
  </si>
  <si>
    <t>IALLONARDO SERGIO</t>
  </si>
  <si>
    <t>IBARRA ALFREDO CEFERINO</t>
  </si>
  <si>
    <t>Iglesia Evangelica Luterana Unida</t>
  </si>
  <si>
    <t>IGLESIAS GRACIELA MATILDE</t>
  </si>
  <si>
    <t>IGOL YANINA MARA</t>
  </si>
  <si>
    <t>ILLANES, VIVIANA ELIZABETH</t>
  </si>
  <si>
    <t>IMPIERI, PIÑEIIRO, R  Y A SA</t>
  </si>
  <si>
    <t>INC SA</t>
  </si>
  <si>
    <t>INCAT SRL</t>
  </si>
  <si>
    <t>INNBYTE SA</t>
  </si>
  <si>
    <t>Inojosa Ruben Daniel</t>
  </si>
  <si>
    <t>INST. CARDIOVASCULAR BSAS SA</t>
  </si>
  <si>
    <t>INSTALACIONES COMERCIALES TISERA S.A.</t>
  </si>
  <si>
    <t>INSTITUTO SUDAMERICANO PARA LA ENSEÑANZA DE LA COMUNICACIÓN</t>
  </si>
  <si>
    <t>INTENSE LIFE S.A.</t>
  </si>
  <si>
    <t>INTERMED S.R.L.</t>
  </si>
  <si>
    <t>Iovino Fabiana Marcela</t>
  </si>
  <si>
    <t>IPROSS</t>
  </si>
  <si>
    <t>IRENE DE VICENZI</t>
  </si>
  <si>
    <t xml:space="preserve">IRIARTE, DANIEL ALCIDES </t>
  </si>
  <si>
    <t>Irigoyen Virginia</t>
  </si>
  <si>
    <t>IRLA DARIO GABRIEL</t>
  </si>
  <si>
    <t>IT BROKERS S.A.</t>
  </si>
  <si>
    <t>ITALOMED PRODUCTOS SRL</t>
  </si>
  <si>
    <t>ITPROUSER SA</t>
  </si>
  <si>
    <t>ITURAN DE ARGENTINA S A</t>
  </si>
  <si>
    <t>Iturralde Ines</t>
  </si>
  <si>
    <t>IVON GEMA GOMEZ</t>
  </si>
  <si>
    <t>IZIBI S.A.</t>
  </si>
  <si>
    <t xml:space="preserve">IZZO ADRIANA </t>
  </si>
  <si>
    <t>J Y F TOYS SRL</t>
  </si>
  <si>
    <t>Jaia Mushka Iojebed Segal</t>
  </si>
  <si>
    <t>JAIME BRUSKI</t>
  </si>
  <si>
    <t>JAPAS MARIA LAURA</t>
  </si>
  <si>
    <t>JARSE SA</t>
  </si>
  <si>
    <t>JCR TRAINING SRL</t>
  </si>
  <si>
    <t>JHOANNA SAID</t>
  </si>
  <si>
    <t>Joana Cristina Caporale Navarro</t>
  </si>
  <si>
    <t>JOHANSEN/DANIEL</t>
  </si>
  <si>
    <t>Jones, Margarita Elena</t>
  </si>
  <si>
    <t xml:space="preserve">JORGE FRANCISCO  CORTEZ </t>
  </si>
  <si>
    <t>JORGE JABIER OBARRIO</t>
  </si>
  <si>
    <t>JOSE ALBERTO BERARDI</t>
  </si>
  <si>
    <t>José Antonio Ferrea</t>
  </si>
  <si>
    <t>JOSE ANTONIO MEMBRIVES</t>
  </si>
  <si>
    <t>Jose Hakim</t>
  </si>
  <si>
    <t>JOSE MIGUEL JALIFE</t>
  </si>
  <si>
    <t>JUAN PABLO MINVIELLE</t>
  </si>
  <si>
    <t>JURI NORA</t>
  </si>
  <si>
    <t>Juri, Jorge</t>
  </si>
  <si>
    <t>Kaplan Maria Ines</t>
  </si>
  <si>
    <t>KENNEL SEBASTIAN</t>
  </si>
  <si>
    <t>KIRSCHNER PAULA ELIZABETH</t>
  </si>
  <si>
    <t>KLAINER ABEL JAVIER</t>
  </si>
  <si>
    <t>KLEVETA NORMA ELIZABETH</t>
  </si>
  <si>
    <t>KNOPOFF, SUSANA HAYDEE</t>
  </si>
  <si>
    <t>KOGAN LEWIT WINSTON DANIEL</t>
  </si>
  <si>
    <t>Kozlowski Susana</t>
  </si>
  <si>
    <t>KRUGER BRUNA</t>
  </si>
  <si>
    <t>Ku, Yong Chae</t>
  </si>
  <si>
    <t>KUCZER LYDIA</t>
  </si>
  <si>
    <t>LA CASA DE LAS LIJAS</t>
  </si>
  <si>
    <t>LA CASA DEL CELULOIDE SRL</t>
  </si>
  <si>
    <t>LABORATORIOS DIRAL SRL</t>
  </si>
  <si>
    <t>LACCO MARIA FLORENCIA</t>
  </si>
  <si>
    <t>Ladron de Guevara Rodrigo</t>
  </si>
  <si>
    <t>LANDOLINO FRANK</t>
  </si>
  <si>
    <t>LANDRO FERNANDO GABRIEL</t>
  </si>
  <si>
    <t>Larichiutta Claudia</t>
  </si>
  <si>
    <t>LATI NISIM URIEL</t>
  </si>
  <si>
    <t>Lattuada Carlos</t>
  </si>
  <si>
    <t>Lavigne Juan</t>
  </si>
  <si>
    <t>Lavigne, Celestino Armando</t>
  </si>
  <si>
    <t>LED - ZEP MENSAJERIA EMPRESARIAL</t>
  </si>
  <si>
    <t>Legorburu Araoz, Jaime Alejandro</t>
  </si>
  <si>
    <t>Leon Fernanda Graciela</t>
  </si>
  <si>
    <t>LEON MILGROM Y CIA SAECEI</t>
  </si>
  <si>
    <t>LEPELLERE, MARIO</t>
  </si>
  <si>
    <t>LESCANO ANGELA TERESA</t>
  </si>
  <si>
    <t>LETICIA TERESA BARBARITA LAZARTE</t>
  </si>
  <si>
    <t>LEVY GRACIELA</t>
  </si>
  <si>
    <t>LILIANA LAGORIO</t>
  </si>
  <si>
    <t>FERREIRS LILISNS INES</t>
  </si>
  <si>
    <t>LIN FANG</t>
  </si>
  <si>
    <t>LINKEDSTORE ARGENTINA SRL</t>
  </si>
  <si>
    <t xml:space="preserve">LIUZZO CARMEN </t>
  </si>
  <si>
    <t xml:space="preserve">LIZARRAGA RAUL HERNESTO </t>
  </si>
  <si>
    <t>LLANES NORBERTO</t>
  </si>
  <si>
    <t>LODEIRO RODRIGUEZ JORGE ROSARIO</t>
  </si>
  <si>
    <t>LOGIN DOOR SA</t>
  </si>
  <si>
    <t>Lombardia, Javier Alejandro</t>
  </si>
  <si>
    <t>LOPEZ AMALFARA EVANGELINA</t>
  </si>
  <si>
    <t>LOPEZ AMALFARA Manuel</t>
  </si>
  <si>
    <t>LOPEZ DE CAMPOS NELIDA</t>
  </si>
  <si>
    <t xml:space="preserve">LOPEZ MANUEL </t>
  </si>
  <si>
    <t>Lopez Martin</t>
  </si>
  <si>
    <t>Lorena Pozo</t>
  </si>
  <si>
    <t>LORENZO CARLOS ALBERTO</t>
  </si>
  <si>
    <t>Lorenzo Olivia</t>
  </si>
  <si>
    <t>Loretani Norma</t>
  </si>
  <si>
    <t>Loza Maria Evangelina</t>
  </si>
  <si>
    <t xml:space="preserve">Lubary Ricardo Jose Ramon </t>
  </si>
  <si>
    <t>Lucena Jorge</t>
  </si>
  <si>
    <t xml:space="preserve">LUCERO, NOEMI BEATRIZ </t>
  </si>
  <si>
    <t>Luisa Gladis Blanco</t>
  </si>
  <si>
    <t>LUNA BONITA SRL</t>
  </si>
  <si>
    <t>Luna Mariela</t>
  </si>
  <si>
    <t>LUND ADELA</t>
  </si>
  <si>
    <t>Luz Reyero</t>
  </si>
  <si>
    <t>Mabel STECHER</t>
  </si>
  <si>
    <t>Mabel VILLA</t>
  </si>
  <si>
    <t>MACHADO ELIANA NOEMI</t>
  </si>
  <si>
    <t>MADRID MARIA DEL CARMEN</t>
  </si>
  <si>
    <t>MAGALLAN SRL</t>
  </si>
  <si>
    <t>MAGNO JUAN LEOPOLDO</t>
  </si>
  <si>
    <t xml:space="preserve">MAGYAR LADISLAO CABALLERO </t>
  </si>
  <si>
    <t>MAIDANA ANGEL EDUARDO</t>
  </si>
  <si>
    <t>MAIORANA OSCAR ALBERTO</t>
  </si>
  <si>
    <t>MAJUL ALEJANDRO</t>
  </si>
  <si>
    <t>MALDONADO LIDIA ESTELA</t>
  </si>
  <si>
    <t>Malizia Marcelo Gustavo</t>
  </si>
  <si>
    <t>Mammana Mario Prospero</t>
  </si>
  <si>
    <t>MANGIN, BIBIANA</t>
  </si>
  <si>
    <t>Maqueira Francisco Manuel</t>
  </si>
  <si>
    <t>MAQUEIRA GUILLERMO GABRIEL</t>
  </si>
  <si>
    <t xml:space="preserve">MARCELA INSFRAN </t>
  </si>
  <si>
    <t>Marcela Monella</t>
  </si>
  <si>
    <t>MARCELO Y GUSTAVO MILMAR S.R.L.</t>
  </si>
  <si>
    <t>MARIA AGUSTINA PEREYRA</t>
  </si>
  <si>
    <t>MARIA ARIAS</t>
  </si>
  <si>
    <t>MARIA CECILIA DE MARSICO</t>
  </si>
  <si>
    <t>MARIA EUGENIA BELOSSI</t>
  </si>
  <si>
    <t>MARIA LAURA GONZALEZ ROULET</t>
  </si>
  <si>
    <t>MARIA LAUSA TESEI</t>
  </si>
  <si>
    <t>MARIA NATALIA OLIVIERI</t>
  </si>
  <si>
    <t>MARIA PETCOFF</t>
  </si>
  <si>
    <t>MARIANA MONTUELLO</t>
  </si>
  <si>
    <t>MARROCCO MARIA SILVIA</t>
  </si>
  <si>
    <t>Marsal Maria Alicia</t>
  </si>
  <si>
    <t>MARTA LESCANO</t>
  </si>
  <si>
    <t>MARTA ROSA CRISTIANSEN</t>
  </si>
  <si>
    <t>Martibez  Ivana Beatriz</t>
  </si>
  <si>
    <t>Martin Gregoria</t>
  </si>
  <si>
    <t xml:space="preserve">MARTIN LOZADA </t>
  </si>
  <si>
    <t>MARTINEZ CASTRO BARBARA DANIELA</t>
  </si>
  <si>
    <t>Martinez de Pezzoni Elida</t>
  </si>
  <si>
    <t>MARTINEZ GONZALEZ, ANA BELEN</t>
  </si>
  <si>
    <t>MARTINEZ, FELIPE ANDRES</t>
  </si>
  <si>
    <t>Martinez, Juan Augusto</t>
  </si>
  <si>
    <t>MARTINEZ, LAURA SILVINA</t>
  </si>
  <si>
    <t>MARTINEZ, NORMA ISABEL</t>
  </si>
  <si>
    <t>MARTOS JOSE CARLOS</t>
  </si>
  <si>
    <t>Masini Daniel Federico</t>
  </si>
  <si>
    <t>MASLOWSKI JOSE LUIS</t>
  </si>
  <si>
    <t>MASSARA VICTORIA</t>
  </si>
  <si>
    <t>MATHOV ENRIQUE JOSE</t>
  </si>
  <si>
    <t>MATTEAZZI DYHENART CLAUDIA</t>
  </si>
  <si>
    <t>MAVISUR SA</t>
  </si>
  <si>
    <t>MAXICONTAINER SRL</t>
  </si>
  <si>
    <t>Maya Liliana</t>
  </si>
  <si>
    <t>Maza Lorenzo Gabriel</t>
  </si>
  <si>
    <t>MEDICAL IMPROVEMENTS SRL</t>
  </si>
  <si>
    <t>MEDICUS SA</t>
  </si>
  <si>
    <t>MEDINA, MARIANA LUDMILA</t>
  </si>
  <si>
    <t>Medincare Argentina S.A.</t>
  </si>
  <si>
    <t>MEDZWECKI JACOBO ARMANDO</t>
  </si>
  <si>
    <t>MENA ORTEGA, ALEXI CRISTIAN</t>
  </si>
  <si>
    <t>MENDOZA PATRICIA CRISTINA</t>
  </si>
  <si>
    <t>Menendez Enrique</t>
  </si>
  <si>
    <t>Menteguiaga Lucia Estela</t>
  </si>
  <si>
    <t>MERCADO TOTAL SAS</t>
  </si>
  <si>
    <t>MÉRIDA VARGAS, ELVIA PAMELA</t>
  </si>
  <si>
    <t>MERILLO NOEMI ESTER</t>
  </si>
  <si>
    <t>MERLO ESTEBAN JOSE</t>
  </si>
  <si>
    <t>MESA FIGUEROA DELFINA JARA</t>
  </si>
  <si>
    <t>MEYAR S.A.</t>
  </si>
  <si>
    <t>MGR IMPLANTES SA</t>
  </si>
  <si>
    <t>MIGUEL ANGEL VILLALBA</t>
  </si>
  <si>
    <t>MIRANDA LUIS ALBERTO</t>
  </si>
  <si>
    <t>Mirta Romero</t>
  </si>
  <si>
    <t>Mizrahi Emilio</t>
  </si>
  <si>
    <t>MODOLO CRISTIAN ARIEL</t>
  </si>
  <si>
    <t>MOLINA MIRTA GRACIELA</t>
  </si>
  <si>
    <t>MOLINO MARIANO GASTON</t>
  </si>
  <si>
    <t>MOLIVAUT SA</t>
  </si>
  <si>
    <t>Mollo Vicente Francisco</t>
  </si>
  <si>
    <t>Monge Sara</t>
  </si>
  <si>
    <t>MONZON BEATRIZ ESTER</t>
  </si>
  <si>
    <t>MORA NILDA BEATRIZ</t>
  </si>
  <si>
    <t>MORALES SANDRA</t>
  </si>
  <si>
    <t>Moreno, Mariana Roxana Del Jesus</t>
  </si>
  <si>
    <t>MORILLA HORACIO ALBERTO</t>
  </si>
  <si>
    <t>MORINI EMILIANO</t>
  </si>
  <si>
    <t>Moriondo, Adriana Ines</t>
  </si>
  <si>
    <t>Mosescu Esteban Andres Eduardo</t>
  </si>
  <si>
    <t>MOSQUERA ANDREA MARCELA</t>
  </si>
  <si>
    <t>Motos Air</t>
  </si>
  <si>
    <t>MOYA BACHINO Francisco</t>
  </si>
  <si>
    <t>MOYANO ADRIANA VALERIA</t>
  </si>
  <si>
    <t xml:space="preserve">MOYANO, EMILIA </t>
  </si>
  <si>
    <t>MPM GROUP SA</t>
  </si>
  <si>
    <t>MULTICREA SA</t>
  </si>
  <si>
    <t>Mulville Cynthia Alicia</t>
  </si>
  <si>
    <t xml:space="preserve">Muñoz Juan Martin </t>
  </si>
  <si>
    <t>Murua Jose Maximiliano</t>
  </si>
  <si>
    <t>MUTTIS ALEJANDRA MARCELA</t>
  </si>
  <si>
    <t>MUZIO GUILLERMO JOSE</t>
  </si>
  <si>
    <t>NADAL ROBERTO</t>
  </si>
  <si>
    <t>NADIA TARANTINO</t>
  </si>
  <si>
    <t>Nahir Berasategui</t>
  </si>
  <si>
    <t>Naiman Carlos</t>
  </si>
  <si>
    <t>Najus Anibal Ruben</t>
  </si>
  <si>
    <t>NANTARAT PEED</t>
  </si>
  <si>
    <t xml:space="preserve">NARDOMARINO EDUARDO FRANCISCO </t>
  </si>
  <si>
    <t>NARVAEZ RODRIGUEZ DAMIAN</t>
  </si>
  <si>
    <t>NARVAEZ RODRIGUEZ DAMIAN ORLANDO</t>
  </si>
  <si>
    <t>NARVAY EDUARDO HUGO</t>
  </si>
  <si>
    <t>NAVARRO CECILIA</t>
  </si>
  <si>
    <t>NAVARRO, LEANDRO DANIEL CARLOS</t>
  </si>
  <si>
    <t>NAVIA RAMON</t>
  </si>
  <si>
    <t>NELIDA ESTHER POGGIO</t>
  </si>
  <si>
    <t>Nelly Haydée Olivito</t>
  </si>
  <si>
    <t>NEMIROVSKY HECTOR</t>
  </si>
  <si>
    <t>NEPOTE LEANDRO MARTIN</t>
  </si>
  <si>
    <t>Nervi Viviana</t>
  </si>
  <si>
    <t xml:space="preserve">NESCI EMILIANO GABRIEL </t>
  </si>
  <si>
    <t>NGSHOP SRL</t>
  </si>
  <si>
    <t>NICA SA</t>
  </si>
  <si>
    <t>Nicastro Yolanda</t>
  </si>
  <si>
    <t>Nieves, Gaston</t>
  </si>
  <si>
    <t>Nobili Eduardo Jose</t>
  </si>
  <si>
    <t>NT SYSTEM WORK</t>
  </si>
  <si>
    <t>NUÑERA JARA EDGAR MOISES</t>
  </si>
  <si>
    <t>NUÑEZ FERNANDO MANUEL</t>
  </si>
  <si>
    <t>Nuñez Ricardo</t>
  </si>
  <si>
    <t>O.C.A.</t>
  </si>
  <si>
    <t>OBENAUS MARIANA ISABEL</t>
  </si>
  <si>
    <t>Obligado Maria Luz</t>
  </si>
  <si>
    <t>Obra Social De Actores</t>
  </si>
  <si>
    <t>OBRA SOCIAL DE LA ACTIVIDAD DE SEGUROS, REASEGUROS, CAPITALIZACION Y AHORRO Y PRESTAMO  PARA LA VIVIENDA</t>
  </si>
  <si>
    <t>30-50005352-2</t>
  </si>
  <si>
    <t>OBRA SOCIAL DEL PERSONAL DE LAS TELECOMUNICACIONES DE LA REP. ARGENTINA</t>
  </si>
  <si>
    <t>OBRA SOCIAL UNION PERSONAL DE LA UNION DEL PERSONAL CIVIL D</t>
  </si>
  <si>
    <t>OCAMPO, EDUARDO</t>
  </si>
  <si>
    <t xml:space="preserve">OCHOA GARCIA DORA ELENA </t>
  </si>
  <si>
    <t>OCHOA GRACIELA</t>
  </si>
  <si>
    <t>OIL A &amp; G S.R.L.</t>
  </si>
  <si>
    <t>OLGA PRATOLONGO</t>
  </si>
  <si>
    <t>OLIVA GLADYS MABEL</t>
  </si>
  <si>
    <t>OLIVEROS HECTOR</t>
  </si>
  <si>
    <t>Olstein Carlos</t>
  </si>
  <si>
    <t>Omar Quintana</t>
  </si>
  <si>
    <t>O'NEILL PUB SRL</t>
  </si>
  <si>
    <t>Onofrio Adriana Silvia</t>
  </si>
  <si>
    <t>Onsari Maria Mercedes</t>
  </si>
  <si>
    <t>OROZ ALEJANDRA EDITH</t>
  </si>
  <si>
    <t>ORQUERA JUAN RAMON</t>
  </si>
  <si>
    <t>ORTIZ CARLOS ARMANDO</t>
  </si>
  <si>
    <t>ORTOPEDIA CASA ESCALADA SRL</t>
  </si>
  <si>
    <t xml:space="preserve">ORTOPEDIA CUENCA S. R. L </t>
  </si>
  <si>
    <t>ORTOPEDICOS ALFOLATEX SA</t>
  </si>
  <si>
    <t>OSBRA SOCIAL SUPERCO</t>
  </si>
  <si>
    <t>OSCAR OCAMPOS</t>
  </si>
  <si>
    <t>OSMATA</t>
  </si>
  <si>
    <t>OSPLAD</t>
  </si>
  <si>
    <t>30-60871639-0</t>
  </si>
  <si>
    <t>OSTEL</t>
  </si>
  <si>
    <t>OSTIG</t>
  </si>
  <si>
    <t>OSUNA LUIS MIGUEL</t>
  </si>
  <si>
    <t>OTTO BOCK ARG SA</t>
  </si>
  <si>
    <t>PABLO ROBERTO MURUA POU</t>
  </si>
  <si>
    <t>PABLO URSINO</t>
  </si>
  <si>
    <t>PAEZ VALENTINO HUGO</t>
  </si>
  <si>
    <t>Palacios Morena</t>
  </si>
  <si>
    <t>Pallero, Victor Raul</t>
  </si>
  <si>
    <t>PALLINI, CRISTINA BEATRIZ</t>
  </si>
  <si>
    <t>PALLONE JORGE</t>
  </si>
  <si>
    <t>PALOMO JUAN CARLOS</t>
  </si>
  <si>
    <t>Pancotti Liliana Rosa</t>
  </si>
  <si>
    <t>PANTYMED SA</t>
  </si>
  <si>
    <t>PAOLINI, EUGENIO</t>
  </si>
  <si>
    <t>PAPARIGAPALOS ANDREA</t>
  </si>
  <si>
    <t>PAPELERA GEOPEL SRL</t>
  </si>
  <si>
    <t>PARADIS NILDA MABEL</t>
  </si>
  <si>
    <t>PAREDES GABRIEL MARIANO</t>
  </si>
  <si>
    <t>PARNA SA</t>
  </si>
  <si>
    <t>PARODI, SEBASTIAN CARLOS</t>
  </si>
  <si>
    <t>PASCUA SA</t>
  </si>
  <si>
    <t>PASCUAL MARIA VIRGINIA</t>
  </si>
  <si>
    <t>PASION DISTRIBUCIONES SRL</t>
  </si>
  <si>
    <t>Pasolli, Luis Alberto</t>
  </si>
  <si>
    <t>PASTOR ROSALES ROSA NOEMI</t>
  </si>
  <si>
    <t xml:space="preserve">PATIÑO NICOLAS VENTURA </t>
  </si>
  <si>
    <t>PATRICIA GONGORA</t>
  </si>
  <si>
    <t>Patron Sebastian</t>
  </si>
  <si>
    <t xml:space="preserve">PAZ EVA CLEMENTINA </t>
  </si>
  <si>
    <t>PELLEGRINO SERGIO OMAR</t>
  </si>
  <si>
    <t>Perdiguera, Jorge</t>
  </si>
  <si>
    <t>PEREDA, EDUARDO</t>
  </si>
  <si>
    <t>PEREYRA ELIZABET ANA</t>
  </si>
  <si>
    <t>Pereyra Maria Ester</t>
  </si>
  <si>
    <t>PEREYRA, ANA MARIA</t>
  </si>
  <si>
    <t>Perez Delia</t>
  </si>
  <si>
    <t>PEREZ FRANCO ADRIAN</t>
  </si>
  <si>
    <t>PERLA MATILDE ISART</t>
  </si>
  <si>
    <t>PETROCELLI EMILIO BRAULO</t>
  </si>
  <si>
    <t>PIAGGIO PAULA ANDREA</t>
  </si>
  <si>
    <t>PICOLEMAR SA</t>
  </si>
  <si>
    <t>PIERRI ALEXIS ARIEL</t>
  </si>
  <si>
    <t>PINAMAR SRL</t>
  </si>
  <si>
    <t>PINO SUB SA</t>
  </si>
  <si>
    <t>Pintos, Fernando Jose</t>
  </si>
  <si>
    <t>PIÑOL ELIZABETH ANDREA</t>
  </si>
  <si>
    <t>PIRIZ CARLA ELIZABETH</t>
  </si>
  <si>
    <t>Pirovano Pablo Horacio</t>
  </si>
  <si>
    <t>PISANO ELSA</t>
  </si>
  <si>
    <t>PISANTE ANA RUTH</t>
  </si>
  <si>
    <t>PIVA MICAELA</t>
  </si>
  <si>
    <t>Plotek Guillermo Hernan</t>
  </si>
  <si>
    <t xml:space="preserve">PODESTA OSCAR JUAN </t>
  </si>
  <si>
    <t>Polanco Victor</t>
  </si>
  <si>
    <t>POSNET SOCIEDAD DE RESPONSABILIDAD LIMITADA</t>
  </si>
  <si>
    <t>POTENZA LIDIA</t>
  </si>
  <si>
    <t>PRADO MARISOL</t>
  </si>
  <si>
    <t>PRESTOR SAS</t>
  </si>
  <si>
    <t>PRIETO CRISTIAN ARIEL</t>
  </si>
  <si>
    <t>PRIETO JULIO RAUL Y BJS</t>
  </si>
  <si>
    <t>PROSEGUR ACTIVA ARG SA</t>
  </si>
  <si>
    <t>PROSPERI OSCAR RUBEN</t>
  </si>
  <si>
    <t>PROYECTO 665 SRL</t>
  </si>
  <si>
    <t>Pujol Alberto Joaquin</t>
  </si>
  <si>
    <t>PUJOL GRACIELA</t>
  </si>
  <si>
    <t xml:space="preserve">QUINCOCES JUANA </t>
  </si>
  <si>
    <t>QUINTANA SOLEDAD</t>
  </si>
  <si>
    <t xml:space="preserve">QUIRO MED S A C I F </t>
  </si>
  <si>
    <t>R. N. LEDESMA</t>
  </si>
  <si>
    <t>RAMBAUD DIEGO GABRIEL</t>
  </si>
  <si>
    <t>RAMIREZ DANIEL HUGO</t>
  </si>
  <si>
    <t>Ramirez Ricardo</t>
  </si>
  <si>
    <t>RAMON OSCAR FUIGUEROA</t>
  </si>
  <si>
    <t>Ramos Adriana Monica</t>
  </si>
  <si>
    <t>RAMOS ROCIO SAMANTA</t>
  </si>
  <si>
    <t>Rapetti Ada Fuente de</t>
  </si>
  <si>
    <t>RAQUEL TURAÑONA</t>
  </si>
  <si>
    <t>RAVIOLO ANGELA RITA</t>
  </si>
  <si>
    <t xml:space="preserve">REFOJO GERMAN ORLANDO </t>
  </si>
  <si>
    <t>REHAVITA SA</t>
  </si>
  <si>
    <t>RELIEF CENTER SRL</t>
  </si>
  <si>
    <t>RENT AR SRL</t>
  </si>
  <si>
    <t>Resano Manuel Antonio</t>
  </si>
  <si>
    <t>Residencia La Horqueta S A</t>
  </si>
  <si>
    <t>Reyes, Vilma Carmen</t>
  </si>
  <si>
    <t>RICCIUTI JOSEFINA</t>
  </si>
  <si>
    <t>Rios, Eduardo Adolfo</t>
  </si>
  <si>
    <t>Rivero Graciela Analia</t>
  </si>
  <si>
    <t>RIZZO HORACIO GUSTAVO</t>
  </si>
  <si>
    <t>Roberto Gustavo Cesar Hernan</t>
  </si>
  <si>
    <t>ROC CHIVILCOY TRANSP Y L SA</t>
  </si>
  <si>
    <t>ROCIMEX SRL</t>
  </si>
  <si>
    <t>RODOLFO SCHULZE</t>
  </si>
  <si>
    <t>Rodrigo Chillemi</t>
  </si>
  <si>
    <t>RODRIGUEZ ANDRES</t>
  </si>
  <si>
    <t>RODRIGUEZ Esteban Osvaldo</t>
  </si>
  <si>
    <t>RODRIGUEZ FERNANDO ARIEL</t>
  </si>
  <si>
    <t>Rodriguez Jorge</t>
  </si>
  <si>
    <t>Rodriguez Maria Elena</t>
  </si>
  <si>
    <t xml:space="preserve">RODRIGUEZ MERCEDES INES </t>
  </si>
  <si>
    <t>RODRIGUEZ VICTORIANA</t>
  </si>
  <si>
    <t>RODRIGUEZ YAMILA ANDREA</t>
  </si>
  <si>
    <t>RODRIGUEZ, HUGO A</t>
  </si>
  <si>
    <t>Rojas Hermogenes</t>
  </si>
  <si>
    <t>ROJO Y AMARILLO SRL</t>
  </si>
  <si>
    <t>Roldan Silvia</t>
  </si>
  <si>
    <t>ROMANO, CONCEPCION</t>
  </si>
  <si>
    <t>ROMERO ALEJANDRO JAVIER</t>
  </si>
  <si>
    <t>Romero Felipe</t>
  </si>
  <si>
    <t>Romero Leonardo</t>
  </si>
  <si>
    <t>Romero Miguel Ariel</t>
  </si>
  <si>
    <t>Romero Miguel Roque</t>
  </si>
  <si>
    <t>Romiglio Maximiliano</t>
  </si>
  <si>
    <t>ROMINA PAOLA ANZOR RODRIGUEZ</t>
  </si>
  <si>
    <t>ROSALEZ GUILLERMO OSVALDO</t>
  </si>
  <si>
    <t>ROSANO MAMANI JULIA</t>
  </si>
  <si>
    <t>ROSENSTEIN EDUARDO OSCAR</t>
  </si>
  <si>
    <t>Rosselli Cristian Mario</t>
  </si>
  <si>
    <t>ROSSINI HECTOR EMILIANO</t>
  </si>
  <si>
    <t>Rothlisberger Raul Jesus</t>
  </si>
  <si>
    <t xml:space="preserve">RUBENBACH Adriana </t>
  </si>
  <si>
    <t>RUBENJUVE SRL</t>
  </si>
  <si>
    <t>Rubin Liba</t>
  </si>
  <si>
    <t>RUBIO BLANCA SANTA</t>
  </si>
  <si>
    <t>RUBRICOM SA</t>
  </si>
  <si>
    <t>Ruffa Rosa</t>
  </si>
  <si>
    <t>RUIZ  ANA IRENE</t>
  </si>
  <si>
    <t>RUSCIO NORBERTO VICENTE</t>
  </si>
  <si>
    <t>SAAVEDRA SILVIA GABRIELA</t>
  </si>
  <si>
    <t>SABBAGH PABLO ALEJANDRO</t>
  </si>
  <si>
    <t>SAENZ, MAGDALENA</t>
  </si>
  <si>
    <t>SAFRANCHIK SILVIA MERCEDES</t>
  </si>
  <si>
    <t>Said Marcos</t>
  </si>
  <si>
    <t>Said, Marcos</t>
  </si>
  <si>
    <t>SALTO NICOLAS</t>
  </si>
  <si>
    <t>SALVETTI, LIDIA SARA</t>
  </si>
  <si>
    <t>Samora, Federico Pablo</t>
  </si>
  <si>
    <t>San Miguel Juan Carlos</t>
  </si>
  <si>
    <t>SAN MIGUEL Maria Marta</t>
  </si>
  <si>
    <t>SAN PEDRO ADRIANA</t>
  </si>
  <si>
    <t>SANCHEZ HILDA INES DE</t>
  </si>
  <si>
    <t>Sancovici Berta</t>
  </si>
  <si>
    <t>SANDRI RICARDO ALBERTO</t>
  </si>
  <si>
    <t>SANGUINETTI MARIA</t>
  </si>
  <si>
    <t>SANTA FE COMERCIAL S.R.L.</t>
  </si>
  <si>
    <t>Sanz Irma Edith</t>
  </si>
  <si>
    <t>SAPUNA MARIAN KARINA</t>
  </si>
  <si>
    <t>SARA MARIA LOZA</t>
  </si>
  <si>
    <t xml:space="preserve">SARA STRASBERG </t>
  </si>
  <si>
    <t>SAVINO NATALIA SILVIA</t>
  </si>
  <si>
    <t>SAVINO, ANA PATRICIA</t>
  </si>
  <si>
    <t>SAVIOLI AIDA ELSA</t>
  </si>
  <si>
    <t>SCALISE A. FALANGA C SH</t>
  </si>
  <si>
    <t>Schelgel, Luis Alberto</t>
  </si>
  <si>
    <t>Schlatter VERONICA</t>
  </si>
  <si>
    <t>SCHNEIDER OSCAR</t>
  </si>
  <si>
    <t>SCHUR ROBERTO</t>
  </si>
  <si>
    <t>Schweikofsky, Ezequiel Alejandro</t>
  </si>
  <si>
    <t>Sciemaria Javier Hernan</t>
  </si>
  <si>
    <t>SCUTARI, ALEJANDRO ANGEL</t>
  </si>
  <si>
    <t xml:space="preserve">SEDANO S R L </t>
  </si>
  <si>
    <t>SEISEME SA</t>
  </si>
  <si>
    <t>SERVICIOS DEL DESIERTO SA</t>
  </si>
  <si>
    <t>Servín Hipólita</t>
  </si>
  <si>
    <t>SERVINORTE S A</t>
  </si>
  <si>
    <t>SILVIA ANA ONOFRIO</t>
  </si>
  <si>
    <t>Silvia Claudia Geijo</t>
  </si>
  <si>
    <t>SILVIA VICTORIA ARENA</t>
  </si>
  <si>
    <t>SINDICATO DE EMPLEADOS DE COMERCIO DE PUERTO SAN JULIAN</t>
  </si>
  <si>
    <t>Socrate Edgar</t>
  </si>
  <si>
    <t>SOFIA LAURA GIL</t>
  </si>
  <si>
    <t>Solano Rivera Vicente</t>
  </si>
  <si>
    <t>SOLANS SEBASTIAN DARIO</t>
  </si>
  <si>
    <t>SOLER DANIEL A.RICARDO SH</t>
  </si>
  <si>
    <t>Solesas Tamara Agrelo</t>
  </si>
  <si>
    <t>SOLMAY SRL</t>
  </si>
  <si>
    <t>SOLUCIONES EN HERRAMIENTAS COOPERATIVA DE TRABAJO LIMITADA</t>
  </si>
  <si>
    <t>SOLUCIONES ORTOPEDICAS</t>
  </si>
  <si>
    <t>Solveyra Emilia</t>
  </si>
  <si>
    <t>SOMOS ENERGIA SA</t>
  </si>
  <si>
    <t>SORUCO, DIANA YAEL</t>
  </si>
  <si>
    <t>SOSA CRISTIAN EDGARDO</t>
  </si>
  <si>
    <t>Sosa Maria Cecilia</t>
  </si>
  <si>
    <t>Soto Andrea</t>
  </si>
  <si>
    <t>South Management S A</t>
  </si>
  <si>
    <t>SPROVIERO, SILVIA PATRICIA</t>
  </si>
  <si>
    <t>SRAGOWICH PABLO MIJAEL</t>
  </si>
  <si>
    <t>30-57779728-1</t>
  </si>
  <si>
    <t>STAHLHOFER DANIEL OMAR</t>
  </si>
  <si>
    <t>Stancato Claudia Alejandra</t>
  </si>
  <si>
    <t>Stang Maria Cristina Esmeralda</t>
  </si>
  <si>
    <t>STEEMAN Martina Ana Soledad</t>
  </si>
  <si>
    <t>Steimez Ana Noemi</t>
  </si>
  <si>
    <t>STEPANIK, PAUL FRANCISCO</t>
  </si>
  <si>
    <t>Strasberg Sara</t>
  </si>
  <si>
    <t>STUTZ VERONICA</t>
  </si>
  <si>
    <t>Suburu Monica</t>
  </si>
  <si>
    <t>Sued Sandra Edith</t>
  </si>
  <si>
    <t>SUMMER COLOR</t>
  </si>
  <si>
    <t>SUPERVIELLE SANTIAGO</t>
  </si>
  <si>
    <t>SUR CARBURANTES SA</t>
  </si>
  <si>
    <t>SUSANA RAQUEL BAJDACZ</t>
  </si>
  <si>
    <t>Swaczu Maria Cristina</t>
  </si>
  <si>
    <t>TAPIA ARENAS, VICTOR HUGO</t>
  </si>
  <si>
    <t>TASSONE BRUNO DANIEL</t>
  </si>
  <si>
    <t>TCHEICHVILI, NINO PIKRIA</t>
  </si>
  <si>
    <t>TECNIPRAX SRL</t>
  </si>
  <si>
    <t>TECNOBIOLOGY</t>
  </si>
  <si>
    <t>TECNORTH SA</t>
  </si>
  <si>
    <t>TELECOM ARGENTINA SA</t>
  </si>
  <si>
    <t>TELEFONICA ARG SA</t>
  </si>
  <si>
    <t>TELEFONICA MOVILES ARG SA</t>
  </si>
  <si>
    <t>TEME SARA SIRIA</t>
  </si>
  <si>
    <t>Terzet S A</t>
  </si>
  <si>
    <t>TESIR SRL</t>
  </si>
  <si>
    <t>Teubal David</t>
  </si>
  <si>
    <t>Tomafa S.R.L.</t>
  </si>
  <si>
    <t>Torregrosa Pedro</t>
  </si>
  <si>
    <t>TORRES ACOSTA ROXANA MARILLI</t>
  </si>
  <si>
    <t>TORRES MARÍA</t>
  </si>
  <si>
    <t>TRAFE SUDAMERICANA SA</t>
  </si>
  <si>
    <t>TRANSPORTES BIN PACK SA</t>
  </si>
  <si>
    <t>TRANSPORTES LA SERVILLANITA</t>
  </si>
  <si>
    <t xml:space="preserve">TRENTIN, SERGIO FABIAN </t>
  </si>
  <si>
    <t>TRIMOVE SA</t>
  </si>
  <si>
    <t>TRINIDAD INSUMOS SRL</t>
  </si>
  <si>
    <t>TRIVEÑO ROMA RAMON</t>
  </si>
  <si>
    <t>Trotti Ana</t>
  </si>
  <si>
    <t>TRUST SRL</t>
  </si>
  <si>
    <t>Tucat Roberto Gaston</t>
  </si>
  <si>
    <t>30-70798618-9</t>
  </si>
  <si>
    <t>UTEDYC</t>
  </si>
  <si>
    <t>UTHURRALT JOSE ARISTOBULO</t>
  </si>
  <si>
    <t>V&amp;G FOREIGN TRADE S.R.L.</t>
  </si>
  <si>
    <t>VAGGI JORGE AUGUSTO</t>
  </si>
  <si>
    <t>VAGGI, ROSANA</t>
  </si>
  <si>
    <t>VALDEZ, JORGE JAVIER</t>
  </si>
  <si>
    <t>VALENTI JUAN CARLOS</t>
  </si>
  <si>
    <t>VALENTINI MARCELA</t>
  </si>
  <si>
    <t>VALLE, IRMA NOEMI</t>
  </si>
  <si>
    <t>VANESA TELECHEA</t>
  </si>
  <si>
    <t>VARELA EDUARDO DANILE</t>
  </si>
  <si>
    <t>Vasquez Rivas, Cresencio</t>
  </si>
  <si>
    <t>Vazquez Daniel Martin</t>
  </si>
  <si>
    <t>VAZQUEZ MAURO GASTON</t>
  </si>
  <si>
    <t xml:space="preserve">Vecchio Francisco </t>
  </si>
  <si>
    <t>Vecchione, Edith</t>
  </si>
  <si>
    <t>Vega Ernesto</t>
  </si>
  <si>
    <t>Vela Maria Ines</t>
  </si>
  <si>
    <t>VELARDE CARLOS A</t>
  </si>
  <si>
    <t>Velazquez Rita Elva</t>
  </si>
  <si>
    <t>Veltri Adriana Mabel</t>
  </si>
  <si>
    <t>VENTIMIGLIA COTOS FLORENCIA</t>
  </si>
  <si>
    <t>VERGARA COMBUSTIBLES SRL</t>
  </si>
  <si>
    <t>VIALGA SA</t>
  </si>
  <si>
    <t>VICTOR MASSON TRANSPORTES CRUZ DEL SUR S A</t>
  </si>
  <si>
    <t>VIDAL CESAR</t>
  </si>
  <si>
    <t>Vidal Norberto</t>
  </si>
  <si>
    <t>VIENTOS ARGENTINOS SRL</t>
  </si>
  <si>
    <t>Vignati Eduardo Alberto Y Rossetti Pablo Manuel Sociedad De Hecho</t>
  </si>
  <si>
    <t>VILASECA CRISTIAN</t>
  </si>
  <si>
    <t>Villafañe Jose Carlos</t>
  </si>
  <si>
    <t>Villafañe Nelida Ana</t>
  </si>
  <si>
    <t>VILLALBA AVALOS DANTE ALBERTO</t>
  </si>
  <si>
    <t>VILLANUEVA RICARDO GABRIEL</t>
  </si>
  <si>
    <t>VILLASANTI, MARCELA</t>
  </si>
  <si>
    <t>Viñales Hilda</t>
  </si>
  <si>
    <t>VITALO ADRIANA NOEMI</t>
  </si>
  <si>
    <t>Vittone Silvana</t>
  </si>
  <si>
    <t>VIVALLO CISTERNA, KARINA ANDREA</t>
  </si>
  <si>
    <t>Volpe Daniel Gustavo</t>
  </si>
  <si>
    <t>VTV SUD SA</t>
  </si>
  <si>
    <t>Wehbe Victor Eduardo</t>
  </si>
  <si>
    <t>WEISS, IRMA</t>
  </si>
  <si>
    <t>WIEDMANN ANA ELISA</t>
  </si>
  <si>
    <t>WIKINSKI, SILVIA INES</t>
  </si>
  <si>
    <t>WOLANSKY, DIANA RITA</t>
  </si>
  <si>
    <t>Yamhila Isabel Conde Ocampos</t>
  </si>
  <si>
    <t>Yaru Adela</t>
  </si>
  <si>
    <t>YOLANDA MARGARITA ABE</t>
  </si>
  <si>
    <t>YUKA SA</t>
  </si>
  <si>
    <t xml:space="preserve">ZACARIAS, ANDREA ELIZABETH  </t>
  </si>
  <si>
    <t>Zarwanitzer Ellen Berta</t>
  </si>
  <si>
    <t>ZC DIABETES SRL</t>
  </si>
  <si>
    <t>Zerpa Silvia Ester</t>
  </si>
  <si>
    <t>ZIBES JORGE SILVIO</t>
  </si>
  <si>
    <t>Zorrilla Gaona Myrian Beatriz</t>
  </si>
  <si>
    <t>ZORZ CLAUDIA MONICA</t>
  </si>
  <si>
    <t>ZUBIETA GUSTAVO</t>
  </si>
  <si>
    <t>Zuloaga Angelica</t>
  </si>
  <si>
    <t>ZUSMAN ISRAEL</t>
  </si>
  <si>
    <t>HERRERA CARLOS MARTIN</t>
  </si>
  <si>
    <t>MA JUN</t>
  </si>
  <si>
    <t>GUTIERREZ BRITO GERARDO PABLO</t>
  </si>
  <si>
    <t xml:space="preserve">GARCIA JUAN IGNACIO </t>
  </si>
  <si>
    <t>PASQUALICH ELVIO ALDO</t>
  </si>
  <si>
    <t>TECHCOM SRL</t>
  </si>
  <si>
    <t>OLIVA JUAN PABLO</t>
  </si>
  <si>
    <t>LOGISTICA PATRICIOS  SA</t>
  </si>
  <si>
    <t>SAN ALBERTO BALCARCE SRL</t>
  </si>
  <si>
    <t>Maxer S R L</t>
  </si>
  <si>
    <t xml:space="preserve"> GUSTAVO GABRIEL DENARO</t>
  </si>
  <si>
    <t>Echaide Jose Carlos</t>
  </si>
  <si>
    <t>Corina Luccardi</t>
  </si>
  <si>
    <t>Juan Matias Gomez Andersen</t>
  </si>
  <si>
    <t>Magni Gladys Edit</t>
  </si>
  <si>
    <t>GROSSO, ESTELA MARIA</t>
  </si>
  <si>
    <t>MARIELA CASTAGNINO</t>
  </si>
  <si>
    <t>ALBERTO GRIMALDI</t>
  </si>
  <si>
    <t>CYNTHIA ELIANA VARANO</t>
  </si>
  <si>
    <t>ROMEO, NELIDA ZULMA</t>
  </si>
  <si>
    <t>DELMIRA JOSEFINA FELICE</t>
  </si>
  <si>
    <t>LIFSZYC, SILVANA NOEMI</t>
  </si>
  <si>
    <t>Guerello Fabián Ángel</t>
  </si>
  <si>
    <t>LEIS, MAGALI</t>
  </si>
  <si>
    <t>MAN, SEBASTIAN</t>
  </si>
  <si>
    <t>Indiana Corna</t>
  </si>
  <si>
    <t>SILVA CLAUDIA LORENA</t>
  </si>
  <si>
    <t>SEDEX ARGENTINA SA</t>
  </si>
  <si>
    <t>Lydia Norma Marceno</t>
  </si>
  <si>
    <t>FERREYRA, ZULMA ELENA</t>
  </si>
  <si>
    <t>LIPOVICH RICARDO JAVIER</t>
  </si>
  <si>
    <t xml:space="preserve">CABALLERO, URSULA </t>
  </si>
  <si>
    <t>LUZZANI MATIAS FEDERICO</t>
  </si>
  <si>
    <t>JHOYSI, AHUANARI EVANGELISTA</t>
  </si>
  <si>
    <t>SAVALA, BRAIAN</t>
  </si>
  <si>
    <t>PEREZ, GUILLERMO LUIS</t>
  </si>
  <si>
    <t>MENDOZA, SANDRA ELIZABETH</t>
  </si>
  <si>
    <t>CIPRIANI JULIA</t>
  </si>
  <si>
    <t>KILSTEIN, BENJAMIN ALBERTO</t>
  </si>
  <si>
    <t>LIMA, MELISA DANIELA</t>
  </si>
  <si>
    <t>SALVADOR NATALIO DE GENNARO</t>
  </si>
  <si>
    <t>VIDAL, MARCELA BEATRIZ</t>
  </si>
  <si>
    <t>PAULA EDITH CENICEROS</t>
  </si>
  <si>
    <t xml:space="preserve">BERENGUER, LEONOR LUCIA </t>
  </si>
  <si>
    <t>BALDASSARRE, ALBERTO HECTOR</t>
  </si>
  <si>
    <t>MARA TATIANA PONTAROLLO TSCHOPP</t>
  </si>
  <si>
    <t>SUSANA MARÍA GOLINOWSKI</t>
  </si>
  <si>
    <t>BUSTOS, JUAN MANUEL</t>
  </si>
  <si>
    <t>MIGUEL, EDUARDO ADRIAN</t>
  </si>
  <si>
    <t>RAMIREZ, JAVIER EDUARDO</t>
  </si>
  <si>
    <t>Jorge Alberto Matoso</t>
  </si>
  <si>
    <t>PLYT, SARA ETEL</t>
  </si>
  <si>
    <t>PEREZ PRADO, MARIA ALEJANDRA</t>
  </si>
  <si>
    <t>HUGO ALFREDO PELLET</t>
  </si>
  <si>
    <t>PASCUCCI, ALBERTO ADALINO</t>
  </si>
  <si>
    <t>ANZOR, WALTER ABDON</t>
  </si>
  <si>
    <t>BARBEITO ANA MARIA</t>
  </si>
  <si>
    <t xml:space="preserve"> RIOS, ISMAEL RAMON LEO</t>
  </si>
  <si>
    <t>SOKOLOVICZ, SARA</t>
  </si>
  <si>
    <t>MATIENZO, MABEL</t>
  </si>
  <si>
    <t>DEL RÍO, SOFÍA</t>
  </si>
  <si>
    <t>FAN, LU</t>
  </si>
  <si>
    <t xml:space="preserve">Francisco Cosentino </t>
  </si>
  <si>
    <t>VOLPI, ALBERTO JAVIER</t>
  </si>
  <si>
    <t>Paula Casafuz Parada</t>
  </si>
  <si>
    <t xml:space="preserve">CANO, DIEGO ARMANDO </t>
  </si>
  <si>
    <t>ALG INDUMENTARIAS SRL</t>
  </si>
  <si>
    <t>COLARUSSO JUAN FRANCISCO</t>
  </si>
  <si>
    <t>GABRIEL ALEJANDRO SEGAL</t>
  </si>
  <si>
    <t>MAXIMA REFRIGERACION SRL</t>
  </si>
  <si>
    <t>POZZO MIGUEL ROBERTO</t>
  </si>
  <si>
    <t>BLASCO MARIA GUADALUPE</t>
  </si>
  <si>
    <t>VAZQUEZ RICARDO OSCAR</t>
  </si>
  <si>
    <t>PINEDA ESTEBAN BERNABE</t>
  </si>
  <si>
    <t>PANATEL SOCIEDAD ANONIMA</t>
  </si>
  <si>
    <t>SOSA CRISTIAN HERNAN</t>
  </si>
  <si>
    <t>VIEL AUTOMOTORES S A C I F I</t>
  </si>
  <si>
    <t>CARMAS SA</t>
  </si>
  <si>
    <t>OLIVA RODRIGUEZ GUADALUPE</t>
  </si>
  <si>
    <t>PRELAT JORGE EMILIO</t>
  </si>
  <si>
    <t>GONZALEZ CRISTIAN RICARDO</t>
  </si>
  <si>
    <t>FARFAN, RAMÓN</t>
  </si>
  <si>
    <t>LINKIEWICZ VICENTA IRENE</t>
  </si>
  <si>
    <t>Obra Social Del Personal De Imprentas Diarios Y Afines</t>
  </si>
  <si>
    <t>Asociacion Mutual Sancor Salud</t>
  </si>
  <si>
    <t>RAPETTI, ADA FUENTES DE</t>
  </si>
  <si>
    <t>MARIA ELENA RODRIGUEZ</t>
  </si>
  <si>
    <t>SALAO ROSA BEATRIZ</t>
  </si>
  <si>
    <t>ADRIANA ANA MARÍA MARCUZZO</t>
  </si>
  <si>
    <t>LOPEZ, MARIA VALERIA</t>
  </si>
  <si>
    <t>LOTO, GISELLE BELEN</t>
  </si>
  <si>
    <t>JIMENA BEATRIZ TELLO</t>
  </si>
  <si>
    <t>BURAK, MANUEL JORGE</t>
  </si>
  <si>
    <t>Comisario, Leoncio</t>
  </si>
  <si>
    <t>DOMINGUEZ, GUILLERMO ADRIAN</t>
  </si>
  <si>
    <t>MARTINEZ MONZON, ONESIMO SERGIO PAULO</t>
  </si>
  <si>
    <t>UZCATEGUI QUIROZ JESUS GERMAN</t>
  </si>
  <si>
    <t>Salas, Maria Ethel</t>
  </si>
  <si>
    <t>LEICACH, JORGE HUGO</t>
  </si>
  <si>
    <t>MARIANA VIEYTES</t>
  </si>
  <si>
    <t>Guillermo Nicolás Mankiewicz</t>
  </si>
  <si>
    <t>OBREGÓN, ROSA AMELIA</t>
  </si>
  <si>
    <t>RIOS, VILMA BEATRIZ</t>
  </si>
  <si>
    <t>VAICIKAUSKAS, GUSTAVO</t>
  </si>
  <si>
    <t>BUNCHICOFF, MARIA</t>
  </si>
  <si>
    <t>RIZZO, GLADYS BEATRIZ</t>
  </si>
  <si>
    <t>GONZALEZ, EDOVIGES DEL CARMEN</t>
  </si>
  <si>
    <t>PAOLA SOLEDAD PUPICH</t>
  </si>
  <si>
    <t>BRUGNA, MIRTA PATRICIA</t>
  </si>
  <si>
    <t>MARIANA MENDONCA</t>
  </si>
  <si>
    <t>COMERCIALIZADORA DE BEBIDAS SRL</t>
  </si>
  <si>
    <t>SHIGA MOTORS SA</t>
  </si>
  <si>
    <t>TASCAR SRL</t>
  </si>
  <si>
    <t>LIEFRINK Y MARX SA</t>
  </si>
  <si>
    <t>EL TROMPETA SA</t>
  </si>
  <si>
    <t>REGET-M3 S.R.L.</t>
  </si>
  <si>
    <t>FIRST LABEL S.R.L.</t>
  </si>
  <si>
    <t>CASTILLO S A C I F I A</t>
  </si>
  <si>
    <t>APPLUS SANTA MARIA DEL BUEN AYRE SA</t>
  </si>
  <si>
    <t>LIGIER SA</t>
  </si>
  <si>
    <t>NARDOMARINO EZEQUIEL EDUARDO</t>
  </si>
  <si>
    <t>NALDO LOMBARDI S A</t>
  </si>
  <si>
    <t>GMRA S. A.</t>
  </si>
  <si>
    <t>TELEC SRL</t>
  </si>
  <si>
    <t>MATMAX S.R.L.</t>
  </si>
  <si>
    <t>HIRSCH CARLA</t>
  </si>
  <si>
    <t>AGROAUSTRAL SRL</t>
  </si>
  <si>
    <t>SALINAS VERONICA</t>
  </si>
  <si>
    <t>VALDES LUCIA CATALINA</t>
  </si>
  <si>
    <t>ZUBERBUHLER, AGUSTIN</t>
  </si>
  <si>
    <t>Edin Fabio Rosales</t>
  </si>
  <si>
    <t>GERONIMO, JUAN CARLOS</t>
  </si>
  <si>
    <t>PIRARO, SALVADOR</t>
  </si>
  <si>
    <t>ROQUE DEMETRIO OYOLA</t>
  </si>
  <si>
    <t>KOHAN, RUTH SUSANA</t>
  </si>
  <si>
    <t>MORGAN, SANTIAGO</t>
  </si>
  <si>
    <t>VULTAGGIO, GUSTAVO JAVIER</t>
  </si>
  <si>
    <t>PENSO, MARTA INES</t>
  </si>
  <si>
    <t>LOLY GARCIA, SERGIO LUIS</t>
  </si>
  <si>
    <t>CALDERONI, MÓNICA</t>
  </si>
  <si>
    <t>BORDON, NATALIA ALEJANDRA</t>
  </si>
  <si>
    <t>SCHMID, MARIANA MIRTA</t>
  </si>
  <si>
    <t>RAMIREZ, MONICA ISABEL</t>
  </si>
  <si>
    <t>CABELLO LETICIA JESICA</t>
  </si>
  <si>
    <t>JOSE LUIS ARANA SRL</t>
  </si>
  <si>
    <t>ORTOPEDIA GRAL. GÜEMES</t>
  </si>
  <si>
    <t>ORTOPEDIA Y CIRUGIA MODELO</t>
  </si>
  <si>
    <t>Del Valle Elevadores S.R.L.</t>
  </si>
  <si>
    <t>Mayer, Julian</t>
  </si>
  <si>
    <t>MARIA LUISA TESCIONE</t>
  </si>
  <si>
    <t xml:space="preserve">FLORENCIA INES VOLPE </t>
  </si>
  <si>
    <t>PAGANOTTO, MARCELO OSCAR</t>
  </si>
  <si>
    <t>MARÍA CAROLINA ULLOA</t>
  </si>
  <si>
    <t>MONTI, MARIA PAULA</t>
  </si>
  <si>
    <t>ZAPATINI, CARLOS ALBERTO</t>
  </si>
  <si>
    <t>DARU, VICTOR DANIEL</t>
  </si>
  <si>
    <t>GALECKI, TADEO</t>
  </si>
  <si>
    <t>GHERLANZ, ANDREA VIVIANA</t>
  </si>
  <si>
    <t>CORZO, MARIA EVA</t>
  </si>
  <si>
    <t>DARIO DE LA ROSA</t>
  </si>
  <si>
    <t>BRENNAN, MARIA IRENE</t>
  </si>
  <si>
    <t>ACCAVALLO, MARIA DE LOS ANGELES</t>
  </si>
  <si>
    <t>GLORIA FULLGRAFF</t>
  </si>
  <si>
    <t>VARALLA, HÉCTOR SANTIAGO</t>
  </si>
  <si>
    <t>SIMONE, CLAUDIA MARINA</t>
  </si>
  <si>
    <t>GARCIA COZZI, JORGE NORBERTO</t>
  </si>
  <si>
    <t>NINE, JULIO CESAR</t>
  </si>
  <si>
    <t>STURTZ, MARGARITA ALEJANDRA</t>
  </si>
  <si>
    <t>MOYA, MONICA ISABEL</t>
  </si>
  <si>
    <t>Obra Social De Talleristas A Domicilio</t>
  </si>
  <si>
    <t>DURAN, CARMEN</t>
  </si>
  <si>
    <t>FARINA, MARIA JIMENA</t>
  </si>
  <si>
    <t>RODRIGUEZ JOSE MARIA</t>
  </si>
  <si>
    <t>RUIZ MELGAREJO, MONICA ELIZABETH</t>
  </si>
  <si>
    <t>FERNANDEZ HECK MATIAS NICOLAS</t>
  </si>
  <si>
    <t>OCA LOG  SA</t>
  </si>
  <si>
    <t>NOYA BEATRIZ SUSANA</t>
  </si>
  <si>
    <t>COMINI PABLO RUBEN</t>
  </si>
  <si>
    <t>EYPAPEL SAS</t>
  </si>
  <si>
    <t>VZH SRL</t>
  </si>
  <si>
    <t>LUIS A MARTORANI Y CIA SA</t>
  </si>
  <si>
    <t>DEXTRUM SRL</t>
  </si>
  <si>
    <t>PEREYRA CASADO VALERIA DAIANA</t>
  </si>
  <si>
    <t>Valencia Campos, Teresa</t>
  </si>
  <si>
    <t>Autosuchin  S.R.L.</t>
  </si>
  <si>
    <t>TCHOKLA SAYEGH NICOLE</t>
  </si>
  <si>
    <t>PACHAME ADRIANA ALEJANDRA</t>
  </si>
  <si>
    <t>MANGGINI PABLO Y MANGGINI ULISES SOC. DE HECHO.</t>
  </si>
  <si>
    <t>POLYTECH S A</t>
  </si>
  <si>
    <t>DM TECHNOLOGY</t>
  </si>
  <si>
    <t>MONITOR ARTISTICA SA</t>
  </si>
  <si>
    <t>TURSARKISIAN MISISIAN VERONICA GEMA</t>
  </si>
  <si>
    <t>PRETI ELISEO ROBERTO</t>
  </si>
  <si>
    <t>APICELLA VANESA DANIELA</t>
  </si>
  <si>
    <t>SEGALINI SA</t>
  </si>
  <si>
    <t>MULTIPLACAS SA</t>
  </si>
  <si>
    <t>ALVAREZ BETINA  EVELIN</t>
  </si>
  <si>
    <t>Obra Social Del Personal De Direccion De Perfumeria  E W Hope</t>
  </si>
  <si>
    <t>BOLLERO JUAN CARLOS</t>
  </si>
  <si>
    <t>SANTAMARIA MARTA NOEMI</t>
  </si>
  <si>
    <t>ELECTROYHOGAR.COM</t>
  </si>
  <si>
    <t>ELECTRONICS SOLUTIONS SA</t>
  </si>
  <si>
    <t>DISTRI AIRES SRL</t>
  </si>
  <si>
    <t>HARD BOX SRL</t>
  </si>
  <si>
    <t>PROSEGUR SA</t>
  </si>
  <si>
    <t>DIAGNOSTIC MEDIC SA</t>
  </si>
  <si>
    <t>RPM MOVILES SRL</t>
  </si>
  <si>
    <t>MALGAREJO NICOLAS EMILIO</t>
  </si>
  <si>
    <t>SERVICIOS LUARCA SA</t>
  </si>
  <si>
    <t>Obra Social Del Personal De La Industria Del Plastico</t>
  </si>
  <si>
    <t>RUIZ, VERONICA SOFIA</t>
  </si>
  <si>
    <t>BARATTINI, CESAR RUBEN</t>
  </si>
  <si>
    <t>PALMA, EDUARDO JORGE</t>
  </si>
  <si>
    <t>FERRARI, SEBASTIAN</t>
  </si>
  <si>
    <t>KURINGHIAN,JUAN</t>
  </si>
  <si>
    <t>PARRENO,IANFRANCO</t>
  </si>
  <si>
    <t>LEON AGUERO JIMENA</t>
  </si>
  <si>
    <t>WEISMAN, EDUARDO</t>
  </si>
  <si>
    <t>Estancia Laguna Vitel S.A.</t>
  </si>
  <si>
    <t>Obra Social Del Personal De Sociedades  De Autores Y Afines</t>
  </si>
  <si>
    <t>GENDELMAN,MAURICIO</t>
  </si>
  <si>
    <t>MAZAS, NORBERTO EDUARDO</t>
  </si>
  <si>
    <t>Benitez Facundo Manuel</t>
  </si>
  <si>
    <t>AYELEN ROCIO ZELARRAYAN</t>
  </si>
  <si>
    <t xml:space="preserve"> DA SILVA, JOSE LUI</t>
  </si>
  <si>
    <t>GODOY, RAMON ARMANDO</t>
  </si>
  <si>
    <t>DAMARFU SA</t>
  </si>
  <si>
    <t>CAMARA  DE GRABADORES DE AUTOPARTES DE VEHICULOS AUTOMOTORES Y MOTOVEHICULOS</t>
  </si>
  <si>
    <t>GONZALEZ CARRERA JORGE ESTEBAN</t>
  </si>
  <si>
    <t>ORTOPEDIA Y CIRUGIA DELGADO</t>
  </si>
  <si>
    <t>MARTINEZ ALEJANDRA ELIZABETH</t>
  </si>
  <si>
    <t>EL UNIVERSO DEL CONTROL REMOTO S.R.L.</t>
  </si>
  <si>
    <t>PINTURAS ONLINE S.A</t>
  </si>
  <si>
    <t>LIBRERIA EL COLEGIO AVELLANEDA S.R.L.</t>
  </si>
  <si>
    <t>SEDESA S.A.</t>
  </si>
  <si>
    <t>LA COLONIA SA</t>
  </si>
  <si>
    <t>ZARATE LASCANO RUFINO</t>
  </si>
  <si>
    <t>RIVERO NEGRETTI, YULIETH ANDREINA</t>
  </si>
  <si>
    <t>MIELNIK, ANA LUISA</t>
  </si>
  <si>
    <t>GONZALEZ RAUL JORGE</t>
  </si>
  <si>
    <t>SAITO GOÑI, YRMA MICHICO</t>
  </si>
  <si>
    <t>UTHURRALT, CECILIA</t>
  </si>
  <si>
    <t>GALLIVERTTI, PATRICIA NOEMI</t>
  </si>
  <si>
    <t>ANDREOTTI, CECILIA</t>
  </si>
  <si>
    <t>PATEIRO COSTA, JULIA MIRTHA</t>
  </si>
  <si>
    <t>AHIBE, MARÍA JUDIT</t>
  </si>
  <si>
    <t xml:space="preserve">DONADINI, MARIANA INES </t>
  </si>
  <si>
    <t>AGUIRRE FELIX RAFAEL</t>
  </si>
  <si>
    <t>CUDERO, SILVINA</t>
  </si>
  <si>
    <t>YAMILA MARTINEZ</t>
  </si>
  <si>
    <t>PELIZZARI, MICAELA BIBIANA</t>
  </si>
  <si>
    <t>ROMERO, JOAN MANUEL</t>
  </si>
  <si>
    <t>GOMEZ, RUBEN BENJAMIN</t>
  </si>
  <si>
    <t>MARTA ESPINOLA</t>
  </si>
  <si>
    <t>RIOS, LAURA MARCELA</t>
  </si>
  <si>
    <t>Contanza, Maria Gabriela</t>
  </si>
  <si>
    <t>KUPFERMINC, AGNES M. DE</t>
  </si>
  <si>
    <t xml:space="preserve">MOREIRAS, MARIA DEL CARMEN </t>
  </si>
  <si>
    <t>TORRES FAINSCHTEIN, PABLO DAVID</t>
  </si>
  <si>
    <t>FOTI, FACUNDO ARIEL</t>
  </si>
  <si>
    <t>MAISLER, LAZARO MANUEL</t>
  </si>
  <si>
    <t>CAMPOBASSO, MARIANA LAURA</t>
  </si>
  <si>
    <t>ZAVAGLIA, MARCELO ROQUE</t>
  </si>
  <si>
    <t>BERTOLINI MEZA ÁNGEL DANIEL</t>
  </si>
  <si>
    <t>SANTIAGO,LOMBARDI</t>
  </si>
  <si>
    <t>VERENZUELA VERONICA</t>
  </si>
  <si>
    <t>Olguin Avila, Walter Mauricio</t>
  </si>
  <si>
    <t>Foucault S.A.</t>
  </si>
  <si>
    <t>VICENTIN MILENA ANDREA</t>
  </si>
  <si>
    <t>LOPEZ JORGE ALBERTO</t>
  </si>
  <si>
    <t>SERVICIOS ARM SA</t>
  </si>
  <si>
    <t>NEUMATICOS GARCIA CANO SRL</t>
  </si>
  <si>
    <t>FRANCESE GONZALO ROMAN</t>
  </si>
  <si>
    <t>MEDICINA PREPAGA HOMINIS SA</t>
  </si>
  <si>
    <t>BRANCH S.R.L.</t>
  </si>
  <si>
    <t>OLGUIN GISELLE ANAHI</t>
  </si>
  <si>
    <t>MLND SRL</t>
  </si>
  <si>
    <t>ORTOPEDIA BERNAT SRL</t>
  </si>
  <si>
    <t>SALAZAR CALLE VICTOR</t>
  </si>
  <si>
    <t>SEANTEC SA</t>
  </si>
  <si>
    <t>WHITE SALUD SRL</t>
  </si>
  <si>
    <t>Gb Gabytex S.R.L.</t>
  </si>
  <si>
    <t>GERMAN LEONEL REIZ</t>
  </si>
  <si>
    <t>CARI MILTON ABRAHAM</t>
  </si>
  <si>
    <t>FIGUEREDO, ESTELA MABEL</t>
  </si>
  <si>
    <t>TAHUIL, CARLOS MARIA</t>
  </si>
  <si>
    <t>FRANCISCO JOSE SANTORO</t>
  </si>
  <si>
    <t>FERNANDEZ, SILVIA HORTENCIA</t>
  </si>
  <si>
    <t>RUSSO, MELANY</t>
  </si>
  <si>
    <t>SANZIO, INMACULADA CONCEPCION</t>
  </si>
  <si>
    <t>TRIUNFO, ROMINA VALERIA</t>
  </si>
  <si>
    <t>GIUGGIARO, LUIS ALBERTO</t>
  </si>
  <si>
    <t>LUCANTIS, MARINA</t>
  </si>
  <si>
    <t>MINERVINI, MARIA DEL CARMEN LILIANA</t>
  </si>
  <si>
    <t>QUINTEROS ROMINA SOLEDAD</t>
  </si>
  <si>
    <t>CORONEL BENILDA</t>
  </si>
  <si>
    <t>DIAZ, DORA DALMIRA</t>
  </si>
  <si>
    <t>DELGADO, MATIAS HORACIO</t>
  </si>
  <si>
    <t>Gutierrez Emilia</t>
  </si>
  <si>
    <t>LYKO, RICARDO GABRIEL</t>
  </si>
  <si>
    <t>FERNANDEZ ABLATICO, CARLOS JAVIER</t>
  </si>
  <si>
    <t xml:space="preserve">GUELACHE , ELISA ANDREA </t>
  </si>
  <si>
    <t>GONZALEZ, TEODORA</t>
  </si>
  <si>
    <t>FOGLIA, ANTONIO MANUEL</t>
  </si>
  <si>
    <t>ANTIVERO, LUISA</t>
  </si>
  <si>
    <t>ESPOSITO, MARIELA FERNANDA</t>
  </si>
  <si>
    <t>COLINAS, DANIEL</t>
  </si>
  <si>
    <t>ZAIDMAN, CESAR JAVIER</t>
  </si>
  <si>
    <t>GARCIA PAZ JIMENA</t>
  </si>
  <si>
    <t>GUPARO S.R.L.</t>
  </si>
  <si>
    <t>ABUGAUCH MARIA DE LOS ANGELES</t>
  </si>
  <si>
    <t>CENTRO ORTOPEDICO SAN LUIS</t>
  </si>
  <si>
    <t>TAPITEL SA</t>
  </si>
  <si>
    <t>DELSUR AUTOS SA</t>
  </si>
  <si>
    <t>SEVILLA SERGIO HORACIO</t>
  </si>
  <si>
    <t>ABUGAUCH VICTOR HUGO</t>
  </si>
  <si>
    <t>EXPRESO FORMOSA SRL</t>
  </si>
  <si>
    <t>FARMACIA DE MEDRANO SCS</t>
  </si>
  <si>
    <t>ORTOPEDIA SOLER SRL</t>
  </si>
  <si>
    <t>LA BRUNA MARIA VIRGINIA</t>
  </si>
  <si>
    <t>Rasjido, Mercedes Victorina</t>
  </si>
  <si>
    <t>Grupo Cvm S.R.L.</t>
  </si>
  <si>
    <t>REDNET  SRL</t>
  </si>
  <si>
    <t>PORTEÑA SRL</t>
  </si>
  <si>
    <t>AGEN S.A.</t>
  </si>
  <si>
    <t>NICOLAS TOBIAS SEQUEIRA Y MARIA GABRIELA RATTNER SOCIEDAD DE LA SECCION IV LGS</t>
  </si>
  <si>
    <t>RADIO SPICA S.A.</t>
  </si>
  <si>
    <t>OSTEO IMPLANTS S.R.L.</t>
  </si>
  <si>
    <t>BONVA SA</t>
  </si>
  <si>
    <t>SOTOMAYOR CISNEROS CAROLINA</t>
  </si>
  <si>
    <t>IMIG WALTER DAMIAN</t>
  </si>
  <si>
    <t>VICTOR M. GILABERT SH</t>
  </si>
  <si>
    <t>FAIL ABRAHAM</t>
  </si>
  <si>
    <t>PROFETI NOEMI GISELE</t>
  </si>
  <si>
    <t>FARMARINA SRL</t>
  </si>
  <si>
    <t>PASCUET ALBERTO JORGE</t>
  </si>
  <si>
    <t>SORENSEN S R L</t>
  </si>
  <si>
    <t>LEHRMAN JORGE EDUARDO</t>
  </si>
  <si>
    <t>OBRA SOCIAL DE LA FEDERACION ARGENTINA DEL TRABAJADOR DE LAS UNIVERSIDADES NACIONALES</t>
  </si>
  <si>
    <t>GILES JUAN MANUEL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</si>
  <si>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</si>
  <si>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</si>
  <si>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</si>
  <si>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</si>
  <si>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</si>
  <si>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</si>
  <si>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</si>
  <si>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</si>
  <si>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</si>
  <si>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</si>
  <si>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</si>
  <si>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</si>
  <si>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</si>
  <si>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CEVEN SA</t>
  </si>
  <si>
    <t>LUBRICANTES RUTA DE P e H SRL</t>
  </si>
  <si>
    <t>01/01/2023</t>
  </si>
  <si>
    <t>19/01/2023</t>
  </si>
  <si>
    <t>20/01/2023</t>
  </si>
  <si>
    <t>24/01/2023</t>
  </si>
  <si>
    <t>27/01/2023</t>
  </si>
  <si>
    <t>29/01/2023</t>
  </si>
  <si>
    <t>30/01/2023</t>
  </si>
  <si>
    <t>31/01/2023</t>
  </si>
  <si>
    <t>SAMPEDRO SILVIA HERMINIA</t>
  </si>
  <si>
    <t>TOTAL COMPRAS NETAS</t>
  </si>
  <si>
    <t>CREDICOOP</t>
  </si>
  <si>
    <t>PATAGONIA</t>
  </si>
  <si>
    <t>TOTAL:</t>
  </si>
  <si>
    <t>&gt; ya esta sumado al total</t>
  </si>
  <si>
    <t>TRANSPORTES E.G. S.R.L.</t>
  </si>
  <si>
    <t>RAMASKO JORGE FERNANDO</t>
  </si>
  <si>
    <t>GOMATODO S.R.L.</t>
  </si>
  <si>
    <t>ZAMORA EDUARDO HERALDO</t>
  </si>
  <si>
    <t>COLOMBO JAVIER MATIAS</t>
  </si>
  <si>
    <t>GIAMPAOLETTI  S A</t>
  </si>
  <si>
    <t>REVICAR S.A.</t>
  </si>
  <si>
    <t>PORTUMAT  S.R.L.</t>
  </si>
  <si>
    <t>BUENOS AIRES</t>
  </si>
  <si>
    <t>"RECIBO A"</t>
  </si>
  <si>
    <t>NOUBAR PARNAKIAN S A</t>
  </si>
  <si>
    <t>Credicoop</t>
  </si>
  <si>
    <t>Patagonia</t>
  </si>
  <si>
    <t>02/03/2023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</si>
  <si>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</si>
  <si>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</si>
  <si>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</si>
  <si>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</si>
  <si>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</si>
  <si>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</si>
  <si>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</si>
  <si>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</si>
  <si>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</si>
  <si>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21/03/2023</t>
  </si>
  <si>
    <t>23/03/2023</t>
  </si>
  <si>
    <t>27/03/2023</t>
  </si>
  <si>
    <t>SS METAL MECANICA SRL</t>
  </si>
  <si>
    <t>LIROLA FABIAN ALEJANDRO</t>
  </si>
  <si>
    <t>COMERCIALIZADORA MORRES SA</t>
  </si>
  <si>
    <t>DIMEO LUCIANO</t>
  </si>
  <si>
    <t>SCHIANO MORIELLO LUIS ANDRES</t>
  </si>
  <si>
    <t>MADERERA LLAVALLOL SA</t>
  </si>
  <si>
    <t>ESPOSITO FRANCISCO ANT Y OT SH</t>
  </si>
  <si>
    <t>CENTURION JACQUELINE ESTEFANIA</t>
  </si>
  <si>
    <t>31/03/2023</t>
  </si>
  <si>
    <t>DISDEC</t>
  </si>
  <si>
    <t>DISTRIBUIDORA DGO S.R.L.</t>
  </si>
  <si>
    <t>PORTAL INSUMOS S R L</t>
  </si>
  <si>
    <t>SURDO HERNAN OMAR</t>
  </si>
  <si>
    <t>ALONZO SANTANDER MARLENE</t>
  </si>
  <si>
    <t>AMEX</t>
  </si>
  <si>
    <t>CABAL</t>
  </si>
  <si>
    <t>MAESTRO</t>
  </si>
  <si>
    <t>ROSARIO LOGISTICA S.A.</t>
  </si>
  <si>
    <t>EXPRESO RIVADAVIA S R L</t>
  </si>
  <si>
    <t>BALINERO SRL</t>
  </si>
  <si>
    <t>Credicoop-MAESTRO</t>
  </si>
  <si>
    <t>Credicoop-CABAL</t>
  </si>
  <si>
    <t>LOGISTICA DE LA COSTA SA</t>
  </si>
  <si>
    <t>ALVAREZ CONTRERAS REYNALDO</t>
  </si>
  <si>
    <t>EXPRESO TROLE SRL</t>
  </si>
  <si>
    <t>PAMPIN MARIANO OSCAR</t>
  </si>
  <si>
    <t>OMNICHANNEL S.A.</t>
  </si>
  <si>
    <t>La Manola Moda Srl</t>
  </si>
  <si>
    <t>INTEGRAL PACK EXPRESS S.A.</t>
  </si>
  <si>
    <t>DEBELIUCH TOMAS IVAN</t>
  </si>
  <si>
    <t>SM COMBUSTIBLES S.R.L.</t>
  </si>
  <si>
    <t>QUIROZ ALEMAN LUCAS DANIEL</t>
  </si>
  <si>
    <t>CAMINOS DEL RIO URUGUAY S A DE CONSTRUCCIONES Y CONCESIONES VIALES</t>
  </si>
  <si>
    <t>MERAS HNOS S.A.</t>
  </si>
  <si>
    <t>MIÑO GUSTAVO SEBASTIAN</t>
  </si>
  <si>
    <t>FREUND GABRIELA</t>
  </si>
  <si>
    <t>BELLINI FILIPPINI ALBERTO MARCOS</t>
  </si>
  <si>
    <t>AFONSO BOAVENTURA RUBEN</t>
  </si>
  <si>
    <t>ELECTRO ILUMINATE S.R.L.</t>
  </si>
  <si>
    <t>MAZAFFRE DANIEL ALBERTO</t>
  </si>
  <si>
    <t>DI PARDO EMIGDIO MAXIMILIANO</t>
  </si>
  <si>
    <t>NUNEZ MATIAS YOEL</t>
  </si>
  <si>
    <t>DI FEO MARTIN EZEQUIEL</t>
  </si>
  <si>
    <t>BRITOS MARIA GABRIELA</t>
  </si>
  <si>
    <t>TRANSPORTES IMAZ S R L</t>
  </si>
  <si>
    <t>BIANCHI CRISTIAN MAXIMILIANO</t>
  </si>
  <si>
    <t>RAGO DIEGO ORLANDO</t>
  </si>
  <si>
    <t>3PI S.A.S.</t>
  </si>
  <si>
    <t>MG FARMACEUTICA SA</t>
  </si>
  <si>
    <t>TRANSPORTES ÑANDUBAY</t>
  </si>
  <si>
    <t>COSTA JOSE ANIBAL</t>
  </si>
  <si>
    <t>GOTTIG DIEGO GASTON LUJAN</t>
  </si>
  <si>
    <t>MERCERIA ZAFFINO SA</t>
  </si>
  <si>
    <t>ARMORAUT SA</t>
  </si>
  <si>
    <t>CHAVES MATIAS EZEQUIEL</t>
  </si>
  <si>
    <t>MIGOYA MORIONDO MARIA INES</t>
  </si>
  <si>
    <t>ARANA NICOLAS</t>
  </si>
  <si>
    <t>LATI SALOMON ARIEL</t>
  </si>
  <si>
    <t>MASTER</t>
  </si>
  <si>
    <t>MASTER DEBITO</t>
  </si>
  <si>
    <t>VASTA LUCILA</t>
  </si>
  <si>
    <t>WARNES  TELAS  SA</t>
  </si>
  <si>
    <t>GASOLEO SA</t>
  </si>
  <si>
    <t>ALCOCER MARIO DANIEL</t>
  </si>
  <si>
    <t>TEAM MALDONADO HNOS S.A.</t>
  </si>
  <si>
    <t>b</t>
  </si>
  <si>
    <t>credicoop</t>
  </si>
  <si>
    <t>patagonia</t>
  </si>
  <si>
    <t>QUIROGA HERNAN EZEQUIEL</t>
  </si>
  <si>
    <t>PUSHKENA TEXTIL S.A.</t>
  </si>
  <si>
    <t>NAUTICA BELLI S.R.L.</t>
  </si>
  <si>
    <t>CASA MAKAROVSKY S A C I I F</t>
  </si>
  <si>
    <t>QUARATINO HUGO JOSE</t>
  </si>
  <si>
    <t>SC PILAR S.A.</t>
  </si>
  <si>
    <t>EGESAC SOCIEDAD ANONIM</t>
  </si>
  <si>
    <t>PRICEWATERHOUSECOOPERS SERVICE DELIVERY CENTER (ARGENTINA) S.R.L.</t>
  </si>
  <si>
    <t>COD 81</t>
  </si>
  <si>
    <t>PH SERVICIOS Y GESTIONES SOCIEDAD ANONIMA</t>
  </si>
  <si>
    <t>S.F. PANDA IMPORTACION Y EXPORTACION S.R.L.</t>
  </si>
  <si>
    <t>CPT INTEGRAL SA</t>
  </si>
  <si>
    <t>POTA AMOBLAMIENTOS S.R.L.</t>
  </si>
  <si>
    <t>NOLASCO ALAN MANUEL</t>
  </si>
  <si>
    <t>FEDERACION ARGENTINA DE ENTIDADES EMPRESARIAS DEL AUTOTRANSPORTE DE CARGAS FADEEAC</t>
  </si>
  <si>
    <t>MUNDOPEL SRL</t>
  </si>
  <si>
    <t>GASTOS ADMINISTRATIVOS</t>
  </si>
  <si>
    <t>ALQUILERES</t>
  </si>
  <si>
    <t>GESTION COBRANZAS</t>
  </si>
  <si>
    <t>GASTOS MANTENIMIENTO</t>
  </si>
  <si>
    <t>Recupero P. Ortopedicos</t>
  </si>
  <si>
    <t>Gastos Escribania</t>
  </si>
  <si>
    <t>MEDIDAS</t>
  </si>
  <si>
    <t>GASTOS COMERCIALIZACION</t>
  </si>
  <si>
    <t>HONORARIOS TECNICOS</t>
  </si>
  <si>
    <t>PAPELERIA</t>
  </si>
  <si>
    <t>PATENTES</t>
  </si>
  <si>
    <t>PROD ORTOP P/ALQ</t>
  </si>
  <si>
    <t>Productos Ortopedicos</t>
  </si>
  <si>
    <t>Alquileres</t>
  </si>
  <si>
    <t>Catering</t>
  </si>
  <si>
    <t>GASTOS CONTABLES</t>
  </si>
  <si>
    <t>ROPA TRABAJO</t>
  </si>
  <si>
    <t>SEGURIDAD</t>
  </si>
  <si>
    <t>TELEFONIA</t>
  </si>
  <si>
    <t>LABORATORIOS SLR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</si>
</sst>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4" formatCode="_-* #,##0.00\ &quot;€&quot;_-;\-* #,##0.00\ &quot;€&quot;_-;_-* &quot;-&quot;??\ &quot;€&quot;_-;_-@_-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dd/mm/yy;@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8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5" fontId="1" fillId="0" borderId="0" applyFont="0" applyFill="0" applyBorder="0" applyAlignment="0" applyProtection="0"/>
  </cellStyleXfs>
  <cellXfs count="546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9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2" fontId="44" fillId="0" borderId="0" xfId="3" applyNumberFormat="1" applyFont="1" applyAlignment="1">
      <alignment horizontal="center"/>
    </xf>
    <xf numFmtId="173" fontId="44" fillId="0" borderId="0" xfId="3" applyNumberFormat="1" applyFont="1" applyAlignment="1">
      <alignment horizont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180" fontId="44" fillId="0" borderId="0" xfId="3" applyNumberFormat="1" applyFont="1" applyAlignment="1">
      <alignment horizontal="center"/>
    </xf>
    <xf numFmtId="172" fontId="42" fillId="0" borderId="0" xfId="3" applyNumberFormat="1" applyFont="1" applyAlignment="1">
      <alignment horizontal="center" vertical="center"/>
    </xf>
    <xf numFmtId="169" fontId="42" fillId="24" borderId="0" xfId="3" applyNumberFormat="1" applyFont="1" applyFill="1" applyAlignment="1">
      <alignment horizontal="center" vertical="center"/>
    </xf>
    <xf numFmtId="170" fontId="42" fillId="24" borderId="0" xfId="3" applyNumberFormat="1" applyFont="1" applyFill="1" applyAlignment="1">
      <alignment horizontal="center" vertical="center"/>
    </xf>
    <xf numFmtId="171" fontId="42" fillId="24" borderId="0" xfId="3" applyNumberFormat="1" applyFont="1" applyFill="1" applyAlignment="1">
      <alignment horizontal="center" vertical="center"/>
    </xf>
    <xf numFmtId="172" fontId="42" fillId="24" borderId="0" xfId="3" applyNumberFormat="1" applyFont="1" applyFill="1" applyAlignment="1">
      <alignment horizontal="center" vertical="center"/>
    </xf>
    <xf numFmtId="173" fontId="42" fillId="24" borderId="0" xfId="3" applyNumberFormat="1" applyFont="1" applyFill="1" applyAlignment="1">
      <alignment horizontal="center" vertical="center"/>
    </xf>
    <xf numFmtId="0" fontId="42" fillId="24" borderId="0" xfId="3" applyFont="1" applyFill="1" applyAlignment="1">
      <alignment horizontal="left" vertical="center"/>
    </xf>
    <xf numFmtId="40" fontId="43" fillId="24" borderId="0" xfId="3" applyNumberFormat="1" applyFont="1" applyFill="1" applyAlignment="1">
      <alignment horizontal="right" vertical="center"/>
    </xf>
    <xf numFmtId="40" fontId="43" fillId="24" borderId="0" xfId="3" applyNumberFormat="1" applyFont="1" applyFill="1" applyAlignment="1">
      <alignment vertical="center"/>
    </xf>
    <xf numFmtId="40" fontId="43" fillId="24" borderId="0" xfId="3" applyNumberFormat="1" applyFont="1" applyFill="1" applyAlignment="1">
      <alignment horizontal="center" vertical="center"/>
    </xf>
    <xf numFmtId="0" fontId="42" fillId="24" borderId="0" xfId="3" applyFont="1" applyFill="1" applyAlignment="1">
      <alignment horizontal="center" vertical="center"/>
    </xf>
    <xf numFmtId="180" fontId="44" fillId="24" borderId="0" xfId="3" applyNumberFormat="1" applyFont="1" applyFill="1" applyAlignment="1">
      <alignment horizontal="center"/>
    </xf>
    <xf numFmtId="172" fontId="44" fillId="24" borderId="0" xfId="3" applyNumberFormat="1" applyFont="1" applyFill="1" applyAlignment="1">
      <alignment horizontal="center"/>
    </xf>
    <xf numFmtId="173" fontId="44" fillId="24" borderId="0" xfId="3" applyNumberFormat="1" applyFont="1" applyFill="1" applyAlignment="1">
      <alignment horizontal="center"/>
    </xf>
    <xf numFmtId="0" fontId="44" fillId="24" borderId="0" xfId="3" applyFont="1" applyFill="1" applyAlignment="1">
      <alignment horizontal="left"/>
    </xf>
    <xf numFmtId="4" fontId="44" fillId="24" borderId="0" xfId="3" applyNumberFormat="1" applyFont="1" applyFill="1" applyAlignment="1">
      <alignment horizontal="right" vertical="center"/>
    </xf>
    <xf numFmtId="0" fontId="44" fillId="24" borderId="0" xfId="3" applyFont="1" applyFill="1" applyAlignment="1">
      <alignment horizontal="center" vertical="center"/>
    </xf>
    <xf numFmtId="4" fontId="0" fillId="0" borderId="0" xfId="0" applyNumberFormat="1"/>
    <xf numFmtId="40" fontId="7" fillId="24" borderId="0" xfId="3" applyNumberFormat="1" applyFont="1" applyFill="1" applyAlignment="1">
      <alignment vertical="center"/>
    </xf>
    <xf numFmtId="169" fontId="6" fillId="24" borderId="0" xfId="3" applyNumberFormat="1" applyFont="1" applyFill="1" applyAlignment="1">
      <alignment horizontal="center" vertical="center"/>
    </xf>
    <xf numFmtId="170" fontId="6" fillId="24" borderId="0" xfId="3" applyNumberFormat="1" applyFont="1" applyFill="1" applyAlignment="1">
      <alignment horizontal="center" vertical="center"/>
    </xf>
    <xf numFmtId="171" fontId="6" fillId="24" borderId="0" xfId="3" applyNumberFormat="1" applyFont="1" applyFill="1" applyAlignment="1">
      <alignment horizontal="center" vertical="center"/>
    </xf>
    <xf numFmtId="172" fontId="6" fillId="24" borderId="0" xfId="3" applyNumberFormat="1" applyFont="1" applyFill="1" applyAlignment="1">
      <alignment horizontal="center" vertical="center"/>
    </xf>
    <xf numFmtId="173" fontId="6" fillId="24" borderId="0" xfId="3" applyNumberFormat="1" applyFont="1" applyFill="1" applyAlignment="1">
      <alignment horizontal="center" vertical="center"/>
    </xf>
    <xf numFmtId="0" fontId="6" fillId="24" borderId="0" xfId="3" applyFont="1" applyFill="1" applyAlignment="1">
      <alignment horizontal="left" vertical="center"/>
    </xf>
    <xf numFmtId="40" fontId="7" fillId="24" borderId="0" xfId="3" applyNumberFormat="1" applyFont="1" applyFill="1" applyAlignment="1">
      <alignment horizontal="right" vertical="center"/>
    </xf>
    <xf numFmtId="40" fontId="7" fillId="24" borderId="0" xfId="3" applyNumberFormat="1" applyFont="1" applyFill="1" applyAlignment="1">
      <alignment horizontal="center" vertical="center"/>
    </xf>
    <xf numFmtId="0" fontId="6" fillId="24" borderId="0" xfId="3" applyFont="1" applyFill="1" applyAlignment="1">
      <alignment horizontal="center" vertical="center"/>
    </xf>
    <xf numFmtId="0" fontId="12" fillId="25" borderId="34" xfId="0" applyFont="1" applyFill="1" applyBorder="1" applyAlignment="1">
      <alignment horizontal="right"/>
    </xf>
    <xf numFmtId="165" fontId="12" fillId="25" borderId="35" xfId="27" applyFont="1" applyFill="1" applyBorder="1"/>
    <xf numFmtId="169" fontId="46" fillId="0" borderId="0" xfId="3" applyNumberFormat="1" applyFont="1" applyAlignment="1">
      <alignment horizontal="center" vertical="center"/>
    </xf>
    <xf numFmtId="171" fontId="46" fillId="0" borderId="0" xfId="3" applyNumberFormat="1" applyFont="1" applyAlignment="1">
      <alignment horizontal="center" vertical="center"/>
    </xf>
    <xf numFmtId="173" fontId="46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left" vertical="center"/>
    </xf>
    <xf numFmtId="40" fontId="47" fillId="0" borderId="0" xfId="3" applyNumberFormat="1" applyFont="1" applyAlignment="1">
      <alignment horizontal="right" vertical="center"/>
    </xf>
    <xf numFmtId="40" fontId="47" fillId="0" borderId="0" xfId="3" applyNumberFormat="1" applyFont="1" applyAlignment="1">
      <alignment vertical="center"/>
    </xf>
    <xf numFmtId="40" fontId="47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172" fontId="48" fillId="0" borderId="0" xfId="3" applyNumberFormat="1" applyFont="1" applyAlignment="1">
      <alignment horizontal="center"/>
    </xf>
    <xf numFmtId="173" fontId="48" fillId="0" borderId="0" xfId="3" applyNumberFormat="1" applyFont="1" applyAlignment="1">
      <alignment horizontal="center"/>
    </xf>
    <xf numFmtId="0" fontId="48" fillId="0" borderId="0" xfId="3" applyFont="1" applyAlignment="1">
      <alignment horizontal="left"/>
    </xf>
    <xf numFmtId="0" fontId="48" fillId="0" borderId="0" xfId="3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4" fontId="48" fillId="0" borderId="0" xfId="0" applyNumberFormat="1" applyFont="1" applyAlignment="1">
      <alignment horizontal="right" vertical="center"/>
    </xf>
    <xf numFmtId="4" fontId="45" fillId="0" borderId="0" xfId="3" applyNumberFormat="1" applyFont="1" applyAlignment="1">
      <alignment horizontal="right" vertical="center"/>
    </xf>
    <xf numFmtId="0" fontId="0" fillId="26" borderId="0" xfId="0" applyFill="1"/>
    <xf numFmtId="173" fontId="6" fillId="0" borderId="28" xfId="3" applyNumberFormat="1" applyFont="1" applyBorder="1" applyAlignment="1">
      <alignment horizontal="center"/>
    </xf>
    <xf numFmtId="169" fontId="10" fillId="0" borderId="36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10" fillId="0" borderId="23" xfId="3" applyNumberFormat="1" applyFont="1" applyBorder="1" applyAlignment="1">
      <alignment horizontal="center"/>
    </xf>
    <xf numFmtId="171" fontId="10" fillId="0" borderId="27" xfId="3" applyNumberFormat="1" applyFont="1" applyBorder="1" applyAlignment="1">
      <alignment horizontal="center"/>
    </xf>
    <xf numFmtId="172" fontId="10" fillId="0" borderId="28" xfId="3" applyNumberFormat="1" applyFont="1" applyBorder="1" applyAlignment="1">
      <alignment horizontal="center"/>
    </xf>
    <xf numFmtId="0" fontId="10" fillId="0" borderId="28" xfId="3" applyFont="1" applyBorder="1" applyAlignment="1">
      <alignment horizontal="center"/>
    </xf>
    <xf numFmtId="173" fontId="10" fillId="0" borderId="28" xfId="3" applyNumberFormat="1" applyFont="1" applyBorder="1" applyAlignment="1">
      <alignment horizontal="center"/>
    </xf>
    <xf numFmtId="179" fontId="10" fillId="0" borderId="28" xfId="3" applyNumberFormat="1" applyFont="1" applyBorder="1"/>
    <xf numFmtId="179" fontId="10" fillId="0" borderId="28" xfId="3" applyNumberFormat="1" applyFont="1" applyBorder="1" applyAlignment="1">
      <alignment horizontal="right"/>
    </xf>
    <xf numFmtId="179" fontId="10" fillId="0" borderId="28" xfId="3" applyNumberFormat="1" applyFont="1" applyBorder="1" applyAlignment="1">
      <alignment horizontal="right" vertical="center"/>
    </xf>
    <xf numFmtId="170" fontId="46" fillId="0" borderId="0" xfId="3" applyNumberFormat="1" applyFont="1" applyAlignment="1">
      <alignment horizontal="center" vertical="center"/>
    </xf>
    <xf numFmtId="169" fontId="49" fillId="0" borderId="0" xfId="3" applyNumberFormat="1" applyFont="1" applyAlignment="1">
      <alignment horizontal="center"/>
    </xf>
    <xf numFmtId="1" fontId="49" fillId="0" borderId="0" xfId="3" applyNumberFormat="1" applyFont="1" applyAlignment="1">
      <alignment horizontal="center"/>
    </xf>
    <xf numFmtId="173" fontId="49" fillId="0" borderId="0" xfId="3" applyNumberFormat="1" applyFont="1" applyAlignment="1">
      <alignment horizontal="center"/>
    </xf>
    <xf numFmtId="0" fontId="49" fillId="0" borderId="0" xfId="3" applyFont="1" applyAlignment="1">
      <alignment horizontal="left"/>
    </xf>
    <xf numFmtId="40" fontId="49" fillId="0" borderId="0" xfId="3" applyNumberFormat="1" applyFont="1" applyAlignment="1">
      <alignment horizontal="right"/>
    </xf>
    <xf numFmtId="172" fontId="46" fillId="0" borderId="0" xfId="3" applyNumberFormat="1" applyFont="1" applyAlignment="1">
      <alignment horizontal="center" vertical="center"/>
    </xf>
    <xf numFmtId="169" fontId="46" fillId="27" borderId="0" xfId="3" applyNumberFormat="1" applyFont="1" applyFill="1" applyAlignment="1">
      <alignment horizontal="center" vertical="center"/>
    </xf>
    <xf numFmtId="170" fontId="6" fillId="27" borderId="0" xfId="3" applyNumberFormat="1" applyFont="1" applyFill="1" applyAlignment="1">
      <alignment horizontal="center" vertical="center"/>
    </xf>
    <xf numFmtId="171" fontId="46" fillId="27" borderId="0" xfId="3" applyNumberFormat="1" applyFont="1" applyFill="1" applyAlignment="1">
      <alignment horizontal="center" vertical="center"/>
    </xf>
    <xf numFmtId="172" fontId="46" fillId="27" borderId="0" xfId="3" applyNumberFormat="1" applyFont="1" applyFill="1" applyAlignment="1">
      <alignment horizontal="center" vertical="center"/>
    </xf>
    <xf numFmtId="173" fontId="46" fillId="27" borderId="0" xfId="3" applyNumberFormat="1" applyFont="1" applyFill="1" applyAlignment="1">
      <alignment horizontal="center" vertical="center"/>
    </xf>
    <xf numFmtId="0" fontId="46" fillId="27" borderId="0" xfId="3" applyFont="1" applyFill="1" applyAlignment="1">
      <alignment horizontal="left" vertical="center"/>
    </xf>
    <xf numFmtId="40" fontId="47" fillId="27" borderId="0" xfId="3" applyNumberFormat="1" applyFont="1" applyFill="1" applyAlignment="1">
      <alignment horizontal="right" vertical="center"/>
    </xf>
    <xf numFmtId="40" fontId="47" fillId="27" borderId="0" xfId="3" applyNumberFormat="1" applyFont="1" applyFill="1" applyAlignment="1">
      <alignment vertical="center"/>
    </xf>
    <xf numFmtId="40" fontId="47" fillId="27" borderId="0" xfId="3" applyNumberFormat="1" applyFont="1" applyFill="1" applyAlignment="1">
      <alignment horizontal="center" vertical="center"/>
    </xf>
    <xf numFmtId="0" fontId="46" fillId="27" borderId="0" xfId="3" applyFont="1" applyFill="1" applyAlignment="1">
      <alignment horizontal="center" vertical="center"/>
    </xf>
    <xf numFmtId="170" fontId="46" fillId="27" borderId="0" xfId="3" applyNumberFormat="1" applyFont="1" applyFill="1" applyAlignment="1">
      <alignment horizontal="center" vertical="center"/>
    </xf>
    <xf numFmtId="169" fontId="6" fillId="27" borderId="0" xfId="3" applyNumberFormat="1" applyFont="1" applyFill="1" applyAlignment="1">
      <alignment horizontal="center" vertical="center"/>
    </xf>
    <xf numFmtId="171" fontId="6" fillId="27" borderId="0" xfId="3" applyNumberFormat="1" applyFont="1" applyFill="1" applyAlignment="1">
      <alignment horizontal="center" vertical="center"/>
    </xf>
    <xf numFmtId="172" fontId="6" fillId="27" borderId="0" xfId="3" applyNumberFormat="1" applyFont="1" applyFill="1" applyAlignment="1">
      <alignment horizontal="center" vertical="center"/>
    </xf>
    <xf numFmtId="173" fontId="6" fillId="27" borderId="0" xfId="3" applyNumberFormat="1" applyFont="1" applyFill="1" applyAlignment="1">
      <alignment horizontal="center" vertical="center"/>
    </xf>
    <xf numFmtId="0" fontId="6" fillId="27" borderId="0" xfId="3" applyFont="1" applyFill="1" applyAlignment="1">
      <alignment horizontal="left" vertical="center"/>
    </xf>
    <xf numFmtId="40" fontId="7" fillId="27" borderId="0" xfId="3" applyNumberFormat="1" applyFont="1" applyFill="1" applyAlignment="1">
      <alignment horizontal="right" vertical="center"/>
    </xf>
    <xf numFmtId="40" fontId="7" fillId="27" borderId="0" xfId="3" applyNumberFormat="1" applyFont="1" applyFill="1" applyAlignment="1">
      <alignment vertical="center"/>
    </xf>
    <xf numFmtId="40" fontId="7" fillId="27" borderId="0" xfId="3" applyNumberFormat="1" applyFont="1" applyFill="1" applyAlignment="1">
      <alignment horizontal="center" vertical="center"/>
    </xf>
    <xf numFmtId="0" fontId="6" fillId="27" borderId="0" xfId="3" applyFont="1" applyFill="1" applyAlignment="1">
      <alignment horizontal="center" vertical="center"/>
    </xf>
    <xf numFmtId="169" fontId="50" fillId="0" borderId="0" xfId="3" applyNumberFormat="1" applyFont="1" applyAlignment="1">
      <alignment horizontal="center" vertical="center"/>
    </xf>
    <xf numFmtId="171" fontId="50" fillId="0" borderId="0" xfId="3" applyNumberFormat="1" applyFont="1" applyAlignment="1">
      <alignment horizontal="center" vertical="center"/>
    </xf>
    <xf numFmtId="172" fontId="50" fillId="0" borderId="0" xfId="3" applyNumberFormat="1" applyFont="1" applyAlignment="1">
      <alignment horizontal="center" vertical="center"/>
    </xf>
    <xf numFmtId="173" fontId="50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left" vertical="center"/>
    </xf>
    <xf numFmtId="40" fontId="51" fillId="0" borderId="0" xfId="3" applyNumberFormat="1" applyFont="1" applyAlignment="1">
      <alignment horizontal="right" vertical="center"/>
    </xf>
    <xf numFmtId="40" fontId="51" fillId="0" borderId="0" xfId="3" applyNumberFormat="1" applyFont="1" applyAlignment="1">
      <alignment vertical="center"/>
    </xf>
    <xf numFmtId="40" fontId="51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172" fontId="49" fillId="0" borderId="0" xfId="3" applyNumberFormat="1" applyFont="1" applyAlignment="1">
      <alignment horizontal="center"/>
    </xf>
    <xf numFmtId="4" fontId="49" fillId="0" borderId="0" xfId="3" applyNumberFormat="1" applyFont="1" applyAlignment="1">
      <alignment horizontal="right" vertical="center"/>
    </xf>
    <xf numFmtId="0" fontId="49" fillId="0" borderId="0" xfId="3" applyFont="1" applyAlignment="1">
      <alignment horizontal="center" vertical="center"/>
    </xf>
    <xf numFmtId="172" fontId="49" fillId="27" borderId="0" xfId="3" applyNumberFormat="1" applyFont="1" applyFill="1" applyAlignment="1">
      <alignment horizontal="center"/>
    </xf>
    <xf numFmtId="173" fontId="49" fillId="27" borderId="0" xfId="3" applyNumberFormat="1" applyFont="1" applyFill="1" applyAlignment="1">
      <alignment horizontal="center"/>
    </xf>
    <xf numFmtId="0" fontId="49" fillId="27" borderId="0" xfId="3" applyFont="1" applyFill="1" applyAlignment="1">
      <alignment horizontal="left"/>
    </xf>
    <xf numFmtId="4" fontId="49" fillId="27" borderId="0" xfId="3" applyNumberFormat="1" applyFont="1" applyFill="1" applyAlignment="1">
      <alignment horizontal="right" vertical="center"/>
    </xf>
    <xf numFmtId="0" fontId="49" fillId="27" borderId="0" xfId="3" applyFont="1" applyFill="1" applyAlignment="1">
      <alignment horizontal="center" vertical="center"/>
    </xf>
    <xf numFmtId="169" fontId="39" fillId="27" borderId="0" xfId="3" applyNumberFormat="1" applyFont="1" applyFill="1" applyAlignment="1">
      <alignment horizontal="center" vertical="center"/>
    </xf>
    <xf numFmtId="171" fontId="39" fillId="27" borderId="0" xfId="3" applyNumberFormat="1" applyFont="1" applyFill="1" applyAlignment="1">
      <alignment horizontal="center" vertical="center"/>
    </xf>
    <xf numFmtId="172" fontId="39" fillId="27" borderId="0" xfId="3" applyNumberFormat="1" applyFont="1" applyFill="1" applyAlignment="1">
      <alignment horizontal="center" vertical="center"/>
    </xf>
    <xf numFmtId="173" fontId="39" fillId="27" borderId="0" xfId="3" applyNumberFormat="1" applyFont="1" applyFill="1" applyAlignment="1">
      <alignment horizontal="center" vertical="center"/>
    </xf>
    <xf numFmtId="0" fontId="39" fillId="27" borderId="0" xfId="3" applyFont="1" applyFill="1" applyAlignment="1">
      <alignment horizontal="left" vertical="center"/>
    </xf>
    <xf numFmtId="40" fontId="40" fillId="27" borderId="0" xfId="3" applyNumberFormat="1" applyFont="1" applyFill="1" applyAlignment="1">
      <alignment horizontal="right" vertical="center"/>
    </xf>
    <xf numFmtId="40" fontId="40" fillId="27" borderId="0" xfId="3" applyNumberFormat="1" applyFont="1" applyFill="1" applyAlignment="1">
      <alignment vertical="center"/>
    </xf>
    <xf numFmtId="40" fontId="40" fillId="27" borderId="0" xfId="3" applyNumberFormat="1" applyFont="1" applyFill="1" applyAlignment="1">
      <alignment horizontal="center" vertical="center"/>
    </xf>
    <xf numFmtId="0" fontId="39" fillId="27" borderId="0" xfId="3" applyFont="1" applyFill="1" applyAlignment="1">
      <alignment horizontal="center" vertical="center"/>
    </xf>
    <xf numFmtId="169" fontId="50" fillId="27" borderId="0" xfId="3" applyNumberFormat="1" applyFont="1" applyFill="1" applyAlignment="1">
      <alignment horizontal="center" vertical="center"/>
    </xf>
    <xf numFmtId="171" fontId="50" fillId="27" borderId="0" xfId="3" applyNumberFormat="1" applyFont="1" applyFill="1" applyAlignment="1">
      <alignment horizontal="center" vertical="center"/>
    </xf>
    <xf numFmtId="172" fontId="50" fillId="27" borderId="0" xfId="3" applyNumberFormat="1" applyFont="1" applyFill="1" applyAlignment="1">
      <alignment horizontal="center" vertical="center"/>
    </xf>
    <xf numFmtId="173" fontId="50" fillId="27" borderId="0" xfId="3" applyNumberFormat="1" applyFont="1" applyFill="1" applyAlignment="1">
      <alignment horizontal="center" vertical="center"/>
    </xf>
    <xf numFmtId="0" fontId="50" fillId="27" borderId="0" xfId="3" applyFont="1" applyFill="1" applyAlignment="1">
      <alignment horizontal="left" vertical="center"/>
    </xf>
    <xf numFmtId="40" fontId="51" fillId="27" borderId="0" xfId="3" applyNumberFormat="1" applyFont="1" applyFill="1" applyAlignment="1">
      <alignment horizontal="right" vertical="center"/>
    </xf>
    <xf numFmtId="40" fontId="51" fillId="27" borderId="0" xfId="3" applyNumberFormat="1" applyFont="1" applyFill="1" applyAlignment="1">
      <alignment vertical="center"/>
    </xf>
    <xf numFmtId="40" fontId="51" fillId="27" borderId="0" xfId="3" applyNumberFormat="1" applyFont="1" applyFill="1" applyAlignment="1">
      <alignment horizontal="center" vertical="center"/>
    </xf>
    <xf numFmtId="0" fontId="50" fillId="27" borderId="0" xfId="3" applyFont="1" applyFill="1" applyAlignment="1">
      <alignment horizontal="center" vertical="center"/>
    </xf>
    <xf numFmtId="170" fontId="50" fillId="0" borderId="0" xfId="3" applyNumberFormat="1" applyFont="1" applyAlignment="1">
      <alignment horizontal="center" vertical="center"/>
    </xf>
    <xf numFmtId="170" fontId="50" fillId="27" borderId="0" xfId="3" applyNumberFormat="1" applyFont="1" applyFill="1" applyAlignment="1">
      <alignment horizontal="center" vertical="center"/>
    </xf>
    <xf numFmtId="172" fontId="10" fillId="0" borderId="0" xfId="3" applyNumberFormat="1" applyFont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169" fontId="6" fillId="28" borderId="0" xfId="3" applyNumberFormat="1" applyFont="1" applyFill="1" applyAlignment="1">
      <alignment horizontal="center" vertical="center"/>
    </xf>
    <xf numFmtId="170" fontId="6" fillId="28" borderId="0" xfId="3" applyNumberFormat="1" applyFont="1" applyFill="1" applyAlignment="1">
      <alignment horizontal="center" vertical="center"/>
    </xf>
    <xf numFmtId="171" fontId="6" fillId="28" borderId="0" xfId="3" applyNumberFormat="1" applyFont="1" applyFill="1" applyAlignment="1">
      <alignment horizontal="center" vertical="center"/>
    </xf>
    <xf numFmtId="172" fontId="6" fillId="28" borderId="0" xfId="3" applyNumberFormat="1" applyFont="1" applyFill="1" applyAlignment="1">
      <alignment horizontal="center" vertical="center"/>
    </xf>
    <xf numFmtId="173" fontId="6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left" vertical="center"/>
    </xf>
    <xf numFmtId="40" fontId="7" fillId="28" borderId="0" xfId="3" applyNumberFormat="1" applyFont="1" applyFill="1" applyAlignment="1">
      <alignment horizontal="right" vertical="center"/>
    </xf>
    <xf numFmtId="40" fontId="7" fillId="28" borderId="0" xfId="3" applyNumberFormat="1" applyFont="1" applyFill="1" applyAlignment="1">
      <alignment vertical="center"/>
    </xf>
    <xf numFmtId="40" fontId="7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center" vertical="center"/>
    </xf>
    <xf numFmtId="169" fontId="46" fillId="28" borderId="0" xfId="3" applyNumberFormat="1" applyFont="1" applyFill="1" applyAlignment="1">
      <alignment horizontal="center" vertical="center"/>
    </xf>
    <xf numFmtId="171" fontId="46" fillId="28" borderId="0" xfId="3" applyNumberFormat="1" applyFont="1" applyFill="1" applyAlignment="1">
      <alignment horizontal="center" vertical="center"/>
    </xf>
    <xf numFmtId="172" fontId="46" fillId="28" borderId="0" xfId="3" applyNumberFormat="1" applyFont="1" applyFill="1" applyAlignment="1">
      <alignment horizontal="center" vertical="center"/>
    </xf>
    <xf numFmtId="173" fontId="46" fillId="28" borderId="0" xfId="3" applyNumberFormat="1" applyFont="1" applyFill="1" applyAlignment="1">
      <alignment horizontal="center" vertical="center"/>
    </xf>
    <xf numFmtId="0" fontId="46" fillId="28" borderId="0" xfId="3" applyFont="1" applyFill="1" applyAlignment="1">
      <alignment horizontal="left" vertical="center"/>
    </xf>
    <xf numFmtId="40" fontId="47" fillId="28" borderId="0" xfId="3" applyNumberFormat="1" applyFont="1" applyFill="1" applyAlignment="1">
      <alignment horizontal="right" vertical="center"/>
    </xf>
    <xf numFmtId="40" fontId="47" fillId="28" borderId="0" xfId="3" applyNumberFormat="1" applyFont="1" applyFill="1" applyAlignment="1">
      <alignment vertical="center"/>
    </xf>
    <xf numFmtId="40" fontId="47" fillId="28" borderId="0" xfId="3" applyNumberFormat="1" applyFont="1" applyFill="1" applyAlignment="1">
      <alignment horizontal="center" vertical="center"/>
    </xf>
    <xf numFmtId="0" fontId="46" fillId="28" borderId="0" xfId="3" applyFont="1" applyFill="1" applyAlignment="1">
      <alignment horizontal="center" vertical="center"/>
    </xf>
    <xf numFmtId="169" fontId="50" fillId="28" borderId="0" xfId="3" applyNumberFormat="1" applyFont="1" applyFill="1" applyAlignment="1">
      <alignment horizontal="center" vertical="center"/>
    </xf>
    <xf numFmtId="171" fontId="50" fillId="28" borderId="0" xfId="3" applyNumberFormat="1" applyFont="1" applyFill="1" applyAlignment="1">
      <alignment horizontal="center" vertical="center"/>
    </xf>
    <xf numFmtId="172" fontId="50" fillId="28" borderId="0" xfId="3" applyNumberFormat="1" applyFont="1" applyFill="1" applyAlignment="1">
      <alignment horizontal="center" vertical="center"/>
    </xf>
    <xf numFmtId="173" fontId="50" fillId="28" borderId="0" xfId="3" applyNumberFormat="1" applyFont="1" applyFill="1" applyAlignment="1">
      <alignment horizontal="center" vertical="center"/>
    </xf>
    <xf numFmtId="0" fontId="50" fillId="28" borderId="0" xfId="3" applyFont="1" applyFill="1" applyAlignment="1">
      <alignment horizontal="left" vertical="center"/>
    </xf>
    <xf numFmtId="40" fontId="51" fillId="28" borderId="0" xfId="3" applyNumberFormat="1" applyFont="1" applyFill="1" applyAlignment="1">
      <alignment horizontal="right" vertical="center"/>
    </xf>
    <xf numFmtId="40" fontId="51" fillId="28" borderId="0" xfId="3" applyNumberFormat="1" applyFont="1" applyFill="1" applyAlignment="1">
      <alignment vertical="center"/>
    </xf>
    <xf numFmtId="40" fontId="51" fillId="28" borderId="0" xfId="3" applyNumberFormat="1" applyFont="1" applyFill="1" applyAlignment="1">
      <alignment horizontal="center" vertical="center"/>
    </xf>
    <xf numFmtId="0" fontId="50" fillId="28" borderId="0" xfId="3" applyFont="1" applyFill="1" applyAlignment="1">
      <alignment horizontal="center" vertical="center"/>
    </xf>
    <xf numFmtId="0" fontId="52" fillId="0" borderId="27" xfId="0" applyFont="1" applyBorder="1" applyAlignment="1">
      <alignment horizontal="center"/>
    </xf>
    <xf numFmtId="0" fontId="52" fillId="0" borderId="28" xfId="0" applyFont="1" applyBorder="1" applyAlignment="1">
      <alignment horizontal="center"/>
    </xf>
    <xf numFmtId="179" fontId="52" fillId="0" borderId="28" xfId="0" applyNumberFormat="1" applyFont="1" applyBorder="1"/>
    <xf numFmtId="179" fontId="53" fillId="0" borderId="28" xfId="0" applyNumberFormat="1" applyFont="1" applyBorder="1" applyAlignment="1">
      <alignment horizontal="right"/>
    </xf>
    <xf numFmtId="179" fontId="54" fillId="0" borderId="28" xfId="0" applyNumberFormat="1" applyFont="1" applyBorder="1" applyAlignment="1">
      <alignment horizontal="right" vertical="center"/>
    </xf>
    <xf numFmtId="0" fontId="54" fillId="0" borderId="29" xfId="0" applyFont="1" applyBorder="1" applyAlignment="1">
      <alignment horizontal="right" vertical="center"/>
    </xf>
    <xf numFmtId="169" fontId="54" fillId="0" borderId="9" xfId="3" applyNumberFormat="1" applyFont="1" applyBorder="1" applyAlignment="1">
      <alignment horizontal="center"/>
    </xf>
    <xf numFmtId="170" fontId="54" fillId="0" borderId="1" xfId="3" applyNumberFormat="1" applyFont="1" applyBorder="1" applyAlignment="1">
      <alignment horizontal="center"/>
    </xf>
    <xf numFmtId="171" fontId="54" fillId="0" borderId="1" xfId="3" applyNumberFormat="1" applyFont="1" applyBorder="1" applyAlignment="1">
      <alignment horizontal="center"/>
    </xf>
    <xf numFmtId="172" fontId="54" fillId="0" borderId="1" xfId="3" applyNumberFormat="1" applyFont="1" applyBorder="1" applyAlignment="1">
      <alignment horizontal="center"/>
    </xf>
    <xf numFmtId="0" fontId="54" fillId="0" borderId="1" xfId="3" applyFont="1" applyBorder="1" applyAlignment="1">
      <alignment horizontal="center"/>
    </xf>
    <xf numFmtId="173" fontId="54" fillId="0" borderId="1" xfId="3" applyNumberFormat="1" applyFont="1" applyBorder="1" applyAlignment="1">
      <alignment horizontal="center"/>
    </xf>
    <xf numFmtId="179" fontId="54" fillId="0" borderId="1" xfId="3" applyNumberFormat="1" applyFont="1" applyBorder="1"/>
    <xf numFmtId="179" fontId="54" fillId="0" borderId="1" xfId="3" applyNumberFormat="1" applyFont="1" applyBorder="1" applyAlignment="1">
      <alignment horizontal="right"/>
    </xf>
    <xf numFmtId="179" fontId="54" fillId="0" borderId="1" xfId="3" applyNumberFormat="1" applyFont="1" applyBorder="1" applyAlignment="1">
      <alignment horizontal="right" vertical="center"/>
    </xf>
    <xf numFmtId="40" fontId="54" fillId="0" borderId="13" xfId="3" applyNumberFormat="1" applyFont="1" applyBorder="1" applyAlignment="1">
      <alignment horizontal="right" vertical="center"/>
    </xf>
    <xf numFmtId="169" fontId="54" fillId="0" borderId="27" xfId="3" applyNumberFormat="1" applyFont="1" applyBorder="1" applyAlignment="1">
      <alignment horizontal="center"/>
    </xf>
    <xf numFmtId="171" fontId="54" fillId="0" borderId="28" xfId="3" applyNumberFormat="1" applyFont="1" applyBorder="1" applyAlignment="1">
      <alignment horizontal="center"/>
    </xf>
    <xf numFmtId="172" fontId="54" fillId="0" borderId="28" xfId="3" applyNumberFormat="1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173" fontId="54" fillId="0" borderId="28" xfId="3" applyNumberFormat="1" applyFont="1" applyBorder="1" applyAlignment="1">
      <alignment horizontal="center"/>
    </xf>
    <xf numFmtId="179" fontId="54" fillId="0" borderId="28" xfId="3" applyNumberFormat="1" applyFont="1" applyBorder="1"/>
    <xf numFmtId="179" fontId="54" fillId="0" borderId="28" xfId="3" applyNumberFormat="1" applyFont="1" applyBorder="1" applyAlignment="1">
      <alignment horizontal="right"/>
    </xf>
    <xf numFmtId="179" fontId="54" fillId="0" borderId="28" xfId="3" applyNumberFormat="1" applyFont="1" applyBorder="1" applyAlignment="1">
      <alignment horizontal="right" vertical="center"/>
    </xf>
    <xf numFmtId="40" fontId="54" fillId="0" borderId="29" xfId="3" applyNumberFormat="1" applyFont="1" applyBorder="1" applyAlignment="1">
      <alignment horizontal="right" vertical="center"/>
    </xf>
    <xf numFmtId="40" fontId="53" fillId="0" borderId="28" xfId="0" applyNumberFormat="1" applyFont="1" applyBorder="1" applyAlignment="1">
      <alignment horizontal="right"/>
    </xf>
    <xf numFmtId="40" fontId="54" fillId="0" borderId="28" xfId="0" applyNumberFormat="1" applyFont="1" applyBorder="1" applyAlignment="1">
      <alignment horizontal="right" vertical="center"/>
    </xf>
    <xf numFmtId="169" fontId="52" fillId="0" borderId="36" xfId="3" applyNumberFormat="1" applyFont="1" applyBorder="1" applyAlignment="1">
      <alignment horizontal="center"/>
    </xf>
    <xf numFmtId="170" fontId="52" fillId="0" borderId="1" xfId="3" applyNumberFormat="1" applyFont="1" applyBorder="1" applyAlignment="1">
      <alignment horizontal="center"/>
    </xf>
    <xf numFmtId="171" fontId="52" fillId="0" borderId="9" xfId="3" applyNumberFormat="1" applyFont="1" applyBorder="1" applyAlignment="1">
      <alignment horizontal="center"/>
    </xf>
    <xf numFmtId="172" fontId="52" fillId="0" borderId="1" xfId="3" applyNumberFormat="1" applyFont="1" applyBorder="1" applyAlignment="1">
      <alignment horizontal="center"/>
    </xf>
    <xf numFmtId="0" fontId="52" fillId="0" borderId="1" xfId="3" applyFont="1" applyBorder="1" applyAlignment="1">
      <alignment horizontal="center"/>
    </xf>
    <xf numFmtId="173" fontId="52" fillId="0" borderId="1" xfId="3" applyNumberFormat="1" applyFont="1" applyBorder="1" applyAlignment="1">
      <alignment horizontal="center"/>
    </xf>
    <xf numFmtId="179" fontId="52" fillId="0" borderId="1" xfId="3" applyNumberFormat="1" applyFont="1" applyBorder="1"/>
    <xf numFmtId="179" fontId="52" fillId="0" borderId="1" xfId="3" applyNumberFormat="1" applyFont="1" applyBorder="1" applyAlignment="1">
      <alignment horizontal="right"/>
    </xf>
    <xf numFmtId="179" fontId="52" fillId="0" borderId="1" xfId="3" applyNumberFormat="1" applyFont="1" applyBorder="1" applyAlignment="1">
      <alignment horizontal="right" vertical="center"/>
    </xf>
    <xf numFmtId="169" fontId="52" fillId="0" borderId="23" xfId="3" applyNumberFormat="1" applyFont="1" applyBorder="1" applyAlignment="1">
      <alignment horizontal="center"/>
    </xf>
    <xf numFmtId="171" fontId="52" fillId="0" borderId="27" xfId="3" applyNumberFormat="1" applyFont="1" applyBorder="1" applyAlignment="1">
      <alignment horizontal="center"/>
    </xf>
    <xf numFmtId="172" fontId="52" fillId="0" borderId="28" xfId="3" applyNumberFormat="1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173" fontId="52" fillId="0" borderId="28" xfId="3" applyNumberFormat="1" applyFont="1" applyBorder="1" applyAlignment="1">
      <alignment horizontal="center"/>
    </xf>
    <xf numFmtId="179" fontId="52" fillId="0" borderId="28" xfId="3" applyNumberFormat="1" applyFont="1" applyBorder="1"/>
    <xf numFmtId="179" fontId="52" fillId="0" borderId="28" xfId="3" applyNumberFormat="1" applyFont="1" applyBorder="1" applyAlignment="1">
      <alignment horizontal="right"/>
    </xf>
    <xf numFmtId="179" fontId="52" fillId="0" borderId="28" xfId="3" applyNumberFormat="1" applyFont="1" applyBorder="1" applyAlignment="1">
      <alignment horizontal="right" vertical="center"/>
    </xf>
    <xf numFmtId="40" fontId="56" fillId="0" borderId="0" xfId="3" applyNumberFormat="1" applyFont="1" applyAlignment="1">
      <alignment vertical="center"/>
    </xf>
    <xf numFmtId="169" fontId="54" fillId="27" borderId="0" xfId="3" applyNumberFormat="1" applyFont="1" applyFill="1" applyAlignment="1">
      <alignment horizontal="center" vertical="center"/>
    </xf>
    <xf numFmtId="170" fontId="54" fillId="27" borderId="0" xfId="3" applyNumberFormat="1" applyFont="1" applyFill="1" applyAlignment="1">
      <alignment horizontal="center" vertical="center"/>
    </xf>
    <xf numFmtId="171" fontId="54" fillId="27" borderId="0" xfId="3" applyNumberFormat="1" applyFont="1" applyFill="1" applyAlignment="1">
      <alignment horizontal="center" vertical="center"/>
    </xf>
    <xf numFmtId="172" fontId="54" fillId="27" borderId="0" xfId="3" applyNumberFormat="1" applyFont="1" applyFill="1" applyAlignment="1">
      <alignment horizontal="center" vertical="center"/>
    </xf>
    <xf numFmtId="173" fontId="54" fillId="27" borderId="0" xfId="3" applyNumberFormat="1" applyFont="1" applyFill="1" applyAlignment="1">
      <alignment horizontal="center" vertical="center"/>
    </xf>
    <xf numFmtId="0" fontId="54" fillId="27" borderId="0" xfId="3" applyFont="1" applyFill="1" applyAlignment="1">
      <alignment horizontal="left" vertical="center"/>
    </xf>
    <xf numFmtId="40" fontId="55" fillId="27" borderId="0" xfId="3" applyNumberFormat="1" applyFont="1" applyFill="1" applyAlignment="1">
      <alignment horizontal="right" vertical="center"/>
    </xf>
    <xf numFmtId="40" fontId="55" fillId="27" borderId="0" xfId="3" applyNumberFormat="1" applyFont="1" applyFill="1" applyAlignment="1">
      <alignment vertical="center"/>
    </xf>
    <xf numFmtId="40" fontId="55" fillId="27" borderId="0" xfId="3" applyNumberFormat="1" applyFont="1" applyFill="1" applyAlignment="1">
      <alignment horizontal="center" vertical="center"/>
    </xf>
    <xf numFmtId="0" fontId="54" fillId="27" borderId="0" xfId="3" applyFont="1" applyFill="1" applyAlignment="1">
      <alignment horizontal="center" vertical="center"/>
    </xf>
    <xf numFmtId="169" fontId="54" fillId="0" borderId="0" xfId="3" applyNumberFormat="1" applyFont="1" applyAlignment="1">
      <alignment horizontal="center" vertical="center"/>
    </xf>
    <xf numFmtId="170" fontId="54" fillId="0" borderId="0" xfId="3" applyNumberFormat="1" applyFont="1" applyAlignment="1">
      <alignment horizontal="center" vertical="center"/>
    </xf>
    <xf numFmtId="171" fontId="54" fillId="0" borderId="0" xfId="3" applyNumberFormat="1" applyFont="1" applyAlignment="1">
      <alignment horizontal="center" vertical="center"/>
    </xf>
    <xf numFmtId="172" fontId="54" fillId="0" borderId="0" xfId="3" applyNumberFormat="1" applyFont="1" applyAlignment="1">
      <alignment horizontal="center" vertical="center"/>
    </xf>
    <xf numFmtId="173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left" vertical="center"/>
    </xf>
    <xf numFmtId="40" fontId="55" fillId="0" borderId="0" xfId="3" applyNumberFormat="1" applyFont="1" applyAlignment="1">
      <alignment horizontal="right" vertical="center"/>
    </xf>
    <xf numFmtId="40" fontId="55" fillId="0" borderId="0" xfId="3" applyNumberFormat="1" applyFont="1" applyAlignment="1">
      <alignment vertical="center"/>
    </xf>
    <xf numFmtId="40" fontId="55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169" fontId="36" fillId="27" borderId="0" xfId="3" applyNumberFormat="1" applyFont="1" applyFill="1" applyAlignment="1">
      <alignment horizontal="center" vertical="center"/>
    </xf>
    <xf numFmtId="172" fontId="10" fillId="27" borderId="0" xfId="3" applyNumberFormat="1" applyFont="1" applyFill="1" applyAlignment="1">
      <alignment horizontal="center"/>
    </xf>
    <xf numFmtId="0" fontId="10" fillId="27" borderId="0" xfId="3" applyFont="1" applyFill="1" applyAlignment="1">
      <alignment horizontal="left"/>
    </xf>
    <xf numFmtId="4" fontId="36" fillId="27" borderId="0" xfId="3" applyNumberFormat="1" applyFont="1" applyFill="1" applyAlignment="1">
      <alignment horizontal="right" vertical="center"/>
    </xf>
    <xf numFmtId="0" fontId="10" fillId="27" borderId="0" xfId="3" applyFont="1" applyFill="1" applyAlignment="1">
      <alignment horizontal="center" vertical="center"/>
    </xf>
    <xf numFmtId="173" fontId="10" fillId="27" borderId="0" xfId="3" applyNumberFormat="1" applyFont="1" applyFill="1" applyAlignment="1">
      <alignment horizontal="center"/>
    </xf>
    <xf numFmtId="4" fontId="10" fillId="27" borderId="0" xfId="3" applyNumberFormat="1" applyFont="1" applyFill="1" applyAlignment="1">
      <alignment horizontal="right" vertical="center"/>
    </xf>
    <xf numFmtId="169" fontId="57" fillId="0" borderId="0" xfId="3" applyNumberFormat="1" applyFont="1" applyAlignment="1">
      <alignment horizontal="center" vertical="center"/>
    </xf>
    <xf numFmtId="170" fontId="57" fillId="0" borderId="0" xfId="3" applyNumberFormat="1" applyFont="1" applyAlignment="1">
      <alignment horizontal="center" vertical="center"/>
    </xf>
    <xf numFmtId="171" fontId="57" fillId="0" borderId="0" xfId="3" applyNumberFormat="1" applyFont="1" applyAlignment="1">
      <alignment horizontal="center" vertical="center"/>
    </xf>
    <xf numFmtId="172" fontId="57" fillId="0" borderId="0" xfId="3" applyNumberFormat="1" applyFont="1" applyAlignment="1">
      <alignment horizontal="center" vertical="center"/>
    </xf>
    <xf numFmtId="173" fontId="57" fillId="0" borderId="0" xfId="3" applyNumberFormat="1" applyFont="1" applyAlignment="1">
      <alignment horizontal="center" vertical="center"/>
    </xf>
    <xf numFmtId="0" fontId="57" fillId="0" borderId="0" xfId="3" applyFont="1" applyAlignment="1">
      <alignment horizontal="left" vertical="center"/>
    </xf>
    <xf numFmtId="40" fontId="56" fillId="0" borderId="0" xfId="3" applyNumberFormat="1" applyFont="1" applyAlignment="1">
      <alignment horizontal="right" vertical="center"/>
    </xf>
    <xf numFmtId="40" fontId="56" fillId="0" borderId="0" xfId="3" applyNumberFormat="1" applyFont="1" applyAlignment="1">
      <alignment horizontal="center" vertical="center"/>
    </xf>
    <xf numFmtId="0" fontId="57" fillId="0" borderId="0" xfId="3" applyFont="1" applyAlignment="1">
      <alignment horizontal="center" vertical="center"/>
    </xf>
    <xf numFmtId="169" fontId="6" fillId="27" borderId="9" xfId="3" applyNumberFormat="1" applyFont="1" applyFill="1" applyBorder="1" applyAlignment="1">
      <alignment horizontal="center"/>
    </xf>
    <xf numFmtId="170" fontId="6" fillId="27" borderId="1" xfId="3" applyNumberFormat="1" applyFont="1" applyFill="1" applyBorder="1" applyAlignment="1">
      <alignment horizontal="center"/>
    </xf>
    <xf numFmtId="171" fontId="6" fillId="27" borderId="1" xfId="3" applyNumberFormat="1" applyFont="1" applyFill="1" applyBorder="1" applyAlignment="1">
      <alignment horizontal="center"/>
    </xf>
    <xf numFmtId="172" fontId="6" fillId="27" borderId="1" xfId="3" applyNumberFormat="1" applyFont="1" applyFill="1" applyBorder="1" applyAlignment="1">
      <alignment horizontal="center"/>
    </xf>
    <xf numFmtId="0" fontId="6" fillId="27" borderId="1" xfId="3" applyFont="1" applyFill="1" applyBorder="1" applyAlignment="1">
      <alignment horizontal="center"/>
    </xf>
    <xf numFmtId="173" fontId="6" fillId="27" borderId="1" xfId="3" applyNumberFormat="1" applyFont="1" applyFill="1" applyBorder="1" applyAlignment="1">
      <alignment horizontal="center"/>
    </xf>
    <xf numFmtId="179" fontId="6" fillId="27" borderId="1" xfId="3" applyNumberFormat="1" applyFont="1" applyFill="1" applyBorder="1"/>
    <xf numFmtId="179" fontId="6" fillId="27" borderId="1" xfId="3" applyNumberFormat="1" applyFont="1" applyFill="1" applyBorder="1" applyAlignment="1">
      <alignment horizontal="right"/>
    </xf>
    <xf numFmtId="179" fontId="6" fillId="27" borderId="1" xfId="3" applyNumberFormat="1" applyFont="1" applyFill="1" applyBorder="1" applyAlignment="1">
      <alignment horizontal="right" vertical="center"/>
    </xf>
    <xf numFmtId="40" fontId="6" fillId="27" borderId="13" xfId="3" applyNumberFormat="1" applyFont="1" applyFill="1" applyBorder="1" applyAlignment="1">
      <alignment horizontal="right" vertical="center"/>
    </xf>
    <xf numFmtId="169" fontId="36" fillId="29" borderId="0" xfId="3" applyNumberFormat="1" applyFont="1" applyFill="1" applyAlignment="1">
      <alignment horizontal="center" vertical="center"/>
    </xf>
    <xf numFmtId="171" fontId="6" fillId="29" borderId="0" xfId="3" applyNumberFormat="1" applyFont="1" applyFill="1" applyAlignment="1">
      <alignment horizontal="center" vertical="center"/>
    </xf>
    <xf numFmtId="172" fontId="6" fillId="29" borderId="0" xfId="3" applyNumberFormat="1" applyFont="1" applyFill="1" applyAlignment="1">
      <alignment horizontal="center" vertical="center"/>
    </xf>
    <xf numFmtId="173" fontId="6" fillId="29" borderId="0" xfId="3" applyNumberFormat="1" applyFont="1" applyFill="1" applyAlignment="1">
      <alignment horizontal="center" vertical="center"/>
    </xf>
    <xf numFmtId="0" fontId="10" fillId="29" borderId="0" xfId="3" applyFont="1" applyFill="1" applyAlignment="1">
      <alignment horizontal="left"/>
    </xf>
    <xf numFmtId="4" fontId="10" fillId="29" borderId="0" xfId="3" applyNumberFormat="1" applyFont="1" applyFill="1" applyAlignment="1">
      <alignment horizontal="right" vertical="center"/>
    </xf>
    <xf numFmtId="0" fontId="10" fillId="29" borderId="0" xfId="3" applyFont="1" applyFill="1" applyAlignment="1">
      <alignment horizontal="center" vertical="center"/>
    </xf>
    <xf numFmtId="0" fontId="0" fillId="28" borderId="0" xfId="0" applyFill="1"/>
    <xf numFmtId="169" fontId="58" fillId="0" borderId="0" xfId="3" applyNumberFormat="1" applyFont="1" applyAlignment="1">
      <alignment horizontal="center" vertical="center"/>
    </xf>
    <xf numFmtId="170" fontId="58" fillId="0" borderId="0" xfId="3" applyNumberFormat="1" applyFont="1" applyAlignment="1">
      <alignment horizontal="center" vertical="center"/>
    </xf>
    <xf numFmtId="171" fontId="58" fillId="0" borderId="0" xfId="3" applyNumberFormat="1" applyFont="1" applyAlignment="1">
      <alignment horizontal="center" vertical="center"/>
    </xf>
    <xf numFmtId="172" fontId="58" fillId="0" borderId="0" xfId="3" applyNumberFormat="1" applyFont="1" applyAlignment="1">
      <alignment horizontal="center" vertical="center"/>
    </xf>
    <xf numFmtId="173" fontId="58" fillId="0" borderId="0" xfId="3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40" fontId="59" fillId="0" borderId="0" xfId="3" applyNumberFormat="1" applyFont="1" applyAlignment="1">
      <alignment horizontal="right" vertical="center"/>
    </xf>
    <xf numFmtId="40" fontId="59" fillId="0" borderId="0" xfId="3" applyNumberFormat="1" applyFont="1" applyAlignment="1">
      <alignment vertical="center"/>
    </xf>
    <xf numFmtId="40" fontId="59" fillId="0" borderId="0" xfId="3" applyNumberFormat="1" applyFont="1" applyAlignment="1">
      <alignment horizontal="center" vertical="center"/>
    </xf>
    <xf numFmtId="0" fontId="58" fillId="0" borderId="0" xfId="3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40" fontId="59" fillId="0" borderId="0" xfId="0" applyNumberFormat="1" applyFont="1" applyAlignment="1">
      <alignment horizontal="right" vertical="center"/>
    </xf>
    <xf numFmtId="172" fontId="60" fillId="0" borderId="0" xfId="3" applyNumberFormat="1" applyFont="1" applyAlignment="1">
      <alignment horizontal="center"/>
    </xf>
    <xf numFmtId="173" fontId="60" fillId="0" borderId="0" xfId="3" applyNumberFormat="1" applyFont="1" applyAlignment="1">
      <alignment horizontal="center"/>
    </xf>
    <xf numFmtId="0" fontId="60" fillId="0" borderId="0" xfId="3" applyFont="1" applyAlignment="1">
      <alignment horizontal="left"/>
    </xf>
    <xf numFmtId="4" fontId="60" fillId="0" borderId="0" xfId="3" applyNumberFormat="1" applyFont="1" applyAlignment="1">
      <alignment horizontal="right" vertical="center"/>
    </xf>
    <xf numFmtId="0" fontId="60" fillId="0" borderId="0" xfId="3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4" fontId="60" fillId="0" borderId="0" xfId="0" applyNumberFormat="1" applyFont="1" applyAlignment="1">
      <alignment horizontal="right" vertical="center"/>
    </xf>
    <xf numFmtId="169" fontId="58" fillId="27" borderId="0" xfId="3" applyNumberFormat="1" applyFont="1" applyFill="1" applyAlignment="1">
      <alignment horizontal="center" vertical="center"/>
    </xf>
    <xf numFmtId="171" fontId="58" fillId="27" borderId="0" xfId="3" applyNumberFormat="1" applyFont="1" applyFill="1" applyAlignment="1">
      <alignment horizontal="center" vertical="center"/>
    </xf>
    <xf numFmtId="172" fontId="58" fillId="27" borderId="0" xfId="3" applyNumberFormat="1" applyFont="1" applyFill="1" applyAlignment="1">
      <alignment horizontal="center" vertical="center"/>
    </xf>
    <xf numFmtId="173" fontId="58" fillId="27" borderId="0" xfId="3" applyNumberFormat="1" applyFont="1" applyFill="1" applyAlignment="1">
      <alignment horizontal="center" vertical="center"/>
    </xf>
    <xf numFmtId="0" fontId="58" fillId="27" borderId="0" xfId="3" applyFont="1" applyFill="1" applyAlignment="1">
      <alignment horizontal="left" vertical="center"/>
    </xf>
    <xf numFmtId="40" fontId="59" fillId="27" borderId="0" xfId="3" applyNumberFormat="1" applyFont="1" applyFill="1" applyAlignment="1">
      <alignment horizontal="right" vertical="center"/>
    </xf>
    <xf numFmtId="40" fontId="59" fillId="27" borderId="0" xfId="3" applyNumberFormat="1" applyFont="1" applyFill="1" applyAlignment="1">
      <alignment vertical="center"/>
    </xf>
    <xf numFmtId="170" fontId="58" fillId="27" borderId="0" xfId="3" applyNumberFormat="1" applyFont="1" applyFill="1" applyAlignment="1">
      <alignment horizontal="center" vertical="center"/>
    </xf>
    <xf numFmtId="169" fontId="58" fillId="0" borderId="9" xfId="3" applyNumberFormat="1" applyFont="1" applyBorder="1" applyAlignment="1">
      <alignment horizontal="center"/>
    </xf>
    <xf numFmtId="170" fontId="58" fillId="0" borderId="1" xfId="3" applyNumberFormat="1" applyFont="1" applyBorder="1" applyAlignment="1">
      <alignment horizontal="center"/>
    </xf>
    <xf numFmtId="171" fontId="58" fillId="0" borderId="1" xfId="3" applyNumberFormat="1" applyFont="1" applyBorder="1" applyAlignment="1">
      <alignment horizontal="center"/>
    </xf>
    <xf numFmtId="172" fontId="58" fillId="0" borderId="1" xfId="3" applyNumberFormat="1" applyFont="1" applyBorder="1" applyAlignment="1">
      <alignment horizontal="center"/>
    </xf>
    <xf numFmtId="0" fontId="58" fillId="0" borderId="1" xfId="3" applyFont="1" applyBorder="1" applyAlignment="1">
      <alignment horizontal="center"/>
    </xf>
    <xf numFmtId="173" fontId="58" fillId="0" borderId="1" xfId="3" applyNumberFormat="1" applyFont="1" applyBorder="1" applyAlignment="1">
      <alignment horizontal="center"/>
    </xf>
    <xf numFmtId="179" fontId="58" fillId="0" borderId="1" xfId="3" applyNumberFormat="1" applyFont="1" applyBorder="1"/>
    <xf numFmtId="179" fontId="58" fillId="0" borderId="1" xfId="3" applyNumberFormat="1" applyFont="1" applyBorder="1" applyAlignment="1">
      <alignment horizontal="right"/>
    </xf>
    <xf numFmtId="179" fontId="58" fillId="0" borderId="1" xfId="3" applyNumberFormat="1" applyFont="1" applyBorder="1" applyAlignment="1">
      <alignment horizontal="right" vertical="center"/>
    </xf>
    <xf numFmtId="40" fontId="58" fillId="0" borderId="13" xfId="3" applyNumberFormat="1" applyFont="1" applyBorder="1" applyAlignment="1">
      <alignment horizontal="right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/>
    </xf>
    <xf numFmtId="4" fontId="61" fillId="0" borderId="0" xfId="0" applyNumberFormat="1" applyFont="1" applyAlignment="1">
      <alignment horizontal="right" vertical="center"/>
    </xf>
    <xf numFmtId="4" fontId="61" fillId="0" borderId="0" xfId="3" applyNumberFormat="1" applyFont="1" applyAlignment="1">
      <alignment horizontal="right" vertical="center"/>
    </xf>
    <xf numFmtId="40" fontId="59" fillId="27" borderId="0" xfId="3" applyNumberFormat="1" applyFont="1" applyFill="1" applyAlignment="1">
      <alignment horizontal="center" vertical="center"/>
    </xf>
    <xf numFmtId="170" fontId="63" fillId="0" borderId="0" xfId="3" applyNumberFormat="1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40" fontId="64" fillId="0" borderId="0" xfId="3" applyNumberFormat="1" applyFont="1" applyAlignment="1">
      <alignment horizontal="right" vertical="center"/>
    </xf>
    <xf numFmtId="40" fontId="64" fillId="0" borderId="0" xfId="3" applyNumberFormat="1" applyFont="1" applyAlignment="1">
      <alignment vertical="center"/>
    </xf>
    <xf numFmtId="40" fontId="64" fillId="0" borderId="0" xfId="3" applyNumberFormat="1" applyFont="1" applyAlignment="1">
      <alignment horizontal="center" vertical="center"/>
    </xf>
    <xf numFmtId="0" fontId="63" fillId="0" borderId="0" xfId="3" applyFont="1" applyAlignment="1">
      <alignment horizontal="center" vertical="center"/>
    </xf>
    <xf numFmtId="165" fontId="0" fillId="0" borderId="0" xfId="27" applyFont="1" applyFill="1" applyBorder="1"/>
    <xf numFmtId="173" fontId="0" fillId="0" borderId="0" xfId="0" applyNumberFormat="1"/>
    <xf numFmtId="14" fontId="13" fillId="0" borderId="0" xfId="3" applyNumberFormat="1" applyFont="1" applyAlignment="1">
      <alignment horizontal="left"/>
    </xf>
    <xf numFmtId="172" fontId="13" fillId="0" borderId="0" xfId="3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73" fontId="13" fillId="0" borderId="0" xfId="3" applyNumberFormat="1" applyFont="1" applyAlignment="1">
      <alignment horizontal="center" vertical="center"/>
    </xf>
    <xf numFmtId="172" fontId="0" fillId="27" borderId="0" xfId="0" applyNumberFormat="1" applyFill="1" applyAlignment="1">
      <alignment horizontal="center"/>
    </xf>
    <xf numFmtId="173" fontId="0" fillId="27" borderId="0" xfId="0" applyNumberFormat="1" applyFill="1" applyAlignment="1">
      <alignment horizontal="center"/>
    </xf>
    <xf numFmtId="165" fontId="0" fillId="27" borderId="0" xfId="27" applyFont="1" applyFill="1" applyBorder="1"/>
    <xf numFmtId="40" fontId="64" fillId="27" borderId="0" xfId="3" applyNumberFormat="1" applyFont="1" applyFill="1" applyAlignment="1">
      <alignment vertical="center"/>
    </xf>
    <xf numFmtId="40" fontId="64" fillId="27" borderId="0" xfId="3" applyNumberFormat="1" applyFont="1" applyFill="1" applyAlignment="1">
      <alignment horizontal="center" vertical="center"/>
    </xf>
    <xf numFmtId="0" fontId="63" fillId="27" borderId="0" xfId="3" applyFont="1" applyFill="1" applyAlignment="1">
      <alignment horizontal="center" vertical="center"/>
    </xf>
    <xf numFmtId="14" fontId="0" fillId="27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65" fontId="65" fillId="0" borderId="0" xfId="27" applyFont="1"/>
    <xf numFmtId="165" fontId="36" fillId="0" borderId="0" xfId="27" applyFont="1" applyAlignment="1">
      <alignment horizontal="right" vertical="center"/>
    </xf>
    <xf numFmtId="165" fontId="10" fillId="0" borderId="0" xfId="27" applyFont="1" applyFill="1" applyAlignment="1">
      <alignment horizontal="righ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/>
    </xf>
    <xf numFmtId="40" fontId="67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4" fontId="68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center"/>
    </xf>
    <xf numFmtId="169" fontId="69" fillId="0" borderId="0" xfId="3" applyNumberFormat="1" applyFont="1" applyAlignment="1">
      <alignment horizontal="center" vertical="center"/>
    </xf>
    <xf numFmtId="0" fontId="70" fillId="0" borderId="0" xfId="0" applyFont="1" applyAlignment="1">
      <alignment horizontal="center"/>
    </xf>
    <xf numFmtId="4" fontId="69" fillId="0" borderId="0" xfId="3" applyNumberFormat="1" applyFont="1" applyAlignment="1">
      <alignment horizontal="right" vertical="center"/>
    </xf>
    <xf numFmtId="165" fontId="0" fillId="0" borderId="0" xfId="27" applyFont="1"/>
    <xf numFmtId="0" fontId="36" fillId="0" borderId="0" xfId="0" applyFont="1" applyAlignment="1">
      <alignment horizontal="right" vertical="center"/>
    </xf>
    <xf numFmtId="0" fontId="71" fillId="22" borderId="37" xfId="0" applyFont="1" applyFill="1" applyBorder="1" applyAlignment="1">
      <alignment horizontal="center" vertical="center"/>
    </xf>
    <xf numFmtId="4" fontId="7" fillId="0" borderId="0" xfId="3" applyNumberFormat="1" applyFont="1" applyAlignment="1">
      <alignment horizontal="right" vertical="center"/>
    </xf>
    <xf numFmtId="169" fontId="72" fillId="0" borderId="0" xfId="3" applyNumberFormat="1" applyFont="1" applyAlignment="1">
      <alignment horizontal="center" vertical="center"/>
    </xf>
    <xf numFmtId="171" fontId="72" fillId="0" borderId="0" xfId="3" applyNumberFormat="1" applyFont="1" applyAlignment="1">
      <alignment horizontal="center" vertical="center"/>
    </xf>
    <xf numFmtId="172" fontId="72" fillId="0" borderId="0" xfId="3" applyNumberFormat="1" applyFont="1" applyAlignment="1">
      <alignment horizontal="center" vertical="center"/>
    </xf>
    <xf numFmtId="173" fontId="72" fillId="0" borderId="0" xfId="3" applyNumberFormat="1" applyFont="1" applyAlignment="1">
      <alignment horizontal="center" vertical="center"/>
    </xf>
    <xf numFmtId="0" fontId="72" fillId="0" borderId="0" xfId="3" applyFont="1" applyAlignment="1">
      <alignment horizontal="left" vertical="center"/>
    </xf>
    <xf numFmtId="40" fontId="73" fillId="0" borderId="0" xfId="3" applyNumberFormat="1" applyFont="1" applyAlignment="1">
      <alignment horizontal="right" vertical="center"/>
    </xf>
    <xf numFmtId="40" fontId="73" fillId="0" borderId="0" xfId="3" applyNumberFormat="1" applyFont="1" applyAlignment="1">
      <alignment vertical="center"/>
    </xf>
    <xf numFmtId="40" fontId="73" fillId="0" borderId="0" xfId="3" applyNumberFormat="1" applyFont="1" applyAlignment="1">
      <alignment horizontal="center" vertical="center"/>
    </xf>
    <xf numFmtId="0" fontId="72" fillId="0" borderId="0" xfId="3" applyFont="1" applyAlignment="1">
      <alignment horizontal="center" vertical="center"/>
    </xf>
    <xf numFmtId="172" fontId="74" fillId="0" borderId="0" xfId="3" applyNumberFormat="1" applyFont="1" applyAlignment="1">
      <alignment horizontal="center"/>
    </xf>
    <xf numFmtId="173" fontId="74" fillId="0" borderId="0" xfId="3" applyNumberFormat="1" applyFont="1" applyAlignment="1">
      <alignment horizontal="center"/>
    </xf>
    <xf numFmtId="0" fontId="74" fillId="0" borderId="0" xfId="3" applyFont="1" applyAlignment="1">
      <alignment horizontal="left"/>
    </xf>
    <xf numFmtId="4" fontId="74" fillId="0" borderId="0" xfId="3" applyNumberFormat="1" applyFont="1" applyAlignment="1">
      <alignment horizontal="right" vertical="center"/>
    </xf>
    <xf numFmtId="0" fontId="74" fillId="0" borderId="0" xfId="3" applyFont="1" applyAlignment="1">
      <alignment horizontal="center" vertical="center"/>
    </xf>
    <xf numFmtId="170" fontId="72" fillId="0" borderId="0" xfId="3" applyNumberFormat="1" applyFont="1" applyAlignment="1">
      <alignment horizontal="center" vertical="center"/>
    </xf>
    <xf numFmtId="40" fontId="73" fillId="27" borderId="0" xfId="3" applyNumberFormat="1" applyFont="1" applyFill="1" applyAlignment="1">
      <alignment horizontal="center" vertical="center"/>
    </xf>
    <xf numFmtId="171" fontId="72" fillId="27" borderId="0" xfId="3" applyNumberFormat="1" applyFont="1" applyFill="1" applyAlignment="1">
      <alignment horizontal="center" vertical="center"/>
    </xf>
    <xf numFmtId="172" fontId="72" fillId="27" borderId="0" xfId="3" applyNumberFormat="1" applyFont="1" applyFill="1" applyAlignment="1">
      <alignment horizontal="center" vertical="center"/>
    </xf>
    <xf numFmtId="173" fontId="72" fillId="27" borderId="0" xfId="3" applyNumberFormat="1" applyFont="1" applyFill="1" applyAlignment="1">
      <alignment horizontal="center" vertical="center"/>
    </xf>
    <xf numFmtId="0" fontId="72" fillId="27" borderId="0" xfId="3" applyFont="1" applyFill="1" applyAlignment="1">
      <alignment horizontal="left" vertical="center"/>
    </xf>
    <xf numFmtId="40" fontId="73" fillId="27" borderId="0" xfId="3" applyNumberFormat="1" applyFont="1" applyFill="1" applyAlignment="1">
      <alignment horizontal="right" vertical="center"/>
    </xf>
    <xf numFmtId="40" fontId="73" fillId="27" borderId="0" xfId="3" applyNumberFormat="1" applyFont="1" applyFill="1" applyAlignment="1">
      <alignment vertical="center"/>
    </xf>
    <xf numFmtId="0" fontId="72" fillId="27" borderId="0" xfId="3" applyFont="1" applyFill="1" applyAlignment="1">
      <alignment horizontal="center" vertical="center"/>
    </xf>
    <xf numFmtId="169" fontId="72" fillId="27" borderId="0" xfId="3" applyNumberFormat="1" applyFont="1" applyFill="1" applyAlignment="1">
      <alignment horizontal="center" vertical="center"/>
    </xf>
    <xf numFmtId="170" fontId="72" fillId="27" borderId="0" xfId="3" applyNumberFormat="1" applyFont="1" applyFill="1" applyAlignment="1">
      <alignment horizontal="center" vertical="center"/>
    </xf>
    <xf numFmtId="169" fontId="74" fillId="0" borderId="36" xfId="3" applyNumberFormat="1" applyFont="1" applyBorder="1" applyAlignment="1">
      <alignment horizontal="center"/>
    </xf>
    <xf numFmtId="170" fontId="74" fillId="0" borderId="1" xfId="3" applyNumberFormat="1" applyFont="1" applyBorder="1" applyAlignment="1">
      <alignment horizontal="center"/>
    </xf>
    <xf numFmtId="171" fontId="74" fillId="0" borderId="9" xfId="3" applyNumberFormat="1" applyFont="1" applyBorder="1" applyAlignment="1">
      <alignment horizontal="center"/>
    </xf>
    <xf numFmtId="172" fontId="74" fillId="0" borderId="1" xfId="3" applyNumberFormat="1" applyFont="1" applyBorder="1" applyAlignment="1">
      <alignment horizontal="center"/>
    </xf>
    <xf numFmtId="0" fontId="74" fillId="0" borderId="1" xfId="3" applyFont="1" applyBorder="1" applyAlignment="1">
      <alignment horizontal="center"/>
    </xf>
    <xf numFmtId="173" fontId="74" fillId="0" borderId="1" xfId="3" applyNumberFormat="1" applyFont="1" applyBorder="1" applyAlignment="1">
      <alignment horizontal="center"/>
    </xf>
    <xf numFmtId="179" fontId="74" fillId="0" borderId="1" xfId="3" applyNumberFormat="1" applyFont="1" applyBorder="1"/>
    <xf numFmtId="179" fontId="74" fillId="0" borderId="1" xfId="3" applyNumberFormat="1" applyFont="1" applyBorder="1" applyAlignment="1">
      <alignment horizontal="right"/>
    </xf>
    <xf numFmtId="179" fontId="74" fillId="0" borderId="1" xfId="3" applyNumberFormat="1" applyFont="1" applyBorder="1" applyAlignment="1">
      <alignment horizontal="right" vertical="center"/>
    </xf>
    <xf numFmtId="40" fontId="72" fillId="0" borderId="13" xfId="3" applyNumberFormat="1" applyFont="1" applyBorder="1" applyAlignment="1">
      <alignment horizontal="right" vertical="center"/>
    </xf>
    <xf numFmtId="169" fontId="72" fillId="0" borderId="9" xfId="3" applyNumberFormat="1" applyFont="1" applyBorder="1" applyAlignment="1">
      <alignment horizontal="center"/>
    </xf>
    <xf numFmtId="171" fontId="72" fillId="0" borderId="1" xfId="3" applyNumberFormat="1" applyFont="1" applyBorder="1" applyAlignment="1">
      <alignment horizontal="center"/>
    </xf>
    <xf numFmtId="172" fontId="72" fillId="0" borderId="1" xfId="3" applyNumberFormat="1" applyFont="1" applyBorder="1" applyAlignment="1">
      <alignment horizontal="center"/>
    </xf>
    <xf numFmtId="0" fontId="72" fillId="0" borderId="1" xfId="3" applyFont="1" applyBorder="1" applyAlignment="1">
      <alignment horizontal="center"/>
    </xf>
    <xf numFmtId="173" fontId="72" fillId="0" borderId="1" xfId="3" applyNumberFormat="1" applyFont="1" applyBorder="1" applyAlignment="1">
      <alignment horizontal="center"/>
    </xf>
    <xf numFmtId="179" fontId="72" fillId="0" borderId="1" xfId="3" applyNumberFormat="1" applyFont="1" applyBorder="1" applyAlignment="1">
      <alignment horizontal="right"/>
    </xf>
    <xf numFmtId="179" fontId="72" fillId="0" borderId="1" xfId="3" applyNumberFormat="1" applyFont="1" applyBorder="1" applyAlignment="1">
      <alignment horizontal="right" vertical="center"/>
    </xf>
    <xf numFmtId="172" fontId="74" fillId="27" borderId="0" xfId="3" applyNumberFormat="1" applyFont="1" applyFill="1" applyAlignment="1">
      <alignment horizontal="center"/>
    </xf>
    <xf numFmtId="173" fontId="74" fillId="27" borderId="0" xfId="3" applyNumberFormat="1" applyFont="1" applyFill="1" applyAlignment="1">
      <alignment horizontal="center"/>
    </xf>
    <xf numFmtId="0" fontId="74" fillId="27" borderId="0" xfId="3" applyFont="1" applyFill="1" applyAlignment="1">
      <alignment horizontal="left"/>
    </xf>
    <xf numFmtId="4" fontId="74" fillId="27" borderId="0" xfId="3" applyNumberFormat="1" applyFont="1" applyFill="1" applyAlignment="1">
      <alignment horizontal="right" vertical="center"/>
    </xf>
    <xf numFmtId="0" fontId="74" fillId="27" borderId="0" xfId="3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165" fontId="34" fillId="4" borderId="0" xfId="27" applyFont="1" applyFill="1" applyAlignment="1">
      <alignment horizontal="center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8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oneda" xfId="1" builtinId="4"/>
    <cellStyle name="Moneda 2" xfId="10" xr:uid="{00000000-0005-0000-0000-00000A000000}"/>
    <cellStyle name="Moneda 2 2" xfId="20" xr:uid="{00000000-0005-0000-0000-00000B000000}"/>
    <cellStyle name="Moneda 3" xfId="23" xr:uid="{00000000-0005-0000-0000-00000C000000}"/>
    <cellStyle name="No completar" xfId="11" xr:uid="{00000000-0005-0000-0000-00000D000000}"/>
    <cellStyle name="No completar 2" xfId="18" xr:uid="{00000000-0005-0000-0000-00000E000000}"/>
    <cellStyle name="Normal" xfId="0" builtinId="0"/>
    <cellStyle name="Normal 10" xfId="26" xr:uid="{00000000-0005-0000-0000-000010000000}"/>
    <cellStyle name="Normal 2" xfId="4" xr:uid="{00000000-0005-0000-0000-000011000000}"/>
    <cellStyle name="Normal 2 2" xfId="19" xr:uid="{00000000-0005-0000-0000-000012000000}"/>
    <cellStyle name="Normal 3" xfId="3" xr:uid="{00000000-0005-0000-0000-000013000000}"/>
    <cellStyle name="Normal 4" xfId="12" xr:uid="{00000000-0005-0000-0000-000014000000}"/>
    <cellStyle name="Normal 5" xfId="13" xr:uid="{00000000-0005-0000-0000-000015000000}"/>
    <cellStyle name="Normal 6" xfId="14" xr:uid="{00000000-0005-0000-0000-000016000000}"/>
    <cellStyle name="Normal 6 2" xfId="21" xr:uid="{00000000-0005-0000-0000-000017000000}"/>
    <cellStyle name="Normal 7" xfId="6" xr:uid="{00000000-0005-0000-0000-000018000000}"/>
    <cellStyle name="Normal 7 2" xfId="22" xr:uid="{00000000-0005-0000-0000-000019000000}"/>
    <cellStyle name="Normal 8" xfId="24" xr:uid="{00000000-0005-0000-0000-00001A000000}"/>
    <cellStyle name="Normal 9" xfId="25" xr:uid="{00000000-0005-0000-0000-00001B000000}"/>
  </cellStyles>
  <dxfs count="17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solid">
          <fgColor indexed="64"/>
          <bgColor theme="8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dd/mm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la 1" pivot="0" count="4" xr9:uid="{00000000-0011-0000-FFFF-FFFF00000000}">
      <tableStyleElement type="wholeTable" dxfId="1752"/>
      <tableStyleElement type="headerRow" dxfId="1751"/>
      <tableStyleElement type="totalRow" dxfId="1750"/>
      <tableStyleElement type="firstRowStripe" dxfId="1749"/>
    </tableStyle>
    <tableStyle name="Tabla Ventas" pivot="0" count="5" xr9:uid="{00000000-0011-0000-FFFF-FFFF01000000}">
      <tableStyleElement type="wholeTable" dxfId="1748"/>
      <tableStyleElement type="headerRow" dxfId="1747"/>
      <tableStyleElement type="totalRow" dxfId="1746"/>
      <tableStyleElement type="firstRowStripe" dxfId="1745"/>
      <tableStyleElement type="secondRowStripe" dxfId="1744"/>
    </tableStyle>
  </tableStyles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297" totalsRowShown="0" headerRowDxfId="1743">
  <autoFilter ref="A1:D2297" xr:uid="{00000000-0009-0000-0100-000006000000}"/>
  <sortState xmlns:xlrd2="http://schemas.microsoft.com/office/spreadsheetml/2017/richdata2" ref="A2052:D2052">
    <sortCondition descending="1" ref="B1:B2297"/>
  </sortState>
  <tableColumns count="4">
    <tableColumn id="1" xr3:uid="{00000000-0010-0000-0000-000001000000}" name="CUIT" dataDxfId="1742"/>
    <tableColumn id="2" xr3:uid="{00000000-0010-0000-0000-000002000000}" name="RAZON SOCIAL" dataDxfId="1741"/>
    <tableColumn id="3" xr3:uid="{00000000-0010-0000-0000-000003000000}" name="Tipo de Gasto" dataDxfId="1740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107" totalsRowCount="1" headerRowDxfId="1739" totalsRowDxfId="1738">
  <autoFilter ref="B8:R106" xr:uid="{00000000-0009-0000-0100-000008000000}"/>
  <sortState xmlns:xlrd2="http://schemas.microsoft.com/office/spreadsheetml/2017/richdata2" ref="B9:R106">
    <sortCondition ref="E8:E106"/>
  </sortState>
  <tableColumns count="17">
    <tableColumn id="1" xr3:uid="{00000000-0010-0000-0100-000001000000}" name="FECHA" totalsRowLabel="Total" dataDxfId="1737" totalsRowDxfId="1736" dataCellStyle="Normal 3"/>
    <tableColumn id="2" xr3:uid="{00000000-0010-0000-0100-000002000000}" name="TIPO" dataDxfId="1735" totalsRowDxfId="1734" dataCellStyle="Normal 3"/>
    <tableColumn id="3" xr3:uid="{00000000-0010-0000-0100-000003000000}" name="PTO VTA" dataDxfId="1733" totalsRowDxfId="1732" dataCellStyle="Normal 3"/>
    <tableColumn id="4" xr3:uid="{00000000-0010-0000-0100-000004000000}" name="NRO. CPTE" dataDxfId="1731" totalsRowDxfId="1730" dataCellStyle="Normal 3"/>
    <tableColumn id="5" xr3:uid="{00000000-0010-0000-0100-000005000000}" name="CUIT" dataDxfId="1729" totalsRowDxfId="1728" dataCellStyle="Normal 3"/>
    <tableColumn id="6" xr3:uid="{00000000-0010-0000-0100-000006000000}" name="RAZON SOCIAL" dataDxfId="1727" totalsRowDxfId="1726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725" totalsRowDxfId="1724" dataCellStyle="Normal 3"/>
    <tableColumn id="8" xr3:uid="{00000000-0010-0000-0100-000008000000}" name="IVA 21 %" totalsRowFunction="sum" dataDxfId="1723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722" dataCellStyle="Normal 3"/>
    <tableColumn id="10" xr3:uid="{00000000-0010-0000-0100-00000A000000}" name="IVA 10,5%" totalsRowFunction="sum" dataDxfId="1721" dataCellStyle="Normal 3"/>
    <tableColumn id="11" xr3:uid="{00000000-0010-0000-0100-00000B000000}" name="PERC. IVA" totalsRowFunction="sum" dataDxfId="1720" totalsRowDxfId="1719" dataCellStyle="Normal 3"/>
    <tableColumn id="12" xr3:uid="{00000000-0010-0000-0100-00000C000000}" name="PERC IIBB _x000a_BS AS" totalsRowFunction="sum" dataDxfId="1718" totalsRowDxfId="1717" dataCellStyle="Normal 3"/>
    <tableColumn id="13" xr3:uid="{00000000-0010-0000-0100-00000D000000}" name="PERC. IIBB CABA" totalsRowFunction="sum" dataDxfId="1716" totalsRowDxfId="1715" dataCellStyle="Normal 3"/>
    <tableColumn id="14" xr3:uid="{00000000-0010-0000-0100-00000E000000}" name="Otros / No Grav." totalsRowFunction="sum" dataDxfId="1714" totalsRowDxfId="1713" dataCellStyle="Normal 3"/>
    <tableColumn id="15" xr3:uid="{00000000-0010-0000-0100-00000F000000}" name="TOTAL" totalsRowFunction="sum" dataDxfId="1712" totalsRowDxfId="1711" dataCellStyle="Normal 3">
      <calculatedColumnFormula>SUM(compras_mes1[[#This Row],[NETO GRAVADO]:[Otros / No Grav.]])</calculatedColumnFormula>
    </tableColumn>
    <tableColumn id="16" xr3:uid="{00000000-0010-0000-0100-000010000000}" name="Tipo de Gasto" dataDxfId="1710" totalsRowDxfId="1709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708" totalsRowDxfId="1707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122:K168" totalsRowCount="1" headerRowDxfId="1706" totalsRowDxfId="1705" headerRowCellStyle="Normal 3">
  <autoFilter ref="D122:K167" xr:uid="{00000000-0009-0000-0100-00000A000000}">
    <filterColumn colId="6">
      <filters>
        <filter val="0"/>
      </filters>
    </filterColumn>
  </autoFilter>
  <sortState xmlns:xlrd2="http://schemas.microsoft.com/office/spreadsheetml/2017/richdata2" ref="D123:K167">
    <sortCondition ref="F122:F167"/>
  </sortState>
  <tableColumns count="8">
    <tableColumn id="1" xr3:uid="{00000000-0010-0000-0200-000001000000}" name="FECHA" totalsRowLabel="Total" dataDxfId="1704" totalsRowDxfId="1703" dataCellStyle="Normal 3"/>
    <tableColumn id="2" xr3:uid="{00000000-0010-0000-0200-000002000000}" name="PTO VTA" dataDxfId="1702" totalsRowDxfId="1701" dataCellStyle="Normal 3"/>
    <tableColumn id="3" xr3:uid="{00000000-0010-0000-0200-000003000000}" name="FC Nº" dataDxfId="1700" totalsRowDxfId="1699" dataCellStyle="Normal 3"/>
    <tableColumn id="4" xr3:uid="{00000000-0010-0000-0200-000004000000}" name="CUIT" dataDxfId="1698" totalsRowDxfId="1697" dataCellStyle="Normal 3"/>
    <tableColumn id="5" xr3:uid="{00000000-0010-0000-0200-000005000000}" name="RAZON SOCIAL" dataDxfId="1696" totalsRowDxfId="1695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694" totalsRowDxfId="1693" dataCellStyle="Normal 3"/>
    <tableColumn id="7" xr3:uid="{00000000-0010-0000-0200-000007000000}" name="TIPO DE GASTO" dataDxfId="1692" totalsRowDxfId="1691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690" totalsRowDxfId="1689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177:M187" totalsRowCount="1" headerRowDxfId="1688" dataDxfId="1686" headerRowBorderDxfId="1687" tableBorderDxfId="1685" totalsRowBorderDxfId="1684" dataCellStyle="Normal 3">
  <autoFilter ref="B177:M186" xr:uid="{00000000-0009-0000-0100-000001000000}"/>
  <tableColumns count="12">
    <tableColumn id="1" xr3:uid="{00000000-0010-0000-0300-000001000000}" name="FECHA" totalsRowLabel="Total" dataDxfId="1683" totalsRowDxfId="1682" dataCellStyle="Normal 3"/>
    <tableColumn id="2" xr3:uid="{00000000-0010-0000-0300-000002000000}" name="TIPO" dataDxfId="1681" totalsRowDxfId="1680" dataCellStyle="Normal 3"/>
    <tableColumn id="3" xr3:uid="{00000000-0010-0000-0300-000003000000}" name="PTO VENTA" dataDxfId="1679" totalsRowDxfId="1678" dataCellStyle="Normal 3"/>
    <tableColumn id="4" xr3:uid="{00000000-0010-0000-0300-000004000000}" name="Nº FACTURA" dataDxfId="1677" totalsRowDxfId="1676" dataCellStyle="Normal 3"/>
    <tableColumn id="5" xr3:uid="{00000000-0010-0000-0300-000005000000}" name="CUIT" dataDxfId="1675" totalsRowDxfId="1674" dataCellStyle="Normal 3"/>
    <tableColumn id="6" xr3:uid="{00000000-0010-0000-0300-000006000000}" name="RAZON SOCIAL" dataDxfId="1673" totalsRowDxfId="1672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671" totalsRowDxfId="1670" dataCellStyle="Normal 3"/>
    <tableColumn id="8" xr3:uid="{00000000-0010-0000-0300-000008000000}" name="IVA 21%" totalsRowFunction="sum" dataDxfId="1669" totalsRowDxfId="1668" dataCellStyle="Normal 3">
      <calculatedColumnFormula>venta_a_mes1[[#This Row],[IMPORTE NETO]]*0.21</calculatedColumnFormula>
    </tableColumn>
    <tableColumn id="9" xr3:uid="{00000000-0010-0000-0300-000009000000}" name="IVA 10,5%" totalsRowFunction="sum" dataDxfId="1667" totalsRowDxfId="1666" dataCellStyle="Normal 3"/>
    <tableColumn id="10" xr3:uid="{00000000-0010-0000-0300-00000A000000}" name="EXENTO" totalsRowFunction="sum" dataDxfId="1665" totalsRowDxfId="1664" dataCellStyle="Normal 3"/>
    <tableColumn id="11" xr3:uid="{00000000-0010-0000-0300-00000B000000}" name="TOTAL" totalsRowFunction="sum" dataDxfId="1663" totalsRowDxfId="1662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661" totalsRowDxfId="1660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191:M198" totalsRowCount="1" headerRowDxfId="1659" dataDxfId="1657" headerRowBorderDxfId="1658" tableBorderDxfId="1656" totalsRowBorderDxfId="1655" dataCellStyle="Normal 3">
  <autoFilter ref="B191:M197" xr:uid="{00000000-0009-0000-0100-000003000000}"/>
  <tableColumns count="12">
    <tableColumn id="1" xr3:uid="{00000000-0010-0000-0400-000001000000}" name="FECHA" totalsRowLabel="Total" dataDxfId="1654" totalsRowDxfId="1653" dataCellStyle="Normal 3"/>
    <tableColumn id="2" xr3:uid="{00000000-0010-0000-0400-000002000000}" name="TIPO" dataDxfId="1652" totalsRowDxfId="1651" dataCellStyle="Normal 3"/>
    <tableColumn id="3" xr3:uid="{00000000-0010-0000-0400-000003000000}" name="PTO VENTA" dataDxfId="1650" totalsRowDxfId="1649" dataCellStyle="Normal 3"/>
    <tableColumn id="4" xr3:uid="{00000000-0010-0000-0400-000004000000}" name="Nº FACTURA" dataDxfId="1648" totalsRowDxfId="1647" dataCellStyle="Normal 3"/>
    <tableColumn id="5" xr3:uid="{00000000-0010-0000-0400-000005000000}" name="CUIT" dataDxfId="1646" totalsRowDxfId="1645" dataCellStyle="Normal 3"/>
    <tableColumn id="6" xr3:uid="{00000000-0010-0000-0400-000006000000}" name="RAZON SOCIAL" dataDxfId="1644" totalsRowDxfId="1643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642" totalsRowDxfId="1641" dataCellStyle="Normal 3"/>
    <tableColumn id="8" xr3:uid="{00000000-0010-0000-0400-000008000000}" name="IVA 21%" totalsRowFunction="sum" dataDxfId="1640" totalsRowDxfId="1639" dataCellStyle="Normal 3"/>
    <tableColumn id="9" xr3:uid="{00000000-0010-0000-0400-000009000000}" name="IVA 10,5%" totalsRowFunction="sum" dataDxfId="1638" totalsRowDxfId="1637" dataCellStyle="Normal 3"/>
    <tableColumn id="10" xr3:uid="{00000000-0010-0000-0400-00000A000000}" name="EXENTO" totalsRowFunction="sum" dataDxfId="1636" totalsRowDxfId="1635" dataCellStyle="Normal 3"/>
    <tableColumn id="11" xr3:uid="{00000000-0010-0000-0400-00000B000000}" name="TOTAL" totalsRowFunction="sum" dataDxfId="1634" totalsRowDxfId="1633" dataCellStyle="Normal 3">
      <calculatedColumnFormula>SUM(ventas_b_mes1[[#This Row],[IMPORTE NETO]:[EXENTO]])</calculatedColumnFormula>
    </tableColumn>
    <tableColumn id="12" xr3:uid="{00000000-0010-0000-0400-00000C000000}" name="Provincia" totalsRowFunction="count" dataDxfId="1632" totalsRowDxfId="1631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113:L117" totalsRowCount="1" headerRowDxfId="1630" dataDxfId="1629" tableBorderDxfId="1628" dataCellStyle="Normal 3">
  <autoFilter ref="D113:L116" xr:uid="{00000000-0009-0000-0100-000004000000}"/>
  <tableColumns count="9">
    <tableColumn id="1" xr3:uid="{00000000-0010-0000-0500-000001000000}" name="FECHA" totalsRowLabel="Total" dataDxfId="1627" totalsRowDxfId="1626" dataCellStyle="Normal 3"/>
    <tableColumn id="2" xr3:uid="{00000000-0010-0000-0500-000002000000}" name="NRO CPTE" dataDxfId="1625" totalsRowDxfId="1624"/>
    <tableColumn id="3" xr3:uid="{00000000-0010-0000-0500-000003000000}" name="BANCO" dataDxfId="1623" totalsRowDxfId="1622"/>
    <tableColumn id="4" xr3:uid="{00000000-0010-0000-0500-000004000000}" name="NETO" totalsRowFunction="sum" dataDxfId="1621" totalsRowDxfId="1620" dataCellStyle="Normal 3"/>
    <tableColumn id="5" xr3:uid="{00000000-0010-0000-0500-000005000000}" name="IVA 21%" totalsRowFunction="sum" dataDxfId="1619" totalsRowDxfId="1618" dataCellStyle="Normal 3">
      <calculatedColumnFormula>extracto_banco_mes1[[#This Row],[NETO]]*0.21</calculatedColumnFormula>
    </tableColumn>
    <tableColumn id="6" xr3:uid="{00000000-0010-0000-0500-000006000000}" name="IVA 10,5%" totalsRowFunction="sum" dataDxfId="1617" totalsRowDxfId="1616" dataCellStyle="Normal 3"/>
    <tableColumn id="7" xr3:uid="{00000000-0010-0000-0500-000007000000}" name="RET IIBB CABA" totalsRowFunction="sum" dataDxfId="1615" totalsRowDxfId="1614" dataCellStyle="Normal 3"/>
    <tableColumn id="8" xr3:uid="{00000000-0010-0000-0500-000008000000}" name="PERC IVA" totalsRowFunction="sum" dataDxfId="1613" totalsRowDxfId="1612" dataCellStyle="Normal 3"/>
    <tableColumn id="9" xr3:uid="{00000000-0010-0000-0500-000009000000}" name="PERC IIBB" totalsRowFunction="sum" dataDxfId="1611" totalsRowDxfId="1610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207:L212" totalsRowShown="0" headerRowDxfId="1609" dataDxfId="1608" headerRowCellStyle="Normal 3" dataCellStyle="Normal 3">
  <autoFilter ref="C207:L212" xr:uid="{00000000-0009-0000-0100-000005000000}"/>
  <tableColumns count="10">
    <tableColumn id="1" xr3:uid="{00000000-0010-0000-0600-000001000000}" name="FECHA " dataDxfId="1607" dataCellStyle="Normal 3"/>
    <tableColumn id="2" xr3:uid="{00000000-0010-0000-0600-000002000000}" name="COMP Nº" dataDxfId="1606" dataCellStyle="Normal 3"/>
    <tableColumn id="3" xr3:uid="{00000000-0010-0000-0600-000003000000}" name="Columna1" dataDxfId="1605" dataCellStyle="Normal 3"/>
    <tableColumn id="4" xr3:uid="{00000000-0010-0000-0600-000004000000}" name="CUIT" dataDxfId="1604" dataCellStyle="Normal 3"/>
    <tableColumn id="5" xr3:uid="{00000000-0010-0000-0600-000005000000}" name="RAZON SOCIAL" dataDxfId="1603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602" dataCellStyle="Normal 3"/>
    <tableColumn id="7" xr3:uid="{00000000-0010-0000-0600-000007000000}" name="IVA" dataDxfId="1601" dataCellStyle="Normal 3"/>
    <tableColumn id="8" xr3:uid="{00000000-0010-0000-0600-000008000000}" name="SUSS" dataDxfId="1600" dataCellStyle="Normal 3"/>
    <tableColumn id="9" xr3:uid="{00000000-0010-0000-0600-000009000000}" name="IIBB BSAS" dataDxfId="1599" dataCellStyle="Normal 3"/>
    <tableColumn id="10" xr3:uid="{00000000-0010-0000-0600-00000A000000}" name="IIBB CABA" dataDxfId="1598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8:R122" totalsRowCount="1" headerRowDxfId="1597" totalsRowDxfId="1596">
  <autoFilter ref="B8:R121" xr:uid="{00000000-0009-0000-0100-000007000000}"/>
  <sortState xmlns:xlrd2="http://schemas.microsoft.com/office/spreadsheetml/2017/richdata2" ref="B9:R121">
    <sortCondition ref="B9:B121"/>
  </sortState>
  <tableColumns count="17">
    <tableColumn id="1" xr3:uid="{00000000-0010-0000-0700-000001000000}" name="FECHA" totalsRowLabel="Total" dataDxfId="1595" totalsRowDxfId="1594" dataCellStyle="Normal 3"/>
    <tableColumn id="2" xr3:uid="{00000000-0010-0000-0700-000002000000}" name="TIPO" dataDxfId="1593" totalsRowDxfId="1592" dataCellStyle="Normal 3"/>
    <tableColumn id="3" xr3:uid="{00000000-0010-0000-0700-000003000000}" name="PTO VTA" dataDxfId="1591" totalsRowDxfId="1590" dataCellStyle="Normal 3"/>
    <tableColumn id="4" xr3:uid="{00000000-0010-0000-0700-000004000000}" name="NRO. CPTE" dataDxfId="1589" totalsRowDxfId="1588" dataCellStyle="Normal 3"/>
    <tableColumn id="5" xr3:uid="{00000000-0010-0000-0700-000005000000}" name="CUIT" dataDxfId="1587" totalsRowDxfId="1586" dataCellStyle="Normal 3"/>
    <tableColumn id="6" xr3:uid="{00000000-0010-0000-0700-000006000000}" name="RAZON SOCIAL" dataDxfId="1585" totalsRowDxfId="1584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583" totalsRowDxfId="1582" dataCellStyle="Normal 3"/>
    <tableColumn id="8" xr3:uid="{00000000-0010-0000-0700-000008000000}" name="IVA 21 %" totalsRowFunction="sum" dataDxfId="1581" totalsRowDxfId="1580" dataCellStyle="Normal 3">
      <calculatedColumnFormula>IF(compras_mes2[[#This Row],[NETO GRAVADO]]="","",compras_mes2[[#This Row],[NETO GRAVADO]]*0.21)</calculatedColumnFormula>
    </tableColumn>
    <tableColumn id="9" xr3:uid="{00000000-0010-0000-0700-000009000000}" name="IVA 27%" totalsRowFunction="sum" dataDxfId="1579" totalsRowDxfId="1578" dataCellStyle="Normal 3"/>
    <tableColumn id="10" xr3:uid="{00000000-0010-0000-0700-00000A000000}" name="IVA 10,5%" totalsRowFunction="sum" dataDxfId="1577" totalsRowDxfId="1576" dataCellStyle="Normal 3"/>
    <tableColumn id="11" xr3:uid="{00000000-0010-0000-0700-00000B000000}" name="PERC. IVA" totalsRowFunction="sum" dataDxfId="1575" totalsRowDxfId="1574" dataCellStyle="Normal 3"/>
    <tableColumn id="12" xr3:uid="{00000000-0010-0000-0700-00000C000000}" name="PERC IIBB _x000a_BS AS" totalsRowFunction="sum" dataDxfId="1573" totalsRowDxfId="1572" dataCellStyle="Normal 3"/>
    <tableColumn id="13" xr3:uid="{00000000-0010-0000-0700-00000D000000}" name="PERC. IIBB CABA" totalsRowFunction="sum" dataDxfId="1571" totalsRowDxfId="1570" dataCellStyle="Normal 3"/>
    <tableColumn id="14" xr3:uid="{00000000-0010-0000-0700-00000E000000}" name="Otros / No Grav." totalsRowFunction="sum" dataDxfId="1569" totalsRowDxfId="1568" dataCellStyle="Normal 3"/>
    <tableColumn id="15" xr3:uid="{00000000-0010-0000-0700-00000F000000}" name="TOTAL" totalsRowFunction="sum" dataDxfId="1567" totalsRowDxfId="1566" dataCellStyle="Normal 3">
      <calculatedColumnFormula>SUM(compras_mes2[[#This Row],[NETO GRAVADO]:[Otros / No Grav.]])</calculatedColumnFormula>
    </tableColumn>
    <tableColumn id="16" xr3:uid="{00000000-0010-0000-0700-000010000000}" name="Tipo de Gasto" dataDxfId="1565" totalsRowDxfId="1564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563" totalsRowDxfId="1562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137:K183" totalsRowCount="1" headerRowDxfId="1561" totalsRowDxfId="1560" headerRowCellStyle="Normal 3">
  <autoFilter ref="D137:K182" xr:uid="{00000000-0009-0000-0100-000009000000}"/>
  <sortState xmlns:xlrd2="http://schemas.microsoft.com/office/spreadsheetml/2017/richdata2" ref="D138:K182">
    <sortCondition ref="F137:F182"/>
  </sortState>
  <tableColumns count="8">
    <tableColumn id="1" xr3:uid="{00000000-0010-0000-0800-000001000000}" name="FECHA" totalsRowLabel="Total" dataDxfId="1559" totalsRowDxfId="1558" dataCellStyle="Normal 3"/>
    <tableColumn id="2" xr3:uid="{00000000-0010-0000-0800-000002000000}" name="PTO VTA" dataDxfId="1557" totalsRowDxfId="1556" dataCellStyle="Normal 3"/>
    <tableColumn id="3" xr3:uid="{00000000-0010-0000-0800-000003000000}" name="FC Nº" dataDxfId="1555" totalsRowDxfId="1554" dataCellStyle="Normal 3"/>
    <tableColumn id="4" xr3:uid="{00000000-0010-0000-0800-000004000000}" name="CUIT" dataDxfId="1553" totalsRowDxfId="1552" dataCellStyle="Normal 3"/>
    <tableColumn id="5" xr3:uid="{00000000-0010-0000-0800-000005000000}" name="RAZON SOCIAL" dataDxfId="1551" totalsRowDxfId="1550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549" totalsRowDxfId="1548" dataCellStyle="Normal 3"/>
    <tableColumn id="7" xr3:uid="{00000000-0010-0000-0800-000007000000}" name="TIPO DE GASTO" dataDxfId="1547" totalsRowDxfId="1546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545" totalsRowDxfId="1544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192:M245" totalsRowCount="1" headerRowDxfId="1543" dataDxfId="1541" headerRowBorderDxfId="1542" tableBorderDxfId="1540" totalsRowBorderDxfId="1539" dataCellStyle="Normal 3">
  <autoFilter ref="B192:M244" xr:uid="{00000000-0009-0000-0100-00000B000000}"/>
  <tableColumns count="12">
    <tableColumn id="1" xr3:uid="{00000000-0010-0000-0900-000001000000}" name="FECHA" totalsRowLabel="Total" dataDxfId="1538" totalsRowDxfId="1537" dataCellStyle="Normal 3"/>
    <tableColumn id="2" xr3:uid="{00000000-0010-0000-0900-000002000000}" name="TIPO" dataDxfId="1536" totalsRowDxfId="1535" dataCellStyle="Normal 3"/>
    <tableColumn id="3" xr3:uid="{00000000-0010-0000-0900-000003000000}" name="PTO VENTA" dataDxfId="1534" totalsRowDxfId="1533" dataCellStyle="Normal 3"/>
    <tableColumn id="4" xr3:uid="{00000000-0010-0000-0900-000004000000}" name="Nº FACTURA" dataDxfId="1532" totalsRowDxfId="1531" dataCellStyle="Normal 3"/>
    <tableColumn id="5" xr3:uid="{00000000-0010-0000-0900-000005000000}" name="CUIT" dataDxfId="1530" totalsRowDxfId="1529" dataCellStyle="Normal 3"/>
    <tableColumn id="6" xr3:uid="{00000000-0010-0000-0900-000006000000}" name="RAZON SOCIAL" dataDxfId="1528" totalsRowDxfId="1527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526" totalsRowDxfId="1525" dataCellStyle="Normal 3"/>
    <tableColumn id="8" xr3:uid="{00000000-0010-0000-0900-000008000000}" name="IVA 21%" totalsRowFunction="sum" dataDxfId="1524" totalsRowDxfId="1523" dataCellStyle="Normal 3">
      <calculatedColumnFormula>venta_a_mes2[[#This Row],[IMPORTE NETO]]*0.21</calculatedColumnFormula>
    </tableColumn>
    <tableColumn id="9" xr3:uid="{00000000-0010-0000-0900-000009000000}" name="IVA 10,5%" totalsRowFunction="sum" dataDxfId="1522" totalsRowDxfId="1521" dataCellStyle="Normal 3"/>
    <tableColumn id="10" xr3:uid="{00000000-0010-0000-0900-00000A000000}" name="EXENTO" totalsRowFunction="sum" dataDxfId="1520" totalsRowDxfId="1519" dataCellStyle="Normal 3"/>
    <tableColumn id="11" xr3:uid="{00000000-0010-0000-0900-00000B000000}" name="TOTAL" totalsRowFunction="sum" dataDxfId="1518" totalsRowDxfId="1517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516" totalsRowDxfId="1515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247:M475" totalsRowCount="1" headerRowDxfId="1514" dataDxfId="1512" headerRowBorderDxfId="1513" tableBorderDxfId="1511" totalsRowBorderDxfId="1510" dataCellStyle="Normal 3">
  <autoFilter ref="B247:M474" xr:uid="{00000000-0009-0000-0100-00000C000000}"/>
  <tableColumns count="12">
    <tableColumn id="1" xr3:uid="{00000000-0010-0000-0A00-000001000000}" name="FECHA" totalsRowLabel="Total" dataDxfId="1509" totalsRowDxfId="1508" dataCellStyle="Normal 3"/>
    <tableColumn id="2" xr3:uid="{00000000-0010-0000-0A00-000002000000}" name="TIPO" dataDxfId="1507" totalsRowDxfId="1506" dataCellStyle="Normal 3"/>
    <tableColumn id="3" xr3:uid="{00000000-0010-0000-0A00-000003000000}" name="PTO VENTA" dataDxfId="1505" totalsRowDxfId="1504" dataCellStyle="Normal 3"/>
    <tableColumn id="4" xr3:uid="{00000000-0010-0000-0A00-000004000000}" name="Nº FACTURA" dataDxfId="1503" totalsRowDxfId="1502" dataCellStyle="Normal 3"/>
    <tableColumn id="5" xr3:uid="{00000000-0010-0000-0A00-000005000000}" name="CUIT" dataDxfId="1501" totalsRowDxfId="1500" dataCellStyle="Normal 3"/>
    <tableColumn id="6" xr3:uid="{00000000-0010-0000-0A00-000006000000}" name="RAZON SOCIAL" dataDxfId="1499" totalsRowDxfId="1498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497" totalsRowDxfId="1496" dataCellStyle="Normal 3"/>
    <tableColumn id="8" xr3:uid="{00000000-0010-0000-0A00-000008000000}" name="IVA 21%" totalsRowFunction="sum" dataDxfId="1495" totalsRowDxfId="1494" dataCellStyle="Normal 3">
      <calculatedColumnFormula>ventas_b_mes2[[#This Row],[IMPORTE NETO]]*0.21</calculatedColumnFormula>
    </tableColumn>
    <tableColumn id="9" xr3:uid="{00000000-0010-0000-0A00-000009000000}" name="IVA 10,5%" totalsRowFunction="sum" dataDxfId="1493" totalsRowDxfId="1492" dataCellStyle="Normal 3"/>
    <tableColumn id="10" xr3:uid="{00000000-0010-0000-0A00-00000A000000}" name="EXENTO" totalsRowFunction="sum" dataDxfId="1491" totalsRowDxfId="1490" dataCellStyle="Normal 3"/>
    <tableColumn id="11" xr3:uid="{00000000-0010-0000-0A00-00000B000000}" name="TOTAL" totalsRowFunction="sum" dataDxfId="1489" totalsRowDxfId="1488" dataCellStyle="Normal 3">
      <calculatedColumnFormula>SUM(ventas_b_mes2[[#This Row],[IMPORTE NETO]:[EXENTO]])</calculatedColumnFormula>
    </tableColumn>
    <tableColumn id="12" xr3:uid="{00000000-0010-0000-0A00-00000C000000}" name="Provincia" totalsRowFunction="count" dataDxfId="1487" totalsRowDxfId="1486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128:L132" totalsRowCount="1" headerRowDxfId="1485" dataDxfId="1484" tableBorderDxfId="1483" dataCellStyle="Normal 3">
  <autoFilter ref="D128:L131" xr:uid="{00000000-0009-0000-0100-00000D000000}"/>
  <tableColumns count="9">
    <tableColumn id="1" xr3:uid="{00000000-0010-0000-0B00-000001000000}" name="FECHA" totalsRowLabel="Total" dataDxfId="1482" totalsRowDxfId="1481" dataCellStyle="Normal 3"/>
    <tableColumn id="2" xr3:uid="{00000000-0010-0000-0B00-000002000000}" name="NRO CPTE" dataDxfId="1480" totalsRowDxfId="1479"/>
    <tableColumn id="3" xr3:uid="{00000000-0010-0000-0B00-000003000000}" name="BANCO" dataDxfId="1478" totalsRowDxfId="1477"/>
    <tableColumn id="4" xr3:uid="{00000000-0010-0000-0B00-000004000000}" name="NETO" totalsRowFunction="sum" dataDxfId="1476" totalsRowDxfId="1475" dataCellStyle="Normal 3"/>
    <tableColumn id="5" xr3:uid="{00000000-0010-0000-0B00-000005000000}" name="IVA 21%" totalsRowFunction="sum" dataDxfId="1474" totalsRowDxfId="1473" dataCellStyle="Normal 3"/>
    <tableColumn id="6" xr3:uid="{00000000-0010-0000-0B00-000006000000}" name="IVA 10,5%" totalsRowFunction="sum" dataDxfId="1472" totalsRowDxfId="1471" dataCellStyle="Normal 3"/>
    <tableColumn id="7" xr3:uid="{00000000-0010-0000-0B00-000007000000}" name="RET IIBB CABA" totalsRowFunction="sum" dataDxfId="1470" totalsRowDxfId="1469" dataCellStyle="Normal 3"/>
    <tableColumn id="8" xr3:uid="{00000000-0010-0000-0B00-000008000000}" name="PERC IVA" totalsRowFunction="sum" dataDxfId="1468" totalsRowDxfId="1467" dataCellStyle="Normal 3"/>
    <tableColumn id="9" xr3:uid="{00000000-0010-0000-0B00-000009000000}" name="PERC IIBB" totalsRowFunction="sum" dataDxfId="1466" totalsRowDxfId="1465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477:L504" totalsRowShown="0" headerRowDxfId="1464" dataDxfId="1463" headerRowCellStyle="Normal 3" dataCellStyle="Normal 3">
  <autoFilter ref="C477:L504" xr:uid="{00000000-0009-0000-0100-00000E000000}"/>
  <tableColumns count="10">
    <tableColumn id="1" xr3:uid="{00000000-0010-0000-0C00-000001000000}" name="FECHA " dataDxfId="1462" dataCellStyle="Normal 3"/>
    <tableColumn id="2" xr3:uid="{00000000-0010-0000-0C00-000002000000}" name="COMP Nº" dataDxfId="1461" dataCellStyle="Normal 3"/>
    <tableColumn id="3" xr3:uid="{00000000-0010-0000-0C00-000003000000}" name="Columna1" dataDxfId="1460" dataCellStyle="Normal 3"/>
    <tableColumn id="4" xr3:uid="{00000000-0010-0000-0C00-000004000000}" name="CUIT" dataDxfId="1459" dataCellStyle="Normal 3"/>
    <tableColumn id="5" xr3:uid="{00000000-0010-0000-0C00-000005000000}" name="RAZON SOCIAL" dataDxfId="1458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457" dataCellStyle="Normal 3"/>
    <tableColumn id="7" xr3:uid="{00000000-0010-0000-0C00-000007000000}" name="IVA" dataDxfId="1456" dataCellStyle="Normal 3"/>
    <tableColumn id="8" xr3:uid="{00000000-0010-0000-0C00-000008000000}" name="SUSS" dataDxfId="1455" dataCellStyle="Normal 3"/>
    <tableColumn id="9" xr3:uid="{00000000-0010-0000-0C00-000009000000}" name="IIBB BSAS" dataDxfId="1454" dataCellStyle="Normal 3"/>
    <tableColumn id="10" xr3:uid="{00000000-0010-0000-0C00-00000A000000}" name="IIBB CABA" dataDxfId="1453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compras_mes3" displayName="compras_mes3" ref="B8:R127" totalsRowCount="1" headerRowDxfId="1452" totalsRowDxfId="1451">
  <autoFilter ref="B8:R126" xr:uid="{00000000-0009-0000-0100-00000F000000}"/>
  <sortState xmlns:xlrd2="http://schemas.microsoft.com/office/spreadsheetml/2017/richdata2" ref="B9:R126">
    <sortCondition ref="B9:B126"/>
  </sortState>
  <tableColumns count="17">
    <tableColumn id="1" xr3:uid="{00000000-0010-0000-0D00-000001000000}" name="FECHA" totalsRowLabel="Total" dataDxfId="1450" totalsRowDxfId="1449" dataCellStyle="Normal 3"/>
    <tableColumn id="2" xr3:uid="{00000000-0010-0000-0D00-000002000000}" name="TIPO" dataDxfId="1448" totalsRowDxfId="1447" dataCellStyle="Normal 3"/>
    <tableColumn id="3" xr3:uid="{00000000-0010-0000-0D00-000003000000}" name="PTO VTA" dataDxfId="1446" totalsRowDxfId="1445" dataCellStyle="Normal 3"/>
    <tableColumn id="4" xr3:uid="{00000000-0010-0000-0D00-000004000000}" name="NRO. CPTE" dataDxfId="1444" totalsRowDxfId="1443" dataCellStyle="Normal 3"/>
    <tableColumn id="5" xr3:uid="{00000000-0010-0000-0D00-000005000000}" name="CUIT" dataDxfId="1442" totalsRowDxfId="1441" dataCellStyle="Normal 3"/>
    <tableColumn id="6" xr3:uid="{00000000-0010-0000-0D00-000006000000}" name="RAZON SOCIAL" dataDxfId="1440" totalsRowDxfId="1439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D00-000007000000}" name="NETO GRAVADO" totalsRowFunction="sum" dataDxfId="1438" totalsRowDxfId="1437" dataCellStyle="Normal 3"/>
    <tableColumn id="8" xr3:uid="{00000000-0010-0000-0D00-000008000000}" name="IVA 21 %" totalsRowFunction="sum" dataDxfId="1436" totalsRowDxfId="1435" dataCellStyle="Normal 3">
      <calculatedColumnFormula>IF(compras_mes3[[#This Row],[NETO GRAVADO]]="","",compras_mes3[[#This Row],[NETO GRAVADO]]*0.21)</calculatedColumnFormula>
    </tableColumn>
    <tableColumn id="9" xr3:uid="{00000000-0010-0000-0D00-000009000000}" name="IVA 27%" totalsRowFunction="sum" dataDxfId="1434" totalsRowDxfId="1433" dataCellStyle="Normal 3"/>
    <tableColumn id="10" xr3:uid="{00000000-0010-0000-0D00-00000A000000}" name="IVA 10,5%" totalsRowFunction="sum" dataDxfId="1432" totalsRowDxfId="1431" dataCellStyle="Normal 3"/>
    <tableColumn id="11" xr3:uid="{00000000-0010-0000-0D00-00000B000000}" name="PERC. IVA" totalsRowFunction="sum" dataDxfId="1430" totalsRowDxfId="1429" dataCellStyle="Normal 3"/>
    <tableColumn id="12" xr3:uid="{00000000-0010-0000-0D00-00000C000000}" name="PERC IIBB _x000a_BS AS" totalsRowFunction="sum" dataDxfId="1428" totalsRowDxfId="1427" dataCellStyle="Normal 3"/>
    <tableColumn id="13" xr3:uid="{00000000-0010-0000-0D00-00000D000000}" name="PERC. IIBB CABA" totalsRowFunction="sum" dataDxfId="1426" totalsRowDxfId="1425" dataCellStyle="Normal 3"/>
    <tableColumn id="14" xr3:uid="{00000000-0010-0000-0D00-00000E000000}" name="Otros / No Grav." totalsRowFunction="sum" dataDxfId="1424" totalsRowDxfId="1423" dataCellStyle="Normal 3"/>
    <tableColumn id="15" xr3:uid="{00000000-0010-0000-0D00-00000F000000}" name="TOTAL" totalsRowFunction="sum" dataDxfId="1422" totalsRowDxfId="1421" dataCellStyle="Normal 3">
      <calculatedColumnFormula>SUM(compras_mes3[[#This Row],[NETO GRAVADO]:[Otros / No Grav.]])</calculatedColumnFormula>
    </tableColumn>
    <tableColumn id="16" xr3:uid="{00000000-0010-0000-0D00-000010000000}" name="Tipo de Gasto" dataDxfId="1420" totalsRowDxfId="1419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D00-000011000000}" name="Provincia" dataDxfId="1418" totalsRowDxfId="1417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factura_c_mes3" displayName="factura_c_mes3" ref="D142:K180" totalsRowCount="1" headerRowDxfId="1416" totalsRowDxfId="1415" headerRowCellStyle="Normal 3">
  <autoFilter ref="D142:K179" xr:uid="{00000000-0009-0000-0100-000010000000}">
    <filterColumn colId="2">
      <filters>
        <filter val="00000087"/>
      </filters>
    </filterColumn>
  </autoFilter>
  <sortState xmlns:xlrd2="http://schemas.microsoft.com/office/spreadsheetml/2017/richdata2" ref="D143:K179">
    <sortCondition ref="D143:D179"/>
  </sortState>
  <tableColumns count="8">
    <tableColumn id="1" xr3:uid="{00000000-0010-0000-0E00-000001000000}" name="FECHA" totalsRowLabel="Total" dataDxfId="1414" totalsRowDxfId="1413" dataCellStyle="Normal 3"/>
    <tableColumn id="2" xr3:uid="{00000000-0010-0000-0E00-000002000000}" name="PTO VTA" dataDxfId="1412" totalsRowDxfId="1411" dataCellStyle="Normal 3"/>
    <tableColumn id="3" xr3:uid="{00000000-0010-0000-0E00-000003000000}" name="FC Nº" dataDxfId="1410" totalsRowDxfId="1409" dataCellStyle="Normal 3"/>
    <tableColumn id="4" xr3:uid="{00000000-0010-0000-0E00-000004000000}" name="CUIT" dataDxfId="1408" totalsRowDxfId="1407" dataCellStyle="Normal 3"/>
    <tableColumn id="5" xr3:uid="{00000000-0010-0000-0E00-000005000000}" name="RAZON SOCIAL" dataDxfId="1406" totalsRowDxfId="1405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E00-000006000000}" name="TOTAL" totalsRowFunction="sum" dataDxfId="1404" totalsRowDxfId="1403" dataCellStyle="Normal 3"/>
    <tableColumn id="7" xr3:uid="{00000000-0010-0000-0E00-000007000000}" name="TIPO DE GASTO" dataDxfId="1402" totalsRowDxfId="1401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E00-000008000000}" name="Provincia" dataDxfId="1400" totalsRowDxfId="1399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venta_a_mes3" displayName="venta_a_mes3" ref="B189:M199" totalsRowCount="1" headerRowDxfId="1398" dataDxfId="1396" headerRowBorderDxfId="1397" tableBorderDxfId="1395" totalsRowBorderDxfId="1394" dataCellStyle="Normal 3">
  <autoFilter ref="B189:M198" xr:uid="{00000000-0009-0000-0100-000011000000}"/>
  <tableColumns count="12">
    <tableColumn id="1" xr3:uid="{00000000-0010-0000-0F00-000001000000}" name="FECHA" totalsRowLabel="Total" dataDxfId="1393" totalsRowDxfId="1392" dataCellStyle="Normal 3"/>
    <tableColumn id="2" xr3:uid="{00000000-0010-0000-0F00-000002000000}" name="TIPO" dataDxfId="1391" totalsRowDxfId="1390" dataCellStyle="Normal 3"/>
    <tableColumn id="3" xr3:uid="{00000000-0010-0000-0F00-000003000000}" name="PTO VENTA" dataDxfId="1389" totalsRowDxfId="1388" dataCellStyle="Normal 3"/>
    <tableColumn id="4" xr3:uid="{00000000-0010-0000-0F00-000004000000}" name="Nº FACTURA" dataDxfId="1387" totalsRowDxfId="1386" dataCellStyle="Normal 3"/>
    <tableColumn id="5" xr3:uid="{00000000-0010-0000-0F00-000005000000}" name="CUIT" dataDxfId="1385" totalsRowDxfId="1384" dataCellStyle="Normal 3"/>
    <tableColumn id="6" xr3:uid="{00000000-0010-0000-0F00-000006000000}" name="RAZON SOCIAL" dataDxfId="1383" totalsRowDxfId="1382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0F00-000007000000}" name="IMPORTE NETO" totalsRowFunction="sum" dataDxfId="1381" totalsRowDxfId="1380" dataCellStyle="Normal 3"/>
    <tableColumn id="8" xr3:uid="{00000000-0010-0000-0F00-000008000000}" name="IVA 21%" totalsRowFunction="sum" dataDxfId="1379" totalsRowDxfId="1378" dataCellStyle="Normal 3">
      <calculatedColumnFormula>venta_a_mes3[[#This Row],[IMPORTE NETO]]*0.21</calculatedColumnFormula>
    </tableColumn>
    <tableColumn id="9" xr3:uid="{00000000-0010-0000-0F00-000009000000}" name="IVA 10,5%" totalsRowFunction="sum" dataDxfId="1377" totalsRowDxfId="1376" dataCellStyle="Normal 3"/>
    <tableColumn id="10" xr3:uid="{00000000-0010-0000-0F00-00000A000000}" name="EXENTO" totalsRowFunction="sum" dataDxfId="1375" totalsRowDxfId="1374" dataCellStyle="Normal 3"/>
    <tableColumn id="11" xr3:uid="{00000000-0010-0000-0F00-00000B000000}" name="TOTAL" totalsRowFunction="sum" dataDxfId="1373" totalsRowDxfId="1372" dataCellStyle="Normal 3">
      <calculatedColumnFormula>SUM(venta_a_mes3[[#This Row],[IMPORTE NETO]:[EXENTO]])</calculatedColumnFormula>
    </tableColumn>
    <tableColumn id="12" xr3:uid="{00000000-0010-0000-0F00-00000C000000}" name="Provincia" totalsRowFunction="count" dataDxfId="1371" totalsRowDxfId="1370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ventas_b_mes3" displayName="ventas_b_mes3" ref="B203:M210" totalsRowCount="1" headerRowDxfId="1369" dataDxfId="1367" headerRowBorderDxfId="1368" tableBorderDxfId="1366" totalsRowBorderDxfId="1365" dataCellStyle="Normal 3">
  <autoFilter ref="B203:M209" xr:uid="{00000000-0009-0000-0100-000012000000}"/>
  <tableColumns count="12">
    <tableColumn id="1" xr3:uid="{00000000-0010-0000-1000-000001000000}" name="FECHA" totalsRowLabel="Total" dataDxfId="1364" totalsRowDxfId="1363" dataCellStyle="Normal 3"/>
    <tableColumn id="2" xr3:uid="{00000000-0010-0000-1000-000002000000}" name="TIPO" dataDxfId="1362" totalsRowDxfId="1361" dataCellStyle="Normal 3"/>
    <tableColumn id="3" xr3:uid="{00000000-0010-0000-1000-000003000000}" name="PTO VENTA" dataDxfId="1360" totalsRowDxfId="1359" dataCellStyle="Normal 3"/>
    <tableColumn id="4" xr3:uid="{00000000-0010-0000-1000-000004000000}" name="Nº FACTURA" dataDxfId="1358" totalsRowDxfId="1357" dataCellStyle="Normal 3"/>
    <tableColumn id="5" xr3:uid="{00000000-0010-0000-1000-000005000000}" name="CUIT" dataDxfId="1356" totalsRowDxfId="1355" dataCellStyle="Normal 3"/>
    <tableColumn id="6" xr3:uid="{00000000-0010-0000-1000-000006000000}" name="RAZON SOCIAL" dataDxfId="1354" totalsRowDxfId="1353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000-000007000000}" name="IMPORTE NETO" totalsRowFunction="sum" dataDxfId="1352" totalsRowDxfId="1351" dataCellStyle="Normal 3"/>
    <tableColumn id="8" xr3:uid="{00000000-0010-0000-1000-000008000000}" name="IVA 21%" totalsRowFunction="sum" dataDxfId="1350" totalsRowDxfId="1349" dataCellStyle="Normal 3"/>
    <tableColumn id="9" xr3:uid="{00000000-0010-0000-1000-000009000000}" name="IVA 10,5%" totalsRowFunction="sum" dataDxfId="1348" totalsRowDxfId="1347" dataCellStyle="Normal 3"/>
    <tableColumn id="10" xr3:uid="{00000000-0010-0000-1000-00000A000000}" name="EXENTO" totalsRowFunction="sum" dataDxfId="1346" totalsRowDxfId="1345" dataCellStyle="Normal 3"/>
    <tableColumn id="11" xr3:uid="{00000000-0010-0000-1000-00000B000000}" name="TOTAL" totalsRowFunction="sum" dataDxfId="1344" totalsRowDxfId="1343" dataCellStyle="Normal 3">
      <calculatedColumnFormula>SUM(ventas_b_mes3[[#This Row],[IMPORTE NETO]:[EXENTO]])</calculatedColumnFormula>
    </tableColumn>
    <tableColumn id="12" xr3:uid="{00000000-0010-0000-1000-00000C000000}" name="Provincia" totalsRowFunction="count" dataDxfId="1342" totalsRowDxfId="1341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extracto_banco_mes3" displayName="extracto_banco_mes3" ref="D133:L137" totalsRowCount="1" headerRowDxfId="1340" dataDxfId="1339" tableBorderDxfId="1338" dataCellStyle="Normal 3">
  <autoFilter ref="D133:L136" xr:uid="{00000000-0009-0000-0100-000013000000}"/>
  <tableColumns count="9">
    <tableColumn id="1" xr3:uid="{00000000-0010-0000-1100-000001000000}" name="FECHA" totalsRowLabel="Total" dataDxfId="1337" totalsRowDxfId="1336" dataCellStyle="Normal 3"/>
    <tableColumn id="2" xr3:uid="{00000000-0010-0000-1100-000002000000}" name="NRO CPTE" dataDxfId="1335" totalsRowDxfId="1334" dataCellStyle="Normal 3"/>
    <tableColumn id="3" xr3:uid="{00000000-0010-0000-1100-000003000000}" name="BANCO" dataDxfId="1333" totalsRowDxfId="1332"/>
    <tableColumn id="4" xr3:uid="{00000000-0010-0000-1100-000004000000}" name="NETO" totalsRowFunction="sum" dataDxfId="1331" totalsRowDxfId="1330" dataCellStyle="Normal 3"/>
    <tableColumn id="5" xr3:uid="{00000000-0010-0000-1100-000005000000}" name="IVA 21%" totalsRowFunction="sum" dataDxfId="1329" totalsRowDxfId="1328" dataCellStyle="Normal 3">
      <calculatedColumnFormula>extracto_banco_mes3[[#This Row],[NETO]]*0.21</calculatedColumnFormula>
    </tableColumn>
    <tableColumn id="6" xr3:uid="{00000000-0010-0000-1100-000006000000}" name="IVA 10,5%" totalsRowFunction="sum" dataDxfId="1327" totalsRowDxfId="1326" dataCellStyle="Normal 3"/>
    <tableColumn id="7" xr3:uid="{00000000-0010-0000-1100-000007000000}" name="RET IIBB CABA" totalsRowFunction="sum" dataDxfId="1325" totalsRowDxfId="1324" dataCellStyle="Normal 3"/>
    <tableColumn id="8" xr3:uid="{00000000-0010-0000-1100-000008000000}" name="PERC IVA" totalsRowFunction="sum" dataDxfId="1323" totalsRowDxfId="1322" dataCellStyle="Normal 3"/>
    <tableColumn id="9" xr3:uid="{00000000-0010-0000-1100-000009000000}" name="PERC IIBB" totalsRowFunction="sum" dataDxfId="1321" totalsRowDxfId="1320" dataCellStyle="Normal 3"/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Retenciones_mes3" displayName="Retenciones_mes3" ref="C219:L224" totalsRowShown="0" headerRowDxfId="1319" dataDxfId="1318" headerRowCellStyle="Normal 3" dataCellStyle="Normal 3">
  <autoFilter ref="C219:L224" xr:uid="{00000000-0009-0000-0100-000014000000}"/>
  <tableColumns count="10">
    <tableColumn id="1" xr3:uid="{00000000-0010-0000-1200-000001000000}" name="FECHA " dataDxfId="1317" dataCellStyle="Normal 3"/>
    <tableColumn id="2" xr3:uid="{00000000-0010-0000-1200-000002000000}" name="COMP Nº" dataDxfId="1316" dataCellStyle="Normal 3"/>
    <tableColumn id="3" xr3:uid="{00000000-0010-0000-1200-000003000000}" name="Columna1" dataDxfId="1315" dataCellStyle="Normal 3"/>
    <tableColumn id="4" xr3:uid="{00000000-0010-0000-1200-000004000000}" name="CUIT" dataDxfId="1314" dataCellStyle="Normal 3"/>
    <tableColumn id="5" xr3:uid="{00000000-0010-0000-1200-000005000000}" name="RAZON SOCIAL" dataDxfId="1313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200-000006000000}" name="Ganancias" dataDxfId="1312" dataCellStyle="Normal 3"/>
    <tableColumn id="7" xr3:uid="{00000000-0010-0000-1200-000007000000}" name="IVA" dataDxfId="1311" dataCellStyle="Normal 3"/>
    <tableColumn id="8" xr3:uid="{00000000-0010-0000-1200-000008000000}" name="SUSS" dataDxfId="1310" dataCellStyle="Normal 3"/>
    <tableColumn id="9" xr3:uid="{00000000-0010-0000-1200-000009000000}" name="IIBB BSAS" dataDxfId="1309" dataCellStyle="Normal 3"/>
    <tableColumn id="10" xr3:uid="{00000000-0010-0000-1200-00000A000000}" name="IIBB CABA" dataDxfId="1308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compras_mes4" displayName="compras_mes4" ref="B8:R118" totalsRowCount="1" headerRowDxfId="1307" dataDxfId="1306" totalsRowDxfId="1305">
  <autoFilter ref="B8:R117" xr:uid="{00000000-0009-0000-0100-000015000000}"/>
  <sortState xmlns:xlrd2="http://schemas.microsoft.com/office/spreadsheetml/2017/richdata2" ref="B49:R49">
    <sortCondition ref="E8:E117"/>
  </sortState>
  <tableColumns count="17">
    <tableColumn id="1" xr3:uid="{00000000-0010-0000-1300-000001000000}" name="FECHA" totalsRowLabel="Total" dataDxfId="1304" totalsRowDxfId="1303" dataCellStyle="Normal 3"/>
    <tableColumn id="2" xr3:uid="{00000000-0010-0000-1300-000002000000}" name="TIPO" dataDxfId="1302" totalsRowDxfId="1301" dataCellStyle="Normal 3"/>
    <tableColumn id="3" xr3:uid="{00000000-0010-0000-1300-000003000000}" name="PTO VTA" dataDxfId="1300" totalsRowDxfId="1299" dataCellStyle="Normal 3"/>
    <tableColumn id="4" xr3:uid="{00000000-0010-0000-1300-000004000000}" name="NRO. CPTE" dataDxfId="1298" totalsRowDxfId="1297" dataCellStyle="Normal 3"/>
    <tableColumn id="5" xr3:uid="{00000000-0010-0000-1300-000005000000}" name="CUIT" dataDxfId="1296" totalsRowDxfId="1295" dataCellStyle="Normal 3"/>
    <tableColumn id="6" xr3:uid="{00000000-0010-0000-1300-000006000000}" name="RAZON SOCIAL" dataDxfId="1294" totalsRowDxfId="1293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300-000007000000}" name="NETO GRAVADO" totalsRowFunction="sum" dataDxfId="1292" totalsRowDxfId="1291" dataCellStyle="Normal 3"/>
    <tableColumn id="8" xr3:uid="{00000000-0010-0000-1300-000008000000}" name="IVA 21 %" totalsRowFunction="sum" dataDxfId="1290" totalsRowDxfId="1289" dataCellStyle="Normal 3">
      <calculatedColumnFormula>IF(compras_mes4[[#This Row],[NETO GRAVADO]]="","",compras_mes4[[#This Row],[NETO GRAVADO]]*0.21)</calculatedColumnFormula>
    </tableColumn>
    <tableColumn id="9" xr3:uid="{00000000-0010-0000-1300-000009000000}" name="IVA 27%" totalsRowFunction="sum" dataDxfId="1288" totalsRowDxfId="1287" dataCellStyle="Normal 3"/>
    <tableColumn id="10" xr3:uid="{00000000-0010-0000-1300-00000A000000}" name="IVA 10,5%" totalsRowFunction="sum" dataDxfId="1286" totalsRowDxfId="1285" dataCellStyle="Normal 3"/>
    <tableColumn id="11" xr3:uid="{00000000-0010-0000-1300-00000B000000}" name="PERC. IVA" totalsRowFunction="sum" dataDxfId="1284" totalsRowDxfId="1283" dataCellStyle="Normal 3"/>
    <tableColumn id="12" xr3:uid="{00000000-0010-0000-1300-00000C000000}" name="PERC IIBB _x000a_BS AS" totalsRowFunction="sum" dataDxfId="1282" totalsRowDxfId="1281" dataCellStyle="Normal 3"/>
    <tableColumn id="13" xr3:uid="{00000000-0010-0000-1300-00000D000000}" name="PERC. IIBB CABA" totalsRowFunction="sum" dataDxfId="1280" totalsRowDxfId="1279" dataCellStyle="Normal 3"/>
    <tableColumn id="14" xr3:uid="{00000000-0010-0000-1300-00000E000000}" name="Otros / No Grav." totalsRowFunction="sum" dataDxfId="1278" totalsRowDxfId="1277" dataCellStyle="Normal 3"/>
    <tableColumn id="15" xr3:uid="{00000000-0010-0000-1300-00000F000000}" name="TOTAL" totalsRowFunction="sum" dataDxfId="1276" totalsRowDxfId="1275" dataCellStyle="Normal 3">
      <calculatedColumnFormula>SUM(compras_mes4[[#This Row],[NETO GRAVADO]:[Otros / No Grav.]])</calculatedColumnFormula>
    </tableColumn>
    <tableColumn id="16" xr3:uid="{00000000-0010-0000-1300-000010000000}" name="Tipo de Gasto" dataDxfId="1274" totalsRowDxfId="1273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300-000011000000}" name="Provincia" dataDxfId="1272" totalsRowDxfId="1271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factura_c_mes4" displayName="factura_c_mes4" ref="D133:K181" totalsRowCount="1" headerRowDxfId="1270" totalsRowDxfId="1269" headerRowCellStyle="Normal 3">
  <autoFilter ref="D133:K180" xr:uid="{00000000-0009-0000-0100-000016000000}"/>
  <tableColumns count="8">
    <tableColumn id="1" xr3:uid="{00000000-0010-0000-1400-000001000000}" name="FECHA" totalsRowLabel="Total" dataDxfId="1268" totalsRowDxfId="1267" dataCellStyle="Normal 3"/>
    <tableColumn id="2" xr3:uid="{00000000-0010-0000-1400-000002000000}" name="PTO VTA" dataDxfId="1266" totalsRowDxfId="1265" dataCellStyle="Normal 3"/>
    <tableColumn id="3" xr3:uid="{00000000-0010-0000-1400-000003000000}" name="FC Nº" dataDxfId="1264" totalsRowDxfId="1263" dataCellStyle="Normal 3"/>
    <tableColumn id="4" xr3:uid="{00000000-0010-0000-1400-000004000000}" name="CUIT" dataDxfId="1262" totalsRowDxfId="1261" dataCellStyle="Normal 3"/>
    <tableColumn id="5" xr3:uid="{00000000-0010-0000-1400-000005000000}" name="RAZON SOCIAL" dataDxfId="1260" totalsRowDxfId="1259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400-000006000000}" name="TOTAL" totalsRowFunction="sum" dataDxfId="1258" totalsRowDxfId="1257" dataCellStyle="Normal 3"/>
    <tableColumn id="7" xr3:uid="{00000000-0010-0000-1400-000007000000}" name="TIPO DE GASTO" dataDxfId="1256" totalsRowDxfId="1255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400-000008000000}" name="Provincia" dataDxfId="1254" totalsRowDxfId="1253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venta_a_mes4" displayName="venta_a_mes4" ref="B190:M254" totalsRowCount="1" headerRowDxfId="1252" dataDxfId="1250" headerRowBorderDxfId="1251" tableBorderDxfId="1249" totalsRowBorderDxfId="1248" dataCellStyle="Normal 3">
  <autoFilter ref="B190:M253" xr:uid="{00000000-0009-0000-0100-000017000000}"/>
  <tableColumns count="12">
    <tableColumn id="1" xr3:uid="{00000000-0010-0000-1500-000001000000}" name="FECHA" totalsRowLabel="Total" dataDxfId="1247" totalsRowDxfId="1246" dataCellStyle="Normal 3"/>
    <tableColumn id="2" xr3:uid="{00000000-0010-0000-1500-000002000000}" name="TIPO" dataDxfId="1245" totalsRowDxfId="1244" dataCellStyle="Normal 3"/>
    <tableColumn id="3" xr3:uid="{00000000-0010-0000-1500-000003000000}" name="PTO VENTA" dataDxfId="1243" totalsRowDxfId="1242" dataCellStyle="Normal 3"/>
    <tableColumn id="4" xr3:uid="{00000000-0010-0000-1500-000004000000}" name="Nº FACTURA" dataDxfId="1241" totalsRowDxfId="1240" dataCellStyle="Normal 3"/>
    <tableColumn id="5" xr3:uid="{00000000-0010-0000-1500-000005000000}" name="CUIT" dataDxfId="1239" totalsRowDxfId="1238" dataCellStyle="Normal 3"/>
    <tableColumn id="6" xr3:uid="{00000000-0010-0000-1500-000006000000}" name="RAZON SOCIAL" dataDxfId="1237" totalsRowDxfId="1236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500-000007000000}" name="IMPORTE NETO" totalsRowFunction="sum" dataDxfId="1235" totalsRowDxfId="1234" dataCellStyle="Normal 3"/>
    <tableColumn id="8" xr3:uid="{00000000-0010-0000-1500-000008000000}" name="IVA 21%" totalsRowFunction="sum" dataDxfId="1233" totalsRowDxfId="1232" dataCellStyle="Normal 3">
      <calculatedColumnFormula>venta_a_mes4[[#This Row],[IMPORTE NETO]]*0.21</calculatedColumnFormula>
    </tableColumn>
    <tableColumn id="9" xr3:uid="{00000000-0010-0000-1500-000009000000}" name="IVA 10,5%" totalsRowFunction="sum" dataDxfId="1231" totalsRowDxfId="1230" dataCellStyle="Normal 3"/>
    <tableColumn id="10" xr3:uid="{00000000-0010-0000-1500-00000A000000}" name="EXENTO" totalsRowFunction="sum" dataDxfId="1229" totalsRowDxfId="1228" dataCellStyle="Normal 3"/>
    <tableColumn id="11" xr3:uid="{00000000-0010-0000-1500-00000B000000}" name="TOTAL" totalsRowFunction="sum" dataDxfId="1227" totalsRowDxfId="1226" dataCellStyle="Normal 3">
      <calculatedColumnFormula>SUM(venta_a_mes4[[#This Row],[IMPORTE NETO]:[EXENTO]])</calculatedColumnFormula>
    </tableColumn>
    <tableColumn id="12" xr3:uid="{00000000-0010-0000-1500-00000C000000}" name="Provincia" totalsRowFunction="count" dataDxfId="1225" totalsRowDxfId="1224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ventas_b_mes4" displayName="ventas_b_mes4" ref="B256:M520" totalsRowCount="1" headerRowDxfId="1223" dataDxfId="1221" headerRowBorderDxfId="1222" tableBorderDxfId="1220" totalsRowBorderDxfId="1219" dataCellStyle="Normal 3">
  <autoFilter ref="B256:M519" xr:uid="{00000000-0009-0000-0100-000018000000}"/>
  <tableColumns count="12">
    <tableColumn id="1" xr3:uid="{00000000-0010-0000-1600-000001000000}" name="FECHA" totalsRowLabel="Total" dataDxfId="1218" totalsRowDxfId="1217" dataCellStyle="Normal 3"/>
    <tableColumn id="2" xr3:uid="{00000000-0010-0000-1600-000002000000}" name="TIPO" dataDxfId="1216" totalsRowDxfId="1215" dataCellStyle="Normal 3"/>
    <tableColumn id="3" xr3:uid="{00000000-0010-0000-1600-000003000000}" name="PTO VENTA" dataDxfId="1214" totalsRowDxfId="1213" dataCellStyle="Normal 3"/>
    <tableColumn id="4" xr3:uid="{00000000-0010-0000-1600-000004000000}" name="Nº FACTURA" dataDxfId="1212" totalsRowDxfId="1211" dataCellStyle="Normal 3"/>
    <tableColumn id="5" xr3:uid="{00000000-0010-0000-1600-000005000000}" name="CUIT" dataDxfId="1210" totalsRowDxfId="1209" dataCellStyle="Normal 3"/>
    <tableColumn id="6" xr3:uid="{00000000-0010-0000-1600-000006000000}" name="RAZON SOCIAL" dataDxfId="1208" totalsRowDxfId="1207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600-000007000000}" name="IMPORTE NETO" totalsRowFunction="sum" dataDxfId="1206" totalsRowDxfId="1205" dataCellStyle="Normal 3"/>
    <tableColumn id="8" xr3:uid="{00000000-0010-0000-1600-000008000000}" name="IVA 21%" totalsRowFunction="sum" dataDxfId="1204" totalsRowDxfId="1203" dataCellStyle="Normal 3">
      <calculatedColumnFormula>ventas_b_mes4[[#This Row],[IMPORTE NETO]]*0.21</calculatedColumnFormula>
    </tableColumn>
    <tableColumn id="9" xr3:uid="{00000000-0010-0000-1600-000009000000}" name="IVA 10,5%" totalsRowFunction="sum" dataDxfId="1202" totalsRowDxfId="1201" dataCellStyle="Normal 3"/>
    <tableColumn id="10" xr3:uid="{00000000-0010-0000-1600-00000A000000}" name="EXENTO" totalsRowFunction="sum" dataDxfId="1200" totalsRowDxfId="1199" dataCellStyle="Normal 3"/>
    <tableColumn id="11" xr3:uid="{00000000-0010-0000-1600-00000B000000}" name="TOTAL" totalsRowFunction="sum" dataDxfId="1198" totalsRowDxfId="1197" dataCellStyle="Normal 3">
      <calculatedColumnFormula>SUM(ventas_b_mes4[[#This Row],[IMPORTE NETO]:[EXENTO]])</calculatedColumnFormula>
    </tableColumn>
    <tableColumn id="12" xr3:uid="{00000000-0010-0000-1600-00000C000000}" name="Provincia" totalsRowFunction="count" dataDxfId="1196" totalsRowDxfId="1195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xtracto_banco_mes4" displayName="extracto_banco_mes4" ref="D124:L128" totalsRowCount="1" headerRowDxfId="1194" dataDxfId="1193" tableBorderDxfId="1192" dataCellStyle="Normal 3">
  <autoFilter ref="D124:L127" xr:uid="{00000000-0009-0000-0100-000019000000}"/>
  <tableColumns count="9">
    <tableColumn id="1" xr3:uid="{00000000-0010-0000-1700-000001000000}" name="FECHA" totalsRowLabel="Total" dataDxfId="1191" totalsRowDxfId="1190" dataCellStyle="Normal 3"/>
    <tableColumn id="2" xr3:uid="{00000000-0010-0000-1700-000002000000}" name="NRO CPTE" dataDxfId="1189" totalsRowDxfId="1188"/>
    <tableColumn id="3" xr3:uid="{00000000-0010-0000-1700-000003000000}" name="BANCO" dataDxfId="1187" totalsRowDxfId="1186"/>
    <tableColumn id="4" xr3:uid="{00000000-0010-0000-1700-000004000000}" name="NETO" totalsRowFunction="sum" dataDxfId="1185" totalsRowDxfId="1184" dataCellStyle="Normal 3"/>
    <tableColumn id="5" xr3:uid="{00000000-0010-0000-1700-000005000000}" name="IVA 21%" totalsRowFunction="sum" dataDxfId="1183" totalsRowDxfId="1182" dataCellStyle="Normal 3">
      <calculatedColumnFormula>extracto_banco_mes4[[#This Row],[NETO]]*0.21</calculatedColumnFormula>
    </tableColumn>
    <tableColumn id="6" xr3:uid="{00000000-0010-0000-1700-000006000000}" name="IVA 10,5%" totalsRowFunction="sum" dataDxfId="1181" totalsRowDxfId="1180" dataCellStyle="Normal 3"/>
    <tableColumn id="7" xr3:uid="{00000000-0010-0000-1700-000007000000}" name="RET IIBB CABA" totalsRowFunction="sum" dataDxfId="1179" totalsRowDxfId="1178" dataCellStyle="Normal 3"/>
    <tableColumn id="8" xr3:uid="{00000000-0010-0000-1700-000008000000}" name="PERC IVA" totalsRowFunction="sum" dataDxfId="1177" totalsRowDxfId="1176" dataCellStyle="Normal 3"/>
    <tableColumn id="9" xr3:uid="{00000000-0010-0000-1700-000009000000}" name="PERC IIBB" totalsRowFunction="sum" dataDxfId="1175" totalsRowDxfId="1174" dataCellStyle="Normal 3"/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Retenciones_mes4" displayName="Retenciones_mes4" ref="C522:L527" totalsRowShown="0" headerRowDxfId="1173" dataDxfId="1172" headerRowCellStyle="Normal 3" dataCellStyle="Normal 3">
  <autoFilter ref="C522:L527" xr:uid="{00000000-0009-0000-0100-00001A000000}"/>
  <tableColumns count="10">
    <tableColumn id="1" xr3:uid="{00000000-0010-0000-1800-000001000000}" name="FECHA " dataDxfId="1171" dataCellStyle="Normal 3"/>
    <tableColumn id="2" xr3:uid="{00000000-0010-0000-1800-000002000000}" name="COMP Nº" dataDxfId="1170" dataCellStyle="Normal 3"/>
    <tableColumn id="3" xr3:uid="{00000000-0010-0000-1800-000003000000}" name="Columna1" dataDxfId="1169" dataCellStyle="Normal 3"/>
    <tableColumn id="4" xr3:uid="{00000000-0010-0000-1800-000004000000}" name="CUIT" dataDxfId="1168" dataCellStyle="Normal 3"/>
    <tableColumn id="5" xr3:uid="{00000000-0010-0000-1800-000005000000}" name="RAZON SOCIAL" dataDxfId="1167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800-000006000000}" name="Ganancias" dataDxfId="1166" dataCellStyle="Normal 3"/>
    <tableColumn id="7" xr3:uid="{00000000-0010-0000-1800-000007000000}" name="IVA" dataDxfId="1165" dataCellStyle="Normal 3"/>
    <tableColumn id="8" xr3:uid="{00000000-0010-0000-1800-000008000000}" name="SUSS" dataDxfId="1164" dataCellStyle="Normal 3"/>
    <tableColumn id="9" xr3:uid="{00000000-0010-0000-1800-000009000000}" name="IIBB BSAS" dataDxfId="1163" dataCellStyle="Normal 3"/>
    <tableColumn id="10" xr3:uid="{00000000-0010-0000-1800-00000A000000}" name="IIBB CABA" dataDxfId="1162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9000000}" name="compras_mes5" displayName="compras_mes5" ref="B8:R102" totalsRowCount="1" headerRowDxfId="1161" totalsRowDxfId="1160">
  <autoFilter ref="B8:R101" xr:uid="{00000000-0009-0000-0100-00002D000000}"/>
  <sortState xmlns:xlrd2="http://schemas.microsoft.com/office/spreadsheetml/2017/richdata2" ref="B9:R101">
    <sortCondition ref="B8:B101"/>
  </sortState>
  <tableColumns count="17">
    <tableColumn id="1" xr3:uid="{00000000-0010-0000-1900-000001000000}" name="FECHA" totalsRowLabel="Total" dataDxfId="1159" totalsRowDxfId="1158" dataCellStyle="Normal 3"/>
    <tableColumn id="2" xr3:uid="{00000000-0010-0000-1900-000002000000}" name="TIPO" dataDxfId="1157" totalsRowDxfId="1156" dataCellStyle="Normal 3"/>
    <tableColumn id="3" xr3:uid="{00000000-0010-0000-1900-000003000000}" name="PTO VTA" dataDxfId="1155" totalsRowDxfId="1154" dataCellStyle="Normal 3"/>
    <tableColumn id="4" xr3:uid="{00000000-0010-0000-1900-000004000000}" name="NRO. CPTE" dataDxfId="1153" totalsRowDxfId="1152" dataCellStyle="Normal 3"/>
    <tableColumn id="5" xr3:uid="{00000000-0010-0000-1900-000005000000}" name="CUIT" dataDxfId="1151" totalsRowDxfId="1150" dataCellStyle="Normal 3"/>
    <tableColumn id="6" xr3:uid="{00000000-0010-0000-1900-000006000000}" name="RAZON SOCIAL" dataDxfId="1149" totalsRowDxfId="1148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900-000007000000}" name="NETO GRAVADO" totalsRowFunction="sum" dataDxfId="1147" totalsRowDxfId="1146" dataCellStyle="Normal 3"/>
    <tableColumn id="8" xr3:uid="{00000000-0010-0000-1900-000008000000}" name="IVA 21 %" totalsRowFunction="sum" dataDxfId="1145" totalsRowDxfId="1144" dataCellStyle="Normal 3">
      <calculatedColumnFormula>IF(compras_mes5[[#This Row],[NETO GRAVADO]]="","",compras_mes5[[#This Row],[NETO GRAVADO]]*0.21)</calculatedColumnFormula>
    </tableColumn>
    <tableColumn id="9" xr3:uid="{00000000-0010-0000-1900-000009000000}" name="IVA 27%" totalsRowFunction="sum" dataDxfId="1143" totalsRowDxfId="1142" dataCellStyle="Normal 3"/>
    <tableColumn id="10" xr3:uid="{00000000-0010-0000-1900-00000A000000}" name="IVA 10,5%" totalsRowFunction="sum" dataDxfId="1141" totalsRowDxfId="1140" dataCellStyle="Normal 3"/>
    <tableColumn id="11" xr3:uid="{00000000-0010-0000-1900-00000B000000}" name="PERC. IVA" totalsRowFunction="sum" dataDxfId="1139" totalsRowDxfId="1138" dataCellStyle="Normal 3"/>
    <tableColumn id="12" xr3:uid="{00000000-0010-0000-1900-00000C000000}" name="PERC IIBB _x000a_BS AS" totalsRowFunction="sum" dataDxfId="1137" totalsRowDxfId="1136" dataCellStyle="Normal 3"/>
    <tableColumn id="13" xr3:uid="{00000000-0010-0000-1900-00000D000000}" name="PERC. IIBB CABA" totalsRowFunction="sum" dataDxfId="1135" totalsRowDxfId="1134" dataCellStyle="Normal 3"/>
    <tableColumn id="14" xr3:uid="{00000000-0010-0000-1900-00000E000000}" name="Otros / No Grav." totalsRowFunction="sum" dataDxfId="1133" totalsRowDxfId="1132" dataCellStyle="Normal 3"/>
    <tableColumn id="15" xr3:uid="{00000000-0010-0000-1900-00000F000000}" name="TOTAL" totalsRowFunction="sum" dataDxfId="1131" totalsRowDxfId="1130" dataCellStyle="Normal 3">
      <calculatedColumnFormula>SUM(compras_mes5[[#This Row],[NETO GRAVADO]:[Otros / No Grav.]])</calculatedColumnFormula>
    </tableColumn>
    <tableColumn id="16" xr3:uid="{00000000-0010-0000-1900-000010000000}" name="Tipo de Gasto" dataDxfId="1129" totalsRowDxfId="1128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900-000011000000}" name="Provincia" dataDxfId="1127" totalsRowDxfId="1126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A000000}" name="factura_c_mes5" displayName="factura_c_mes5" ref="D117:K152" totalsRowCount="1" headerRowDxfId="1125" totalsRowDxfId="1124" headerRowCellStyle="Normal 3">
  <autoFilter ref="D117:K151" xr:uid="{00000000-0009-0000-0100-00002E000000}"/>
  <sortState xmlns:xlrd2="http://schemas.microsoft.com/office/spreadsheetml/2017/richdata2" ref="D118:K151">
    <sortCondition ref="D118:D151"/>
  </sortState>
  <tableColumns count="8">
    <tableColumn id="1" xr3:uid="{00000000-0010-0000-1A00-000001000000}" name="FECHA" totalsRowLabel="Total" dataDxfId="1123" totalsRowDxfId="1122" dataCellStyle="Normal 3"/>
    <tableColumn id="2" xr3:uid="{00000000-0010-0000-1A00-000002000000}" name="PTO VTA" dataDxfId="1121" totalsRowDxfId="1120" dataCellStyle="Normal 3"/>
    <tableColumn id="3" xr3:uid="{00000000-0010-0000-1A00-000003000000}" name="FC Nº" dataDxfId="1119" totalsRowDxfId="1118" dataCellStyle="Normal 3"/>
    <tableColumn id="4" xr3:uid="{00000000-0010-0000-1A00-000004000000}" name="CUIT" dataDxfId="1117" totalsRowDxfId="1116" dataCellStyle="Normal 3"/>
    <tableColumn id="5" xr3:uid="{00000000-0010-0000-1A00-000005000000}" name="RAZON SOCIAL" dataDxfId="1115" totalsRowDxfId="1114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A00-000006000000}" name="TOTAL" totalsRowFunction="sum" dataDxfId="1113" totalsRowDxfId="1112" dataCellStyle="Normal 3"/>
    <tableColumn id="7" xr3:uid="{00000000-0010-0000-1A00-000007000000}" name="TIPO DE GASTO" dataDxfId="1111" totalsRowDxfId="1110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A00-000008000000}" name="Provincia" dataDxfId="1109" totalsRowDxfId="1108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B000000}" name="venta_a_mes5" displayName="venta_a_mes5" ref="B160:M221" totalsRowCount="1" headerRowDxfId="1107" dataDxfId="1105" headerRowBorderDxfId="1106" tableBorderDxfId="1104" totalsRowBorderDxfId="1103" dataCellStyle="Normal 3">
  <autoFilter ref="B160:M220" xr:uid="{00000000-0009-0000-0100-00002F000000}"/>
  <tableColumns count="12">
    <tableColumn id="1" xr3:uid="{00000000-0010-0000-1B00-000001000000}" name="FECHA" totalsRowLabel="Total" dataDxfId="1102" totalsRowDxfId="1101" dataCellStyle="Normal 3"/>
    <tableColumn id="2" xr3:uid="{00000000-0010-0000-1B00-000002000000}" name="TIPO" dataDxfId="1100" totalsRowDxfId="1099" dataCellStyle="Normal 3"/>
    <tableColumn id="3" xr3:uid="{00000000-0010-0000-1B00-000003000000}" name="PTO VENTA" dataDxfId="1098" totalsRowDxfId="1097" dataCellStyle="Normal 3"/>
    <tableColumn id="4" xr3:uid="{00000000-0010-0000-1B00-000004000000}" name="Nº FACTURA" dataDxfId="1096" totalsRowDxfId="1095" dataCellStyle="Normal 3"/>
    <tableColumn id="5" xr3:uid="{00000000-0010-0000-1B00-000005000000}" name="CUIT" dataDxfId="1094" totalsRowDxfId="1093" dataCellStyle="Normal 3"/>
    <tableColumn id="6" xr3:uid="{00000000-0010-0000-1B00-000006000000}" name="RAZON SOCIAL" dataDxfId="1092" totalsRowDxfId="1091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B00-000007000000}" name="IMPORTE NETO" totalsRowFunction="sum" dataDxfId="1090" totalsRowDxfId="1089" dataCellStyle="Normal 3"/>
    <tableColumn id="8" xr3:uid="{00000000-0010-0000-1B00-000008000000}" name="IVA 21%" totalsRowFunction="sum" dataDxfId="1088" totalsRowDxfId="1087" dataCellStyle="Normal 3">
      <calculatedColumnFormula>venta_a_mes5[[#This Row],[IMPORTE NETO]]*0.21</calculatedColumnFormula>
    </tableColumn>
    <tableColumn id="9" xr3:uid="{00000000-0010-0000-1B00-000009000000}" name="IVA 10,5%" totalsRowFunction="sum" dataDxfId="1086" totalsRowDxfId="1085" dataCellStyle="Normal 3"/>
    <tableColumn id="10" xr3:uid="{00000000-0010-0000-1B00-00000A000000}" name="EXENTO" totalsRowFunction="sum" dataDxfId="1084" totalsRowDxfId="1083" dataCellStyle="Normal 3"/>
    <tableColumn id="11" xr3:uid="{00000000-0010-0000-1B00-00000B000000}" name="TOTAL" totalsRowFunction="sum" dataDxfId="1082" totalsRowDxfId="1081" dataCellStyle="Normal 3">
      <calculatedColumnFormula>SUM(venta_a_mes5[[#This Row],[IMPORTE NETO]:[EXENTO]])</calculatedColumnFormula>
    </tableColumn>
    <tableColumn id="12" xr3:uid="{00000000-0010-0000-1B00-00000C000000}" name="Provincia" totalsRowFunction="count" dataDxfId="1080" totalsRowDxfId="1079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C000000}" name="ventas_b_mes5" displayName="ventas_b_mes5" ref="B225:M545" totalsRowCount="1" headerRowDxfId="1078" dataDxfId="1076" headerRowBorderDxfId="1077" tableBorderDxfId="1075" totalsRowBorderDxfId="1074" dataCellStyle="Normal 3">
  <autoFilter ref="B225:M544" xr:uid="{00000000-0009-0000-0100-000030000000}"/>
  <tableColumns count="12">
    <tableColumn id="1" xr3:uid="{00000000-0010-0000-1C00-000001000000}" name="FECHA" totalsRowLabel="Total" dataDxfId="1073" totalsRowDxfId="1072" dataCellStyle="Normal 3"/>
    <tableColumn id="2" xr3:uid="{00000000-0010-0000-1C00-000002000000}" name="TIPO" dataDxfId="1071" totalsRowDxfId="1070" dataCellStyle="Normal 3"/>
    <tableColumn id="3" xr3:uid="{00000000-0010-0000-1C00-000003000000}" name="PTO VENTA" dataDxfId="1069" totalsRowDxfId="1068" dataCellStyle="Normal 3"/>
    <tableColumn id="4" xr3:uid="{00000000-0010-0000-1C00-000004000000}" name="Nº FACTURA" dataDxfId="1067" totalsRowDxfId="1066" dataCellStyle="Normal 3"/>
    <tableColumn id="5" xr3:uid="{00000000-0010-0000-1C00-000005000000}" name="CUIT" dataDxfId="1065" totalsRowDxfId="1064" dataCellStyle="Normal 3"/>
    <tableColumn id="6" xr3:uid="{00000000-0010-0000-1C00-000006000000}" name="RAZON SOCIAL" dataDxfId="1063" totalsRowDxfId="1062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C00-000007000000}" name="IMPORTE NETO" totalsRowFunction="sum" dataDxfId="1061" totalsRowDxfId="1060" dataCellStyle="Normal 3"/>
    <tableColumn id="8" xr3:uid="{00000000-0010-0000-1C00-000008000000}" name="IVA 21%" totalsRowFunction="sum" dataDxfId="1059" totalsRowDxfId="1058" dataCellStyle="Normal 3">
      <calculatedColumnFormula>ventas_b_mes5[[#This Row],[IMPORTE NETO]]*0.21</calculatedColumnFormula>
    </tableColumn>
    <tableColumn id="9" xr3:uid="{00000000-0010-0000-1C00-000009000000}" name="IVA 10,5%" totalsRowFunction="sum" dataDxfId="1057" totalsRowDxfId="1056" dataCellStyle="Normal 3"/>
    <tableColumn id="10" xr3:uid="{00000000-0010-0000-1C00-00000A000000}" name="EXENTO" totalsRowFunction="sum" dataDxfId="1055" totalsRowDxfId="1054" dataCellStyle="Normal 3"/>
    <tableColumn id="11" xr3:uid="{00000000-0010-0000-1C00-00000B000000}" name="TOTAL" totalsRowFunction="sum" dataDxfId="1053" totalsRowDxfId="1052" dataCellStyle="Normal 3">
      <calculatedColumnFormula>SUM(ventas_b_mes5[[#This Row],[IMPORTE NETO]:[EXENTO]])</calculatedColumnFormula>
    </tableColumn>
    <tableColumn id="12" xr3:uid="{00000000-0010-0000-1C00-00000C000000}" name="Provincia" totalsRowFunction="count" dataDxfId="1051" totalsRowDxfId="1050" dataCellStyle="Normal 3"/>
  </tableColumns>
  <tableStyleInfo name="Tabla Ventas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D000000}" name="extracto_banco_mes5" displayName="extracto_banco_mes5" ref="D108:L112" totalsRowCount="1" headerRowDxfId="1049" dataDxfId="1048" tableBorderDxfId="1047" dataCellStyle="Normal 3">
  <autoFilter ref="D108:L111" xr:uid="{00000000-0009-0000-0100-000031000000}"/>
  <tableColumns count="9">
    <tableColumn id="1" xr3:uid="{00000000-0010-0000-1D00-000001000000}" name="FECHA" totalsRowLabel="Total" dataDxfId="1046" totalsRowDxfId="1045" dataCellStyle="Normal 3"/>
    <tableColumn id="2" xr3:uid="{00000000-0010-0000-1D00-000002000000}" name="NRO CPTE" dataDxfId="1044" totalsRowDxfId="1043"/>
    <tableColumn id="3" xr3:uid="{00000000-0010-0000-1D00-000003000000}" name="BANCO" dataDxfId="1042" totalsRowDxfId="1041"/>
    <tableColumn id="4" xr3:uid="{00000000-0010-0000-1D00-000004000000}" name="NETO" totalsRowFunction="sum" dataDxfId="1040" totalsRowDxfId="1039" dataCellStyle="Normal 3"/>
    <tableColumn id="5" xr3:uid="{00000000-0010-0000-1D00-000005000000}" name="IVA 21%" totalsRowFunction="sum" dataDxfId="1038" totalsRowDxfId="1037" dataCellStyle="Normal 3"/>
    <tableColumn id="6" xr3:uid="{00000000-0010-0000-1D00-000006000000}" name="IVA 10,5%" totalsRowFunction="sum" dataDxfId="1036" totalsRowDxfId="1035" dataCellStyle="Normal 3"/>
    <tableColumn id="7" xr3:uid="{00000000-0010-0000-1D00-000007000000}" name="RET IIBB CABA" totalsRowFunction="sum" dataDxfId="1034" totalsRowDxfId="1033" dataCellStyle="Normal 3"/>
    <tableColumn id="8" xr3:uid="{00000000-0010-0000-1D00-000008000000}" name="PERC IVA" totalsRowFunction="sum" dataDxfId="1032" totalsRowDxfId="1031" dataCellStyle="Normal 3"/>
    <tableColumn id="9" xr3:uid="{00000000-0010-0000-1D00-000009000000}" name="PERC IIBB" totalsRowFunction="sum" dataDxfId="1030" totalsRowDxfId="1029" dataCellStyle="Normal 3"/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E000000}" name="Retenciones_mes5" displayName="Retenciones_mes5" ref="C547:L552" totalsRowShown="0" headerRowDxfId="1028" dataDxfId="1027" headerRowCellStyle="Normal 3" dataCellStyle="Normal 3">
  <autoFilter ref="C547:L552" xr:uid="{00000000-0009-0000-0100-000032000000}"/>
  <tableColumns count="10">
    <tableColumn id="1" xr3:uid="{00000000-0010-0000-1E00-000001000000}" name="FECHA " dataDxfId="1026" dataCellStyle="Normal 3"/>
    <tableColumn id="2" xr3:uid="{00000000-0010-0000-1E00-000002000000}" name="COMP Nº" dataDxfId="1025" dataCellStyle="Normal 3"/>
    <tableColumn id="3" xr3:uid="{00000000-0010-0000-1E00-000003000000}" name="Columna1" dataDxfId="1024" dataCellStyle="Normal 3"/>
    <tableColumn id="4" xr3:uid="{00000000-0010-0000-1E00-000004000000}" name="CUIT" dataDxfId="1023" dataCellStyle="Normal 3"/>
    <tableColumn id="5" xr3:uid="{00000000-0010-0000-1E00-000005000000}" name="RAZON SOCIAL" dataDxfId="1022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1E00-000006000000}" name="Ganancias" dataDxfId="1021" dataCellStyle="Normal 3"/>
    <tableColumn id="7" xr3:uid="{00000000-0010-0000-1E00-000007000000}" name="IVA" dataDxfId="1020" dataCellStyle="Normal 3"/>
    <tableColumn id="8" xr3:uid="{00000000-0010-0000-1E00-000008000000}" name="SUSS" dataDxfId="1019" dataCellStyle="Normal 3"/>
    <tableColumn id="9" xr3:uid="{00000000-0010-0000-1E00-000009000000}" name="IIBB BSAS" dataDxfId="1018" dataCellStyle="Normal 3"/>
    <tableColumn id="10" xr3:uid="{00000000-0010-0000-1E00-00000A000000}" name="IIBB CABA" dataDxfId="1017" dataCellStyle="Normal 3"/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F000000}" name="compras_mes6" displayName="compras_mes6" ref="B8:R104" totalsRowCount="1" headerRowDxfId="1016" totalsRowDxfId="1015">
  <autoFilter ref="B8:R103" xr:uid="{00000000-0009-0000-0100-00001B000000}"/>
  <sortState xmlns:xlrd2="http://schemas.microsoft.com/office/spreadsheetml/2017/richdata2" ref="B9:R103">
    <sortCondition ref="B8:B103"/>
  </sortState>
  <tableColumns count="17">
    <tableColumn id="1" xr3:uid="{00000000-0010-0000-1F00-000001000000}" name="FECHA" totalsRowLabel="Total" dataDxfId="1014" totalsRowDxfId="1013" dataCellStyle="Normal 3"/>
    <tableColumn id="2" xr3:uid="{00000000-0010-0000-1F00-000002000000}" name="TIPO" dataDxfId="1012" totalsRowDxfId="1011" dataCellStyle="Normal 3"/>
    <tableColumn id="3" xr3:uid="{00000000-0010-0000-1F00-000003000000}" name="PTO VTA" dataDxfId="1010" totalsRowDxfId="1009" dataCellStyle="Normal 3"/>
    <tableColumn id="4" xr3:uid="{00000000-0010-0000-1F00-000004000000}" name="NRO. CPTE" dataDxfId="1008" totalsRowDxfId="1007" dataCellStyle="Normal 3"/>
    <tableColumn id="5" xr3:uid="{00000000-0010-0000-1F00-000005000000}" name="CUIT" dataDxfId="1006" totalsRowDxfId="1005" dataCellStyle="Normal 3"/>
    <tableColumn id="6" xr3:uid="{00000000-0010-0000-1F00-000006000000}" name="RAZON SOCIAL" dataDxfId="1004" totalsRowDxfId="1003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1F00-000007000000}" name="NETO GRAVADO" totalsRowFunction="sum" dataDxfId="1002" totalsRowDxfId="1001" dataCellStyle="Normal 3"/>
    <tableColumn id="8" xr3:uid="{00000000-0010-0000-1F00-000008000000}" name="IVA 21 %" totalsRowFunction="sum" dataDxfId="1000" totalsRowDxfId="999" dataCellStyle="Normal 3">
      <calculatedColumnFormula>IF(compras_mes6[[#This Row],[NETO GRAVADO]]="","",compras_mes6[[#This Row],[NETO GRAVADO]]*0.21)</calculatedColumnFormula>
    </tableColumn>
    <tableColumn id="9" xr3:uid="{00000000-0010-0000-1F00-000009000000}" name="IVA 27%" totalsRowFunction="sum" dataDxfId="998" totalsRowDxfId="997" dataCellStyle="Normal 3"/>
    <tableColumn id="10" xr3:uid="{00000000-0010-0000-1F00-00000A000000}" name="IVA 10,5%" totalsRowFunction="sum" dataDxfId="996" totalsRowDxfId="995" dataCellStyle="Normal 3"/>
    <tableColumn id="11" xr3:uid="{00000000-0010-0000-1F00-00000B000000}" name="PERC. IVA" totalsRowFunction="sum" dataDxfId="994" totalsRowDxfId="993" dataCellStyle="Normal 3"/>
    <tableColumn id="12" xr3:uid="{00000000-0010-0000-1F00-00000C000000}" name="PERC IIBB _x000a_BS AS" totalsRowFunction="sum" dataDxfId="992" totalsRowDxfId="991" dataCellStyle="Normal 3"/>
    <tableColumn id="13" xr3:uid="{00000000-0010-0000-1F00-00000D000000}" name="PERC. IIBB CABA" totalsRowFunction="sum" dataDxfId="990" totalsRowDxfId="989" dataCellStyle="Normal 3"/>
    <tableColumn id="14" xr3:uid="{00000000-0010-0000-1F00-00000E000000}" name="Otros / No Grav." totalsRowFunction="sum" dataDxfId="988" totalsRowDxfId="987" dataCellStyle="Normal 3"/>
    <tableColumn id="15" xr3:uid="{00000000-0010-0000-1F00-00000F000000}" name="TOTAL" totalsRowFunction="sum" dataDxfId="986" totalsRowDxfId="985" dataCellStyle="Normal 3">
      <calculatedColumnFormula>SUM(compras_mes6[[#This Row],[NETO GRAVADO]:[Otros / No Grav.]])</calculatedColumnFormula>
    </tableColumn>
    <tableColumn id="16" xr3:uid="{00000000-0010-0000-1F00-000010000000}" name="Tipo de Gasto" dataDxfId="984" totalsRowDxfId="983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1F00-000011000000}" name="Provincia" dataDxfId="982" totalsRowDxfId="981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0000000}" name="factura_c_mes6" displayName="factura_c_mes6" ref="D119:K163" totalsRowCount="1" headerRowDxfId="980" totalsRowDxfId="979" headerRowCellStyle="Normal 3">
  <autoFilter ref="D119:K162" xr:uid="{00000000-0009-0000-0100-00001C000000}"/>
  <tableColumns count="8">
    <tableColumn id="1" xr3:uid="{00000000-0010-0000-2000-000001000000}" name="FECHA" totalsRowLabel="Total" dataDxfId="978" totalsRowDxfId="977" dataCellStyle="Normal 3"/>
    <tableColumn id="2" xr3:uid="{00000000-0010-0000-2000-000002000000}" name="PTO VTA" dataDxfId="976" totalsRowDxfId="975" dataCellStyle="Normal 3"/>
    <tableColumn id="3" xr3:uid="{00000000-0010-0000-2000-000003000000}" name="FC Nº" dataDxfId="974" totalsRowDxfId="973" dataCellStyle="Normal 3"/>
    <tableColumn id="4" xr3:uid="{00000000-0010-0000-2000-000004000000}" name="CUIT" dataDxfId="972" totalsRowDxfId="971" dataCellStyle="Normal 3"/>
    <tableColumn id="5" xr3:uid="{00000000-0010-0000-2000-000005000000}" name="RAZON SOCIAL" dataDxfId="970" totalsRowDxfId="969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000-000006000000}" name="TOTAL" totalsRowFunction="sum" dataDxfId="968" totalsRowDxfId="967" dataCellStyle="Normal 3"/>
    <tableColumn id="7" xr3:uid="{00000000-0010-0000-2000-000007000000}" name="TIPO DE GASTO" dataDxfId="966" totalsRowDxfId="965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000-000008000000}" name="Provincia" dataDxfId="964" totalsRowDxfId="963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1000000}" name="venta_a_mes6" displayName="venta_a_mes6" ref="B172:M180" totalsRowCount="1" headerRowDxfId="962" dataDxfId="960" headerRowBorderDxfId="961" tableBorderDxfId="959" totalsRowBorderDxfId="958" dataCellStyle="Normal 3">
  <autoFilter ref="B172:M179" xr:uid="{00000000-0009-0000-0100-00001D000000}"/>
  <tableColumns count="12">
    <tableColumn id="1" xr3:uid="{00000000-0010-0000-2100-000001000000}" name="FECHA" totalsRowLabel="Total" dataDxfId="957" totalsRowDxfId="956" dataCellStyle="Normal 3"/>
    <tableColumn id="2" xr3:uid="{00000000-0010-0000-2100-000002000000}" name="TIPO" dataDxfId="955" totalsRowDxfId="954" dataCellStyle="Normal 3"/>
    <tableColumn id="3" xr3:uid="{00000000-0010-0000-2100-000003000000}" name="PTO VENTA" dataDxfId="953" totalsRowDxfId="952" dataCellStyle="Normal 3"/>
    <tableColumn id="4" xr3:uid="{00000000-0010-0000-2100-000004000000}" name="Nº FACTURA" dataDxfId="951" totalsRowDxfId="950" dataCellStyle="Normal 3"/>
    <tableColumn id="5" xr3:uid="{00000000-0010-0000-2100-000005000000}" name="CUIT" dataDxfId="949" totalsRowDxfId="948" dataCellStyle="Normal 3"/>
    <tableColumn id="6" xr3:uid="{00000000-0010-0000-2100-000006000000}" name="RAZON SOCIAL" dataDxfId="947" totalsRowDxfId="946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100-000007000000}" name="IMPORTE NETO" totalsRowFunction="sum" dataDxfId="945" totalsRowDxfId="944" dataCellStyle="Normal 3"/>
    <tableColumn id="8" xr3:uid="{00000000-0010-0000-2100-000008000000}" name="IVA 21%" totalsRowFunction="sum" dataDxfId="943" totalsRowDxfId="942" dataCellStyle="Normal 3">
      <calculatedColumnFormula>venta_a_mes6[[#This Row],[IMPORTE NETO]]*0.21</calculatedColumnFormula>
    </tableColumn>
    <tableColumn id="9" xr3:uid="{00000000-0010-0000-2100-000009000000}" name="IVA 10,5%" totalsRowFunction="sum" dataDxfId="941" totalsRowDxfId="940" dataCellStyle="Normal 3"/>
    <tableColumn id="10" xr3:uid="{00000000-0010-0000-2100-00000A000000}" name="EXENTO" totalsRowFunction="sum" dataDxfId="939" totalsRowDxfId="938" dataCellStyle="Normal 3"/>
    <tableColumn id="11" xr3:uid="{00000000-0010-0000-2100-00000B000000}" name="TOTAL" totalsRowFunction="sum" dataDxfId="937" totalsRowDxfId="936" dataCellStyle="Normal 3">
      <calculatedColumnFormula>SUM(venta_a_mes6[[#This Row],[IMPORTE NETO]:[EXENTO]])</calculatedColumnFormula>
    </tableColumn>
    <tableColumn id="12" xr3:uid="{00000000-0010-0000-2100-00000C000000}" name="Provincia" totalsRowFunction="count" dataDxfId="935" totalsRowDxfId="934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2000000}" name="ventas_b_mes6" displayName="ventas_b_mes6" ref="B184:M191" totalsRowCount="1" headerRowDxfId="933" dataDxfId="931" headerRowBorderDxfId="932" tableBorderDxfId="930" totalsRowBorderDxfId="929" dataCellStyle="Normal 3">
  <autoFilter ref="B184:M190" xr:uid="{00000000-0009-0000-0100-00001E000000}"/>
  <tableColumns count="12">
    <tableColumn id="1" xr3:uid="{00000000-0010-0000-2200-000001000000}" name="FECHA" totalsRowLabel="Total" dataDxfId="928" totalsRowDxfId="927" dataCellStyle="Normal 3"/>
    <tableColumn id="2" xr3:uid="{00000000-0010-0000-2200-000002000000}" name="TIPO" dataDxfId="926" totalsRowDxfId="925" dataCellStyle="Normal 3"/>
    <tableColumn id="3" xr3:uid="{00000000-0010-0000-2200-000003000000}" name="PTO VENTA" dataDxfId="924" totalsRowDxfId="923" dataCellStyle="Normal 3"/>
    <tableColumn id="4" xr3:uid="{00000000-0010-0000-2200-000004000000}" name="Nº FACTURA" dataDxfId="922" totalsRowDxfId="921" dataCellStyle="Normal 3"/>
    <tableColumn id="5" xr3:uid="{00000000-0010-0000-2200-000005000000}" name="CUIT" dataDxfId="920" totalsRowDxfId="919" dataCellStyle="Normal 3"/>
    <tableColumn id="6" xr3:uid="{00000000-0010-0000-2200-000006000000}" name="RAZON SOCIAL" dataDxfId="918" totalsRowDxfId="917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200-000007000000}" name="IMPORTE NETO" totalsRowFunction="sum" dataDxfId="916" totalsRowDxfId="915" dataCellStyle="Normal 3"/>
    <tableColumn id="8" xr3:uid="{00000000-0010-0000-2200-000008000000}" name="IVA 21%" totalsRowFunction="sum" dataDxfId="914" totalsRowDxfId="913" dataCellStyle="Normal 3"/>
    <tableColumn id="9" xr3:uid="{00000000-0010-0000-2200-000009000000}" name="IVA 10,5%" totalsRowFunction="sum" dataDxfId="912" totalsRowDxfId="911" dataCellStyle="Normal 3"/>
    <tableColumn id="10" xr3:uid="{00000000-0010-0000-2200-00000A000000}" name="EXENTO" totalsRowFunction="sum" dataDxfId="910" totalsRowDxfId="909" dataCellStyle="Normal 3"/>
    <tableColumn id="11" xr3:uid="{00000000-0010-0000-2200-00000B000000}" name="TOTAL" totalsRowFunction="sum" dataDxfId="908" totalsRowDxfId="907" dataCellStyle="Normal 3">
      <calculatedColumnFormula>SUM(ventas_b_mes6[[#This Row],[IMPORTE NETO]:[EXENTO]])</calculatedColumnFormula>
    </tableColumn>
    <tableColumn id="12" xr3:uid="{00000000-0010-0000-2200-00000C000000}" name="Provincia" totalsRowFunction="count" dataDxfId="906" totalsRowDxfId="905" dataCellStyle="Normal 3"/>
  </tableColumns>
  <tableStyleInfo name="Tabla Ventas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3000000}" name="extracto_banco_mes6" displayName="extracto_banco_mes6" ref="D110:L114" totalsRowCount="1" headerRowDxfId="904" dataDxfId="903" tableBorderDxfId="902" dataCellStyle="Normal 3">
  <autoFilter ref="D110:L113" xr:uid="{00000000-0009-0000-0100-00001F000000}"/>
  <tableColumns count="9">
    <tableColumn id="1" xr3:uid="{00000000-0010-0000-2300-000001000000}" name="FECHA" totalsRowLabel="Total" dataDxfId="901" totalsRowDxfId="900" dataCellStyle="Normal 3"/>
    <tableColumn id="2" xr3:uid="{00000000-0010-0000-2300-000002000000}" name="NRO CPTE" dataDxfId="899" totalsRowDxfId="898"/>
    <tableColumn id="3" xr3:uid="{00000000-0010-0000-2300-000003000000}" name="BANCO" dataDxfId="897" totalsRowDxfId="896"/>
    <tableColumn id="4" xr3:uid="{00000000-0010-0000-2300-000004000000}" name="NETO" totalsRowFunction="sum" dataDxfId="895" totalsRowDxfId="894" dataCellStyle="Normal 3"/>
    <tableColumn id="5" xr3:uid="{00000000-0010-0000-2300-000005000000}" name="IVA 21%" totalsRowFunction="sum" dataDxfId="893" totalsRowDxfId="892" dataCellStyle="Normal 3">
      <calculatedColumnFormula>extracto_banco_mes6[[#This Row],[NETO]]*0.21</calculatedColumnFormula>
    </tableColumn>
    <tableColumn id="6" xr3:uid="{00000000-0010-0000-2300-000006000000}" name="IVA 10,5%" totalsRowFunction="sum" dataDxfId="891" totalsRowDxfId="890" dataCellStyle="Normal 3"/>
    <tableColumn id="7" xr3:uid="{00000000-0010-0000-2300-000007000000}" name="RET IIBB CABA" totalsRowFunction="sum" dataDxfId="889" totalsRowDxfId="888" dataCellStyle="Normal 3"/>
    <tableColumn id="8" xr3:uid="{00000000-0010-0000-2300-000008000000}" name="PERC IVA" totalsRowFunction="sum" dataDxfId="887" totalsRowDxfId="886" dataCellStyle="Normal 3"/>
    <tableColumn id="9" xr3:uid="{00000000-0010-0000-2300-000009000000}" name="PERC IIBB" totalsRowFunction="sum" dataDxfId="885" totalsRowDxfId="884" dataCellStyle="Normal 3"/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4000000}" name="Retenciones_mes6" displayName="Retenciones_mes6" ref="C200:L205" totalsRowShown="0" headerRowDxfId="883" dataDxfId="882" headerRowCellStyle="Normal 3" dataCellStyle="Normal 3">
  <autoFilter ref="C200:L205" xr:uid="{00000000-0009-0000-0100-000020000000}"/>
  <tableColumns count="10">
    <tableColumn id="1" xr3:uid="{00000000-0010-0000-2400-000001000000}" name="FECHA " dataDxfId="881" dataCellStyle="Normal 3"/>
    <tableColumn id="2" xr3:uid="{00000000-0010-0000-2400-000002000000}" name="COMP Nº" dataDxfId="880" dataCellStyle="Normal 3"/>
    <tableColumn id="3" xr3:uid="{00000000-0010-0000-2400-000003000000}" name="Columna1" dataDxfId="879" dataCellStyle="Normal 3"/>
    <tableColumn id="4" xr3:uid="{00000000-0010-0000-2400-000004000000}" name="CUIT" dataDxfId="878" dataCellStyle="Normal 3"/>
    <tableColumn id="5" xr3:uid="{00000000-0010-0000-2400-000005000000}" name="RAZON SOCIAL" dataDxfId="877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400-000006000000}" name="Ganancias" dataDxfId="876" dataCellStyle="Normal 3"/>
    <tableColumn id="7" xr3:uid="{00000000-0010-0000-2400-000007000000}" name="IVA" dataDxfId="875" dataCellStyle="Normal 3"/>
    <tableColumn id="8" xr3:uid="{00000000-0010-0000-2400-000008000000}" name="SUSS" dataDxfId="874" dataCellStyle="Normal 3"/>
    <tableColumn id="9" xr3:uid="{00000000-0010-0000-2400-000009000000}" name="IIBB BSAS" dataDxfId="873" dataCellStyle="Normal 3"/>
    <tableColumn id="10" xr3:uid="{00000000-0010-0000-2400-00000A000000}" name="IIBB CABA" dataDxfId="872" dataCellStyle="Normal 3"/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5000000}" name="compras_mes7" displayName="compras_mes7" ref="B8:R135" totalsRowCount="1" headerRowDxfId="871" totalsRowDxfId="870">
  <autoFilter ref="B8:R134" xr:uid="{00000000-0009-0000-0100-000027000000}"/>
  <sortState xmlns:xlrd2="http://schemas.microsoft.com/office/spreadsheetml/2017/richdata2" ref="B9:R134">
    <sortCondition ref="B9:B134"/>
  </sortState>
  <tableColumns count="17">
    <tableColumn id="1" xr3:uid="{00000000-0010-0000-2500-000001000000}" name="FECHA" totalsRowLabel="Total" dataDxfId="869" totalsRowDxfId="868" dataCellStyle="Normal 3"/>
    <tableColumn id="2" xr3:uid="{00000000-0010-0000-2500-000002000000}" name="TIPO" dataDxfId="867" totalsRowDxfId="866" dataCellStyle="Normal 3"/>
    <tableColumn id="3" xr3:uid="{00000000-0010-0000-2500-000003000000}" name="PTO VTA" dataDxfId="865" totalsRowDxfId="864" dataCellStyle="Normal 3"/>
    <tableColumn id="4" xr3:uid="{00000000-0010-0000-2500-000004000000}" name="NRO. CPTE" dataDxfId="863" totalsRowDxfId="862" dataCellStyle="Normal 3"/>
    <tableColumn id="5" xr3:uid="{00000000-0010-0000-2500-000005000000}" name="CUIT" dataDxfId="861" totalsRowDxfId="860" dataCellStyle="Normal 3"/>
    <tableColumn id="6" xr3:uid="{00000000-0010-0000-2500-000006000000}" name="RAZON SOCIAL" dataDxfId="859" totalsRowDxfId="858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500-000007000000}" name="NETO GRAVADO" totalsRowFunction="sum" dataDxfId="857" totalsRowDxfId="856" dataCellStyle="Normal 3"/>
    <tableColumn id="8" xr3:uid="{00000000-0010-0000-2500-000008000000}" name="IVA 21 %" totalsRowFunction="sum" dataDxfId="855" totalsRowDxfId="854" dataCellStyle="Normal 3">
      <calculatedColumnFormula>IF(compras_mes7[[#This Row],[NETO GRAVADO]]="","",compras_mes7[[#This Row],[NETO GRAVADO]]*0.21)</calculatedColumnFormula>
    </tableColumn>
    <tableColumn id="9" xr3:uid="{00000000-0010-0000-2500-000009000000}" name="IVA 27%" totalsRowFunction="sum" dataDxfId="853" totalsRowDxfId="852" dataCellStyle="Normal 3"/>
    <tableColumn id="10" xr3:uid="{00000000-0010-0000-2500-00000A000000}" name="IVA 10,5%" totalsRowFunction="sum" dataDxfId="851" totalsRowDxfId="850" dataCellStyle="Normal 3"/>
    <tableColumn id="11" xr3:uid="{00000000-0010-0000-2500-00000B000000}" name="PERC. IVA" totalsRowFunction="sum" dataDxfId="849" totalsRowDxfId="848" dataCellStyle="Normal 3"/>
    <tableColumn id="12" xr3:uid="{00000000-0010-0000-2500-00000C000000}" name="PERC IIBB _x000a_BS AS" totalsRowFunction="sum" dataDxfId="847" totalsRowDxfId="846" dataCellStyle="Normal 3"/>
    <tableColumn id="13" xr3:uid="{00000000-0010-0000-2500-00000D000000}" name="PERC. IIBB CABA" totalsRowFunction="sum" dataDxfId="845" totalsRowDxfId="844" dataCellStyle="Normal 3"/>
    <tableColumn id="14" xr3:uid="{00000000-0010-0000-2500-00000E000000}" name="Otros / No Grav." totalsRowFunction="sum" dataDxfId="843" totalsRowDxfId="842" dataCellStyle="Normal 3"/>
    <tableColumn id="15" xr3:uid="{00000000-0010-0000-2500-00000F000000}" name="TOTAL" totalsRowFunction="sum" dataDxfId="841" totalsRowDxfId="840" dataCellStyle="Normal 3">
      <calculatedColumnFormula>SUM(compras_mes7[[#This Row],[NETO GRAVADO]:[Otros / No Grav.]])</calculatedColumnFormula>
    </tableColumn>
    <tableColumn id="16" xr3:uid="{00000000-0010-0000-2500-000010000000}" name="Tipo de Gasto" dataDxfId="839" totalsRowDxfId="838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500-000011000000}" name="Provincia" dataDxfId="837" totalsRowDxfId="836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6000000}" name="factura_c_mes7" displayName="factura_c_mes7" ref="D150:K185" totalsRowCount="1" headerRowDxfId="835" totalsRowDxfId="834" headerRowCellStyle="Normal 3">
  <autoFilter ref="D150:K184" xr:uid="{00000000-0009-0000-0100-000028000000}"/>
  <tableColumns count="8">
    <tableColumn id="1" xr3:uid="{00000000-0010-0000-2600-000001000000}" name="FECHA" totalsRowLabel="Total" dataDxfId="833" totalsRowDxfId="832" dataCellStyle="Normal 3"/>
    <tableColumn id="2" xr3:uid="{00000000-0010-0000-2600-000002000000}" name="PTO VTA" dataDxfId="831" totalsRowDxfId="830" dataCellStyle="Normal 3"/>
    <tableColumn id="3" xr3:uid="{00000000-0010-0000-2600-000003000000}" name="FC Nº" dataDxfId="829" totalsRowDxfId="828" dataCellStyle="Normal 3"/>
    <tableColumn id="4" xr3:uid="{00000000-0010-0000-2600-000004000000}" name="CUIT" dataDxfId="827" totalsRowDxfId="826" dataCellStyle="Normal 3"/>
    <tableColumn id="5" xr3:uid="{00000000-0010-0000-2600-000005000000}" name="RAZON SOCIAL" dataDxfId="825" totalsRowDxfId="824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600-000006000000}" name="TOTAL" totalsRowFunction="sum" dataDxfId="823" totalsRowDxfId="822" dataCellStyle="Normal 3"/>
    <tableColumn id="7" xr3:uid="{00000000-0010-0000-2600-000007000000}" name="TIPO DE GASTO" dataDxfId="821" totalsRowDxfId="820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600-000008000000}" name="Provincia" dataDxfId="819" totalsRowDxfId="818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7000000}" name="venta_a_mes7" displayName="venta_a_mes7" ref="B194:M204" totalsRowCount="1" headerRowDxfId="817" dataDxfId="815" headerRowBorderDxfId="816" tableBorderDxfId="814" totalsRowBorderDxfId="813" dataCellStyle="Normal 3">
  <autoFilter ref="B194:M203" xr:uid="{00000000-0009-0000-0100-000029000000}"/>
  <tableColumns count="12">
    <tableColumn id="1" xr3:uid="{00000000-0010-0000-2700-000001000000}" name="FECHA" totalsRowLabel="Total" dataDxfId="812" totalsRowDxfId="811" dataCellStyle="Normal 3"/>
    <tableColumn id="2" xr3:uid="{00000000-0010-0000-2700-000002000000}" name="TIPO" dataDxfId="810" totalsRowDxfId="809" dataCellStyle="Normal 3"/>
    <tableColumn id="3" xr3:uid="{00000000-0010-0000-2700-000003000000}" name="PTO VENTA" dataDxfId="808" totalsRowDxfId="807" dataCellStyle="Normal 3"/>
    <tableColumn id="4" xr3:uid="{00000000-0010-0000-2700-000004000000}" name="Nº FACTURA" dataDxfId="806" totalsRowDxfId="805" dataCellStyle="Normal 3"/>
    <tableColumn id="5" xr3:uid="{00000000-0010-0000-2700-000005000000}" name="CUIT" dataDxfId="804" totalsRowDxfId="803" dataCellStyle="Normal 3"/>
    <tableColumn id="6" xr3:uid="{00000000-0010-0000-2700-000006000000}" name="RAZON SOCIAL" dataDxfId="802" totalsRowDxfId="801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2700-000007000000}" name="IMPORTE NETO" totalsRowFunction="sum" dataDxfId="800" totalsRowDxfId="799" dataCellStyle="Normal 3"/>
    <tableColumn id="8" xr3:uid="{00000000-0010-0000-2700-000008000000}" name="IVA 21%" totalsRowFunction="sum" dataDxfId="798" totalsRowDxfId="797" dataCellStyle="Normal 3">
      <calculatedColumnFormula>venta_a_mes7[[#This Row],[IMPORTE NETO]]*0.21</calculatedColumnFormula>
    </tableColumn>
    <tableColumn id="9" xr3:uid="{00000000-0010-0000-2700-000009000000}" name="IVA 10,5%" totalsRowFunction="sum" dataDxfId="796" totalsRowDxfId="795" dataCellStyle="Normal 3"/>
    <tableColumn id="10" xr3:uid="{00000000-0010-0000-2700-00000A000000}" name="EXENTO" totalsRowFunction="sum" dataDxfId="794" totalsRowDxfId="793" dataCellStyle="Normal 3"/>
    <tableColumn id="11" xr3:uid="{00000000-0010-0000-2700-00000B000000}" name="TOTAL" totalsRowFunction="sum" dataDxfId="792" totalsRowDxfId="791" dataCellStyle="Normal 3">
      <calculatedColumnFormula>SUM(venta_a_mes7[[#This Row],[IMPORTE NETO]:[EXENTO]])</calculatedColumnFormula>
    </tableColumn>
    <tableColumn id="12" xr3:uid="{00000000-0010-0000-2700-00000C000000}" name="Provincia" totalsRowFunction="count" dataDxfId="790" totalsRowDxfId="789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8000000}" name="ventas_b_mes7" displayName="ventas_b_mes7" ref="B208:M215" totalsRowCount="1" headerRowDxfId="788" dataDxfId="786" headerRowBorderDxfId="787" tableBorderDxfId="785" totalsRowBorderDxfId="784" dataCellStyle="Normal 3">
  <autoFilter ref="B208:M214" xr:uid="{00000000-0009-0000-0100-00002A000000}"/>
  <tableColumns count="12">
    <tableColumn id="1" xr3:uid="{00000000-0010-0000-2800-000001000000}" name="FECHA" totalsRowLabel="Total" dataDxfId="783" totalsRowDxfId="782" dataCellStyle="Normal 3"/>
    <tableColumn id="2" xr3:uid="{00000000-0010-0000-2800-000002000000}" name="TIPO" dataDxfId="781" totalsRowDxfId="780" dataCellStyle="Normal 3"/>
    <tableColumn id="3" xr3:uid="{00000000-0010-0000-2800-000003000000}" name="PTO VENTA" dataDxfId="779" totalsRowDxfId="778" dataCellStyle="Normal 3"/>
    <tableColumn id="4" xr3:uid="{00000000-0010-0000-2800-000004000000}" name="Nº FACTURA" dataDxfId="777" totalsRowDxfId="776" dataCellStyle="Normal 3"/>
    <tableColumn id="5" xr3:uid="{00000000-0010-0000-2800-000005000000}" name="CUIT" dataDxfId="775" totalsRowDxfId="774" dataCellStyle="Normal 3"/>
    <tableColumn id="6" xr3:uid="{00000000-0010-0000-2800-000006000000}" name="RAZON SOCIAL" dataDxfId="773" totalsRowDxfId="772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800-000007000000}" name="IMPORTE NETO" totalsRowFunction="sum" dataDxfId="771" totalsRowDxfId="770" dataCellStyle="Normal 3"/>
    <tableColumn id="8" xr3:uid="{00000000-0010-0000-2800-000008000000}" name="IVA 21%" totalsRowFunction="sum" dataDxfId="769" totalsRowDxfId="768" dataCellStyle="Normal 3"/>
    <tableColumn id="9" xr3:uid="{00000000-0010-0000-2800-000009000000}" name="IVA 10,5%" totalsRowFunction="sum" dataDxfId="767" totalsRowDxfId="766" dataCellStyle="Normal 3"/>
    <tableColumn id="10" xr3:uid="{00000000-0010-0000-2800-00000A000000}" name="EXENTO" totalsRowFunction="sum" dataDxfId="765" totalsRowDxfId="764" dataCellStyle="Normal 3"/>
    <tableColumn id="11" xr3:uid="{00000000-0010-0000-2800-00000B000000}" name="TOTAL" totalsRowFunction="sum" dataDxfId="763" totalsRowDxfId="762" dataCellStyle="Normal 3">
      <calculatedColumnFormula>SUM(ventas_b_mes7[[#This Row],[IMPORTE NETO]:[EXENTO]])</calculatedColumnFormula>
    </tableColumn>
    <tableColumn id="12" xr3:uid="{00000000-0010-0000-2800-00000C000000}" name="Provincia" totalsRowFunction="count" dataDxfId="761" totalsRowDxfId="760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9000000}" name="extracto_banco_mes7" displayName="extracto_banco_mes7" ref="D141:L145" totalsRowCount="1" headerRowDxfId="759" dataDxfId="758" tableBorderDxfId="757" dataCellStyle="Normal 3">
  <autoFilter ref="D141:L144" xr:uid="{00000000-0009-0000-0100-00002B000000}"/>
  <tableColumns count="9">
    <tableColumn id="1" xr3:uid="{00000000-0010-0000-2900-000001000000}" name="FECHA" totalsRowLabel="Total" dataDxfId="756" totalsRowDxfId="755" dataCellStyle="Normal 3"/>
    <tableColumn id="2" xr3:uid="{00000000-0010-0000-2900-000002000000}" name="NRO CPTE" dataDxfId="754" totalsRowDxfId="753"/>
    <tableColumn id="3" xr3:uid="{00000000-0010-0000-2900-000003000000}" name="BANCO" dataDxfId="752" totalsRowDxfId="751"/>
    <tableColumn id="4" xr3:uid="{00000000-0010-0000-2900-000004000000}" name="NETO" totalsRowFunction="sum" dataDxfId="750" totalsRowDxfId="749" dataCellStyle="Normal 3"/>
    <tableColumn id="5" xr3:uid="{00000000-0010-0000-2900-000005000000}" name="IVA 21%" totalsRowFunction="sum" dataDxfId="748" totalsRowDxfId="747" dataCellStyle="Normal 3"/>
    <tableColumn id="6" xr3:uid="{00000000-0010-0000-2900-000006000000}" name="IVA 10,5%" totalsRowFunction="sum" dataDxfId="746" totalsRowDxfId="745" dataCellStyle="Normal 3"/>
    <tableColumn id="7" xr3:uid="{00000000-0010-0000-2900-000007000000}" name="RET IIBB CABA" totalsRowFunction="sum" dataDxfId="744" totalsRowDxfId="743" dataCellStyle="Normal 3"/>
    <tableColumn id="8" xr3:uid="{00000000-0010-0000-2900-000008000000}" name="PERC IVA" totalsRowFunction="sum" dataDxfId="742" totalsRowDxfId="741" dataCellStyle="Normal 3"/>
    <tableColumn id="9" xr3:uid="{00000000-0010-0000-2900-000009000000}" name="PERC IIBB" totalsRowFunction="sum" dataDxfId="740" totalsRowDxfId="739" dataCellStyle="Normal 3"/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A000000}" name="Retenciones_mes7" displayName="Retenciones_mes7" ref="C224:L229" totalsRowShown="0" headerRowDxfId="738" dataDxfId="737" headerRowCellStyle="Normal 3" dataCellStyle="Normal 3">
  <autoFilter ref="C224:L229" xr:uid="{00000000-0009-0000-0100-00002C000000}"/>
  <tableColumns count="10">
    <tableColumn id="1" xr3:uid="{00000000-0010-0000-2A00-000001000000}" name="FECHA " dataDxfId="736" dataCellStyle="Normal 3"/>
    <tableColumn id="2" xr3:uid="{00000000-0010-0000-2A00-000002000000}" name="COMP Nº" dataDxfId="735" dataCellStyle="Normal 3"/>
    <tableColumn id="3" xr3:uid="{00000000-0010-0000-2A00-000003000000}" name="Columna1" dataDxfId="734" dataCellStyle="Normal 3"/>
    <tableColumn id="4" xr3:uid="{00000000-0010-0000-2A00-000004000000}" name="CUIT" dataDxfId="733" dataCellStyle="Normal 3"/>
    <tableColumn id="5" xr3:uid="{00000000-0010-0000-2A00-000005000000}" name="RAZON SOCIAL" dataDxfId="732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A00-000006000000}" name="Ganancias" dataDxfId="731" dataCellStyle="Normal 3"/>
    <tableColumn id="7" xr3:uid="{00000000-0010-0000-2A00-000007000000}" name="IVA" dataDxfId="730" dataCellStyle="Normal 3"/>
    <tableColumn id="8" xr3:uid="{00000000-0010-0000-2A00-000008000000}" name="SUSS" dataDxfId="729" dataCellStyle="Normal 3"/>
    <tableColumn id="9" xr3:uid="{00000000-0010-0000-2A00-000009000000}" name="IIBB BSAS" dataDxfId="728" dataCellStyle="Normal 3"/>
    <tableColumn id="10" xr3:uid="{00000000-0010-0000-2A00-00000A000000}" name="IIBB CABA" dataDxfId="727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compras_mes8" displayName="compras_mes8" ref="B8:R121" totalsRowCount="1" headerRowDxfId="726" totalsRowDxfId="725">
  <autoFilter ref="B8:R120" xr:uid="{00000000-0009-0000-0100-000039000000}"/>
  <sortState xmlns:xlrd2="http://schemas.microsoft.com/office/spreadsheetml/2017/richdata2" ref="B9:R120">
    <sortCondition ref="B8:B120"/>
  </sortState>
  <tableColumns count="17">
    <tableColumn id="1" xr3:uid="{00000000-0010-0000-2B00-000001000000}" name="FECHA" totalsRowLabel="Total" dataDxfId="724" totalsRowDxfId="723" dataCellStyle="Normal 3"/>
    <tableColumn id="2" xr3:uid="{00000000-0010-0000-2B00-000002000000}" name="TIPO" dataDxfId="722" totalsRowDxfId="721" dataCellStyle="Normal 3"/>
    <tableColumn id="3" xr3:uid="{00000000-0010-0000-2B00-000003000000}" name="PTO VTA" dataDxfId="720" totalsRowDxfId="719" dataCellStyle="Normal 3"/>
    <tableColumn id="4" xr3:uid="{00000000-0010-0000-2B00-000004000000}" name="NRO. CPTE" dataDxfId="718" totalsRowDxfId="717" dataCellStyle="Normal 3"/>
    <tableColumn id="5" xr3:uid="{00000000-0010-0000-2B00-000005000000}" name="CUIT" dataDxfId="716" totalsRowDxfId="715" dataCellStyle="Normal 3"/>
    <tableColumn id="6" xr3:uid="{00000000-0010-0000-2B00-000006000000}" name="RAZON SOCIAL" dataDxfId="714" totalsRowDxfId="713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B00-000007000000}" name="NETO GRAVADO" totalsRowFunction="sum" dataDxfId="712" totalsRowDxfId="711" dataCellStyle="Normal 3"/>
    <tableColumn id="8" xr3:uid="{00000000-0010-0000-2B00-000008000000}" name="IVA 21 %" totalsRowFunction="sum" dataDxfId="710" totalsRowDxfId="709" dataCellStyle="Normal 3">
      <calculatedColumnFormula>IF(compras_mes8[[#This Row],[NETO GRAVADO]]="","",compras_mes8[[#This Row],[NETO GRAVADO]]*0.21)</calculatedColumnFormula>
    </tableColumn>
    <tableColumn id="9" xr3:uid="{00000000-0010-0000-2B00-000009000000}" name="IVA 27%" totalsRowFunction="sum" dataDxfId="708" totalsRowDxfId="707" dataCellStyle="Normal 3"/>
    <tableColumn id="10" xr3:uid="{00000000-0010-0000-2B00-00000A000000}" name="IVA 10,5%" totalsRowFunction="sum" dataDxfId="706" totalsRowDxfId="705" dataCellStyle="Normal 3"/>
    <tableColumn id="11" xr3:uid="{00000000-0010-0000-2B00-00000B000000}" name="PERC. IVA" totalsRowFunction="sum" dataDxfId="704" totalsRowDxfId="703" dataCellStyle="Normal 3"/>
    <tableColumn id="12" xr3:uid="{00000000-0010-0000-2B00-00000C000000}" name="PERC IIBB _x000a_BS AS" totalsRowFunction="sum" dataDxfId="702" totalsRowDxfId="701" dataCellStyle="Normal 3"/>
    <tableColumn id="13" xr3:uid="{00000000-0010-0000-2B00-00000D000000}" name="PERC. IIBB CABA" totalsRowFunction="sum" dataDxfId="700" totalsRowDxfId="699" dataCellStyle="Normal 3"/>
    <tableColumn id="14" xr3:uid="{00000000-0010-0000-2B00-00000E000000}" name="Otros / No Grav." totalsRowFunction="sum" dataDxfId="698" totalsRowDxfId="697" dataCellStyle="Normal 3"/>
    <tableColumn id="15" xr3:uid="{00000000-0010-0000-2B00-00000F000000}" name="TOTAL" totalsRowFunction="sum" dataDxfId="696" totalsRowDxfId="695" dataCellStyle="Normal 3">
      <calculatedColumnFormula>SUM(compras_mes8[[#This Row],[NETO GRAVADO]:[Otros / No Grav.]])</calculatedColumnFormula>
    </tableColumn>
    <tableColumn id="16" xr3:uid="{00000000-0010-0000-2B00-000010000000}" name="Tipo de Gasto" dataDxfId="694" totalsRowDxfId="693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B00-000011000000}" name="Provincia" dataDxfId="692" totalsRowDxfId="691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factura_c_mes8" displayName="factura_c_mes8" ref="D136:K167" totalsRowCount="1" headerRowDxfId="690" totalsRowDxfId="689" headerRowCellStyle="Normal 3">
  <autoFilter ref="D136:K166" xr:uid="{00000000-0009-0000-0100-00003A000000}"/>
  <tableColumns count="8">
    <tableColumn id="1" xr3:uid="{00000000-0010-0000-2C00-000001000000}" name="FECHA" totalsRowLabel="Total" dataDxfId="688" totalsRowDxfId="687" dataCellStyle="Normal 3"/>
    <tableColumn id="2" xr3:uid="{00000000-0010-0000-2C00-000002000000}" name="PTO VTA" dataDxfId="686" totalsRowDxfId="685" dataCellStyle="Normal 3"/>
    <tableColumn id="3" xr3:uid="{00000000-0010-0000-2C00-000003000000}" name="FC Nº" dataDxfId="684" totalsRowDxfId="683" dataCellStyle="Normal 3"/>
    <tableColumn id="4" xr3:uid="{00000000-0010-0000-2C00-000004000000}" name="CUIT" dataDxfId="682" totalsRowDxfId="681" dataCellStyle="Normal 3"/>
    <tableColumn id="5" xr3:uid="{00000000-0010-0000-2C00-000005000000}" name="RAZON SOCIAL" dataDxfId="680" totalsRowDxfId="679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C00-000006000000}" name="TOTAL" totalsRowFunction="sum" dataDxfId="678" totalsRowDxfId="677" dataCellStyle="Normal 3"/>
    <tableColumn id="7" xr3:uid="{00000000-0010-0000-2C00-000007000000}" name="TIPO DE GASTO" dataDxfId="676" totalsRowDxfId="675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C00-000008000000}" name="Provincia" dataDxfId="674" totalsRowDxfId="673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venta_a_mes8" displayName="venta_a_mes8" ref="B176:M186" totalsRowCount="1" headerRowDxfId="672" dataDxfId="670" headerRowBorderDxfId="671" tableBorderDxfId="669" totalsRowBorderDxfId="668" dataCellStyle="Normal 3">
  <autoFilter ref="B176:M185" xr:uid="{00000000-0009-0000-0100-00003B000000}"/>
  <tableColumns count="12">
    <tableColumn id="1" xr3:uid="{00000000-0010-0000-2D00-000001000000}" name="FECHA" totalsRowLabel="Total" dataDxfId="667" totalsRowDxfId="666" dataCellStyle="Normal 3"/>
    <tableColumn id="2" xr3:uid="{00000000-0010-0000-2D00-000002000000}" name="TIPO" dataDxfId="665" totalsRowDxfId="664" dataCellStyle="Normal 3"/>
    <tableColumn id="3" xr3:uid="{00000000-0010-0000-2D00-000003000000}" name="PTO VENTA" dataDxfId="663" totalsRowDxfId="662" dataCellStyle="Normal 3"/>
    <tableColumn id="4" xr3:uid="{00000000-0010-0000-2D00-000004000000}" name="Nº FACTURA" dataDxfId="661" totalsRowDxfId="660" dataCellStyle="Normal 3"/>
    <tableColumn id="5" xr3:uid="{00000000-0010-0000-2D00-000005000000}" name="CUIT" dataDxfId="659" totalsRowDxfId="658" dataCellStyle="Normal 3"/>
    <tableColumn id="6" xr3:uid="{00000000-0010-0000-2D00-000006000000}" name="RAZON SOCIAL" dataDxfId="657" totalsRowDxfId="656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D00-000007000000}" name="IMPORTE NETO" totalsRowFunction="sum" dataDxfId="655" totalsRowDxfId="654" dataCellStyle="Normal 3"/>
    <tableColumn id="8" xr3:uid="{00000000-0010-0000-2D00-000008000000}" name="IVA 21%" totalsRowFunction="sum" dataDxfId="653" totalsRowDxfId="652" dataCellStyle="Normal 3">
      <calculatedColumnFormula>venta_a_mes8[[#This Row],[IMPORTE NETO]]*0.21</calculatedColumnFormula>
    </tableColumn>
    <tableColumn id="9" xr3:uid="{00000000-0010-0000-2D00-000009000000}" name="IVA 10,5%" totalsRowFunction="sum" dataDxfId="651" totalsRowDxfId="650" dataCellStyle="Normal 3"/>
    <tableColumn id="10" xr3:uid="{00000000-0010-0000-2D00-00000A000000}" name="EXENTO" totalsRowFunction="sum" dataDxfId="649" totalsRowDxfId="648" dataCellStyle="Normal 3"/>
    <tableColumn id="11" xr3:uid="{00000000-0010-0000-2D00-00000B000000}" name="TOTAL" totalsRowFunction="sum" dataDxfId="647" totalsRowDxfId="646" dataCellStyle="Normal 3">
      <calculatedColumnFormula>SUM(venta_a_mes8[[#This Row],[IMPORTE NETO]:[EXENTO]])</calculatedColumnFormula>
    </tableColumn>
    <tableColumn id="12" xr3:uid="{00000000-0010-0000-2D00-00000C000000}" name="Provincia" totalsRowFunction="count" dataDxfId="645" totalsRowDxfId="644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ventas_b_mes8" displayName="ventas_b_mes8" ref="B190:M197" totalsRowCount="1" headerRowDxfId="643" dataDxfId="641" headerRowBorderDxfId="642" tableBorderDxfId="640" totalsRowBorderDxfId="639" dataCellStyle="Normal 3">
  <autoFilter ref="B190:M196" xr:uid="{00000000-0009-0000-0100-00003C000000}"/>
  <tableColumns count="12">
    <tableColumn id="1" xr3:uid="{00000000-0010-0000-2E00-000001000000}" name="FECHA" totalsRowLabel="Total" dataDxfId="638" totalsRowDxfId="637" dataCellStyle="Normal 3"/>
    <tableColumn id="2" xr3:uid="{00000000-0010-0000-2E00-000002000000}" name="TIPO" dataDxfId="636" totalsRowDxfId="635" dataCellStyle="Normal 3"/>
    <tableColumn id="3" xr3:uid="{00000000-0010-0000-2E00-000003000000}" name="PTO VENTA" dataDxfId="634" totalsRowDxfId="633" dataCellStyle="Normal 3"/>
    <tableColumn id="4" xr3:uid="{00000000-0010-0000-2E00-000004000000}" name="Nº FACTURA" dataDxfId="632" totalsRowDxfId="631" dataCellStyle="Normal 3"/>
    <tableColumn id="5" xr3:uid="{00000000-0010-0000-2E00-000005000000}" name="CUIT" dataDxfId="630" totalsRowDxfId="629" dataCellStyle="Normal 3"/>
    <tableColumn id="6" xr3:uid="{00000000-0010-0000-2E00-000006000000}" name="RAZON SOCIAL" dataDxfId="628" totalsRowDxfId="627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2E00-000007000000}" name="IMPORTE NETO" totalsRowFunction="sum" dataDxfId="626" totalsRowDxfId="625" dataCellStyle="Normal 3"/>
    <tableColumn id="8" xr3:uid="{00000000-0010-0000-2E00-000008000000}" name="IVA 21%" totalsRowFunction="sum" dataDxfId="624" totalsRowDxfId="623" dataCellStyle="Normal 3"/>
    <tableColumn id="9" xr3:uid="{00000000-0010-0000-2E00-000009000000}" name="IVA 10,5%" totalsRowFunction="sum" dataDxfId="622" totalsRowDxfId="621" dataCellStyle="Normal 3"/>
    <tableColumn id="10" xr3:uid="{00000000-0010-0000-2E00-00000A000000}" name="EXENTO" totalsRowFunction="sum" dataDxfId="620" totalsRowDxfId="619" dataCellStyle="Normal 3"/>
    <tableColumn id="11" xr3:uid="{00000000-0010-0000-2E00-00000B000000}" name="TOTAL" totalsRowFunction="sum" dataDxfId="618" totalsRowDxfId="617" dataCellStyle="Normal 3">
      <calculatedColumnFormula>SUM(ventas_b_mes8[[#This Row],[IMPORTE NETO]:[EXENTO]])</calculatedColumnFormula>
    </tableColumn>
    <tableColumn id="12" xr3:uid="{00000000-0010-0000-2E00-00000C000000}" name="Provincia" totalsRowFunction="count" dataDxfId="616" totalsRowDxfId="615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xtracto_banco_mes8" displayName="extracto_banco_mes8" ref="D127:L131" totalsRowCount="1" headerRowDxfId="614" dataDxfId="613" tableBorderDxfId="612" dataCellStyle="Normal 3">
  <autoFilter ref="D127:L130" xr:uid="{00000000-0009-0000-0100-00003D000000}"/>
  <tableColumns count="9">
    <tableColumn id="1" xr3:uid="{00000000-0010-0000-2F00-000001000000}" name="FECHA" totalsRowLabel="Total" dataDxfId="611" totalsRowDxfId="610" dataCellStyle="Normal 3"/>
    <tableColumn id="2" xr3:uid="{00000000-0010-0000-2F00-000002000000}" name="NRO CPTE" dataDxfId="609" totalsRowDxfId="608"/>
    <tableColumn id="3" xr3:uid="{00000000-0010-0000-2F00-000003000000}" name="BANCO" dataDxfId="607" totalsRowDxfId="606"/>
    <tableColumn id="4" xr3:uid="{00000000-0010-0000-2F00-000004000000}" name="NETO" totalsRowFunction="sum" dataDxfId="605" totalsRowDxfId="604" dataCellStyle="Normal 3">
      <calculatedColumnFormula>24+2.5</calculatedColumnFormula>
    </tableColumn>
    <tableColumn id="5" xr3:uid="{00000000-0010-0000-2F00-000005000000}" name="IVA 21%" totalsRowFunction="sum" dataDxfId="603" totalsRowDxfId="602" dataCellStyle="Normal 3">
      <calculatedColumnFormula>extracto_banco_mes8[[#This Row],[NETO]]*0.21</calculatedColumnFormula>
    </tableColumn>
    <tableColumn id="6" xr3:uid="{00000000-0010-0000-2F00-000006000000}" name="IVA 10,5%" totalsRowFunction="sum" dataDxfId="601" totalsRowDxfId="600" dataCellStyle="Normal 3"/>
    <tableColumn id="7" xr3:uid="{00000000-0010-0000-2F00-000007000000}" name="RET IIBB CABA" totalsRowFunction="sum" dataDxfId="599" totalsRowDxfId="598" dataCellStyle="Normal 3"/>
    <tableColumn id="8" xr3:uid="{00000000-0010-0000-2F00-000008000000}" name="PERC IVA" totalsRowFunction="sum" dataDxfId="597" totalsRowDxfId="596" dataCellStyle="Normal 3"/>
    <tableColumn id="9" xr3:uid="{00000000-0010-0000-2F00-000009000000}" name="PERC IIBB" totalsRowFunction="sum" dataDxfId="595" totalsRowDxfId="594" dataCellStyle="Normal 3"/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0000000}" name="Retenciones_mes8" displayName="Retenciones_mes8" ref="C206:L211" totalsRowShown="0" headerRowDxfId="593" dataDxfId="592" headerRowCellStyle="Normal 3" dataCellStyle="Normal 3">
  <autoFilter ref="C206:L211" xr:uid="{00000000-0009-0000-0100-00003E000000}"/>
  <tableColumns count="10">
    <tableColumn id="1" xr3:uid="{00000000-0010-0000-3000-000001000000}" name="FECHA " dataDxfId="591" dataCellStyle="Normal 3"/>
    <tableColumn id="2" xr3:uid="{00000000-0010-0000-3000-000002000000}" name="COMP Nº" dataDxfId="590" dataCellStyle="Normal 3"/>
    <tableColumn id="3" xr3:uid="{00000000-0010-0000-3000-000003000000}" name="Columna1" dataDxfId="589" dataCellStyle="Normal 3"/>
    <tableColumn id="4" xr3:uid="{00000000-0010-0000-3000-000004000000}" name="CUIT" dataDxfId="588" dataCellStyle="Normal 3"/>
    <tableColumn id="5" xr3:uid="{00000000-0010-0000-3000-000005000000}" name="RAZON SOCIAL" dataDxfId="587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000-000006000000}" name="Ganancias" dataDxfId="586" dataCellStyle="Normal 3"/>
    <tableColumn id="7" xr3:uid="{00000000-0010-0000-3000-000007000000}" name="IVA" dataDxfId="585" dataCellStyle="Normal 3"/>
    <tableColumn id="8" xr3:uid="{00000000-0010-0000-3000-000008000000}" name="SUSS" dataDxfId="584" dataCellStyle="Normal 3"/>
    <tableColumn id="9" xr3:uid="{00000000-0010-0000-3000-000009000000}" name="IIBB BSAS" dataDxfId="583" dataCellStyle="Normal 3"/>
    <tableColumn id="10" xr3:uid="{00000000-0010-0000-3000-00000A000000}" name="IIBB CABA" dataDxfId="582" dataCellStyle="Normal 3"/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1000000}" name="compras_mes9" displayName="compras_mes9" ref="B8:R99" totalsRowCount="1" headerRowDxfId="581" totalsRowDxfId="580">
  <autoFilter ref="B8:R98" xr:uid="{00000000-0009-0000-0100-00003F000000}"/>
  <sortState xmlns:xlrd2="http://schemas.microsoft.com/office/spreadsheetml/2017/richdata2" ref="B9:R98">
    <sortCondition ref="B8:B98"/>
  </sortState>
  <tableColumns count="17">
    <tableColumn id="1" xr3:uid="{00000000-0010-0000-3100-000001000000}" name="FECHA" totalsRowLabel="Total" dataDxfId="579" totalsRowDxfId="578" dataCellStyle="Normal 3"/>
    <tableColumn id="2" xr3:uid="{00000000-0010-0000-3100-000002000000}" name="TIPO" dataDxfId="577" totalsRowDxfId="576" dataCellStyle="Normal 3"/>
    <tableColumn id="3" xr3:uid="{00000000-0010-0000-3100-000003000000}" name="PTO VTA" dataDxfId="575" totalsRowDxfId="574" dataCellStyle="Normal 3"/>
    <tableColumn id="4" xr3:uid="{00000000-0010-0000-3100-000004000000}" name="NRO. CPTE" dataDxfId="573" totalsRowDxfId="572" dataCellStyle="Normal 3"/>
    <tableColumn id="5" xr3:uid="{00000000-0010-0000-3100-000005000000}" name="CUIT" dataDxfId="571" totalsRowDxfId="570" dataCellStyle="Normal 3"/>
    <tableColumn id="6" xr3:uid="{00000000-0010-0000-3100-000006000000}" name="RAZON SOCIAL" dataDxfId="569" totalsRowDxfId="568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100-000007000000}" name="NETO GRAVADO" totalsRowFunction="sum" dataDxfId="567" totalsRowDxfId="566" dataCellStyle="Normal 3"/>
    <tableColumn id="8" xr3:uid="{00000000-0010-0000-3100-000008000000}" name="IVA 21 %" totalsRowFunction="sum" dataDxfId="565" totalsRowDxfId="564" dataCellStyle="Normal 3">
      <calculatedColumnFormula>IF(compras_mes9[[#This Row],[NETO GRAVADO]]="","",compras_mes9[[#This Row],[NETO GRAVADO]]*0.21)</calculatedColumnFormula>
    </tableColumn>
    <tableColumn id="9" xr3:uid="{00000000-0010-0000-3100-000009000000}" name="IVA 27%" totalsRowFunction="sum" dataDxfId="563" totalsRowDxfId="562" dataCellStyle="Normal 3"/>
    <tableColumn id="10" xr3:uid="{00000000-0010-0000-3100-00000A000000}" name="IVA 10,5%" totalsRowFunction="sum" dataDxfId="561" totalsRowDxfId="560" dataCellStyle="Normal 3"/>
    <tableColumn id="11" xr3:uid="{00000000-0010-0000-3100-00000B000000}" name="PERC. IVA" totalsRowFunction="sum" dataDxfId="559" totalsRowDxfId="558" dataCellStyle="Normal 3"/>
    <tableColumn id="12" xr3:uid="{00000000-0010-0000-3100-00000C000000}" name="PERC IIBB _x000a_BS AS" totalsRowFunction="sum" dataDxfId="557" totalsRowDxfId="556" dataCellStyle="Normal 3"/>
    <tableColumn id="13" xr3:uid="{00000000-0010-0000-3100-00000D000000}" name="PERC. IIBB CABA" totalsRowFunction="sum" dataDxfId="555" totalsRowDxfId="554" dataCellStyle="Normal 3"/>
    <tableColumn id="14" xr3:uid="{00000000-0010-0000-3100-00000E000000}" name="Otros / No Grav." totalsRowFunction="sum" dataDxfId="553" totalsRowDxfId="552" dataCellStyle="Normal 3"/>
    <tableColumn id="15" xr3:uid="{00000000-0010-0000-3100-00000F000000}" name="TOTAL" totalsRowFunction="sum" dataDxfId="551" totalsRowDxfId="550" dataCellStyle="Normal 3">
      <calculatedColumnFormula>SUM(compras_mes9[[#This Row],[NETO GRAVADO]:[Otros / No Grav.]])</calculatedColumnFormula>
    </tableColumn>
    <tableColumn id="16" xr3:uid="{00000000-0010-0000-3100-000010000000}" name="Tipo de Gasto" dataDxfId="549" totalsRowDxfId="548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100-000011000000}" name="Provincia" dataDxfId="547" totalsRowDxfId="546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2000000}" name="factura_c_mes9" displayName="factura_c_mes9" ref="D127:K158" totalsRowCount="1" headerRowDxfId="545" totalsRowDxfId="544" headerRowCellStyle="Normal 3">
  <autoFilter ref="D127:K157" xr:uid="{00000000-0009-0000-0100-000040000000}"/>
  <sortState xmlns:xlrd2="http://schemas.microsoft.com/office/spreadsheetml/2017/richdata2" ref="D168:K199">
    <sortCondition ref="D167:D199"/>
  </sortState>
  <tableColumns count="8">
    <tableColumn id="1" xr3:uid="{00000000-0010-0000-3200-000001000000}" name="FECHA" totalsRowLabel="Total" dataDxfId="543" totalsRowDxfId="542" dataCellStyle="Normal 3"/>
    <tableColumn id="2" xr3:uid="{00000000-0010-0000-3200-000002000000}" name="PTO VTA" dataDxfId="541" totalsRowDxfId="540" dataCellStyle="Normal 3"/>
    <tableColumn id="3" xr3:uid="{00000000-0010-0000-3200-000003000000}" name="FC Nº" dataDxfId="539" totalsRowDxfId="538" dataCellStyle="Normal 3"/>
    <tableColumn id="4" xr3:uid="{00000000-0010-0000-3200-000004000000}" name="CUIT" dataDxfId="537" totalsRowDxfId="536" dataCellStyle="Normal 3"/>
    <tableColumn id="5" xr3:uid="{00000000-0010-0000-3200-000005000000}" name="RAZON SOCIAL" dataDxfId="535" totalsRowDxfId="534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200-000006000000}" name="TOTAL" totalsRowFunction="sum" dataDxfId="533" totalsRowDxfId="532" dataCellStyle="Normal 3"/>
    <tableColumn id="7" xr3:uid="{00000000-0010-0000-3200-000007000000}" name="TIPO DE GASTO" dataDxfId="531" totalsRowDxfId="530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200-000008000000}" name="Provincia" dataDxfId="529" totalsRowDxfId="528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3000000}" name="venta_a_mes9" displayName="venta_a_mes9" ref="B167:M177" totalsRowCount="1" headerRowDxfId="527" dataDxfId="525" headerRowBorderDxfId="526" tableBorderDxfId="524" totalsRowBorderDxfId="523" dataCellStyle="Normal 3">
  <autoFilter ref="B167:M176" xr:uid="{00000000-0009-0000-0100-000041000000}"/>
  <tableColumns count="12">
    <tableColumn id="1" xr3:uid="{00000000-0010-0000-3300-000001000000}" name="FECHA" totalsRowLabel="Total" dataDxfId="522" totalsRowDxfId="521" dataCellStyle="Normal 3"/>
    <tableColumn id="2" xr3:uid="{00000000-0010-0000-3300-000002000000}" name="TIPO" dataDxfId="520" totalsRowDxfId="519" dataCellStyle="Normal 3"/>
    <tableColumn id="3" xr3:uid="{00000000-0010-0000-3300-000003000000}" name="PTO VENTA" dataDxfId="518" totalsRowDxfId="517" dataCellStyle="Normal 3"/>
    <tableColumn id="4" xr3:uid="{00000000-0010-0000-3300-000004000000}" name="Nº FACTURA" dataDxfId="516" totalsRowDxfId="515" dataCellStyle="Normal 3"/>
    <tableColumn id="5" xr3:uid="{00000000-0010-0000-3300-000005000000}" name="CUIT" dataDxfId="514" totalsRowDxfId="513" dataCellStyle="Normal 3"/>
    <tableColumn id="6" xr3:uid="{00000000-0010-0000-3300-000006000000}" name="RAZON SOCIAL" dataDxfId="512" totalsRowDxfId="511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300-000007000000}" name="IMPORTE NETO" totalsRowFunction="sum" dataDxfId="510" totalsRowDxfId="509" dataCellStyle="Normal 3"/>
    <tableColumn id="8" xr3:uid="{00000000-0010-0000-3300-000008000000}" name="IVA 21%" totalsRowFunction="sum" dataDxfId="508" totalsRowDxfId="507" dataCellStyle="Normal 3">
      <calculatedColumnFormula>venta_a_mes9[[#This Row],[IMPORTE NETO]]*0.21</calculatedColumnFormula>
    </tableColumn>
    <tableColumn id="9" xr3:uid="{00000000-0010-0000-3300-000009000000}" name="IVA 10,5%" totalsRowFunction="sum" dataDxfId="506" totalsRowDxfId="505" dataCellStyle="Normal 3"/>
    <tableColumn id="10" xr3:uid="{00000000-0010-0000-3300-00000A000000}" name="EXENTO" totalsRowFunction="sum" dataDxfId="504" totalsRowDxfId="503" dataCellStyle="Normal 3"/>
    <tableColumn id="11" xr3:uid="{00000000-0010-0000-3300-00000B000000}" name="TOTAL" totalsRowFunction="sum" dataDxfId="502" totalsRowDxfId="501" dataCellStyle="Normal 3">
      <calculatedColumnFormula>SUM(venta_a_mes9[[#This Row],[IMPORTE NETO]:[EXENTO]])</calculatedColumnFormula>
    </tableColumn>
    <tableColumn id="12" xr3:uid="{00000000-0010-0000-3300-00000C000000}" name="Provincia" totalsRowFunction="count" dataDxfId="500" totalsRowDxfId="499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4000000}" name="ventas_b_mes9" displayName="ventas_b_mes9" ref="B181:M188" totalsRowCount="1" headerRowDxfId="498" dataDxfId="496" headerRowBorderDxfId="497" tableBorderDxfId="495" totalsRowBorderDxfId="494" dataCellStyle="Normal 3">
  <autoFilter ref="B181:M187" xr:uid="{00000000-0009-0000-0100-000042000000}"/>
  <tableColumns count="12">
    <tableColumn id="1" xr3:uid="{00000000-0010-0000-3400-000001000000}" name="FECHA" totalsRowLabel="Total" dataDxfId="493" totalsRowDxfId="492" dataCellStyle="Normal 3"/>
    <tableColumn id="2" xr3:uid="{00000000-0010-0000-3400-000002000000}" name="TIPO" dataDxfId="491" totalsRowDxfId="490" dataCellStyle="Normal 3"/>
    <tableColumn id="3" xr3:uid="{00000000-0010-0000-3400-000003000000}" name="PTO VENTA" dataDxfId="489" totalsRowDxfId="488" dataCellStyle="Normal 3"/>
    <tableColumn id="4" xr3:uid="{00000000-0010-0000-3400-000004000000}" name="Nº FACTURA" dataDxfId="487" totalsRowDxfId="486" dataCellStyle="Normal 3"/>
    <tableColumn id="5" xr3:uid="{00000000-0010-0000-3400-000005000000}" name="CUIT" dataDxfId="485" totalsRowDxfId="484" dataCellStyle="Normal 3"/>
    <tableColumn id="6" xr3:uid="{00000000-0010-0000-3400-000006000000}" name="RAZON SOCIAL" dataDxfId="483" totalsRowDxfId="482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400-000007000000}" name="IMPORTE NETO" totalsRowFunction="sum" dataDxfId="481" totalsRowDxfId="480" dataCellStyle="Normal 3"/>
    <tableColumn id="8" xr3:uid="{00000000-0010-0000-3400-000008000000}" name="IVA 21%" totalsRowFunction="sum" dataDxfId="479" totalsRowDxfId="478" dataCellStyle="Normal 3"/>
    <tableColumn id="9" xr3:uid="{00000000-0010-0000-3400-000009000000}" name="IVA 10,5%" totalsRowFunction="sum" dataDxfId="477" totalsRowDxfId="476" dataCellStyle="Normal 3"/>
    <tableColumn id="10" xr3:uid="{00000000-0010-0000-3400-00000A000000}" name="EXENTO" totalsRowFunction="sum" dataDxfId="475" totalsRowDxfId="474" dataCellStyle="Normal 3"/>
    <tableColumn id="11" xr3:uid="{00000000-0010-0000-3400-00000B000000}" name="TOTAL" totalsRowFunction="sum" dataDxfId="473" totalsRowDxfId="472" dataCellStyle="Normal 3">
      <calculatedColumnFormula>SUM(ventas_b_mes9[[#This Row],[IMPORTE NETO]:[EXENTO]])</calculatedColumnFormula>
    </tableColumn>
    <tableColumn id="12" xr3:uid="{00000000-0010-0000-3400-00000C000000}" name="Provincia" totalsRowFunction="count" dataDxfId="471" totalsRowDxfId="470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5000000}" name="extracto_banco_mes9" displayName="extracto_banco_mes9" ref="D105:M122" totalsRowCount="1" headerRowDxfId="469" dataDxfId="468" tableBorderDxfId="467" dataCellStyle="Normal 3">
  <autoFilter ref="D105:M121" xr:uid="{00000000-0009-0000-0100-000043000000}"/>
  <tableColumns count="10">
    <tableColumn id="1" xr3:uid="{00000000-0010-0000-3500-000001000000}" name="FECHA" totalsRowLabel="Total" dataDxfId="466" totalsRowDxfId="465" dataCellStyle="Normal 3"/>
    <tableColumn id="2" xr3:uid="{00000000-0010-0000-3500-000002000000}" name="NRO CPTE" dataDxfId="464" totalsRowDxfId="463"/>
    <tableColumn id="3" xr3:uid="{00000000-0010-0000-3500-000003000000}" name="BANCO" dataDxfId="462" totalsRowDxfId="461"/>
    <tableColumn id="4" xr3:uid="{00000000-0010-0000-3500-000004000000}" name="NETO" totalsRowFunction="sum" dataDxfId="460" totalsRowDxfId="459" dataCellStyle="Normal 3">
      <calculatedColumnFormula>8100+250+250+250+250+250+30</calculatedColumnFormula>
    </tableColumn>
    <tableColumn id="5" xr3:uid="{00000000-0010-0000-3500-000005000000}" name="IVA 21%" totalsRowFunction="sum" dataDxfId="458" totalsRowDxfId="457" dataCellStyle="Normal 3">
      <calculatedColumnFormula>extracto_banco_mes9[[#This Row],[NETO]]*0.21</calculatedColumnFormula>
    </tableColumn>
    <tableColumn id="6" xr3:uid="{00000000-0010-0000-3500-000006000000}" name="IVA 10,5%" totalsRowFunction="sum" dataDxfId="456" totalsRowDxfId="455" dataCellStyle="Normal 3"/>
    <tableColumn id="7" xr3:uid="{00000000-0010-0000-3500-000007000000}" name="RET IIBB CABA" totalsRowFunction="sum" dataDxfId="454" totalsRowDxfId="453" dataCellStyle="Normal 3"/>
    <tableColumn id="8" xr3:uid="{00000000-0010-0000-3500-000008000000}" name="PERC IVA" totalsRowFunction="sum" dataDxfId="452" totalsRowDxfId="451" dataCellStyle="Normal 3"/>
    <tableColumn id="9" xr3:uid="{00000000-0010-0000-3500-000009000000}" name="PERC IIBB" totalsRowFunction="sum" dataDxfId="450" totalsRowDxfId="449" dataCellStyle="Normal 3"/>
    <tableColumn id="10" xr3:uid="{F03DB782-E13F-4FC2-9A25-D5C0C6B961E4}" name="TOTAL" dataDxfId="448" totalsRowDxfId="447" dataCellStyle="Normal 3">
      <calculatedColumnFormula>SUM(extracto_banco_mes9[[#This Row],[NETO]:[PERC IIBB]])</calculatedColumnFormula>
    </tableColumn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6000000}" name="Retenciones_mes9" displayName="Retenciones_mes9" ref="C197:L202" totalsRowShown="0" headerRowDxfId="446" dataDxfId="445" headerRowCellStyle="Normal 3" dataCellStyle="Normal 3">
  <autoFilter ref="C197:L202" xr:uid="{00000000-0009-0000-0100-000044000000}"/>
  <tableColumns count="10">
    <tableColumn id="1" xr3:uid="{00000000-0010-0000-3600-000001000000}" name="FECHA " dataDxfId="444" dataCellStyle="Normal 3"/>
    <tableColumn id="2" xr3:uid="{00000000-0010-0000-3600-000002000000}" name="COMP Nº" dataDxfId="443" dataCellStyle="Normal 3"/>
    <tableColumn id="3" xr3:uid="{00000000-0010-0000-3600-000003000000}" name="Columna1" dataDxfId="442" dataCellStyle="Normal 3"/>
    <tableColumn id="4" xr3:uid="{00000000-0010-0000-3600-000004000000}" name="CUIT" dataDxfId="441" dataCellStyle="Normal 3"/>
    <tableColumn id="5" xr3:uid="{00000000-0010-0000-3600-000005000000}" name="RAZON SOCIAL" dataDxfId="440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600-000006000000}" name="Ganancias" dataDxfId="439" dataCellStyle="Normal 3"/>
    <tableColumn id="7" xr3:uid="{00000000-0010-0000-3600-000007000000}" name="IVA" dataDxfId="438" dataCellStyle="Normal 3"/>
    <tableColumn id="8" xr3:uid="{00000000-0010-0000-3600-000008000000}" name="SUSS" dataDxfId="437" dataCellStyle="Normal 3"/>
    <tableColumn id="9" xr3:uid="{00000000-0010-0000-3600-000009000000}" name="IIBB BSAS" dataDxfId="436" dataCellStyle="Normal 3"/>
    <tableColumn id="10" xr3:uid="{00000000-0010-0000-3600-00000A000000}" name="IIBB CABA" dataDxfId="435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7000000}" name="compras_mes10" displayName="compras_mes10" ref="B8:R108" totalsRowCount="1" headerRowDxfId="434" totalsRowDxfId="433">
  <autoFilter ref="B8:R107" xr:uid="{00000000-0009-0000-0100-000021000000}"/>
  <sortState xmlns:xlrd2="http://schemas.microsoft.com/office/spreadsheetml/2017/richdata2" ref="B9:R107">
    <sortCondition ref="B8:B107"/>
  </sortState>
  <tableColumns count="17">
    <tableColumn id="1" xr3:uid="{00000000-0010-0000-3700-000001000000}" name="FECHA" totalsRowLabel="Total" dataDxfId="432" totalsRowDxfId="431" dataCellStyle="Normal 3"/>
    <tableColumn id="2" xr3:uid="{00000000-0010-0000-3700-000002000000}" name="TIPO" dataDxfId="430" totalsRowDxfId="429" dataCellStyle="Normal 3"/>
    <tableColumn id="3" xr3:uid="{00000000-0010-0000-3700-000003000000}" name="PTO VTA" dataDxfId="428" totalsRowDxfId="427" dataCellStyle="Normal 3"/>
    <tableColumn id="4" xr3:uid="{00000000-0010-0000-3700-000004000000}" name="NRO. CPTE" dataDxfId="426" totalsRowDxfId="425" dataCellStyle="Normal 3"/>
    <tableColumn id="5" xr3:uid="{00000000-0010-0000-3700-000005000000}" name="CUIT" dataDxfId="424" totalsRowDxfId="423" dataCellStyle="Normal 3"/>
    <tableColumn id="6" xr3:uid="{00000000-0010-0000-3700-000006000000}" name="RAZON SOCIAL" dataDxfId="422" totalsRowDxfId="421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700-000007000000}" name="NETO GRAVADO" totalsRowFunction="sum" dataDxfId="420" totalsRowDxfId="419" dataCellStyle="Normal 3"/>
    <tableColumn id="8" xr3:uid="{00000000-0010-0000-3700-000008000000}" name="IVA 21 %" totalsRowFunction="sum" dataDxfId="418" totalsRowDxfId="417" dataCellStyle="Normal 3">
      <calculatedColumnFormula>IF(compras_mes10[[#This Row],[NETO GRAVADO]]="","",compras_mes10[[#This Row],[NETO GRAVADO]]*0.21)</calculatedColumnFormula>
    </tableColumn>
    <tableColumn id="9" xr3:uid="{00000000-0010-0000-3700-000009000000}" name="IVA 27%" totalsRowFunction="sum" dataDxfId="416" totalsRowDxfId="415" dataCellStyle="Normal 3"/>
    <tableColumn id="10" xr3:uid="{00000000-0010-0000-3700-00000A000000}" name="IVA 10,5%" totalsRowFunction="sum" dataDxfId="414" totalsRowDxfId="413" dataCellStyle="Normal 3"/>
    <tableColumn id="11" xr3:uid="{00000000-0010-0000-3700-00000B000000}" name="PERC. IVA" totalsRowFunction="sum" dataDxfId="412" totalsRowDxfId="411" dataCellStyle="Normal 3"/>
    <tableColumn id="12" xr3:uid="{00000000-0010-0000-3700-00000C000000}" name="PERC IIBB _x000a_BS AS" totalsRowFunction="sum" dataDxfId="410" totalsRowDxfId="409" dataCellStyle="Normal 3"/>
    <tableColumn id="13" xr3:uid="{00000000-0010-0000-3700-00000D000000}" name="PERC. IIBB CABA" totalsRowFunction="sum" dataDxfId="408" totalsRowDxfId="407" dataCellStyle="Normal 3"/>
    <tableColumn id="14" xr3:uid="{00000000-0010-0000-3700-00000E000000}" name="Otros / No Grav." totalsRowFunction="sum" dataDxfId="406" totalsRowDxfId="405" dataCellStyle="Normal 3"/>
    <tableColumn id="15" xr3:uid="{00000000-0010-0000-3700-00000F000000}" name="TOTAL" totalsRowFunction="sum" dataDxfId="404" totalsRowDxfId="403" dataCellStyle="Normal 3">
      <calculatedColumnFormula>SUM(compras_mes10[[#This Row],[NETO GRAVADO]:[Otros / No Grav.]])</calculatedColumnFormula>
    </tableColumn>
    <tableColumn id="16" xr3:uid="{00000000-0010-0000-3700-000010000000}" name="Tipo de Gasto" dataDxfId="402" totalsRowDxfId="401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700-000011000000}" name="Provincia" dataDxfId="400" totalsRowDxfId="399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8000000}" name="factura_c_mes10" displayName="factura_c_mes10" ref="D123:K166" totalsRowCount="1" headerRowDxfId="398" totalsRowDxfId="397" headerRowCellStyle="Normal 3">
  <autoFilter ref="D123:K165" xr:uid="{00000000-0009-0000-0100-000022000000}"/>
  <sortState xmlns:xlrd2="http://schemas.microsoft.com/office/spreadsheetml/2017/richdata2" ref="D124:K165">
    <sortCondition ref="F124:F165"/>
  </sortState>
  <tableColumns count="8">
    <tableColumn id="1" xr3:uid="{00000000-0010-0000-3800-000001000000}" name="FECHA" totalsRowLabel="Total" dataDxfId="396" totalsRowDxfId="395" dataCellStyle="Normal 3"/>
    <tableColumn id="2" xr3:uid="{00000000-0010-0000-3800-000002000000}" name="PTO VTA" dataDxfId="394" totalsRowDxfId="393" dataCellStyle="Normal 3"/>
    <tableColumn id="3" xr3:uid="{00000000-0010-0000-3800-000003000000}" name="FC Nº" dataDxfId="392" totalsRowDxfId="391" dataCellStyle="Normal 3"/>
    <tableColumn id="4" xr3:uid="{00000000-0010-0000-3800-000004000000}" name="CUIT" dataDxfId="390" totalsRowDxfId="389" dataCellStyle="Normal 3"/>
    <tableColumn id="5" xr3:uid="{00000000-0010-0000-3800-000005000000}" name="RAZON SOCIAL" dataDxfId="388" totalsRowDxfId="387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800-000006000000}" name="TOTAL" totalsRowFunction="sum" dataDxfId="386" totalsRowDxfId="385" dataCellStyle="Normal 3"/>
    <tableColumn id="7" xr3:uid="{00000000-0010-0000-3800-000007000000}" name="TIPO DE GASTO" dataDxfId="384" totalsRowDxfId="383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800-000008000000}" name="Provincia" dataDxfId="382" totalsRowDxfId="381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9000000}" name="venta_a_mes10" displayName="venta_a_mes10" ref="B175:M185" totalsRowCount="1" headerRowDxfId="380" dataDxfId="378" headerRowBorderDxfId="379" tableBorderDxfId="377" totalsRowBorderDxfId="376" dataCellStyle="Normal 3">
  <autoFilter ref="B175:M184" xr:uid="{00000000-0009-0000-0100-000023000000}"/>
  <tableColumns count="12">
    <tableColumn id="1" xr3:uid="{00000000-0010-0000-3900-000001000000}" name="FECHA" totalsRowLabel="Total" dataDxfId="375" totalsRowDxfId="374" dataCellStyle="Normal 3"/>
    <tableColumn id="2" xr3:uid="{00000000-0010-0000-3900-000002000000}" name="TIPO" dataDxfId="373" totalsRowDxfId="372" dataCellStyle="Normal 3"/>
    <tableColumn id="3" xr3:uid="{00000000-0010-0000-3900-000003000000}" name="PTO VENTA" dataDxfId="371" totalsRowDxfId="370" dataCellStyle="Normal 3"/>
    <tableColumn id="4" xr3:uid="{00000000-0010-0000-3900-000004000000}" name="Nº FACTURA" dataDxfId="369" totalsRowDxfId="368" dataCellStyle="Normal 3"/>
    <tableColumn id="5" xr3:uid="{00000000-0010-0000-3900-000005000000}" name="CUIT" dataDxfId="367" totalsRowDxfId="366" dataCellStyle="Normal 3"/>
    <tableColumn id="6" xr3:uid="{00000000-0010-0000-3900-000006000000}" name="RAZON SOCIAL" dataDxfId="365" totalsRowDxfId="364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900-000007000000}" name="IMPORTE NETO" totalsRowFunction="sum" dataDxfId="363" totalsRowDxfId="362" dataCellStyle="Normal 3"/>
    <tableColumn id="8" xr3:uid="{00000000-0010-0000-3900-000008000000}" name="IVA 21%" totalsRowFunction="sum" dataDxfId="361" totalsRowDxfId="360" dataCellStyle="Normal 3">
      <calculatedColumnFormula>venta_a_mes10[[#This Row],[IMPORTE NETO]]*0.21</calculatedColumnFormula>
    </tableColumn>
    <tableColumn id="9" xr3:uid="{00000000-0010-0000-3900-000009000000}" name="IVA 10,5%" totalsRowFunction="sum" dataDxfId="359" totalsRowDxfId="358" dataCellStyle="Normal 3"/>
    <tableColumn id="10" xr3:uid="{00000000-0010-0000-3900-00000A000000}" name="EXENTO" totalsRowFunction="sum" dataDxfId="357" totalsRowDxfId="356" dataCellStyle="Normal 3"/>
    <tableColumn id="11" xr3:uid="{00000000-0010-0000-3900-00000B000000}" name="TOTAL" totalsRowFunction="sum" dataDxfId="355" totalsRowDxfId="354" dataCellStyle="Normal 3">
      <calculatedColumnFormula>SUM(venta_a_mes10[[#This Row],[IMPORTE NETO]:[EXENTO]])</calculatedColumnFormula>
    </tableColumn>
    <tableColumn id="12" xr3:uid="{00000000-0010-0000-3900-00000C000000}" name="Provincia" totalsRowFunction="count" dataDxfId="353" totalsRowDxfId="352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A000000}" name="ventas_b_mes10" displayName="ventas_b_mes10" ref="B189:M196" totalsRowCount="1" headerRowDxfId="351" dataDxfId="349" headerRowBorderDxfId="350" tableBorderDxfId="348" totalsRowBorderDxfId="347" dataCellStyle="Normal 3">
  <autoFilter ref="B189:M195" xr:uid="{00000000-0009-0000-0100-000024000000}"/>
  <tableColumns count="12">
    <tableColumn id="1" xr3:uid="{00000000-0010-0000-3A00-000001000000}" name="FECHA" totalsRowLabel="Total" dataDxfId="346" totalsRowDxfId="345" dataCellStyle="Normal 3"/>
    <tableColumn id="2" xr3:uid="{00000000-0010-0000-3A00-000002000000}" name="TIPO" dataDxfId="344" totalsRowDxfId="343" dataCellStyle="Normal 3"/>
    <tableColumn id="3" xr3:uid="{00000000-0010-0000-3A00-000003000000}" name="PTO VENTA" dataDxfId="342" totalsRowDxfId="341" dataCellStyle="Normal 3"/>
    <tableColumn id="4" xr3:uid="{00000000-0010-0000-3A00-000004000000}" name="Nº FACTURA" dataDxfId="340" totalsRowDxfId="339" dataCellStyle="Normal 3"/>
    <tableColumn id="5" xr3:uid="{00000000-0010-0000-3A00-000005000000}" name="CUIT" dataDxfId="338" totalsRowDxfId="337" dataCellStyle="Normal 3"/>
    <tableColumn id="6" xr3:uid="{00000000-0010-0000-3A00-000006000000}" name="RAZON SOCIAL" dataDxfId="336" totalsRowDxfId="335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A00-000007000000}" name="IMPORTE NETO" totalsRowFunction="sum" dataDxfId="334" totalsRowDxfId="333" dataCellStyle="Normal 3"/>
    <tableColumn id="8" xr3:uid="{00000000-0010-0000-3A00-000008000000}" name="IVA 21%" totalsRowFunction="sum" dataDxfId="332" totalsRowDxfId="331" dataCellStyle="Normal 3"/>
    <tableColumn id="9" xr3:uid="{00000000-0010-0000-3A00-000009000000}" name="IVA 10,5%" totalsRowFunction="sum" dataDxfId="330" totalsRowDxfId="329" dataCellStyle="Normal 3"/>
    <tableColumn id="10" xr3:uid="{00000000-0010-0000-3A00-00000A000000}" name="EXENTO" totalsRowFunction="sum" dataDxfId="328" totalsRowDxfId="327" dataCellStyle="Normal 3"/>
    <tableColumn id="11" xr3:uid="{00000000-0010-0000-3A00-00000B000000}" name="TOTAL" totalsRowFunction="sum" dataDxfId="326" totalsRowDxfId="325" dataCellStyle="Normal 3">
      <calculatedColumnFormula>SUM(ventas_b_mes10[[#This Row],[IMPORTE NETO]:[EXENTO]])</calculatedColumnFormula>
    </tableColumn>
    <tableColumn id="12" xr3:uid="{00000000-0010-0000-3A00-00000C000000}" name="Provincia" totalsRowFunction="count" dataDxfId="324" totalsRowDxfId="323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B000000}" name="extracto_banco_mes10" displayName="extracto_banco_mes10" ref="D114:L118" totalsRowCount="1" headerRowDxfId="322" dataDxfId="321" tableBorderDxfId="320" dataCellStyle="Normal 3">
  <autoFilter ref="D114:L117" xr:uid="{00000000-0009-0000-0100-000025000000}"/>
  <tableColumns count="9">
    <tableColumn id="1" xr3:uid="{00000000-0010-0000-3B00-000001000000}" name="FECHA" totalsRowLabel="Total" dataDxfId="319" totalsRowDxfId="318" dataCellStyle="Normal 3"/>
    <tableColumn id="2" xr3:uid="{00000000-0010-0000-3B00-000002000000}" name="NRO CPTE" dataDxfId="317" totalsRowDxfId="316"/>
    <tableColumn id="3" xr3:uid="{00000000-0010-0000-3B00-000003000000}" name="BANCO" dataDxfId="315" totalsRowDxfId="314"/>
    <tableColumn id="4" xr3:uid="{00000000-0010-0000-3B00-000004000000}" name="NETO" totalsRowFunction="sum" dataDxfId="313" totalsRowDxfId="312" dataCellStyle="Normal 3">
      <calculatedColumnFormula>24+300+2.5+150+40+35+2.5+500+1001+35</calculatedColumnFormula>
    </tableColumn>
    <tableColumn id="5" xr3:uid="{00000000-0010-0000-3B00-000005000000}" name="IVA 21%" totalsRowFunction="sum" dataDxfId="311" totalsRowDxfId="310" dataCellStyle="Normal 3">
      <calculatedColumnFormula>extracto_banco_mes10[[#This Row],[NETO]]*0.21</calculatedColumnFormula>
    </tableColumn>
    <tableColumn id="6" xr3:uid="{00000000-0010-0000-3B00-000006000000}" name="IVA 10,5%" totalsRowFunction="sum" dataDxfId="309" totalsRowDxfId="308" dataCellStyle="Normal 3"/>
    <tableColumn id="7" xr3:uid="{00000000-0010-0000-3B00-000007000000}" name="RET IIBB CABA" totalsRowFunction="sum" dataDxfId="307" totalsRowDxfId="306" dataCellStyle="Normal 3"/>
    <tableColumn id="8" xr3:uid="{00000000-0010-0000-3B00-000008000000}" name="PERC IVA" totalsRowFunction="sum" dataDxfId="305" totalsRowDxfId="304" dataCellStyle="Normal 3"/>
    <tableColumn id="9" xr3:uid="{00000000-0010-0000-3B00-000009000000}" name="PERC IIBB" totalsRowFunction="sum" dataDxfId="303" totalsRowDxfId="302" dataCellStyle="Normal 3"/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C000000}" name="Retenciones_mes10" displayName="Retenciones_mes10" ref="C205:L210" totalsRowShown="0" headerRowDxfId="301" dataDxfId="300" headerRowCellStyle="Normal 3" dataCellStyle="Normal 3">
  <autoFilter ref="C205:L210" xr:uid="{00000000-0009-0000-0100-000026000000}"/>
  <tableColumns count="10">
    <tableColumn id="1" xr3:uid="{00000000-0010-0000-3C00-000001000000}" name="FECHA " dataDxfId="299" dataCellStyle="Normal 3"/>
    <tableColumn id="2" xr3:uid="{00000000-0010-0000-3C00-000002000000}" name="COMP Nº" dataDxfId="298" dataCellStyle="Normal 3"/>
    <tableColumn id="3" xr3:uid="{00000000-0010-0000-3C00-000003000000}" name="Columna1" dataDxfId="297" dataCellStyle="Normal 3"/>
    <tableColumn id="4" xr3:uid="{00000000-0010-0000-3C00-000004000000}" name="CUIT" dataDxfId="296" dataCellStyle="Normal 3"/>
    <tableColumn id="5" xr3:uid="{00000000-0010-0000-3C00-000005000000}" name="RAZON SOCIAL" dataDxfId="295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C00-000006000000}" name="Ganancias" dataDxfId="294" dataCellStyle="Normal 3"/>
    <tableColumn id="7" xr3:uid="{00000000-0010-0000-3C00-000007000000}" name="IVA" dataDxfId="293" dataCellStyle="Normal 3"/>
    <tableColumn id="8" xr3:uid="{00000000-0010-0000-3C00-000008000000}" name="SUSS" dataDxfId="292" dataCellStyle="Normal 3"/>
    <tableColumn id="9" xr3:uid="{00000000-0010-0000-3C00-000009000000}" name="IIBB BSAS" dataDxfId="291" dataCellStyle="Normal 3"/>
    <tableColumn id="10" xr3:uid="{00000000-0010-0000-3C00-00000A000000}" name="IIBB CABA" dataDxfId="290" dataCellStyle="Normal 3"/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D000000}" name="compras_mes11" displayName="compras_mes11" ref="B8:R125" totalsRowCount="1" headerRowDxfId="289" totalsRowDxfId="288">
  <autoFilter ref="B8:R124" xr:uid="{00000000-0009-0000-0100-00004B000000}"/>
  <sortState xmlns:xlrd2="http://schemas.microsoft.com/office/spreadsheetml/2017/richdata2" ref="B9:R124">
    <sortCondition ref="B8:B124"/>
  </sortState>
  <tableColumns count="17">
    <tableColumn id="1" xr3:uid="{00000000-0010-0000-3D00-000001000000}" name="FECHA" totalsRowLabel="Total" dataDxfId="287" totalsRowDxfId="286" dataCellStyle="Normal 3"/>
    <tableColumn id="2" xr3:uid="{00000000-0010-0000-3D00-000002000000}" name="TIPO" dataDxfId="285" totalsRowDxfId="284" dataCellStyle="Normal 3"/>
    <tableColumn id="3" xr3:uid="{00000000-0010-0000-3D00-000003000000}" name="PTO VTA" dataDxfId="283" totalsRowDxfId="282" dataCellStyle="Normal 3"/>
    <tableColumn id="4" xr3:uid="{00000000-0010-0000-3D00-000004000000}" name="NRO. CPTE" dataDxfId="281" totalsRowDxfId="280" dataCellStyle="Normal 3"/>
    <tableColumn id="5" xr3:uid="{00000000-0010-0000-3D00-000005000000}" name="CUIT" dataDxfId="279" totalsRowDxfId="278" dataCellStyle="Normal 3"/>
    <tableColumn id="6" xr3:uid="{00000000-0010-0000-3D00-000006000000}" name="RAZON SOCIAL" dataDxfId="277" totalsRowDxfId="276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3D00-000007000000}" name="NETO GRAVADO" totalsRowFunction="sum" dataDxfId="275" totalsRowDxfId="274" dataCellStyle="Normal 3"/>
    <tableColumn id="8" xr3:uid="{00000000-0010-0000-3D00-000008000000}" name="IVA 21 %" totalsRowFunction="sum" dataDxfId="273" totalsRowDxfId="272" dataCellStyle="Normal 3">
      <calculatedColumnFormula>IF(compras_mes11[[#This Row],[NETO GRAVADO]]="","",compras_mes11[[#This Row],[NETO GRAVADO]]*0.21)</calculatedColumnFormula>
    </tableColumn>
    <tableColumn id="9" xr3:uid="{00000000-0010-0000-3D00-000009000000}" name="IVA 27%" totalsRowFunction="sum" dataDxfId="271" totalsRowDxfId="270" dataCellStyle="Normal 3"/>
    <tableColumn id="10" xr3:uid="{00000000-0010-0000-3D00-00000A000000}" name="IVA 10,5%" totalsRowFunction="sum" dataDxfId="269" totalsRowDxfId="268" dataCellStyle="Normal 3"/>
    <tableColumn id="11" xr3:uid="{00000000-0010-0000-3D00-00000B000000}" name="PERC. IVA" totalsRowFunction="sum" dataDxfId="267" totalsRowDxfId="266" dataCellStyle="Normal 3"/>
    <tableColumn id="12" xr3:uid="{00000000-0010-0000-3D00-00000C000000}" name="PERC IIBB _x000a_BS AS" totalsRowFunction="sum" dataDxfId="265" totalsRowDxfId="264" dataCellStyle="Normal 3"/>
    <tableColumn id="13" xr3:uid="{00000000-0010-0000-3D00-00000D000000}" name="PERC. IIBB CABA" totalsRowFunction="sum" dataDxfId="263" totalsRowDxfId="262" dataCellStyle="Normal 3"/>
    <tableColumn id="14" xr3:uid="{00000000-0010-0000-3D00-00000E000000}" name="Otros / No Grav." totalsRowFunction="sum" dataDxfId="261" totalsRowDxfId="260" dataCellStyle="Normal 3"/>
    <tableColumn id="15" xr3:uid="{00000000-0010-0000-3D00-00000F000000}" name="TOTAL" totalsRowFunction="sum" dataDxfId="259" totalsRowDxfId="258" dataCellStyle="Normal 3">
      <calculatedColumnFormula>SUM(compras_mes11[[#This Row],[NETO GRAVADO]:[Otros / No Grav.]])</calculatedColumnFormula>
    </tableColumn>
    <tableColumn id="16" xr3:uid="{00000000-0010-0000-3D00-000010000000}" name="Tipo de Gasto" dataDxfId="257" totalsRowDxfId="256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3D00-000011000000}" name="Provincia" dataDxfId="255" totalsRowDxfId="254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E000000}" name="factura_c_mes11" displayName="factura_c_mes11" ref="D140:K161" totalsRowCount="1" headerRowDxfId="253" totalsRowDxfId="252" headerRowCellStyle="Normal 3">
  <autoFilter ref="D140:K160" xr:uid="{00000000-0009-0000-0100-00004C000000}"/>
  <tableColumns count="8">
    <tableColumn id="1" xr3:uid="{00000000-0010-0000-3E00-000001000000}" name="FECHA" totalsRowLabel="Total" dataDxfId="251" totalsRowDxfId="250" dataCellStyle="Normal 3"/>
    <tableColumn id="2" xr3:uid="{00000000-0010-0000-3E00-000002000000}" name="PTO VTA" dataDxfId="249" totalsRowDxfId="248" dataCellStyle="Normal 3"/>
    <tableColumn id="3" xr3:uid="{00000000-0010-0000-3E00-000003000000}" name="FC Nº" dataDxfId="247" totalsRowDxfId="246" dataCellStyle="Normal 3"/>
    <tableColumn id="4" xr3:uid="{00000000-0010-0000-3E00-000004000000}" name="CUIT" dataDxfId="245" totalsRowDxfId="244" dataCellStyle="Normal 3"/>
    <tableColumn id="5" xr3:uid="{00000000-0010-0000-3E00-000005000000}" name="RAZON SOCIAL" dataDxfId="243" totalsRowDxfId="242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3E00-000006000000}" name="TOTAL" totalsRowFunction="sum" dataDxfId="241" totalsRowDxfId="240" dataCellStyle="Normal 3"/>
    <tableColumn id="7" xr3:uid="{00000000-0010-0000-3E00-000007000000}" name="TIPO DE GASTO" dataDxfId="239" totalsRowDxfId="238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3E00-000008000000}" name="Provincia" dataDxfId="237" totalsRowDxfId="236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3F000000}" name="venta_a_mes11" displayName="venta_a_mes11" ref="B170:M177" totalsRowCount="1" headerRowDxfId="235" dataDxfId="233" headerRowBorderDxfId="234" tableBorderDxfId="232" totalsRowBorderDxfId="231" dataCellStyle="Normal 3">
  <autoFilter ref="B170:M176" xr:uid="{00000000-0009-0000-0100-00004D000000}"/>
  <tableColumns count="12">
    <tableColumn id="1" xr3:uid="{00000000-0010-0000-3F00-000001000000}" name="FECHA" totalsRowLabel="Total" dataDxfId="230" totalsRowDxfId="229" dataCellStyle="Normal 3"/>
    <tableColumn id="2" xr3:uid="{00000000-0010-0000-3F00-000002000000}" name="TIPO" dataDxfId="228" totalsRowDxfId="227" dataCellStyle="Normal 3"/>
    <tableColumn id="3" xr3:uid="{00000000-0010-0000-3F00-000003000000}" name="PTO VENTA" dataDxfId="226" totalsRowDxfId="225" dataCellStyle="Normal 3"/>
    <tableColumn id="4" xr3:uid="{00000000-0010-0000-3F00-000004000000}" name="Nº FACTURA" dataDxfId="224" totalsRowDxfId="223" dataCellStyle="Normal 3"/>
    <tableColumn id="5" xr3:uid="{00000000-0010-0000-3F00-000005000000}" name="CUIT" dataDxfId="222" totalsRowDxfId="221" dataCellStyle="Normal 3"/>
    <tableColumn id="6" xr3:uid="{00000000-0010-0000-3F00-000006000000}" name="RAZON SOCIAL" dataDxfId="220" totalsRowDxfId="219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3F00-000007000000}" name="IMPORTE NETO" totalsRowFunction="sum" dataDxfId="218" totalsRowDxfId="217" dataCellStyle="Normal 3"/>
    <tableColumn id="8" xr3:uid="{00000000-0010-0000-3F00-000008000000}" name="IVA 21%" totalsRowFunction="sum" dataDxfId="216" totalsRowDxfId="215" dataCellStyle="Normal 3">
      <calculatedColumnFormula>venta_a_mes11[[#This Row],[IMPORTE NETO]]*0.21</calculatedColumnFormula>
    </tableColumn>
    <tableColumn id="9" xr3:uid="{00000000-0010-0000-3F00-000009000000}" name="IVA 10,5%" totalsRowFunction="sum" dataDxfId="214" totalsRowDxfId="213" dataCellStyle="Normal 3"/>
    <tableColumn id="10" xr3:uid="{00000000-0010-0000-3F00-00000A000000}" name="EXENTO" totalsRowFunction="sum" dataDxfId="212" totalsRowDxfId="211" dataCellStyle="Normal 3"/>
    <tableColumn id="11" xr3:uid="{00000000-0010-0000-3F00-00000B000000}" name="TOTAL" totalsRowFunction="sum" dataDxfId="210" totalsRowDxfId="209" dataCellStyle="Normal 3">
      <calculatedColumnFormula>SUM(venta_a_mes11[[#This Row],[IMPORTE NETO]:[EXENTO]])</calculatedColumnFormula>
    </tableColumn>
    <tableColumn id="12" xr3:uid="{00000000-0010-0000-3F00-00000C000000}" name="Provincia" totalsRowFunction="count" dataDxfId="208" totalsRowDxfId="207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0000000}" name="ventas_b_mes11" displayName="ventas_b_mes11" ref="B181:M415" totalsRowCount="1" headerRowDxfId="206" dataDxfId="204" headerRowBorderDxfId="205" tableBorderDxfId="203" totalsRowBorderDxfId="202" dataCellStyle="Normal 3">
  <autoFilter ref="B181:M414" xr:uid="{00000000-0009-0000-0100-00004E000000}"/>
  <tableColumns count="12">
    <tableColumn id="1" xr3:uid="{00000000-0010-0000-4000-000001000000}" name="FECHA" totalsRowLabel="Total" dataDxfId="201" totalsRowDxfId="200" dataCellStyle="Normal 3"/>
    <tableColumn id="2" xr3:uid="{00000000-0010-0000-4000-000002000000}" name="TIPO" dataDxfId="199" totalsRowDxfId="198" dataCellStyle="Normal 3"/>
    <tableColumn id="3" xr3:uid="{00000000-0010-0000-4000-000003000000}" name="PTO VENTA" dataDxfId="197" totalsRowDxfId="196" dataCellStyle="Normal 3"/>
    <tableColumn id="4" xr3:uid="{00000000-0010-0000-4000-000004000000}" name="Nº FACTURA" dataDxfId="195" totalsRowDxfId="194" dataCellStyle="Normal 3"/>
    <tableColumn id="5" xr3:uid="{00000000-0010-0000-4000-000005000000}" name="CUIT" dataDxfId="193" totalsRowDxfId="192" dataCellStyle="Normal 3"/>
    <tableColumn id="6" xr3:uid="{00000000-0010-0000-4000-000006000000}" name="RAZON SOCIAL" dataDxfId="191" totalsRowDxfId="190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000-000007000000}" name="IMPORTE NETO" totalsRowFunction="sum" dataDxfId="189" totalsRowDxfId="188" dataCellStyle="Normal 3"/>
    <tableColumn id="8" xr3:uid="{00000000-0010-0000-4000-000008000000}" name="IVA 21%" totalsRowFunction="sum" dataDxfId="187" totalsRowDxfId="186" dataCellStyle="Normal 3"/>
    <tableColumn id="9" xr3:uid="{00000000-0010-0000-4000-000009000000}" name="IVA 10,5%" totalsRowFunction="sum" dataDxfId="185" totalsRowDxfId="184" dataCellStyle="Normal 3"/>
    <tableColumn id="10" xr3:uid="{00000000-0010-0000-4000-00000A000000}" name="EXENTO" totalsRowFunction="sum" dataDxfId="183" totalsRowDxfId="182" dataCellStyle="Normal 3"/>
    <tableColumn id="11" xr3:uid="{00000000-0010-0000-4000-00000B000000}" name="TOTAL" totalsRowFunction="sum" dataDxfId="181" totalsRowDxfId="180" dataCellStyle="Normal 3">
      <calculatedColumnFormula>SUM(ventas_b_mes11[[#This Row],[IMPORTE NETO]:[EXENTO]])</calculatedColumnFormula>
    </tableColumn>
    <tableColumn id="12" xr3:uid="{00000000-0010-0000-4000-00000C000000}" name="Provincia" totalsRowFunction="count" dataDxfId="179" totalsRowDxfId="178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1000000}" name="extracto_banco_mes11" displayName="extracto_banco_mes11" ref="D131:L135" totalsRowCount="1" headerRowDxfId="177" dataDxfId="176" tableBorderDxfId="175" dataCellStyle="Normal 3">
  <autoFilter ref="D131:L134" xr:uid="{00000000-0009-0000-0100-00004F000000}"/>
  <tableColumns count="9">
    <tableColumn id="1" xr3:uid="{00000000-0010-0000-4100-000001000000}" name="FECHA" totalsRowLabel="Total" dataDxfId="174" totalsRowDxfId="173" dataCellStyle="Normal 3"/>
    <tableColumn id="2" xr3:uid="{00000000-0010-0000-4100-000002000000}" name="NRO CPTE" dataDxfId="172" totalsRowDxfId="171"/>
    <tableColumn id="3" xr3:uid="{00000000-0010-0000-4100-000003000000}" name="BANCO" dataDxfId="170" totalsRowDxfId="169"/>
    <tableColumn id="4" xr3:uid="{00000000-0010-0000-4100-000004000000}" name="NETO" totalsRowFunction="sum" dataDxfId="168" totalsRowDxfId="167" dataCellStyle="Normal 3">
      <calculatedColumnFormula>1000+250+346.5+100</calculatedColumnFormula>
    </tableColumn>
    <tableColumn id="5" xr3:uid="{00000000-0010-0000-4100-000005000000}" name="IVA 21%" totalsRowFunction="sum" dataDxfId="166" totalsRowDxfId="165" dataCellStyle="Normal 3">
      <calculatedColumnFormula>extracto_banco_mes11[[#This Row],[NETO]]*0.21</calculatedColumnFormula>
    </tableColumn>
    <tableColumn id="6" xr3:uid="{00000000-0010-0000-4100-000006000000}" name="IVA 10,5%" totalsRowFunction="sum" dataDxfId="164" totalsRowDxfId="163" dataCellStyle="Normal 3"/>
    <tableColumn id="7" xr3:uid="{00000000-0010-0000-4100-000007000000}" name="RET IIBB CABA" totalsRowFunction="sum" dataDxfId="162" totalsRowDxfId="161" dataCellStyle="Normal 3"/>
    <tableColumn id="8" xr3:uid="{00000000-0010-0000-4100-000008000000}" name="PERC IVA" totalsRowFunction="sum" dataDxfId="160" totalsRowDxfId="159" dataCellStyle="Normal 3"/>
    <tableColumn id="9" xr3:uid="{00000000-0010-0000-4100-000009000000}" name="PERC IIBB" totalsRowFunction="sum" dataDxfId="158" totalsRowDxfId="157" dataCellStyle="Normal 3"/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2000000}" name="Retenciones_mes11" displayName="Retenciones_mes11" ref="C417:L422" totalsRowShown="0" headerRowDxfId="156" dataDxfId="155" headerRowCellStyle="Normal 3" dataCellStyle="Normal 3">
  <autoFilter ref="C417:L422" xr:uid="{00000000-0009-0000-0100-000050000000}"/>
  <tableColumns count="10">
    <tableColumn id="1" xr3:uid="{00000000-0010-0000-4200-000001000000}" name="FECHA " dataDxfId="154" dataCellStyle="Normal 3"/>
    <tableColumn id="2" xr3:uid="{00000000-0010-0000-4200-000002000000}" name="COMP Nº" dataDxfId="153" dataCellStyle="Normal 3"/>
    <tableColumn id="3" xr3:uid="{00000000-0010-0000-4200-000003000000}" name="Columna1" dataDxfId="152" dataCellStyle="Normal 3"/>
    <tableColumn id="4" xr3:uid="{00000000-0010-0000-4200-000004000000}" name="CUIT" dataDxfId="151" dataCellStyle="Normal 3"/>
    <tableColumn id="5" xr3:uid="{00000000-0010-0000-4200-000005000000}" name="RAZON SOCIAL" dataDxfId="150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200-000006000000}" name="Ganancias" dataDxfId="149" dataCellStyle="Normal 3"/>
    <tableColumn id="7" xr3:uid="{00000000-0010-0000-4200-000007000000}" name="IVA" dataDxfId="148" dataCellStyle="Normal 3"/>
    <tableColumn id="8" xr3:uid="{00000000-0010-0000-4200-000008000000}" name="SUSS" dataDxfId="147" dataCellStyle="Normal 3"/>
    <tableColumn id="9" xr3:uid="{00000000-0010-0000-4200-000009000000}" name="IIBB BSAS" dataDxfId="146" dataCellStyle="Normal 3"/>
    <tableColumn id="10" xr3:uid="{00000000-0010-0000-4200-00000A000000}" name="IIBB CABA" dataDxfId="145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3000000}" name="compras_mes12" displayName="compras_mes12" ref="B8:R91" totalsRowCount="1" headerRowDxfId="144" totalsRowDxfId="143">
  <autoFilter ref="B8:R90" xr:uid="{00000000-0009-0000-0100-000045000000}"/>
  <sortState xmlns:xlrd2="http://schemas.microsoft.com/office/spreadsheetml/2017/richdata2" ref="B9:R90">
    <sortCondition ref="B8:B90"/>
  </sortState>
  <tableColumns count="17">
    <tableColumn id="1" xr3:uid="{00000000-0010-0000-4300-000001000000}" name="FECHA" totalsRowLabel="Total" dataDxfId="142" totalsRowDxfId="141" dataCellStyle="Normal 3"/>
    <tableColumn id="2" xr3:uid="{00000000-0010-0000-4300-000002000000}" name="TIPO" dataDxfId="140" totalsRowDxfId="139" dataCellStyle="Normal 3"/>
    <tableColumn id="3" xr3:uid="{00000000-0010-0000-4300-000003000000}" name="PTO VTA" dataDxfId="138" totalsRowDxfId="137" dataCellStyle="Normal 3"/>
    <tableColumn id="4" xr3:uid="{00000000-0010-0000-4300-000004000000}" name="NRO. CPTE" dataDxfId="136" totalsRowDxfId="135" dataCellStyle="Normal 3"/>
    <tableColumn id="5" xr3:uid="{00000000-0010-0000-4300-000005000000}" name="CUIT" dataDxfId="134" totalsRowDxfId="133" dataCellStyle="Normal 3"/>
    <tableColumn id="6" xr3:uid="{00000000-0010-0000-4300-000006000000}" name="RAZON SOCIAL" dataDxfId="132" totalsRowDxfId="131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300-000007000000}" name="NETO GRAVADO" totalsRowFunction="sum" dataDxfId="130" totalsRowDxfId="129" dataCellStyle="Normal 3"/>
    <tableColumn id="8" xr3:uid="{00000000-0010-0000-4300-000008000000}" name="IVA 21 %" totalsRowFunction="sum" dataDxfId="128" totalsRowDxfId="127" dataCellStyle="Normal 3">
      <calculatedColumnFormula>IF(compras_mes12[[#This Row],[NETO GRAVADO]]="","",compras_mes12[[#This Row],[NETO GRAVADO]]*0.21)</calculatedColumnFormula>
    </tableColumn>
    <tableColumn id="9" xr3:uid="{00000000-0010-0000-4300-000009000000}" name="IVA 27%" totalsRowFunction="sum" dataDxfId="126" totalsRowDxfId="125" dataCellStyle="Normal 3"/>
    <tableColumn id="10" xr3:uid="{00000000-0010-0000-4300-00000A000000}" name="IVA 10,5%" totalsRowFunction="sum" dataDxfId="124" totalsRowDxfId="123" dataCellStyle="Normal 3"/>
    <tableColumn id="11" xr3:uid="{00000000-0010-0000-4300-00000B000000}" name="PERC. IVA" totalsRowFunction="sum" dataDxfId="122" totalsRowDxfId="121" dataCellStyle="Normal 3"/>
    <tableColumn id="12" xr3:uid="{00000000-0010-0000-4300-00000C000000}" name="PERC IIBB _x000a_BS AS" totalsRowFunction="sum" dataDxfId="120" totalsRowDxfId="119" dataCellStyle="Normal 3"/>
    <tableColumn id="13" xr3:uid="{00000000-0010-0000-4300-00000D000000}" name="PERC. IIBB CABA" totalsRowFunction="sum" dataDxfId="118" totalsRowDxfId="117" dataCellStyle="Normal 3"/>
    <tableColumn id="14" xr3:uid="{00000000-0010-0000-4300-00000E000000}" name="Otros / No Grav." totalsRowFunction="sum" dataDxfId="116" totalsRowDxfId="115" dataCellStyle="Normal 3"/>
    <tableColumn id="15" xr3:uid="{00000000-0010-0000-4300-00000F000000}" name="TOTAL" totalsRowFunction="sum" dataDxfId="114" totalsRowDxfId="113" dataCellStyle="Normal 3">
      <calculatedColumnFormula>SUM(compras_mes12[[#This Row],[NETO GRAVADO]:[Otros / No Grav.]])</calculatedColumnFormula>
    </tableColumn>
    <tableColumn id="16" xr3:uid="{00000000-0010-0000-4300-000010000000}" name="Tipo de Gasto" dataDxfId="112" totalsRowDxfId="111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300-000011000000}" name="Provincia" dataDxfId="110" totalsRowDxfId="109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4000000}" name="factura_c_mes12" displayName="factura_c_mes12" ref="D106:K133" totalsRowCount="1" headerRowDxfId="108" totalsRowDxfId="107" headerRowCellStyle="Normal 3">
  <autoFilter ref="D106:K132" xr:uid="{00000000-0009-0000-0100-000046000000}"/>
  <tableColumns count="8">
    <tableColumn id="1" xr3:uid="{00000000-0010-0000-4400-000001000000}" name="FECHA" totalsRowLabel="Total" dataDxfId="106" totalsRowDxfId="105" dataCellStyle="Normal 3"/>
    <tableColumn id="2" xr3:uid="{00000000-0010-0000-4400-000002000000}" name="PTO VTA" dataDxfId="104" totalsRowDxfId="103" dataCellStyle="Normal 3"/>
    <tableColumn id="3" xr3:uid="{00000000-0010-0000-4400-000003000000}" name="FC Nº" dataDxfId="102" totalsRowDxfId="101" dataCellStyle="Normal 3"/>
    <tableColumn id="4" xr3:uid="{00000000-0010-0000-4400-000004000000}" name="CUIT" dataDxfId="100" totalsRowDxfId="99" dataCellStyle="Normal 3"/>
    <tableColumn id="5" xr3:uid="{00000000-0010-0000-4400-000005000000}" name="RAZON SOCIAL" dataDxfId="98" totalsRowDxfId="97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400-000006000000}" name="TOTAL" totalsRowFunction="sum" dataDxfId="96" totalsRowDxfId="95" dataCellStyle="Normal 3"/>
    <tableColumn id="7" xr3:uid="{00000000-0010-0000-4400-000007000000}" name="TIPO DE GASTO" dataDxfId="94" totalsRowDxfId="93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400-000008000000}" name="Provincia" dataDxfId="92" totalsRowDxfId="91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5000000}" name="venta_a_mes12" displayName="venta_a_mes12" ref="B141:M151" totalsRowCount="1" headerRowDxfId="90" dataDxfId="88" headerRowBorderDxfId="89" tableBorderDxfId="87" totalsRowBorderDxfId="86" dataCellStyle="Normal 3">
  <autoFilter ref="B141:M150" xr:uid="{00000000-0009-0000-0100-000047000000}"/>
  <tableColumns count="12">
    <tableColumn id="1" xr3:uid="{00000000-0010-0000-4500-000001000000}" name="FECHA" totalsRowLabel="Total" dataDxfId="85" totalsRowDxfId="84" dataCellStyle="Normal 3"/>
    <tableColumn id="2" xr3:uid="{00000000-0010-0000-4500-000002000000}" name="TIPO" dataDxfId="83" totalsRowDxfId="82" dataCellStyle="Normal 3"/>
    <tableColumn id="3" xr3:uid="{00000000-0010-0000-4500-000003000000}" name="PTO VENTA" dataDxfId="81" totalsRowDxfId="80" dataCellStyle="Normal 3"/>
    <tableColumn id="4" xr3:uid="{00000000-0010-0000-4500-000004000000}" name="Nº FACTURA" dataDxfId="79" totalsRowDxfId="78" dataCellStyle="Normal 3"/>
    <tableColumn id="5" xr3:uid="{00000000-0010-0000-4500-000005000000}" name="CUIT" dataDxfId="77" totalsRowDxfId="76" dataCellStyle="Normal 3"/>
    <tableColumn id="6" xr3:uid="{00000000-0010-0000-4500-000006000000}" name="RAZON SOCIAL" dataDxfId="75" totalsRowDxfId="74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500-000007000000}" name="IMPORTE NETO" totalsRowFunction="sum" dataDxfId="73" totalsRowDxfId="72" dataCellStyle="Normal 3"/>
    <tableColumn id="8" xr3:uid="{00000000-0010-0000-4500-000008000000}" name="IVA 21%" totalsRowFunction="sum" dataDxfId="71" totalsRowDxfId="70" dataCellStyle="Normal 3">
      <calculatedColumnFormula>venta_a_mes12[[#This Row],[IMPORTE NETO]]*0.21</calculatedColumnFormula>
    </tableColumn>
    <tableColumn id="9" xr3:uid="{00000000-0010-0000-4500-000009000000}" name="IVA 10,5%" totalsRowFunction="sum" dataDxfId="69" totalsRowDxfId="68" dataCellStyle="Normal 3"/>
    <tableColumn id="10" xr3:uid="{00000000-0010-0000-4500-00000A000000}" name="EXENTO" totalsRowFunction="sum" dataDxfId="67" totalsRowDxfId="66" dataCellStyle="Normal 3"/>
    <tableColumn id="11" xr3:uid="{00000000-0010-0000-4500-00000B000000}" name="TOTAL" totalsRowFunction="sum" dataDxfId="65" totalsRowDxfId="64" dataCellStyle="Normal 3">
      <calculatedColumnFormula>SUM(venta_a_mes12[[#This Row],[IMPORTE NETO]:[EXENTO]])</calculatedColumnFormula>
    </tableColumn>
    <tableColumn id="12" xr3:uid="{00000000-0010-0000-4500-00000C000000}" name="Provincia" totalsRowFunction="count" dataDxfId="63" totalsRowDxfId="62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6000000}" name="ventas_b_mes12" displayName="ventas_b_mes12" ref="B155:M162" totalsRowCount="1" headerRowDxfId="61" dataDxfId="59" headerRowBorderDxfId="60" tableBorderDxfId="58" totalsRowBorderDxfId="57" dataCellStyle="Normal 3">
  <autoFilter ref="B155:M161" xr:uid="{00000000-0009-0000-0100-000048000000}"/>
  <tableColumns count="12">
    <tableColumn id="1" xr3:uid="{00000000-0010-0000-4600-000001000000}" name="FECHA" totalsRowLabel="Total" dataDxfId="56" totalsRowDxfId="55" dataCellStyle="Normal 3"/>
    <tableColumn id="2" xr3:uid="{00000000-0010-0000-4600-000002000000}" name="TIPO" dataDxfId="54" totalsRowDxfId="53" dataCellStyle="Normal 3"/>
    <tableColumn id="3" xr3:uid="{00000000-0010-0000-4600-000003000000}" name="PTO VENTA" dataDxfId="52" totalsRowDxfId="51" dataCellStyle="Normal 3"/>
    <tableColumn id="4" xr3:uid="{00000000-0010-0000-4600-000004000000}" name="Nº FACTURA" dataDxfId="50" totalsRowDxfId="49" dataCellStyle="Normal 3"/>
    <tableColumn id="5" xr3:uid="{00000000-0010-0000-4600-000005000000}" name="CUIT" dataDxfId="48" totalsRowDxfId="47" dataCellStyle="Normal 3"/>
    <tableColumn id="6" xr3:uid="{00000000-0010-0000-4600-000006000000}" name="RAZON SOCIAL" dataDxfId="46" totalsRowDxfId="45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600-000007000000}" name="IMPORTE NETO" totalsRowFunction="sum" dataDxfId="44" totalsRowDxfId="43" dataCellStyle="Normal 3"/>
    <tableColumn id="8" xr3:uid="{00000000-0010-0000-4600-000008000000}" name="IVA 21%" totalsRowFunction="sum" dataDxfId="42" totalsRowDxfId="41" dataCellStyle="Normal 3"/>
    <tableColumn id="9" xr3:uid="{00000000-0010-0000-4600-000009000000}" name="IVA 10,5%" totalsRowFunction="sum" dataDxfId="40" totalsRowDxfId="39" dataCellStyle="Normal 3"/>
    <tableColumn id="10" xr3:uid="{00000000-0010-0000-4600-00000A000000}" name="EXENTO" totalsRowFunction="sum" dataDxfId="38" totalsRowDxfId="37" dataCellStyle="Normal 3"/>
    <tableColumn id="11" xr3:uid="{00000000-0010-0000-4600-00000B000000}" name="TOTAL" totalsRowFunction="sum" dataDxfId="36" totalsRowDxfId="35" dataCellStyle="Normal 3">
      <calculatedColumnFormula>SUM(ventas_b_mes12[[#This Row],[IMPORTE NETO]:[EXENTO]])</calculatedColumnFormula>
    </tableColumn>
    <tableColumn id="12" xr3:uid="{00000000-0010-0000-4600-00000C000000}" name="Provincia" totalsRowFunction="count" dataDxfId="34" totalsRowDxfId="33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7000000}" name="extracto_banco_mes12" displayName="extracto_banco_mes12" ref="D97:L101" totalsRowCount="1" headerRowDxfId="32" dataDxfId="31" tableBorderDxfId="30" dataCellStyle="Normal 3">
  <autoFilter ref="D97:L100" xr:uid="{00000000-0009-0000-0100-000049000000}"/>
  <tableColumns count="9">
    <tableColumn id="1" xr3:uid="{00000000-0010-0000-4700-000001000000}" name="FECHA" totalsRowLabel="Total" dataDxfId="29" totalsRowDxfId="28" dataCellStyle="Normal 3"/>
    <tableColumn id="2" xr3:uid="{00000000-0010-0000-4700-000002000000}" name="NRO CPTE" dataDxfId="27" totalsRowDxfId="26"/>
    <tableColumn id="3" xr3:uid="{00000000-0010-0000-4700-000003000000}" name="BANCO" dataDxfId="25" totalsRowDxfId="24"/>
    <tableColumn id="4" xr3:uid="{00000000-0010-0000-4700-000004000000}" name="NETO" totalsRowFunction="sum" dataDxfId="23" totalsRowDxfId="22" dataCellStyle="Normal 3">
      <calculatedColumnFormula>24+155+49+16+150+500+300+4600</calculatedColumnFormula>
    </tableColumn>
    <tableColumn id="5" xr3:uid="{00000000-0010-0000-4700-000005000000}" name="IVA 21%" totalsRowFunction="sum" dataDxfId="21" totalsRowDxfId="20" dataCellStyle="Normal 3">
      <calculatedColumnFormula>extracto_banco_mes12[[#This Row],[NETO]]*0.21</calculatedColumnFormula>
    </tableColumn>
    <tableColumn id="6" xr3:uid="{00000000-0010-0000-4700-000006000000}" name="IVA 10,5%" totalsRowFunction="sum" dataDxfId="19" totalsRowDxfId="18" dataCellStyle="Normal 3"/>
    <tableColumn id="7" xr3:uid="{00000000-0010-0000-4700-000007000000}" name="RET IIBB CABA" totalsRowFunction="sum" dataDxfId="17" totalsRowDxfId="16" dataCellStyle="Normal 3">
      <calculatedColumnFormula>553.76+556.2</calculatedColumnFormula>
    </tableColumn>
    <tableColumn id="8" xr3:uid="{00000000-0010-0000-4700-000008000000}" name="PERC IVA" totalsRowFunction="sum" dataDxfId="15" totalsRowDxfId="14" dataCellStyle="Normal 3"/>
    <tableColumn id="9" xr3:uid="{00000000-0010-0000-4700-000009000000}" name="PERC IIBB" totalsRowFunction="sum" dataDxfId="13" totalsRowDxfId="12" dataCellStyle="Normal 3"/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8000000}" name="Retenciones_mes12" displayName="Retenciones_mes12" ref="C171:L176" totalsRowShown="0" headerRowDxfId="11" dataDxfId="10" headerRowCellStyle="Normal 3" dataCellStyle="Normal 3">
  <autoFilter ref="C171:L176" xr:uid="{00000000-0009-0000-0100-00004A000000}"/>
  <tableColumns count="10">
    <tableColumn id="1" xr3:uid="{00000000-0010-0000-4800-000001000000}" name="FECHA " dataDxfId="9" dataCellStyle="Normal 3"/>
    <tableColumn id="2" xr3:uid="{00000000-0010-0000-4800-000002000000}" name="COMP Nº" dataDxfId="8" dataCellStyle="Normal 3"/>
    <tableColumn id="3" xr3:uid="{00000000-0010-0000-4800-000003000000}" name="Columna1" dataDxfId="7" dataCellStyle="Normal 3"/>
    <tableColumn id="4" xr3:uid="{00000000-0010-0000-4800-000004000000}" name="CUIT" dataDxfId="6" dataCellStyle="Normal 3"/>
    <tableColumn id="5" xr3:uid="{00000000-0010-0000-4800-000005000000}" name="RAZON SOCIAL" dataDxfId="5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4800-000006000000}" name="Ganancias" dataDxfId="4" dataCellStyle="Normal 3"/>
    <tableColumn id="7" xr3:uid="{00000000-0010-0000-4800-000007000000}" name="IVA" dataDxfId="3" dataCellStyle="Normal 3"/>
    <tableColumn id="8" xr3:uid="{00000000-0010-0000-4800-000008000000}" name="SUSS" dataDxfId="2" dataCellStyle="Normal 3"/>
    <tableColumn id="9" xr3:uid="{00000000-0010-0000-4800-000009000000}" name="IIBB BSAS" dataDxfId="1" dataCellStyle="Normal 3"/>
    <tableColumn id="10" xr3:uid="{00000000-0010-0000-4800-00000A000000}" name="IIBB CABA" dataDxfId="0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297"/>
  <sheetViews>
    <sheetView topLeftCell="A2211" zoomScale="80" zoomScaleNormal="80" workbookViewId="0">
      <selection activeCell="C2215" sqref="C2215"/>
    </sheetView>
  </sheetViews>
  <sheetFormatPr baseColWidth="10" defaultRowHeight="15" x14ac:dyDescent="0.25"/>
  <cols>
    <col min="1" max="1" width="13.28515625" style="35" bestFit="1" customWidth="1"/>
    <col min="2" max="2" width="80.85546875" bestFit="1" customWidth="1"/>
    <col min="3" max="3" width="20" style="35" bestFit="1" customWidth="1"/>
    <col min="4" max="4" width="15" bestFit="1" customWidth="1"/>
    <col min="7" max="7" width="20.5703125" customWidth="1"/>
  </cols>
  <sheetData>
    <row r="1" spans="1:7" x14ac:dyDescent="0.25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25">
      <c r="A2" s="36">
        <v>20174004146</v>
      </c>
      <c r="B2" t="s">
        <v>791</v>
      </c>
      <c r="C2" s="35" t="s">
        <v>792</v>
      </c>
      <c r="G2" s="122" t="s">
        <v>84</v>
      </c>
    </row>
    <row r="3" spans="1:7" x14ac:dyDescent="0.25">
      <c r="A3" s="36">
        <v>30708555548</v>
      </c>
      <c r="B3" t="s">
        <v>122</v>
      </c>
      <c r="C3" s="35" t="s">
        <v>81</v>
      </c>
      <c r="G3" s="123" t="s">
        <v>80</v>
      </c>
    </row>
    <row r="4" spans="1:7" x14ac:dyDescent="0.25">
      <c r="A4" s="36">
        <v>20270821</v>
      </c>
      <c r="B4" t="s">
        <v>793</v>
      </c>
      <c r="G4" s="122" t="s">
        <v>113</v>
      </c>
    </row>
    <row r="5" spans="1:7" x14ac:dyDescent="0.25">
      <c r="A5" s="36">
        <v>30641659106</v>
      </c>
      <c r="B5" t="s">
        <v>794</v>
      </c>
      <c r="C5" s="35" t="s">
        <v>795</v>
      </c>
      <c r="G5" s="123" t="s">
        <v>85</v>
      </c>
    </row>
    <row r="6" spans="1:7" x14ac:dyDescent="0.25">
      <c r="A6" s="36">
        <v>30709565075</v>
      </c>
      <c r="B6" t="s">
        <v>123</v>
      </c>
      <c r="C6" s="35" t="s">
        <v>796</v>
      </c>
      <c r="G6" s="122" t="s">
        <v>79</v>
      </c>
    </row>
    <row r="7" spans="1:7" x14ac:dyDescent="0.25">
      <c r="A7" s="36">
        <v>18149370</v>
      </c>
      <c r="B7" t="s">
        <v>797</v>
      </c>
      <c r="G7" s="123" t="s">
        <v>114</v>
      </c>
    </row>
    <row r="8" spans="1:7" x14ac:dyDescent="0.25">
      <c r="A8" s="36">
        <v>20273107526</v>
      </c>
      <c r="B8" t="s">
        <v>798</v>
      </c>
      <c r="G8" s="122" t="s">
        <v>97</v>
      </c>
    </row>
    <row r="9" spans="1:7" x14ac:dyDescent="0.25">
      <c r="A9" s="36">
        <v>4399520</v>
      </c>
      <c r="B9" t="s">
        <v>799</v>
      </c>
      <c r="G9" s="123" t="s">
        <v>78</v>
      </c>
    </row>
    <row r="10" spans="1:7" x14ac:dyDescent="0.25">
      <c r="A10" s="36">
        <v>18139117</v>
      </c>
      <c r="B10" t="s">
        <v>800</v>
      </c>
      <c r="G10" s="122" t="s">
        <v>115</v>
      </c>
    </row>
    <row r="11" spans="1:7" x14ac:dyDescent="0.25">
      <c r="A11" s="36">
        <v>8208160</v>
      </c>
      <c r="B11" t="s">
        <v>801</v>
      </c>
      <c r="G11" s="123" t="s">
        <v>90</v>
      </c>
    </row>
    <row r="12" spans="1:7" x14ac:dyDescent="0.25">
      <c r="A12" s="36">
        <v>29803614</v>
      </c>
      <c r="B12" t="s">
        <v>802</v>
      </c>
      <c r="G12" s="122" t="s">
        <v>111</v>
      </c>
    </row>
    <row r="13" spans="1:7" x14ac:dyDescent="0.25">
      <c r="A13" s="36">
        <v>33109633</v>
      </c>
      <c r="B13" t="s">
        <v>803</v>
      </c>
      <c r="G13" s="123" t="s">
        <v>116</v>
      </c>
    </row>
    <row r="14" spans="1:7" x14ac:dyDescent="0.25">
      <c r="A14" s="36">
        <v>7419183</v>
      </c>
      <c r="B14" t="s">
        <v>804</v>
      </c>
      <c r="G14" s="122" t="s">
        <v>117</v>
      </c>
    </row>
    <row r="15" spans="1:7" x14ac:dyDescent="0.25">
      <c r="A15" s="36">
        <v>30500229973</v>
      </c>
      <c r="B15" t="s">
        <v>124</v>
      </c>
      <c r="C15" s="35" t="s">
        <v>81</v>
      </c>
      <c r="G15" s="123" t="s">
        <v>86</v>
      </c>
    </row>
    <row r="16" spans="1:7" x14ac:dyDescent="0.25">
      <c r="A16" s="36">
        <v>33709914109</v>
      </c>
      <c r="B16" t="s">
        <v>805</v>
      </c>
      <c r="C16" s="35" t="s">
        <v>39</v>
      </c>
      <c r="G16" s="122" t="s">
        <v>82</v>
      </c>
    </row>
    <row r="17" spans="1:7" x14ac:dyDescent="0.25">
      <c r="A17" s="36">
        <v>30710799241</v>
      </c>
      <c r="B17" t="s">
        <v>125</v>
      </c>
      <c r="G17" s="123" t="s">
        <v>118</v>
      </c>
    </row>
    <row r="18" spans="1:7" x14ac:dyDescent="0.25">
      <c r="A18" s="36">
        <v>20469052</v>
      </c>
      <c r="B18" t="s">
        <v>806</v>
      </c>
      <c r="G18" s="122" t="s">
        <v>81</v>
      </c>
    </row>
    <row r="19" spans="1:7" x14ac:dyDescent="0.25">
      <c r="A19" s="36">
        <v>20267161616</v>
      </c>
      <c r="B19" t="s">
        <v>807</v>
      </c>
      <c r="C19" s="35" t="s">
        <v>79</v>
      </c>
      <c r="G19" s="123" t="s">
        <v>119</v>
      </c>
    </row>
    <row r="20" spans="1:7" x14ac:dyDescent="0.25">
      <c r="A20" s="36">
        <v>30628205090</v>
      </c>
      <c r="B20" t="s">
        <v>808</v>
      </c>
      <c r="C20" s="35" t="s">
        <v>809</v>
      </c>
      <c r="G20" s="122" t="s">
        <v>87</v>
      </c>
    </row>
    <row r="21" spans="1:7" x14ac:dyDescent="0.25">
      <c r="A21" s="36">
        <v>30628205090</v>
      </c>
      <c r="B21" t="s">
        <v>808</v>
      </c>
      <c r="C21" s="35" t="s">
        <v>809</v>
      </c>
      <c r="G21" s="123" t="s">
        <v>93</v>
      </c>
    </row>
    <row r="22" spans="1:7" x14ac:dyDescent="0.25">
      <c r="A22" s="36">
        <v>7375725</v>
      </c>
      <c r="B22" t="s">
        <v>810</v>
      </c>
      <c r="G22" s="122" t="s">
        <v>120</v>
      </c>
    </row>
    <row r="23" spans="1:7" x14ac:dyDescent="0.25">
      <c r="A23" s="36">
        <v>4049033</v>
      </c>
      <c r="B23" t="s">
        <v>811</v>
      </c>
    </row>
    <row r="24" spans="1:7" x14ac:dyDescent="0.25">
      <c r="A24" s="36">
        <v>10121438</v>
      </c>
      <c r="B24" t="s">
        <v>812</v>
      </c>
    </row>
    <row r="25" spans="1:7" x14ac:dyDescent="0.25">
      <c r="A25" s="36">
        <v>5804480</v>
      </c>
      <c r="B25" t="s">
        <v>813</v>
      </c>
    </row>
    <row r="26" spans="1:7" x14ac:dyDescent="0.25">
      <c r="A26" s="36">
        <v>35376990</v>
      </c>
      <c r="B26" t="s">
        <v>814</v>
      </c>
    </row>
    <row r="27" spans="1:7" x14ac:dyDescent="0.25">
      <c r="A27" s="36">
        <v>20236101127</v>
      </c>
      <c r="B27" t="s">
        <v>126</v>
      </c>
    </row>
    <row r="28" spans="1:7" x14ac:dyDescent="0.25">
      <c r="A28" s="36">
        <v>20291929126</v>
      </c>
      <c r="B28" t="s">
        <v>127</v>
      </c>
    </row>
    <row r="29" spans="1:7" x14ac:dyDescent="0.25">
      <c r="A29" s="36">
        <v>26472781</v>
      </c>
      <c r="B29" t="s">
        <v>815</v>
      </c>
    </row>
    <row r="30" spans="1:7" x14ac:dyDescent="0.25">
      <c r="A30" s="36">
        <v>30645337979</v>
      </c>
      <c r="B30" t="s">
        <v>816</v>
      </c>
    </row>
    <row r="31" spans="1:7" x14ac:dyDescent="0.25">
      <c r="A31" s="36">
        <v>30709604887</v>
      </c>
      <c r="B31" t="s">
        <v>128</v>
      </c>
      <c r="C31" s="35" t="s">
        <v>817</v>
      </c>
    </row>
    <row r="32" spans="1:7" x14ac:dyDescent="0.25">
      <c r="A32" s="36">
        <v>4171382</v>
      </c>
      <c r="B32" t="s">
        <v>818</v>
      </c>
    </row>
    <row r="33" spans="1:3" x14ac:dyDescent="0.25">
      <c r="A33" s="36">
        <v>30711573999</v>
      </c>
      <c r="B33" t="s">
        <v>819</v>
      </c>
    </row>
    <row r="34" spans="1:3" x14ac:dyDescent="0.25">
      <c r="A34" s="36">
        <v>20083925680</v>
      </c>
      <c r="B34" t="s">
        <v>129</v>
      </c>
      <c r="C34" s="35" t="s">
        <v>79</v>
      </c>
    </row>
    <row r="35" spans="1:3" x14ac:dyDescent="0.25">
      <c r="A35" s="36">
        <v>30656038752</v>
      </c>
      <c r="B35" t="s">
        <v>130</v>
      </c>
      <c r="C35" s="35" t="s">
        <v>795</v>
      </c>
    </row>
    <row r="36" spans="1:3" x14ac:dyDescent="0.25">
      <c r="A36" s="36">
        <v>30504563894</v>
      </c>
      <c r="B36" t="s">
        <v>131</v>
      </c>
      <c r="C36" s="35" t="s">
        <v>81</v>
      </c>
    </row>
    <row r="37" spans="1:3" x14ac:dyDescent="0.25">
      <c r="A37" s="36">
        <v>3751602</v>
      </c>
      <c r="B37" t="s">
        <v>820</v>
      </c>
    </row>
    <row r="38" spans="1:3" x14ac:dyDescent="0.25">
      <c r="A38" s="36">
        <v>30602699826</v>
      </c>
      <c r="B38" t="s">
        <v>83</v>
      </c>
    </row>
    <row r="39" spans="1:3" x14ac:dyDescent="0.25">
      <c r="A39" s="36">
        <v>30715190385</v>
      </c>
      <c r="B39" t="s">
        <v>132</v>
      </c>
    </row>
    <row r="40" spans="1:3" x14ac:dyDescent="0.25">
      <c r="A40" s="36">
        <v>28735023</v>
      </c>
      <c r="B40" t="s">
        <v>821</v>
      </c>
    </row>
    <row r="41" spans="1:3" x14ac:dyDescent="0.25">
      <c r="A41" s="36">
        <v>30716375176</v>
      </c>
      <c r="B41" t="s">
        <v>822</v>
      </c>
      <c r="C41" s="35" t="s">
        <v>795</v>
      </c>
    </row>
    <row r="42" spans="1:3" x14ac:dyDescent="0.25">
      <c r="A42" s="36">
        <v>22480839</v>
      </c>
      <c r="B42" t="s">
        <v>823</v>
      </c>
    </row>
    <row r="43" spans="1:3" x14ac:dyDescent="0.25">
      <c r="A43" s="36">
        <v>12961417</v>
      </c>
      <c r="B43" t="s">
        <v>824</v>
      </c>
    </row>
    <row r="44" spans="1:3" x14ac:dyDescent="0.25">
      <c r="A44" s="36">
        <v>7768190</v>
      </c>
      <c r="B44" t="s">
        <v>825</v>
      </c>
    </row>
    <row r="45" spans="1:3" x14ac:dyDescent="0.25">
      <c r="A45" s="36">
        <v>30710406037</v>
      </c>
      <c r="B45" t="s">
        <v>826</v>
      </c>
      <c r="C45" s="35" t="s">
        <v>2353</v>
      </c>
    </row>
    <row r="46" spans="1:3" x14ac:dyDescent="0.25">
      <c r="A46" s="36">
        <v>30715678310</v>
      </c>
      <c r="B46" t="s">
        <v>828</v>
      </c>
      <c r="C46" s="35" t="s">
        <v>829</v>
      </c>
    </row>
    <row r="47" spans="1:3" x14ac:dyDescent="0.25">
      <c r="A47" s="36">
        <v>23945042079</v>
      </c>
      <c r="B47" t="s">
        <v>133</v>
      </c>
      <c r="C47" s="35" t="s">
        <v>79</v>
      </c>
    </row>
    <row r="48" spans="1:3" x14ac:dyDescent="0.25">
      <c r="A48" s="36">
        <v>32576384</v>
      </c>
      <c r="B48" t="s">
        <v>830</v>
      </c>
    </row>
    <row r="49" spans="1:3" x14ac:dyDescent="0.25">
      <c r="A49" s="36">
        <v>32576384</v>
      </c>
      <c r="B49" t="s">
        <v>830</v>
      </c>
    </row>
    <row r="50" spans="1:3" x14ac:dyDescent="0.25">
      <c r="A50" s="36">
        <v>29871464</v>
      </c>
      <c r="B50" t="s">
        <v>831</v>
      </c>
    </row>
    <row r="51" spans="1:3" x14ac:dyDescent="0.25">
      <c r="A51" s="36">
        <v>37433123</v>
      </c>
      <c r="B51" t="s">
        <v>832</v>
      </c>
    </row>
    <row r="52" spans="1:3" x14ac:dyDescent="0.25">
      <c r="A52" s="36">
        <v>92382512</v>
      </c>
      <c r="B52" t="s">
        <v>833</v>
      </c>
    </row>
    <row r="53" spans="1:3" x14ac:dyDescent="0.25">
      <c r="A53" s="36">
        <v>20040616498</v>
      </c>
      <c r="B53" t="s">
        <v>134</v>
      </c>
    </row>
    <row r="54" spans="1:3" x14ac:dyDescent="0.25">
      <c r="A54" s="36">
        <v>95896286</v>
      </c>
      <c r="B54" t="s">
        <v>834</v>
      </c>
    </row>
    <row r="55" spans="1:3" x14ac:dyDescent="0.25">
      <c r="A55" s="36">
        <v>30710587147</v>
      </c>
      <c r="B55" t="s">
        <v>135</v>
      </c>
      <c r="C55" s="35" t="s">
        <v>796</v>
      </c>
    </row>
    <row r="56" spans="1:3" x14ac:dyDescent="0.25">
      <c r="A56" s="36">
        <v>2383098</v>
      </c>
      <c r="B56" t="s">
        <v>835</v>
      </c>
    </row>
    <row r="57" spans="1:3" x14ac:dyDescent="0.25">
      <c r="A57" s="36">
        <v>27066271728</v>
      </c>
      <c r="B57" t="s">
        <v>836</v>
      </c>
    </row>
    <row r="58" spans="1:3" x14ac:dyDescent="0.25">
      <c r="A58" s="36">
        <v>27101205733</v>
      </c>
      <c r="B58" t="s">
        <v>837</v>
      </c>
      <c r="C58" s="35" t="s">
        <v>795</v>
      </c>
    </row>
    <row r="59" spans="1:3" x14ac:dyDescent="0.25">
      <c r="A59" s="36">
        <v>27101205733</v>
      </c>
      <c r="B59" t="s">
        <v>837</v>
      </c>
      <c r="C59" s="35" t="s">
        <v>795</v>
      </c>
    </row>
    <row r="60" spans="1:3" x14ac:dyDescent="0.25">
      <c r="A60" s="36">
        <v>30574816870</v>
      </c>
      <c r="B60" t="s">
        <v>838</v>
      </c>
      <c r="C60" s="35" t="s">
        <v>79</v>
      </c>
    </row>
    <row r="61" spans="1:3" x14ac:dyDescent="0.25">
      <c r="A61" s="36">
        <v>8076660</v>
      </c>
      <c r="B61" t="s">
        <v>840</v>
      </c>
    </row>
    <row r="62" spans="1:3" x14ac:dyDescent="0.25">
      <c r="A62" s="36">
        <v>6421312</v>
      </c>
      <c r="B62" t="s">
        <v>841</v>
      </c>
    </row>
    <row r="63" spans="1:3" x14ac:dyDescent="0.25">
      <c r="A63" s="36">
        <v>30715186655</v>
      </c>
      <c r="B63" t="s">
        <v>842</v>
      </c>
    </row>
    <row r="64" spans="1:3" x14ac:dyDescent="0.25">
      <c r="A64" s="36">
        <v>30663288497</v>
      </c>
      <c r="B64" t="s">
        <v>136</v>
      </c>
      <c r="C64" s="35" t="s">
        <v>843</v>
      </c>
    </row>
    <row r="65" spans="1:3" x14ac:dyDescent="0.25">
      <c r="A65" s="36">
        <v>27108310559</v>
      </c>
      <c r="B65" t="s">
        <v>137</v>
      </c>
    </row>
    <row r="66" spans="1:3" x14ac:dyDescent="0.25">
      <c r="A66" s="36">
        <v>93298160</v>
      </c>
      <c r="B66" t="s">
        <v>844</v>
      </c>
    </row>
    <row r="67" spans="1:3" x14ac:dyDescent="0.25">
      <c r="A67" s="36">
        <v>30502375535</v>
      </c>
      <c r="B67" t="s">
        <v>138</v>
      </c>
    </row>
    <row r="68" spans="1:3" x14ac:dyDescent="0.25">
      <c r="A68" s="36">
        <v>30709251739</v>
      </c>
      <c r="B68" t="s">
        <v>139</v>
      </c>
    </row>
    <row r="69" spans="1:3" x14ac:dyDescent="0.25">
      <c r="A69" s="36">
        <v>5614493</v>
      </c>
      <c r="B69" t="s">
        <v>845</v>
      </c>
    </row>
    <row r="70" spans="1:3" x14ac:dyDescent="0.25">
      <c r="A70" s="36">
        <v>30710986416</v>
      </c>
      <c r="B70" t="s">
        <v>846</v>
      </c>
      <c r="C70" s="35" t="s">
        <v>847</v>
      </c>
    </row>
    <row r="71" spans="1:3" x14ac:dyDescent="0.25">
      <c r="A71" s="36">
        <v>30710986416</v>
      </c>
      <c r="B71" t="s">
        <v>846</v>
      </c>
      <c r="C71" s="35" t="s">
        <v>847</v>
      </c>
    </row>
    <row r="72" spans="1:3" x14ac:dyDescent="0.25">
      <c r="A72" s="36">
        <v>33878883</v>
      </c>
      <c r="B72" t="s">
        <v>848</v>
      </c>
    </row>
    <row r="73" spans="1:3" x14ac:dyDescent="0.25">
      <c r="A73" s="36">
        <v>13223046</v>
      </c>
      <c r="B73" t="s">
        <v>849</v>
      </c>
    </row>
    <row r="74" spans="1:3" x14ac:dyDescent="0.25">
      <c r="A74" s="36">
        <v>92207472</v>
      </c>
      <c r="B74" t="s">
        <v>850</v>
      </c>
    </row>
    <row r="75" spans="1:3" x14ac:dyDescent="0.25">
      <c r="A75" s="36">
        <v>30709948667</v>
      </c>
      <c r="B75" t="s">
        <v>140</v>
      </c>
      <c r="C75" s="35" t="s">
        <v>795</v>
      </c>
    </row>
    <row r="76" spans="1:3" x14ac:dyDescent="0.25">
      <c r="A76" s="36">
        <v>30683702060</v>
      </c>
      <c r="B76" t="s">
        <v>141</v>
      </c>
      <c r="C76" s="35" t="s">
        <v>795</v>
      </c>
    </row>
    <row r="77" spans="1:3" x14ac:dyDescent="0.25">
      <c r="A77" s="36">
        <v>30715985124</v>
      </c>
      <c r="B77" t="s">
        <v>142</v>
      </c>
    </row>
    <row r="78" spans="1:3" x14ac:dyDescent="0.25">
      <c r="A78" s="36">
        <v>30691054833</v>
      </c>
      <c r="B78" t="s">
        <v>851</v>
      </c>
    </row>
    <row r="79" spans="1:3" x14ac:dyDescent="0.25">
      <c r="A79" s="36">
        <v>30712000372</v>
      </c>
      <c r="B79" t="s">
        <v>143</v>
      </c>
      <c r="C79" s="35" t="s">
        <v>795</v>
      </c>
    </row>
    <row r="80" spans="1:3" x14ac:dyDescent="0.25">
      <c r="A80" s="36">
        <v>30711492409</v>
      </c>
      <c r="B80" t="s">
        <v>852</v>
      </c>
      <c r="C80" s="35" t="s">
        <v>39</v>
      </c>
    </row>
    <row r="81" spans="1:3" x14ac:dyDescent="0.25">
      <c r="A81" s="36">
        <v>30714741167</v>
      </c>
      <c r="B81" t="s">
        <v>144</v>
      </c>
    </row>
    <row r="82" spans="1:3" x14ac:dyDescent="0.25">
      <c r="A82" s="36">
        <v>10138957</v>
      </c>
      <c r="B82" t="s">
        <v>853</v>
      </c>
    </row>
    <row r="83" spans="1:3" x14ac:dyDescent="0.25">
      <c r="A83" s="36">
        <v>20927832136</v>
      </c>
      <c r="B83" t="s">
        <v>145</v>
      </c>
      <c r="C83" s="35" t="s">
        <v>79</v>
      </c>
    </row>
    <row r="84" spans="1:3" x14ac:dyDescent="0.25">
      <c r="A84" s="36">
        <v>37834370</v>
      </c>
      <c r="B84" t="s">
        <v>854</v>
      </c>
    </row>
    <row r="85" spans="1:3" x14ac:dyDescent="0.25">
      <c r="A85" s="36">
        <v>5427278</v>
      </c>
      <c r="B85" t="s">
        <v>855</v>
      </c>
    </row>
    <row r="86" spans="1:3" x14ac:dyDescent="0.25">
      <c r="A86" s="36">
        <v>27135302835</v>
      </c>
      <c r="B86" t="s">
        <v>146</v>
      </c>
    </row>
    <row r="87" spans="1:3" x14ac:dyDescent="0.25">
      <c r="A87" s="36">
        <v>27276671109</v>
      </c>
      <c r="B87" t="s">
        <v>147</v>
      </c>
      <c r="C87" s="35" t="s">
        <v>81</v>
      </c>
    </row>
    <row r="88" spans="1:3" x14ac:dyDescent="0.25">
      <c r="A88" s="36">
        <v>30647539226</v>
      </c>
      <c r="B88" t="s">
        <v>856</v>
      </c>
      <c r="C88" s="35" t="s">
        <v>795</v>
      </c>
    </row>
    <row r="89" spans="1:3" x14ac:dyDescent="0.25">
      <c r="A89" s="36">
        <v>30711597499</v>
      </c>
      <c r="B89" t="s">
        <v>148</v>
      </c>
    </row>
    <row r="90" spans="1:3" x14ac:dyDescent="0.25">
      <c r="A90" s="36">
        <v>30600907553</v>
      </c>
      <c r="B90" t="s">
        <v>149</v>
      </c>
      <c r="C90" s="35" t="s">
        <v>79</v>
      </c>
    </row>
    <row r="91" spans="1:3" x14ac:dyDescent="0.25">
      <c r="A91" s="36">
        <v>30709585262</v>
      </c>
      <c r="B91" t="s">
        <v>150</v>
      </c>
      <c r="C91" s="35" t="s">
        <v>817</v>
      </c>
    </row>
    <row r="92" spans="1:3" x14ac:dyDescent="0.25">
      <c r="A92" s="36">
        <v>27046072060</v>
      </c>
      <c r="B92" t="s">
        <v>857</v>
      </c>
    </row>
    <row r="93" spans="1:3" x14ac:dyDescent="0.25">
      <c r="A93" s="36">
        <v>30614941509</v>
      </c>
      <c r="B93" t="s">
        <v>151</v>
      </c>
    </row>
    <row r="94" spans="1:3" x14ac:dyDescent="0.25">
      <c r="A94" s="36">
        <v>20087048471</v>
      </c>
      <c r="B94" t="s">
        <v>858</v>
      </c>
    </row>
    <row r="95" spans="1:3" x14ac:dyDescent="0.25">
      <c r="A95" s="36">
        <v>37004257</v>
      </c>
      <c r="B95" t="s">
        <v>859</v>
      </c>
    </row>
    <row r="96" spans="1:3" x14ac:dyDescent="0.25">
      <c r="A96" s="36">
        <v>30560443648</v>
      </c>
      <c r="B96" t="s">
        <v>152</v>
      </c>
    </row>
    <row r="97" spans="1:3" x14ac:dyDescent="0.25">
      <c r="A97" s="36">
        <v>30708547790</v>
      </c>
      <c r="B97" t="s">
        <v>153</v>
      </c>
    </row>
    <row r="98" spans="1:3" x14ac:dyDescent="0.25">
      <c r="A98" s="36">
        <v>30711624402</v>
      </c>
      <c r="B98" t="s">
        <v>154</v>
      </c>
    </row>
    <row r="99" spans="1:3" x14ac:dyDescent="0.25">
      <c r="A99" s="36">
        <v>30715290835</v>
      </c>
      <c r="B99" t="s">
        <v>860</v>
      </c>
      <c r="C99" s="35" t="s">
        <v>817</v>
      </c>
    </row>
    <row r="100" spans="1:3" x14ac:dyDescent="0.25">
      <c r="A100" s="36">
        <v>20045180620</v>
      </c>
      <c r="B100" t="s">
        <v>155</v>
      </c>
      <c r="C100" s="35" t="s">
        <v>79</v>
      </c>
    </row>
    <row r="101" spans="1:3" x14ac:dyDescent="0.25">
      <c r="A101" s="36">
        <v>30692175243</v>
      </c>
      <c r="B101" t="s">
        <v>156</v>
      </c>
    </row>
    <row r="102" spans="1:3" x14ac:dyDescent="0.25">
      <c r="A102" s="36">
        <v>30708973501</v>
      </c>
      <c r="B102" t="s">
        <v>157</v>
      </c>
      <c r="C102" s="35" t="s">
        <v>2353</v>
      </c>
    </row>
    <row r="103" spans="1:3" x14ac:dyDescent="0.25">
      <c r="A103" s="36">
        <v>30708973501</v>
      </c>
      <c r="B103" t="s">
        <v>157</v>
      </c>
      <c r="C103" s="35" t="s">
        <v>2353</v>
      </c>
    </row>
    <row r="104" spans="1:3" x14ac:dyDescent="0.25">
      <c r="A104" s="36">
        <v>30708973501</v>
      </c>
      <c r="B104" t="s">
        <v>157</v>
      </c>
      <c r="C104" s="35" t="s">
        <v>2353</v>
      </c>
    </row>
    <row r="105" spans="1:3" x14ac:dyDescent="0.25">
      <c r="A105" s="36">
        <v>30553594169</v>
      </c>
      <c r="B105" t="s">
        <v>861</v>
      </c>
    </row>
    <row r="106" spans="1:3" x14ac:dyDescent="0.25">
      <c r="A106" s="36">
        <v>30590354798</v>
      </c>
      <c r="B106" t="s">
        <v>158</v>
      </c>
    </row>
    <row r="107" spans="1:3" x14ac:dyDescent="0.25">
      <c r="A107" s="36">
        <v>30571962868</v>
      </c>
      <c r="B107" t="s">
        <v>862</v>
      </c>
    </row>
    <row r="108" spans="1:3" x14ac:dyDescent="0.25">
      <c r="A108" s="36">
        <v>33672915339</v>
      </c>
      <c r="B108" t="s">
        <v>863</v>
      </c>
    </row>
    <row r="109" spans="1:3" x14ac:dyDescent="0.25">
      <c r="A109" s="36">
        <v>30590354798</v>
      </c>
      <c r="B109" t="s">
        <v>864</v>
      </c>
      <c r="C109" s="35" t="s">
        <v>809</v>
      </c>
    </row>
    <row r="110" spans="1:3" x14ac:dyDescent="0.25">
      <c r="A110" s="36">
        <v>30590354798</v>
      </c>
      <c r="B110" t="s">
        <v>864</v>
      </c>
      <c r="C110" s="35" t="s">
        <v>809</v>
      </c>
    </row>
    <row r="111" spans="1:3" x14ac:dyDescent="0.25">
      <c r="A111" s="36" t="s">
        <v>865</v>
      </c>
      <c r="B111" t="s">
        <v>864</v>
      </c>
      <c r="C111" s="35" t="s">
        <v>866</v>
      </c>
    </row>
    <row r="112" spans="1:3" x14ac:dyDescent="0.25">
      <c r="A112" s="36">
        <v>30708716231</v>
      </c>
      <c r="B112" t="s">
        <v>867</v>
      </c>
    </row>
    <row r="113" spans="1:3" x14ac:dyDescent="0.25">
      <c r="A113" s="36" t="s">
        <v>868</v>
      </c>
      <c r="B113" t="s">
        <v>869</v>
      </c>
      <c r="C113" s="35" t="s">
        <v>866</v>
      </c>
    </row>
    <row r="114" spans="1:3" x14ac:dyDescent="0.25">
      <c r="A114" s="36">
        <v>30690973517</v>
      </c>
      <c r="B114" t="s">
        <v>870</v>
      </c>
    </row>
    <row r="115" spans="1:3" x14ac:dyDescent="0.25">
      <c r="A115" s="36">
        <v>30714416622</v>
      </c>
      <c r="B115" t="s">
        <v>871</v>
      </c>
      <c r="C115" s="35" t="s">
        <v>79</v>
      </c>
    </row>
    <row r="116" spans="1:3" x14ac:dyDescent="0.25">
      <c r="A116" s="36">
        <v>30672845242</v>
      </c>
      <c r="B116" t="s">
        <v>872</v>
      </c>
      <c r="C116" s="35" t="s">
        <v>44</v>
      </c>
    </row>
    <row r="117" spans="1:3" x14ac:dyDescent="0.25">
      <c r="A117" s="36">
        <v>30709860840</v>
      </c>
      <c r="B117" t="s">
        <v>159</v>
      </c>
    </row>
    <row r="118" spans="1:3" x14ac:dyDescent="0.25">
      <c r="A118" s="36">
        <v>30544712833</v>
      </c>
      <c r="B118" t="s">
        <v>160</v>
      </c>
      <c r="C118" s="35" t="s">
        <v>795</v>
      </c>
    </row>
    <row r="119" spans="1:3" x14ac:dyDescent="0.25">
      <c r="A119" s="36">
        <v>30715031252</v>
      </c>
      <c r="B119" t="s">
        <v>161</v>
      </c>
    </row>
    <row r="120" spans="1:3" x14ac:dyDescent="0.25">
      <c r="A120" s="36">
        <v>30711934754</v>
      </c>
      <c r="B120" t="s">
        <v>162</v>
      </c>
    </row>
    <row r="121" spans="1:3" x14ac:dyDescent="0.25">
      <c r="A121" s="36">
        <v>30710081111</v>
      </c>
      <c r="B121" t="s">
        <v>873</v>
      </c>
      <c r="C121" s="35" t="s">
        <v>79</v>
      </c>
    </row>
    <row r="122" spans="1:3" x14ac:dyDescent="0.25">
      <c r="A122" s="36">
        <v>30670528592</v>
      </c>
      <c r="B122" t="s">
        <v>163</v>
      </c>
      <c r="C122" s="35" t="s">
        <v>44</v>
      </c>
    </row>
    <row r="123" spans="1:3" x14ac:dyDescent="0.25">
      <c r="A123" s="36">
        <v>30708436506</v>
      </c>
      <c r="B123" t="s">
        <v>874</v>
      </c>
    </row>
    <row r="124" spans="1:3" x14ac:dyDescent="0.25">
      <c r="A124" s="36">
        <v>30574876474</v>
      </c>
      <c r="B124" t="s">
        <v>164</v>
      </c>
      <c r="C124" s="35" t="s">
        <v>875</v>
      </c>
    </row>
    <row r="125" spans="1:3" x14ac:dyDescent="0.25">
      <c r="A125" s="36">
        <v>30714112836</v>
      </c>
      <c r="B125" t="s">
        <v>876</v>
      </c>
      <c r="C125" s="35" t="s">
        <v>877</v>
      </c>
    </row>
    <row r="126" spans="1:3" x14ac:dyDescent="0.25">
      <c r="A126" s="36">
        <v>30677237119</v>
      </c>
      <c r="B126" t="s">
        <v>165</v>
      </c>
      <c r="C126" s="35" t="s">
        <v>877</v>
      </c>
    </row>
    <row r="127" spans="1:3" x14ac:dyDescent="0.25">
      <c r="A127" s="36" t="s">
        <v>878</v>
      </c>
      <c r="B127" t="s">
        <v>166</v>
      </c>
    </row>
    <row r="128" spans="1:3" x14ac:dyDescent="0.25">
      <c r="A128" s="36">
        <v>30667187091</v>
      </c>
      <c r="B128" t="s">
        <v>167</v>
      </c>
    </row>
    <row r="129" spans="1:3" x14ac:dyDescent="0.25">
      <c r="A129" s="36">
        <v>30711470804</v>
      </c>
      <c r="B129" t="s">
        <v>168</v>
      </c>
    </row>
    <row r="130" spans="1:3" x14ac:dyDescent="0.25">
      <c r="A130" s="36">
        <v>20083762102</v>
      </c>
      <c r="B130" t="s">
        <v>169</v>
      </c>
    </row>
    <row r="131" spans="1:3" x14ac:dyDescent="0.25">
      <c r="A131" s="36">
        <v>20287830980</v>
      </c>
      <c r="B131" t="s">
        <v>170</v>
      </c>
    </row>
    <row r="132" spans="1:3" x14ac:dyDescent="0.25">
      <c r="A132" s="36">
        <v>38889987</v>
      </c>
      <c r="B132" t="s">
        <v>879</v>
      </c>
    </row>
    <row r="133" spans="1:3" x14ac:dyDescent="0.25">
      <c r="A133" s="36">
        <v>30506919009</v>
      </c>
      <c r="B133" t="s">
        <v>171</v>
      </c>
      <c r="C133" s="35" t="s">
        <v>44</v>
      </c>
    </row>
    <row r="134" spans="1:3" x14ac:dyDescent="0.25">
      <c r="A134" s="36">
        <v>20379223185</v>
      </c>
      <c r="B134" t="s">
        <v>880</v>
      </c>
      <c r="C134" s="35" t="s">
        <v>796</v>
      </c>
    </row>
    <row r="135" spans="1:3" x14ac:dyDescent="0.25">
      <c r="A135" s="36">
        <v>3006198</v>
      </c>
      <c r="B135" t="s">
        <v>881</v>
      </c>
    </row>
    <row r="136" spans="1:3" x14ac:dyDescent="0.25">
      <c r="A136" s="36">
        <v>30535612117</v>
      </c>
      <c r="B136" t="s">
        <v>172</v>
      </c>
    </row>
    <row r="137" spans="1:3" x14ac:dyDescent="0.25">
      <c r="A137" s="36">
        <v>33714662819</v>
      </c>
      <c r="B137" t="s">
        <v>882</v>
      </c>
      <c r="C137" s="35" t="s">
        <v>2353</v>
      </c>
    </row>
    <row r="138" spans="1:3" x14ac:dyDescent="0.25">
      <c r="A138" s="36">
        <v>35122054</v>
      </c>
      <c r="B138" t="s">
        <v>883</v>
      </c>
    </row>
    <row r="139" spans="1:3" x14ac:dyDescent="0.25">
      <c r="A139" s="36">
        <v>33716314869</v>
      </c>
      <c r="B139" t="s">
        <v>884</v>
      </c>
      <c r="C139" s="35" t="s">
        <v>795</v>
      </c>
    </row>
    <row r="140" spans="1:3" x14ac:dyDescent="0.25">
      <c r="A140" s="36">
        <v>30711428603</v>
      </c>
      <c r="B140" t="s">
        <v>885</v>
      </c>
    </row>
    <row r="141" spans="1:3" x14ac:dyDescent="0.25">
      <c r="A141" s="36">
        <v>12464814</v>
      </c>
      <c r="B141" t="s">
        <v>886</v>
      </c>
    </row>
    <row r="142" spans="1:3" x14ac:dyDescent="0.25">
      <c r="A142" s="36">
        <v>23780346</v>
      </c>
      <c r="B142" t="s">
        <v>887</v>
      </c>
    </row>
    <row r="143" spans="1:3" x14ac:dyDescent="0.25">
      <c r="A143" s="36">
        <v>17716804</v>
      </c>
      <c r="B143" t="s">
        <v>888</v>
      </c>
    </row>
    <row r="144" spans="1:3" x14ac:dyDescent="0.25">
      <c r="A144" s="36">
        <v>27845961</v>
      </c>
      <c r="B144" t="s">
        <v>889</v>
      </c>
    </row>
    <row r="145" spans="1:3" x14ac:dyDescent="0.25">
      <c r="A145" s="36">
        <v>30715923374</v>
      </c>
      <c r="B145" t="s">
        <v>890</v>
      </c>
      <c r="C145" s="35" t="s">
        <v>795</v>
      </c>
    </row>
    <row r="146" spans="1:3" x14ac:dyDescent="0.25">
      <c r="A146" s="36">
        <v>33714642079</v>
      </c>
      <c r="B146" t="s">
        <v>891</v>
      </c>
      <c r="C146" s="35" t="s">
        <v>79</v>
      </c>
    </row>
    <row r="147" spans="1:3" x14ac:dyDescent="0.25">
      <c r="A147" s="36">
        <v>36527834</v>
      </c>
      <c r="B147" t="s">
        <v>892</v>
      </c>
    </row>
    <row r="148" spans="1:3" x14ac:dyDescent="0.25">
      <c r="A148" s="36">
        <v>33711430879</v>
      </c>
      <c r="B148" t="s">
        <v>173</v>
      </c>
      <c r="C148" s="35" t="s">
        <v>795</v>
      </c>
    </row>
    <row r="149" spans="1:3" x14ac:dyDescent="0.25">
      <c r="A149" s="36">
        <v>28120474</v>
      </c>
      <c r="B149" t="s">
        <v>893</v>
      </c>
    </row>
    <row r="150" spans="1:3" x14ac:dyDescent="0.25">
      <c r="A150" s="36">
        <v>10972842</v>
      </c>
      <c r="B150" t="s">
        <v>894</v>
      </c>
    </row>
    <row r="151" spans="1:3" x14ac:dyDescent="0.25">
      <c r="A151" s="36">
        <v>20179619483</v>
      </c>
      <c r="B151" t="s">
        <v>174</v>
      </c>
    </row>
    <row r="152" spans="1:3" x14ac:dyDescent="0.25">
      <c r="A152" s="36">
        <v>21454828</v>
      </c>
      <c r="B152" t="s">
        <v>895</v>
      </c>
    </row>
    <row r="153" spans="1:3" x14ac:dyDescent="0.25">
      <c r="A153" s="36">
        <v>30711941718</v>
      </c>
      <c r="B153" t="s">
        <v>175</v>
      </c>
      <c r="C153" s="35" t="s">
        <v>81</v>
      </c>
    </row>
    <row r="154" spans="1:3" x14ac:dyDescent="0.25">
      <c r="A154" s="36">
        <v>33716391049</v>
      </c>
      <c r="B154" t="s">
        <v>896</v>
      </c>
      <c r="C154" s="35" t="s">
        <v>79</v>
      </c>
    </row>
    <row r="155" spans="1:3" x14ac:dyDescent="0.25">
      <c r="A155" s="36">
        <v>30571421352</v>
      </c>
      <c r="B155" t="s">
        <v>897</v>
      </c>
      <c r="C155" s="35" t="s">
        <v>839</v>
      </c>
    </row>
    <row r="156" spans="1:3" x14ac:dyDescent="0.25">
      <c r="A156" s="36">
        <v>30580189411</v>
      </c>
      <c r="B156" t="s">
        <v>176</v>
      </c>
    </row>
    <row r="157" spans="1:3" x14ac:dyDescent="0.25">
      <c r="A157" s="36">
        <v>30500006613</v>
      </c>
      <c r="B157" t="s">
        <v>898</v>
      </c>
      <c r="C157" s="35" t="s">
        <v>839</v>
      </c>
    </row>
    <row r="158" spans="1:3" x14ac:dyDescent="0.25">
      <c r="A158" s="36">
        <v>30500008454</v>
      </c>
      <c r="B158" t="s">
        <v>177</v>
      </c>
      <c r="C158" s="35" t="s">
        <v>86</v>
      </c>
    </row>
    <row r="159" spans="1:3" x14ac:dyDescent="0.25">
      <c r="A159" s="36">
        <v>30707267077</v>
      </c>
      <c r="B159" t="s">
        <v>899</v>
      </c>
      <c r="C159" s="35" t="s">
        <v>2352</v>
      </c>
    </row>
    <row r="160" spans="1:3" x14ac:dyDescent="0.25">
      <c r="A160" s="36">
        <v>13102478</v>
      </c>
      <c r="B160" t="s">
        <v>900</v>
      </c>
    </row>
    <row r="161" spans="1:3" x14ac:dyDescent="0.25">
      <c r="A161" s="36">
        <v>20109274268</v>
      </c>
      <c r="B161" t="s">
        <v>901</v>
      </c>
      <c r="C161" s="35" t="s">
        <v>792</v>
      </c>
    </row>
    <row r="162" spans="1:3" x14ac:dyDescent="0.25">
      <c r="A162" s="36">
        <v>20928727476</v>
      </c>
      <c r="B162" t="s">
        <v>902</v>
      </c>
    </row>
    <row r="163" spans="1:3" x14ac:dyDescent="0.25">
      <c r="A163" s="36">
        <v>38547404</v>
      </c>
      <c r="B163" t="s">
        <v>903</v>
      </c>
    </row>
    <row r="164" spans="1:3" x14ac:dyDescent="0.25">
      <c r="A164" s="36">
        <v>16821941</v>
      </c>
      <c r="B164" t="s">
        <v>904</v>
      </c>
    </row>
    <row r="165" spans="1:3" x14ac:dyDescent="0.25">
      <c r="A165" s="36">
        <v>30646362675</v>
      </c>
      <c r="B165" t="s">
        <v>178</v>
      </c>
    </row>
    <row r="166" spans="1:3" x14ac:dyDescent="0.25">
      <c r="A166" s="36">
        <v>3976403</v>
      </c>
      <c r="B166" t="s">
        <v>905</v>
      </c>
    </row>
    <row r="167" spans="1:3" x14ac:dyDescent="0.25">
      <c r="A167" s="36">
        <v>3976403</v>
      </c>
      <c r="B167" t="s">
        <v>905</v>
      </c>
    </row>
    <row r="168" spans="1:3" x14ac:dyDescent="0.25">
      <c r="A168" s="36">
        <v>3976403</v>
      </c>
      <c r="B168" t="s">
        <v>905</v>
      </c>
    </row>
    <row r="169" spans="1:3" x14ac:dyDescent="0.25">
      <c r="A169" s="36">
        <v>1446419</v>
      </c>
      <c r="B169" t="s">
        <v>906</v>
      </c>
    </row>
    <row r="170" spans="1:3" x14ac:dyDescent="0.25">
      <c r="A170" s="36">
        <v>30712458468</v>
      </c>
      <c r="B170" t="s">
        <v>179</v>
      </c>
      <c r="C170" s="35" t="s">
        <v>79</v>
      </c>
    </row>
    <row r="171" spans="1:3" x14ac:dyDescent="0.25">
      <c r="A171" s="36">
        <v>30714675601</v>
      </c>
      <c r="B171" t="s">
        <v>180</v>
      </c>
    </row>
    <row r="172" spans="1:3" x14ac:dyDescent="0.25">
      <c r="A172" s="36">
        <v>22217721</v>
      </c>
      <c r="B172" t="s">
        <v>907</v>
      </c>
    </row>
    <row r="173" spans="1:3" x14ac:dyDescent="0.25">
      <c r="A173" s="36"/>
    </row>
    <row r="174" spans="1:3" x14ac:dyDescent="0.25">
      <c r="A174" s="36">
        <v>20172955763</v>
      </c>
      <c r="B174" t="s">
        <v>908</v>
      </c>
      <c r="C174" s="35" t="s">
        <v>39</v>
      </c>
    </row>
    <row r="175" spans="1:3" x14ac:dyDescent="0.25">
      <c r="A175" s="36">
        <v>20083442612</v>
      </c>
      <c r="B175" t="s">
        <v>909</v>
      </c>
      <c r="C175" s="35" t="s">
        <v>910</v>
      </c>
    </row>
    <row r="176" spans="1:3" x14ac:dyDescent="0.25">
      <c r="A176" s="36">
        <v>12632062</v>
      </c>
      <c r="B176" t="s">
        <v>911</v>
      </c>
    </row>
    <row r="177" spans="1:3" x14ac:dyDescent="0.25">
      <c r="A177" s="36">
        <v>30568222187</v>
      </c>
      <c r="B177" t="s">
        <v>181</v>
      </c>
    </row>
    <row r="178" spans="1:3" x14ac:dyDescent="0.25">
      <c r="A178" s="36">
        <v>27248212646</v>
      </c>
      <c r="B178" t="s">
        <v>182</v>
      </c>
    </row>
    <row r="179" spans="1:3" x14ac:dyDescent="0.25">
      <c r="A179" s="36">
        <v>10181209</v>
      </c>
      <c r="B179" t="s">
        <v>912</v>
      </c>
    </row>
    <row r="180" spans="1:3" x14ac:dyDescent="0.25">
      <c r="A180" s="36">
        <v>16926460</v>
      </c>
      <c r="B180" t="s">
        <v>913</v>
      </c>
    </row>
    <row r="181" spans="1:3" x14ac:dyDescent="0.25">
      <c r="A181" s="36">
        <v>27115740666</v>
      </c>
      <c r="B181" t="s">
        <v>183</v>
      </c>
    </row>
    <row r="182" spans="1:3" x14ac:dyDescent="0.25">
      <c r="A182" s="36">
        <v>27129411010</v>
      </c>
      <c r="B182" t="s">
        <v>184</v>
      </c>
    </row>
    <row r="183" spans="1:3" x14ac:dyDescent="0.25">
      <c r="A183" s="36">
        <v>8255444</v>
      </c>
      <c r="B183" t="s">
        <v>914</v>
      </c>
    </row>
    <row r="184" spans="1:3" x14ac:dyDescent="0.25">
      <c r="A184" s="36">
        <v>20119743959</v>
      </c>
      <c r="B184" t="s">
        <v>915</v>
      </c>
      <c r="C184" s="35" t="s">
        <v>827</v>
      </c>
    </row>
    <row r="185" spans="1:3" x14ac:dyDescent="0.25">
      <c r="A185" s="36">
        <v>4429498</v>
      </c>
      <c r="B185" t="s">
        <v>916</v>
      </c>
    </row>
    <row r="186" spans="1:3" x14ac:dyDescent="0.25">
      <c r="A186" s="36">
        <v>23301961944</v>
      </c>
      <c r="B186" t="s">
        <v>185</v>
      </c>
    </row>
    <row r="187" spans="1:3" x14ac:dyDescent="0.25">
      <c r="A187" s="36">
        <v>22278607</v>
      </c>
      <c r="B187" t="s">
        <v>917</v>
      </c>
    </row>
    <row r="188" spans="1:3" x14ac:dyDescent="0.25">
      <c r="A188" s="36">
        <v>30710067763</v>
      </c>
      <c r="B188" t="s">
        <v>186</v>
      </c>
    </row>
    <row r="189" spans="1:3" x14ac:dyDescent="0.25">
      <c r="A189" s="36">
        <v>30712387315</v>
      </c>
      <c r="B189" t="s">
        <v>187</v>
      </c>
      <c r="C189" s="35" t="s">
        <v>79</v>
      </c>
    </row>
    <row r="190" spans="1:3" x14ac:dyDescent="0.25">
      <c r="A190" s="36">
        <v>1730839</v>
      </c>
      <c r="B190" t="s">
        <v>918</v>
      </c>
    </row>
    <row r="191" spans="1:3" x14ac:dyDescent="0.25">
      <c r="A191" s="36">
        <v>30715210637</v>
      </c>
      <c r="B191" t="s">
        <v>188</v>
      </c>
      <c r="C191" s="35" t="s">
        <v>795</v>
      </c>
    </row>
    <row r="192" spans="1:3" x14ac:dyDescent="0.25">
      <c r="A192" s="36">
        <v>30711091552</v>
      </c>
      <c r="B192" t="s">
        <v>919</v>
      </c>
      <c r="C192" s="35" t="s">
        <v>795</v>
      </c>
    </row>
    <row r="193" spans="1:3" x14ac:dyDescent="0.25">
      <c r="A193" s="36">
        <v>29480617</v>
      </c>
      <c r="B193" t="s">
        <v>920</v>
      </c>
    </row>
    <row r="194" spans="1:3" x14ac:dyDescent="0.25">
      <c r="A194" s="36">
        <v>30715833243</v>
      </c>
      <c r="B194" t="s">
        <v>921</v>
      </c>
      <c r="C194" s="35" t="s">
        <v>795</v>
      </c>
    </row>
    <row r="195" spans="1:3" x14ac:dyDescent="0.25">
      <c r="A195" s="36">
        <v>30715833243</v>
      </c>
      <c r="B195" t="s">
        <v>921</v>
      </c>
      <c r="C195" s="35" t="s">
        <v>795</v>
      </c>
    </row>
    <row r="196" spans="1:3" x14ac:dyDescent="0.25">
      <c r="A196" s="36">
        <v>30712230459</v>
      </c>
      <c r="B196" t="s">
        <v>189</v>
      </c>
      <c r="C196" s="35" t="s">
        <v>795</v>
      </c>
    </row>
    <row r="197" spans="1:3" x14ac:dyDescent="0.25">
      <c r="A197" s="36">
        <v>30712230459</v>
      </c>
      <c r="B197" t="s">
        <v>922</v>
      </c>
      <c r="C197" s="35" t="s">
        <v>795</v>
      </c>
    </row>
    <row r="198" spans="1:3" x14ac:dyDescent="0.25">
      <c r="A198" s="36">
        <v>30712230459</v>
      </c>
      <c r="B198" t="s">
        <v>922</v>
      </c>
      <c r="C198" s="35" t="s">
        <v>795</v>
      </c>
    </row>
    <row r="199" spans="1:3" x14ac:dyDescent="0.25">
      <c r="A199" s="36">
        <v>30697652694</v>
      </c>
      <c r="B199" t="s">
        <v>190</v>
      </c>
    </row>
    <row r="200" spans="1:3" x14ac:dyDescent="0.25">
      <c r="A200" s="36">
        <v>14240650</v>
      </c>
      <c r="B200" t="s">
        <v>923</v>
      </c>
    </row>
    <row r="201" spans="1:3" x14ac:dyDescent="0.25">
      <c r="A201" s="36">
        <v>26556783</v>
      </c>
      <c r="B201" t="s">
        <v>924</v>
      </c>
    </row>
    <row r="202" spans="1:3" x14ac:dyDescent="0.25">
      <c r="A202" s="36">
        <v>11892280</v>
      </c>
      <c r="B202" t="s">
        <v>925</v>
      </c>
    </row>
    <row r="203" spans="1:3" x14ac:dyDescent="0.25">
      <c r="A203" s="36">
        <v>23253931159</v>
      </c>
      <c r="B203" t="s">
        <v>191</v>
      </c>
    </row>
    <row r="204" spans="1:3" x14ac:dyDescent="0.25">
      <c r="A204" s="36">
        <v>4598675</v>
      </c>
      <c r="B204" t="s">
        <v>926</v>
      </c>
    </row>
    <row r="205" spans="1:3" x14ac:dyDescent="0.25">
      <c r="A205" s="36">
        <v>27941394707</v>
      </c>
      <c r="B205" t="s">
        <v>927</v>
      </c>
    </row>
    <row r="206" spans="1:3" x14ac:dyDescent="0.25">
      <c r="A206" s="36">
        <v>3994356</v>
      </c>
      <c r="B206" t="s">
        <v>928</v>
      </c>
    </row>
    <row r="207" spans="1:3" x14ac:dyDescent="0.25">
      <c r="A207" s="36">
        <v>20202259473</v>
      </c>
      <c r="B207" t="s">
        <v>929</v>
      </c>
      <c r="C207" s="35" t="s">
        <v>57</v>
      </c>
    </row>
    <row r="208" spans="1:3" x14ac:dyDescent="0.25">
      <c r="A208" s="36">
        <v>17902520</v>
      </c>
      <c r="B208" t="s">
        <v>930</v>
      </c>
    </row>
    <row r="209" spans="1:3" x14ac:dyDescent="0.25">
      <c r="A209" s="36">
        <v>11960990</v>
      </c>
      <c r="B209" t="s">
        <v>931</v>
      </c>
    </row>
    <row r="210" spans="1:3" x14ac:dyDescent="0.25">
      <c r="A210" s="36">
        <v>30655186693</v>
      </c>
      <c r="B210" t="s">
        <v>192</v>
      </c>
    </row>
    <row r="211" spans="1:3" x14ac:dyDescent="0.25">
      <c r="A211" s="36">
        <v>6718277</v>
      </c>
      <c r="B211" t="s">
        <v>932</v>
      </c>
    </row>
    <row r="212" spans="1:3" x14ac:dyDescent="0.25">
      <c r="A212" s="36">
        <v>27127929705</v>
      </c>
      <c r="B212" t="s">
        <v>933</v>
      </c>
    </row>
    <row r="213" spans="1:3" x14ac:dyDescent="0.25">
      <c r="A213" s="36">
        <v>30711721246</v>
      </c>
      <c r="B213" t="s">
        <v>934</v>
      </c>
    </row>
    <row r="214" spans="1:3" x14ac:dyDescent="0.25">
      <c r="A214" s="36">
        <v>20086277523</v>
      </c>
      <c r="B214" t="s">
        <v>935</v>
      </c>
      <c r="C214" s="35" t="s">
        <v>48</v>
      </c>
    </row>
    <row r="215" spans="1:3" x14ac:dyDescent="0.25">
      <c r="A215" s="36">
        <v>20086277523</v>
      </c>
      <c r="B215" t="s">
        <v>935</v>
      </c>
      <c r="C215" s="35" t="s">
        <v>48</v>
      </c>
    </row>
    <row r="216" spans="1:3" x14ac:dyDescent="0.25">
      <c r="A216" s="36">
        <v>20389908569</v>
      </c>
      <c r="B216" t="s">
        <v>193</v>
      </c>
      <c r="C216" s="35" t="s">
        <v>48</v>
      </c>
    </row>
    <row r="217" spans="1:3" x14ac:dyDescent="0.25">
      <c r="A217" s="36">
        <v>1114735</v>
      </c>
      <c r="B217" t="s">
        <v>936</v>
      </c>
    </row>
    <row r="218" spans="1:3" x14ac:dyDescent="0.25">
      <c r="A218" s="36">
        <v>33714174539</v>
      </c>
      <c r="B218" t="s">
        <v>937</v>
      </c>
      <c r="C218" s="35" t="s">
        <v>827</v>
      </c>
    </row>
    <row r="219" spans="1:3" x14ac:dyDescent="0.25">
      <c r="A219" s="36">
        <v>2389448</v>
      </c>
      <c r="B219" t="s">
        <v>938</v>
      </c>
    </row>
    <row r="220" spans="1:3" x14ac:dyDescent="0.25">
      <c r="A220" s="36">
        <v>20043030494</v>
      </c>
      <c r="B220" t="s">
        <v>939</v>
      </c>
    </row>
    <row r="221" spans="1:3" x14ac:dyDescent="0.25">
      <c r="A221" s="36">
        <v>1762620</v>
      </c>
      <c r="B221" t="s">
        <v>940</v>
      </c>
    </row>
    <row r="222" spans="1:3" x14ac:dyDescent="0.25">
      <c r="A222" s="36">
        <v>20291406212</v>
      </c>
      <c r="B222" t="s">
        <v>941</v>
      </c>
      <c r="C222" s="35" t="s">
        <v>39</v>
      </c>
    </row>
    <row r="223" spans="1:3" x14ac:dyDescent="0.25">
      <c r="A223" s="36">
        <v>20005890</v>
      </c>
      <c r="B223" t="s">
        <v>942</v>
      </c>
    </row>
    <row r="224" spans="1:3" x14ac:dyDescent="0.25">
      <c r="A224" s="36">
        <v>21938558</v>
      </c>
      <c r="B224" t="s">
        <v>943</v>
      </c>
    </row>
    <row r="225" spans="1:3" x14ac:dyDescent="0.25">
      <c r="A225" s="36">
        <v>27211511023</v>
      </c>
      <c r="B225" t="s">
        <v>944</v>
      </c>
      <c r="C225" s="35" t="s">
        <v>79</v>
      </c>
    </row>
    <row r="226" spans="1:3" x14ac:dyDescent="0.25">
      <c r="A226" s="36">
        <v>92840587</v>
      </c>
      <c r="B226" t="s">
        <v>945</v>
      </c>
    </row>
    <row r="227" spans="1:3" x14ac:dyDescent="0.25">
      <c r="A227" s="36">
        <v>29343668</v>
      </c>
      <c r="B227" t="s">
        <v>946</v>
      </c>
    </row>
    <row r="228" spans="1:3" x14ac:dyDescent="0.25">
      <c r="A228" s="36">
        <v>12842996</v>
      </c>
      <c r="B228" t="s">
        <v>947</v>
      </c>
    </row>
    <row r="229" spans="1:3" x14ac:dyDescent="0.25">
      <c r="A229" s="36">
        <v>30515676178</v>
      </c>
      <c r="B229" t="s">
        <v>194</v>
      </c>
      <c r="C229" s="35" t="s">
        <v>795</v>
      </c>
    </row>
    <row r="230" spans="1:3" x14ac:dyDescent="0.25">
      <c r="A230" s="36">
        <v>33711821649</v>
      </c>
      <c r="B230" t="s">
        <v>195</v>
      </c>
    </row>
    <row r="231" spans="1:3" x14ac:dyDescent="0.25">
      <c r="A231" s="36">
        <v>30715122657</v>
      </c>
      <c r="B231" t="s">
        <v>196</v>
      </c>
    </row>
    <row r="232" spans="1:3" x14ac:dyDescent="0.25">
      <c r="A232" s="36">
        <v>30715549871</v>
      </c>
      <c r="B232" t="s">
        <v>197</v>
      </c>
    </row>
    <row r="233" spans="1:3" x14ac:dyDescent="0.25">
      <c r="A233" s="36">
        <v>48239881</v>
      </c>
      <c r="B233" t="s">
        <v>948</v>
      </c>
    </row>
    <row r="234" spans="1:3" x14ac:dyDescent="0.25">
      <c r="A234" s="36">
        <v>22960723</v>
      </c>
      <c r="B234" t="s">
        <v>949</v>
      </c>
    </row>
    <row r="235" spans="1:3" x14ac:dyDescent="0.25">
      <c r="A235" s="36">
        <v>3793553</v>
      </c>
      <c r="B235" t="s">
        <v>950</v>
      </c>
    </row>
    <row r="236" spans="1:3" x14ac:dyDescent="0.25">
      <c r="A236" s="36">
        <v>20085280512</v>
      </c>
      <c r="B236" t="s">
        <v>198</v>
      </c>
      <c r="C236" s="35" t="s">
        <v>795</v>
      </c>
    </row>
    <row r="237" spans="1:3" x14ac:dyDescent="0.25">
      <c r="A237" s="36">
        <v>30595442369</v>
      </c>
      <c r="B237" t="s">
        <v>199</v>
      </c>
      <c r="C237" s="35" t="s">
        <v>795</v>
      </c>
    </row>
    <row r="238" spans="1:3" x14ac:dyDescent="0.25">
      <c r="A238" s="36">
        <v>27289847141</v>
      </c>
      <c r="B238" t="s">
        <v>200</v>
      </c>
      <c r="C238" s="35" t="s">
        <v>46</v>
      </c>
    </row>
    <row r="239" spans="1:3" x14ac:dyDescent="0.25">
      <c r="A239" s="36">
        <v>30715920502</v>
      </c>
      <c r="B239" t="s">
        <v>201</v>
      </c>
    </row>
    <row r="240" spans="1:3" x14ac:dyDescent="0.25">
      <c r="A240" s="36">
        <v>30573652084</v>
      </c>
      <c r="B240" t="s">
        <v>202</v>
      </c>
      <c r="C240" s="35" t="s">
        <v>796</v>
      </c>
    </row>
    <row r="241" spans="1:3" x14ac:dyDescent="0.25">
      <c r="A241" s="36">
        <v>27225671</v>
      </c>
      <c r="B241" t="s">
        <v>951</v>
      </c>
    </row>
    <row r="242" spans="1:3" x14ac:dyDescent="0.25">
      <c r="A242" s="36">
        <v>30606994</v>
      </c>
      <c r="B242" t="s">
        <v>952</v>
      </c>
    </row>
    <row r="243" spans="1:3" x14ac:dyDescent="0.25">
      <c r="A243" s="36">
        <v>23967787</v>
      </c>
      <c r="B243" t="s">
        <v>953</v>
      </c>
    </row>
    <row r="244" spans="1:3" x14ac:dyDescent="0.25">
      <c r="A244" s="36">
        <v>40075269</v>
      </c>
      <c r="B244" t="s">
        <v>954</v>
      </c>
    </row>
    <row r="245" spans="1:3" x14ac:dyDescent="0.25">
      <c r="A245" s="36">
        <v>30606248519</v>
      </c>
      <c r="B245" t="s">
        <v>203</v>
      </c>
      <c r="C245" s="35" t="s">
        <v>795</v>
      </c>
    </row>
    <row r="246" spans="1:3" x14ac:dyDescent="0.25">
      <c r="A246" s="36">
        <v>4054816</v>
      </c>
      <c r="B246" t="s">
        <v>955</v>
      </c>
    </row>
    <row r="247" spans="1:3" x14ac:dyDescent="0.25">
      <c r="A247" s="36">
        <v>31948409</v>
      </c>
      <c r="B247" t="s">
        <v>956</v>
      </c>
    </row>
    <row r="248" spans="1:3" x14ac:dyDescent="0.25">
      <c r="A248" s="36">
        <v>21903185</v>
      </c>
      <c r="B248" t="s">
        <v>957</v>
      </c>
    </row>
    <row r="249" spans="1:3" x14ac:dyDescent="0.25">
      <c r="A249" s="36">
        <v>20265226664</v>
      </c>
      <c r="B249" t="s">
        <v>204</v>
      </c>
    </row>
    <row r="250" spans="1:3" x14ac:dyDescent="0.25">
      <c r="A250" s="36">
        <v>6223767</v>
      </c>
      <c r="B250" t="s">
        <v>958</v>
      </c>
    </row>
    <row r="251" spans="1:3" x14ac:dyDescent="0.25">
      <c r="A251" s="36">
        <v>27338342840</v>
      </c>
      <c r="B251" t="s">
        <v>959</v>
      </c>
      <c r="C251" s="35" t="s">
        <v>2353</v>
      </c>
    </row>
    <row r="252" spans="1:3" x14ac:dyDescent="0.25">
      <c r="A252" s="36">
        <v>53432097</v>
      </c>
      <c r="B252" t="s">
        <v>960</v>
      </c>
    </row>
    <row r="253" spans="1:3" x14ac:dyDescent="0.25">
      <c r="A253" s="36">
        <v>27178101647</v>
      </c>
      <c r="B253" t="s">
        <v>205</v>
      </c>
    </row>
    <row r="254" spans="1:3" x14ac:dyDescent="0.25">
      <c r="A254" s="36">
        <v>27184237852</v>
      </c>
      <c r="B254" t="s">
        <v>961</v>
      </c>
      <c r="C254" s="35" t="s">
        <v>79</v>
      </c>
    </row>
    <row r="255" spans="1:3" x14ac:dyDescent="0.25">
      <c r="A255" s="36">
        <v>30685020633</v>
      </c>
      <c r="B255" t="s">
        <v>206</v>
      </c>
      <c r="C255" s="35" t="s">
        <v>795</v>
      </c>
    </row>
    <row r="256" spans="1:3" x14ac:dyDescent="0.25">
      <c r="A256" s="36">
        <v>30709876135</v>
      </c>
      <c r="B256" t="s">
        <v>207</v>
      </c>
      <c r="C256" s="35" t="s">
        <v>795</v>
      </c>
    </row>
    <row r="257" spans="1:3" x14ac:dyDescent="0.25">
      <c r="A257" s="36">
        <v>30709876135</v>
      </c>
      <c r="B257" t="s">
        <v>207</v>
      </c>
      <c r="C257" s="35" t="s">
        <v>795</v>
      </c>
    </row>
    <row r="258" spans="1:3" x14ac:dyDescent="0.25">
      <c r="A258" s="36">
        <v>30709876135</v>
      </c>
      <c r="B258" t="s">
        <v>207</v>
      </c>
      <c r="C258" s="35" t="s">
        <v>795</v>
      </c>
    </row>
    <row r="259" spans="1:3" x14ac:dyDescent="0.25">
      <c r="A259" s="36">
        <v>4514465</v>
      </c>
      <c r="B259" t="s">
        <v>962</v>
      </c>
    </row>
    <row r="260" spans="1:3" x14ac:dyDescent="0.25">
      <c r="A260" s="36">
        <v>27149682525</v>
      </c>
      <c r="B260" t="s">
        <v>963</v>
      </c>
    </row>
    <row r="261" spans="1:3" x14ac:dyDescent="0.25">
      <c r="A261" s="36">
        <v>10721769</v>
      </c>
      <c r="B261" t="s">
        <v>964</v>
      </c>
    </row>
    <row r="262" spans="1:3" x14ac:dyDescent="0.25">
      <c r="A262" s="36">
        <v>29656022</v>
      </c>
      <c r="B262" t="s">
        <v>965</v>
      </c>
    </row>
    <row r="263" spans="1:3" x14ac:dyDescent="0.25">
      <c r="A263" s="36">
        <v>27364044319</v>
      </c>
      <c r="B263" t="s">
        <v>966</v>
      </c>
      <c r="C263" s="35" t="s">
        <v>795</v>
      </c>
    </row>
    <row r="264" spans="1:3" x14ac:dyDescent="0.25">
      <c r="A264" s="36">
        <v>27364044319</v>
      </c>
      <c r="B264" t="s">
        <v>966</v>
      </c>
      <c r="C264" s="35" t="s">
        <v>795</v>
      </c>
    </row>
    <row r="265" spans="1:3" x14ac:dyDescent="0.25">
      <c r="A265" s="36">
        <v>92365668</v>
      </c>
      <c r="B265" t="s">
        <v>967</v>
      </c>
    </row>
    <row r="266" spans="1:3" x14ac:dyDescent="0.25">
      <c r="A266" s="36">
        <v>3968631</v>
      </c>
      <c r="B266" t="s">
        <v>968</v>
      </c>
    </row>
    <row r="267" spans="1:3" x14ac:dyDescent="0.25">
      <c r="A267" s="36">
        <v>92824182</v>
      </c>
      <c r="B267" t="s">
        <v>969</v>
      </c>
    </row>
    <row r="268" spans="1:3" x14ac:dyDescent="0.25">
      <c r="A268" s="36">
        <v>18171829</v>
      </c>
      <c r="B268" t="s">
        <v>970</v>
      </c>
    </row>
    <row r="269" spans="1:3" x14ac:dyDescent="0.25">
      <c r="A269" s="36">
        <v>30715116274</v>
      </c>
      <c r="B269" t="s">
        <v>971</v>
      </c>
      <c r="C269" s="35" t="s">
        <v>795</v>
      </c>
    </row>
    <row r="270" spans="1:3" x14ac:dyDescent="0.25">
      <c r="A270" s="36">
        <v>30715116274</v>
      </c>
      <c r="B270" t="s">
        <v>971</v>
      </c>
      <c r="C270" s="35" t="s">
        <v>795</v>
      </c>
    </row>
    <row r="271" spans="1:3" x14ac:dyDescent="0.25">
      <c r="A271" s="36">
        <v>22858165</v>
      </c>
      <c r="B271" t="s">
        <v>972</v>
      </c>
    </row>
    <row r="272" spans="1:3" x14ac:dyDescent="0.25">
      <c r="A272" s="36">
        <v>20182721787</v>
      </c>
      <c r="B272" t="s">
        <v>208</v>
      </c>
      <c r="C272" s="35" t="s">
        <v>795</v>
      </c>
    </row>
    <row r="273" spans="1:3" x14ac:dyDescent="0.25">
      <c r="A273" s="36">
        <v>20271174803</v>
      </c>
      <c r="B273" t="s">
        <v>209</v>
      </c>
    </row>
    <row r="274" spans="1:3" x14ac:dyDescent="0.25">
      <c r="A274" s="36">
        <v>20101384412</v>
      </c>
      <c r="B274" t="s">
        <v>210</v>
      </c>
      <c r="C274" s="35" t="s">
        <v>795</v>
      </c>
    </row>
    <row r="275" spans="1:3" x14ac:dyDescent="0.25">
      <c r="A275" s="36">
        <v>20129871947</v>
      </c>
      <c r="B275" t="s">
        <v>211</v>
      </c>
      <c r="C275" s="35" t="s">
        <v>795</v>
      </c>
    </row>
    <row r="276" spans="1:3" x14ac:dyDescent="0.25">
      <c r="A276" s="36">
        <v>5439094</v>
      </c>
      <c r="B276" t="s">
        <v>973</v>
      </c>
    </row>
    <row r="277" spans="1:3" x14ac:dyDescent="0.25">
      <c r="A277" s="36">
        <v>18194225</v>
      </c>
      <c r="B277" t="s">
        <v>974</v>
      </c>
    </row>
    <row r="278" spans="1:3" x14ac:dyDescent="0.25">
      <c r="A278" s="36">
        <v>33503921249</v>
      </c>
      <c r="B278" t="s">
        <v>212</v>
      </c>
      <c r="C278" s="35" t="s">
        <v>81</v>
      </c>
    </row>
    <row r="279" spans="1:3" x14ac:dyDescent="0.25">
      <c r="A279" s="36">
        <v>23342254</v>
      </c>
      <c r="B279" t="s">
        <v>975</v>
      </c>
    </row>
    <row r="280" spans="1:3" x14ac:dyDescent="0.25">
      <c r="A280" s="36">
        <v>93354584</v>
      </c>
      <c r="B280" t="s">
        <v>976</v>
      </c>
    </row>
    <row r="281" spans="1:3" x14ac:dyDescent="0.25">
      <c r="A281" s="36">
        <v>20372769808</v>
      </c>
      <c r="B281" t="s">
        <v>977</v>
      </c>
      <c r="C281" s="35" t="s">
        <v>910</v>
      </c>
    </row>
    <row r="282" spans="1:3" x14ac:dyDescent="0.25">
      <c r="A282" s="36">
        <v>30575818826</v>
      </c>
      <c r="B282" t="s">
        <v>978</v>
      </c>
      <c r="C282" s="35" t="s">
        <v>46</v>
      </c>
    </row>
    <row r="283" spans="1:3" x14ac:dyDescent="0.25">
      <c r="A283" s="36">
        <v>30525517094</v>
      </c>
      <c r="B283" t="s">
        <v>213</v>
      </c>
    </row>
    <row r="284" spans="1:3" x14ac:dyDescent="0.25">
      <c r="A284" s="36">
        <v>30575945232</v>
      </c>
      <c r="B284" t="s">
        <v>979</v>
      </c>
      <c r="C284" s="35" t="s">
        <v>79</v>
      </c>
    </row>
    <row r="285" spans="1:3" x14ac:dyDescent="0.25">
      <c r="A285" s="36">
        <v>93309293</v>
      </c>
      <c r="B285" t="s">
        <v>980</v>
      </c>
    </row>
    <row r="286" spans="1:3" x14ac:dyDescent="0.25">
      <c r="A286" s="36">
        <v>33712276539</v>
      </c>
      <c r="B286" t="s">
        <v>214</v>
      </c>
      <c r="C286" s="35" t="s">
        <v>44</v>
      </c>
    </row>
    <row r="287" spans="1:3" x14ac:dyDescent="0.25">
      <c r="A287" s="36">
        <v>36413855</v>
      </c>
      <c r="B287" t="s">
        <v>981</v>
      </c>
    </row>
    <row r="288" spans="1:3" x14ac:dyDescent="0.25">
      <c r="A288" s="36">
        <v>12454862</v>
      </c>
      <c r="B288" t="s">
        <v>982</v>
      </c>
    </row>
    <row r="289" spans="1:3" x14ac:dyDescent="0.25">
      <c r="A289" s="36">
        <v>12454862</v>
      </c>
      <c r="B289" t="s">
        <v>982</v>
      </c>
    </row>
    <row r="290" spans="1:3" x14ac:dyDescent="0.25">
      <c r="A290" s="36">
        <v>10624244</v>
      </c>
      <c r="B290" t="s">
        <v>983</v>
      </c>
    </row>
    <row r="291" spans="1:3" x14ac:dyDescent="0.25">
      <c r="A291" s="36">
        <v>93281329</v>
      </c>
      <c r="B291" t="s">
        <v>984</v>
      </c>
    </row>
    <row r="292" spans="1:3" x14ac:dyDescent="0.25">
      <c r="A292" s="36">
        <v>30716174766</v>
      </c>
      <c r="B292" t="s">
        <v>985</v>
      </c>
      <c r="C292" s="35" t="s">
        <v>827</v>
      </c>
    </row>
    <row r="293" spans="1:3" x14ac:dyDescent="0.25">
      <c r="A293" s="36">
        <v>7625197</v>
      </c>
      <c r="B293" t="s">
        <v>986</v>
      </c>
    </row>
    <row r="294" spans="1:3" x14ac:dyDescent="0.25">
      <c r="A294" s="36">
        <v>8643409</v>
      </c>
      <c r="B294" t="s">
        <v>987</v>
      </c>
    </row>
    <row r="295" spans="1:3" x14ac:dyDescent="0.25">
      <c r="A295" s="36">
        <v>30710176325</v>
      </c>
      <c r="B295" t="s">
        <v>215</v>
      </c>
    </row>
    <row r="296" spans="1:3" x14ac:dyDescent="0.25">
      <c r="A296" s="36">
        <v>22079320</v>
      </c>
      <c r="B296" t="s">
        <v>988</v>
      </c>
    </row>
    <row r="297" spans="1:3" x14ac:dyDescent="0.25">
      <c r="A297" s="36">
        <v>30697574480</v>
      </c>
      <c r="B297" t="s">
        <v>216</v>
      </c>
    </row>
    <row r="298" spans="1:3" x14ac:dyDescent="0.25">
      <c r="A298" s="36">
        <v>31677752</v>
      </c>
      <c r="B298" t="s">
        <v>989</v>
      </c>
    </row>
    <row r="299" spans="1:3" x14ac:dyDescent="0.25">
      <c r="A299" s="36">
        <v>20250373</v>
      </c>
      <c r="B299" t="s">
        <v>990</v>
      </c>
    </row>
    <row r="300" spans="1:3" x14ac:dyDescent="0.25">
      <c r="A300" s="36">
        <v>30568463591</v>
      </c>
      <c r="B300" t="s">
        <v>217</v>
      </c>
    </row>
    <row r="301" spans="1:3" x14ac:dyDescent="0.25">
      <c r="A301" s="36">
        <v>30590360763</v>
      </c>
      <c r="B301" t="s">
        <v>88</v>
      </c>
      <c r="C301" s="35" t="s">
        <v>79</v>
      </c>
    </row>
    <row r="302" spans="1:3" x14ac:dyDescent="0.25">
      <c r="A302" s="36">
        <v>30707612971</v>
      </c>
      <c r="B302" t="s">
        <v>218</v>
      </c>
      <c r="C302" s="35" t="s">
        <v>809</v>
      </c>
    </row>
    <row r="303" spans="1:3" x14ac:dyDescent="0.25">
      <c r="A303" s="36">
        <v>30707612971</v>
      </c>
      <c r="B303" t="s">
        <v>218</v>
      </c>
      <c r="C303" s="35" t="s">
        <v>809</v>
      </c>
    </row>
    <row r="304" spans="1:3" x14ac:dyDescent="0.25">
      <c r="A304" s="36">
        <v>30707612971</v>
      </c>
      <c r="B304" t="s">
        <v>218</v>
      </c>
    </row>
    <row r="305" spans="1:3" x14ac:dyDescent="0.25">
      <c r="A305" s="36">
        <v>30687752925</v>
      </c>
      <c r="B305" t="s">
        <v>991</v>
      </c>
    </row>
    <row r="306" spans="1:3" x14ac:dyDescent="0.25">
      <c r="A306" s="36">
        <v>30707535934</v>
      </c>
      <c r="B306" t="s">
        <v>992</v>
      </c>
      <c r="C306" s="35" t="s">
        <v>44</v>
      </c>
    </row>
    <row r="307" spans="1:3" x14ac:dyDescent="0.25">
      <c r="A307" s="36">
        <v>30710009798</v>
      </c>
      <c r="B307" t="s">
        <v>993</v>
      </c>
    </row>
    <row r="308" spans="1:3" x14ac:dyDescent="0.25">
      <c r="A308" s="36">
        <v>14070667</v>
      </c>
      <c r="B308" t="s">
        <v>994</v>
      </c>
    </row>
    <row r="309" spans="1:3" x14ac:dyDescent="0.25">
      <c r="A309" s="36">
        <v>4175706</v>
      </c>
      <c r="B309" t="s">
        <v>995</v>
      </c>
    </row>
    <row r="310" spans="1:3" x14ac:dyDescent="0.25">
      <c r="A310" s="36">
        <v>20182095215</v>
      </c>
      <c r="B310" t="s">
        <v>219</v>
      </c>
      <c r="C310" s="35" t="s">
        <v>996</v>
      </c>
    </row>
    <row r="311" spans="1:3" x14ac:dyDescent="0.25">
      <c r="A311" s="36">
        <v>30708741562</v>
      </c>
      <c r="B311" t="s">
        <v>220</v>
      </c>
      <c r="C311" s="35" t="s">
        <v>795</v>
      </c>
    </row>
    <row r="312" spans="1:3" x14ac:dyDescent="0.25">
      <c r="A312" s="36">
        <v>30712192735</v>
      </c>
      <c r="B312" t="s">
        <v>221</v>
      </c>
    </row>
    <row r="313" spans="1:3" x14ac:dyDescent="0.25">
      <c r="A313" s="36">
        <v>4164120</v>
      </c>
      <c r="B313" t="s">
        <v>997</v>
      </c>
    </row>
    <row r="314" spans="1:3" x14ac:dyDescent="0.25">
      <c r="A314" s="36">
        <v>4676555</v>
      </c>
      <c r="B314" t="s">
        <v>998</v>
      </c>
    </row>
    <row r="315" spans="1:3" x14ac:dyDescent="0.25">
      <c r="A315" s="36">
        <v>29433302</v>
      </c>
      <c r="B315" t="s">
        <v>999</v>
      </c>
    </row>
    <row r="316" spans="1:3" x14ac:dyDescent="0.25">
      <c r="A316" s="36">
        <v>33293764</v>
      </c>
      <c r="B316" t="s">
        <v>1000</v>
      </c>
    </row>
    <row r="317" spans="1:3" x14ac:dyDescent="0.25">
      <c r="A317" s="36">
        <v>13211322</v>
      </c>
      <c r="B317" t="s">
        <v>1001</v>
      </c>
    </row>
    <row r="318" spans="1:3" x14ac:dyDescent="0.25">
      <c r="A318" s="36">
        <v>30656459677</v>
      </c>
      <c r="B318" t="s">
        <v>222</v>
      </c>
    </row>
    <row r="319" spans="1:3" x14ac:dyDescent="0.25">
      <c r="A319" s="36">
        <v>32091051</v>
      </c>
      <c r="B319" t="s">
        <v>1002</v>
      </c>
    </row>
    <row r="320" spans="1:3" x14ac:dyDescent="0.25">
      <c r="A320" s="36">
        <v>10740809</v>
      </c>
      <c r="B320" t="s">
        <v>1003</v>
      </c>
    </row>
    <row r="321" spans="1:3" x14ac:dyDescent="0.25">
      <c r="A321" s="36">
        <v>27945274110</v>
      </c>
      <c r="B321" t="s">
        <v>223</v>
      </c>
      <c r="C321" s="35" t="s">
        <v>795</v>
      </c>
    </row>
    <row r="322" spans="1:3" x14ac:dyDescent="0.25">
      <c r="A322" s="36">
        <v>30594832783</v>
      </c>
      <c r="B322" t="s">
        <v>1004</v>
      </c>
      <c r="C322" s="35" t="s">
        <v>44</v>
      </c>
    </row>
    <row r="323" spans="1:3" x14ac:dyDescent="0.25">
      <c r="A323" s="36">
        <v>17606673</v>
      </c>
      <c r="B323" t="s">
        <v>1005</v>
      </c>
    </row>
    <row r="324" spans="1:3" x14ac:dyDescent="0.25">
      <c r="A324" s="36">
        <v>92687609</v>
      </c>
      <c r="B324" t="s">
        <v>1006</v>
      </c>
    </row>
    <row r="325" spans="1:3" x14ac:dyDescent="0.25">
      <c r="A325" s="36">
        <v>6883634</v>
      </c>
      <c r="B325" t="s">
        <v>1007</v>
      </c>
    </row>
    <row r="326" spans="1:3" x14ac:dyDescent="0.25">
      <c r="A326" s="36">
        <v>14242853</v>
      </c>
      <c r="B326" t="s">
        <v>1008</v>
      </c>
    </row>
    <row r="327" spans="1:3" x14ac:dyDescent="0.25">
      <c r="A327" s="36">
        <v>31290461</v>
      </c>
      <c r="B327" t="s">
        <v>1009</v>
      </c>
    </row>
    <row r="328" spans="1:3" x14ac:dyDescent="0.25">
      <c r="A328" s="36">
        <v>30707986189</v>
      </c>
      <c r="B328" t="s">
        <v>1010</v>
      </c>
      <c r="C328" s="35" t="s">
        <v>2353</v>
      </c>
    </row>
    <row r="329" spans="1:3" x14ac:dyDescent="0.25">
      <c r="A329" s="36">
        <v>30707986189</v>
      </c>
      <c r="B329" t="s">
        <v>1010</v>
      </c>
      <c r="C329" s="35" t="s">
        <v>2353</v>
      </c>
    </row>
    <row r="330" spans="1:3" x14ac:dyDescent="0.25">
      <c r="A330" s="36">
        <v>30707986189</v>
      </c>
      <c r="B330" t="s">
        <v>224</v>
      </c>
      <c r="C330" s="35" t="s">
        <v>2353</v>
      </c>
    </row>
    <row r="331" spans="1:3" x14ac:dyDescent="0.25">
      <c r="A331" s="36">
        <v>30714500933</v>
      </c>
      <c r="B331" t="s">
        <v>225</v>
      </c>
    </row>
    <row r="332" spans="1:3" x14ac:dyDescent="0.25">
      <c r="A332" s="36">
        <v>23147508999</v>
      </c>
      <c r="B332" t="s">
        <v>1011</v>
      </c>
    </row>
    <row r="333" spans="1:3" x14ac:dyDescent="0.25">
      <c r="A333" s="36">
        <v>30702286987</v>
      </c>
      <c r="B333" t="s">
        <v>226</v>
      </c>
      <c r="C333" s="35" t="s">
        <v>79</v>
      </c>
    </row>
    <row r="334" spans="1:3" x14ac:dyDescent="0.25">
      <c r="A334" s="36">
        <v>16895315</v>
      </c>
      <c r="B334" t="s">
        <v>1012</v>
      </c>
    </row>
    <row r="335" spans="1:3" x14ac:dyDescent="0.25">
      <c r="A335" s="36">
        <v>30708651644</v>
      </c>
      <c r="B335" t="s">
        <v>227</v>
      </c>
    </row>
    <row r="336" spans="1:3" x14ac:dyDescent="0.25">
      <c r="A336" s="36">
        <v>27172039036</v>
      </c>
      <c r="B336" t="s">
        <v>228</v>
      </c>
    </row>
    <row r="337" spans="1:3" x14ac:dyDescent="0.25">
      <c r="A337" s="36">
        <v>27237719145</v>
      </c>
      <c r="B337" t="s">
        <v>1013</v>
      </c>
      <c r="C337" s="35" t="s">
        <v>795</v>
      </c>
    </row>
    <row r="338" spans="1:3" x14ac:dyDescent="0.25">
      <c r="A338" s="36">
        <v>17677788</v>
      </c>
      <c r="B338" t="s">
        <v>1014</v>
      </c>
    </row>
    <row r="339" spans="1:3" x14ac:dyDescent="0.25">
      <c r="A339" s="36">
        <v>20927573483</v>
      </c>
      <c r="B339" t="s">
        <v>229</v>
      </c>
    </row>
    <row r="340" spans="1:3" x14ac:dyDescent="0.25">
      <c r="A340" s="36">
        <v>30628878966</v>
      </c>
      <c r="B340" t="s">
        <v>230</v>
      </c>
    </row>
    <row r="341" spans="1:3" x14ac:dyDescent="0.25">
      <c r="A341" s="36">
        <v>30530328348</v>
      </c>
      <c r="B341" t="s">
        <v>231</v>
      </c>
    </row>
    <row r="342" spans="1:3" x14ac:dyDescent="0.25">
      <c r="A342" s="36">
        <v>8235684</v>
      </c>
      <c r="B342" t="s">
        <v>1015</v>
      </c>
    </row>
    <row r="343" spans="1:3" x14ac:dyDescent="0.25">
      <c r="A343" s="36">
        <v>30525390086</v>
      </c>
      <c r="B343" t="s">
        <v>89</v>
      </c>
    </row>
    <row r="344" spans="1:3" x14ac:dyDescent="0.25">
      <c r="A344" s="36">
        <v>30638177826</v>
      </c>
      <c r="B344" t="s">
        <v>232</v>
      </c>
    </row>
    <row r="345" spans="1:3" x14ac:dyDescent="0.25">
      <c r="A345" s="36">
        <v>23117888169</v>
      </c>
      <c r="B345" t="s">
        <v>233</v>
      </c>
      <c r="C345" s="35" t="s">
        <v>795</v>
      </c>
    </row>
    <row r="346" spans="1:3" x14ac:dyDescent="0.25">
      <c r="A346" s="36">
        <v>27729252</v>
      </c>
      <c r="B346" t="s">
        <v>1016</v>
      </c>
    </row>
    <row r="347" spans="1:3" x14ac:dyDescent="0.25">
      <c r="A347" s="36">
        <v>1976258</v>
      </c>
      <c r="B347" t="s">
        <v>1017</v>
      </c>
    </row>
    <row r="348" spans="1:3" x14ac:dyDescent="0.25">
      <c r="A348" s="36">
        <v>23258785479</v>
      </c>
      <c r="B348" t="s">
        <v>1018</v>
      </c>
      <c r="C348" s="35" t="s">
        <v>910</v>
      </c>
    </row>
    <row r="349" spans="1:3" x14ac:dyDescent="0.25">
      <c r="A349" s="36">
        <v>5581669</v>
      </c>
      <c r="B349" t="s">
        <v>1019</v>
      </c>
    </row>
    <row r="350" spans="1:3" x14ac:dyDescent="0.25">
      <c r="A350" s="36">
        <v>35092896</v>
      </c>
      <c r="B350" t="s">
        <v>1020</v>
      </c>
    </row>
    <row r="351" spans="1:3" x14ac:dyDescent="0.25">
      <c r="A351" s="36">
        <v>30688140923</v>
      </c>
      <c r="B351" t="s">
        <v>234</v>
      </c>
      <c r="C351" s="35" t="s">
        <v>2353</v>
      </c>
    </row>
    <row r="352" spans="1:3" x14ac:dyDescent="0.25">
      <c r="A352" s="36">
        <v>30707212698</v>
      </c>
      <c r="B352" t="s">
        <v>235</v>
      </c>
      <c r="C352" s="35" t="s">
        <v>795</v>
      </c>
    </row>
    <row r="353" spans="1:3" x14ac:dyDescent="0.25">
      <c r="A353" s="36">
        <v>30519492136</v>
      </c>
      <c r="B353" t="s">
        <v>236</v>
      </c>
      <c r="C353" s="35" t="s">
        <v>795</v>
      </c>
    </row>
    <row r="354" spans="1:3" x14ac:dyDescent="0.25">
      <c r="A354" s="36">
        <v>30518455970</v>
      </c>
      <c r="B354" t="s">
        <v>237</v>
      </c>
    </row>
    <row r="355" spans="1:3" x14ac:dyDescent="0.25">
      <c r="A355" s="36">
        <v>30711170096</v>
      </c>
      <c r="B355" t="s">
        <v>1021</v>
      </c>
      <c r="C355" s="35" t="s">
        <v>44</v>
      </c>
    </row>
    <row r="356" spans="1:3" x14ac:dyDescent="0.25">
      <c r="A356" s="36">
        <v>30682115722</v>
      </c>
      <c r="B356" t="s">
        <v>238</v>
      </c>
    </row>
    <row r="357" spans="1:3" x14ac:dyDescent="0.25">
      <c r="A357" s="36">
        <v>33710268059</v>
      </c>
      <c r="B357" t="s">
        <v>1022</v>
      </c>
      <c r="C357" s="35" t="s">
        <v>847</v>
      </c>
    </row>
    <row r="358" spans="1:3" x14ac:dyDescent="0.25">
      <c r="A358" s="36">
        <v>30605344352</v>
      </c>
      <c r="B358" t="s">
        <v>1023</v>
      </c>
      <c r="C358" s="35" t="s">
        <v>79</v>
      </c>
    </row>
    <row r="359" spans="1:3" x14ac:dyDescent="0.25">
      <c r="A359" s="36">
        <v>30605344352</v>
      </c>
      <c r="B359" t="s">
        <v>239</v>
      </c>
      <c r="C359" s="35" t="s">
        <v>79</v>
      </c>
    </row>
    <row r="360" spans="1:3" x14ac:dyDescent="0.25">
      <c r="A360" s="36">
        <v>30714510092</v>
      </c>
      <c r="B360" t="s">
        <v>240</v>
      </c>
      <c r="C360" s="35" t="s">
        <v>795</v>
      </c>
    </row>
    <row r="361" spans="1:3" x14ac:dyDescent="0.25">
      <c r="A361" s="36">
        <v>30715904868</v>
      </c>
      <c r="B361" t="s">
        <v>241</v>
      </c>
    </row>
    <row r="362" spans="1:3" x14ac:dyDescent="0.25">
      <c r="A362" s="36">
        <v>33714788219</v>
      </c>
      <c r="B362" t="s">
        <v>242</v>
      </c>
    </row>
    <row r="363" spans="1:3" x14ac:dyDescent="0.25">
      <c r="A363" s="36">
        <v>20134281783</v>
      </c>
      <c r="B363" t="s">
        <v>243</v>
      </c>
      <c r="C363" s="35" t="s">
        <v>795</v>
      </c>
    </row>
    <row r="364" spans="1:3" x14ac:dyDescent="0.25">
      <c r="A364" s="36">
        <v>20134281783</v>
      </c>
      <c r="B364" t="s">
        <v>243</v>
      </c>
      <c r="C364" s="35" t="s">
        <v>795</v>
      </c>
    </row>
    <row r="365" spans="1:3" x14ac:dyDescent="0.25">
      <c r="A365" s="36">
        <v>20134281783</v>
      </c>
      <c r="B365" t="s">
        <v>243</v>
      </c>
      <c r="C365" s="35" t="s">
        <v>795</v>
      </c>
    </row>
    <row r="366" spans="1:3" x14ac:dyDescent="0.25">
      <c r="A366" s="36">
        <v>17343213</v>
      </c>
      <c r="B366" t="s">
        <v>1024</v>
      </c>
    </row>
    <row r="367" spans="1:3" x14ac:dyDescent="0.25">
      <c r="A367" s="36">
        <v>30682998330</v>
      </c>
      <c r="B367" t="s">
        <v>1025</v>
      </c>
      <c r="C367" s="35" t="s">
        <v>910</v>
      </c>
    </row>
    <row r="368" spans="1:3" x14ac:dyDescent="0.25">
      <c r="A368" s="36">
        <v>30710730233</v>
      </c>
      <c r="B368" t="s">
        <v>1026</v>
      </c>
    </row>
    <row r="369" spans="1:3" x14ac:dyDescent="0.25">
      <c r="A369" s="36">
        <v>30577207190</v>
      </c>
      <c r="B369" t="s">
        <v>1027</v>
      </c>
      <c r="C369" s="35" t="s">
        <v>910</v>
      </c>
    </row>
    <row r="370" spans="1:3" x14ac:dyDescent="0.25">
      <c r="A370" s="36">
        <v>30519678205</v>
      </c>
      <c r="B370" t="s">
        <v>244</v>
      </c>
    </row>
    <row r="371" spans="1:3" x14ac:dyDescent="0.25">
      <c r="A371" s="36">
        <v>30548345525</v>
      </c>
      <c r="B371" t="s">
        <v>245</v>
      </c>
      <c r="C371" s="35" t="s">
        <v>79</v>
      </c>
    </row>
    <row r="372" spans="1:3" x14ac:dyDescent="0.25">
      <c r="A372" s="36">
        <v>30549345525</v>
      </c>
      <c r="B372" t="s">
        <v>245</v>
      </c>
      <c r="C372" s="35" t="s">
        <v>796</v>
      </c>
    </row>
    <row r="373" spans="1:3" x14ac:dyDescent="0.25">
      <c r="A373" s="36">
        <v>30693761421</v>
      </c>
      <c r="B373" t="s">
        <v>246</v>
      </c>
    </row>
    <row r="374" spans="1:3" x14ac:dyDescent="0.25">
      <c r="A374" s="36">
        <v>20278955991</v>
      </c>
      <c r="B374" t="s">
        <v>1028</v>
      </c>
    </row>
    <row r="375" spans="1:3" x14ac:dyDescent="0.25">
      <c r="A375" s="36">
        <v>33362509</v>
      </c>
      <c r="B375" t="s">
        <v>1029</v>
      </c>
    </row>
    <row r="376" spans="1:3" x14ac:dyDescent="0.25">
      <c r="A376" s="36">
        <v>30709479624</v>
      </c>
      <c r="B376" t="s">
        <v>247</v>
      </c>
    </row>
    <row r="377" spans="1:3" x14ac:dyDescent="0.25">
      <c r="A377" s="36">
        <v>20233248283</v>
      </c>
      <c r="B377" t="s">
        <v>1030</v>
      </c>
      <c r="C377" s="35" t="s">
        <v>827</v>
      </c>
    </row>
    <row r="378" spans="1:3" x14ac:dyDescent="0.25">
      <c r="A378" s="36">
        <v>30715804812</v>
      </c>
      <c r="B378" t="s">
        <v>1031</v>
      </c>
      <c r="C378" s="35" t="s">
        <v>877</v>
      </c>
    </row>
    <row r="379" spans="1:3" x14ac:dyDescent="0.25">
      <c r="A379" s="36">
        <v>27716112</v>
      </c>
      <c r="B379" t="s">
        <v>1032</v>
      </c>
    </row>
    <row r="380" spans="1:3" x14ac:dyDescent="0.25">
      <c r="A380" s="36">
        <v>33699685459</v>
      </c>
      <c r="B380" t="s">
        <v>1033</v>
      </c>
      <c r="C380" s="35" t="s">
        <v>792</v>
      </c>
    </row>
    <row r="381" spans="1:3" x14ac:dyDescent="0.25">
      <c r="A381" s="36">
        <v>23115425099</v>
      </c>
      <c r="B381" t="s">
        <v>248</v>
      </c>
    </row>
    <row r="382" spans="1:3" x14ac:dyDescent="0.25">
      <c r="A382" s="36">
        <v>30708574836</v>
      </c>
      <c r="B382" t="s">
        <v>1035</v>
      </c>
      <c r="C382" s="35" t="s">
        <v>79</v>
      </c>
    </row>
    <row r="383" spans="1:3" x14ac:dyDescent="0.25">
      <c r="A383" s="36">
        <v>33710271149</v>
      </c>
      <c r="B383" t="s">
        <v>1036</v>
      </c>
      <c r="C383" s="35" t="s">
        <v>1037</v>
      </c>
    </row>
    <row r="384" spans="1:3" x14ac:dyDescent="0.25">
      <c r="A384" s="36">
        <v>30636196858</v>
      </c>
      <c r="B384" t="s">
        <v>1038</v>
      </c>
    </row>
    <row r="385" spans="1:3" x14ac:dyDescent="0.25">
      <c r="A385" s="36">
        <v>27065000216</v>
      </c>
      <c r="B385" t="s">
        <v>249</v>
      </c>
      <c r="C385" s="35" t="s">
        <v>827</v>
      </c>
    </row>
    <row r="386" spans="1:3" x14ac:dyDescent="0.25">
      <c r="A386" s="36">
        <v>10045074</v>
      </c>
      <c r="B386" t="s">
        <v>1039</v>
      </c>
    </row>
    <row r="387" spans="1:3" x14ac:dyDescent="0.25">
      <c r="A387" s="36">
        <v>30548083156</v>
      </c>
      <c r="B387" t="s">
        <v>91</v>
      </c>
      <c r="C387" s="35" t="s">
        <v>79</v>
      </c>
    </row>
    <row r="388" spans="1:3" x14ac:dyDescent="0.25">
      <c r="A388" s="36">
        <v>30714436437</v>
      </c>
      <c r="B388" t="s">
        <v>250</v>
      </c>
    </row>
    <row r="389" spans="1:3" x14ac:dyDescent="0.25">
      <c r="A389" s="36">
        <v>30696850972</v>
      </c>
      <c r="B389" t="s">
        <v>1040</v>
      </c>
      <c r="C389" s="35" t="s">
        <v>1041</v>
      </c>
    </row>
    <row r="390" spans="1:3" x14ac:dyDescent="0.25">
      <c r="A390" s="36">
        <v>33707563449</v>
      </c>
      <c r="B390" t="s">
        <v>1042</v>
      </c>
    </row>
    <row r="391" spans="1:3" x14ac:dyDescent="0.25">
      <c r="A391" s="36">
        <v>4195860</v>
      </c>
      <c r="B391" t="s">
        <v>1043</v>
      </c>
    </row>
    <row r="392" spans="1:3" x14ac:dyDescent="0.25">
      <c r="A392" s="36">
        <v>16994318</v>
      </c>
      <c r="B392" t="s">
        <v>1044</v>
      </c>
    </row>
    <row r="393" spans="1:3" x14ac:dyDescent="0.25">
      <c r="A393" s="36">
        <v>30709175897</v>
      </c>
      <c r="B393" t="s">
        <v>1045</v>
      </c>
    </row>
    <row r="394" spans="1:3" x14ac:dyDescent="0.25">
      <c r="A394" s="36">
        <v>30610255783</v>
      </c>
      <c r="B394" t="s">
        <v>251</v>
      </c>
      <c r="C394" s="35" t="s">
        <v>795</v>
      </c>
    </row>
    <row r="395" spans="1:3" x14ac:dyDescent="0.25">
      <c r="A395" s="36">
        <v>30715406043</v>
      </c>
      <c r="B395" t="s">
        <v>252</v>
      </c>
      <c r="C395" s="35" t="s">
        <v>79</v>
      </c>
    </row>
    <row r="396" spans="1:3" x14ac:dyDescent="0.25">
      <c r="A396" s="36">
        <v>20224565314</v>
      </c>
      <c r="B396" t="s">
        <v>253</v>
      </c>
    </row>
    <row r="397" spans="1:3" x14ac:dyDescent="0.25">
      <c r="A397" s="36">
        <v>30710986416</v>
      </c>
      <c r="B397" t="s">
        <v>254</v>
      </c>
      <c r="C397" s="35" t="s">
        <v>795</v>
      </c>
    </row>
    <row r="398" spans="1:3" x14ac:dyDescent="0.25">
      <c r="A398" s="36">
        <v>30716536870</v>
      </c>
      <c r="B398" t="s">
        <v>1046</v>
      </c>
    </row>
    <row r="399" spans="1:3" x14ac:dyDescent="0.25">
      <c r="A399" s="36">
        <v>30707833293</v>
      </c>
      <c r="B399" t="s">
        <v>1047</v>
      </c>
    </row>
    <row r="400" spans="1:3" x14ac:dyDescent="0.25">
      <c r="A400" s="36">
        <v>30648270417</v>
      </c>
      <c r="B400" t="s">
        <v>255</v>
      </c>
      <c r="C400" s="35" t="s">
        <v>795</v>
      </c>
    </row>
    <row r="401" spans="1:3" x14ac:dyDescent="0.25">
      <c r="A401" s="36">
        <v>93906317</v>
      </c>
      <c r="B401" t="s">
        <v>1048</v>
      </c>
    </row>
    <row r="402" spans="1:3" x14ac:dyDescent="0.25">
      <c r="A402" s="36">
        <v>93906317</v>
      </c>
      <c r="B402" t="s">
        <v>1048</v>
      </c>
    </row>
    <row r="403" spans="1:3" x14ac:dyDescent="0.25">
      <c r="A403" s="36">
        <v>13782015</v>
      </c>
      <c r="B403" t="s">
        <v>1049</v>
      </c>
    </row>
    <row r="404" spans="1:3" x14ac:dyDescent="0.25">
      <c r="A404" s="36">
        <v>30710335008</v>
      </c>
      <c r="B404" t="s">
        <v>256</v>
      </c>
    </row>
    <row r="405" spans="1:3" x14ac:dyDescent="0.25">
      <c r="A405" s="36">
        <v>20126013877</v>
      </c>
      <c r="B405" t="s">
        <v>257</v>
      </c>
      <c r="C405" s="35" t="s">
        <v>79</v>
      </c>
    </row>
    <row r="406" spans="1:3" x14ac:dyDescent="0.25">
      <c r="A406" s="36">
        <v>20125815511</v>
      </c>
      <c r="B406" t="s">
        <v>258</v>
      </c>
    </row>
    <row r="407" spans="1:3" x14ac:dyDescent="0.25">
      <c r="A407" s="36">
        <v>42646714</v>
      </c>
      <c r="B407" t="s">
        <v>1050</v>
      </c>
    </row>
    <row r="408" spans="1:3" x14ac:dyDescent="0.25">
      <c r="A408" s="36">
        <v>30712070133</v>
      </c>
      <c r="B408" t="s">
        <v>259</v>
      </c>
    </row>
    <row r="409" spans="1:3" x14ac:dyDescent="0.25">
      <c r="A409" s="36">
        <v>11768371</v>
      </c>
      <c r="B409" t="s">
        <v>1051</v>
      </c>
    </row>
    <row r="410" spans="1:3" x14ac:dyDescent="0.25">
      <c r="A410" s="36">
        <v>14547746</v>
      </c>
      <c r="B410" t="s">
        <v>1052</v>
      </c>
    </row>
    <row r="411" spans="1:3" x14ac:dyDescent="0.25">
      <c r="A411" s="36">
        <v>14547746</v>
      </c>
      <c r="B411" t="s">
        <v>1052</v>
      </c>
    </row>
    <row r="412" spans="1:3" x14ac:dyDescent="0.25">
      <c r="A412" s="36">
        <v>23172107559</v>
      </c>
      <c r="B412" t="s">
        <v>260</v>
      </c>
    </row>
    <row r="413" spans="1:3" x14ac:dyDescent="0.25">
      <c r="A413" s="36">
        <v>20161374408</v>
      </c>
      <c r="B413" t="s">
        <v>1053</v>
      </c>
    </row>
    <row r="414" spans="1:3" x14ac:dyDescent="0.25">
      <c r="A414" s="36">
        <v>32391865</v>
      </c>
      <c r="B414" t="s">
        <v>1054</v>
      </c>
    </row>
    <row r="415" spans="1:3" x14ac:dyDescent="0.25">
      <c r="A415" s="36">
        <v>30715242903</v>
      </c>
      <c r="B415" t="s">
        <v>1055</v>
      </c>
      <c r="C415" s="35" t="s">
        <v>795</v>
      </c>
    </row>
    <row r="416" spans="1:3" x14ac:dyDescent="0.25">
      <c r="A416" s="36">
        <v>30597228984</v>
      </c>
      <c r="B416" t="s">
        <v>261</v>
      </c>
    </row>
    <row r="417" spans="1:3" x14ac:dyDescent="0.25">
      <c r="A417" s="36">
        <v>30710984332</v>
      </c>
      <c r="B417" t="s">
        <v>262</v>
      </c>
    </row>
    <row r="418" spans="1:3" x14ac:dyDescent="0.25">
      <c r="A418" s="36">
        <v>27216710253</v>
      </c>
      <c r="B418" t="s">
        <v>263</v>
      </c>
      <c r="C418" s="35" t="s">
        <v>81</v>
      </c>
    </row>
    <row r="419" spans="1:3" x14ac:dyDescent="0.25">
      <c r="A419" s="36">
        <v>92374904</v>
      </c>
      <c r="B419" t="s">
        <v>1056</v>
      </c>
    </row>
    <row r="420" spans="1:3" x14ac:dyDescent="0.25">
      <c r="A420" s="36">
        <v>14014788</v>
      </c>
      <c r="B420" t="s">
        <v>1057</v>
      </c>
    </row>
    <row r="421" spans="1:3" x14ac:dyDescent="0.25">
      <c r="A421" s="36">
        <v>30707519378</v>
      </c>
      <c r="B421" t="s">
        <v>1058</v>
      </c>
    </row>
    <row r="422" spans="1:3" x14ac:dyDescent="0.25">
      <c r="A422" s="36">
        <v>30711549206</v>
      </c>
      <c r="B422" t="s">
        <v>1059</v>
      </c>
      <c r="C422" s="35" t="s">
        <v>79</v>
      </c>
    </row>
    <row r="423" spans="1:3" x14ac:dyDescent="0.25">
      <c r="A423" s="36">
        <v>27308260440</v>
      </c>
      <c r="B423" t="s">
        <v>264</v>
      </c>
      <c r="C423" s="35" t="s">
        <v>79</v>
      </c>
    </row>
    <row r="424" spans="1:3" x14ac:dyDescent="0.25">
      <c r="A424" s="36">
        <v>21824174</v>
      </c>
      <c r="B424" t="s">
        <v>1060</v>
      </c>
    </row>
    <row r="425" spans="1:3" x14ac:dyDescent="0.25">
      <c r="A425" s="36">
        <v>13407514</v>
      </c>
      <c r="B425" t="s">
        <v>1061</v>
      </c>
    </row>
    <row r="426" spans="1:3" x14ac:dyDescent="0.25">
      <c r="A426" s="36">
        <v>30710513895</v>
      </c>
      <c r="B426" t="s">
        <v>265</v>
      </c>
    </row>
    <row r="427" spans="1:3" x14ac:dyDescent="0.25">
      <c r="A427" s="36">
        <v>30522798106</v>
      </c>
      <c r="B427" t="s">
        <v>266</v>
      </c>
    </row>
    <row r="428" spans="1:3" x14ac:dyDescent="0.25">
      <c r="A428" s="36">
        <v>22196829</v>
      </c>
      <c r="B428" t="s">
        <v>1062</v>
      </c>
    </row>
    <row r="429" spans="1:3" x14ac:dyDescent="0.25">
      <c r="A429" s="36">
        <v>30711275106</v>
      </c>
      <c r="B429" t="s">
        <v>1063</v>
      </c>
      <c r="C429" s="35" t="s">
        <v>1034</v>
      </c>
    </row>
    <row r="430" spans="1:3" x14ac:dyDescent="0.25">
      <c r="A430" s="36">
        <v>3764909</v>
      </c>
      <c r="B430" t="s">
        <v>1064</v>
      </c>
    </row>
    <row r="431" spans="1:3" x14ac:dyDescent="0.25">
      <c r="A431" s="36">
        <v>33715370269</v>
      </c>
      <c r="B431" t="s">
        <v>267</v>
      </c>
      <c r="C431" s="35" t="s">
        <v>795</v>
      </c>
    </row>
    <row r="432" spans="1:3" x14ac:dyDescent="0.25">
      <c r="A432" s="36">
        <v>30710988109</v>
      </c>
      <c r="B432" t="s">
        <v>268</v>
      </c>
    </row>
    <row r="433" spans="1:3" x14ac:dyDescent="0.25">
      <c r="A433" s="36">
        <v>30516186670</v>
      </c>
      <c r="B433" t="s">
        <v>92</v>
      </c>
      <c r="C433" s="35" t="s">
        <v>44</v>
      </c>
    </row>
    <row r="434" spans="1:3" x14ac:dyDescent="0.25">
      <c r="A434" s="36">
        <v>27340766445</v>
      </c>
      <c r="B434" t="s">
        <v>269</v>
      </c>
      <c r="C434" s="35" t="s">
        <v>795</v>
      </c>
    </row>
    <row r="435" spans="1:3" x14ac:dyDescent="0.25">
      <c r="A435" s="36">
        <v>20403969886</v>
      </c>
      <c r="B435" t="s">
        <v>1065</v>
      </c>
      <c r="C435" s="35" t="s">
        <v>2341</v>
      </c>
    </row>
    <row r="436" spans="1:3" x14ac:dyDescent="0.25">
      <c r="A436" s="36">
        <v>13300179</v>
      </c>
      <c r="B436" t="s">
        <v>1066</v>
      </c>
    </row>
    <row r="437" spans="1:3" x14ac:dyDescent="0.25">
      <c r="A437" s="36">
        <v>20165157053</v>
      </c>
      <c r="B437" t="s">
        <v>1067</v>
      </c>
      <c r="C437" s="35" t="s">
        <v>795</v>
      </c>
    </row>
    <row r="438" spans="1:3" x14ac:dyDescent="0.25">
      <c r="A438" s="36">
        <v>33716792299</v>
      </c>
      <c r="B438" t="s">
        <v>1068</v>
      </c>
      <c r="C438" s="35" t="s">
        <v>910</v>
      </c>
    </row>
    <row r="439" spans="1:3" x14ac:dyDescent="0.25">
      <c r="A439" s="36">
        <v>33716792299</v>
      </c>
      <c r="B439" t="s">
        <v>1068</v>
      </c>
      <c r="C439" s="35" t="s">
        <v>910</v>
      </c>
    </row>
    <row r="440" spans="1:3" x14ac:dyDescent="0.25">
      <c r="A440" s="36">
        <v>12707412</v>
      </c>
      <c r="B440" t="s">
        <v>1069</v>
      </c>
    </row>
    <row r="441" spans="1:3" x14ac:dyDescent="0.25">
      <c r="A441" s="36">
        <v>20167634436</v>
      </c>
      <c r="B441" t="s">
        <v>1070</v>
      </c>
    </row>
    <row r="442" spans="1:3" x14ac:dyDescent="0.25">
      <c r="A442" s="36">
        <v>5290680</v>
      </c>
      <c r="B442" t="s">
        <v>1071</v>
      </c>
    </row>
    <row r="443" spans="1:3" x14ac:dyDescent="0.25">
      <c r="A443" s="36">
        <v>27239571420</v>
      </c>
      <c r="B443" t="s">
        <v>1072</v>
      </c>
    </row>
    <row r="444" spans="1:3" x14ac:dyDescent="0.25">
      <c r="A444" s="36">
        <v>20222786054</v>
      </c>
      <c r="B444" t="s">
        <v>270</v>
      </c>
    </row>
    <row r="445" spans="1:3" x14ac:dyDescent="0.25">
      <c r="A445" s="36">
        <v>24448662</v>
      </c>
      <c r="B445" t="s">
        <v>1073</v>
      </c>
    </row>
    <row r="446" spans="1:3" x14ac:dyDescent="0.25">
      <c r="A446" s="36">
        <v>30701307115</v>
      </c>
      <c r="B446" t="s">
        <v>1074</v>
      </c>
      <c r="C446" s="35" t="s">
        <v>792</v>
      </c>
    </row>
    <row r="447" spans="1:3" x14ac:dyDescent="0.25">
      <c r="A447" s="36">
        <v>20045374107</v>
      </c>
      <c r="B447" t="s">
        <v>1075</v>
      </c>
    </row>
    <row r="448" spans="1:3" x14ac:dyDescent="0.25">
      <c r="A448" s="36">
        <v>33700851279</v>
      </c>
      <c r="B448" t="s">
        <v>271</v>
      </c>
      <c r="C448" s="35" t="s">
        <v>795</v>
      </c>
    </row>
    <row r="449" spans="1:3" x14ac:dyDescent="0.25">
      <c r="A449" s="36">
        <v>20107037021</v>
      </c>
      <c r="B449" t="s">
        <v>1076</v>
      </c>
      <c r="C449" s="35" t="s">
        <v>827</v>
      </c>
    </row>
    <row r="450" spans="1:3" x14ac:dyDescent="0.25">
      <c r="A450" s="36">
        <v>20045615473</v>
      </c>
      <c r="B450" t="s">
        <v>272</v>
      </c>
      <c r="C450" s="35" t="s">
        <v>2353</v>
      </c>
    </row>
    <row r="451" spans="1:3" x14ac:dyDescent="0.25">
      <c r="A451" s="36">
        <v>20045615473</v>
      </c>
      <c r="B451" t="s">
        <v>1077</v>
      </c>
      <c r="C451" s="35" t="s">
        <v>2353</v>
      </c>
    </row>
    <row r="452" spans="1:3" x14ac:dyDescent="0.25">
      <c r="A452" s="36">
        <v>20045615473</v>
      </c>
      <c r="B452" t="s">
        <v>1077</v>
      </c>
      <c r="C452" s="35" t="s">
        <v>2353</v>
      </c>
    </row>
    <row r="453" spans="1:3" x14ac:dyDescent="0.25">
      <c r="A453" s="36">
        <v>24718530</v>
      </c>
      <c r="B453" t="s">
        <v>1078</v>
      </c>
    </row>
    <row r="454" spans="1:3" x14ac:dyDescent="0.25">
      <c r="A454" s="36">
        <v>22826036</v>
      </c>
      <c r="B454" t="s">
        <v>1079</v>
      </c>
    </row>
    <row r="455" spans="1:3" x14ac:dyDescent="0.25">
      <c r="A455" s="36">
        <v>30685849751</v>
      </c>
      <c r="B455" t="s">
        <v>273</v>
      </c>
      <c r="C455" s="35" t="s">
        <v>79</v>
      </c>
    </row>
    <row r="456" spans="1:3" x14ac:dyDescent="0.25">
      <c r="A456" s="36">
        <v>4712850</v>
      </c>
      <c r="B456" t="s">
        <v>1080</v>
      </c>
    </row>
    <row r="457" spans="1:3" x14ac:dyDescent="0.25">
      <c r="A457" s="36">
        <v>2123001</v>
      </c>
      <c r="B457" t="s">
        <v>1081</v>
      </c>
    </row>
    <row r="458" spans="1:3" x14ac:dyDescent="0.25">
      <c r="A458" s="36">
        <v>27948446168</v>
      </c>
      <c r="B458" t="s">
        <v>1082</v>
      </c>
    </row>
    <row r="459" spans="1:3" x14ac:dyDescent="0.25">
      <c r="A459" s="36">
        <v>20219935464</v>
      </c>
      <c r="B459" t="s">
        <v>1083</v>
      </c>
    </row>
    <row r="460" spans="1:3" x14ac:dyDescent="0.25">
      <c r="A460" s="36">
        <v>17172751</v>
      </c>
      <c r="B460" t="s">
        <v>1084</v>
      </c>
    </row>
    <row r="461" spans="1:3" x14ac:dyDescent="0.25">
      <c r="A461" s="36">
        <v>20271532483</v>
      </c>
      <c r="B461" t="s">
        <v>1085</v>
      </c>
      <c r="C461" s="35" t="s">
        <v>2353</v>
      </c>
    </row>
    <row r="462" spans="1:3" x14ac:dyDescent="0.25">
      <c r="A462" s="36">
        <v>20271532483</v>
      </c>
      <c r="B462" t="s">
        <v>1085</v>
      </c>
      <c r="C462" s="35" t="s">
        <v>2353</v>
      </c>
    </row>
    <row r="463" spans="1:3" x14ac:dyDescent="0.25">
      <c r="A463" s="36">
        <v>20271532483</v>
      </c>
      <c r="B463" t="s">
        <v>274</v>
      </c>
      <c r="C463" s="35" t="s">
        <v>2353</v>
      </c>
    </row>
    <row r="464" spans="1:3" x14ac:dyDescent="0.25">
      <c r="A464" s="36">
        <v>30522536748</v>
      </c>
      <c r="B464" t="s">
        <v>275</v>
      </c>
    </row>
    <row r="465" spans="1:3" x14ac:dyDescent="0.25">
      <c r="A465" s="36">
        <v>20273758063</v>
      </c>
      <c r="B465" t="s">
        <v>276</v>
      </c>
      <c r="C465" s="35" t="s">
        <v>44</v>
      </c>
    </row>
    <row r="466" spans="1:3" x14ac:dyDescent="0.25">
      <c r="A466" s="36">
        <v>20181701820</v>
      </c>
      <c r="B466" t="s">
        <v>277</v>
      </c>
    </row>
    <row r="467" spans="1:3" x14ac:dyDescent="0.25">
      <c r="A467" s="36">
        <v>30711510822</v>
      </c>
      <c r="B467" t="s">
        <v>1086</v>
      </c>
    </row>
    <row r="468" spans="1:3" x14ac:dyDescent="0.25">
      <c r="A468" s="36">
        <v>30505345793</v>
      </c>
      <c r="B468" t="s">
        <v>278</v>
      </c>
    </row>
    <row r="469" spans="1:3" x14ac:dyDescent="0.25">
      <c r="A469" s="36">
        <v>30546671549</v>
      </c>
      <c r="B469" t="s">
        <v>1087</v>
      </c>
    </row>
    <row r="470" spans="1:3" x14ac:dyDescent="0.25">
      <c r="A470" s="36">
        <v>11774749</v>
      </c>
      <c r="B470" t="s">
        <v>1088</v>
      </c>
    </row>
    <row r="471" spans="1:3" x14ac:dyDescent="0.25">
      <c r="A471" s="36">
        <v>30663011746</v>
      </c>
      <c r="B471" t="s">
        <v>279</v>
      </c>
    </row>
    <row r="472" spans="1:3" x14ac:dyDescent="0.25">
      <c r="A472" s="36">
        <v>30694549817</v>
      </c>
      <c r="B472" t="s">
        <v>280</v>
      </c>
      <c r="C472" s="35" t="s">
        <v>2353</v>
      </c>
    </row>
    <row r="473" spans="1:3" x14ac:dyDescent="0.25">
      <c r="A473" s="36">
        <v>23117702529</v>
      </c>
      <c r="B473" t="s">
        <v>281</v>
      </c>
    </row>
    <row r="474" spans="1:3" x14ac:dyDescent="0.25">
      <c r="A474" s="36">
        <v>30710374801</v>
      </c>
      <c r="B474" t="s">
        <v>1089</v>
      </c>
      <c r="C474" s="35" t="s">
        <v>910</v>
      </c>
    </row>
    <row r="475" spans="1:3" x14ac:dyDescent="0.25">
      <c r="A475" s="36">
        <v>30710374801</v>
      </c>
      <c r="B475" t="s">
        <v>1089</v>
      </c>
      <c r="C475" s="35" t="s">
        <v>910</v>
      </c>
    </row>
    <row r="476" spans="1:3" x14ac:dyDescent="0.25">
      <c r="A476" s="36">
        <v>30709410144</v>
      </c>
      <c r="B476" t="s">
        <v>282</v>
      </c>
    </row>
    <row r="477" spans="1:3" x14ac:dyDescent="0.25">
      <c r="A477" s="36">
        <v>30683009195</v>
      </c>
      <c r="B477" t="s">
        <v>283</v>
      </c>
    </row>
    <row r="478" spans="1:3" x14ac:dyDescent="0.25">
      <c r="A478" s="36">
        <v>33714212589</v>
      </c>
      <c r="B478" t="s">
        <v>284</v>
      </c>
    </row>
    <row r="479" spans="1:3" x14ac:dyDescent="0.25">
      <c r="A479" s="36">
        <v>20619063</v>
      </c>
      <c r="B479" t="s">
        <v>1090</v>
      </c>
    </row>
    <row r="480" spans="1:3" x14ac:dyDescent="0.25">
      <c r="A480" s="36">
        <v>27206941419</v>
      </c>
      <c r="B480" t="s">
        <v>285</v>
      </c>
      <c r="C480" s="35" t="s">
        <v>48</v>
      </c>
    </row>
    <row r="481" spans="1:3" x14ac:dyDescent="0.25">
      <c r="A481" s="36">
        <v>27185433736</v>
      </c>
      <c r="B481" t="s">
        <v>286</v>
      </c>
    </row>
    <row r="482" spans="1:3" x14ac:dyDescent="0.25">
      <c r="A482" s="36">
        <v>4044075</v>
      </c>
      <c r="B482" t="s">
        <v>1091</v>
      </c>
    </row>
    <row r="483" spans="1:3" x14ac:dyDescent="0.25">
      <c r="A483" s="36">
        <v>16512020</v>
      </c>
      <c r="B483" t="s">
        <v>1092</v>
      </c>
    </row>
    <row r="484" spans="1:3" x14ac:dyDescent="0.25">
      <c r="A484" s="36">
        <v>32950266</v>
      </c>
      <c r="B484" t="s">
        <v>1093</v>
      </c>
    </row>
    <row r="485" spans="1:3" x14ac:dyDescent="0.25">
      <c r="A485" s="36">
        <v>13131549</v>
      </c>
      <c r="B485" t="s">
        <v>1094</v>
      </c>
    </row>
    <row r="486" spans="1:3" x14ac:dyDescent="0.25">
      <c r="A486" s="36">
        <v>4961459</v>
      </c>
      <c r="B486" t="s">
        <v>1095</v>
      </c>
    </row>
    <row r="487" spans="1:3" x14ac:dyDescent="0.25">
      <c r="A487" s="36">
        <v>20291523626</v>
      </c>
      <c r="B487" t="s">
        <v>287</v>
      </c>
    </row>
    <row r="488" spans="1:3" x14ac:dyDescent="0.25">
      <c r="A488" s="36">
        <v>30711974268</v>
      </c>
      <c r="B488" t="s">
        <v>288</v>
      </c>
    </row>
    <row r="489" spans="1:3" x14ac:dyDescent="0.25">
      <c r="A489" s="36">
        <v>30702966066</v>
      </c>
      <c r="B489" t="s">
        <v>289</v>
      </c>
    </row>
    <row r="490" spans="1:3" x14ac:dyDescent="0.25">
      <c r="A490" s="36">
        <v>23281233084</v>
      </c>
      <c r="B490" t="s">
        <v>1096</v>
      </c>
      <c r="C490" s="35" t="s">
        <v>2349</v>
      </c>
    </row>
    <row r="491" spans="1:3" x14ac:dyDescent="0.25">
      <c r="A491" s="36">
        <v>20211398060</v>
      </c>
      <c r="B491" t="s">
        <v>1097</v>
      </c>
    </row>
    <row r="492" spans="1:3" x14ac:dyDescent="0.25">
      <c r="A492" s="36">
        <v>20110561319</v>
      </c>
      <c r="B492" t="s">
        <v>1098</v>
      </c>
    </row>
    <row r="493" spans="1:3" x14ac:dyDescent="0.25">
      <c r="A493" s="36">
        <v>17715487</v>
      </c>
      <c r="B493" t="s">
        <v>1099</v>
      </c>
    </row>
    <row r="494" spans="1:3" x14ac:dyDescent="0.25">
      <c r="A494" s="36">
        <v>27149042488</v>
      </c>
      <c r="B494" t="s">
        <v>290</v>
      </c>
    </row>
    <row r="495" spans="1:3" x14ac:dyDescent="0.25">
      <c r="A495" s="36">
        <v>30711727236</v>
      </c>
      <c r="B495" t="s">
        <v>291</v>
      </c>
      <c r="C495" s="35" t="s">
        <v>79</v>
      </c>
    </row>
    <row r="496" spans="1:3" x14ac:dyDescent="0.25">
      <c r="A496" s="36">
        <v>30707791728</v>
      </c>
      <c r="B496" t="s">
        <v>292</v>
      </c>
    </row>
    <row r="497" spans="1:3" x14ac:dyDescent="0.25">
      <c r="A497" s="36">
        <v>30714318221</v>
      </c>
      <c r="B497" t="s">
        <v>1100</v>
      </c>
    </row>
    <row r="498" spans="1:3" x14ac:dyDescent="0.25">
      <c r="A498" s="36">
        <v>30716321645</v>
      </c>
      <c r="B498" t="s">
        <v>1101</v>
      </c>
    </row>
    <row r="499" spans="1:3" x14ac:dyDescent="0.25">
      <c r="A499" s="36">
        <v>30655116202</v>
      </c>
      <c r="B499" t="s">
        <v>293</v>
      </c>
    </row>
    <row r="500" spans="1:3" x14ac:dyDescent="0.25">
      <c r="A500" s="36">
        <v>30655116512</v>
      </c>
      <c r="B500" t="s">
        <v>294</v>
      </c>
    </row>
    <row r="501" spans="1:3" x14ac:dyDescent="0.25">
      <c r="A501" s="36">
        <v>4056306</v>
      </c>
      <c r="B501" t="s">
        <v>1102</v>
      </c>
    </row>
    <row r="502" spans="1:3" x14ac:dyDescent="0.25">
      <c r="A502" s="36">
        <v>13332920</v>
      </c>
      <c r="B502" t="s">
        <v>1103</v>
      </c>
    </row>
    <row r="503" spans="1:3" x14ac:dyDescent="0.25">
      <c r="A503" s="36">
        <v>18183459</v>
      </c>
      <c r="B503" t="s">
        <v>1104</v>
      </c>
    </row>
    <row r="504" spans="1:3" x14ac:dyDescent="0.25">
      <c r="A504" s="36">
        <v>20174004146</v>
      </c>
      <c r="B504" t="s">
        <v>1105</v>
      </c>
    </row>
    <row r="505" spans="1:3" x14ac:dyDescent="0.25">
      <c r="A505" s="36">
        <v>1729093</v>
      </c>
      <c r="B505" t="s">
        <v>1106</v>
      </c>
    </row>
    <row r="506" spans="1:3" x14ac:dyDescent="0.25">
      <c r="A506" s="36">
        <v>30709919055</v>
      </c>
      <c r="B506" t="s">
        <v>1107</v>
      </c>
    </row>
    <row r="507" spans="1:3" x14ac:dyDescent="0.25">
      <c r="A507" s="36">
        <v>20045397506</v>
      </c>
      <c r="B507" t="s">
        <v>295</v>
      </c>
    </row>
    <row r="508" spans="1:3" x14ac:dyDescent="0.25">
      <c r="A508" s="36">
        <v>30500577599</v>
      </c>
      <c r="B508" t="s">
        <v>1108</v>
      </c>
    </row>
    <row r="509" spans="1:3" x14ac:dyDescent="0.25">
      <c r="A509" s="36">
        <v>30555405428</v>
      </c>
      <c r="B509" t="s">
        <v>296</v>
      </c>
    </row>
    <row r="510" spans="1:3" x14ac:dyDescent="0.25">
      <c r="A510" s="36">
        <v>30537882871</v>
      </c>
      <c r="B510" t="s">
        <v>1109</v>
      </c>
      <c r="C510" s="35" t="s">
        <v>796</v>
      </c>
    </row>
    <row r="511" spans="1:3" x14ac:dyDescent="0.25">
      <c r="A511" s="36">
        <v>30537882871</v>
      </c>
      <c r="B511" t="s">
        <v>1109</v>
      </c>
      <c r="C511" s="35" t="s">
        <v>796</v>
      </c>
    </row>
    <row r="512" spans="1:3" x14ac:dyDescent="0.25">
      <c r="A512" s="36">
        <v>30593630338</v>
      </c>
      <c r="B512" t="s">
        <v>1110</v>
      </c>
    </row>
    <row r="513" spans="1:2" x14ac:dyDescent="0.25">
      <c r="A513" s="36">
        <v>30500039430</v>
      </c>
      <c r="B513" t="s">
        <v>297</v>
      </c>
    </row>
    <row r="514" spans="1:2" x14ac:dyDescent="0.25">
      <c r="A514" s="36">
        <v>30686489325</v>
      </c>
      <c r="B514" t="s">
        <v>1111</v>
      </c>
    </row>
    <row r="515" spans="1:2" x14ac:dyDescent="0.25">
      <c r="A515" s="36">
        <v>30709363944</v>
      </c>
      <c r="B515" t="s">
        <v>298</v>
      </c>
    </row>
    <row r="516" spans="1:2" x14ac:dyDescent="0.25">
      <c r="A516" s="36">
        <v>30543659734</v>
      </c>
      <c r="B516" t="s">
        <v>299</v>
      </c>
    </row>
    <row r="517" spans="1:2" x14ac:dyDescent="0.25">
      <c r="A517" s="36">
        <v>27290073419</v>
      </c>
      <c r="B517" t="s">
        <v>300</v>
      </c>
    </row>
    <row r="518" spans="1:2" x14ac:dyDescent="0.25">
      <c r="A518" s="36">
        <v>24949646</v>
      </c>
      <c r="B518" t="s">
        <v>1112</v>
      </c>
    </row>
    <row r="519" spans="1:2" x14ac:dyDescent="0.25">
      <c r="A519" s="36">
        <v>10831006</v>
      </c>
      <c r="B519" t="s">
        <v>1113</v>
      </c>
    </row>
    <row r="520" spans="1:2" x14ac:dyDescent="0.25">
      <c r="A520" s="36">
        <v>30709641073</v>
      </c>
      <c r="B520" t="s">
        <v>301</v>
      </c>
    </row>
    <row r="521" spans="1:2" x14ac:dyDescent="0.25">
      <c r="A521" s="36">
        <v>29503630</v>
      </c>
      <c r="B521" t="s">
        <v>1114</v>
      </c>
    </row>
    <row r="522" spans="1:2" x14ac:dyDescent="0.25">
      <c r="A522" s="36">
        <v>30709131865</v>
      </c>
      <c r="B522" t="s">
        <v>302</v>
      </c>
    </row>
    <row r="523" spans="1:2" x14ac:dyDescent="0.25">
      <c r="A523" s="36">
        <v>30707397256</v>
      </c>
      <c r="B523" t="s">
        <v>303</v>
      </c>
    </row>
    <row r="524" spans="1:2" x14ac:dyDescent="0.25">
      <c r="A524" s="36">
        <v>20259499632</v>
      </c>
      <c r="B524" t="s">
        <v>1115</v>
      </c>
    </row>
    <row r="525" spans="1:2" x14ac:dyDescent="0.25">
      <c r="A525" s="36">
        <v>23136548719</v>
      </c>
      <c r="B525" t="s">
        <v>304</v>
      </c>
    </row>
    <row r="526" spans="1:2" x14ac:dyDescent="0.25">
      <c r="A526" s="36">
        <v>30517613165</v>
      </c>
      <c r="B526" t="s">
        <v>305</v>
      </c>
    </row>
    <row r="527" spans="1:2" x14ac:dyDescent="0.25">
      <c r="A527" s="36">
        <v>4186965</v>
      </c>
      <c r="B527" t="s">
        <v>1116</v>
      </c>
    </row>
    <row r="528" spans="1:2" x14ac:dyDescent="0.25">
      <c r="A528" s="36">
        <v>30588092468</v>
      </c>
      <c r="B528" t="s">
        <v>1117</v>
      </c>
    </row>
    <row r="529" spans="1:3" x14ac:dyDescent="0.25">
      <c r="A529" s="36">
        <v>3192296</v>
      </c>
      <c r="B529" t="s">
        <v>1118</v>
      </c>
    </row>
    <row r="530" spans="1:3" x14ac:dyDescent="0.25">
      <c r="A530" s="36">
        <v>30707118454</v>
      </c>
      <c r="B530" t="s">
        <v>1119</v>
      </c>
      <c r="C530" s="35" t="s">
        <v>866</v>
      </c>
    </row>
    <row r="531" spans="1:3" x14ac:dyDescent="0.25">
      <c r="A531" s="36" t="s">
        <v>1120</v>
      </c>
      <c r="B531" t="s">
        <v>1121</v>
      </c>
      <c r="C531" s="35" t="s">
        <v>866</v>
      </c>
    </row>
    <row r="532" spans="1:3" x14ac:dyDescent="0.25">
      <c r="A532" s="36">
        <v>30709368067</v>
      </c>
      <c r="B532" t="s">
        <v>306</v>
      </c>
    </row>
    <row r="533" spans="1:3" x14ac:dyDescent="0.25">
      <c r="A533" s="36">
        <v>30614104712</v>
      </c>
      <c r="B533" t="s">
        <v>307</v>
      </c>
    </row>
    <row r="534" spans="1:3" x14ac:dyDescent="0.25">
      <c r="A534" s="36">
        <v>81377</v>
      </c>
      <c r="B534" t="s">
        <v>1122</v>
      </c>
    </row>
    <row r="535" spans="1:3" x14ac:dyDescent="0.25">
      <c r="A535" s="36">
        <v>30711861552</v>
      </c>
      <c r="B535" t="s">
        <v>308</v>
      </c>
    </row>
    <row r="536" spans="1:3" x14ac:dyDescent="0.25">
      <c r="A536" s="36">
        <v>33714662819</v>
      </c>
      <c r="B536" t="s">
        <v>309</v>
      </c>
    </row>
    <row r="537" spans="1:3" x14ac:dyDescent="0.25">
      <c r="A537" s="36">
        <v>846800</v>
      </c>
      <c r="B537" t="s">
        <v>1123</v>
      </c>
    </row>
    <row r="538" spans="1:3" x14ac:dyDescent="0.25">
      <c r="A538" s="36">
        <v>13566863</v>
      </c>
      <c r="B538" t="s">
        <v>1124</v>
      </c>
    </row>
    <row r="539" spans="1:3" x14ac:dyDescent="0.25">
      <c r="A539" s="36">
        <v>4130181</v>
      </c>
      <c r="B539" t="s">
        <v>1125</v>
      </c>
    </row>
    <row r="540" spans="1:3" x14ac:dyDescent="0.25">
      <c r="A540" s="36">
        <v>33502734259</v>
      </c>
      <c r="B540" t="s">
        <v>310</v>
      </c>
    </row>
    <row r="541" spans="1:3" x14ac:dyDescent="0.25">
      <c r="A541" s="36">
        <v>27113232159</v>
      </c>
      <c r="B541" t="s">
        <v>1126</v>
      </c>
    </row>
    <row r="542" spans="1:3" x14ac:dyDescent="0.25">
      <c r="A542" s="36">
        <v>30503255533</v>
      </c>
      <c r="B542" t="s">
        <v>311</v>
      </c>
    </row>
    <row r="543" spans="1:3" x14ac:dyDescent="0.25">
      <c r="A543" s="36">
        <v>4108609</v>
      </c>
      <c r="B543" t="s">
        <v>1127</v>
      </c>
    </row>
    <row r="544" spans="1:3" x14ac:dyDescent="0.25">
      <c r="A544" s="36">
        <v>3604397</v>
      </c>
      <c r="B544" t="s">
        <v>1128</v>
      </c>
    </row>
    <row r="545" spans="1:3" x14ac:dyDescent="0.25">
      <c r="A545" s="36">
        <v>20140958213</v>
      </c>
      <c r="B545" t="s">
        <v>312</v>
      </c>
      <c r="C545" s="35" t="s">
        <v>2353</v>
      </c>
    </row>
    <row r="546" spans="1:3" x14ac:dyDescent="0.25">
      <c r="A546" s="36">
        <v>4932977</v>
      </c>
      <c r="B546" t="s">
        <v>1129</v>
      </c>
    </row>
    <row r="547" spans="1:3" x14ac:dyDescent="0.25">
      <c r="A547" s="36">
        <v>30659276964</v>
      </c>
      <c r="B547" t="s">
        <v>313</v>
      </c>
    </row>
    <row r="548" spans="1:3" x14ac:dyDescent="0.25">
      <c r="A548" s="36">
        <v>24907435</v>
      </c>
      <c r="B548" t="s">
        <v>1130</v>
      </c>
    </row>
    <row r="549" spans="1:3" x14ac:dyDescent="0.25">
      <c r="A549" s="36">
        <v>20333309433</v>
      </c>
      <c r="B549" t="s">
        <v>314</v>
      </c>
    </row>
    <row r="550" spans="1:3" x14ac:dyDescent="0.25">
      <c r="A550" s="36">
        <v>27134817858</v>
      </c>
      <c r="B550" t="s">
        <v>315</v>
      </c>
    </row>
    <row r="551" spans="1:3" x14ac:dyDescent="0.25">
      <c r="A551" s="36">
        <v>27134817856</v>
      </c>
      <c r="B551" t="s">
        <v>315</v>
      </c>
    </row>
    <row r="552" spans="1:3" x14ac:dyDescent="0.25">
      <c r="A552" s="36">
        <v>30709440515</v>
      </c>
      <c r="B552" t="s">
        <v>316</v>
      </c>
    </row>
    <row r="553" spans="1:3" x14ac:dyDescent="0.25">
      <c r="A553" s="36">
        <v>33649668029</v>
      </c>
      <c r="B553" t="s">
        <v>1131</v>
      </c>
    </row>
    <row r="554" spans="1:3" x14ac:dyDescent="0.25">
      <c r="A554" s="36">
        <v>30715537512</v>
      </c>
      <c r="B554" t="s">
        <v>1132</v>
      </c>
    </row>
    <row r="555" spans="1:3" x14ac:dyDescent="0.25">
      <c r="A555" s="36">
        <v>30537679855</v>
      </c>
      <c r="B555" t="s">
        <v>1133</v>
      </c>
      <c r="C555" s="35" t="s">
        <v>44</v>
      </c>
    </row>
    <row r="556" spans="1:3" x14ac:dyDescent="0.25">
      <c r="A556" s="36">
        <v>20075959134</v>
      </c>
      <c r="B556" t="s">
        <v>317</v>
      </c>
    </row>
    <row r="557" spans="1:3" x14ac:dyDescent="0.25">
      <c r="A557" s="36">
        <v>20086277523</v>
      </c>
      <c r="B557" t="s">
        <v>94</v>
      </c>
      <c r="C557" s="35" t="s">
        <v>48</v>
      </c>
    </row>
    <row r="558" spans="1:3" x14ac:dyDescent="0.25">
      <c r="A558" s="36">
        <v>3014919</v>
      </c>
      <c r="B558" t="s">
        <v>1134</v>
      </c>
    </row>
    <row r="559" spans="1:3" x14ac:dyDescent="0.25">
      <c r="A559" s="36">
        <v>30716109158</v>
      </c>
      <c r="B559" t="s">
        <v>318</v>
      </c>
    </row>
    <row r="560" spans="1:3" x14ac:dyDescent="0.25">
      <c r="A560" s="36">
        <v>33714956049</v>
      </c>
      <c r="B560" t="s">
        <v>319</v>
      </c>
    </row>
    <row r="561" spans="1:3" x14ac:dyDescent="0.25">
      <c r="A561" s="36">
        <v>33715711589</v>
      </c>
      <c r="B561" t="s">
        <v>1135</v>
      </c>
    </row>
    <row r="562" spans="1:3" x14ac:dyDescent="0.25">
      <c r="A562" s="36">
        <v>30568649598</v>
      </c>
      <c r="B562" t="s">
        <v>1136</v>
      </c>
    </row>
    <row r="563" spans="1:3" x14ac:dyDescent="0.25">
      <c r="A563" s="36">
        <v>30526582884</v>
      </c>
      <c r="B563" t="s">
        <v>320</v>
      </c>
      <c r="C563" s="35" t="s">
        <v>792</v>
      </c>
    </row>
    <row r="564" spans="1:3" x14ac:dyDescent="0.25">
      <c r="A564" s="36">
        <v>30714435708</v>
      </c>
      <c r="B564" t="s">
        <v>1137</v>
      </c>
    </row>
    <row r="565" spans="1:3" x14ac:dyDescent="0.25">
      <c r="A565" s="36">
        <v>30708007761</v>
      </c>
      <c r="B565" t="s">
        <v>321</v>
      </c>
    </row>
    <row r="566" spans="1:3" x14ac:dyDescent="0.25">
      <c r="A566" s="36">
        <v>30715869663</v>
      </c>
      <c r="B566" t="s">
        <v>1138</v>
      </c>
      <c r="C566" s="35" t="s">
        <v>2341</v>
      </c>
    </row>
    <row r="567" spans="1:3" x14ac:dyDescent="0.25">
      <c r="A567" s="36">
        <v>30709001554</v>
      </c>
      <c r="B567" t="s">
        <v>322</v>
      </c>
    </row>
    <row r="568" spans="1:3" x14ac:dyDescent="0.25">
      <c r="A568" s="36">
        <v>30715980807</v>
      </c>
      <c r="B568" t="s">
        <v>1139</v>
      </c>
      <c r="C568" s="35" t="s">
        <v>2352</v>
      </c>
    </row>
    <row r="569" spans="1:3" x14ac:dyDescent="0.25">
      <c r="A569" s="36">
        <v>30715980807</v>
      </c>
      <c r="B569" t="s">
        <v>1139</v>
      </c>
      <c r="C569" s="35" t="s">
        <v>2352</v>
      </c>
    </row>
    <row r="570" spans="1:3" x14ac:dyDescent="0.25">
      <c r="A570" s="36">
        <v>30715980807</v>
      </c>
      <c r="B570" t="s">
        <v>1139</v>
      </c>
      <c r="C570" s="35" t="s">
        <v>2352</v>
      </c>
    </row>
    <row r="571" spans="1:3" x14ac:dyDescent="0.25">
      <c r="A571" s="36">
        <v>30715980807</v>
      </c>
      <c r="B571" t="s">
        <v>323</v>
      </c>
      <c r="C571" s="35" t="s">
        <v>2352</v>
      </c>
    </row>
    <row r="572" spans="1:3" x14ac:dyDescent="0.25">
      <c r="A572" s="36">
        <v>30502443719</v>
      </c>
      <c r="B572" t="s">
        <v>324</v>
      </c>
    </row>
    <row r="573" spans="1:3" x14ac:dyDescent="0.25">
      <c r="A573" s="36">
        <v>30655725829</v>
      </c>
      <c r="B573" t="s">
        <v>325</v>
      </c>
    </row>
    <row r="574" spans="1:3" x14ac:dyDescent="0.25">
      <c r="A574" s="36">
        <v>120815356</v>
      </c>
      <c r="B574" t="s">
        <v>1140</v>
      </c>
    </row>
    <row r="575" spans="1:3" x14ac:dyDescent="0.25">
      <c r="A575" s="36">
        <v>12009225</v>
      </c>
      <c r="B575" t="s">
        <v>1141</v>
      </c>
    </row>
    <row r="576" spans="1:3" x14ac:dyDescent="0.25">
      <c r="A576" s="36">
        <v>16226364</v>
      </c>
      <c r="B576" t="s">
        <v>1142</v>
      </c>
    </row>
    <row r="577" spans="1:3" x14ac:dyDescent="0.25">
      <c r="A577" s="36">
        <v>12892269</v>
      </c>
      <c r="B577" t="s">
        <v>1143</v>
      </c>
    </row>
    <row r="578" spans="1:3" x14ac:dyDescent="0.25">
      <c r="A578" s="36">
        <v>30692138747</v>
      </c>
      <c r="B578" t="s">
        <v>1144</v>
      </c>
      <c r="C578" s="35" t="s">
        <v>2341</v>
      </c>
    </row>
    <row r="579" spans="1:3" x14ac:dyDescent="0.25">
      <c r="A579" s="36">
        <v>30517914874</v>
      </c>
      <c r="B579" t="s">
        <v>326</v>
      </c>
    </row>
    <row r="580" spans="1:3" x14ac:dyDescent="0.25">
      <c r="A580" s="36">
        <v>33712234429</v>
      </c>
      <c r="B580" t="s">
        <v>1145</v>
      </c>
    </row>
    <row r="581" spans="1:3" x14ac:dyDescent="0.25">
      <c r="A581" s="36">
        <v>33707366589</v>
      </c>
      <c r="B581" t="s">
        <v>327</v>
      </c>
    </row>
    <row r="582" spans="1:3" x14ac:dyDescent="0.25">
      <c r="A582" s="36">
        <v>30525274450</v>
      </c>
      <c r="B582" t="s">
        <v>1146</v>
      </c>
    </row>
    <row r="583" spans="1:3" x14ac:dyDescent="0.25">
      <c r="A583" s="36">
        <v>20400104094</v>
      </c>
      <c r="B583" t="s">
        <v>328</v>
      </c>
      <c r="C583" s="35" t="s">
        <v>48</v>
      </c>
    </row>
    <row r="584" spans="1:3" x14ac:dyDescent="0.25">
      <c r="A584" s="36">
        <v>20353576012</v>
      </c>
      <c r="B584" t="s">
        <v>1147</v>
      </c>
    </row>
    <row r="585" spans="1:3" x14ac:dyDescent="0.25">
      <c r="A585" s="36">
        <v>43588026</v>
      </c>
      <c r="B585" t="s">
        <v>1148</v>
      </c>
    </row>
    <row r="586" spans="1:3" x14ac:dyDescent="0.25">
      <c r="A586" s="36">
        <v>29434116</v>
      </c>
      <c r="B586" t="s">
        <v>1149</v>
      </c>
    </row>
    <row r="587" spans="1:3" x14ac:dyDescent="0.25">
      <c r="A587" s="36">
        <v>30449867</v>
      </c>
      <c r="B587" t="s">
        <v>1150</v>
      </c>
    </row>
    <row r="588" spans="1:3" x14ac:dyDescent="0.25">
      <c r="A588" s="36">
        <v>25433122</v>
      </c>
      <c r="B588" t="s">
        <v>1151</v>
      </c>
    </row>
    <row r="589" spans="1:3" x14ac:dyDescent="0.25">
      <c r="A589" s="36">
        <v>35325974</v>
      </c>
      <c r="B589" t="s">
        <v>1152</v>
      </c>
    </row>
    <row r="590" spans="1:3" x14ac:dyDescent="0.25">
      <c r="A590" s="36">
        <v>17431535</v>
      </c>
      <c r="B590" t="s">
        <v>1153</v>
      </c>
    </row>
    <row r="591" spans="1:3" x14ac:dyDescent="0.25">
      <c r="A591" s="36">
        <v>5486519</v>
      </c>
      <c r="B591" t="s">
        <v>1154</v>
      </c>
    </row>
    <row r="592" spans="1:3" x14ac:dyDescent="0.25">
      <c r="A592" s="36">
        <v>94181432</v>
      </c>
      <c r="B592" t="s">
        <v>1155</v>
      </c>
    </row>
    <row r="593" spans="1:2" x14ac:dyDescent="0.25">
      <c r="A593" s="36">
        <v>20343766441</v>
      </c>
      <c r="B593" t="s">
        <v>1156</v>
      </c>
    </row>
    <row r="594" spans="1:2" x14ac:dyDescent="0.25">
      <c r="A594" s="36">
        <v>20317075430</v>
      </c>
      <c r="B594" t="s">
        <v>329</v>
      </c>
    </row>
    <row r="595" spans="1:2" x14ac:dyDescent="0.25">
      <c r="A595" s="36">
        <v>27086641</v>
      </c>
      <c r="B595" t="s">
        <v>1157</v>
      </c>
    </row>
    <row r="596" spans="1:2" x14ac:dyDescent="0.25">
      <c r="A596" s="36">
        <v>13811838</v>
      </c>
      <c r="B596" t="s">
        <v>1158</v>
      </c>
    </row>
    <row r="597" spans="1:2" x14ac:dyDescent="0.25">
      <c r="A597" s="36">
        <v>41470240</v>
      </c>
      <c r="B597" t="s">
        <v>1159</v>
      </c>
    </row>
    <row r="598" spans="1:2" x14ac:dyDescent="0.25">
      <c r="A598" s="36">
        <v>27182049781</v>
      </c>
      <c r="B598" t="s">
        <v>1160</v>
      </c>
    </row>
    <row r="599" spans="1:2" x14ac:dyDescent="0.25">
      <c r="A599" s="36">
        <v>21000158</v>
      </c>
      <c r="B599" t="s">
        <v>1161</v>
      </c>
    </row>
    <row r="600" spans="1:2" x14ac:dyDescent="0.25">
      <c r="A600" s="36">
        <v>41834651</v>
      </c>
      <c r="B600" t="s">
        <v>1162</v>
      </c>
    </row>
    <row r="601" spans="1:2" x14ac:dyDescent="0.25">
      <c r="A601" s="36">
        <v>4737409</v>
      </c>
      <c r="B601" t="s">
        <v>1163</v>
      </c>
    </row>
    <row r="602" spans="1:2" x14ac:dyDescent="0.25">
      <c r="A602" s="36">
        <v>17855620</v>
      </c>
      <c r="B602" t="s">
        <v>1164</v>
      </c>
    </row>
    <row r="603" spans="1:2" x14ac:dyDescent="0.25">
      <c r="A603" s="36">
        <v>30712231595</v>
      </c>
      <c r="B603" t="s">
        <v>330</v>
      </c>
    </row>
    <row r="604" spans="1:2" x14ac:dyDescent="0.25">
      <c r="A604" s="36">
        <v>20173651172</v>
      </c>
      <c r="B604" t="s">
        <v>331</v>
      </c>
    </row>
    <row r="605" spans="1:2" x14ac:dyDescent="0.25">
      <c r="A605" s="36">
        <v>30661667822</v>
      </c>
      <c r="B605" t="s">
        <v>332</v>
      </c>
    </row>
    <row r="606" spans="1:2" x14ac:dyDescent="0.25">
      <c r="A606" s="36">
        <v>20270865780</v>
      </c>
      <c r="B606" t="s">
        <v>1165</v>
      </c>
    </row>
    <row r="607" spans="1:2" x14ac:dyDescent="0.25">
      <c r="A607" s="36">
        <v>30676642230</v>
      </c>
      <c r="B607" t="s">
        <v>1166</v>
      </c>
    </row>
    <row r="608" spans="1:2" x14ac:dyDescent="0.25">
      <c r="A608" s="36">
        <v>30540918364</v>
      </c>
      <c r="B608" t="s">
        <v>333</v>
      </c>
    </row>
    <row r="609" spans="1:2" x14ac:dyDescent="0.25">
      <c r="A609" s="36">
        <v>30709453293</v>
      </c>
      <c r="B609" t="s">
        <v>1167</v>
      </c>
    </row>
    <row r="610" spans="1:2" x14ac:dyDescent="0.25">
      <c r="A610" s="36">
        <v>30709453293</v>
      </c>
      <c r="B610" t="s">
        <v>1167</v>
      </c>
    </row>
    <row r="611" spans="1:2" x14ac:dyDescent="0.25">
      <c r="A611" s="36">
        <v>20082650424</v>
      </c>
      <c r="B611" t="s">
        <v>334</v>
      </c>
    </row>
    <row r="612" spans="1:2" x14ac:dyDescent="0.25">
      <c r="A612" s="36">
        <v>30716243946</v>
      </c>
      <c r="B612" t="s">
        <v>335</v>
      </c>
    </row>
    <row r="613" spans="1:2" x14ac:dyDescent="0.25">
      <c r="A613" s="36">
        <v>17400630</v>
      </c>
      <c r="B613" t="s">
        <v>1168</v>
      </c>
    </row>
    <row r="614" spans="1:2" x14ac:dyDescent="0.25">
      <c r="A614" s="36">
        <v>48492773</v>
      </c>
      <c r="B614" t="s">
        <v>1169</v>
      </c>
    </row>
    <row r="615" spans="1:2" x14ac:dyDescent="0.25">
      <c r="A615" s="36">
        <v>4849273</v>
      </c>
      <c r="B615" t="s">
        <v>1170</v>
      </c>
    </row>
    <row r="616" spans="1:2" x14ac:dyDescent="0.25">
      <c r="A616" s="36">
        <v>30709453293</v>
      </c>
      <c r="B616" t="s">
        <v>336</v>
      </c>
    </row>
    <row r="617" spans="1:2" x14ac:dyDescent="0.25">
      <c r="A617" s="36">
        <v>30525341263</v>
      </c>
      <c r="B617" t="s">
        <v>337</v>
      </c>
    </row>
    <row r="618" spans="1:2" x14ac:dyDescent="0.25">
      <c r="A618" s="36">
        <v>4447424</v>
      </c>
      <c r="B618" t="s">
        <v>1171</v>
      </c>
    </row>
    <row r="619" spans="1:2" x14ac:dyDescent="0.25">
      <c r="A619" s="36">
        <v>33707529879</v>
      </c>
      <c r="B619" t="s">
        <v>338</v>
      </c>
    </row>
    <row r="620" spans="1:2" x14ac:dyDescent="0.25">
      <c r="A620" s="36">
        <v>44691226</v>
      </c>
      <c r="B620" t="s">
        <v>1172</v>
      </c>
    </row>
    <row r="621" spans="1:2" x14ac:dyDescent="0.25">
      <c r="A621" s="36">
        <v>36873511</v>
      </c>
      <c r="B621" t="s">
        <v>1173</v>
      </c>
    </row>
    <row r="622" spans="1:2" x14ac:dyDescent="0.25">
      <c r="A622" s="36">
        <v>20111225304</v>
      </c>
      <c r="B622" t="s">
        <v>339</v>
      </c>
    </row>
    <row r="623" spans="1:2" x14ac:dyDescent="0.25">
      <c r="A623" s="36">
        <v>30714690554</v>
      </c>
      <c r="B623" t="s">
        <v>1174</v>
      </c>
    </row>
    <row r="624" spans="1:2" x14ac:dyDescent="0.25">
      <c r="A624" s="36">
        <v>30516348727</v>
      </c>
      <c r="B624" t="s">
        <v>340</v>
      </c>
    </row>
    <row r="625" spans="1:2" x14ac:dyDescent="0.25">
      <c r="A625" s="36">
        <v>12892592</v>
      </c>
      <c r="B625" t="s">
        <v>1175</v>
      </c>
    </row>
    <row r="626" spans="1:2" x14ac:dyDescent="0.25">
      <c r="A626" s="36">
        <v>34837613</v>
      </c>
      <c r="B626" t="s">
        <v>1176</v>
      </c>
    </row>
    <row r="627" spans="1:2" x14ac:dyDescent="0.25">
      <c r="A627" s="36">
        <v>42743514</v>
      </c>
      <c r="B627" t="s">
        <v>1177</v>
      </c>
    </row>
    <row r="628" spans="1:2" x14ac:dyDescent="0.25">
      <c r="A628" s="36">
        <v>6554208</v>
      </c>
      <c r="B628" t="s">
        <v>1178</v>
      </c>
    </row>
    <row r="629" spans="1:2" x14ac:dyDescent="0.25">
      <c r="A629" s="36">
        <v>30705466021</v>
      </c>
      <c r="B629" t="s">
        <v>1179</v>
      </c>
    </row>
    <row r="630" spans="1:2" x14ac:dyDescent="0.25">
      <c r="A630" s="36">
        <v>11988306</v>
      </c>
      <c r="B630" t="s">
        <v>1180</v>
      </c>
    </row>
    <row r="631" spans="1:2" x14ac:dyDescent="0.25">
      <c r="A631" s="36">
        <v>23231017879</v>
      </c>
      <c r="B631" t="s">
        <v>1181</v>
      </c>
    </row>
    <row r="632" spans="1:2" x14ac:dyDescent="0.25">
      <c r="A632" s="36">
        <v>27301358852</v>
      </c>
      <c r="B632" t="s">
        <v>1182</v>
      </c>
    </row>
    <row r="633" spans="1:2" x14ac:dyDescent="0.25">
      <c r="A633" s="36">
        <v>93281970</v>
      </c>
      <c r="B633" t="s">
        <v>1183</v>
      </c>
    </row>
    <row r="634" spans="1:2" x14ac:dyDescent="0.25">
      <c r="A634" s="36">
        <v>3756612</v>
      </c>
      <c r="B634" t="s">
        <v>1184</v>
      </c>
    </row>
    <row r="635" spans="1:2" x14ac:dyDescent="0.25">
      <c r="A635" s="36">
        <v>30695097596</v>
      </c>
      <c r="B635" t="s">
        <v>341</v>
      </c>
    </row>
    <row r="636" spans="1:2" x14ac:dyDescent="0.25">
      <c r="A636" s="36">
        <v>30708363126</v>
      </c>
      <c r="B636" t="s">
        <v>342</v>
      </c>
    </row>
    <row r="637" spans="1:2" x14ac:dyDescent="0.25">
      <c r="A637" s="36">
        <v>30711166927</v>
      </c>
      <c r="B637" t="s">
        <v>343</v>
      </c>
    </row>
    <row r="638" spans="1:2" x14ac:dyDescent="0.25">
      <c r="A638" s="36">
        <v>20934275218</v>
      </c>
      <c r="B638" t="s">
        <v>344</v>
      </c>
    </row>
    <row r="639" spans="1:2" x14ac:dyDescent="0.25">
      <c r="A639" s="36">
        <v>32983309</v>
      </c>
      <c r="B639" t="s">
        <v>1185</v>
      </c>
    </row>
    <row r="640" spans="1:2" x14ac:dyDescent="0.25">
      <c r="A640" s="36">
        <v>30716041391</v>
      </c>
      <c r="B640" t="s">
        <v>1186</v>
      </c>
    </row>
    <row r="641" spans="1:3" x14ac:dyDescent="0.25">
      <c r="A641" s="36">
        <v>33714230129</v>
      </c>
      <c r="B641" t="s">
        <v>345</v>
      </c>
    </row>
    <row r="642" spans="1:3" x14ac:dyDescent="0.25">
      <c r="A642" s="36">
        <v>27018493190</v>
      </c>
      <c r="B642" t="s">
        <v>1187</v>
      </c>
    </row>
    <row r="643" spans="1:3" x14ac:dyDescent="0.25">
      <c r="A643" s="36" t="s">
        <v>1188</v>
      </c>
      <c r="B643" t="s">
        <v>1189</v>
      </c>
      <c r="C643" s="35" t="s">
        <v>2341</v>
      </c>
    </row>
    <row r="644" spans="1:3" x14ac:dyDescent="0.25">
      <c r="A644" s="36">
        <v>30710657250</v>
      </c>
      <c r="B644" t="s">
        <v>1190</v>
      </c>
      <c r="C644" s="35" t="s">
        <v>2341</v>
      </c>
    </row>
    <row r="645" spans="1:3" x14ac:dyDescent="0.25">
      <c r="A645" s="36">
        <v>30526874249</v>
      </c>
      <c r="B645" t="s">
        <v>346</v>
      </c>
      <c r="C645" s="35" t="s">
        <v>2341</v>
      </c>
    </row>
    <row r="646" spans="1:3" x14ac:dyDescent="0.25">
      <c r="A646" s="36">
        <v>16288441</v>
      </c>
      <c r="B646" t="s">
        <v>1191</v>
      </c>
    </row>
    <row r="647" spans="1:3" x14ac:dyDescent="0.25">
      <c r="A647" s="36">
        <v>4628646</v>
      </c>
      <c r="B647" t="s">
        <v>1192</v>
      </c>
    </row>
    <row r="648" spans="1:3" x14ac:dyDescent="0.25">
      <c r="A648" s="36">
        <v>11342845</v>
      </c>
      <c r="B648" t="s">
        <v>1193</v>
      </c>
    </row>
    <row r="649" spans="1:3" x14ac:dyDescent="0.25">
      <c r="A649" s="36">
        <v>30711491801</v>
      </c>
      <c r="B649" t="s">
        <v>347</v>
      </c>
    </row>
    <row r="650" spans="1:3" x14ac:dyDescent="0.25">
      <c r="A650" s="36">
        <v>30657418877</v>
      </c>
      <c r="B650" t="s">
        <v>348</v>
      </c>
    </row>
    <row r="651" spans="1:3" x14ac:dyDescent="0.25">
      <c r="A651" s="36">
        <v>30657418877</v>
      </c>
      <c r="B651" t="s">
        <v>1194</v>
      </c>
    </row>
    <row r="652" spans="1:3" x14ac:dyDescent="0.25">
      <c r="A652" s="36">
        <v>30657418877</v>
      </c>
      <c r="B652" t="s">
        <v>1194</v>
      </c>
    </row>
    <row r="653" spans="1:3" x14ac:dyDescent="0.25">
      <c r="A653" s="36" t="s">
        <v>1195</v>
      </c>
      <c r="B653" t="s">
        <v>1196</v>
      </c>
    </row>
    <row r="654" spans="1:3" x14ac:dyDescent="0.25">
      <c r="A654" s="36">
        <v>30708049928</v>
      </c>
      <c r="B654" t="s">
        <v>1197</v>
      </c>
    </row>
    <row r="655" spans="1:3" x14ac:dyDescent="0.25">
      <c r="A655" s="36">
        <v>33711134609</v>
      </c>
      <c r="B655" t="s">
        <v>1198</v>
      </c>
    </row>
    <row r="656" spans="1:3" x14ac:dyDescent="0.25">
      <c r="A656" s="36">
        <v>30535302606</v>
      </c>
      <c r="B656" t="s">
        <v>349</v>
      </c>
    </row>
    <row r="657" spans="1:3" x14ac:dyDescent="0.25">
      <c r="A657" s="36">
        <v>11455152</v>
      </c>
      <c r="B657" t="s">
        <v>1199</v>
      </c>
    </row>
    <row r="658" spans="1:3" x14ac:dyDescent="0.25">
      <c r="A658" s="36">
        <v>24671442</v>
      </c>
      <c r="B658" t="s">
        <v>1200</v>
      </c>
    </row>
    <row r="659" spans="1:3" x14ac:dyDescent="0.25">
      <c r="A659" s="36">
        <v>20284183534</v>
      </c>
      <c r="B659" t="s">
        <v>1201</v>
      </c>
      <c r="C659" s="35" t="s">
        <v>2350</v>
      </c>
    </row>
    <row r="660" spans="1:3" x14ac:dyDescent="0.25">
      <c r="A660" s="36">
        <v>20115545397</v>
      </c>
      <c r="B660" t="s">
        <v>1202</v>
      </c>
    </row>
    <row r="661" spans="1:3" x14ac:dyDescent="0.25">
      <c r="A661" s="36">
        <v>20115545397</v>
      </c>
      <c r="B661" t="s">
        <v>1202</v>
      </c>
    </row>
    <row r="662" spans="1:3" x14ac:dyDescent="0.25">
      <c r="A662" s="36">
        <v>23103614</v>
      </c>
      <c r="B662" t="s">
        <v>1203</v>
      </c>
    </row>
    <row r="663" spans="1:3" x14ac:dyDescent="0.25">
      <c r="A663" s="36">
        <v>33556360109</v>
      </c>
      <c r="B663" t="s">
        <v>1204</v>
      </c>
    </row>
    <row r="664" spans="1:3" x14ac:dyDescent="0.25">
      <c r="A664" s="36">
        <v>30500987878</v>
      </c>
      <c r="B664" t="s">
        <v>350</v>
      </c>
    </row>
    <row r="665" spans="1:3" x14ac:dyDescent="0.25">
      <c r="A665" s="36">
        <v>23920485979</v>
      </c>
      <c r="B665" t="s">
        <v>95</v>
      </c>
    </row>
    <row r="666" spans="1:3" x14ac:dyDescent="0.25">
      <c r="A666" s="36">
        <v>26542077</v>
      </c>
      <c r="B666" t="s">
        <v>1205</v>
      </c>
    </row>
    <row r="667" spans="1:3" x14ac:dyDescent="0.25">
      <c r="A667" s="36">
        <v>30699695242</v>
      </c>
      <c r="B667" t="s">
        <v>351</v>
      </c>
    </row>
    <row r="668" spans="1:3" x14ac:dyDescent="0.25">
      <c r="A668" s="36">
        <v>27242941301</v>
      </c>
      <c r="B668" t="s">
        <v>1206</v>
      </c>
    </row>
    <row r="669" spans="1:3" x14ac:dyDescent="0.25">
      <c r="A669" s="36">
        <v>30698914277</v>
      </c>
      <c r="B669" t="s">
        <v>352</v>
      </c>
    </row>
    <row r="670" spans="1:3" x14ac:dyDescent="0.25">
      <c r="A670" s="36">
        <v>27204269527</v>
      </c>
      <c r="B670" t="s">
        <v>1207</v>
      </c>
    </row>
    <row r="671" spans="1:3" x14ac:dyDescent="0.25">
      <c r="A671" s="36">
        <v>27204269527</v>
      </c>
      <c r="B671" t="s">
        <v>1207</v>
      </c>
    </row>
    <row r="672" spans="1:3" x14ac:dyDescent="0.25">
      <c r="A672" s="36">
        <v>16565991</v>
      </c>
      <c r="B672" t="s">
        <v>1208</v>
      </c>
    </row>
    <row r="673" spans="1:3" x14ac:dyDescent="0.25">
      <c r="A673" s="36">
        <v>30522428163</v>
      </c>
      <c r="B673" t="s">
        <v>1209</v>
      </c>
      <c r="C673" s="35" t="s">
        <v>866</v>
      </c>
    </row>
    <row r="674" spans="1:3" x14ac:dyDescent="0.25">
      <c r="A674" s="36" t="s">
        <v>1210</v>
      </c>
      <c r="B674" t="s">
        <v>1209</v>
      </c>
      <c r="C674" s="35" t="s">
        <v>866</v>
      </c>
    </row>
    <row r="675" spans="1:3" x14ac:dyDescent="0.25">
      <c r="A675" s="36">
        <v>30685228501</v>
      </c>
      <c r="B675" t="s">
        <v>1211</v>
      </c>
    </row>
    <row r="676" spans="1:3" x14ac:dyDescent="0.25">
      <c r="A676" s="36">
        <v>95899296</v>
      </c>
      <c r="B676" t="s">
        <v>1212</v>
      </c>
    </row>
    <row r="677" spans="1:3" x14ac:dyDescent="0.25">
      <c r="A677" s="36">
        <v>27061922984</v>
      </c>
      <c r="B677" t="s">
        <v>1213</v>
      </c>
    </row>
    <row r="678" spans="1:3" x14ac:dyDescent="0.25">
      <c r="A678" s="36">
        <v>27281609</v>
      </c>
      <c r="B678" t="s">
        <v>1214</v>
      </c>
    </row>
    <row r="679" spans="1:3" x14ac:dyDescent="0.25">
      <c r="A679" s="36">
        <v>11997640</v>
      </c>
      <c r="B679" t="s">
        <v>1215</v>
      </c>
    </row>
    <row r="680" spans="1:3" x14ac:dyDescent="0.25">
      <c r="A680" s="36">
        <v>20214688590</v>
      </c>
      <c r="B680" t="s">
        <v>353</v>
      </c>
    </row>
    <row r="681" spans="1:3" x14ac:dyDescent="0.25">
      <c r="A681" s="36">
        <v>30639782383</v>
      </c>
      <c r="B681" t="s">
        <v>354</v>
      </c>
    </row>
    <row r="682" spans="1:3" x14ac:dyDescent="0.25">
      <c r="A682" s="36">
        <v>30715567578</v>
      </c>
      <c r="B682" t="s">
        <v>1216</v>
      </c>
    </row>
    <row r="683" spans="1:3" x14ac:dyDescent="0.25">
      <c r="A683" s="36">
        <v>20174941654</v>
      </c>
      <c r="B683" t="s">
        <v>1217</v>
      </c>
    </row>
    <row r="684" spans="1:3" x14ac:dyDescent="0.25">
      <c r="A684" s="36">
        <v>30540088213</v>
      </c>
      <c r="B684" t="s">
        <v>1218</v>
      </c>
    </row>
    <row r="685" spans="1:3" x14ac:dyDescent="0.25">
      <c r="A685" s="36">
        <v>20186809565</v>
      </c>
      <c r="B685" t="s">
        <v>1219</v>
      </c>
    </row>
    <row r="686" spans="1:3" x14ac:dyDescent="0.25">
      <c r="A686" s="36">
        <v>20300503803</v>
      </c>
      <c r="B686" t="s">
        <v>1220</v>
      </c>
    </row>
    <row r="687" spans="1:3" x14ac:dyDescent="0.25">
      <c r="A687" s="36">
        <v>25795206</v>
      </c>
      <c r="B687" t="s">
        <v>1221</v>
      </c>
    </row>
    <row r="688" spans="1:3" x14ac:dyDescent="0.25">
      <c r="A688" s="36">
        <v>5298804</v>
      </c>
      <c r="B688" t="s">
        <v>1222</v>
      </c>
    </row>
    <row r="689" spans="1:2" x14ac:dyDescent="0.25">
      <c r="A689" s="36">
        <v>23472790</v>
      </c>
      <c r="B689" t="s">
        <v>1223</v>
      </c>
    </row>
    <row r="690" spans="1:2" x14ac:dyDescent="0.25">
      <c r="A690" s="36">
        <v>10088011</v>
      </c>
      <c r="B690" t="s">
        <v>1224</v>
      </c>
    </row>
    <row r="691" spans="1:2" x14ac:dyDescent="0.25">
      <c r="A691" s="36">
        <v>4877200</v>
      </c>
      <c r="B691" t="s">
        <v>1225</v>
      </c>
    </row>
    <row r="692" spans="1:2" x14ac:dyDescent="0.25">
      <c r="A692" s="36">
        <v>20101268897</v>
      </c>
      <c r="B692" t="s">
        <v>355</v>
      </c>
    </row>
    <row r="693" spans="1:2" x14ac:dyDescent="0.25">
      <c r="A693" s="36">
        <v>32593209</v>
      </c>
      <c r="B693" t="s">
        <v>1226</v>
      </c>
    </row>
    <row r="694" spans="1:2" x14ac:dyDescent="0.25">
      <c r="A694" s="36">
        <v>30594549712</v>
      </c>
      <c r="B694" t="s">
        <v>1227</v>
      </c>
    </row>
    <row r="695" spans="1:2" x14ac:dyDescent="0.25">
      <c r="A695" s="36">
        <v>23073140</v>
      </c>
      <c r="B695" t="s">
        <v>1228</v>
      </c>
    </row>
    <row r="696" spans="1:2" x14ac:dyDescent="0.25">
      <c r="A696" s="36">
        <v>30544052027</v>
      </c>
      <c r="B696" t="s">
        <v>356</v>
      </c>
    </row>
    <row r="697" spans="1:2" x14ac:dyDescent="0.25">
      <c r="A697" s="36">
        <v>30709737348</v>
      </c>
      <c r="B697" t="s">
        <v>357</v>
      </c>
    </row>
    <row r="698" spans="1:2" x14ac:dyDescent="0.25">
      <c r="A698" s="36">
        <v>30708855975</v>
      </c>
      <c r="B698" t="s">
        <v>358</v>
      </c>
    </row>
    <row r="699" spans="1:2" x14ac:dyDescent="0.25">
      <c r="A699" s="36">
        <v>20225327638</v>
      </c>
      <c r="B699" t="s">
        <v>359</v>
      </c>
    </row>
    <row r="700" spans="1:2" x14ac:dyDescent="0.25">
      <c r="A700" s="36">
        <v>30711336431</v>
      </c>
      <c r="B700" t="s">
        <v>1229</v>
      </c>
    </row>
    <row r="701" spans="1:2" x14ac:dyDescent="0.25">
      <c r="A701" s="36">
        <v>30546694263</v>
      </c>
      <c r="B701" t="s">
        <v>1230</v>
      </c>
    </row>
    <row r="702" spans="1:2" x14ac:dyDescent="0.25">
      <c r="A702" s="36">
        <v>30546694263</v>
      </c>
      <c r="B702" t="s">
        <v>360</v>
      </c>
    </row>
    <row r="703" spans="1:2" x14ac:dyDescent="0.25">
      <c r="A703" s="36">
        <v>27217642464</v>
      </c>
      <c r="B703" t="s">
        <v>361</v>
      </c>
    </row>
    <row r="704" spans="1:2" x14ac:dyDescent="0.25">
      <c r="A704" s="36">
        <v>27217642464</v>
      </c>
      <c r="B704" t="s">
        <v>361</v>
      </c>
    </row>
    <row r="705" spans="1:3" x14ac:dyDescent="0.25">
      <c r="A705" s="36">
        <v>34849727</v>
      </c>
      <c r="B705" t="s">
        <v>1231</v>
      </c>
    </row>
    <row r="706" spans="1:3" x14ac:dyDescent="0.25">
      <c r="A706" s="36">
        <v>4088050</v>
      </c>
      <c r="B706" t="s">
        <v>1232</v>
      </c>
    </row>
    <row r="707" spans="1:3" x14ac:dyDescent="0.25">
      <c r="A707" s="36">
        <v>95776656</v>
      </c>
      <c r="B707" t="s">
        <v>1233</v>
      </c>
    </row>
    <row r="708" spans="1:3" x14ac:dyDescent="0.25">
      <c r="A708" s="36">
        <v>23161244244</v>
      </c>
      <c r="B708" t="s">
        <v>1234</v>
      </c>
    </row>
    <row r="709" spans="1:3" x14ac:dyDescent="0.25">
      <c r="A709" s="36">
        <v>6044998</v>
      </c>
      <c r="B709" t="s">
        <v>1235</v>
      </c>
    </row>
    <row r="710" spans="1:3" x14ac:dyDescent="0.25">
      <c r="A710" s="36">
        <v>30711950113</v>
      </c>
      <c r="B710" t="s">
        <v>362</v>
      </c>
    </row>
    <row r="711" spans="1:3" x14ac:dyDescent="0.25">
      <c r="A711" s="36">
        <v>30711950113</v>
      </c>
      <c r="B711" t="s">
        <v>1236</v>
      </c>
    </row>
    <row r="712" spans="1:3" x14ac:dyDescent="0.25">
      <c r="A712" s="36">
        <v>30711950113</v>
      </c>
      <c r="B712" t="s">
        <v>1236</v>
      </c>
    </row>
    <row r="713" spans="1:3" x14ac:dyDescent="0.25">
      <c r="A713" s="36">
        <v>23076996989</v>
      </c>
      <c r="B713" t="s">
        <v>1237</v>
      </c>
      <c r="C713" s="35" t="s">
        <v>2353</v>
      </c>
    </row>
    <row r="714" spans="1:3" x14ac:dyDescent="0.25">
      <c r="A714" s="36">
        <v>30626885981</v>
      </c>
      <c r="B714" t="s">
        <v>363</v>
      </c>
    </row>
    <row r="715" spans="1:3" x14ac:dyDescent="0.25">
      <c r="A715" s="36">
        <v>30711069573</v>
      </c>
      <c r="B715" t="s">
        <v>364</v>
      </c>
    </row>
    <row r="716" spans="1:3" x14ac:dyDescent="0.25">
      <c r="A716" s="36">
        <v>33709997489</v>
      </c>
      <c r="B716" t="s">
        <v>1238</v>
      </c>
    </row>
    <row r="717" spans="1:3" x14ac:dyDescent="0.25">
      <c r="A717" s="36">
        <v>27187627236</v>
      </c>
      <c r="B717" t="s">
        <v>1239</v>
      </c>
    </row>
    <row r="718" spans="1:3" x14ac:dyDescent="0.25">
      <c r="A718" s="36">
        <v>92786992</v>
      </c>
      <c r="B718" t="s">
        <v>1240</v>
      </c>
    </row>
    <row r="719" spans="1:3" x14ac:dyDescent="0.25">
      <c r="A719" s="36">
        <v>20101959865</v>
      </c>
      <c r="B719" t="s">
        <v>1241</v>
      </c>
    </row>
    <row r="720" spans="1:3" x14ac:dyDescent="0.25">
      <c r="A720" s="36">
        <v>5483131</v>
      </c>
      <c r="B720" t="s">
        <v>1242</v>
      </c>
    </row>
    <row r="721" spans="1:2" x14ac:dyDescent="0.25">
      <c r="A721" s="36">
        <v>20292887648</v>
      </c>
      <c r="B721" t="s">
        <v>1243</v>
      </c>
    </row>
    <row r="722" spans="1:2" x14ac:dyDescent="0.25">
      <c r="A722" s="36">
        <v>20077028545</v>
      </c>
      <c r="B722" t="s">
        <v>1244</v>
      </c>
    </row>
    <row r="723" spans="1:2" x14ac:dyDescent="0.25">
      <c r="A723" s="36">
        <v>5878191</v>
      </c>
      <c r="B723" t="s">
        <v>1245</v>
      </c>
    </row>
    <row r="724" spans="1:2" x14ac:dyDescent="0.25">
      <c r="A724" s="36">
        <v>5878191</v>
      </c>
      <c r="B724" t="s">
        <v>1245</v>
      </c>
    </row>
    <row r="725" spans="1:2" x14ac:dyDescent="0.25">
      <c r="A725" s="36">
        <v>19048342</v>
      </c>
      <c r="B725" t="s">
        <v>1246</v>
      </c>
    </row>
    <row r="726" spans="1:2" x14ac:dyDescent="0.25">
      <c r="A726" s="36">
        <v>20361501722</v>
      </c>
      <c r="B726" t="s">
        <v>365</v>
      </c>
    </row>
    <row r="727" spans="1:2" x14ac:dyDescent="0.25">
      <c r="A727" s="36">
        <v>4410890</v>
      </c>
      <c r="B727" t="s">
        <v>1247</v>
      </c>
    </row>
    <row r="728" spans="1:2" x14ac:dyDescent="0.25">
      <c r="A728" s="36">
        <v>11870752</v>
      </c>
      <c r="B728" t="s">
        <v>1248</v>
      </c>
    </row>
    <row r="729" spans="1:2" x14ac:dyDescent="0.25">
      <c r="A729" s="36">
        <v>18375246</v>
      </c>
      <c r="B729" t="s">
        <v>1249</v>
      </c>
    </row>
    <row r="730" spans="1:2" x14ac:dyDescent="0.25">
      <c r="A730" s="36">
        <v>14590514</v>
      </c>
      <c r="B730" t="s">
        <v>1250</v>
      </c>
    </row>
    <row r="731" spans="1:2" x14ac:dyDescent="0.25">
      <c r="A731" s="36">
        <v>23920485979</v>
      </c>
      <c r="B731" t="s">
        <v>1251</v>
      </c>
    </row>
    <row r="732" spans="1:2" x14ac:dyDescent="0.25">
      <c r="A732" s="36">
        <v>23920485979</v>
      </c>
      <c r="B732" t="s">
        <v>1251</v>
      </c>
    </row>
    <row r="733" spans="1:2" x14ac:dyDescent="0.25">
      <c r="A733" s="36">
        <v>30714432865</v>
      </c>
      <c r="B733" t="s">
        <v>1252</v>
      </c>
    </row>
    <row r="734" spans="1:2" x14ac:dyDescent="0.25">
      <c r="A734" s="36">
        <v>11001524</v>
      </c>
      <c r="B734" t="s">
        <v>1253</v>
      </c>
    </row>
    <row r="735" spans="1:2" x14ac:dyDescent="0.25">
      <c r="A735" s="36">
        <v>27145905147</v>
      </c>
      <c r="B735" t="s">
        <v>1254</v>
      </c>
    </row>
    <row r="736" spans="1:2" x14ac:dyDescent="0.25">
      <c r="A736" s="36">
        <v>23258555333</v>
      </c>
      <c r="B736" t="s">
        <v>366</v>
      </c>
    </row>
    <row r="737" spans="1:2" x14ac:dyDescent="0.25">
      <c r="A737" s="36">
        <v>17801564</v>
      </c>
      <c r="B737" t="s">
        <v>1255</v>
      </c>
    </row>
    <row r="738" spans="1:2" x14ac:dyDescent="0.25">
      <c r="A738" s="36">
        <v>4231530</v>
      </c>
      <c r="B738" t="s">
        <v>1256</v>
      </c>
    </row>
    <row r="739" spans="1:2" x14ac:dyDescent="0.25">
      <c r="A739" s="36">
        <v>30715303791</v>
      </c>
      <c r="B739" t="s">
        <v>367</v>
      </c>
    </row>
    <row r="740" spans="1:2" x14ac:dyDescent="0.25">
      <c r="A740" s="36">
        <v>34513381</v>
      </c>
      <c r="B740" t="s">
        <v>1257</v>
      </c>
    </row>
    <row r="741" spans="1:2" x14ac:dyDescent="0.25">
      <c r="A741" s="36">
        <v>13314943</v>
      </c>
      <c r="B741" t="s">
        <v>1258</v>
      </c>
    </row>
    <row r="742" spans="1:2" x14ac:dyDescent="0.25">
      <c r="A742" s="36">
        <v>5289939</v>
      </c>
      <c r="B742" t="s">
        <v>1259</v>
      </c>
    </row>
    <row r="743" spans="1:2" x14ac:dyDescent="0.25">
      <c r="A743" s="36">
        <v>27365928016</v>
      </c>
      <c r="B743" t="s">
        <v>1260</v>
      </c>
    </row>
    <row r="744" spans="1:2" x14ac:dyDescent="0.25">
      <c r="A744" s="36">
        <v>3368716053.9000001</v>
      </c>
      <c r="B744" t="s">
        <v>368</v>
      </c>
    </row>
    <row r="745" spans="1:2" x14ac:dyDescent="0.25">
      <c r="A745" s="36">
        <v>33687160539</v>
      </c>
      <c r="B745" t="s">
        <v>368</v>
      </c>
    </row>
    <row r="746" spans="1:2" x14ac:dyDescent="0.25">
      <c r="A746" s="36">
        <v>20102406320</v>
      </c>
      <c r="B746" t="s">
        <v>1261</v>
      </c>
    </row>
    <row r="747" spans="1:2" x14ac:dyDescent="0.25">
      <c r="A747" s="36">
        <v>30707867325</v>
      </c>
      <c r="B747" t="s">
        <v>369</v>
      </c>
    </row>
    <row r="748" spans="1:2" x14ac:dyDescent="0.25">
      <c r="A748" s="36">
        <v>30712097600</v>
      </c>
      <c r="B748" t="s">
        <v>1262</v>
      </c>
    </row>
    <row r="749" spans="1:2" x14ac:dyDescent="0.25">
      <c r="A749" s="36">
        <v>52858040</v>
      </c>
      <c r="B749" t="s">
        <v>1263</v>
      </c>
    </row>
    <row r="750" spans="1:2" x14ac:dyDescent="0.25">
      <c r="A750" s="36">
        <v>20050719864</v>
      </c>
      <c r="B750" t="s">
        <v>370</v>
      </c>
    </row>
    <row r="751" spans="1:2" x14ac:dyDescent="0.25">
      <c r="A751" s="36">
        <v>55396478</v>
      </c>
      <c r="B751" t="s">
        <v>1264</v>
      </c>
    </row>
    <row r="752" spans="1:2" x14ac:dyDescent="0.25">
      <c r="A752" s="36">
        <v>30633217803</v>
      </c>
      <c r="B752" t="s">
        <v>371</v>
      </c>
    </row>
    <row r="753" spans="1:3" x14ac:dyDescent="0.25">
      <c r="A753" s="36">
        <v>30712776403</v>
      </c>
      <c r="B753" t="s">
        <v>372</v>
      </c>
    </row>
    <row r="754" spans="1:3" x14ac:dyDescent="0.25">
      <c r="A754" s="36">
        <v>30712778403</v>
      </c>
      <c r="B754" t="s">
        <v>373</v>
      </c>
    </row>
    <row r="755" spans="1:3" x14ac:dyDescent="0.25">
      <c r="A755" s="36">
        <v>30712778403</v>
      </c>
      <c r="B755" t="s">
        <v>373</v>
      </c>
    </row>
    <row r="756" spans="1:3" x14ac:dyDescent="0.25">
      <c r="A756" s="36">
        <v>30712778403</v>
      </c>
      <c r="B756" t="s">
        <v>373</v>
      </c>
    </row>
    <row r="757" spans="1:3" x14ac:dyDescent="0.25">
      <c r="A757" s="36">
        <v>11214579</v>
      </c>
      <c r="B757" t="s">
        <v>1265</v>
      </c>
    </row>
    <row r="758" spans="1:3" x14ac:dyDescent="0.25">
      <c r="A758" s="36">
        <v>20181426846</v>
      </c>
      <c r="B758" t="s">
        <v>1266</v>
      </c>
      <c r="C758" s="35" t="s">
        <v>2341</v>
      </c>
    </row>
    <row r="759" spans="1:3" x14ac:dyDescent="0.25">
      <c r="A759" s="36">
        <v>33695089789</v>
      </c>
      <c r="B759" t="s">
        <v>374</v>
      </c>
    </row>
    <row r="760" spans="1:3" x14ac:dyDescent="0.25">
      <c r="A760" s="36">
        <v>3771511</v>
      </c>
      <c r="B760" t="s">
        <v>1267</v>
      </c>
    </row>
    <row r="761" spans="1:3" x14ac:dyDescent="0.25">
      <c r="A761" s="36">
        <v>30663498513</v>
      </c>
      <c r="B761" t="s">
        <v>375</v>
      </c>
      <c r="C761" s="35" t="s">
        <v>875</v>
      </c>
    </row>
    <row r="762" spans="1:3" x14ac:dyDescent="0.25">
      <c r="A762" s="36">
        <v>30715775014</v>
      </c>
      <c r="B762" t="s">
        <v>376</v>
      </c>
    </row>
    <row r="763" spans="1:3" x14ac:dyDescent="0.25">
      <c r="A763" s="36">
        <v>30671637589</v>
      </c>
      <c r="B763" t="s">
        <v>1268</v>
      </c>
    </row>
    <row r="764" spans="1:3" x14ac:dyDescent="0.25">
      <c r="A764" s="36">
        <v>30671637689</v>
      </c>
      <c r="B764" t="s">
        <v>1268</v>
      </c>
    </row>
    <row r="765" spans="1:3" x14ac:dyDescent="0.25">
      <c r="A765" s="36">
        <v>30716138603</v>
      </c>
      <c r="B765" t="s">
        <v>1269</v>
      </c>
    </row>
    <row r="766" spans="1:3" x14ac:dyDescent="0.25">
      <c r="A766" s="36">
        <v>30709227161</v>
      </c>
      <c r="B766" t="s">
        <v>377</v>
      </c>
    </row>
    <row r="767" spans="1:3" x14ac:dyDescent="0.25">
      <c r="A767" s="36">
        <v>12850453</v>
      </c>
      <c r="B767" t="s">
        <v>1270</v>
      </c>
    </row>
    <row r="768" spans="1:3" x14ac:dyDescent="0.25">
      <c r="A768" s="36">
        <v>5089291</v>
      </c>
      <c r="B768" t="s">
        <v>1271</v>
      </c>
    </row>
    <row r="769" spans="1:3" x14ac:dyDescent="0.25">
      <c r="A769" s="36">
        <v>13605452</v>
      </c>
      <c r="B769" t="s">
        <v>1272</v>
      </c>
    </row>
    <row r="770" spans="1:3" x14ac:dyDescent="0.25">
      <c r="A770" s="36">
        <v>20041956748</v>
      </c>
      <c r="B770" t="s">
        <v>1273</v>
      </c>
    </row>
    <row r="771" spans="1:3" x14ac:dyDescent="0.25">
      <c r="A771" s="36">
        <v>20940658609</v>
      </c>
      <c r="B771" t="s">
        <v>378</v>
      </c>
    </row>
    <row r="772" spans="1:3" x14ac:dyDescent="0.25">
      <c r="A772" s="36">
        <v>27147827682</v>
      </c>
      <c r="B772" t="s">
        <v>1274</v>
      </c>
    </row>
    <row r="773" spans="1:3" x14ac:dyDescent="0.25">
      <c r="A773" s="36">
        <v>30541849307</v>
      </c>
      <c r="B773" t="s">
        <v>379</v>
      </c>
      <c r="C773" s="35" t="s">
        <v>44</v>
      </c>
    </row>
    <row r="774" spans="1:3" x14ac:dyDescent="0.25">
      <c r="A774" s="36">
        <v>12314042</v>
      </c>
      <c r="B774" t="s">
        <v>1275</v>
      </c>
    </row>
    <row r="775" spans="1:3" x14ac:dyDescent="0.25">
      <c r="A775" s="36">
        <v>30582876661</v>
      </c>
      <c r="B775" t="s">
        <v>380</v>
      </c>
    </row>
    <row r="776" spans="1:3" x14ac:dyDescent="0.25">
      <c r="A776" s="36">
        <v>20270084304</v>
      </c>
      <c r="B776" t="s">
        <v>381</v>
      </c>
    </row>
    <row r="777" spans="1:3" x14ac:dyDescent="0.25">
      <c r="A777" s="36">
        <v>92616076</v>
      </c>
      <c r="B777" t="s">
        <v>1276</v>
      </c>
    </row>
    <row r="778" spans="1:3" x14ac:dyDescent="0.25">
      <c r="A778" s="36">
        <v>20144078188</v>
      </c>
      <c r="B778" t="s">
        <v>382</v>
      </c>
    </row>
    <row r="779" spans="1:3" x14ac:dyDescent="0.25">
      <c r="A779" s="36">
        <v>39073501</v>
      </c>
      <c r="B779" t="s">
        <v>1277</v>
      </c>
    </row>
    <row r="780" spans="1:3" x14ac:dyDescent="0.25">
      <c r="A780" s="36">
        <v>20108381508</v>
      </c>
      <c r="B780" t="s">
        <v>383</v>
      </c>
    </row>
    <row r="781" spans="1:3" x14ac:dyDescent="0.25">
      <c r="A781" s="36">
        <v>43917412</v>
      </c>
      <c r="B781" t="s">
        <v>1278</v>
      </c>
    </row>
    <row r="782" spans="1:3" x14ac:dyDescent="0.25">
      <c r="A782" s="36">
        <v>30715210904</v>
      </c>
      <c r="B782" t="s">
        <v>1279</v>
      </c>
    </row>
    <row r="783" spans="1:3" x14ac:dyDescent="0.25">
      <c r="A783" s="36">
        <v>20253264390</v>
      </c>
      <c r="B783" t="s">
        <v>384</v>
      </c>
    </row>
    <row r="784" spans="1:3" x14ac:dyDescent="0.25">
      <c r="A784" s="36">
        <v>48383787</v>
      </c>
      <c r="B784" t="s">
        <v>1280</v>
      </c>
    </row>
    <row r="785" spans="1:3" x14ac:dyDescent="0.25">
      <c r="A785" s="36">
        <v>30570945285</v>
      </c>
      <c r="B785" t="s">
        <v>385</v>
      </c>
    </row>
    <row r="786" spans="1:3" x14ac:dyDescent="0.25">
      <c r="A786" s="36">
        <v>2721495</v>
      </c>
      <c r="B786" t="s">
        <v>1281</v>
      </c>
    </row>
    <row r="787" spans="1:3" x14ac:dyDescent="0.25">
      <c r="A787" s="36">
        <v>5115441</v>
      </c>
      <c r="B787" t="s">
        <v>1282</v>
      </c>
    </row>
    <row r="788" spans="1:3" x14ac:dyDescent="0.25">
      <c r="A788" s="36">
        <v>2907628</v>
      </c>
      <c r="B788" t="s">
        <v>1283</v>
      </c>
    </row>
    <row r="789" spans="1:3" x14ac:dyDescent="0.25">
      <c r="A789" s="36">
        <v>3784360</v>
      </c>
      <c r="B789" t="s">
        <v>1284</v>
      </c>
    </row>
    <row r="790" spans="1:3" x14ac:dyDescent="0.25">
      <c r="A790" s="36" t="s">
        <v>1285</v>
      </c>
      <c r="B790" t="s">
        <v>1286</v>
      </c>
    </row>
    <row r="791" spans="1:3" x14ac:dyDescent="0.25">
      <c r="A791" s="36">
        <v>30710538014</v>
      </c>
      <c r="B791" t="s">
        <v>1287</v>
      </c>
    </row>
    <row r="792" spans="1:3" x14ac:dyDescent="0.25">
      <c r="A792" s="36">
        <v>18101907</v>
      </c>
      <c r="B792" t="s">
        <v>1288</v>
      </c>
    </row>
    <row r="793" spans="1:3" x14ac:dyDescent="0.25">
      <c r="A793" s="36">
        <v>93645379</v>
      </c>
      <c r="B793" t="s">
        <v>1289</v>
      </c>
    </row>
    <row r="794" spans="1:3" x14ac:dyDescent="0.25">
      <c r="A794" s="36">
        <v>21645724</v>
      </c>
      <c r="B794" t="s">
        <v>1290</v>
      </c>
    </row>
    <row r="795" spans="1:3" x14ac:dyDescent="0.25">
      <c r="A795" s="36">
        <v>30593410354</v>
      </c>
      <c r="B795" t="s">
        <v>386</v>
      </c>
    </row>
    <row r="796" spans="1:3" x14ac:dyDescent="0.25">
      <c r="A796" s="36">
        <v>27165813893</v>
      </c>
      <c r="B796" t="s">
        <v>1291</v>
      </c>
      <c r="C796" s="35" t="s">
        <v>2353</v>
      </c>
    </row>
    <row r="797" spans="1:3" x14ac:dyDescent="0.25">
      <c r="A797" s="36">
        <v>20275447057</v>
      </c>
      <c r="B797" t="s">
        <v>387</v>
      </c>
    </row>
    <row r="798" spans="1:3" x14ac:dyDescent="0.25">
      <c r="A798" s="36">
        <v>23219640269</v>
      </c>
      <c r="B798" t="s">
        <v>388</v>
      </c>
    </row>
    <row r="799" spans="1:3" x14ac:dyDescent="0.25">
      <c r="A799" s="36">
        <v>23528815</v>
      </c>
      <c r="B799" t="s">
        <v>1292</v>
      </c>
    </row>
    <row r="800" spans="1:3" x14ac:dyDescent="0.25">
      <c r="A800" s="36">
        <v>30710095171</v>
      </c>
      <c r="B800" t="s">
        <v>1293</v>
      </c>
    </row>
    <row r="801" spans="1:2" x14ac:dyDescent="0.25">
      <c r="A801" s="36">
        <v>30699407476</v>
      </c>
      <c r="B801" t="s">
        <v>389</v>
      </c>
    </row>
    <row r="802" spans="1:2" x14ac:dyDescent="0.25">
      <c r="A802" s="36">
        <v>30708508221</v>
      </c>
      <c r="B802" t="s">
        <v>390</v>
      </c>
    </row>
    <row r="803" spans="1:2" x14ac:dyDescent="0.25">
      <c r="A803" s="36">
        <v>30551450445</v>
      </c>
      <c r="B803" t="s">
        <v>391</v>
      </c>
    </row>
    <row r="804" spans="1:2" x14ac:dyDescent="0.25">
      <c r="A804" s="36">
        <v>93922315</v>
      </c>
      <c r="B804" t="s">
        <v>1294</v>
      </c>
    </row>
    <row r="805" spans="1:2" x14ac:dyDescent="0.25">
      <c r="A805" s="36">
        <v>20361556691</v>
      </c>
      <c r="B805" t="s">
        <v>1295</v>
      </c>
    </row>
    <row r="806" spans="1:2" x14ac:dyDescent="0.25">
      <c r="A806" s="36">
        <v>27171152610</v>
      </c>
      <c r="B806" t="s">
        <v>392</v>
      </c>
    </row>
    <row r="807" spans="1:2" x14ac:dyDescent="0.25">
      <c r="A807" s="36">
        <v>12075294</v>
      </c>
      <c r="B807" t="s">
        <v>1296</v>
      </c>
    </row>
    <row r="808" spans="1:2" x14ac:dyDescent="0.25">
      <c r="A808" s="36">
        <v>20313759246</v>
      </c>
      <c r="B808" t="s">
        <v>1297</v>
      </c>
    </row>
    <row r="809" spans="1:2" x14ac:dyDescent="0.25">
      <c r="A809" s="36">
        <v>20186310838</v>
      </c>
      <c r="B809" t="s">
        <v>1298</v>
      </c>
    </row>
    <row r="810" spans="1:2" x14ac:dyDescent="0.25">
      <c r="A810" s="36">
        <v>20255683595</v>
      </c>
      <c r="B810" t="s">
        <v>393</v>
      </c>
    </row>
    <row r="811" spans="1:2" x14ac:dyDescent="0.25">
      <c r="A811" s="36">
        <v>30631285038</v>
      </c>
      <c r="B811" t="s">
        <v>394</v>
      </c>
    </row>
    <row r="812" spans="1:2" x14ac:dyDescent="0.25">
      <c r="A812" s="36">
        <v>30714254533</v>
      </c>
      <c r="B812" t="s">
        <v>395</v>
      </c>
    </row>
    <row r="813" spans="1:2" x14ac:dyDescent="0.25">
      <c r="A813" s="36">
        <v>30712354409</v>
      </c>
      <c r="B813" t="s">
        <v>396</v>
      </c>
    </row>
    <row r="814" spans="1:2" x14ac:dyDescent="0.25">
      <c r="A814" s="36">
        <v>30576631665</v>
      </c>
      <c r="B814" t="s">
        <v>397</v>
      </c>
    </row>
    <row r="815" spans="1:2" x14ac:dyDescent="0.25">
      <c r="A815" s="36">
        <v>17968654</v>
      </c>
      <c r="B815" t="s">
        <v>1299</v>
      </c>
    </row>
    <row r="816" spans="1:2" x14ac:dyDescent="0.25">
      <c r="A816" s="36">
        <v>30576630057</v>
      </c>
      <c r="B816" t="s">
        <v>1300</v>
      </c>
    </row>
    <row r="817" spans="1:3" x14ac:dyDescent="0.25">
      <c r="A817" s="36">
        <v>30714122718</v>
      </c>
      <c r="B817" t="s">
        <v>1301</v>
      </c>
    </row>
    <row r="818" spans="1:3" x14ac:dyDescent="0.25">
      <c r="A818" s="36">
        <v>30691712350</v>
      </c>
      <c r="B818" t="s">
        <v>398</v>
      </c>
    </row>
    <row r="819" spans="1:3" x14ac:dyDescent="0.25">
      <c r="A819" s="36">
        <v>30714696153</v>
      </c>
      <c r="B819" t="s">
        <v>399</v>
      </c>
      <c r="C819" s="35" t="s">
        <v>2353</v>
      </c>
    </row>
    <row r="820" spans="1:3" x14ac:dyDescent="0.25">
      <c r="A820" s="36">
        <v>30714696153</v>
      </c>
      <c r="B820" t="s">
        <v>399</v>
      </c>
      <c r="C820" s="35" t="s">
        <v>2353</v>
      </c>
    </row>
    <row r="821" spans="1:3" x14ac:dyDescent="0.25">
      <c r="A821" s="36">
        <v>30714696153</v>
      </c>
      <c r="B821" t="s">
        <v>399</v>
      </c>
      <c r="C821" s="35" t="s">
        <v>2353</v>
      </c>
    </row>
    <row r="822" spans="1:3" x14ac:dyDescent="0.25">
      <c r="A822" s="36">
        <v>30711017697</v>
      </c>
      <c r="B822" t="s">
        <v>400</v>
      </c>
    </row>
    <row r="823" spans="1:3" x14ac:dyDescent="0.25">
      <c r="A823" s="36">
        <v>23940960509</v>
      </c>
      <c r="B823" t="s">
        <v>401</v>
      </c>
    </row>
    <row r="824" spans="1:3" x14ac:dyDescent="0.25">
      <c r="A824" s="36">
        <v>22548856</v>
      </c>
      <c r="B824" t="s">
        <v>1302</v>
      </c>
    </row>
    <row r="825" spans="1:3" x14ac:dyDescent="0.25">
      <c r="A825" s="36">
        <v>13032665</v>
      </c>
      <c r="B825" t="s">
        <v>1303</v>
      </c>
    </row>
    <row r="826" spans="1:3" x14ac:dyDescent="0.25">
      <c r="A826" s="36">
        <v>30715578154</v>
      </c>
      <c r="B826" t="s">
        <v>402</v>
      </c>
    </row>
    <row r="827" spans="1:3" x14ac:dyDescent="0.25">
      <c r="A827" s="36">
        <v>30643827197</v>
      </c>
      <c r="B827" t="s">
        <v>403</v>
      </c>
    </row>
    <row r="828" spans="1:3" x14ac:dyDescent="0.25">
      <c r="A828" s="36">
        <v>20242126158</v>
      </c>
      <c r="B828" t="s">
        <v>1304</v>
      </c>
      <c r="C828" s="35" t="s">
        <v>2352</v>
      </c>
    </row>
    <row r="829" spans="1:3" x14ac:dyDescent="0.25">
      <c r="A829" s="36">
        <v>30667805283</v>
      </c>
      <c r="B829" t="s">
        <v>404</v>
      </c>
    </row>
    <row r="830" spans="1:3" x14ac:dyDescent="0.25">
      <c r="A830" s="36">
        <v>20224751045</v>
      </c>
      <c r="B830" t="s">
        <v>1305</v>
      </c>
    </row>
    <row r="831" spans="1:3" x14ac:dyDescent="0.25">
      <c r="A831" s="36">
        <v>30709443220</v>
      </c>
      <c r="B831" t="s">
        <v>405</v>
      </c>
    </row>
    <row r="832" spans="1:3" x14ac:dyDescent="0.25">
      <c r="A832" s="36">
        <v>30710457162</v>
      </c>
      <c r="B832" t="s">
        <v>96</v>
      </c>
    </row>
    <row r="833" spans="1:3" x14ac:dyDescent="0.25">
      <c r="A833" s="36">
        <v>33531273309</v>
      </c>
      <c r="B833" t="s">
        <v>1306</v>
      </c>
    </row>
    <row r="834" spans="1:3" x14ac:dyDescent="0.25">
      <c r="A834" s="36">
        <v>27066870532</v>
      </c>
      <c r="B834" t="s">
        <v>1307</v>
      </c>
    </row>
    <row r="835" spans="1:3" x14ac:dyDescent="0.25">
      <c r="A835" s="36">
        <v>27113577</v>
      </c>
      <c r="B835" t="s">
        <v>1308</v>
      </c>
    </row>
    <row r="836" spans="1:3" x14ac:dyDescent="0.25">
      <c r="A836" s="36">
        <v>18120681</v>
      </c>
      <c r="B836" t="s">
        <v>1309</v>
      </c>
    </row>
    <row r="837" spans="1:3" x14ac:dyDescent="0.25">
      <c r="A837" s="36">
        <v>30712289046</v>
      </c>
      <c r="B837" t="s">
        <v>1310</v>
      </c>
      <c r="C837" s="35" t="s">
        <v>44</v>
      </c>
    </row>
    <row r="838" spans="1:3" x14ac:dyDescent="0.25">
      <c r="A838" s="36">
        <v>33714935009</v>
      </c>
      <c r="B838" t="s">
        <v>406</v>
      </c>
    </row>
    <row r="839" spans="1:3" x14ac:dyDescent="0.25">
      <c r="A839" s="36">
        <v>30687310434</v>
      </c>
      <c r="B839" t="s">
        <v>1311</v>
      </c>
      <c r="C839" s="35" t="s">
        <v>79</v>
      </c>
    </row>
    <row r="840" spans="1:3" x14ac:dyDescent="0.25">
      <c r="A840" s="36">
        <v>30515800219</v>
      </c>
      <c r="B840" t="s">
        <v>1312</v>
      </c>
    </row>
    <row r="841" spans="1:3" x14ac:dyDescent="0.25">
      <c r="A841" s="36">
        <v>30715237071</v>
      </c>
      <c r="B841" t="s">
        <v>407</v>
      </c>
    </row>
    <row r="842" spans="1:3" x14ac:dyDescent="0.25">
      <c r="A842" s="36">
        <v>20104571507</v>
      </c>
      <c r="B842" t="s">
        <v>408</v>
      </c>
    </row>
    <row r="843" spans="1:3" x14ac:dyDescent="0.25">
      <c r="A843" s="36">
        <v>30651822021</v>
      </c>
      <c r="B843" t="s">
        <v>409</v>
      </c>
    </row>
    <row r="844" spans="1:3" x14ac:dyDescent="0.25">
      <c r="A844" s="36">
        <v>30627739571</v>
      </c>
      <c r="B844" t="s">
        <v>410</v>
      </c>
    </row>
    <row r="845" spans="1:3" x14ac:dyDescent="0.25">
      <c r="A845" s="36">
        <v>30710149468</v>
      </c>
      <c r="B845" t="s">
        <v>411</v>
      </c>
    </row>
    <row r="846" spans="1:3" x14ac:dyDescent="0.25">
      <c r="A846" s="36">
        <v>30688241614</v>
      </c>
      <c r="B846" t="s">
        <v>412</v>
      </c>
    </row>
    <row r="847" spans="1:3" x14ac:dyDescent="0.25">
      <c r="A847" s="36">
        <v>30709899399</v>
      </c>
      <c r="B847" t="s">
        <v>1313</v>
      </c>
    </row>
    <row r="848" spans="1:3" x14ac:dyDescent="0.25">
      <c r="A848" s="36">
        <v>16483797</v>
      </c>
      <c r="B848" t="s">
        <v>1314</v>
      </c>
    </row>
    <row r="849" spans="1:2" x14ac:dyDescent="0.25">
      <c r="A849" s="36">
        <v>30712479945</v>
      </c>
      <c r="B849" t="s">
        <v>413</v>
      </c>
    </row>
    <row r="850" spans="1:2" x14ac:dyDescent="0.25">
      <c r="A850" s="36">
        <v>30711738130</v>
      </c>
      <c r="B850" t="s">
        <v>414</v>
      </c>
    </row>
    <row r="851" spans="1:2" x14ac:dyDescent="0.25">
      <c r="A851" s="36">
        <v>30598739540</v>
      </c>
      <c r="B851" t="s">
        <v>1315</v>
      </c>
    </row>
    <row r="852" spans="1:2" x14ac:dyDescent="0.25">
      <c r="A852" s="36">
        <v>30598739540</v>
      </c>
      <c r="B852" t="s">
        <v>1315</v>
      </c>
    </row>
    <row r="853" spans="1:2" x14ac:dyDescent="0.25">
      <c r="A853" s="36">
        <v>30554807301</v>
      </c>
      <c r="B853" t="s">
        <v>1316</v>
      </c>
    </row>
    <row r="854" spans="1:2" x14ac:dyDescent="0.25">
      <c r="A854" s="36">
        <v>30707758682</v>
      </c>
      <c r="B854" t="s">
        <v>1317</v>
      </c>
    </row>
    <row r="855" spans="1:2" x14ac:dyDescent="0.25">
      <c r="A855" s="36">
        <v>30697770069</v>
      </c>
      <c r="B855" t="s">
        <v>415</v>
      </c>
    </row>
    <row r="856" spans="1:2" x14ac:dyDescent="0.25">
      <c r="A856" s="36">
        <v>33715678689</v>
      </c>
      <c r="B856" t="s">
        <v>416</v>
      </c>
    </row>
    <row r="857" spans="1:2" x14ac:dyDescent="0.25">
      <c r="A857" s="36">
        <v>30697558868</v>
      </c>
      <c r="B857" t="s">
        <v>1318</v>
      </c>
    </row>
    <row r="858" spans="1:2" x14ac:dyDescent="0.25">
      <c r="A858" s="36">
        <v>30697558868</v>
      </c>
      <c r="B858" t="s">
        <v>417</v>
      </c>
    </row>
    <row r="859" spans="1:2" x14ac:dyDescent="0.25">
      <c r="A859" s="36">
        <v>30697558868</v>
      </c>
      <c r="B859" t="s">
        <v>417</v>
      </c>
    </row>
    <row r="860" spans="1:2" x14ac:dyDescent="0.25">
      <c r="A860" s="36">
        <v>33708345399</v>
      </c>
      <c r="B860" t="s">
        <v>1319</v>
      </c>
    </row>
    <row r="861" spans="1:2" x14ac:dyDescent="0.25">
      <c r="A861" s="36">
        <v>30699010983</v>
      </c>
      <c r="B861" t="s">
        <v>418</v>
      </c>
    </row>
    <row r="862" spans="1:2" x14ac:dyDescent="0.25">
      <c r="A862" s="36">
        <v>20514020</v>
      </c>
      <c r="B862" t="s">
        <v>1320</v>
      </c>
    </row>
    <row r="863" spans="1:2" x14ac:dyDescent="0.25">
      <c r="A863" s="36">
        <v>30999077508</v>
      </c>
      <c r="B863" t="s">
        <v>1321</v>
      </c>
    </row>
    <row r="864" spans="1:2" x14ac:dyDescent="0.25">
      <c r="A864" s="36">
        <v>30999077508</v>
      </c>
      <c r="B864" t="s">
        <v>1321</v>
      </c>
    </row>
    <row r="865" spans="1:3" x14ac:dyDescent="0.25">
      <c r="A865" s="36">
        <v>30559807970</v>
      </c>
      <c r="B865" t="s">
        <v>419</v>
      </c>
    </row>
    <row r="866" spans="1:3" x14ac:dyDescent="0.25">
      <c r="A866" s="36">
        <v>12464961</v>
      </c>
      <c r="B866" t="s">
        <v>1322</v>
      </c>
    </row>
    <row r="867" spans="1:3" x14ac:dyDescent="0.25">
      <c r="A867" s="36">
        <v>8459088</v>
      </c>
      <c r="B867" t="s">
        <v>1323</v>
      </c>
    </row>
    <row r="868" spans="1:3" x14ac:dyDescent="0.25">
      <c r="A868" s="36">
        <v>5100868</v>
      </c>
      <c r="B868" t="s">
        <v>1324</v>
      </c>
    </row>
    <row r="869" spans="1:3" x14ac:dyDescent="0.25">
      <c r="A869" s="36">
        <v>30708214813</v>
      </c>
      <c r="B869" t="s">
        <v>420</v>
      </c>
    </row>
    <row r="870" spans="1:3" x14ac:dyDescent="0.25">
      <c r="A870" s="36">
        <v>23368458449</v>
      </c>
      <c r="B870" t="s">
        <v>1325</v>
      </c>
    </row>
    <row r="871" spans="1:3" x14ac:dyDescent="0.25">
      <c r="A871" s="36">
        <v>30714295957</v>
      </c>
      <c r="B871" t="s">
        <v>1326</v>
      </c>
    </row>
    <row r="872" spans="1:3" x14ac:dyDescent="0.25">
      <c r="A872" s="36">
        <v>30712187316</v>
      </c>
      <c r="B872" t="s">
        <v>1327</v>
      </c>
      <c r="C872" s="35" t="s">
        <v>2353</v>
      </c>
    </row>
    <row r="873" spans="1:3" x14ac:dyDescent="0.25">
      <c r="A873" s="36">
        <v>30547076679</v>
      </c>
      <c r="B873" t="s">
        <v>421</v>
      </c>
    </row>
    <row r="874" spans="1:3" x14ac:dyDescent="0.25">
      <c r="A874" s="36">
        <v>30709267821</v>
      </c>
      <c r="B874" t="s">
        <v>422</v>
      </c>
    </row>
    <row r="875" spans="1:3" x14ac:dyDescent="0.25">
      <c r="A875" s="36">
        <v>30715123483</v>
      </c>
      <c r="B875" t="s">
        <v>1328</v>
      </c>
    </row>
    <row r="876" spans="1:3" x14ac:dyDescent="0.25">
      <c r="A876" s="36">
        <v>30700896621</v>
      </c>
      <c r="B876" t="s">
        <v>1329</v>
      </c>
    </row>
    <row r="877" spans="1:3" x14ac:dyDescent="0.25">
      <c r="A877" s="36">
        <v>2446086</v>
      </c>
      <c r="B877" t="s">
        <v>1330</v>
      </c>
    </row>
    <row r="878" spans="1:3" x14ac:dyDescent="0.25">
      <c r="A878" s="36">
        <v>2446086</v>
      </c>
      <c r="B878" t="s">
        <v>1330</v>
      </c>
    </row>
    <row r="879" spans="1:3" x14ac:dyDescent="0.25">
      <c r="A879" s="36">
        <v>23887039</v>
      </c>
      <c r="B879" t="s">
        <v>1331</v>
      </c>
    </row>
    <row r="880" spans="1:3" x14ac:dyDescent="0.25">
      <c r="A880" s="36">
        <v>33716314869</v>
      </c>
      <c r="B880" t="s">
        <v>1332</v>
      </c>
    </row>
    <row r="881" spans="1:2" x14ac:dyDescent="0.25">
      <c r="A881" s="36">
        <v>14547747</v>
      </c>
      <c r="B881" t="s">
        <v>1333</v>
      </c>
    </row>
    <row r="882" spans="1:2" x14ac:dyDescent="0.25">
      <c r="A882" s="36">
        <v>30708936762</v>
      </c>
      <c r="B882" t="s">
        <v>1334</v>
      </c>
    </row>
    <row r="883" spans="1:2" x14ac:dyDescent="0.25">
      <c r="A883" s="36">
        <v>34358182</v>
      </c>
      <c r="B883" t="s">
        <v>1335</v>
      </c>
    </row>
    <row r="884" spans="1:2" x14ac:dyDescent="0.25">
      <c r="A884" s="36">
        <v>4237954</v>
      </c>
      <c r="B884" t="s">
        <v>1336</v>
      </c>
    </row>
    <row r="885" spans="1:2" x14ac:dyDescent="0.25">
      <c r="A885" s="36">
        <v>30707249001</v>
      </c>
      <c r="B885" t="s">
        <v>423</v>
      </c>
    </row>
    <row r="886" spans="1:2" x14ac:dyDescent="0.25">
      <c r="A886" s="36">
        <v>11875982</v>
      </c>
      <c r="B886" t="s">
        <v>1337</v>
      </c>
    </row>
    <row r="887" spans="1:2" x14ac:dyDescent="0.25">
      <c r="A887" s="36">
        <v>30709273465</v>
      </c>
      <c r="B887" t="s">
        <v>1338</v>
      </c>
    </row>
    <row r="888" spans="1:2" x14ac:dyDescent="0.25">
      <c r="A888" s="36">
        <v>30550095714</v>
      </c>
      <c r="B888" t="s">
        <v>1338</v>
      </c>
    </row>
    <row r="889" spans="1:2" x14ac:dyDescent="0.25">
      <c r="A889" s="36">
        <v>30636074280</v>
      </c>
      <c r="B889" t="s">
        <v>424</v>
      </c>
    </row>
    <row r="890" spans="1:2" x14ac:dyDescent="0.25">
      <c r="A890" s="36">
        <v>30714306355</v>
      </c>
      <c r="B890" t="s">
        <v>425</v>
      </c>
    </row>
    <row r="891" spans="1:2" x14ac:dyDescent="0.25">
      <c r="A891" s="36">
        <v>30715937006</v>
      </c>
      <c r="B891" t="s">
        <v>1339</v>
      </c>
    </row>
    <row r="892" spans="1:2" x14ac:dyDescent="0.25">
      <c r="A892" s="36">
        <v>30506357841</v>
      </c>
      <c r="B892" t="s">
        <v>426</v>
      </c>
    </row>
    <row r="893" spans="1:2" x14ac:dyDescent="0.25">
      <c r="A893" s="36">
        <v>26146729</v>
      </c>
      <c r="B893" t="s">
        <v>1340</v>
      </c>
    </row>
    <row r="894" spans="1:2" x14ac:dyDescent="0.25">
      <c r="A894" s="36">
        <v>38380322</v>
      </c>
      <c r="B894" t="s">
        <v>1341</v>
      </c>
    </row>
    <row r="895" spans="1:2" x14ac:dyDescent="0.25">
      <c r="A895" s="36">
        <v>24931553247</v>
      </c>
      <c r="B895" t="s">
        <v>427</v>
      </c>
    </row>
    <row r="896" spans="1:2" x14ac:dyDescent="0.25">
      <c r="A896" s="36">
        <v>20131373091</v>
      </c>
      <c r="B896" t="s">
        <v>1342</v>
      </c>
    </row>
    <row r="897" spans="1:2" x14ac:dyDescent="0.25">
      <c r="A897" s="36">
        <v>27041620086</v>
      </c>
      <c r="B897" t="s">
        <v>1343</v>
      </c>
    </row>
    <row r="898" spans="1:2" x14ac:dyDescent="0.25">
      <c r="A898" s="36">
        <v>23127941</v>
      </c>
      <c r="B898" t="s">
        <v>1344</v>
      </c>
    </row>
    <row r="899" spans="1:2" x14ac:dyDescent="0.25">
      <c r="A899" s="36">
        <v>20167226524</v>
      </c>
      <c r="B899" t="s">
        <v>1345</v>
      </c>
    </row>
    <row r="900" spans="1:2" x14ac:dyDescent="0.25">
      <c r="A900" s="36">
        <v>4166381</v>
      </c>
      <c r="B900" t="s">
        <v>1346</v>
      </c>
    </row>
    <row r="901" spans="1:2" x14ac:dyDescent="0.25">
      <c r="A901" s="36">
        <v>10328408</v>
      </c>
      <c r="B901" t="s">
        <v>1347</v>
      </c>
    </row>
    <row r="902" spans="1:2" x14ac:dyDescent="0.25">
      <c r="A902" s="36">
        <v>7827814</v>
      </c>
      <c r="B902" t="s">
        <v>1348</v>
      </c>
    </row>
    <row r="903" spans="1:2" x14ac:dyDescent="0.25">
      <c r="A903" s="36">
        <v>4223930</v>
      </c>
      <c r="B903" t="s">
        <v>1349</v>
      </c>
    </row>
    <row r="904" spans="1:2" x14ac:dyDescent="0.25">
      <c r="A904" s="36">
        <v>8209288</v>
      </c>
      <c r="B904" t="s">
        <v>1350</v>
      </c>
    </row>
    <row r="905" spans="1:2" x14ac:dyDescent="0.25">
      <c r="A905" s="36">
        <v>33649669029</v>
      </c>
      <c r="B905" t="s">
        <v>428</v>
      </c>
    </row>
    <row r="906" spans="1:2" x14ac:dyDescent="0.25">
      <c r="A906" s="36">
        <v>20929018347</v>
      </c>
      <c r="B906" t="s">
        <v>429</v>
      </c>
    </row>
    <row r="907" spans="1:2" x14ac:dyDescent="0.25">
      <c r="A907" s="36">
        <v>20183380231</v>
      </c>
      <c r="B907" t="s">
        <v>430</v>
      </c>
    </row>
    <row r="908" spans="1:2" x14ac:dyDescent="0.25">
      <c r="A908" s="36">
        <v>20236755526</v>
      </c>
      <c r="B908" t="s">
        <v>431</v>
      </c>
    </row>
    <row r="909" spans="1:2" x14ac:dyDescent="0.25">
      <c r="A909" s="36">
        <v>20165471491</v>
      </c>
      <c r="B909" t="s">
        <v>432</v>
      </c>
    </row>
    <row r="910" spans="1:2" x14ac:dyDescent="0.25">
      <c r="A910" s="36">
        <v>36622635</v>
      </c>
      <c r="B910" t="s">
        <v>1351</v>
      </c>
    </row>
    <row r="911" spans="1:2" x14ac:dyDescent="0.25">
      <c r="A911" s="36">
        <v>5668032</v>
      </c>
      <c r="B911" t="s">
        <v>1352</v>
      </c>
    </row>
    <row r="912" spans="1:2" x14ac:dyDescent="0.25">
      <c r="A912" s="36">
        <v>20120458753</v>
      </c>
      <c r="B912" t="s">
        <v>1353</v>
      </c>
    </row>
    <row r="913" spans="1:3" x14ac:dyDescent="0.25">
      <c r="A913" s="36">
        <v>30678264969</v>
      </c>
      <c r="B913" t="s">
        <v>433</v>
      </c>
    </row>
    <row r="914" spans="1:3" x14ac:dyDescent="0.25">
      <c r="A914" s="36">
        <v>30707682279</v>
      </c>
      <c r="B914" t="s">
        <v>434</v>
      </c>
    </row>
    <row r="915" spans="1:3" x14ac:dyDescent="0.25">
      <c r="A915" s="36">
        <v>30631965284</v>
      </c>
      <c r="B915" t="s">
        <v>435</v>
      </c>
    </row>
    <row r="916" spans="1:3" x14ac:dyDescent="0.25">
      <c r="A916" s="36">
        <v>5401583</v>
      </c>
      <c r="B916" t="s">
        <v>1354</v>
      </c>
    </row>
    <row r="917" spans="1:3" x14ac:dyDescent="0.25">
      <c r="A917" s="36">
        <v>30500805222</v>
      </c>
      <c r="B917" t="s">
        <v>436</v>
      </c>
    </row>
    <row r="918" spans="1:3" x14ac:dyDescent="0.25">
      <c r="A918" s="36">
        <v>20244271740</v>
      </c>
      <c r="B918" t="s">
        <v>1355</v>
      </c>
    </row>
    <row r="919" spans="1:3" x14ac:dyDescent="0.25">
      <c r="A919" s="36">
        <v>33709050589</v>
      </c>
      <c r="B919" t="s">
        <v>437</v>
      </c>
    </row>
    <row r="920" spans="1:3" x14ac:dyDescent="0.25">
      <c r="A920" s="36">
        <v>31207521</v>
      </c>
      <c r="B920" t="s">
        <v>1356</v>
      </c>
    </row>
    <row r="921" spans="1:3" x14ac:dyDescent="0.25">
      <c r="A921" s="36">
        <v>20182999661</v>
      </c>
      <c r="B921" t="s">
        <v>1357</v>
      </c>
      <c r="C921" s="35" t="s">
        <v>79</v>
      </c>
    </row>
    <row r="922" spans="1:3" x14ac:dyDescent="0.25">
      <c r="A922" s="36">
        <v>23220104389</v>
      </c>
      <c r="B922" t="s">
        <v>438</v>
      </c>
    </row>
    <row r="923" spans="1:3" x14ac:dyDescent="0.25">
      <c r="A923" s="36">
        <v>27227105998</v>
      </c>
      <c r="B923" t="s">
        <v>1358</v>
      </c>
    </row>
    <row r="924" spans="1:3" x14ac:dyDescent="0.25">
      <c r="A924" s="36">
        <v>30714185574</v>
      </c>
      <c r="B924" t="s">
        <v>439</v>
      </c>
    </row>
    <row r="925" spans="1:3" x14ac:dyDescent="0.25">
      <c r="A925" s="36">
        <v>4786701</v>
      </c>
      <c r="B925" t="s">
        <v>1359</v>
      </c>
    </row>
    <row r="926" spans="1:3" x14ac:dyDescent="0.25">
      <c r="A926" s="36">
        <v>20924962756</v>
      </c>
      <c r="B926" t="s">
        <v>1360</v>
      </c>
    </row>
    <row r="927" spans="1:3" x14ac:dyDescent="0.25">
      <c r="A927" s="36">
        <v>30707918914</v>
      </c>
      <c r="B927" t="s">
        <v>440</v>
      </c>
    </row>
    <row r="928" spans="1:3" x14ac:dyDescent="0.25">
      <c r="A928" s="36">
        <v>16145340</v>
      </c>
      <c r="B928" t="s">
        <v>1361</v>
      </c>
    </row>
    <row r="929" spans="1:3" x14ac:dyDescent="0.25">
      <c r="A929" s="36">
        <v>16145340</v>
      </c>
      <c r="B929" t="s">
        <v>1361</v>
      </c>
    </row>
    <row r="930" spans="1:3" x14ac:dyDescent="0.25">
      <c r="A930" s="36">
        <v>23941647804</v>
      </c>
      <c r="B930" t="s">
        <v>1362</v>
      </c>
    </row>
    <row r="931" spans="1:3" x14ac:dyDescent="0.25">
      <c r="A931" s="36">
        <v>18333297</v>
      </c>
      <c r="B931" t="s">
        <v>1363</v>
      </c>
    </row>
    <row r="932" spans="1:3" x14ac:dyDescent="0.25">
      <c r="A932" s="36">
        <v>14897881</v>
      </c>
      <c r="B932" t="s">
        <v>1364</v>
      </c>
    </row>
    <row r="933" spans="1:3" x14ac:dyDescent="0.25">
      <c r="A933" s="36">
        <v>33531122599</v>
      </c>
      <c r="B933" t="s">
        <v>441</v>
      </c>
      <c r="C933" s="35" t="s">
        <v>792</v>
      </c>
    </row>
    <row r="934" spans="1:3" x14ac:dyDescent="0.25">
      <c r="A934" s="36">
        <v>30716096919</v>
      </c>
      <c r="B934" t="s">
        <v>1365</v>
      </c>
    </row>
    <row r="935" spans="1:3" x14ac:dyDescent="0.25">
      <c r="A935" s="36">
        <v>30528587700</v>
      </c>
      <c r="B935" t="s">
        <v>1366</v>
      </c>
    </row>
    <row r="936" spans="1:3" x14ac:dyDescent="0.25">
      <c r="A936" s="36">
        <v>30645614735</v>
      </c>
      <c r="B936" t="s">
        <v>442</v>
      </c>
    </row>
    <row r="937" spans="1:3" x14ac:dyDescent="0.25">
      <c r="A937" s="36">
        <v>30500051163</v>
      </c>
      <c r="B937" t="s">
        <v>443</v>
      </c>
    </row>
    <row r="938" spans="1:3" x14ac:dyDescent="0.25">
      <c r="A938" s="36">
        <v>30709046779</v>
      </c>
      <c r="B938" t="s">
        <v>1367</v>
      </c>
    </row>
    <row r="939" spans="1:3" x14ac:dyDescent="0.25">
      <c r="A939" s="36">
        <v>27304914071</v>
      </c>
      <c r="B939" t="s">
        <v>1368</v>
      </c>
    </row>
    <row r="940" spans="1:3" x14ac:dyDescent="0.25">
      <c r="A940" s="36">
        <v>39558870</v>
      </c>
      <c r="B940" t="s">
        <v>1369</v>
      </c>
    </row>
    <row r="941" spans="1:3" x14ac:dyDescent="0.25">
      <c r="A941" s="36">
        <v>30585254297</v>
      </c>
      <c r="B941" t="s">
        <v>444</v>
      </c>
    </row>
    <row r="942" spans="1:3" x14ac:dyDescent="0.25">
      <c r="A942" s="36">
        <v>5914284</v>
      </c>
      <c r="B942" t="s">
        <v>1370</v>
      </c>
    </row>
    <row r="943" spans="1:3" x14ac:dyDescent="0.25">
      <c r="A943" s="36">
        <v>20220423655</v>
      </c>
      <c r="B943" t="s">
        <v>1371</v>
      </c>
      <c r="C943" s="35" t="s">
        <v>2343</v>
      </c>
    </row>
    <row r="944" spans="1:3" x14ac:dyDescent="0.25">
      <c r="A944" s="36">
        <v>20220423655</v>
      </c>
      <c r="B944" t="s">
        <v>1371</v>
      </c>
      <c r="C944" s="35" t="s">
        <v>2343</v>
      </c>
    </row>
    <row r="945" spans="1:3" x14ac:dyDescent="0.25">
      <c r="A945" s="36">
        <v>20043924312</v>
      </c>
      <c r="B945" t="s">
        <v>445</v>
      </c>
    </row>
    <row r="946" spans="1:3" x14ac:dyDescent="0.25">
      <c r="A946" s="36">
        <v>20121778042</v>
      </c>
      <c r="B946" t="s">
        <v>446</v>
      </c>
    </row>
    <row r="947" spans="1:3" x14ac:dyDescent="0.25">
      <c r="A947" s="36">
        <v>14375903</v>
      </c>
      <c r="B947" t="s">
        <v>1372</v>
      </c>
    </row>
    <row r="948" spans="1:3" x14ac:dyDescent="0.25">
      <c r="A948" s="36">
        <v>27249631413</v>
      </c>
      <c r="B948" t="s">
        <v>447</v>
      </c>
    </row>
    <row r="949" spans="1:3" x14ac:dyDescent="0.25">
      <c r="A949" s="36">
        <v>20393873583</v>
      </c>
      <c r="B949" t="s">
        <v>1373</v>
      </c>
      <c r="C949" s="35" t="s">
        <v>79</v>
      </c>
    </row>
    <row r="950" spans="1:3" x14ac:dyDescent="0.25">
      <c r="A950" s="36">
        <v>20393873583</v>
      </c>
      <c r="B950" t="s">
        <v>1373</v>
      </c>
      <c r="C950" s="35" t="s">
        <v>79</v>
      </c>
    </row>
    <row r="951" spans="1:3" x14ac:dyDescent="0.25">
      <c r="A951" s="36">
        <v>30679107220</v>
      </c>
      <c r="B951" t="s">
        <v>448</v>
      </c>
    </row>
    <row r="952" spans="1:3" x14ac:dyDescent="0.25">
      <c r="A952" s="36">
        <v>22654210</v>
      </c>
      <c r="B952" t="s">
        <v>1374</v>
      </c>
    </row>
    <row r="953" spans="1:3" x14ac:dyDescent="0.25">
      <c r="A953" s="36">
        <v>30709153095</v>
      </c>
      <c r="B953" t="s">
        <v>449</v>
      </c>
    </row>
    <row r="954" spans="1:3" x14ac:dyDescent="0.25">
      <c r="A954" s="36">
        <v>5123651</v>
      </c>
      <c r="B954" t="s">
        <v>1375</v>
      </c>
    </row>
    <row r="955" spans="1:3" x14ac:dyDescent="0.25">
      <c r="A955" s="36">
        <v>20147452102</v>
      </c>
      <c r="B955" t="s">
        <v>1376</v>
      </c>
    </row>
    <row r="956" spans="1:3" x14ac:dyDescent="0.25">
      <c r="A956" s="36">
        <v>30710374801</v>
      </c>
      <c r="B956" t="s">
        <v>450</v>
      </c>
      <c r="C956" s="35" t="s">
        <v>79</v>
      </c>
    </row>
    <row r="957" spans="1:3" x14ac:dyDescent="0.25">
      <c r="A957" s="36">
        <v>30710386559</v>
      </c>
      <c r="B957" t="s">
        <v>451</v>
      </c>
    </row>
    <row r="958" spans="1:3" x14ac:dyDescent="0.25">
      <c r="A958" s="36">
        <v>23929701364</v>
      </c>
      <c r="B958" t="s">
        <v>1377</v>
      </c>
    </row>
    <row r="959" spans="1:3" x14ac:dyDescent="0.25">
      <c r="A959" s="36">
        <v>3079881767</v>
      </c>
      <c r="B959" t="s">
        <v>452</v>
      </c>
    </row>
    <row r="960" spans="1:3" x14ac:dyDescent="0.25">
      <c r="A960" s="36">
        <v>29145443</v>
      </c>
      <c r="B960" t="s">
        <v>1378</v>
      </c>
    </row>
    <row r="961" spans="1:3" x14ac:dyDescent="0.25">
      <c r="A961" s="36">
        <v>17657757</v>
      </c>
      <c r="B961" t="s">
        <v>1379</v>
      </c>
    </row>
    <row r="962" spans="1:3" x14ac:dyDescent="0.25">
      <c r="A962" s="36">
        <v>30525468956</v>
      </c>
      <c r="B962" t="s">
        <v>1380</v>
      </c>
    </row>
    <row r="963" spans="1:3" x14ac:dyDescent="0.25">
      <c r="A963" s="36">
        <v>20162031326</v>
      </c>
      <c r="B963" t="s">
        <v>453</v>
      </c>
    </row>
    <row r="964" spans="1:3" x14ac:dyDescent="0.25">
      <c r="A964" s="36">
        <v>20041802082</v>
      </c>
      <c r="B964" t="s">
        <v>454</v>
      </c>
    </row>
    <row r="965" spans="1:3" x14ac:dyDescent="0.25">
      <c r="A965" s="36">
        <v>23223377734</v>
      </c>
      <c r="B965" t="s">
        <v>455</v>
      </c>
    </row>
    <row r="966" spans="1:3" x14ac:dyDescent="0.25">
      <c r="A966" s="36">
        <v>4360830</v>
      </c>
      <c r="B966" t="s">
        <v>1381</v>
      </c>
    </row>
    <row r="967" spans="1:3" x14ac:dyDescent="0.25">
      <c r="A967" s="36">
        <v>14851628</v>
      </c>
      <c r="B967" t="s">
        <v>1382</v>
      </c>
    </row>
    <row r="968" spans="1:3" x14ac:dyDescent="0.25">
      <c r="A968" s="36">
        <v>30661041486</v>
      </c>
      <c r="B968" t="s">
        <v>456</v>
      </c>
    </row>
    <row r="969" spans="1:3" x14ac:dyDescent="0.25">
      <c r="A969" s="36">
        <v>10866097</v>
      </c>
      <c r="B969" t="s">
        <v>1383</v>
      </c>
    </row>
    <row r="970" spans="1:3" x14ac:dyDescent="0.25">
      <c r="A970" s="36">
        <v>8085092</v>
      </c>
      <c r="B970" t="s">
        <v>1384</v>
      </c>
    </row>
    <row r="971" spans="1:3" x14ac:dyDescent="0.25">
      <c r="A971" s="36">
        <v>30715723871</v>
      </c>
      <c r="B971" t="s">
        <v>457</v>
      </c>
    </row>
    <row r="972" spans="1:3" x14ac:dyDescent="0.25">
      <c r="A972" s="36">
        <v>20115545397</v>
      </c>
      <c r="B972" t="s">
        <v>458</v>
      </c>
    </row>
    <row r="973" spans="1:3" x14ac:dyDescent="0.25">
      <c r="A973" s="36">
        <v>30715148958</v>
      </c>
      <c r="B973" t="s">
        <v>459</v>
      </c>
    </row>
    <row r="974" spans="1:3" x14ac:dyDescent="0.25">
      <c r="A974" s="36">
        <v>30679067431</v>
      </c>
      <c r="B974" t="s">
        <v>460</v>
      </c>
    </row>
    <row r="975" spans="1:3" x14ac:dyDescent="0.25">
      <c r="A975" s="36">
        <v>12714484</v>
      </c>
      <c r="B975" t="s">
        <v>1385</v>
      </c>
    </row>
    <row r="976" spans="1:3" x14ac:dyDescent="0.25">
      <c r="A976" s="36">
        <v>27062343449</v>
      </c>
      <c r="B976" t="s">
        <v>1386</v>
      </c>
      <c r="C976" s="35" t="s">
        <v>2342</v>
      </c>
    </row>
    <row r="977" spans="1:3" x14ac:dyDescent="0.25">
      <c r="A977" s="36">
        <v>23945201304</v>
      </c>
      <c r="B977" t="s">
        <v>1387</v>
      </c>
    </row>
    <row r="978" spans="1:3" x14ac:dyDescent="0.25">
      <c r="A978" s="36">
        <v>30712019359</v>
      </c>
      <c r="B978" t="s">
        <v>1388</v>
      </c>
    </row>
    <row r="979" spans="1:3" x14ac:dyDescent="0.25">
      <c r="A979" s="36">
        <v>20262808557</v>
      </c>
      <c r="B979" t="s">
        <v>461</v>
      </c>
    </row>
    <row r="980" spans="1:3" x14ac:dyDescent="0.25">
      <c r="A980" s="36">
        <v>27129657710</v>
      </c>
      <c r="B980" t="s">
        <v>462</v>
      </c>
      <c r="C980" s="35" t="s">
        <v>2353</v>
      </c>
    </row>
    <row r="981" spans="1:3" x14ac:dyDescent="0.25">
      <c r="A981" s="36">
        <v>436052</v>
      </c>
      <c r="B981" t="s">
        <v>1389</v>
      </c>
    </row>
    <row r="982" spans="1:3" x14ac:dyDescent="0.25">
      <c r="A982" s="36">
        <v>30708326794</v>
      </c>
      <c r="B982" t="s">
        <v>463</v>
      </c>
    </row>
    <row r="983" spans="1:3" x14ac:dyDescent="0.25">
      <c r="A983" s="36">
        <v>4098810</v>
      </c>
      <c r="B983" t="s">
        <v>1390</v>
      </c>
    </row>
    <row r="984" spans="1:3" x14ac:dyDescent="0.25">
      <c r="A984" s="36">
        <v>26470407</v>
      </c>
      <c r="B984" t="s">
        <v>1391</v>
      </c>
    </row>
    <row r="985" spans="1:3" x14ac:dyDescent="0.25">
      <c r="A985" s="36">
        <v>30708035633</v>
      </c>
      <c r="B985" t="s">
        <v>464</v>
      </c>
    </row>
    <row r="986" spans="1:3" x14ac:dyDescent="0.25">
      <c r="A986" s="36">
        <v>18827194</v>
      </c>
      <c r="B986" t="s">
        <v>1392</v>
      </c>
    </row>
    <row r="987" spans="1:3" x14ac:dyDescent="0.25">
      <c r="A987" s="36">
        <v>30714647594</v>
      </c>
      <c r="B987" t="s">
        <v>465</v>
      </c>
    </row>
    <row r="988" spans="1:3" x14ac:dyDescent="0.25">
      <c r="A988" s="36">
        <v>30711244383</v>
      </c>
      <c r="B988" t="s">
        <v>1393</v>
      </c>
    </row>
    <row r="989" spans="1:3" x14ac:dyDescent="0.25">
      <c r="A989" s="36">
        <v>22134238</v>
      </c>
      <c r="B989" t="s">
        <v>1394</v>
      </c>
    </row>
    <row r="990" spans="1:3" x14ac:dyDescent="0.25">
      <c r="A990" s="36">
        <v>30710265425</v>
      </c>
      <c r="B990" t="s">
        <v>466</v>
      </c>
    </row>
    <row r="991" spans="1:3" x14ac:dyDescent="0.25">
      <c r="A991" s="36">
        <v>30500833781</v>
      </c>
      <c r="B991" t="s">
        <v>467</v>
      </c>
    </row>
    <row r="992" spans="1:3" x14ac:dyDescent="0.25">
      <c r="A992" s="36">
        <v>18226662</v>
      </c>
      <c r="B992" t="s">
        <v>1395</v>
      </c>
    </row>
    <row r="993" spans="1:2" x14ac:dyDescent="0.25">
      <c r="A993" s="36">
        <v>4139270</v>
      </c>
      <c r="B993" t="s">
        <v>1396</v>
      </c>
    </row>
    <row r="994" spans="1:2" x14ac:dyDescent="0.25">
      <c r="A994" s="36">
        <v>27345827841</v>
      </c>
      <c r="B994" t="s">
        <v>468</v>
      </c>
    </row>
    <row r="995" spans="1:2" x14ac:dyDescent="0.25">
      <c r="A995" s="36">
        <v>3322961</v>
      </c>
      <c r="B995" t="s">
        <v>1397</v>
      </c>
    </row>
    <row r="996" spans="1:2" x14ac:dyDescent="0.25">
      <c r="A996" s="36">
        <v>20345836404</v>
      </c>
      <c r="B996" t="s">
        <v>469</v>
      </c>
    </row>
    <row r="997" spans="1:2" x14ac:dyDescent="0.25">
      <c r="A997" s="36">
        <v>4457124</v>
      </c>
      <c r="B997" t="s">
        <v>1398</v>
      </c>
    </row>
    <row r="998" spans="1:2" x14ac:dyDescent="0.25">
      <c r="A998" s="36">
        <v>26952433</v>
      </c>
      <c r="B998" t="s">
        <v>1399</v>
      </c>
    </row>
    <row r="999" spans="1:2" x14ac:dyDescent="0.25">
      <c r="A999" s="36">
        <v>24583858</v>
      </c>
      <c r="B999" t="s">
        <v>1400</v>
      </c>
    </row>
    <row r="1000" spans="1:2" x14ac:dyDescent="0.25">
      <c r="A1000" s="36">
        <v>614406</v>
      </c>
      <c r="B1000" t="s">
        <v>1401</v>
      </c>
    </row>
    <row r="1001" spans="1:2" x14ac:dyDescent="0.25">
      <c r="A1001" s="36">
        <v>3468671</v>
      </c>
      <c r="B1001" t="s">
        <v>1402</v>
      </c>
    </row>
    <row r="1002" spans="1:2" x14ac:dyDescent="0.25">
      <c r="A1002" s="36">
        <v>2477260</v>
      </c>
      <c r="B1002" t="s">
        <v>1403</v>
      </c>
    </row>
    <row r="1003" spans="1:2" x14ac:dyDescent="0.25">
      <c r="A1003" s="36">
        <v>1270950</v>
      </c>
      <c r="B1003" t="s">
        <v>1404</v>
      </c>
    </row>
    <row r="1004" spans="1:2" x14ac:dyDescent="0.25">
      <c r="A1004" s="36">
        <v>1270950</v>
      </c>
      <c r="B1004" t="s">
        <v>1404</v>
      </c>
    </row>
    <row r="1005" spans="1:2" x14ac:dyDescent="0.25">
      <c r="A1005" s="36">
        <v>13904217</v>
      </c>
      <c r="B1005" t="s">
        <v>1405</v>
      </c>
    </row>
    <row r="1006" spans="1:2" x14ac:dyDescent="0.25">
      <c r="A1006" s="36">
        <v>4138829</v>
      </c>
      <c r="B1006" t="s">
        <v>1406</v>
      </c>
    </row>
    <row r="1007" spans="1:2" x14ac:dyDescent="0.25">
      <c r="A1007" s="36">
        <v>20392383</v>
      </c>
      <c r="B1007" t="s">
        <v>1407</v>
      </c>
    </row>
    <row r="1008" spans="1:2" x14ac:dyDescent="0.25">
      <c r="A1008" s="36">
        <v>20932821851</v>
      </c>
      <c r="B1008" t="s">
        <v>470</v>
      </c>
    </row>
    <row r="1009" spans="1:3" x14ac:dyDescent="0.25">
      <c r="A1009" s="36">
        <v>18604400</v>
      </c>
      <c r="B1009" t="s">
        <v>1408</v>
      </c>
    </row>
    <row r="1010" spans="1:3" x14ac:dyDescent="0.25">
      <c r="A1010" s="36">
        <v>18604400</v>
      </c>
      <c r="B1010" t="s">
        <v>1408</v>
      </c>
    </row>
    <row r="1011" spans="1:3" x14ac:dyDescent="0.25">
      <c r="A1011" s="36">
        <v>30712448586</v>
      </c>
      <c r="B1011" t="s">
        <v>1409</v>
      </c>
    </row>
    <row r="1012" spans="1:3" x14ac:dyDescent="0.25">
      <c r="A1012" s="36">
        <v>34558213</v>
      </c>
      <c r="B1012" t="s">
        <v>1410</v>
      </c>
    </row>
    <row r="1013" spans="1:3" x14ac:dyDescent="0.25">
      <c r="A1013" s="36">
        <v>410593</v>
      </c>
      <c r="B1013" t="s">
        <v>1411</v>
      </c>
    </row>
    <row r="1014" spans="1:3" x14ac:dyDescent="0.25">
      <c r="A1014" s="36">
        <v>23084885029</v>
      </c>
      <c r="B1014" t="s">
        <v>471</v>
      </c>
    </row>
    <row r="1015" spans="1:3" x14ac:dyDescent="0.25">
      <c r="A1015" s="36">
        <v>30711561494</v>
      </c>
      <c r="B1015" t="s">
        <v>472</v>
      </c>
    </row>
    <row r="1016" spans="1:3" x14ac:dyDescent="0.25">
      <c r="A1016" s="36">
        <v>26737427</v>
      </c>
      <c r="B1016" t="s">
        <v>1412</v>
      </c>
    </row>
    <row r="1017" spans="1:3" x14ac:dyDescent="0.25">
      <c r="A1017" s="36">
        <v>18079051</v>
      </c>
      <c r="B1017" t="s">
        <v>1413</v>
      </c>
    </row>
    <row r="1018" spans="1:3" x14ac:dyDescent="0.25">
      <c r="A1018" s="36">
        <v>13410087</v>
      </c>
      <c r="B1018" t="s">
        <v>1414</v>
      </c>
    </row>
    <row r="1019" spans="1:3" x14ac:dyDescent="0.25">
      <c r="A1019" s="36">
        <v>27385671526</v>
      </c>
      <c r="B1019" t="s">
        <v>1415</v>
      </c>
      <c r="C1019" s="35" t="s">
        <v>2347</v>
      </c>
    </row>
    <row r="1020" spans="1:3" x14ac:dyDescent="0.25">
      <c r="A1020" s="36">
        <v>30651861299</v>
      </c>
      <c r="B1020" t="s">
        <v>473</v>
      </c>
    </row>
    <row r="1021" spans="1:3" x14ac:dyDescent="0.25">
      <c r="A1021" s="36">
        <v>5111618</v>
      </c>
      <c r="B1021" t="s">
        <v>1416</v>
      </c>
    </row>
    <row r="1022" spans="1:3" x14ac:dyDescent="0.25">
      <c r="A1022" s="36">
        <v>30715589032</v>
      </c>
      <c r="B1022" t="s">
        <v>1417</v>
      </c>
    </row>
    <row r="1023" spans="1:3" x14ac:dyDescent="0.25">
      <c r="A1023" s="36">
        <v>26886990</v>
      </c>
      <c r="B1023" t="s">
        <v>1418</v>
      </c>
    </row>
    <row r="1024" spans="1:3" x14ac:dyDescent="0.25">
      <c r="A1024" s="36">
        <v>4400588</v>
      </c>
      <c r="B1024" t="s">
        <v>1419</v>
      </c>
    </row>
    <row r="1025" spans="1:2" x14ac:dyDescent="0.25">
      <c r="A1025" s="36">
        <v>20136601025</v>
      </c>
      <c r="B1025" t="s">
        <v>1420</v>
      </c>
    </row>
    <row r="1026" spans="1:2" x14ac:dyDescent="0.25">
      <c r="A1026" s="36">
        <v>20075907320</v>
      </c>
      <c r="B1026" t="s">
        <v>1421</v>
      </c>
    </row>
    <row r="1027" spans="1:2" x14ac:dyDescent="0.25">
      <c r="A1027" s="36">
        <v>17244648</v>
      </c>
      <c r="B1027" t="s">
        <v>1422</v>
      </c>
    </row>
    <row r="1028" spans="1:2" x14ac:dyDescent="0.25">
      <c r="A1028" s="36">
        <v>17244648</v>
      </c>
      <c r="B1028" t="s">
        <v>1422</v>
      </c>
    </row>
    <row r="1029" spans="1:2" x14ac:dyDescent="0.25">
      <c r="A1029" s="36">
        <v>30589621499</v>
      </c>
      <c r="B1029" t="s">
        <v>98</v>
      </c>
    </row>
    <row r="1030" spans="1:2" x14ac:dyDescent="0.25">
      <c r="A1030" s="36">
        <v>27119876171</v>
      </c>
      <c r="B1030" t="s">
        <v>1423</v>
      </c>
    </row>
    <row r="1031" spans="1:2" x14ac:dyDescent="0.25">
      <c r="A1031" s="36">
        <v>27119876171</v>
      </c>
      <c r="B1031" t="s">
        <v>1423</v>
      </c>
    </row>
    <row r="1032" spans="1:2" x14ac:dyDescent="0.25">
      <c r="A1032" s="36">
        <v>27119876171</v>
      </c>
      <c r="B1032" t="s">
        <v>1423</v>
      </c>
    </row>
    <row r="1033" spans="1:2" x14ac:dyDescent="0.25">
      <c r="A1033" s="36">
        <v>20120338529</v>
      </c>
      <c r="B1033" t="s">
        <v>474</v>
      </c>
    </row>
    <row r="1034" spans="1:2" x14ac:dyDescent="0.25">
      <c r="A1034" s="36">
        <v>21763167</v>
      </c>
      <c r="B1034" t="s">
        <v>1424</v>
      </c>
    </row>
    <row r="1035" spans="1:2" x14ac:dyDescent="0.25">
      <c r="A1035" s="36">
        <v>4256958</v>
      </c>
      <c r="B1035" t="s">
        <v>1425</v>
      </c>
    </row>
    <row r="1036" spans="1:2" x14ac:dyDescent="0.25">
      <c r="A1036" s="36">
        <v>4247886</v>
      </c>
      <c r="B1036" t="s">
        <v>1425</v>
      </c>
    </row>
    <row r="1037" spans="1:2" x14ac:dyDescent="0.25">
      <c r="A1037" s="36">
        <v>18654119</v>
      </c>
      <c r="B1037" t="s">
        <v>1426</v>
      </c>
    </row>
    <row r="1038" spans="1:2" x14ac:dyDescent="0.25">
      <c r="A1038" s="36">
        <v>22532575</v>
      </c>
      <c r="B1038" t="s">
        <v>1427</v>
      </c>
    </row>
    <row r="1039" spans="1:2" x14ac:dyDescent="0.25">
      <c r="A1039" s="36">
        <v>20638954</v>
      </c>
      <c r="B1039" t="s">
        <v>1428</v>
      </c>
    </row>
    <row r="1040" spans="1:2" x14ac:dyDescent="0.25">
      <c r="A1040" s="36">
        <v>20607782</v>
      </c>
      <c r="B1040" t="s">
        <v>1429</v>
      </c>
    </row>
    <row r="1041" spans="1:3" x14ac:dyDescent="0.25">
      <c r="A1041" s="36">
        <v>17983027</v>
      </c>
      <c r="B1041" t="s">
        <v>1430</v>
      </c>
    </row>
    <row r="1042" spans="1:3" x14ac:dyDescent="0.25">
      <c r="A1042" s="36">
        <v>20182873277</v>
      </c>
      <c r="B1042" t="s">
        <v>475</v>
      </c>
    </row>
    <row r="1043" spans="1:3" x14ac:dyDescent="0.25">
      <c r="A1043" s="36">
        <v>20044258898</v>
      </c>
      <c r="B1043" t="s">
        <v>476</v>
      </c>
    </row>
    <row r="1044" spans="1:3" x14ac:dyDescent="0.25">
      <c r="A1044" s="36">
        <v>30714579920</v>
      </c>
      <c r="B1044" t="s">
        <v>1431</v>
      </c>
    </row>
    <row r="1045" spans="1:3" x14ac:dyDescent="0.25">
      <c r="A1045" s="36">
        <v>27251466756</v>
      </c>
      <c r="B1045" t="s">
        <v>1432</v>
      </c>
      <c r="C1045" s="35" t="s">
        <v>2346</v>
      </c>
    </row>
    <row r="1046" spans="1:3" x14ac:dyDescent="0.25">
      <c r="A1046" s="36">
        <v>93554866</v>
      </c>
      <c r="B1046" t="s">
        <v>1433</v>
      </c>
    </row>
    <row r="1047" spans="1:3" x14ac:dyDescent="0.25">
      <c r="A1047" s="36">
        <v>93554866</v>
      </c>
      <c r="B1047" t="s">
        <v>1433</v>
      </c>
    </row>
    <row r="1048" spans="1:3" x14ac:dyDescent="0.25">
      <c r="A1048" s="36">
        <v>25572827</v>
      </c>
      <c r="B1048" t="s">
        <v>1434</v>
      </c>
    </row>
    <row r="1049" spans="1:3" x14ac:dyDescent="0.25">
      <c r="A1049" s="36">
        <v>27101420391</v>
      </c>
      <c r="B1049" t="s">
        <v>477</v>
      </c>
    </row>
    <row r="1050" spans="1:3" x14ac:dyDescent="0.25">
      <c r="A1050" s="36">
        <v>38359093</v>
      </c>
      <c r="B1050" t="s">
        <v>1435</v>
      </c>
    </row>
    <row r="1051" spans="1:3" x14ac:dyDescent="0.25">
      <c r="A1051" s="36">
        <v>36803648</v>
      </c>
      <c r="B1051" t="s">
        <v>1436</v>
      </c>
    </row>
    <row r="1052" spans="1:3" x14ac:dyDescent="0.25">
      <c r="A1052" s="36">
        <v>26943029</v>
      </c>
      <c r="B1052" t="s">
        <v>1437</v>
      </c>
    </row>
    <row r="1053" spans="1:3" x14ac:dyDescent="0.25">
      <c r="A1053" s="36">
        <v>27228778937</v>
      </c>
      <c r="B1053" t="s">
        <v>478</v>
      </c>
    </row>
    <row r="1054" spans="1:3" x14ac:dyDescent="0.25">
      <c r="A1054" s="36">
        <v>27228778937</v>
      </c>
      <c r="B1054" t="s">
        <v>478</v>
      </c>
    </row>
    <row r="1055" spans="1:3" x14ac:dyDescent="0.25">
      <c r="A1055" s="36">
        <v>27228778937</v>
      </c>
      <c r="B1055" t="s">
        <v>1438</v>
      </c>
    </row>
    <row r="1056" spans="1:3" x14ac:dyDescent="0.25">
      <c r="A1056" s="36">
        <v>27228778937</v>
      </c>
      <c r="B1056" t="s">
        <v>1438</v>
      </c>
    </row>
    <row r="1057" spans="1:2" x14ac:dyDescent="0.25">
      <c r="A1057" s="36">
        <v>4828820</v>
      </c>
      <c r="B1057" t="s">
        <v>1439</v>
      </c>
    </row>
    <row r="1058" spans="1:2" x14ac:dyDescent="0.25">
      <c r="A1058" s="36">
        <v>36727158</v>
      </c>
      <c r="B1058" t="s">
        <v>1440</v>
      </c>
    </row>
    <row r="1059" spans="1:2" x14ac:dyDescent="0.25">
      <c r="A1059" s="36">
        <v>20202134700</v>
      </c>
      <c r="B1059" t="s">
        <v>479</v>
      </c>
    </row>
    <row r="1060" spans="1:2" x14ac:dyDescent="0.25">
      <c r="A1060" s="36">
        <v>20202134700</v>
      </c>
      <c r="B1060" t="s">
        <v>479</v>
      </c>
    </row>
    <row r="1061" spans="1:2" x14ac:dyDescent="0.25">
      <c r="A1061" s="36">
        <v>20202134700</v>
      </c>
      <c r="B1061" t="s">
        <v>479</v>
      </c>
    </row>
    <row r="1062" spans="1:2" x14ac:dyDescent="0.25">
      <c r="A1062" s="36">
        <v>20044447437</v>
      </c>
      <c r="B1062" t="s">
        <v>480</v>
      </c>
    </row>
    <row r="1063" spans="1:2" x14ac:dyDescent="0.25">
      <c r="A1063" s="36">
        <v>30707963065</v>
      </c>
      <c r="B1063" t="s">
        <v>481</v>
      </c>
    </row>
    <row r="1064" spans="1:2" x14ac:dyDescent="0.25">
      <c r="A1064" s="36">
        <v>30715009826</v>
      </c>
      <c r="B1064" t="s">
        <v>482</v>
      </c>
    </row>
    <row r="1065" spans="1:2" x14ac:dyDescent="0.25">
      <c r="A1065" s="36">
        <v>116755922</v>
      </c>
      <c r="B1065" t="s">
        <v>1441</v>
      </c>
    </row>
    <row r="1066" spans="1:2" x14ac:dyDescent="0.25">
      <c r="A1066" s="36">
        <v>4417714</v>
      </c>
      <c r="B1066" t="s">
        <v>1442</v>
      </c>
    </row>
    <row r="1067" spans="1:2" x14ac:dyDescent="0.25">
      <c r="A1067" s="36">
        <v>14247119</v>
      </c>
      <c r="B1067" t="s">
        <v>1443</v>
      </c>
    </row>
    <row r="1068" spans="1:2" x14ac:dyDescent="0.25">
      <c r="A1068" s="36">
        <v>11598698</v>
      </c>
      <c r="B1068" t="s">
        <v>1444</v>
      </c>
    </row>
    <row r="1069" spans="1:2" x14ac:dyDescent="0.25">
      <c r="A1069" s="36">
        <v>92523209</v>
      </c>
      <c r="B1069" t="s">
        <v>1445</v>
      </c>
    </row>
    <row r="1070" spans="1:2" x14ac:dyDescent="0.25">
      <c r="A1070" s="36">
        <v>30568557464</v>
      </c>
      <c r="B1070" t="s">
        <v>483</v>
      </c>
    </row>
    <row r="1071" spans="1:2" x14ac:dyDescent="0.25">
      <c r="A1071" s="36">
        <v>4159809</v>
      </c>
      <c r="B1071" t="s">
        <v>1446</v>
      </c>
    </row>
    <row r="1072" spans="1:2" x14ac:dyDescent="0.25">
      <c r="A1072" s="36">
        <v>17856584</v>
      </c>
      <c r="B1072" t="s">
        <v>1447</v>
      </c>
    </row>
    <row r="1073" spans="1:3" x14ac:dyDescent="0.25">
      <c r="A1073" s="36">
        <v>31494409</v>
      </c>
      <c r="B1073" t="s">
        <v>1448</v>
      </c>
    </row>
    <row r="1074" spans="1:3" x14ac:dyDescent="0.25">
      <c r="A1074" s="36">
        <v>3696852</v>
      </c>
      <c r="B1074" t="s">
        <v>1449</v>
      </c>
    </row>
    <row r="1075" spans="1:3" x14ac:dyDescent="0.25">
      <c r="A1075" s="36">
        <v>30436798</v>
      </c>
      <c r="B1075" t="s">
        <v>1450</v>
      </c>
    </row>
    <row r="1076" spans="1:3" x14ac:dyDescent="0.25">
      <c r="A1076" s="36">
        <v>26836051</v>
      </c>
      <c r="B1076" t="s">
        <v>1451</v>
      </c>
    </row>
    <row r="1077" spans="1:3" x14ac:dyDescent="0.25">
      <c r="A1077" s="36">
        <v>10022314</v>
      </c>
      <c r="B1077" t="s">
        <v>1452</v>
      </c>
    </row>
    <row r="1078" spans="1:3" x14ac:dyDescent="0.25">
      <c r="A1078" s="36">
        <v>34597872</v>
      </c>
      <c r="B1078" t="s">
        <v>1453</v>
      </c>
    </row>
    <row r="1079" spans="1:3" x14ac:dyDescent="0.25">
      <c r="A1079" s="36">
        <v>34597872</v>
      </c>
      <c r="B1079" t="s">
        <v>1453</v>
      </c>
    </row>
    <row r="1080" spans="1:3" x14ac:dyDescent="0.25">
      <c r="A1080" s="36">
        <v>22909573</v>
      </c>
      <c r="B1080" t="s">
        <v>1454</v>
      </c>
    </row>
    <row r="1081" spans="1:3" x14ac:dyDescent="0.25">
      <c r="A1081" s="36">
        <v>20217165114</v>
      </c>
      <c r="B1081" t="s">
        <v>484</v>
      </c>
    </row>
    <row r="1082" spans="1:3" x14ac:dyDescent="0.25">
      <c r="A1082" s="36">
        <v>4543396</v>
      </c>
      <c r="B1082" t="s">
        <v>1455</v>
      </c>
    </row>
    <row r="1083" spans="1:3" x14ac:dyDescent="0.25">
      <c r="A1083" s="36">
        <v>28079829</v>
      </c>
      <c r="B1083" t="s">
        <v>1456</v>
      </c>
    </row>
    <row r="1084" spans="1:3" x14ac:dyDescent="0.25">
      <c r="A1084" s="36">
        <v>29091370</v>
      </c>
      <c r="B1084" t="s">
        <v>1457</v>
      </c>
    </row>
    <row r="1085" spans="1:3" x14ac:dyDescent="0.25">
      <c r="A1085" s="36">
        <v>20249160</v>
      </c>
      <c r="B1085" t="s">
        <v>1458</v>
      </c>
    </row>
    <row r="1086" spans="1:3" x14ac:dyDescent="0.25">
      <c r="A1086" s="36">
        <v>5574861</v>
      </c>
      <c r="B1086" t="s">
        <v>1459</v>
      </c>
    </row>
    <row r="1087" spans="1:3" x14ac:dyDescent="0.25">
      <c r="A1087" s="36">
        <v>27232408737</v>
      </c>
      <c r="B1087" t="s">
        <v>1460</v>
      </c>
    </row>
    <row r="1088" spans="1:3" x14ac:dyDescent="0.25">
      <c r="A1088" s="36">
        <v>30705740670</v>
      </c>
      <c r="B1088" t="s">
        <v>1461</v>
      </c>
      <c r="C1088" s="35" t="s">
        <v>44</v>
      </c>
    </row>
    <row r="1089" spans="1:3" x14ac:dyDescent="0.25">
      <c r="A1089" s="36">
        <v>30715618016</v>
      </c>
      <c r="B1089" t="s">
        <v>1462</v>
      </c>
    </row>
    <row r="1090" spans="1:3" x14ac:dyDescent="0.25">
      <c r="A1090" s="36">
        <v>25865824</v>
      </c>
      <c r="B1090" t="s">
        <v>1463</v>
      </c>
    </row>
    <row r="1091" spans="1:3" x14ac:dyDescent="0.25">
      <c r="A1091" s="36">
        <v>30612865333</v>
      </c>
      <c r="B1091" t="s">
        <v>485</v>
      </c>
    </row>
    <row r="1092" spans="1:3" x14ac:dyDescent="0.25">
      <c r="A1092" s="36">
        <v>51221785</v>
      </c>
      <c r="B1092" t="s">
        <v>1464</v>
      </c>
    </row>
    <row r="1093" spans="1:3" x14ac:dyDescent="0.25">
      <c r="A1093" s="36">
        <v>30709982326</v>
      </c>
      <c r="B1093" t="s">
        <v>486</v>
      </c>
    </row>
    <row r="1094" spans="1:3" x14ac:dyDescent="0.25">
      <c r="A1094" s="36">
        <v>30707518541</v>
      </c>
      <c r="B1094" t="s">
        <v>487</v>
      </c>
    </row>
    <row r="1095" spans="1:3" x14ac:dyDescent="0.25">
      <c r="A1095" s="36">
        <v>30711731217</v>
      </c>
      <c r="B1095" t="s">
        <v>488</v>
      </c>
    </row>
    <row r="1096" spans="1:3" x14ac:dyDescent="0.25">
      <c r="A1096" s="36">
        <v>20131581298</v>
      </c>
      <c r="B1096" t="s">
        <v>489</v>
      </c>
    </row>
    <row r="1097" spans="1:3" x14ac:dyDescent="0.25">
      <c r="A1097" s="36">
        <v>30715672290</v>
      </c>
      <c r="B1097" t="s">
        <v>490</v>
      </c>
    </row>
    <row r="1098" spans="1:3" x14ac:dyDescent="0.25">
      <c r="A1098" s="36">
        <v>30707042679</v>
      </c>
      <c r="B1098" t="s">
        <v>491</v>
      </c>
      <c r="C1098" s="35" t="s">
        <v>2353</v>
      </c>
    </row>
    <row r="1099" spans="1:3" x14ac:dyDescent="0.25">
      <c r="A1099" s="36">
        <v>30707042679</v>
      </c>
      <c r="B1099" t="s">
        <v>491</v>
      </c>
      <c r="C1099" s="35" t="s">
        <v>2353</v>
      </c>
    </row>
    <row r="1100" spans="1:3" x14ac:dyDescent="0.25">
      <c r="A1100" s="36">
        <v>30707042679</v>
      </c>
      <c r="B1100" t="s">
        <v>491</v>
      </c>
      <c r="C1100" s="35" t="s">
        <v>2353</v>
      </c>
    </row>
    <row r="1101" spans="1:3" x14ac:dyDescent="0.25">
      <c r="A1101" s="36">
        <v>30710912579</v>
      </c>
      <c r="B1101" t="s">
        <v>1465</v>
      </c>
    </row>
    <row r="1102" spans="1:3" x14ac:dyDescent="0.25">
      <c r="A1102" s="36">
        <v>30546771314</v>
      </c>
      <c r="B1102" t="s">
        <v>492</v>
      </c>
    </row>
    <row r="1103" spans="1:3" x14ac:dyDescent="0.25">
      <c r="A1103" s="36">
        <v>30546771314</v>
      </c>
      <c r="B1103" t="s">
        <v>1466</v>
      </c>
    </row>
    <row r="1104" spans="1:3" x14ac:dyDescent="0.25">
      <c r="A1104" s="36">
        <v>30546771314</v>
      </c>
      <c r="B1104" t="s">
        <v>1466</v>
      </c>
    </row>
    <row r="1105" spans="1:3" x14ac:dyDescent="0.25">
      <c r="A1105" s="36">
        <v>20229907523</v>
      </c>
      <c r="B1105" t="s">
        <v>493</v>
      </c>
    </row>
    <row r="1106" spans="1:3" x14ac:dyDescent="0.25">
      <c r="A1106" s="36">
        <v>42930825</v>
      </c>
      <c r="B1106" t="s">
        <v>1467</v>
      </c>
    </row>
    <row r="1107" spans="1:3" x14ac:dyDescent="0.25">
      <c r="A1107" s="36">
        <v>30713669004</v>
      </c>
      <c r="B1107" t="s">
        <v>1468</v>
      </c>
    </row>
    <row r="1108" spans="1:3" x14ac:dyDescent="0.25">
      <c r="A1108" s="36">
        <v>4059947</v>
      </c>
      <c r="B1108" t="s">
        <v>1469</v>
      </c>
    </row>
    <row r="1109" spans="1:3" x14ac:dyDescent="0.25">
      <c r="A1109" s="36">
        <v>30714352535</v>
      </c>
      <c r="B1109" t="s">
        <v>494</v>
      </c>
    </row>
    <row r="1110" spans="1:3" x14ac:dyDescent="0.25">
      <c r="A1110" s="36">
        <v>30709319929</v>
      </c>
      <c r="B1110" t="s">
        <v>99</v>
      </c>
    </row>
    <row r="1111" spans="1:3" x14ac:dyDescent="0.25">
      <c r="A1111" s="36">
        <v>20077901370</v>
      </c>
      <c r="B1111" t="s">
        <v>495</v>
      </c>
    </row>
    <row r="1112" spans="1:3" x14ac:dyDescent="0.25">
      <c r="A1112" s="36">
        <v>30712800700</v>
      </c>
      <c r="B1112" t="s">
        <v>496</v>
      </c>
    </row>
    <row r="1113" spans="1:3" x14ac:dyDescent="0.25">
      <c r="A1113" s="36">
        <v>30715686054</v>
      </c>
      <c r="B1113" t="s">
        <v>497</v>
      </c>
    </row>
    <row r="1114" spans="1:3" x14ac:dyDescent="0.25">
      <c r="A1114" s="36">
        <v>30710816049</v>
      </c>
      <c r="B1114" t="s">
        <v>498</v>
      </c>
      <c r="C1114" s="35" t="s">
        <v>2353</v>
      </c>
    </row>
    <row r="1115" spans="1:3" x14ac:dyDescent="0.25">
      <c r="A1115" s="36">
        <v>30710816049</v>
      </c>
      <c r="B1115" t="s">
        <v>498</v>
      </c>
      <c r="C1115" s="35" t="s">
        <v>2353</v>
      </c>
    </row>
    <row r="1116" spans="1:3" x14ac:dyDescent="0.25">
      <c r="A1116" s="36">
        <v>30710816049</v>
      </c>
      <c r="B1116" t="s">
        <v>498</v>
      </c>
      <c r="C1116" s="35" t="s">
        <v>2353</v>
      </c>
    </row>
    <row r="1117" spans="1:3" x14ac:dyDescent="0.25">
      <c r="A1117" s="36">
        <v>27119872311</v>
      </c>
      <c r="B1117" t="s">
        <v>499</v>
      </c>
    </row>
    <row r="1118" spans="1:3" x14ac:dyDescent="0.25">
      <c r="A1118" s="36">
        <v>94313295</v>
      </c>
      <c r="B1118" t="s">
        <v>1470</v>
      </c>
    </row>
    <row r="1119" spans="1:3" x14ac:dyDescent="0.25">
      <c r="A1119" s="36">
        <v>27144787019</v>
      </c>
      <c r="B1119" t="s">
        <v>500</v>
      </c>
    </row>
    <row r="1120" spans="1:3" x14ac:dyDescent="0.25">
      <c r="A1120" s="36">
        <v>27203051234</v>
      </c>
      <c r="B1120" t="s">
        <v>1471</v>
      </c>
    </row>
    <row r="1121" spans="1:3" x14ac:dyDescent="0.25">
      <c r="A1121" s="36">
        <v>8533265</v>
      </c>
      <c r="B1121" t="s">
        <v>1472</v>
      </c>
    </row>
    <row r="1122" spans="1:3" x14ac:dyDescent="0.25">
      <c r="A1122" s="36">
        <v>10398058</v>
      </c>
      <c r="B1122" t="s">
        <v>1473</v>
      </c>
    </row>
    <row r="1123" spans="1:3" x14ac:dyDescent="0.25">
      <c r="A1123" s="36">
        <v>20117741398</v>
      </c>
      <c r="B1123" t="s">
        <v>501</v>
      </c>
    </row>
    <row r="1124" spans="1:3" x14ac:dyDescent="0.25">
      <c r="A1124" s="36">
        <v>30707661492</v>
      </c>
      <c r="B1124" t="s">
        <v>502</v>
      </c>
    </row>
    <row r="1125" spans="1:3" x14ac:dyDescent="0.25">
      <c r="A1125" s="36">
        <v>30703088534</v>
      </c>
      <c r="B1125" t="s">
        <v>503</v>
      </c>
      <c r="C1125" s="35" t="s">
        <v>2348</v>
      </c>
    </row>
    <row r="1126" spans="1:3" x14ac:dyDescent="0.25">
      <c r="A1126" s="36">
        <v>30716425165</v>
      </c>
      <c r="B1126" t="s">
        <v>1474</v>
      </c>
    </row>
    <row r="1127" spans="1:3" x14ac:dyDescent="0.25">
      <c r="A1127" s="36">
        <v>31846511</v>
      </c>
      <c r="B1127" t="s">
        <v>1475</v>
      </c>
    </row>
    <row r="1128" spans="1:3" x14ac:dyDescent="0.25">
      <c r="A1128" s="36">
        <v>6409020</v>
      </c>
      <c r="B1128" t="s">
        <v>1476</v>
      </c>
    </row>
    <row r="1129" spans="1:3" x14ac:dyDescent="0.25">
      <c r="A1129" s="36">
        <v>20142287839</v>
      </c>
      <c r="B1129" t="s">
        <v>1477</v>
      </c>
    </row>
    <row r="1130" spans="1:3" x14ac:dyDescent="0.25">
      <c r="A1130" s="36">
        <v>30679139122</v>
      </c>
      <c r="B1130" t="s">
        <v>504</v>
      </c>
    </row>
    <row r="1131" spans="1:3" x14ac:dyDescent="0.25">
      <c r="A1131" s="36">
        <v>40871852</v>
      </c>
      <c r="B1131" t="s">
        <v>1478</v>
      </c>
    </row>
    <row r="1132" spans="1:3" x14ac:dyDescent="0.25">
      <c r="A1132" s="36">
        <v>30549180783</v>
      </c>
      <c r="B1132" t="s">
        <v>505</v>
      </c>
    </row>
    <row r="1133" spans="1:3" x14ac:dyDescent="0.25">
      <c r="A1133" s="36">
        <v>30520045798</v>
      </c>
      <c r="B1133" t="s">
        <v>506</v>
      </c>
    </row>
    <row r="1134" spans="1:3" x14ac:dyDescent="0.25">
      <c r="A1134" s="36">
        <v>30711350213</v>
      </c>
      <c r="B1134" t="s">
        <v>1479</v>
      </c>
    </row>
    <row r="1135" spans="1:3" x14ac:dyDescent="0.25">
      <c r="A1135" s="36">
        <v>30709016012</v>
      </c>
      <c r="B1135" t="s">
        <v>507</v>
      </c>
    </row>
    <row r="1136" spans="1:3" x14ac:dyDescent="0.25">
      <c r="A1136" s="36">
        <v>30709016012</v>
      </c>
      <c r="B1136" t="s">
        <v>1480</v>
      </c>
    </row>
    <row r="1137" spans="1:3" x14ac:dyDescent="0.25">
      <c r="A1137" s="36">
        <v>30709016012</v>
      </c>
      <c r="B1137" t="s">
        <v>1480</v>
      </c>
    </row>
    <row r="1138" spans="1:3" x14ac:dyDescent="0.25">
      <c r="A1138" s="36">
        <v>30708469986</v>
      </c>
      <c r="B1138" t="s">
        <v>508</v>
      </c>
    </row>
    <row r="1139" spans="1:3" x14ac:dyDescent="0.25">
      <c r="A1139" s="36">
        <v>20317488476</v>
      </c>
      <c r="B1139" t="s">
        <v>1481</v>
      </c>
      <c r="C1139" s="35" t="s">
        <v>2345</v>
      </c>
    </row>
    <row r="1140" spans="1:3" x14ac:dyDescent="0.25">
      <c r="A1140" s="36">
        <v>20317488476</v>
      </c>
      <c r="B1140" t="s">
        <v>1481</v>
      </c>
      <c r="C1140" s="35" t="s">
        <v>2345</v>
      </c>
    </row>
    <row r="1141" spans="1:3" x14ac:dyDescent="0.25">
      <c r="A1141" s="36">
        <v>20317488476</v>
      </c>
      <c r="B1141" t="s">
        <v>1481</v>
      </c>
      <c r="C1141" s="35" t="s">
        <v>2345</v>
      </c>
    </row>
    <row r="1142" spans="1:3" x14ac:dyDescent="0.25">
      <c r="A1142" s="36">
        <v>20171635285</v>
      </c>
      <c r="B1142" t="s">
        <v>509</v>
      </c>
    </row>
    <row r="1143" spans="1:3" x14ac:dyDescent="0.25">
      <c r="A1143" s="36">
        <v>30517306866</v>
      </c>
      <c r="B1143" t="s">
        <v>510</v>
      </c>
    </row>
    <row r="1144" spans="1:3" x14ac:dyDescent="0.25">
      <c r="A1144" s="36">
        <v>20265153209</v>
      </c>
      <c r="B1144" t="s">
        <v>1482</v>
      </c>
    </row>
    <row r="1145" spans="1:3" x14ac:dyDescent="0.25">
      <c r="A1145" s="36">
        <v>13800087</v>
      </c>
      <c r="B1145" t="s">
        <v>1483</v>
      </c>
    </row>
    <row r="1146" spans="1:3" x14ac:dyDescent="0.25">
      <c r="A1146" s="36">
        <v>27101205733</v>
      </c>
      <c r="B1146" t="s">
        <v>511</v>
      </c>
    </row>
    <row r="1147" spans="1:3" x14ac:dyDescent="0.25">
      <c r="A1147" s="36">
        <v>27101205733</v>
      </c>
      <c r="B1147" t="s">
        <v>511</v>
      </c>
    </row>
    <row r="1148" spans="1:3" x14ac:dyDescent="0.25">
      <c r="A1148" s="36">
        <v>27101205733</v>
      </c>
      <c r="B1148" t="s">
        <v>511</v>
      </c>
    </row>
    <row r="1149" spans="1:3" x14ac:dyDescent="0.25">
      <c r="A1149" s="36">
        <v>30685116657</v>
      </c>
      <c r="B1149" t="s">
        <v>512</v>
      </c>
      <c r="C1149" s="35" t="s">
        <v>44</v>
      </c>
    </row>
    <row r="1150" spans="1:3" x14ac:dyDescent="0.25">
      <c r="A1150" s="36">
        <v>10401713</v>
      </c>
      <c r="B1150" t="s">
        <v>1484</v>
      </c>
    </row>
    <row r="1151" spans="1:3" x14ac:dyDescent="0.25">
      <c r="A1151" s="36">
        <v>30715772783</v>
      </c>
      <c r="B1151" t="s">
        <v>513</v>
      </c>
    </row>
    <row r="1152" spans="1:3" x14ac:dyDescent="0.25">
      <c r="A1152" s="36">
        <v>20120766598</v>
      </c>
      <c r="B1152" t="s">
        <v>514</v>
      </c>
    </row>
    <row r="1153" spans="1:2" x14ac:dyDescent="0.25">
      <c r="A1153" s="36">
        <v>22040665</v>
      </c>
      <c r="B1153" t="s">
        <v>1485</v>
      </c>
    </row>
    <row r="1154" spans="1:2" x14ac:dyDescent="0.25">
      <c r="A1154" s="36">
        <v>13614301</v>
      </c>
      <c r="B1154" t="s">
        <v>1486</v>
      </c>
    </row>
    <row r="1155" spans="1:2" x14ac:dyDescent="0.25">
      <c r="A1155" s="36">
        <v>20269013746</v>
      </c>
      <c r="B1155" t="s">
        <v>515</v>
      </c>
    </row>
    <row r="1156" spans="1:2" x14ac:dyDescent="0.25">
      <c r="A1156" s="36">
        <v>20291935401</v>
      </c>
      <c r="B1156" t="s">
        <v>1487</v>
      </c>
    </row>
    <row r="1157" spans="1:2" x14ac:dyDescent="0.25">
      <c r="A1157" s="36">
        <v>20291935401</v>
      </c>
      <c r="B1157" t="s">
        <v>1487</v>
      </c>
    </row>
    <row r="1158" spans="1:2" x14ac:dyDescent="0.25">
      <c r="A1158" s="36">
        <v>20291935401</v>
      </c>
      <c r="B1158" t="s">
        <v>516</v>
      </c>
    </row>
    <row r="1159" spans="1:2" x14ac:dyDescent="0.25">
      <c r="A1159" s="36">
        <v>30500858628</v>
      </c>
      <c r="B1159" t="s">
        <v>100</v>
      </c>
    </row>
    <row r="1160" spans="1:2" x14ac:dyDescent="0.25">
      <c r="A1160" s="36">
        <v>30714088862</v>
      </c>
      <c r="B1160" t="s">
        <v>1488</v>
      </c>
    </row>
    <row r="1161" spans="1:2" x14ac:dyDescent="0.25">
      <c r="A1161" s="36">
        <v>4703895</v>
      </c>
      <c r="B1161" t="s">
        <v>1489</v>
      </c>
    </row>
    <row r="1162" spans="1:2" x14ac:dyDescent="0.25">
      <c r="A1162" s="36">
        <v>3697287</v>
      </c>
      <c r="B1162" t="s">
        <v>1490</v>
      </c>
    </row>
    <row r="1163" spans="1:2" x14ac:dyDescent="0.25">
      <c r="A1163" s="36">
        <v>20081262897</v>
      </c>
      <c r="B1163" t="s">
        <v>517</v>
      </c>
    </row>
    <row r="1164" spans="1:2" x14ac:dyDescent="0.25">
      <c r="A1164" s="36">
        <v>5783979</v>
      </c>
      <c r="B1164" t="s">
        <v>1491</v>
      </c>
    </row>
    <row r="1165" spans="1:2" x14ac:dyDescent="0.25">
      <c r="A1165" s="36">
        <v>3993858</v>
      </c>
      <c r="B1165" t="s">
        <v>1492</v>
      </c>
    </row>
    <row r="1166" spans="1:2" x14ac:dyDescent="0.25">
      <c r="A1166" s="36">
        <v>22138178</v>
      </c>
      <c r="B1166" t="s">
        <v>1493</v>
      </c>
    </row>
    <row r="1167" spans="1:2" x14ac:dyDescent="0.25">
      <c r="A1167" s="36">
        <v>27390888</v>
      </c>
      <c r="B1167" t="s">
        <v>1494</v>
      </c>
    </row>
    <row r="1168" spans="1:2" x14ac:dyDescent="0.25">
      <c r="A1168" s="36">
        <v>20127096733</v>
      </c>
      <c r="B1168" t="s">
        <v>1495</v>
      </c>
    </row>
    <row r="1169" spans="1:3" x14ac:dyDescent="0.25">
      <c r="A1169" s="36">
        <v>30219412</v>
      </c>
      <c r="B1169" t="s">
        <v>1496</v>
      </c>
    </row>
    <row r="1170" spans="1:3" x14ac:dyDescent="0.25">
      <c r="A1170" s="36">
        <v>27202892936</v>
      </c>
      <c r="B1170" t="s">
        <v>1497</v>
      </c>
      <c r="C1170" s="35" t="s">
        <v>2351</v>
      </c>
    </row>
    <row r="1171" spans="1:3" x14ac:dyDescent="0.25">
      <c r="A1171" s="36">
        <v>30708608994</v>
      </c>
      <c r="B1171" t="s">
        <v>518</v>
      </c>
    </row>
    <row r="1172" spans="1:3" x14ac:dyDescent="0.25">
      <c r="A1172" s="36">
        <v>38991242</v>
      </c>
      <c r="B1172" t="s">
        <v>1498</v>
      </c>
    </row>
    <row r="1173" spans="1:3" x14ac:dyDescent="0.25">
      <c r="A1173" s="36">
        <v>26562776</v>
      </c>
      <c r="B1173" t="s">
        <v>1499</v>
      </c>
    </row>
    <row r="1174" spans="1:3" x14ac:dyDescent="0.25">
      <c r="A1174" s="36">
        <v>30713713909</v>
      </c>
      <c r="B1174" t="s">
        <v>519</v>
      </c>
    </row>
    <row r="1175" spans="1:3" x14ac:dyDescent="0.25">
      <c r="A1175" s="36">
        <v>30716157217</v>
      </c>
      <c r="B1175" t="s">
        <v>1500</v>
      </c>
    </row>
    <row r="1176" spans="1:3" x14ac:dyDescent="0.25">
      <c r="A1176" s="36">
        <v>52442925</v>
      </c>
      <c r="B1176" t="s">
        <v>1501</v>
      </c>
    </row>
    <row r="1177" spans="1:3" x14ac:dyDescent="0.25">
      <c r="A1177" s="36">
        <v>34008653</v>
      </c>
      <c r="B1177" t="s">
        <v>1502</v>
      </c>
    </row>
    <row r="1178" spans="1:3" x14ac:dyDescent="0.25">
      <c r="A1178" s="36">
        <v>27677788</v>
      </c>
      <c r="B1178" t="s">
        <v>1503</v>
      </c>
    </row>
    <row r="1179" spans="1:3" x14ac:dyDescent="0.25">
      <c r="A1179" s="36">
        <v>30712045562</v>
      </c>
      <c r="B1179" t="s">
        <v>1504</v>
      </c>
    </row>
    <row r="1180" spans="1:3" x14ac:dyDescent="0.25">
      <c r="A1180" s="36">
        <v>30632563856</v>
      </c>
      <c r="B1180" t="s">
        <v>520</v>
      </c>
    </row>
    <row r="1181" spans="1:3" x14ac:dyDescent="0.25">
      <c r="A1181" s="36">
        <v>30557676798</v>
      </c>
      <c r="B1181" t="s">
        <v>101</v>
      </c>
    </row>
    <row r="1182" spans="1:3" x14ac:dyDescent="0.25">
      <c r="A1182" s="36">
        <v>30573785742</v>
      </c>
      <c r="B1182" t="s">
        <v>521</v>
      </c>
    </row>
    <row r="1183" spans="1:3" x14ac:dyDescent="0.25">
      <c r="A1183" s="36">
        <v>30709242888</v>
      </c>
      <c r="B1183" t="s">
        <v>1505</v>
      </c>
    </row>
    <row r="1184" spans="1:3" x14ac:dyDescent="0.25">
      <c r="A1184" s="36">
        <v>26348034</v>
      </c>
      <c r="B1184" t="s">
        <v>1506</v>
      </c>
    </row>
    <row r="1185" spans="1:3" x14ac:dyDescent="0.25">
      <c r="A1185" s="36">
        <v>34770265</v>
      </c>
      <c r="B1185" t="s">
        <v>1507</v>
      </c>
    </row>
    <row r="1186" spans="1:3" x14ac:dyDescent="0.25">
      <c r="A1186" s="36">
        <v>3686398</v>
      </c>
      <c r="B1186" t="s">
        <v>1508</v>
      </c>
    </row>
    <row r="1187" spans="1:3" x14ac:dyDescent="0.25">
      <c r="A1187" s="36">
        <v>16725441</v>
      </c>
      <c r="B1187" t="s">
        <v>1509</v>
      </c>
    </row>
    <row r="1188" spans="1:3" x14ac:dyDescent="0.25">
      <c r="A1188" s="36">
        <v>20222749035</v>
      </c>
      <c r="B1188" t="s">
        <v>1510</v>
      </c>
    </row>
    <row r="1189" spans="1:3" x14ac:dyDescent="0.25">
      <c r="A1189" s="36">
        <v>20045461611</v>
      </c>
      <c r="B1189" t="s">
        <v>1511</v>
      </c>
    </row>
    <row r="1190" spans="1:3" x14ac:dyDescent="0.25">
      <c r="A1190" s="36">
        <v>23306035444</v>
      </c>
      <c r="B1190" t="s">
        <v>1512</v>
      </c>
      <c r="C1190" s="35" t="s">
        <v>2356</v>
      </c>
    </row>
    <row r="1191" spans="1:3" x14ac:dyDescent="0.25">
      <c r="A1191" s="36">
        <v>33608724279</v>
      </c>
      <c r="B1191" t="s">
        <v>522</v>
      </c>
    </row>
    <row r="1192" spans="1:3" x14ac:dyDescent="0.25">
      <c r="A1192" s="36">
        <v>30707983732</v>
      </c>
      <c r="B1192" t="s">
        <v>523</v>
      </c>
    </row>
    <row r="1193" spans="1:3" x14ac:dyDescent="0.25">
      <c r="A1193" s="36">
        <v>28907586</v>
      </c>
      <c r="B1193" t="s">
        <v>1513</v>
      </c>
    </row>
    <row r="1194" spans="1:3" x14ac:dyDescent="0.25">
      <c r="A1194" s="36">
        <v>4282596</v>
      </c>
      <c r="B1194" t="s">
        <v>1514</v>
      </c>
    </row>
    <row r="1195" spans="1:3" x14ac:dyDescent="0.25">
      <c r="A1195" s="36">
        <v>8557300</v>
      </c>
      <c r="B1195" t="s">
        <v>1515</v>
      </c>
    </row>
    <row r="1196" spans="1:3" x14ac:dyDescent="0.25">
      <c r="A1196" s="36">
        <v>27209563113</v>
      </c>
      <c r="B1196" t="s">
        <v>524</v>
      </c>
    </row>
    <row r="1197" spans="1:3" x14ac:dyDescent="0.25">
      <c r="A1197" s="36">
        <v>27187727540</v>
      </c>
      <c r="B1197" t="s">
        <v>1516</v>
      </c>
    </row>
    <row r="1198" spans="1:3" x14ac:dyDescent="0.25">
      <c r="A1198" s="36">
        <v>30713979704</v>
      </c>
      <c r="B1198" t="s">
        <v>525</v>
      </c>
    </row>
    <row r="1199" spans="1:3" x14ac:dyDescent="0.25">
      <c r="A1199" s="36">
        <v>20174004146</v>
      </c>
      <c r="B1199" t="s">
        <v>1517</v>
      </c>
    </row>
    <row r="1200" spans="1:3" x14ac:dyDescent="0.25">
      <c r="A1200" s="36">
        <v>20315107807</v>
      </c>
      <c r="B1200" t="s">
        <v>1518</v>
      </c>
    </row>
    <row r="1201" spans="1:2" x14ac:dyDescent="0.25">
      <c r="A1201" s="36">
        <v>20315107807</v>
      </c>
      <c r="B1201" t="s">
        <v>1518</v>
      </c>
    </row>
    <row r="1202" spans="1:2" x14ac:dyDescent="0.25">
      <c r="A1202" s="36">
        <v>20315107807</v>
      </c>
      <c r="B1202" t="s">
        <v>1519</v>
      </c>
    </row>
    <row r="1203" spans="1:2" x14ac:dyDescent="0.25">
      <c r="A1203" s="36">
        <v>20315107807</v>
      </c>
      <c r="B1203" t="s">
        <v>1519</v>
      </c>
    </row>
    <row r="1204" spans="1:2" x14ac:dyDescent="0.25">
      <c r="A1204" s="36">
        <v>20315107807</v>
      </c>
      <c r="B1204" t="s">
        <v>1519</v>
      </c>
    </row>
    <row r="1205" spans="1:2" x14ac:dyDescent="0.25">
      <c r="A1205" s="36">
        <v>18178048</v>
      </c>
      <c r="B1205" t="s">
        <v>1520</v>
      </c>
    </row>
    <row r="1206" spans="1:2" x14ac:dyDescent="0.25">
      <c r="A1206" s="36">
        <v>20181837617</v>
      </c>
      <c r="B1206" t="s">
        <v>526</v>
      </c>
    </row>
    <row r="1207" spans="1:2" x14ac:dyDescent="0.25">
      <c r="A1207" s="36">
        <v>30652010489</v>
      </c>
      <c r="B1207" t="s">
        <v>527</v>
      </c>
    </row>
    <row r="1208" spans="1:2" x14ac:dyDescent="0.25">
      <c r="A1208" s="36">
        <v>33972867</v>
      </c>
      <c r="B1208" t="s">
        <v>1521</v>
      </c>
    </row>
    <row r="1209" spans="1:2" x14ac:dyDescent="0.25">
      <c r="A1209" s="36">
        <v>34713487</v>
      </c>
      <c r="B1209" t="s">
        <v>1522</v>
      </c>
    </row>
    <row r="1210" spans="1:2" x14ac:dyDescent="0.25">
      <c r="A1210" s="36">
        <v>4491059</v>
      </c>
      <c r="B1210" t="s">
        <v>1523</v>
      </c>
    </row>
    <row r="1211" spans="1:2" x14ac:dyDescent="0.25">
      <c r="A1211" s="36">
        <v>27259489976</v>
      </c>
      <c r="B1211" t="s">
        <v>528</v>
      </c>
    </row>
    <row r="1212" spans="1:2" x14ac:dyDescent="0.25">
      <c r="A1212" s="36">
        <v>3220472</v>
      </c>
      <c r="B1212" t="s">
        <v>1524</v>
      </c>
    </row>
    <row r="1213" spans="1:2" x14ac:dyDescent="0.25">
      <c r="A1213" s="36">
        <v>284298</v>
      </c>
      <c r="B1213" t="s">
        <v>1525</v>
      </c>
    </row>
    <row r="1214" spans="1:2" x14ac:dyDescent="0.25">
      <c r="A1214" s="36">
        <v>7440566</v>
      </c>
      <c r="B1214" t="s">
        <v>1526</v>
      </c>
    </row>
    <row r="1215" spans="1:2" x14ac:dyDescent="0.25">
      <c r="A1215" s="36">
        <v>30598946694</v>
      </c>
      <c r="B1215" t="s">
        <v>529</v>
      </c>
    </row>
    <row r="1216" spans="1:2" x14ac:dyDescent="0.25">
      <c r="A1216" s="36">
        <v>33115002</v>
      </c>
      <c r="B1216" t="s">
        <v>1527</v>
      </c>
    </row>
    <row r="1217" spans="1:2" x14ac:dyDescent="0.25">
      <c r="A1217" s="36">
        <v>11020277</v>
      </c>
      <c r="B1217" t="s">
        <v>1528</v>
      </c>
    </row>
    <row r="1218" spans="1:2" x14ac:dyDescent="0.25">
      <c r="A1218" s="36">
        <v>20363081755</v>
      </c>
      <c r="B1218" t="s">
        <v>1529</v>
      </c>
    </row>
    <row r="1219" spans="1:2" x14ac:dyDescent="0.25">
      <c r="A1219" s="36">
        <v>30546764040</v>
      </c>
      <c r="B1219" t="s">
        <v>530</v>
      </c>
    </row>
    <row r="1220" spans="1:2" x14ac:dyDescent="0.25">
      <c r="A1220" s="36">
        <v>20232991527</v>
      </c>
      <c r="B1220" t="s">
        <v>531</v>
      </c>
    </row>
    <row r="1221" spans="1:2" x14ac:dyDescent="0.25">
      <c r="A1221" s="36">
        <v>20232991527</v>
      </c>
      <c r="B1221" t="s">
        <v>531</v>
      </c>
    </row>
    <row r="1222" spans="1:2" x14ac:dyDescent="0.25">
      <c r="A1222" s="36">
        <v>20232991527</v>
      </c>
      <c r="B1222" t="s">
        <v>531</v>
      </c>
    </row>
    <row r="1223" spans="1:2" x14ac:dyDescent="0.25">
      <c r="A1223" s="36">
        <v>30709822116</v>
      </c>
      <c r="B1223" t="s">
        <v>532</v>
      </c>
    </row>
    <row r="1224" spans="1:2" x14ac:dyDescent="0.25">
      <c r="A1224" s="36">
        <v>30714773255</v>
      </c>
      <c r="B1224" t="s">
        <v>1530</v>
      </c>
    </row>
    <row r="1225" spans="1:2" x14ac:dyDescent="0.25">
      <c r="A1225" s="36">
        <v>30715284142</v>
      </c>
      <c r="B1225" t="s">
        <v>1531</v>
      </c>
    </row>
    <row r="1226" spans="1:2" x14ac:dyDescent="0.25">
      <c r="A1226" s="36">
        <v>23570</v>
      </c>
      <c r="B1226" t="s">
        <v>1532</v>
      </c>
    </row>
    <row r="1227" spans="1:2" x14ac:dyDescent="0.25">
      <c r="A1227" s="36">
        <v>20251270202</v>
      </c>
      <c r="B1227" t="s">
        <v>533</v>
      </c>
    </row>
    <row r="1228" spans="1:2" x14ac:dyDescent="0.25">
      <c r="A1228" s="36">
        <v>20298653541</v>
      </c>
      <c r="B1228" t="s">
        <v>534</v>
      </c>
    </row>
    <row r="1229" spans="1:2" x14ac:dyDescent="0.25">
      <c r="A1229" s="36">
        <v>20376871119</v>
      </c>
      <c r="B1229" t="s">
        <v>1533</v>
      </c>
    </row>
    <row r="1230" spans="1:2" x14ac:dyDescent="0.25">
      <c r="A1230" s="36">
        <v>8290155</v>
      </c>
      <c r="B1230" t="s">
        <v>1534</v>
      </c>
    </row>
    <row r="1231" spans="1:2" x14ac:dyDescent="0.25">
      <c r="A1231" s="36">
        <v>20171082464</v>
      </c>
      <c r="B1231" t="s">
        <v>535</v>
      </c>
    </row>
    <row r="1232" spans="1:2" x14ac:dyDescent="0.25">
      <c r="A1232" s="36">
        <v>23147243669</v>
      </c>
      <c r="B1232" t="s">
        <v>536</v>
      </c>
    </row>
    <row r="1233" spans="1:3" x14ac:dyDescent="0.25">
      <c r="A1233" s="36">
        <v>30686222086</v>
      </c>
      <c r="B1233" t="s">
        <v>537</v>
      </c>
    </row>
    <row r="1234" spans="1:3" x14ac:dyDescent="0.25">
      <c r="A1234" s="36">
        <v>30715564749</v>
      </c>
      <c r="B1234" t="s">
        <v>538</v>
      </c>
    </row>
    <row r="1235" spans="1:3" x14ac:dyDescent="0.25">
      <c r="A1235" s="36">
        <v>30625911334</v>
      </c>
      <c r="B1235" t="s">
        <v>539</v>
      </c>
    </row>
    <row r="1236" spans="1:3" x14ac:dyDescent="0.25">
      <c r="A1236" s="36">
        <v>30685437011</v>
      </c>
      <c r="B1236" t="s">
        <v>540</v>
      </c>
    </row>
    <row r="1237" spans="1:3" x14ac:dyDescent="0.25">
      <c r="A1237" s="36">
        <v>30709318965</v>
      </c>
      <c r="B1237" t="s">
        <v>541</v>
      </c>
    </row>
    <row r="1238" spans="1:3" x14ac:dyDescent="0.25">
      <c r="A1238" s="36">
        <v>30714113395</v>
      </c>
      <c r="B1238" t="s">
        <v>542</v>
      </c>
    </row>
    <row r="1239" spans="1:3" x14ac:dyDescent="0.25">
      <c r="A1239" s="36">
        <v>30715263676</v>
      </c>
      <c r="B1239" t="s">
        <v>543</v>
      </c>
    </row>
    <row r="1240" spans="1:3" x14ac:dyDescent="0.25">
      <c r="A1240" s="36">
        <v>30702652975</v>
      </c>
      <c r="B1240" t="s">
        <v>544</v>
      </c>
      <c r="C1240" s="35" t="s">
        <v>2359</v>
      </c>
    </row>
    <row r="1241" spans="1:3" x14ac:dyDescent="0.25">
      <c r="A1241" s="36">
        <v>30715399519</v>
      </c>
      <c r="B1241" t="s">
        <v>1535</v>
      </c>
    </row>
    <row r="1242" spans="1:3" x14ac:dyDescent="0.25">
      <c r="A1242" s="36">
        <v>30715399519</v>
      </c>
      <c r="B1242" t="s">
        <v>1535</v>
      </c>
    </row>
    <row r="1243" spans="1:3" x14ac:dyDescent="0.25">
      <c r="A1243" s="36">
        <v>30714187658</v>
      </c>
      <c r="B1243" t="s">
        <v>545</v>
      </c>
    </row>
    <row r="1244" spans="1:3" x14ac:dyDescent="0.25">
      <c r="A1244" s="36">
        <v>30707215689</v>
      </c>
      <c r="B1244" t="s">
        <v>546</v>
      </c>
    </row>
    <row r="1245" spans="1:3" x14ac:dyDescent="0.25">
      <c r="A1245" s="36">
        <v>9353463</v>
      </c>
      <c r="B1245" t="s">
        <v>1536</v>
      </c>
    </row>
    <row r="1246" spans="1:3" x14ac:dyDescent="0.25">
      <c r="A1246" s="36">
        <v>20222347719</v>
      </c>
      <c r="B1246" t="s">
        <v>1537</v>
      </c>
    </row>
    <row r="1247" spans="1:3" x14ac:dyDescent="0.25">
      <c r="A1247" s="36">
        <v>11322852</v>
      </c>
      <c r="B1247" t="s">
        <v>1538</v>
      </c>
    </row>
    <row r="1248" spans="1:3" x14ac:dyDescent="0.25">
      <c r="A1248" s="36">
        <v>30504854023</v>
      </c>
      <c r="B1248" t="s">
        <v>547</v>
      </c>
    </row>
    <row r="1249" spans="1:2" x14ac:dyDescent="0.25">
      <c r="A1249" s="36">
        <v>30536259194</v>
      </c>
      <c r="B1249" t="s">
        <v>1539</v>
      </c>
    </row>
    <row r="1250" spans="1:2" x14ac:dyDescent="0.25">
      <c r="A1250" s="36">
        <v>30536259194</v>
      </c>
      <c r="B1250" t="s">
        <v>1539</v>
      </c>
    </row>
    <row r="1251" spans="1:2" x14ac:dyDescent="0.25">
      <c r="A1251" s="36">
        <v>30500053522</v>
      </c>
      <c r="B1251" t="s">
        <v>548</v>
      </c>
    </row>
    <row r="1252" spans="1:2" x14ac:dyDescent="0.25">
      <c r="A1252" s="36">
        <v>30658137642</v>
      </c>
      <c r="B1252" t="s">
        <v>549</v>
      </c>
    </row>
    <row r="1253" spans="1:2" x14ac:dyDescent="0.25">
      <c r="A1253" s="36">
        <v>33600011869</v>
      </c>
      <c r="B1253" t="s">
        <v>550</v>
      </c>
    </row>
    <row r="1254" spans="1:2" x14ac:dyDescent="0.25">
      <c r="A1254" s="36">
        <v>30609521941</v>
      </c>
      <c r="B1254" t="s">
        <v>551</v>
      </c>
    </row>
    <row r="1255" spans="1:2" x14ac:dyDescent="0.25">
      <c r="A1255" s="36">
        <v>30590412631</v>
      </c>
      <c r="B1255" t="s">
        <v>552</v>
      </c>
    </row>
    <row r="1256" spans="1:2" x14ac:dyDescent="0.25">
      <c r="A1256" s="36">
        <v>27209647252</v>
      </c>
      <c r="B1256" t="s">
        <v>1540</v>
      </c>
    </row>
    <row r="1257" spans="1:2" x14ac:dyDescent="0.25">
      <c r="A1257" s="36">
        <v>322114</v>
      </c>
      <c r="B1257" t="s">
        <v>1541</v>
      </c>
    </row>
    <row r="1258" spans="1:2" x14ac:dyDescent="0.25">
      <c r="A1258" s="36">
        <v>30646217977</v>
      </c>
      <c r="B1258" t="s">
        <v>1542</v>
      </c>
    </row>
    <row r="1259" spans="1:2" x14ac:dyDescent="0.25">
      <c r="A1259" s="36">
        <v>30585412453</v>
      </c>
      <c r="B1259" t="s">
        <v>553</v>
      </c>
    </row>
    <row r="1260" spans="1:2" x14ac:dyDescent="0.25">
      <c r="A1260" s="36">
        <v>30500053522</v>
      </c>
      <c r="B1260" t="s">
        <v>1543</v>
      </c>
    </row>
    <row r="1261" spans="1:2" x14ac:dyDescent="0.25">
      <c r="A1261" s="36">
        <v>30500053522</v>
      </c>
      <c r="B1261" t="s">
        <v>1543</v>
      </c>
    </row>
    <row r="1262" spans="1:2" x14ac:dyDescent="0.25">
      <c r="A1262" s="36" t="s">
        <v>1544</v>
      </c>
      <c r="B1262" t="s">
        <v>1543</v>
      </c>
    </row>
    <row r="1263" spans="1:2" x14ac:dyDescent="0.25">
      <c r="A1263" s="36">
        <v>30608716390</v>
      </c>
      <c r="B1263" t="s">
        <v>1545</v>
      </c>
    </row>
    <row r="1264" spans="1:2" x14ac:dyDescent="0.25">
      <c r="A1264" s="36">
        <v>30546846217</v>
      </c>
      <c r="B1264" t="s">
        <v>554</v>
      </c>
    </row>
    <row r="1265" spans="1:2" x14ac:dyDescent="0.25">
      <c r="A1265" s="36">
        <v>30683032227</v>
      </c>
      <c r="B1265" t="s">
        <v>1546</v>
      </c>
    </row>
    <row r="1266" spans="1:2" x14ac:dyDescent="0.25">
      <c r="A1266" s="36">
        <v>26857099</v>
      </c>
      <c r="B1266" t="s">
        <v>1547</v>
      </c>
    </row>
    <row r="1267" spans="1:2" x14ac:dyDescent="0.25">
      <c r="A1267" s="36">
        <v>30714911976</v>
      </c>
      <c r="B1267" t="s">
        <v>555</v>
      </c>
    </row>
    <row r="1268" spans="1:2" x14ac:dyDescent="0.25">
      <c r="A1268" s="36">
        <v>4024034</v>
      </c>
      <c r="B1268" t="s">
        <v>1548</v>
      </c>
    </row>
    <row r="1269" spans="1:2" x14ac:dyDescent="0.25">
      <c r="A1269" s="36">
        <v>27162975841</v>
      </c>
      <c r="B1269" t="s">
        <v>1549</v>
      </c>
    </row>
    <row r="1270" spans="1:2" x14ac:dyDescent="0.25">
      <c r="A1270" s="36">
        <v>20177474844</v>
      </c>
      <c r="B1270" t="s">
        <v>556</v>
      </c>
    </row>
    <row r="1271" spans="1:2" x14ac:dyDescent="0.25">
      <c r="A1271" s="36">
        <v>30708387114</v>
      </c>
      <c r="B1271" t="s">
        <v>557</v>
      </c>
    </row>
    <row r="1272" spans="1:2" x14ac:dyDescent="0.25">
      <c r="A1272" s="36">
        <v>30709059471</v>
      </c>
      <c r="B1272" t="s">
        <v>558</v>
      </c>
    </row>
    <row r="1273" spans="1:2" x14ac:dyDescent="0.25">
      <c r="A1273" s="36">
        <v>30702843576</v>
      </c>
      <c r="B1273" t="s">
        <v>559</v>
      </c>
    </row>
    <row r="1274" spans="1:2" x14ac:dyDescent="0.25">
      <c r="A1274" s="36">
        <v>30707092781</v>
      </c>
      <c r="B1274" t="s">
        <v>560</v>
      </c>
    </row>
    <row r="1275" spans="1:2" x14ac:dyDescent="0.25">
      <c r="A1275" s="36">
        <v>30709678392</v>
      </c>
      <c r="B1275" t="s">
        <v>1550</v>
      </c>
    </row>
    <row r="1276" spans="1:2" x14ac:dyDescent="0.25">
      <c r="A1276" s="36">
        <v>6559583</v>
      </c>
      <c r="B1276" t="s">
        <v>1551</v>
      </c>
    </row>
    <row r="1277" spans="1:2" x14ac:dyDescent="0.25">
      <c r="A1277" s="36">
        <v>27937907473</v>
      </c>
      <c r="B1277" t="s">
        <v>561</v>
      </c>
    </row>
    <row r="1278" spans="1:2" x14ac:dyDescent="0.25">
      <c r="A1278" s="36">
        <v>27405786066</v>
      </c>
      <c r="B1278" t="s">
        <v>562</v>
      </c>
    </row>
    <row r="1279" spans="1:2" x14ac:dyDescent="0.25">
      <c r="A1279" s="36">
        <v>56136</v>
      </c>
      <c r="B1279" t="s">
        <v>1552</v>
      </c>
    </row>
    <row r="1280" spans="1:2" x14ac:dyDescent="0.25">
      <c r="A1280" s="36">
        <v>30603810550</v>
      </c>
      <c r="B1280" t="s">
        <v>563</v>
      </c>
    </row>
    <row r="1281" spans="1:3" x14ac:dyDescent="0.25">
      <c r="A1281" s="36">
        <v>4483978</v>
      </c>
      <c r="B1281" t="s">
        <v>1553</v>
      </c>
    </row>
    <row r="1282" spans="1:3" x14ac:dyDescent="0.25">
      <c r="A1282" s="36">
        <v>4408203</v>
      </c>
      <c r="B1282" t="s">
        <v>1554</v>
      </c>
    </row>
    <row r="1283" spans="1:3" x14ac:dyDescent="0.25">
      <c r="A1283" s="36">
        <v>4408203</v>
      </c>
      <c r="B1283" t="s">
        <v>1554</v>
      </c>
    </row>
    <row r="1284" spans="1:3" x14ac:dyDescent="0.25">
      <c r="A1284" s="36">
        <v>7898830</v>
      </c>
      <c r="B1284" t="s">
        <v>1555</v>
      </c>
    </row>
    <row r="1285" spans="1:3" x14ac:dyDescent="0.25">
      <c r="A1285" s="36">
        <v>30712341803</v>
      </c>
      <c r="B1285" t="s">
        <v>564</v>
      </c>
    </row>
    <row r="1286" spans="1:3" x14ac:dyDescent="0.25">
      <c r="A1286" s="36">
        <v>30550245309</v>
      </c>
      <c r="B1286" t="s">
        <v>565</v>
      </c>
    </row>
    <row r="1287" spans="1:3" x14ac:dyDescent="0.25">
      <c r="A1287" s="36">
        <v>30711377944</v>
      </c>
      <c r="B1287" t="s">
        <v>1556</v>
      </c>
    </row>
    <row r="1288" spans="1:3" x14ac:dyDescent="0.25">
      <c r="A1288" s="36">
        <v>17737411</v>
      </c>
      <c r="B1288" t="s">
        <v>1557</v>
      </c>
    </row>
    <row r="1289" spans="1:3" x14ac:dyDescent="0.25">
      <c r="A1289" s="36">
        <v>30655042772</v>
      </c>
      <c r="B1289" t="s">
        <v>566</v>
      </c>
    </row>
    <row r="1290" spans="1:3" x14ac:dyDescent="0.25">
      <c r="A1290" s="36">
        <v>3216383</v>
      </c>
      <c r="B1290" t="s">
        <v>1558</v>
      </c>
    </row>
    <row r="1291" spans="1:3" x14ac:dyDescent="0.25">
      <c r="A1291" s="36">
        <v>30678774495</v>
      </c>
      <c r="B1291" t="s">
        <v>102</v>
      </c>
      <c r="C1291" s="35" t="s">
        <v>44</v>
      </c>
    </row>
    <row r="1292" spans="1:3" x14ac:dyDescent="0.25">
      <c r="A1292" s="36">
        <v>30611371213</v>
      </c>
      <c r="B1292" t="s">
        <v>567</v>
      </c>
    </row>
    <row r="1293" spans="1:3" x14ac:dyDescent="0.25">
      <c r="A1293" s="36">
        <v>30500597557</v>
      </c>
      <c r="B1293" t="s">
        <v>567</v>
      </c>
    </row>
    <row r="1294" spans="1:3" x14ac:dyDescent="0.25">
      <c r="A1294" s="36">
        <v>30536259194</v>
      </c>
      <c r="B1294" t="s">
        <v>568</v>
      </c>
    </row>
    <row r="1295" spans="1:3" x14ac:dyDescent="0.25">
      <c r="A1295" s="36">
        <v>30688264711</v>
      </c>
      <c r="B1295" t="s">
        <v>569</v>
      </c>
    </row>
    <row r="1296" spans="1:3" x14ac:dyDescent="0.25">
      <c r="A1296" s="36">
        <v>14894941</v>
      </c>
      <c r="B1296" t="s">
        <v>1559</v>
      </c>
    </row>
    <row r="1297" spans="1:3" x14ac:dyDescent="0.25">
      <c r="A1297" s="36">
        <v>31831049</v>
      </c>
      <c r="B1297" t="s">
        <v>1560</v>
      </c>
    </row>
    <row r="1298" spans="1:3" x14ac:dyDescent="0.25">
      <c r="A1298" s="36">
        <v>20076817023</v>
      </c>
      <c r="B1298" t="s">
        <v>1561</v>
      </c>
    </row>
    <row r="1299" spans="1:3" x14ac:dyDescent="0.25">
      <c r="A1299" s="36">
        <v>20238751560</v>
      </c>
      <c r="B1299" t="s">
        <v>570</v>
      </c>
    </row>
    <row r="1300" spans="1:3" x14ac:dyDescent="0.25">
      <c r="A1300" s="36">
        <v>30714331082</v>
      </c>
      <c r="B1300" t="s">
        <v>1562</v>
      </c>
      <c r="C1300" s="35" t="s">
        <v>2353</v>
      </c>
    </row>
    <row r="1301" spans="1:3" x14ac:dyDescent="0.25">
      <c r="A1301" s="36">
        <v>30714331082</v>
      </c>
      <c r="B1301" t="s">
        <v>1562</v>
      </c>
      <c r="C1301" s="35" t="s">
        <v>2353</v>
      </c>
    </row>
    <row r="1302" spans="1:3" x14ac:dyDescent="0.25">
      <c r="A1302" s="36">
        <v>33707920349</v>
      </c>
      <c r="B1302" t="s">
        <v>1563</v>
      </c>
    </row>
    <row r="1303" spans="1:3" x14ac:dyDescent="0.25">
      <c r="A1303" s="36">
        <v>30661498575</v>
      </c>
      <c r="B1303" t="s">
        <v>571</v>
      </c>
      <c r="C1303" s="35" t="s">
        <v>2353</v>
      </c>
    </row>
    <row r="1304" spans="1:3" x14ac:dyDescent="0.25">
      <c r="A1304" s="36">
        <v>33709738459</v>
      </c>
      <c r="B1304" t="s">
        <v>572</v>
      </c>
      <c r="C1304" s="35" t="s">
        <v>2353</v>
      </c>
    </row>
    <row r="1305" spans="1:3" x14ac:dyDescent="0.25">
      <c r="A1305" s="36">
        <v>33709738459</v>
      </c>
      <c r="B1305" t="s">
        <v>1564</v>
      </c>
      <c r="C1305" s="35" t="s">
        <v>2353</v>
      </c>
    </row>
    <row r="1306" spans="1:3" x14ac:dyDescent="0.25">
      <c r="A1306" s="36">
        <v>33709738459</v>
      </c>
      <c r="B1306" t="s">
        <v>1564</v>
      </c>
      <c r="C1306" s="35" t="s">
        <v>2353</v>
      </c>
    </row>
    <row r="1307" spans="1:3" x14ac:dyDescent="0.25">
      <c r="A1307" s="36">
        <v>30696246234</v>
      </c>
      <c r="B1307" t="s">
        <v>573</v>
      </c>
    </row>
    <row r="1308" spans="1:3" x14ac:dyDescent="0.25">
      <c r="A1308" s="36">
        <v>30696246234</v>
      </c>
      <c r="B1308" t="s">
        <v>573</v>
      </c>
    </row>
    <row r="1309" spans="1:3" x14ac:dyDescent="0.25">
      <c r="A1309" s="36">
        <v>30696246234</v>
      </c>
      <c r="B1309" t="s">
        <v>573</v>
      </c>
    </row>
    <row r="1310" spans="1:3" x14ac:dyDescent="0.25">
      <c r="A1310" s="36">
        <v>30546846217</v>
      </c>
      <c r="B1310" t="s">
        <v>1565</v>
      </c>
    </row>
    <row r="1311" spans="1:3" x14ac:dyDescent="0.25">
      <c r="A1311" s="36">
        <v>30546846217</v>
      </c>
      <c r="B1311" t="s">
        <v>1565</v>
      </c>
    </row>
    <row r="1312" spans="1:3" x14ac:dyDescent="0.25">
      <c r="A1312" s="36">
        <v>12180749</v>
      </c>
      <c r="B1312" t="s">
        <v>1566</v>
      </c>
    </row>
    <row r="1313" spans="1:3" x14ac:dyDescent="0.25">
      <c r="A1313" s="36">
        <v>30590412631</v>
      </c>
      <c r="B1313" t="s">
        <v>1567</v>
      </c>
    </row>
    <row r="1314" spans="1:3" x14ac:dyDescent="0.25">
      <c r="A1314" s="36">
        <v>30590412631</v>
      </c>
      <c r="B1314" t="s">
        <v>1567</v>
      </c>
    </row>
    <row r="1315" spans="1:3" x14ac:dyDescent="0.25">
      <c r="A1315" s="36">
        <v>30518922897</v>
      </c>
      <c r="B1315" t="s">
        <v>574</v>
      </c>
    </row>
    <row r="1316" spans="1:3" x14ac:dyDescent="0.25">
      <c r="A1316" s="36">
        <v>30546666189</v>
      </c>
      <c r="B1316" t="s">
        <v>1568</v>
      </c>
    </row>
    <row r="1317" spans="1:3" x14ac:dyDescent="0.25">
      <c r="A1317" s="36" t="s">
        <v>1569</v>
      </c>
      <c r="B1317" t="s">
        <v>1570</v>
      </c>
    </row>
    <row r="1318" spans="1:3" x14ac:dyDescent="0.25">
      <c r="A1318" s="36">
        <v>30658137642</v>
      </c>
      <c r="B1318" t="s">
        <v>1571</v>
      </c>
    </row>
    <row r="1319" spans="1:3" x14ac:dyDescent="0.25">
      <c r="A1319" s="36">
        <v>30658137642</v>
      </c>
      <c r="B1319" t="s">
        <v>1571</v>
      </c>
    </row>
    <row r="1320" spans="1:3" x14ac:dyDescent="0.25">
      <c r="A1320" s="36">
        <v>34959131</v>
      </c>
      <c r="B1320" t="s">
        <v>1572</v>
      </c>
    </row>
    <row r="1321" spans="1:3" x14ac:dyDescent="0.25">
      <c r="A1321" s="36">
        <v>34959131</v>
      </c>
      <c r="B1321" t="s">
        <v>1572</v>
      </c>
    </row>
    <row r="1322" spans="1:3" x14ac:dyDescent="0.25">
      <c r="A1322" s="36">
        <v>30600271004</v>
      </c>
      <c r="B1322" t="s">
        <v>575</v>
      </c>
    </row>
    <row r="1323" spans="1:3" x14ac:dyDescent="0.25">
      <c r="A1323" s="36">
        <v>30707080198</v>
      </c>
      <c r="B1323" t="s">
        <v>1573</v>
      </c>
      <c r="C1323" s="35" t="s">
        <v>2352</v>
      </c>
    </row>
    <row r="1324" spans="1:3" x14ac:dyDescent="0.25">
      <c r="A1324" s="36">
        <v>30707080198</v>
      </c>
      <c r="B1324" t="s">
        <v>1573</v>
      </c>
      <c r="C1324" s="35" t="s">
        <v>2352</v>
      </c>
    </row>
    <row r="1325" spans="1:3" x14ac:dyDescent="0.25">
      <c r="A1325" s="36">
        <v>30707080198</v>
      </c>
      <c r="B1325" t="s">
        <v>576</v>
      </c>
      <c r="C1325" s="35" t="s">
        <v>2352</v>
      </c>
    </row>
    <row r="1326" spans="1:3" x14ac:dyDescent="0.25">
      <c r="A1326" s="36">
        <v>30643862928</v>
      </c>
      <c r="B1326" t="s">
        <v>577</v>
      </c>
      <c r="C1326" s="35" t="s">
        <v>2353</v>
      </c>
    </row>
    <row r="1327" spans="1:3" x14ac:dyDescent="0.25">
      <c r="A1327" s="36">
        <v>30709517976</v>
      </c>
      <c r="B1327" t="s">
        <v>578</v>
      </c>
    </row>
    <row r="1328" spans="1:3" x14ac:dyDescent="0.25">
      <c r="A1328" s="36">
        <v>20266254084</v>
      </c>
      <c r="B1328" t="s">
        <v>579</v>
      </c>
    </row>
    <row r="1329" spans="1:3" x14ac:dyDescent="0.25">
      <c r="A1329" s="36">
        <v>20277164192</v>
      </c>
      <c r="B1329" t="s">
        <v>1574</v>
      </c>
      <c r="C1329" s="35" t="s">
        <v>43</v>
      </c>
    </row>
    <row r="1330" spans="1:3" x14ac:dyDescent="0.25">
      <c r="A1330" s="36">
        <v>20244632034</v>
      </c>
      <c r="B1330" t="s">
        <v>1575</v>
      </c>
    </row>
    <row r="1331" spans="1:3" x14ac:dyDescent="0.25">
      <c r="A1331" s="36">
        <v>30707801987</v>
      </c>
      <c r="B1331" t="s">
        <v>580</v>
      </c>
    </row>
    <row r="1332" spans="1:3" x14ac:dyDescent="0.25">
      <c r="A1332" s="36">
        <v>52904417</v>
      </c>
      <c r="B1332" t="s">
        <v>1576</v>
      </c>
    </row>
    <row r="1333" spans="1:3" x14ac:dyDescent="0.25">
      <c r="A1333" s="36">
        <v>48937669</v>
      </c>
      <c r="B1333" t="s">
        <v>1577</v>
      </c>
    </row>
    <row r="1334" spans="1:3" x14ac:dyDescent="0.25">
      <c r="A1334" s="36">
        <v>20258213336</v>
      </c>
      <c r="B1334" t="s">
        <v>1578</v>
      </c>
    </row>
    <row r="1335" spans="1:3" x14ac:dyDescent="0.25">
      <c r="A1335" s="36">
        <v>11824489</v>
      </c>
      <c r="B1335" t="s">
        <v>1579</v>
      </c>
    </row>
    <row r="1336" spans="1:3" x14ac:dyDescent="0.25">
      <c r="A1336" s="36">
        <v>20043911369</v>
      </c>
      <c r="B1336" t="s">
        <v>1580</v>
      </c>
    </row>
    <row r="1337" spans="1:3" x14ac:dyDescent="0.25">
      <c r="A1337" s="36">
        <v>4869272</v>
      </c>
      <c r="B1337" t="s">
        <v>1581</v>
      </c>
    </row>
    <row r="1338" spans="1:3" x14ac:dyDescent="0.25">
      <c r="A1338" s="36">
        <v>30695542476</v>
      </c>
      <c r="B1338" t="s">
        <v>103</v>
      </c>
      <c r="C1338" s="35" t="s">
        <v>44</v>
      </c>
    </row>
    <row r="1339" spans="1:3" x14ac:dyDescent="0.25">
      <c r="A1339" s="36">
        <v>21644389</v>
      </c>
      <c r="B1339" t="s">
        <v>1582</v>
      </c>
    </row>
    <row r="1340" spans="1:3" x14ac:dyDescent="0.25">
      <c r="A1340" s="36">
        <v>30591633984</v>
      </c>
      <c r="B1340" t="s">
        <v>1583</v>
      </c>
      <c r="C1340" s="35" t="s">
        <v>2353</v>
      </c>
    </row>
    <row r="1341" spans="1:3" x14ac:dyDescent="0.25">
      <c r="A1341" s="36">
        <v>93661336</v>
      </c>
      <c r="B1341" t="s">
        <v>1584</v>
      </c>
    </row>
    <row r="1342" spans="1:3" x14ac:dyDescent="0.25">
      <c r="A1342" s="36">
        <v>21831195</v>
      </c>
      <c r="B1342" t="s">
        <v>1585</v>
      </c>
    </row>
    <row r="1343" spans="1:3" x14ac:dyDescent="0.25">
      <c r="A1343" s="36">
        <v>20935729662</v>
      </c>
      <c r="B1343" t="s">
        <v>581</v>
      </c>
    </row>
    <row r="1344" spans="1:3" x14ac:dyDescent="0.25">
      <c r="A1344" s="36">
        <v>30716815710</v>
      </c>
      <c r="B1344" t="s">
        <v>1586</v>
      </c>
      <c r="C1344" s="35" t="s">
        <v>2350</v>
      </c>
    </row>
    <row r="1345" spans="1:2" x14ac:dyDescent="0.25">
      <c r="A1345" s="36">
        <v>30588917157</v>
      </c>
      <c r="B1345" t="s">
        <v>582</v>
      </c>
    </row>
    <row r="1346" spans="1:2" x14ac:dyDescent="0.25">
      <c r="A1346" s="36">
        <v>30687255492</v>
      </c>
      <c r="B1346" t="s">
        <v>583</v>
      </c>
    </row>
    <row r="1347" spans="1:2" x14ac:dyDescent="0.25">
      <c r="A1347" s="36">
        <v>30605041287</v>
      </c>
      <c r="B1347" t="s">
        <v>584</v>
      </c>
    </row>
    <row r="1348" spans="1:2" x14ac:dyDescent="0.25">
      <c r="A1348" s="36">
        <v>30715401114</v>
      </c>
      <c r="B1348" t="s">
        <v>585</v>
      </c>
    </row>
    <row r="1349" spans="1:2" x14ac:dyDescent="0.25">
      <c r="A1349" s="36">
        <v>6653678</v>
      </c>
      <c r="B1349" t="s">
        <v>1587</v>
      </c>
    </row>
    <row r="1350" spans="1:2" x14ac:dyDescent="0.25">
      <c r="A1350" s="36">
        <v>28332849</v>
      </c>
      <c r="B1350" t="s">
        <v>1588</v>
      </c>
    </row>
    <row r="1351" spans="1:2" x14ac:dyDescent="0.25">
      <c r="A1351" s="36">
        <v>16218369</v>
      </c>
      <c r="B1351" t="s">
        <v>586</v>
      </c>
    </row>
    <row r="1352" spans="1:2" x14ac:dyDescent="0.25">
      <c r="A1352" s="36">
        <v>33693786369</v>
      </c>
      <c r="B1352" t="s">
        <v>1589</v>
      </c>
    </row>
    <row r="1353" spans="1:2" x14ac:dyDescent="0.25">
      <c r="A1353" s="36">
        <v>23102546</v>
      </c>
      <c r="B1353" t="s">
        <v>1590</v>
      </c>
    </row>
    <row r="1354" spans="1:2" x14ac:dyDescent="0.25">
      <c r="A1354" s="36">
        <v>30707515232</v>
      </c>
      <c r="B1354" t="s">
        <v>587</v>
      </c>
    </row>
    <row r="1355" spans="1:2" x14ac:dyDescent="0.25">
      <c r="A1355" s="36">
        <v>30627583873</v>
      </c>
      <c r="B1355" t="s">
        <v>1591</v>
      </c>
    </row>
    <row r="1356" spans="1:2" x14ac:dyDescent="0.25">
      <c r="A1356" s="36">
        <v>12587820</v>
      </c>
      <c r="B1356" t="s">
        <v>1592</v>
      </c>
    </row>
    <row r="1357" spans="1:2" x14ac:dyDescent="0.25">
      <c r="A1357" s="36">
        <v>30715413678</v>
      </c>
      <c r="B1357" t="s">
        <v>1593</v>
      </c>
    </row>
    <row r="1358" spans="1:2" x14ac:dyDescent="0.25">
      <c r="A1358" s="36">
        <v>20073771987</v>
      </c>
      <c r="B1358" t="s">
        <v>1594</v>
      </c>
    </row>
    <row r="1359" spans="1:2" x14ac:dyDescent="0.25">
      <c r="A1359" s="36">
        <v>27127809521</v>
      </c>
      <c r="B1359" t="s">
        <v>588</v>
      </c>
    </row>
    <row r="1360" spans="1:2" x14ac:dyDescent="0.25">
      <c r="A1360" s="36">
        <v>94061699</v>
      </c>
      <c r="B1360" t="s">
        <v>1595</v>
      </c>
    </row>
    <row r="1361" spans="1:2" x14ac:dyDescent="0.25">
      <c r="A1361" s="36">
        <v>30708084944</v>
      </c>
      <c r="B1361" t="s">
        <v>589</v>
      </c>
    </row>
    <row r="1362" spans="1:2" x14ac:dyDescent="0.25">
      <c r="A1362" s="36">
        <v>20280154602</v>
      </c>
      <c r="B1362" t="s">
        <v>1596</v>
      </c>
    </row>
    <row r="1363" spans="1:2" x14ac:dyDescent="0.25">
      <c r="A1363" s="36">
        <v>14547155</v>
      </c>
      <c r="B1363" t="s">
        <v>1597</v>
      </c>
    </row>
    <row r="1364" spans="1:2" x14ac:dyDescent="0.25">
      <c r="A1364" s="36">
        <v>27202824</v>
      </c>
      <c r="B1364" t="s">
        <v>1598</v>
      </c>
    </row>
    <row r="1365" spans="1:2" x14ac:dyDescent="0.25">
      <c r="A1365" s="36">
        <v>5242300</v>
      </c>
      <c r="B1365" t="s">
        <v>1599</v>
      </c>
    </row>
    <row r="1366" spans="1:2" x14ac:dyDescent="0.25">
      <c r="A1366" s="36">
        <v>23282830299</v>
      </c>
      <c r="B1366" t="s">
        <v>1600</v>
      </c>
    </row>
    <row r="1367" spans="1:2" x14ac:dyDescent="0.25">
      <c r="A1367" s="36">
        <v>26198343</v>
      </c>
      <c r="B1367" t="s">
        <v>590</v>
      </c>
    </row>
    <row r="1368" spans="1:2" x14ac:dyDescent="0.25">
      <c r="A1368" s="36">
        <v>23131563779</v>
      </c>
      <c r="B1368" t="s">
        <v>591</v>
      </c>
    </row>
    <row r="1369" spans="1:2" x14ac:dyDescent="0.25">
      <c r="A1369" s="36">
        <v>12409158</v>
      </c>
      <c r="B1369" t="s">
        <v>1601</v>
      </c>
    </row>
    <row r="1370" spans="1:2" x14ac:dyDescent="0.25">
      <c r="A1370" s="36">
        <v>4222871</v>
      </c>
      <c r="B1370" t="s">
        <v>1602</v>
      </c>
    </row>
    <row r="1371" spans="1:2" x14ac:dyDescent="0.25">
      <c r="A1371" s="36">
        <v>26879563</v>
      </c>
      <c r="B1371" t="s">
        <v>1603</v>
      </c>
    </row>
    <row r="1372" spans="1:2" x14ac:dyDescent="0.25">
      <c r="A1372" s="36">
        <v>5765391</v>
      </c>
      <c r="B1372" t="s">
        <v>1604</v>
      </c>
    </row>
    <row r="1373" spans="1:2" x14ac:dyDescent="0.25">
      <c r="A1373" s="36">
        <v>6047149</v>
      </c>
      <c r="B1373" t="s">
        <v>1605</v>
      </c>
    </row>
    <row r="1374" spans="1:2" x14ac:dyDescent="0.25">
      <c r="A1374" s="36">
        <v>11414</v>
      </c>
      <c r="B1374" t="s">
        <v>1606</v>
      </c>
    </row>
    <row r="1375" spans="1:2" x14ac:dyDescent="0.25">
      <c r="A1375" s="36">
        <v>20274327678</v>
      </c>
      <c r="B1375" t="s">
        <v>1607</v>
      </c>
    </row>
    <row r="1376" spans="1:2" x14ac:dyDescent="0.25">
      <c r="A1376" s="36">
        <v>20277890306</v>
      </c>
      <c r="B1376" t="s">
        <v>592</v>
      </c>
    </row>
    <row r="1377" spans="1:3" x14ac:dyDescent="0.25">
      <c r="A1377" s="36">
        <v>3474914</v>
      </c>
      <c r="B1377" t="s">
        <v>1608</v>
      </c>
    </row>
    <row r="1378" spans="1:3" x14ac:dyDescent="0.25">
      <c r="A1378" s="36">
        <v>30709975427</v>
      </c>
      <c r="B1378" t="s">
        <v>593</v>
      </c>
    </row>
    <row r="1379" spans="1:3" x14ac:dyDescent="0.25">
      <c r="A1379" s="36">
        <v>33714646899</v>
      </c>
      <c r="B1379" t="s">
        <v>594</v>
      </c>
    </row>
    <row r="1380" spans="1:3" x14ac:dyDescent="0.25">
      <c r="A1380" s="36">
        <v>27349179</v>
      </c>
      <c r="B1380" t="s">
        <v>1609</v>
      </c>
    </row>
    <row r="1381" spans="1:3" x14ac:dyDescent="0.25">
      <c r="A1381" s="36">
        <v>30504744538</v>
      </c>
      <c r="B1381" t="s">
        <v>104</v>
      </c>
    </row>
    <row r="1382" spans="1:3" x14ac:dyDescent="0.25">
      <c r="A1382" s="36">
        <v>27182477368</v>
      </c>
      <c r="B1382" t="s">
        <v>1610</v>
      </c>
    </row>
    <row r="1383" spans="1:3" x14ac:dyDescent="0.25">
      <c r="A1383" s="36">
        <v>27182477368</v>
      </c>
      <c r="B1383" t="s">
        <v>1610</v>
      </c>
    </row>
    <row r="1384" spans="1:3" x14ac:dyDescent="0.25">
      <c r="A1384" s="36">
        <v>27182477368</v>
      </c>
      <c r="B1384" t="s">
        <v>1610</v>
      </c>
    </row>
    <row r="1385" spans="1:3" x14ac:dyDescent="0.25">
      <c r="A1385" s="36">
        <v>30709645656</v>
      </c>
      <c r="B1385" t="s">
        <v>1611</v>
      </c>
    </row>
    <row r="1386" spans="1:3" x14ac:dyDescent="0.25">
      <c r="A1386" s="36">
        <v>20307462207</v>
      </c>
      <c r="B1386" t="s">
        <v>1612</v>
      </c>
    </row>
    <row r="1387" spans="1:3" x14ac:dyDescent="0.25">
      <c r="A1387" s="36">
        <v>20113613646</v>
      </c>
      <c r="B1387" t="s">
        <v>595</v>
      </c>
      <c r="C1387" s="35" t="s">
        <v>2350</v>
      </c>
    </row>
    <row r="1388" spans="1:3" x14ac:dyDescent="0.25">
      <c r="A1388" s="36">
        <v>30502174904</v>
      </c>
      <c r="B1388" t="s">
        <v>596</v>
      </c>
    </row>
    <row r="1389" spans="1:3" x14ac:dyDescent="0.25">
      <c r="A1389" s="36">
        <v>30601502085</v>
      </c>
      <c r="B1389" t="s">
        <v>1613</v>
      </c>
    </row>
    <row r="1390" spans="1:3" x14ac:dyDescent="0.25">
      <c r="A1390" s="36">
        <v>30707228098</v>
      </c>
      <c r="B1390" t="s">
        <v>597</v>
      </c>
    </row>
    <row r="1391" spans="1:3" x14ac:dyDescent="0.25">
      <c r="A1391" s="36">
        <v>30564068388</v>
      </c>
      <c r="B1391" t="s">
        <v>1614</v>
      </c>
    </row>
    <row r="1392" spans="1:3" x14ac:dyDescent="0.25">
      <c r="A1392" s="36">
        <v>20325657988</v>
      </c>
      <c r="B1392" t="s">
        <v>598</v>
      </c>
    </row>
    <row r="1393" spans="1:3" x14ac:dyDescent="0.25">
      <c r="A1393" s="36">
        <v>361628887</v>
      </c>
      <c r="B1393" t="s">
        <v>1615</v>
      </c>
    </row>
    <row r="1394" spans="1:3" x14ac:dyDescent="0.25">
      <c r="A1394" s="36">
        <v>30646512952</v>
      </c>
      <c r="B1394" t="s">
        <v>599</v>
      </c>
      <c r="C1394" s="35" t="s">
        <v>2341</v>
      </c>
    </row>
    <row r="1395" spans="1:3" x14ac:dyDescent="0.25">
      <c r="A1395" s="36">
        <v>30577428618</v>
      </c>
      <c r="B1395" t="s">
        <v>105</v>
      </c>
    </row>
    <row r="1396" spans="1:3" x14ac:dyDescent="0.25">
      <c r="A1396" s="36">
        <v>30697754063</v>
      </c>
      <c r="B1396" t="s">
        <v>600</v>
      </c>
    </row>
    <row r="1397" spans="1:3" x14ac:dyDescent="0.25">
      <c r="A1397" s="36">
        <v>22873045</v>
      </c>
      <c r="B1397" t="s">
        <v>1616</v>
      </c>
    </row>
    <row r="1398" spans="1:3" x14ac:dyDescent="0.25">
      <c r="A1398" s="36">
        <v>27279386715</v>
      </c>
      <c r="B1398" t="s">
        <v>1617</v>
      </c>
    </row>
    <row r="1399" spans="1:3" x14ac:dyDescent="0.25">
      <c r="A1399" s="36">
        <v>23958603</v>
      </c>
      <c r="B1399" t="s">
        <v>1618</v>
      </c>
    </row>
    <row r="1400" spans="1:3" x14ac:dyDescent="0.25">
      <c r="A1400" s="36">
        <v>6470184</v>
      </c>
      <c r="B1400" t="s">
        <v>1619</v>
      </c>
    </row>
    <row r="1401" spans="1:3" x14ac:dyDescent="0.25">
      <c r="A1401" s="36">
        <v>6493229</v>
      </c>
      <c r="B1401" t="s">
        <v>1620</v>
      </c>
    </row>
    <row r="1402" spans="1:3" x14ac:dyDescent="0.25">
      <c r="A1402" s="36">
        <v>27370346742</v>
      </c>
      <c r="B1402" t="s">
        <v>1621</v>
      </c>
    </row>
    <row r="1403" spans="1:3" x14ac:dyDescent="0.25">
      <c r="A1403" s="36">
        <v>14033578</v>
      </c>
      <c r="B1403" t="s">
        <v>1622</v>
      </c>
    </row>
    <row r="1404" spans="1:3" x14ac:dyDescent="0.25">
      <c r="A1404" s="36">
        <v>30555517757</v>
      </c>
      <c r="B1404" t="s">
        <v>601</v>
      </c>
    </row>
    <row r="1405" spans="1:3" x14ac:dyDescent="0.25">
      <c r="A1405" s="36">
        <v>3615198</v>
      </c>
      <c r="B1405" t="s">
        <v>1623</v>
      </c>
    </row>
    <row r="1406" spans="1:3" x14ac:dyDescent="0.25">
      <c r="A1406" s="36">
        <v>93355824</v>
      </c>
      <c r="B1406" t="s">
        <v>1624</v>
      </c>
    </row>
    <row r="1407" spans="1:3" x14ac:dyDescent="0.25">
      <c r="A1407" s="36">
        <v>20304493039</v>
      </c>
      <c r="B1407" t="s">
        <v>602</v>
      </c>
    </row>
    <row r="1408" spans="1:3" x14ac:dyDescent="0.25">
      <c r="A1408" s="36">
        <v>30601399446</v>
      </c>
      <c r="B1408" t="s">
        <v>603</v>
      </c>
    </row>
    <row r="1409" spans="1:3" x14ac:dyDescent="0.25">
      <c r="A1409" s="36">
        <v>30714249416</v>
      </c>
      <c r="B1409" t="s">
        <v>604</v>
      </c>
    </row>
    <row r="1410" spans="1:3" x14ac:dyDescent="0.25">
      <c r="A1410" s="36">
        <v>33517024819</v>
      </c>
      <c r="B1410" t="s">
        <v>605</v>
      </c>
    </row>
    <row r="1411" spans="1:3" x14ac:dyDescent="0.25">
      <c r="A1411" s="36">
        <v>30620177497</v>
      </c>
      <c r="B1411" t="s">
        <v>1625</v>
      </c>
      <c r="C1411" s="35" t="s">
        <v>43</v>
      </c>
    </row>
    <row r="1412" spans="1:3" x14ac:dyDescent="0.25">
      <c r="A1412" s="36">
        <v>27203132722</v>
      </c>
      <c r="B1412" t="s">
        <v>606</v>
      </c>
    </row>
    <row r="1413" spans="1:3" x14ac:dyDescent="0.25">
      <c r="A1413" s="36">
        <v>3051750</v>
      </c>
      <c r="B1413" t="s">
        <v>1626</v>
      </c>
    </row>
    <row r="1414" spans="1:3" x14ac:dyDescent="0.25">
      <c r="A1414" s="36">
        <v>27265302225</v>
      </c>
      <c r="B1414" t="s">
        <v>1627</v>
      </c>
    </row>
    <row r="1415" spans="1:3" x14ac:dyDescent="0.25">
      <c r="A1415" s="36">
        <v>30583464138</v>
      </c>
      <c r="B1415" t="s">
        <v>607</v>
      </c>
    </row>
    <row r="1416" spans="1:3" x14ac:dyDescent="0.25">
      <c r="A1416" s="36">
        <v>30715740806</v>
      </c>
      <c r="B1416" t="s">
        <v>1628</v>
      </c>
    </row>
    <row r="1417" spans="1:3" x14ac:dyDescent="0.25">
      <c r="A1417" s="36">
        <v>30711122911</v>
      </c>
      <c r="B1417" t="s">
        <v>608</v>
      </c>
    </row>
    <row r="1418" spans="1:3" x14ac:dyDescent="0.25">
      <c r="A1418" s="36">
        <v>20253804336</v>
      </c>
      <c r="B1418" t="s">
        <v>1629</v>
      </c>
    </row>
    <row r="1419" spans="1:3" x14ac:dyDescent="0.25">
      <c r="A1419" s="36">
        <v>30646400798</v>
      </c>
      <c r="B1419" t="s">
        <v>1630</v>
      </c>
    </row>
    <row r="1420" spans="1:3" x14ac:dyDescent="0.25">
      <c r="A1420" s="36">
        <v>30550005987</v>
      </c>
      <c r="B1420" t="s">
        <v>609</v>
      </c>
    </row>
    <row r="1421" spans="1:3" x14ac:dyDescent="0.25">
      <c r="A1421" s="36">
        <v>30709568260</v>
      </c>
      <c r="B1421" t="s">
        <v>610</v>
      </c>
    </row>
    <row r="1422" spans="1:3" x14ac:dyDescent="0.25">
      <c r="A1422" s="36">
        <v>30707970010</v>
      </c>
      <c r="B1422" t="s">
        <v>611</v>
      </c>
    </row>
    <row r="1423" spans="1:3" x14ac:dyDescent="0.25">
      <c r="A1423" s="36">
        <v>30709776564</v>
      </c>
      <c r="B1423" t="s">
        <v>1631</v>
      </c>
      <c r="C1423" s="35" t="s">
        <v>2358</v>
      </c>
    </row>
    <row r="1424" spans="1:3" x14ac:dyDescent="0.25">
      <c r="A1424" s="36">
        <v>33714326029</v>
      </c>
      <c r="B1424" t="s">
        <v>612</v>
      </c>
    </row>
    <row r="1425" spans="1:3" x14ac:dyDescent="0.25">
      <c r="A1425" s="36">
        <v>20285597405</v>
      </c>
      <c r="B1425" t="s">
        <v>1632</v>
      </c>
    </row>
    <row r="1426" spans="1:3" x14ac:dyDescent="0.25">
      <c r="A1426" s="36">
        <v>30710207190</v>
      </c>
      <c r="B1426" t="s">
        <v>613</v>
      </c>
    </row>
    <row r="1427" spans="1:3" x14ac:dyDescent="0.25">
      <c r="A1427" s="36">
        <v>30660432961</v>
      </c>
      <c r="B1427" t="s">
        <v>614</v>
      </c>
    </row>
    <row r="1428" spans="1:3" x14ac:dyDescent="0.25">
      <c r="A1428" s="36">
        <v>30716821478</v>
      </c>
      <c r="B1428" t="s">
        <v>1633</v>
      </c>
    </row>
    <row r="1429" spans="1:3" x14ac:dyDescent="0.25">
      <c r="A1429" s="36">
        <v>4756269</v>
      </c>
      <c r="B1429" t="s">
        <v>1634</v>
      </c>
    </row>
    <row r="1430" spans="1:3" x14ac:dyDescent="0.25">
      <c r="A1430" s="36">
        <v>17577085</v>
      </c>
      <c r="B1430" t="s">
        <v>1635</v>
      </c>
    </row>
    <row r="1431" spans="1:3" x14ac:dyDescent="0.25">
      <c r="A1431" s="36">
        <v>30503940147</v>
      </c>
      <c r="B1431" t="s">
        <v>615</v>
      </c>
    </row>
    <row r="1432" spans="1:3" x14ac:dyDescent="0.25">
      <c r="A1432" s="36">
        <v>27163348190</v>
      </c>
      <c r="B1432" t="s">
        <v>616</v>
      </c>
    </row>
    <row r="1433" spans="1:3" x14ac:dyDescent="0.25">
      <c r="A1433" s="36">
        <v>30517345039</v>
      </c>
      <c r="B1433" t="s">
        <v>617</v>
      </c>
    </row>
    <row r="1434" spans="1:3" x14ac:dyDescent="0.25">
      <c r="A1434" s="36">
        <v>3508610</v>
      </c>
      <c r="B1434" t="s">
        <v>1636</v>
      </c>
    </row>
    <row r="1435" spans="1:3" x14ac:dyDescent="0.25">
      <c r="A1435" s="36">
        <v>26429287</v>
      </c>
      <c r="B1435" t="s">
        <v>1637</v>
      </c>
    </row>
    <row r="1436" spans="1:3" x14ac:dyDescent="0.25">
      <c r="A1436" s="36">
        <v>30563006664</v>
      </c>
      <c r="B1436" t="s">
        <v>1638</v>
      </c>
    </row>
    <row r="1437" spans="1:3" x14ac:dyDescent="0.25">
      <c r="A1437" s="36">
        <v>20289111329</v>
      </c>
      <c r="B1437" t="s">
        <v>1639</v>
      </c>
      <c r="C1437" s="35" t="s">
        <v>2353</v>
      </c>
    </row>
    <row r="1438" spans="1:3" x14ac:dyDescent="0.25">
      <c r="A1438" s="36">
        <v>12892105</v>
      </c>
      <c r="B1438" t="s">
        <v>618</v>
      </c>
    </row>
    <row r="1439" spans="1:3" x14ac:dyDescent="0.25">
      <c r="A1439" s="36">
        <v>27233748205</v>
      </c>
      <c r="B1439" t="s">
        <v>619</v>
      </c>
    </row>
    <row r="1440" spans="1:3" x14ac:dyDescent="0.25">
      <c r="A1440" s="36">
        <v>20082988786</v>
      </c>
      <c r="B1440" t="s">
        <v>620</v>
      </c>
    </row>
    <row r="1441" spans="1:3" x14ac:dyDescent="0.25">
      <c r="A1441" s="36">
        <v>30707370552</v>
      </c>
      <c r="B1441" t="s">
        <v>621</v>
      </c>
      <c r="C1441" s="35" t="s">
        <v>2354</v>
      </c>
    </row>
    <row r="1442" spans="1:3" x14ac:dyDescent="0.25">
      <c r="A1442" s="36">
        <v>27179366741</v>
      </c>
      <c r="B1442" t="s">
        <v>622</v>
      </c>
    </row>
    <row r="1443" spans="1:3" x14ac:dyDescent="0.25">
      <c r="A1443" s="36">
        <v>20202500138</v>
      </c>
      <c r="B1443" t="s">
        <v>1640</v>
      </c>
      <c r="C1443" s="35" t="s">
        <v>2350</v>
      </c>
    </row>
    <row r="1444" spans="1:3" x14ac:dyDescent="0.25">
      <c r="A1444" s="36">
        <v>20202500138</v>
      </c>
      <c r="B1444" t="s">
        <v>1640</v>
      </c>
      <c r="C1444" s="35" t="s">
        <v>2350</v>
      </c>
    </row>
    <row r="1445" spans="1:3" x14ac:dyDescent="0.25">
      <c r="A1445" s="36">
        <v>8326838</v>
      </c>
      <c r="B1445" t="s">
        <v>1641</v>
      </c>
    </row>
    <row r="1446" spans="1:3" x14ac:dyDescent="0.25">
      <c r="A1446" s="36">
        <v>11801737</v>
      </c>
      <c r="B1446" t="s">
        <v>1642</v>
      </c>
    </row>
    <row r="1447" spans="1:3" x14ac:dyDescent="0.25">
      <c r="A1447" s="36">
        <v>30711877386</v>
      </c>
      <c r="B1447" t="s">
        <v>623</v>
      </c>
    </row>
    <row r="1448" spans="1:3" x14ac:dyDescent="0.25">
      <c r="A1448" s="36">
        <v>17301560</v>
      </c>
      <c r="B1448" t="s">
        <v>1643</v>
      </c>
    </row>
    <row r="1449" spans="1:3" x14ac:dyDescent="0.25">
      <c r="A1449" s="36">
        <v>18439118</v>
      </c>
      <c r="B1449" t="s">
        <v>1644</v>
      </c>
    </row>
    <row r="1450" spans="1:3" x14ac:dyDescent="0.25">
      <c r="A1450" s="36">
        <v>35827892</v>
      </c>
      <c r="B1450" t="s">
        <v>1645</v>
      </c>
    </row>
    <row r="1451" spans="1:3" x14ac:dyDescent="0.25">
      <c r="A1451" s="36">
        <v>30715645579</v>
      </c>
      <c r="B1451" t="s">
        <v>624</v>
      </c>
    </row>
    <row r="1452" spans="1:3" x14ac:dyDescent="0.25">
      <c r="A1452" s="36">
        <v>5124770</v>
      </c>
      <c r="B1452" t="s">
        <v>1646</v>
      </c>
    </row>
    <row r="1453" spans="1:3" x14ac:dyDescent="0.25">
      <c r="A1453" s="36">
        <v>20043154835</v>
      </c>
      <c r="B1453" t="s">
        <v>625</v>
      </c>
    </row>
    <row r="1454" spans="1:3" x14ac:dyDescent="0.25">
      <c r="A1454" s="36">
        <v>4648296</v>
      </c>
      <c r="B1454" t="s">
        <v>1647</v>
      </c>
    </row>
    <row r="1455" spans="1:3" x14ac:dyDescent="0.25">
      <c r="A1455" s="36">
        <v>12514398</v>
      </c>
      <c r="B1455" t="s">
        <v>1648</v>
      </c>
    </row>
    <row r="1456" spans="1:3" x14ac:dyDescent="0.25">
      <c r="A1456" s="36">
        <v>33708793219</v>
      </c>
      <c r="B1456" t="s">
        <v>626</v>
      </c>
    </row>
    <row r="1457" spans="1:3" x14ac:dyDescent="0.25">
      <c r="A1457" s="36">
        <v>30709836230</v>
      </c>
      <c r="B1457" t="s">
        <v>627</v>
      </c>
    </row>
    <row r="1458" spans="1:3" x14ac:dyDescent="0.25">
      <c r="A1458" s="36">
        <v>33711399149</v>
      </c>
      <c r="B1458" t="s">
        <v>628</v>
      </c>
    </row>
    <row r="1459" spans="1:3" x14ac:dyDescent="0.25">
      <c r="A1459" s="36">
        <v>23181104589</v>
      </c>
      <c r="B1459" t="s">
        <v>629</v>
      </c>
    </row>
    <row r="1460" spans="1:3" x14ac:dyDescent="0.25">
      <c r="A1460" s="36">
        <v>30711713138</v>
      </c>
      <c r="B1460" t="s">
        <v>630</v>
      </c>
    </row>
    <row r="1461" spans="1:3" x14ac:dyDescent="0.25">
      <c r="A1461" s="36">
        <v>14745566</v>
      </c>
      <c r="B1461" t="s">
        <v>1649</v>
      </c>
    </row>
    <row r="1462" spans="1:3" x14ac:dyDescent="0.25">
      <c r="A1462" s="36">
        <v>20085119614</v>
      </c>
      <c r="B1462" t="s">
        <v>631</v>
      </c>
    </row>
    <row r="1463" spans="1:3" x14ac:dyDescent="0.25">
      <c r="A1463" s="36">
        <v>30663944939</v>
      </c>
      <c r="B1463" t="s">
        <v>632</v>
      </c>
    </row>
    <row r="1464" spans="1:3" x14ac:dyDescent="0.25">
      <c r="A1464" s="36">
        <v>30715141201</v>
      </c>
      <c r="B1464" t="s">
        <v>633</v>
      </c>
      <c r="C1464" s="35" t="s">
        <v>2353</v>
      </c>
    </row>
    <row r="1465" spans="1:3" x14ac:dyDescent="0.25">
      <c r="A1465" s="36">
        <v>30715141201</v>
      </c>
      <c r="B1465" t="s">
        <v>633</v>
      </c>
      <c r="C1465" s="35" t="s">
        <v>2353</v>
      </c>
    </row>
    <row r="1466" spans="1:3" x14ac:dyDescent="0.25">
      <c r="A1466" s="36">
        <v>30715141201</v>
      </c>
      <c r="B1466" t="s">
        <v>633</v>
      </c>
      <c r="C1466" s="35" t="s">
        <v>2353</v>
      </c>
    </row>
    <row r="1467" spans="1:3" x14ac:dyDescent="0.25">
      <c r="A1467" s="36">
        <v>30709214078</v>
      </c>
      <c r="B1467" t="s">
        <v>634</v>
      </c>
      <c r="C1467" s="35" t="s">
        <v>2353</v>
      </c>
    </row>
    <row r="1468" spans="1:3" x14ac:dyDescent="0.25">
      <c r="A1468" s="36">
        <v>30709214078</v>
      </c>
      <c r="B1468" t="s">
        <v>1650</v>
      </c>
      <c r="C1468" s="35" t="s">
        <v>2353</v>
      </c>
    </row>
    <row r="1469" spans="1:3" x14ac:dyDescent="0.25">
      <c r="A1469" s="36">
        <v>30709214078</v>
      </c>
      <c r="B1469" t="s">
        <v>1650</v>
      </c>
      <c r="C1469" s="35" t="s">
        <v>2353</v>
      </c>
    </row>
    <row r="1470" spans="1:3" x14ac:dyDescent="0.25">
      <c r="A1470" s="36">
        <v>30711764921</v>
      </c>
      <c r="B1470" t="s">
        <v>1651</v>
      </c>
      <c r="C1470" s="35" t="s">
        <v>2353</v>
      </c>
    </row>
    <row r="1471" spans="1:3" x14ac:dyDescent="0.25">
      <c r="A1471" s="36">
        <v>30711764921</v>
      </c>
      <c r="B1471" t="s">
        <v>1651</v>
      </c>
      <c r="C1471" s="35" t="s">
        <v>2353</v>
      </c>
    </row>
    <row r="1472" spans="1:3" x14ac:dyDescent="0.25">
      <c r="A1472" s="36">
        <v>30711678820</v>
      </c>
      <c r="B1472" t="s">
        <v>1651</v>
      </c>
      <c r="C1472" s="35" t="s">
        <v>2353</v>
      </c>
    </row>
    <row r="1473" spans="1:2" x14ac:dyDescent="0.25">
      <c r="A1473" s="36">
        <v>30710473990</v>
      </c>
      <c r="B1473" t="s">
        <v>1652</v>
      </c>
    </row>
    <row r="1474" spans="1:2" x14ac:dyDescent="0.25">
      <c r="A1474" s="36">
        <v>30501136510</v>
      </c>
      <c r="B1474" t="s">
        <v>635</v>
      </c>
    </row>
    <row r="1475" spans="1:2" x14ac:dyDescent="0.25">
      <c r="A1475" s="36">
        <v>20217488738</v>
      </c>
      <c r="B1475" t="s">
        <v>636</v>
      </c>
    </row>
    <row r="1476" spans="1:2" x14ac:dyDescent="0.25">
      <c r="A1476" s="36">
        <v>4546189</v>
      </c>
      <c r="B1476" t="s">
        <v>1653</v>
      </c>
    </row>
    <row r="1477" spans="1:2" x14ac:dyDescent="0.25">
      <c r="A1477" s="36">
        <v>30659553410</v>
      </c>
      <c r="B1477" t="s">
        <v>1654</v>
      </c>
    </row>
    <row r="1478" spans="1:2" x14ac:dyDescent="0.25">
      <c r="A1478" s="36">
        <v>23924735</v>
      </c>
      <c r="B1478" t="s">
        <v>1655</v>
      </c>
    </row>
    <row r="1479" spans="1:2" x14ac:dyDescent="0.25">
      <c r="A1479" s="36">
        <v>30708376554</v>
      </c>
      <c r="B1479" t="s">
        <v>637</v>
      </c>
    </row>
    <row r="1480" spans="1:2" x14ac:dyDescent="0.25">
      <c r="A1480" s="36">
        <v>30612958528</v>
      </c>
      <c r="B1480" t="s">
        <v>638</v>
      </c>
    </row>
    <row r="1481" spans="1:2" x14ac:dyDescent="0.25">
      <c r="A1481" s="36">
        <v>30525966859</v>
      </c>
      <c r="B1481" t="s">
        <v>639</v>
      </c>
    </row>
    <row r="1482" spans="1:2" x14ac:dyDescent="0.25">
      <c r="A1482" s="36">
        <v>20210807889</v>
      </c>
      <c r="B1482" t="s">
        <v>640</v>
      </c>
    </row>
    <row r="1483" spans="1:2" x14ac:dyDescent="0.25">
      <c r="A1483" s="36">
        <v>93576915</v>
      </c>
      <c r="B1483" t="s">
        <v>1656</v>
      </c>
    </row>
    <row r="1484" spans="1:2" x14ac:dyDescent="0.25">
      <c r="A1484" s="36">
        <v>30714642762</v>
      </c>
      <c r="B1484" t="s">
        <v>641</v>
      </c>
    </row>
    <row r="1485" spans="1:2" x14ac:dyDescent="0.25">
      <c r="A1485" s="36">
        <v>30608642869</v>
      </c>
      <c r="B1485" t="s">
        <v>642</v>
      </c>
    </row>
    <row r="1486" spans="1:2" x14ac:dyDescent="0.25">
      <c r="A1486" s="36">
        <v>30712273158</v>
      </c>
      <c r="B1486" t="s">
        <v>643</v>
      </c>
    </row>
    <row r="1487" spans="1:2" x14ac:dyDescent="0.25">
      <c r="A1487" s="36">
        <v>23106878269</v>
      </c>
      <c r="B1487" t="s">
        <v>644</v>
      </c>
    </row>
    <row r="1488" spans="1:2" x14ac:dyDescent="0.25">
      <c r="A1488" s="36">
        <v>12080143</v>
      </c>
      <c r="B1488" t="s">
        <v>1657</v>
      </c>
    </row>
    <row r="1489" spans="1:3" x14ac:dyDescent="0.25">
      <c r="A1489" s="36">
        <v>30709497789</v>
      </c>
      <c r="B1489" t="s">
        <v>645</v>
      </c>
    </row>
    <row r="1490" spans="1:3" x14ac:dyDescent="0.25">
      <c r="A1490" s="36">
        <v>20162253310</v>
      </c>
      <c r="B1490" t="s">
        <v>646</v>
      </c>
    </row>
    <row r="1491" spans="1:3" x14ac:dyDescent="0.25">
      <c r="A1491" s="36">
        <v>20078690284</v>
      </c>
      <c r="B1491" t="s">
        <v>647</v>
      </c>
    </row>
    <row r="1492" spans="1:3" x14ac:dyDescent="0.25">
      <c r="A1492" s="36">
        <v>22225295</v>
      </c>
      <c r="B1492" t="s">
        <v>1658</v>
      </c>
    </row>
    <row r="1493" spans="1:3" x14ac:dyDescent="0.25">
      <c r="A1493" s="36">
        <v>30714732540</v>
      </c>
      <c r="B1493" t="s">
        <v>648</v>
      </c>
    </row>
    <row r="1494" spans="1:3" x14ac:dyDescent="0.25">
      <c r="A1494" s="36">
        <v>33715567089</v>
      </c>
      <c r="B1494" t="s">
        <v>649</v>
      </c>
    </row>
    <row r="1495" spans="1:3" x14ac:dyDescent="0.25">
      <c r="A1495" s="36">
        <v>11361026</v>
      </c>
      <c r="B1495" t="s">
        <v>1659</v>
      </c>
    </row>
    <row r="1496" spans="1:3" x14ac:dyDescent="0.25">
      <c r="A1496" s="36">
        <v>20120875141</v>
      </c>
      <c r="B1496" t="s">
        <v>650</v>
      </c>
    </row>
    <row r="1497" spans="1:3" x14ac:dyDescent="0.25">
      <c r="A1497" s="36">
        <v>22717507</v>
      </c>
      <c r="B1497" t="s">
        <v>1660</v>
      </c>
    </row>
    <row r="1498" spans="1:3" x14ac:dyDescent="0.25">
      <c r="A1498" s="36">
        <v>20049749814</v>
      </c>
      <c r="B1498" t="s">
        <v>651</v>
      </c>
    </row>
    <row r="1499" spans="1:3" x14ac:dyDescent="0.25">
      <c r="A1499" s="36">
        <v>33716449829</v>
      </c>
      <c r="B1499" t="s">
        <v>1661</v>
      </c>
    </row>
    <row r="1500" spans="1:3" x14ac:dyDescent="0.25">
      <c r="A1500" s="36">
        <v>30642659312</v>
      </c>
      <c r="B1500" t="s">
        <v>1662</v>
      </c>
    </row>
    <row r="1501" spans="1:3" x14ac:dyDescent="0.25">
      <c r="A1501" s="36">
        <v>30708263849</v>
      </c>
      <c r="B1501" t="s">
        <v>652</v>
      </c>
    </row>
    <row r="1502" spans="1:3" x14ac:dyDescent="0.25">
      <c r="A1502" s="36">
        <v>20110668733</v>
      </c>
      <c r="B1502" t="s">
        <v>653</v>
      </c>
    </row>
    <row r="1503" spans="1:3" x14ac:dyDescent="0.25">
      <c r="A1503" s="36">
        <v>23233422029</v>
      </c>
      <c r="B1503" t="s">
        <v>1663</v>
      </c>
      <c r="C1503" s="35" t="s">
        <v>2353</v>
      </c>
    </row>
    <row r="1504" spans="1:3" x14ac:dyDescent="0.25">
      <c r="A1504" s="36">
        <v>21826425</v>
      </c>
      <c r="B1504" t="s">
        <v>1664</v>
      </c>
    </row>
    <row r="1505" spans="1:3" x14ac:dyDescent="0.25">
      <c r="A1505" s="36">
        <v>28601556</v>
      </c>
      <c r="B1505" t="s">
        <v>1665</v>
      </c>
    </row>
    <row r="1506" spans="1:3" x14ac:dyDescent="0.25">
      <c r="A1506" s="36">
        <v>32150883</v>
      </c>
      <c r="B1506" t="s">
        <v>1666</v>
      </c>
    </row>
    <row r="1507" spans="1:3" x14ac:dyDescent="0.25">
      <c r="A1507" s="36">
        <v>23602940</v>
      </c>
      <c r="B1507" t="s">
        <v>1667</v>
      </c>
    </row>
    <row r="1508" spans="1:3" x14ac:dyDescent="0.25">
      <c r="A1508" s="36">
        <v>10401112</v>
      </c>
      <c r="B1508" t="s">
        <v>1668</v>
      </c>
    </row>
    <row r="1509" spans="1:3" x14ac:dyDescent="0.25">
      <c r="A1509" s="36">
        <v>30576393381</v>
      </c>
      <c r="B1509" t="s">
        <v>654</v>
      </c>
    </row>
    <row r="1510" spans="1:3" x14ac:dyDescent="0.25">
      <c r="A1510" s="36">
        <v>382591</v>
      </c>
      <c r="B1510" t="s">
        <v>1669</v>
      </c>
    </row>
    <row r="1511" spans="1:3" x14ac:dyDescent="0.25">
      <c r="A1511" s="36">
        <v>17938295</v>
      </c>
      <c r="B1511" t="s">
        <v>1670</v>
      </c>
    </row>
    <row r="1512" spans="1:3" x14ac:dyDescent="0.25">
      <c r="A1512" s="36">
        <v>93478936</v>
      </c>
      <c r="B1512" t="s">
        <v>1671</v>
      </c>
    </row>
    <row r="1513" spans="1:3" x14ac:dyDescent="0.25">
      <c r="A1513" s="36">
        <v>27313805293</v>
      </c>
      <c r="B1513" t="s">
        <v>1672</v>
      </c>
    </row>
    <row r="1514" spans="1:3" x14ac:dyDescent="0.25">
      <c r="A1514" s="36">
        <v>7677058</v>
      </c>
      <c r="B1514" t="s">
        <v>1673</v>
      </c>
    </row>
    <row r="1515" spans="1:3" x14ac:dyDescent="0.25">
      <c r="A1515" s="36">
        <v>30714654701</v>
      </c>
      <c r="B1515" t="s">
        <v>655</v>
      </c>
    </row>
    <row r="1516" spans="1:3" x14ac:dyDescent="0.25">
      <c r="A1516" s="36">
        <v>936104225</v>
      </c>
      <c r="B1516" t="s">
        <v>1674</v>
      </c>
    </row>
    <row r="1517" spans="1:3" x14ac:dyDescent="0.25">
      <c r="A1517" s="36">
        <v>30708552808</v>
      </c>
      <c r="B1517" t="s">
        <v>1675</v>
      </c>
      <c r="C1517" s="35" t="s">
        <v>44</v>
      </c>
    </row>
    <row r="1518" spans="1:3" x14ac:dyDescent="0.25">
      <c r="A1518" s="36">
        <v>20233320294</v>
      </c>
      <c r="B1518" t="s">
        <v>656</v>
      </c>
    </row>
    <row r="1519" spans="1:3" x14ac:dyDescent="0.25">
      <c r="A1519" s="36">
        <v>16129863</v>
      </c>
      <c r="B1519" t="s">
        <v>1676</v>
      </c>
    </row>
    <row r="1520" spans="1:3" x14ac:dyDescent="0.25">
      <c r="A1520" s="36">
        <v>30715048066</v>
      </c>
      <c r="B1520" t="s">
        <v>106</v>
      </c>
      <c r="C1520" s="35" t="s">
        <v>2355</v>
      </c>
    </row>
    <row r="1521" spans="1:2" x14ac:dyDescent="0.25">
      <c r="A1521" s="36">
        <v>20043702611</v>
      </c>
      <c r="B1521" t="s">
        <v>657</v>
      </c>
    </row>
    <row r="1522" spans="1:2" x14ac:dyDescent="0.25">
      <c r="A1522" s="36">
        <v>20229507525</v>
      </c>
      <c r="B1522" t="s">
        <v>658</v>
      </c>
    </row>
    <row r="1523" spans="1:2" x14ac:dyDescent="0.25">
      <c r="A1523" s="36">
        <v>30521596135</v>
      </c>
      <c r="B1523" t="s">
        <v>659</v>
      </c>
    </row>
    <row r="1524" spans="1:2" x14ac:dyDescent="0.25">
      <c r="A1524" s="36">
        <v>154933</v>
      </c>
      <c r="B1524" t="s">
        <v>1677</v>
      </c>
    </row>
    <row r="1525" spans="1:2" x14ac:dyDescent="0.25">
      <c r="A1525" s="36">
        <v>35157074</v>
      </c>
      <c r="B1525" t="s">
        <v>1678</v>
      </c>
    </row>
    <row r="1526" spans="1:2" x14ac:dyDescent="0.25">
      <c r="A1526" s="36">
        <v>11457372</v>
      </c>
      <c r="B1526" t="s">
        <v>1679</v>
      </c>
    </row>
    <row r="1527" spans="1:2" x14ac:dyDescent="0.25">
      <c r="A1527" s="36">
        <v>20435515</v>
      </c>
      <c r="B1527" t="s">
        <v>1680</v>
      </c>
    </row>
    <row r="1528" spans="1:2" x14ac:dyDescent="0.25">
      <c r="A1528" s="36">
        <v>24179800</v>
      </c>
      <c r="B1528" t="s">
        <v>1681</v>
      </c>
    </row>
    <row r="1529" spans="1:2" x14ac:dyDescent="0.25">
      <c r="A1529" s="36">
        <v>5071185</v>
      </c>
      <c r="B1529" t="s">
        <v>1682</v>
      </c>
    </row>
    <row r="1530" spans="1:2" x14ac:dyDescent="0.25">
      <c r="A1530" s="36">
        <v>26201741</v>
      </c>
      <c r="B1530" t="s">
        <v>1683</v>
      </c>
    </row>
    <row r="1531" spans="1:2" x14ac:dyDescent="0.25">
      <c r="A1531" s="36">
        <v>26201741</v>
      </c>
      <c r="B1531" t="s">
        <v>1683</v>
      </c>
    </row>
    <row r="1532" spans="1:2" x14ac:dyDescent="0.25">
      <c r="A1532" s="36">
        <v>30023546</v>
      </c>
      <c r="B1532" t="s">
        <v>1684</v>
      </c>
    </row>
    <row r="1533" spans="1:2" x14ac:dyDescent="0.25">
      <c r="A1533" s="36">
        <v>4059810</v>
      </c>
      <c r="B1533" t="s">
        <v>1685</v>
      </c>
    </row>
    <row r="1534" spans="1:2" x14ac:dyDescent="0.25">
      <c r="A1534" s="36">
        <v>94075695</v>
      </c>
      <c r="B1534" t="s">
        <v>1686</v>
      </c>
    </row>
    <row r="1535" spans="1:2" x14ac:dyDescent="0.25">
      <c r="A1535" s="36">
        <v>23122329119</v>
      </c>
      <c r="B1535" t="s">
        <v>1687</v>
      </c>
    </row>
    <row r="1536" spans="1:2" x14ac:dyDescent="0.25">
      <c r="A1536" s="36">
        <v>27824095</v>
      </c>
      <c r="B1536" t="s">
        <v>1688</v>
      </c>
    </row>
    <row r="1537" spans="1:2" x14ac:dyDescent="0.25">
      <c r="A1537" s="36">
        <v>20351722585</v>
      </c>
      <c r="B1537" t="s">
        <v>1689</v>
      </c>
    </row>
    <row r="1538" spans="1:2" x14ac:dyDescent="0.25">
      <c r="A1538" s="36">
        <v>4829719</v>
      </c>
      <c r="B1538" t="s">
        <v>660</v>
      </c>
    </row>
    <row r="1539" spans="1:2" x14ac:dyDescent="0.25">
      <c r="A1539" s="36">
        <v>17534043</v>
      </c>
      <c r="B1539" t="s">
        <v>1690</v>
      </c>
    </row>
    <row r="1540" spans="1:2" x14ac:dyDescent="0.25">
      <c r="A1540" s="36">
        <v>30540721722</v>
      </c>
      <c r="B1540" t="s">
        <v>661</v>
      </c>
    </row>
    <row r="1541" spans="1:2" x14ac:dyDescent="0.25">
      <c r="A1541" s="36">
        <v>26052364</v>
      </c>
      <c r="B1541" t="s">
        <v>1691</v>
      </c>
    </row>
    <row r="1542" spans="1:2" x14ac:dyDescent="0.25">
      <c r="A1542" s="36">
        <v>30714628646</v>
      </c>
      <c r="B1542" t="s">
        <v>1692</v>
      </c>
    </row>
    <row r="1543" spans="1:2" x14ac:dyDescent="0.25">
      <c r="A1543" s="36">
        <v>5589710</v>
      </c>
      <c r="B1543" t="s">
        <v>1693</v>
      </c>
    </row>
    <row r="1544" spans="1:2" x14ac:dyDescent="0.25">
      <c r="A1544" s="36">
        <v>4351726</v>
      </c>
      <c r="B1544" t="s">
        <v>1694</v>
      </c>
    </row>
    <row r="1545" spans="1:2" x14ac:dyDescent="0.25">
      <c r="A1545" s="36">
        <v>4351726</v>
      </c>
      <c r="B1545" t="s">
        <v>1694</v>
      </c>
    </row>
    <row r="1546" spans="1:2" x14ac:dyDescent="0.25">
      <c r="A1546" s="36">
        <v>30595553535</v>
      </c>
      <c r="B1546" t="s">
        <v>1695</v>
      </c>
    </row>
    <row r="1547" spans="1:2" x14ac:dyDescent="0.25">
      <c r="A1547" s="36">
        <v>93352172</v>
      </c>
      <c r="B1547" t="s">
        <v>1696</v>
      </c>
    </row>
    <row r="1548" spans="1:2" x14ac:dyDescent="0.25">
      <c r="A1548" s="36">
        <v>514546</v>
      </c>
      <c r="B1548" t="s">
        <v>1697</v>
      </c>
    </row>
    <row r="1549" spans="1:2" x14ac:dyDescent="0.25">
      <c r="A1549" s="36">
        <v>20044272009</v>
      </c>
      <c r="B1549" t="s">
        <v>1698</v>
      </c>
    </row>
    <row r="1550" spans="1:2" x14ac:dyDescent="0.25">
      <c r="A1550" s="36">
        <v>30710444877</v>
      </c>
      <c r="B1550" t="s">
        <v>662</v>
      </c>
    </row>
    <row r="1551" spans="1:2" x14ac:dyDescent="0.25">
      <c r="A1551" s="36">
        <v>33709108129</v>
      </c>
      <c r="B1551" t="s">
        <v>663</v>
      </c>
    </row>
    <row r="1552" spans="1:2" x14ac:dyDescent="0.25">
      <c r="A1552" s="36">
        <v>30506730038</v>
      </c>
      <c r="B1552" t="s">
        <v>664</v>
      </c>
    </row>
    <row r="1553" spans="1:3" x14ac:dyDescent="0.25">
      <c r="A1553" s="36">
        <v>11802827</v>
      </c>
      <c r="B1553" t="s">
        <v>1699</v>
      </c>
    </row>
    <row r="1554" spans="1:3" x14ac:dyDescent="0.25">
      <c r="A1554" s="36">
        <v>20254412490</v>
      </c>
      <c r="B1554" t="s">
        <v>1700</v>
      </c>
    </row>
    <row r="1555" spans="1:3" x14ac:dyDescent="0.25">
      <c r="A1555" s="36">
        <v>30558706836</v>
      </c>
      <c r="B1555" t="s">
        <v>665</v>
      </c>
    </row>
    <row r="1556" spans="1:3" x14ac:dyDescent="0.25">
      <c r="A1556" s="36">
        <v>56980</v>
      </c>
      <c r="B1556" t="s">
        <v>1701</v>
      </c>
    </row>
    <row r="1557" spans="1:3" x14ac:dyDescent="0.25">
      <c r="A1557" s="36">
        <v>30610511801</v>
      </c>
      <c r="B1557" t="s">
        <v>666</v>
      </c>
    </row>
    <row r="1558" spans="1:3" x14ac:dyDescent="0.25">
      <c r="A1558" s="36">
        <v>23111810184</v>
      </c>
      <c r="B1558" t="s">
        <v>1702</v>
      </c>
    </row>
    <row r="1559" spans="1:3" x14ac:dyDescent="0.25">
      <c r="A1559" s="36">
        <v>4379902</v>
      </c>
      <c r="B1559" t="s">
        <v>1703</v>
      </c>
    </row>
    <row r="1560" spans="1:3" x14ac:dyDescent="0.25">
      <c r="A1560" s="36">
        <v>23043799029</v>
      </c>
      <c r="B1560" t="s">
        <v>1704</v>
      </c>
    </row>
    <row r="1561" spans="1:3" x14ac:dyDescent="0.25">
      <c r="A1561" s="36">
        <v>30500529071</v>
      </c>
      <c r="B1561" t="s">
        <v>667</v>
      </c>
    </row>
    <row r="1562" spans="1:3" x14ac:dyDescent="0.25">
      <c r="A1562" s="36">
        <v>6209031</v>
      </c>
      <c r="B1562" t="s">
        <v>668</v>
      </c>
    </row>
    <row r="1563" spans="1:3" x14ac:dyDescent="0.25">
      <c r="A1563" s="36">
        <v>30645585654</v>
      </c>
      <c r="B1563" t="s">
        <v>669</v>
      </c>
    </row>
    <row r="1564" spans="1:3" x14ac:dyDescent="0.25">
      <c r="A1564" s="36">
        <v>30300307</v>
      </c>
      <c r="B1564" t="s">
        <v>1705</v>
      </c>
    </row>
    <row r="1565" spans="1:3" x14ac:dyDescent="0.25">
      <c r="A1565" s="36">
        <v>30711553564</v>
      </c>
      <c r="B1565" t="s">
        <v>670</v>
      </c>
      <c r="C1565" s="35" t="s">
        <v>2353</v>
      </c>
    </row>
    <row r="1566" spans="1:3" x14ac:dyDescent="0.25">
      <c r="A1566" s="36">
        <v>5777427</v>
      </c>
      <c r="B1566" t="s">
        <v>1706</v>
      </c>
    </row>
    <row r="1567" spans="1:3" x14ac:dyDescent="0.25">
      <c r="A1567" s="36">
        <v>32187169</v>
      </c>
      <c r="B1567" t="s">
        <v>1707</v>
      </c>
    </row>
    <row r="1568" spans="1:3" x14ac:dyDescent="0.25">
      <c r="A1568" s="36">
        <v>4775767</v>
      </c>
      <c r="B1568" t="s">
        <v>1708</v>
      </c>
    </row>
    <row r="1569" spans="1:3" x14ac:dyDescent="0.25">
      <c r="A1569" s="36">
        <v>13417805</v>
      </c>
      <c r="B1569" t="s">
        <v>1709</v>
      </c>
    </row>
    <row r="1570" spans="1:3" x14ac:dyDescent="0.25">
      <c r="A1570" s="36">
        <v>22001100</v>
      </c>
      <c r="B1570" t="s">
        <v>1710</v>
      </c>
    </row>
    <row r="1571" spans="1:3" x14ac:dyDescent="0.25">
      <c r="A1571" s="36">
        <v>94018871</v>
      </c>
      <c r="B1571" t="s">
        <v>671</v>
      </c>
    </row>
    <row r="1572" spans="1:3" x14ac:dyDescent="0.25">
      <c r="A1572" s="36">
        <v>264681</v>
      </c>
      <c r="B1572" t="s">
        <v>1711</v>
      </c>
    </row>
    <row r="1573" spans="1:3" x14ac:dyDescent="0.25">
      <c r="A1573" s="36">
        <v>1132896</v>
      </c>
      <c r="B1573" t="s">
        <v>1712</v>
      </c>
    </row>
    <row r="1574" spans="1:3" x14ac:dyDescent="0.25">
      <c r="A1574" s="36">
        <v>23144667239</v>
      </c>
      <c r="B1574" t="s">
        <v>1713</v>
      </c>
    </row>
    <row r="1575" spans="1:3" x14ac:dyDescent="0.25">
      <c r="A1575" s="36">
        <v>11836061</v>
      </c>
      <c r="B1575" t="s">
        <v>1714</v>
      </c>
    </row>
    <row r="1576" spans="1:3" x14ac:dyDescent="0.25">
      <c r="A1576" s="36">
        <v>30586172308</v>
      </c>
      <c r="B1576" t="s">
        <v>1715</v>
      </c>
    </row>
    <row r="1577" spans="1:3" x14ac:dyDescent="0.25">
      <c r="A1577" s="36">
        <v>1404947</v>
      </c>
      <c r="B1577" t="s">
        <v>1716</v>
      </c>
    </row>
    <row r="1578" spans="1:3" x14ac:dyDescent="0.25">
      <c r="A1578" s="36">
        <v>27217606255</v>
      </c>
      <c r="B1578" t="s">
        <v>1717</v>
      </c>
      <c r="C1578" s="35" t="s">
        <v>2344</v>
      </c>
    </row>
    <row r="1579" spans="1:3" x14ac:dyDescent="0.25">
      <c r="A1579" s="36">
        <v>4365206</v>
      </c>
      <c r="B1579" t="s">
        <v>1718</v>
      </c>
    </row>
    <row r="1580" spans="1:3" x14ac:dyDescent="0.25">
      <c r="A1580" s="36">
        <v>4559651</v>
      </c>
      <c r="B1580" t="s">
        <v>1719</v>
      </c>
    </row>
    <row r="1581" spans="1:3" x14ac:dyDescent="0.25">
      <c r="A1581" s="36">
        <v>30714079405</v>
      </c>
      <c r="B1581" t="s">
        <v>672</v>
      </c>
    </row>
    <row r="1582" spans="1:3" x14ac:dyDescent="0.25">
      <c r="A1582" s="36">
        <v>27240421513</v>
      </c>
      <c r="B1582" t="s">
        <v>673</v>
      </c>
    </row>
    <row r="1583" spans="1:3" x14ac:dyDescent="0.25">
      <c r="A1583" s="36">
        <v>23255491784</v>
      </c>
      <c r="B1583" t="s">
        <v>1720</v>
      </c>
    </row>
    <row r="1584" spans="1:3" x14ac:dyDescent="0.25">
      <c r="A1584" s="36">
        <v>23327802</v>
      </c>
      <c r="B1584" t="s">
        <v>1721</v>
      </c>
    </row>
    <row r="1585" spans="1:3" x14ac:dyDescent="0.25">
      <c r="A1585" s="36">
        <v>9861710</v>
      </c>
      <c r="B1585" t="s">
        <v>1722</v>
      </c>
    </row>
    <row r="1586" spans="1:3" x14ac:dyDescent="0.25">
      <c r="A1586" s="36">
        <v>33693506099</v>
      </c>
      <c r="B1586" t="s">
        <v>1723</v>
      </c>
      <c r="C1586" s="35" t="s">
        <v>43</v>
      </c>
    </row>
    <row r="1587" spans="1:3" x14ac:dyDescent="0.25">
      <c r="A1587" s="36">
        <v>14123802</v>
      </c>
      <c r="B1587" t="s">
        <v>1724</v>
      </c>
    </row>
    <row r="1588" spans="1:3" x14ac:dyDescent="0.25">
      <c r="A1588" s="36">
        <v>17223302</v>
      </c>
      <c r="B1588" t="s">
        <v>1725</v>
      </c>
    </row>
    <row r="1589" spans="1:3" x14ac:dyDescent="0.25">
      <c r="A1589" s="36">
        <v>16593371</v>
      </c>
      <c r="B1589" t="s">
        <v>1726</v>
      </c>
    </row>
    <row r="1590" spans="1:3" x14ac:dyDescent="0.25">
      <c r="A1590" s="36">
        <v>20043688937</v>
      </c>
      <c r="B1590" t="s">
        <v>1727</v>
      </c>
    </row>
    <row r="1591" spans="1:3" x14ac:dyDescent="0.25">
      <c r="A1591" s="36">
        <v>43224968</v>
      </c>
      <c r="B1591" t="s">
        <v>1728</v>
      </c>
    </row>
    <row r="1592" spans="1:3" x14ac:dyDescent="0.25">
      <c r="A1592" s="36">
        <v>26690839</v>
      </c>
      <c r="B1592" t="s">
        <v>1729</v>
      </c>
    </row>
    <row r="1593" spans="1:3" x14ac:dyDescent="0.25">
      <c r="A1593" s="36">
        <v>30708428082</v>
      </c>
      <c r="B1593" t="s">
        <v>674</v>
      </c>
    </row>
    <row r="1594" spans="1:3" x14ac:dyDescent="0.25">
      <c r="A1594" s="36">
        <v>18215010</v>
      </c>
      <c r="B1594" t="s">
        <v>1730</v>
      </c>
    </row>
    <row r="1595" spans="1:3" x14ac:dyDescent="0.25">
      <c r="A1595" s="36">
        <v>30690142860</v>
      </c>
      <c r="B1595" t="s">
        <v>1731</v>
      </c>
    </row>
    <row r="1596" spans="1:3" x14ac:dyDescent="0.25">
      <c r="A1596" s="36">
        <v>30638340689</v>
      </c>
      <c r="B1596" t="s">
        <v>1732</v>
      </c>
    </row>
    <row r="1597" spans="1:3" x14ac:dyDescent="0.25">
      <c r="A1597" s="36">
        <v>30631047145</v>
      </c>
      <c r="B1597" t="s">
        <v>675</v>
      </c>
    </row>
    <row r="1598" spans="1:3" x14ac:dyDescent="0.25">
      <c r="A1598" s="36">
        <v>30711105014</v>
      </c>
      <c r="B1598" t="s">
        <v>676</v>
      </c>
    </row>
    <row r="1599" spans="1:3" x14ac:dyDescent="0.25">
      <c r="A1599" s="36">
        <v>30683684143</v>
      </c>
      <c r="B1599" t="s">
        <v>677</v>
      </c>
    </row>
    <row r="1600" spans="1:3" x14ac:dyDescent="0.25">
      <c r="A1600" s="36">
        <v>30645330184</v>
      </c>
      <c r="B1600" t="s">
        <v>678</v>
      </c>
    </row>
    <row r="1601" spans="1:3" x14ac:dyDescent="0.25">
      <c r="A1601" s="36">
        <v>30610025915</v>
      </c>
      <c r="B1601" t="s">
        <v>679</v>
      </c>
    </row>
    <row r="1602" spans="1:3" x14ac:dyDescent="0.25">
      <c r="A1602" s="36">
        <v>30616500593</v>
      </c>
      <c r="B1602" t="s">
        <v>680</v>
      </c>
    </row>
    <row r="1603" spans="1:3" x14ac:dyDescent="0.25">
      <c r="A1603" s="36">
        <v>30710682026</v>
      </c>
      <c r="B1603" t="s">
        <v>1733</v>
      </c>
    </row>
    <row r="1604" spans="1:3" x14ac:dyDescent="0.25">
      <c r="A1604" s="36">
        <v>1317770</v>
      </c>
      <c r="B1604" t="s">
        <v>1734</v>
      </c>
    </row>
    <row r="1605" spans="1:3" x14ac:dyDescent="0.25">
      <c r="A1605" s="36">
        <v>30645722554</v>
      </c>
      <c r="B1605" t="s">
        <v>1735</v>
      </c>
    </row>
    <row r="1606" spans="1:3" x14ac:dyDescent="0.25">
      <c r="A1606" s="36">
        <v>30574300858</v>
      </c>
      <c r="B1606" t="s">
        <v>681</v>
      </c>
    </row>
    <row r="1607" spans="1:3" x14ac:dyDescent="0.25">
      <c r="A1607" s="36">
        <v>30699419245</v>
      </c>
      <c r="B1607" t="s">
        <v>682</v>
      </c>
    </row>
    <row r="1608" spans="1:3" x14ac:dyDescent="0.25">
      <c r="A1608" s="36">
        <v>31335549</v>
      </c>
      <c r="B1608" t="s">
        <v>683</v>
      </c>
    </row>
    <row r="1609" spans="1:3" x14ac:dyDescent="0.25">
      <c r="A1609" s="36">
        <v>20184103924</v>
      </c>
      <c r="B1609" t="s">
        <v>684</v>
      </c>
    </row>
    <row r="1610" spans="1:3" x14ac:dyDescent="0.25">
      <c r="A1610" s="36">
        <v>20926929128</v>
      </c>
      <c r="B1610" t="s">
        <v>685</v>
      </c>
    </row>
    <row r="1611" spans="1:3" x14ac:dyDescent="0.25">
      <c r="A1611" s="36">
        <v>30663434191</v>
      </c>
      <c r="B1611" t="s">
        <v>686</v>
      </c>
    </row>
    <row r="1612" spans="1:3" x14ac:dyDescent="0.25">
      <c r="A1612" s="36">
        <v>30598960093</v>
      </c>
      <c r="B1612" t="s">
        <v>687</v>
      </c>
      <c r="C1612" s="35" t="s">
        <v>2353</v>
      </c>
    </row>
    <row r="1613" spans="1:3" x14ac:dyDescent="0.25">
      <c r="A1613" s="36">
        <v>30598960093</v>
      </c>
      <c r="B1613" t="s">
        <v>687</v>
      </c>
      <c r="C1613" s="35" t="s">
        <v>2353</v>
      </c>
    </row>
    <row r="1614" spans="1:3" x14ac:dyDescent="0.25">
      <c r="A1614" s="36">
        <v>30598960093</v>
      </c>
      <c r="B1614" t="s">
        <v>687</v>
      </c>
      <c r="C1614" s="35" t="s">
        <v>2353</v>
      </c>
    </row>
    <row r="1615" spans="1:3" x14ac:dyDescent="0.25">
      <c r="A1615" s="36">
        <v>13655230</v>
      </c>
      <c r="B1615" t="s">
        <v>1736</v>
      </c>
    </row>
    <row r="1616" spans="1:3" x14ac:dyDescent="0.25">
      <c r="A1616" s="36">
        <v>11360862</v>
      </c>
      <c r="B1616" t="s">
        <v>1737</v>
      </c>
    </row>
    <row r="1617" spans="1:3" x14ac:dyDescent="0.25">
      <c r="A1617" s="36">
        <v>4983640</v>
      </c>
      <c r="B1617" t="s">
        <v>1738</v>
      </c>
    </row>
    <row r="1618" spans="1:3" x14ac:dyDescent="0.25">
      <c r="A1618" s="36">
        <v>30707833765</v>
      </c>
      <c r="B1618" t="s">
        <v>688</v>
      </c>
    </row>
    <row r="1619" spans="1:3" x14ac:dyDescent="0.25">
      <c r="A1619" s="36">
        <v>30673535182</v>
      </c>
      <c r="B1619" t="s">
        <v>1739</v>
      </c>
    </row>
    <row r="1620" spans="1:3" x14ac:dyDescent="0.25">
      <c r="A1620" s="36">
        <v>30528650003</v>
      </c>
      <c r="B1620" t="s">
        <v>689</v>
      </c>
    </row>
    <row r="1621" spans="1:3" x14ac:dyDescent="0.25">
      <c r="A1621" s="36">
        <v>30715504037</v>
      </c>
      <c r="B1621" t="s">
        <v>690</v>
      </c>
    </row>
    <row r="1622" spans="1:3" x14ac:dyDescent="0.25">
      <c r="A1622" s="36">
        <v>4909512</v>
      </c>
      <c r="B1622" t="s">
        <v>1740</v>
      </c>
    </row>
    <row r="1623" spans="1:3" x14ac:dyDescent="0.25">
      <c r="A1623" s="36">
        <v>30665725829</v>
      </c>
      <c r="B1623" t="s">
        <v>691</v>
      </c>
    </row>
    <row r="1624" spans="1:3" x14ac:dyDescent="0.25">
      <c r="A1624" s="36">
        <v>31283351</v>
      </c>
      <c r="B1624" t="s">
        <v>1741</v>
      </c>
    </row>
    <row r="1625" spans="1:3" x14ac:dyDescent="0.25">
      <c r="A1625" s="36">
        <v>30715487876</v>
      </c>
      <c r="B1625" t="s">
        <v>692</v>
      </c>
    </row>
    <row r="1626" spans="1:3" x14ac:dyDescent="0.25">
      <c r="A1626" s="36">
        <v>22297157</v>
      </c>
      <c r="B1626" t="s">
        <v>1742</v>
      </c>
    </row>
    <row r="1627" spans="1:3" x14ac:dyDescent="0.25">
      <c r="A1627" s="36">
        <v>20351173913</v>
      </c>
      <c r="B1627" t="s">
        <v>1743</v>
      </c>
    </row>
    <row r="1628" spans="1:3" x14ac:dyDescent="0.25">
      <c r="A1628" s="36">
        <v>30521522786</v>
      </c>
      <c r="B1628" t="s">
        <v>1744</v>
      </c>
    </row>
    <row r="1629" spans="1:3" x14ac:dyDescent="0.25">
      <c r="A1629" s="36">
        <v>25682418</v>
      </c>
      <c r="B1629" t="s">
        <v>1745</v>
      </c>
    </row>
    <row r="1630" spans="1:3" x14ac:dyDescent="0.25">
      <c r="A1630" s="36">
        <v>30702071506</v>
      </c>
      <c r="B1630" t="s">
        <v>1746</v>
      </c>
    </row>
    <row r="1631" spans="1:3" x14ac:dyDescent="0.25">
      <c r="A1631" s="36">
        <v>30711842809</v>
      </c>
      <c r="B1631" t="s">
        <v>1747</v>
      </c>
    </row>
    <row r="1632" spans="1:3" x14ac:dyDescent="0.25">
      <c r="A1632" s="36">
        <v>30654118767</v>
      </c>
      <c r="B1632" t="s">
        <v>693</v>
      </c>
      <c r="C1632" s="35" t="s">
        <v>2341</v>
      </c>
    </row>
    <row r="1633" spans="1:3" x14ac:dyDescent="0.25">
      <c r="A1633" s="36">
        <v>30716393360</v>
      </c>
      <c r="B1633" t="s">
        <v>1748</v>
      </c>
    </row>
    <row r="1634" spans="1:3" x14ac:dyDescent="0.25">
      <c r="A1634" s="36">
        <v>56203961</v>
      </c>
      <c r="B1634" t="s">
        <v>1749</v>
      </c>
    </row>
    <row r="1635" spans="1:3" x14ac:dyDescent="0.25">
      <c r="A1635" s="36">
        <v>30709040908</v>
      </c>
      <c r="B1635" t="s">
        <v>694</v>
      </c>
    </row>
    <row r="1636" spans="1:3" x14ac:dyDescent="0.25">
      <c r="A1636" s="36">
        <v>33715594949</v>
      </c>
      <c r="B1636" t="s">
        <v>1750</v>
      </c>
      <c r="C1636" s="35" t="s">
        <v>44</v>
      </c>
    </row>
    <row r="1637" spans="1:3" x14ac:dyDescent="0.25">
      <c r="A1637" s="36">
        <v>30688387201</v>
      </c>
      <c r="B1637" t="s">
        <v>695</v>
      </c>
    </row>
    <row r="1638" spans="1:3" x14ac:dyDescent="0.25">
      <c r="A1638" s="36">
        <v>36594584</v>
      </c>
      <c r="B1638" t="s">
        <v>1751</v>
      </c>
    </row>
    <row r="1639" spans="1:3" x14ac:dyDescent="0.25">
      <c r="A1639" s="36">
        <v>26886421</v>
      </c>
      <c r="B1639" t="s">
        <v>1752</v>
      </c>
    </row>
    <row r="1640" spans="1:3" x14ac:dyDescent="0.25">
      <c r="A1640" s="36">
        <v>21588417</v>
      </c>
      <c r="B1640" t="s">
        <v>1753</v>
      </c>
    </row>
    <row r="1641" spans="1:3" x14ac:dyDescent="0.25">
      <c r="A1641" s="36">
        <v>27066622997</v>
      </c>
      <c r="B1641" t="s">
        <v>696</v>
      </c>
    </row>
    <row r="1642" spans="1:3" x14ac:dyDescent="0.25">
      <c r="A1642" s="36">
        <v>27312091</v>
      </c>
      <c r="B1642" t="s">
        <v>1754</v>
      </c>
    </row>
    <row r="1643" spans="1:3" x14ac:dyDescent="0.25">
      <c r="A1643" s="36">
        <v>30700888505</v>
      </c>
      <c r="B1643" t="s">
        <v>1755</v>
      </c>
    </row>
    <row r="1644" spans="1:3" x14ac:dyDescent="0.25">
      <c r="A1644" s="36">
        <v>30643416375</v>
      </c>
      <c r="B1644" t="s">
        <v>697</v>
      </c>
    </row>
    <row r="1645" spans="1:3" x14ac:dyDescent="0.25">
      <c r="A1645" s="36">
        <v>13740696</v>
      </c>
      <c r="B1645" t="s">
        <v>698</v>
      </c>
    </row>
    <row r="1646" spans="1:3" x14ac:dyDescent="0.25">
      <c r="A1646" s="36">
        <v>30714710652</v>
      </c>
      <c r="B1646" t="s">
        <v>699</v>
      </c>
    </row>
    <row r="1647" spans="1:3" x14ac:dyDescent="0.25">
      <c r="A1647" s="36">
        <v>23185808963</v>
      </c>
      <c r="B1647" t="s">
        <v>700</v>
      </c>
    </row>
    <row r="1648" spans="1:3" x14ac:dyDescent="0.25">
      <c r="A1648" s="36">
        <v>12975784</v>
      </c>
      <c r="B1648" t="s">
        <v>1756</v>
      </c>
    </row>
    <row r="1649" spans="1:2" x14ac:dyDescent="0.25">
      <c r="A1649" s="36">
        <v>20300821872</v>
      </c>
      <c r="B1649" t="s">
        <v>1757</v>
      </c>
    </row>
    <row r="1650" spans="1:2" x14ac:dyDescent="0.25">
      <c r="A1650" s="36">
        <v>30577797281</v>
      </c>
      <c r="B1650" t="s">
        <v>701</v>
      </c>
    </row>
    <row r="1651" spans="1:2" x14ac:dyDescent="0.25">
      <c r="A1651" s="36">
        <v>30577797281</v>
      </c>
      <c r="B1651" t="s">
        <v>701</v>
      </c>
    </row>
    <row r="1652" spans="1:2" x14ac:dyDescent="0.25">
      <c r="A1652" s="36">
        <v>30577797281</v>
      </c>
      <c r="B1652" t="s">
        <v>701</v>
      </c>
    </row>
    <row r="1653" spans="1:2" x14ac:dyDescent="0.25">
      <c r="A1653" s="36" t="s">
        <v>1758</v>
      </c>
      <c r="B1653" t="s">
        <v>701</v>
      </c>
    </row>
    <row r="1654" spans="1:2" x14ac:dyDescent="0.25">
      <c r="A1654" s="36">
        <v>20249295869</v>
      </c>
      <c r="B1654" t="s">
        <v>702</v>
      </c>
    </row>
    <row r="1655" spans="1:2" x14ac:dyDescent="0.25">
      <c r="A1655" s="36">
        <v>23250955529</v>
      </c>
      <c r="B1655" t="s">
        <v>1759</v>
      </c>
    </row>
    <row r="1656" spans="1:2" x14ac:dyDescent="0.25">
      <c r="A1656" s="36">
        <v>17570512</v>
      </c>
      <c r="B1656" t="s">
        <v>1760</v>
      </c>
    </row>
    <row r="1657" spans="1:2" x14ac:dyDescent="0.25">
      <c r="A1657" s="36">
        <v>34294872</v>
      </c>
      <c r="B1657" t="s">
        <v>1761</v>
      </c>
    </row>
    <row r="1658" spans="1:2" x14ac:dyDescent="0.25">
      <c r="A1658" s="36">
        <v>34571343</v>
      </c>
      <c r="B1658" t="s">
        <v>1762</v>
      </c>
    </row>
    <row r="1659" spans="1:2" x14ac:dyDescent="0.25">
      <c r="A1659" s="36">
        <v>16492758</v>
      </c>
      <c r="B1659" t="s">
        <v>1763</v>
      </c>
    </row>
    <row r="1660" spans="1:2" x14ac:dyDescent="0.25">
      <c r="A1660" s="36">
        <v>30500221956</v>
      </c>
      <c r="B1660" t="s">
        <v>703</v>
      </c>
    </row>
    <row r="1661" spans="1:2" x14ac:dyDescent="0.25">
      <c r="A1661" s="36">
        <v>17106902</v>
      </c>
      <c r="B1661" t="s">
        <v>1764</v>
      </c>
    </row>
    <row r="1662" spans="1:2" x14ac:dyDescent="0.25">
      <c r="A1662" s="36">
        <v>902191</v>
      </c>
      <c r="B1662" t="s">
        <v>1765</v>
      </c>
    </row>
    <row r="1663" spans="1:2" x14ac:dyDescent="0.25">
      <c r="A1663" s="36">
        <v>20172324240</v>
      </c>
      <c r="B1663" t="s">
        <v>704</v>
      </c>
    </row>
    <row r="1664" spans="1:2" x14ac:dyDescent="0.25">
      <c r="A1664" s="36">
        <v>22251013</v>
      </c>
      <c r="B1664" t="s">
        <v>1766</v>
      </c>
    </row>
    <row r="1665" spans="1:3" x14ac:dyDescent="0.25">
      <c r="A1665" s="36">
        <v>20325751453</v>
      </c>
      <c r="B1665" t="s">
        <v>705</v>
      </c>
    </row>
    <row r="1666" spans="1:3" x14ac:dyDescent="0.25">
      <c r="A1666" s="36">
        <v>20211427834</v>
      </c>
      <c r="B1666" t="s">
        <v>706</v>
      </c>
    </row>
    <row r="1667" spans="1:3" x14ac:dyDescent="0.25">
      <c r="A1667" s="36">
        <v>22990821</v>
      </c>
      <c r="B1667" t="s">
        <v>1767</v>
      </c>
    </row>
    <row r="1668" spans="1:3" x14ac:dyDescent="0.25">
      <c r="A1668" s="36">
        <v>30699425520</v>
      </c>
      <c r="B1668" t="s">
        <v>707</v>
      </c>
    </row>
    <row r="1669" spans="1:3" x14ac:dyDescent="0.25">
      <c r="A1669" s="36">
        <v>16891957</v>
      </c>
      <c r="B1669" t="s">
        <v>1768</v>
      </c>
    </row>
    <row r="1670" spans="1:3" x14ac:dyDescent="0.25">
      <c r="A1670" s="36">
        <v>30715701932</v>
      </c>
      <c r="B1670" t="s">
        <v>708</v>
      </c>
    </row>
    <row r="1671" spans="1:3" x14ac:dyDescent="0.25">
      <c r="A1671" s="36">
        <v>20045279244</v>
      </c>
      <c r="B1671" t="s">
        <v>709</v>
      </c>
    </row>
    <row r="1672" spans="1:3" x14ac:dyDescent="0.25">
      <c r="A1672" s="36">
        <v>20200212143</v>
      </c>
      <c r="B1672" t="s">
        <v>1769</v>
      </c>
    </row>
    <row r="1673" spans="1:3" x14ac:dyDescent="0.25">
      <c r="A1673" s="36">
        <v>30695303978</v>
      </c>
      <c r="B1673" t="s">
        <v>710</v>
      </c>
    </row>
    <row r="1674" spans="1:3" x14ac:dyDescent="0.25">
      <c r="A1674" s="36">
        <v>20314785593</v>
      </c>
      <c r="B1674" t="s">
        <v>1770</v>
      </c>
    </row>
    <row r="1675" spans="1:3" x14ac:dyDescent="0.25">
      <c r="A1675" s="36">
        <v>20314785593</v>
      </c>
      <c r="B1675" t="s">
        <v>1770</v>
      </c>
    </row>
    <row r="1676" spans="1:3" x14ac:dyDescent="0.25">
      <c r="A1676" s="36">
        <v>30715458744</v>
      </c>
      <c r="B1676" t="s">
        <v>1771</v>
      </c>
      <c r="C1676" s="35" t="s">
        <v>44</v>
      </c>
    </row>
    <row r="1677" spans="1:3" x14ac:dyDescent="0.25">
      <c r="A1677" s="36">
        <v>30709981141</v>
      </c>
      <c r="B1677" t="s">
        <v>711</v>
      </c>
    </row>
    <row r="1678" spans="1:3" x14ac:dyDescent="0.25">
      <c r="A1678" s="36">
        <v>30505459179</v>
      </c>
      <c r="B1678" t="s">
        <v>712</v>
      </c>
    </row>
    <row r="1679" spans="1:3" x14ac:dyDescent="0.25">
      <c r="A1679" s="36">
        <v>5696369</v>
      </c>
      <c r="B1679" t="s">
        <v>1772</v>
      </c>
    </row>
    <row r="1680" spans="1:3" x14ac:dyDescent="0.25">
      <c r="A1680" s="36">
        <v>23145783224</v>
      </c>
      <c r="B1680" t="s">
        <v>107</v>
      </c>
    </row>
    <row r="1681" spans="1:3" x14ac:dyDescent="0.25">
      <c r="A1681" s="36">
        <v>4886854</v>
      </c>
      <c r="B1681" t="s">
        <v>1773</v>
      </c>
    </row>
    <row r="1682" spans="1:3" x14ac:dyDescent="0.25">
      <c r="A1682" s="36">
        <v>30710114176</v>
      </c>
      <c r="B1682" t="s">
        <v>713</v>
      </c>
    </row>
    <row r="1683" spans="1:3" x14ac:dyDescent="0.25">
      <c r="A1683" s="36">
        <v>27166041673</v>
      </c>
      <c r="B1683" t="s">
        <v>714</v>
      </c>
    </row>
    <row r="1684" spans="1:3" x14ac:dyDescent="0.25">
      <c r="A1684" s="36">
        <v>30707057587</v>
      </c>
      <c r="B1684" t="s">
        <v>715</v>
      </c>
    </row>
    <row r="1685" spans="1:3" x14ac:dyDescent="0.25">
      <c r="A1685" s="36">
        <v>92676540</v>
      </c>
      <c r="B1685" t="s">
        <v>1774</v>
      </c>
    </row>
    <row r="1686" spans="1:3" x14ac:dyDescent="0.25">
      <c r="A1686" s="36">
        <v>30710177658</v>
      </c>
      <c r="B1686" t="s">
        <v>716</v>
      </c>
      <c r="C1686" s="35" t="s">
        <v>2353</v>
      </c>
    </row>
    <row r="1687" spans="1:3" x14ac:dyDescent="0.25">
      <c r="A1687" s="36">
        <v>30710177658</v>
      </c>
      <c r="B1687" t="s">
        <v>716</v>
      </c>
      <c r="C1687" s="35" t="s">
        <v>2353</v>
      </c>
    </row>
    <row r="1688" spans="1:3" x14ac:dyDescent="0.25">
      <c r="A1688" s="36">
        <v>30710177658</v>
      </c>
      <c r="B1688" t="s">
        <v>716</v>
      </c>
      <c r="C1688" s="35" t="s">
        <v>2353</v>
      </c>
    </row>
    <row r="1689" spans="1:3" x14ac:dyDescent="0.25">
      <c r="A1689" s="36">
        <v>30685376349</v>
      </c>
      <c r="B1689" t="s">
        <v>717</v>
      </c>
    </row>
    <row r="1690" spans="1:3" x14ac:dyDescent="0.25">
      <c r="A1690" s="36">
        <v>30711451567</v>
      </c>
      <c r="B1690" t="s">
        <v>718</v>
      </c>
    </row>
    <row r="1691" spans="1:3" x14ac:dyDescent="0.25">
      <c r="A1691" s="36">
        <v>20283639941</v>
      </c>
      <c r="B1691" t="s">
        <v>1775</v>
      </c>
    </row>
    <row r="1692" spans="1:3" x14ac:dyDescent="0.25">
      <c r="A1692" s="36">
        <v>11985001</v>
      </c>
      <c r="B1692" t="s">
        <v>1776</v>
      </c>
    </row>
    <row r="1693" spans="1:3" x14ac:dyDescent="0.25">
      <c r="A1693" s="36">
        <v>30676683867</v>
      </c>
      <c r="B1693" t="s">
        <v>719</v>
      </c>
    </row>
    <row r="1694" spans="1:3" x14ac:dyDescent="0.25">
      <c r="A1694" s="36">
        <v>30710725116</v>
      </c>
      <c r="B1694" t="s">
        <v>720</v>
      </c>
    </row>
    <row r="1695" spans="1:3" x14ac:dyDescent="0.25">
      <c r="A1695" s="36">
        <v>30708960736</v>
      </c>
      <c r="B1695" t="s">
        <v>1777</v>
      </c>
    </row>
    <row r="1696" spans="1:3" x14ac:dyDescent="0.25">
      <c r="A1696" s="36">
        <v>33716532769</v>
      </c>
      <c r="B1696" t="s">
        <v>1778</v>
      </c>
    </row>
    <row r="1697" spans="1:3" x14ac:dyDescent="0.25">
      <c r="A1697" s="36">
        <v>30712450408</v>
      </c>
      <c r="B1697" t="s">
        <v>1779</v>
      </c>
    </row>
    <row r="1698" spans="1:3" x14ac:dyDescent="0.25">
      <c r="A1698" s="36">
        <v>30708447036</v>
      </c>
      <c r="B1698" t="s">
        <v>721</v>
      </c>
    </row>
    <row r="1699" spans="1:3" x14ac:dyDescent="0.25">
      <c r="A1699" s="36">
        <v>30640897267</v>
      </c>
      <c r="B1699" t="s">
        <v>108</v>
      </c>
    </row>
    <row r="1700" spans="1:3" x14ac:dyDescent="0.25">
      <c r="A1700" s="36">
        <v>30639453738</v>
      </c>
      <c r="B1700" t="s">
        <v>1780</v>
      </c>
      <c r="C1700" s="35" t="s">
        <v>2359</v>
      </c>
    </row>
    <row r="1701" spans="1:3" x14ac:dyDescent="0.25">
      <c r="A1701" s="36">
        <v>30639453975</v>
      </c>
      <c r="B1701" t="s">
        <v>1781</v>
      </c>
      <c r="C1701" s="35" t="s">
        <v>2359</v>
      </c>
    </row>
    <row r="1702" spans="1:3" x14ac:dyDescent="0.25">
      <c r="A1702" s="36">
        <v>30678814357</v>
      </c>
      <c r="B1702" t="s">
        <v>1782</v>
      </c>
      <c r="C1702" s="35" t="s">
        <v>2359</v>
      </c>
    </row>
    <row r="1703" spans="1:3" x14ac:dyDescent="0.25">
      <c r="A1703" s="36">
        <v>33695098419</v>
      </c>
      <c r="B1703" t="s">
        <v>722</v>
      </c>
    </row>
    <row r="1704" spans="1:3" x14ac:dyDescent="0.25">
      <c r="A1704" s="36">
        <v>3285697</v>
      </c>
      <c r="B1704" t="s">
        <v>1783</v>
      </c>
    </row>
    <row r="1705" spans="1:3" x14ac:dyDescent="0.25">
      <c r="A1705" s="36">
        <v>30710092784</v>
      </c>
      <c r="B1705" t="s">
        <v>723</v>
      </c>
    </row>
    <row r="1706" spans="1:3" x14ac:dyDescent="0.25">
      <c r="A1706" s="36">
        <v>30642655732</v>
      </c>
      <c r="B1706" t="s">
        <v>1784</v>
      </c>
    </row>
    <row r="1707" spans="1:3" x14ac:dyDescent="0.25">
      <c r="A1707" s="36">
        <v>30716018373</v>
      </c>
      <c r="B1707" t="s">
        <v>1785</v>
      </c>
    </row>
    <row r="1708" spans="1:3" x14ac:dyDescent="0.25">
      <c r="A1708" s="36">
        <v>4154529</v>
      </c>
      <c r="B1708" t="s">
        <v>1786</v>
      </c>
    </row>
    <row r="1709" spans="1:3" x14ac:dyDescent="0.25">
      <c r="A1709" s="36">
        <v>30710718438</v>
      </c>
      <c r="B1709" t="s">
        <v>724</v>
      </c>
    </row>
    <row r="1710" spans="1:3" x14ac:dyDescent="0.25">
      <c r="A1710" s="36">
        <v>30715259784</v>
      </c>
      <c r="B1710" t="s">
        <v>725</v>
      </c>
    </row>
    <row r="1711" spans="1:3" x14ac:dyDescent="0.25">
      <c r="A1711" s="36">
        <v>30709305618</v>
      </c>
      <c r="B1711" t="s">
        <v>726</v>
      </c>
    </row>
    <row r="1712" spans="1:3" x14ac:dyDescent="0.25">
      <c r="A1712" s="36">
        <v>30694592526</v>
      </c>
      <c r="B1712" t="s">
        <v>727</v>
      </c>
    </row>
    <row r="1713" spans="1:3" x14ac:dyDescent="0.25">
      <c r="A1713" s="36">
        <v>30708491086</v>
      </c>
      <c r="B1713" t="s">
        <v>728</v>
      </c>
    </row>
    <row r="1714" spans="1:3" x14ac:dyDescent="0.25">
      <c r="A1714" s="36">
        <v>30661685731</v>
      </c>
      <c r="B1714" t="s">
        <v>729</v>
      </c>
    </row>
    <row r="1715" spans="1:3" x14ac:dyDescent="0.25">
      <c r="A1715" s="36">
        <v>20229914007</v>
      </c>
      <c r="B1715" t="s">
        <v>730</v>
      </c>
    </row>
    <row r="1716" spans="1:3" x14ac:dyDescent="0.25">
      <c r="A1716" s="36">
        <v>30708847247</v>
      </c>
      <c r="B1716" t="s">
        <v>731</v>
      </c>
      <c r="C1716" s="35" t="s">
        <v>43</v>
      </c>
    </row>
    <row r="1717" spans="1:3" x14ac:dyDescent="0.25">
      <c r="A1717" s="36">
        <v>30715169254</v>
      </c>
      <c r="B1717" t="s">
        <v>732</v>
      </c>
    </row>
    <row r="1718" spans="1:3" x14ac:dyDescent="0.25">
      <c r="A1718" s="36">
        <v>30715168254</v>
      </c>
      <c r="B1718" t="s">
        <v>733</v>
      </c>
    </row>
    <row r="1719" spans="1:3" x14ac:dyDescent="0.25">
      <c r="A1719" s="36">
        <v>30712317872</v>
      </c>
      <c r="B1719" t="s">
        <v>734</v>
      </c>
    </row>
    <row r="1720" spans="1:3" x14ac:dyDescent="0.25">
      <c r="A1720" s="36">
        <v>30715010026</v>
      </c>
      <c r="B1720" t="s">
        <v>1787</v>
      </c>
    </row>
    <row r="1721" spans="1:3" x14ac:dyDescent="0.25">
      <c r="A1721" s="36">
        <v>30519102826</v>
      </c>
      <c r="B1721" t="s">
        <v>735</v>
      </c>
    </row>
    <row r="1722" spans="1:3" x14ac:dyDescent="0.25">
      <c r="A1722" s="36">
        <v>16892133</v>
      </c>
      <c r="B1722" t="s">
        <v>1788</v>
      </c>
    </row>
    <row r="1723" spans="1:3" x14ac:dyDescent="0.25">
      <c r="A1723" s="36">
        <v>94858892</v>
      </c>
      <c r="B1723" t="s">
        <v>1789</v>
      </c>
    </row>
    <row r="1724" spans="1:3" x14ac:dyDescent="0.25">
      <c r="A1724" s="36">
        <v>342712</v>
      </c>
      <c r="B1724" t="s">
        <v>1790</v>
      </c>
    </row>
    <row r="1725" spans="1:3" x14ac:dyDescent="0.25">
      <c r="A1725" s="36">
        <v>30709063061</v>
      </c>
      <c r="B1725" t="s">
        <v>736</v>
      </c>
    </row>
    <row r="1726" spans="1:3" x14ac:dyDescent="0.25">
      <c r="A1726" s="36">
        <v>30708765356</v>
      </c>
      <c r="B1726" t="s">
        <v>737</v>
      </c>
    </row>
    <row r="1727" spans="1:3" x14ac:dyDescent="0.25">
      <c r="A1727" s="36">
        <v>30531602273</v>
      </c>
      <c r="B1727" t="s">
        <v>738</v>
      </c>
    </row>
    <row r="1728" spans="1:3" x14ac:dyDescent="0.25">
      <c r="A1728" s="36">
        <v>30616031143</v>
      </c>
      <c r="B1728" t="s">
        <v>1791</v>
      </c>
      <c r="C1728" s="35" t="s">
        <v>44</v>
      </c>
    </row>
    <row r="1729" spans="1:3" x14ac:dyDescent="0.25">
      <c r="A1729" s="36">
        <v>30683612916</v>
      </c>
      <c r="B1729" t="s">
        <v>739</v>
      </c>
      <c r="C1729" s="35" t="s">
        <v>792</v>
      </c>
    </row>
    <row r="1730" spans="1:3" x14ac:dyDescent="0.25">
      <c r="A1730" s="36">
        <v>30709361895</v>
      </c>
      <c r="B1730" t="s">
        <v>740</v>
      </c>
    </row>
    <row r="1731" spans="1:3" x14ac:dyDescent="0.25">
      <c r="A1731" s="36">
        <v>30715585215</v>
      </c>
      <c r="B1731" t="s">
        <v>741</v>
      </c>
    </row>
    <row r="1732" spans="1:3" x14ac:dyDescent="0.25">
      <c r="A1732" s="36">
        <v>30711188416</v>
      </c>
      <c r="B1732" t="s">
        <v>1792</v>
      </c>
    </row>
    <row r="1733" spans="1:3" x14ac:dyDescent="0.25">
      <c r="A1733" s="36">
        <v>20141513177</v>
      </c>
      <c r="B1733" t="s">
        <v>742</v>
      </c>
    </row>
    <row r="1734" spans="1:3" x14ac:dyDescent="0.25">
      <c r="A1734" s="36">
        <v>30579939008</v>
      </c>
      <c r="B1734" t="s">
        <v>1793</v>
      </c>
    </row>
    <row r="1735" spans="1:3" x14ac:dyDescent="0.25">
      <c r="A1735" s="36">
        <v>18128119</v>
      </c>
      <c r="B1735" t="s">
        <v>1794</v>
      </c>
    </row>
    <row r="1736" spans="1:3" x14ac:dyDescent="0.25">
      <c r="A1736" s="36">
        <v>30517264160</v>
      </c>
      <c r="B1736" t="s">
        <v>743</v>
      </c>
    </row>
    <row r="1737" spans="1:3" x14ac:dyDescent="0.25">
      <c r="A1737" s="36">
        <v>33682571239</v>
      </c>
      <c r="B1737" t="s">
        <v>744</v>
      </c>
    </row>
    <row r="1738" spans="1:3" x14ac:dyDescent="0.25">
      <c r="A1738" s="36">
        <v>30711811253</v>
      </c>
      <c r="B1738" t="s">
        <v>1795</v>
      </c>
    </row>
    <row r="1739" spans="1:3" x14ac:dyDescent="0.25">
      <c r="A1739" s="36">
        <v>30712305513</v>
      </c>
      <c r="B1739" t="s">
        <v>1796</v>
      </c>
    </row>
    <row r="1740" spans="1:3" x14ac:dyDescent="0.25">
      <c r="A1740" s="36">
        <v>21847097</v>
      </c>
      <c r="B1740" t="s">
        <v>745</v>
      </c>
    </row>
    <row r="1741" spans="1:3" x14ac:dyDescent="0.25">
      <c r="A1741" s="36">
        <v>20330855038</v>
      </c>
      <c r="B1741" t="s">
        <v>746</v>
      </c>
    </row>
    <row r="1742" spans="1:3" x14ac:dyDescent="0.25">
      <c r="A1742" s="36">
        <v>20131067446</v>
      </c>
      <c r="B1742" t="s">
        <v>1797</v>
      </c>
      <c r="C1742" s="35" t="s">
        <v>2353</v>
      </c>
    </row>
    <row r="1743" spans="1:3" x14ac:dyDescent="0.25">
      <c r="A1743" s="36">
        <v>27249100019</v>
      </c>
      <c r="B1743" t="s">
        <v>747</v>
      </c>
    </row>
    <row r="1744" spans="1:3" x14ac:dyDescent="0.25">
      <c r="A1744" s="36">
        <v>12010407</v>
      </c>
      <c r="B1744" t="s">
        <v>1798</v>
      </c>
    </row>
    <row r="1745" spans="1:3" x14ac:dyDescent="0.25">
      <c r="A1745" s="36">
        <v>12010407</v>
      </c>
      <c r="B1745" t="s">
        <v>1798</v>
      </c>
    </row>
    <row r="1746" spans="1:3" x14ac:dyDescent="0.25">
      <c r="A1746" s="36">
        <v>30646150406</v>
      </c>
      <c r="B1746" t="s">
        <v>748</v>
      </c>
      <c r="C1746" s="35" t="s">
        <v>2353</v>
      </c>
    </row>
    <row r="1747" spans="1:3" x14ac:dyDescent="0.25">
      <c r="A1747" s="36">
        <v>30646150406</v>
      </c>
      <c r="B1747" t="s">
        <v>1799</v>
      </c>
      <c r="C1747" s="35" t="s">
        <v>2353</v>
      </c>
    </row>
    <row r="1748" spans="1:3" x14ac:dyDescent="0.25">
      <c r="A1748" s="36">
        <v>30646150406</v>
      </c>
      <c r="B1748" t="s">
        <v>1799</v>
      </c>
      <c r="C1748" s="35" t="s">
        <v>2353</v>
      </c>
    </row>
    <row r="1749" spans="1:3" x14ac:dyDescent="0.25">
      <c r="A1749" s="36">
        <v>30611156045</v>
      </c>
      <c r="B1749" t="s">
        <v>749</v>
      </c>
      <c r="C1749" s="35" t="s">
        <v>2353</v>
      </c>
    </row>
    <row r="1750" spans="1:3" x14ac:dyDescent="0.25">
      <c r="A1750" s="36">
        <v>30699097884</v>
      </c>
      <c r="B1750" t="s">
        <v>750</v>
      </c>
    </row>
    <row r="1751" spans="1:3" x14ac:dyDescent="0.25">
      <c r="A1751" s="36">
        <v>22080141</v>
      </c>
      <c r="B1751" t="s">
        <v>1800</v>
      </c>
    </row>
    <row r="1752" spans="1:3" x14ac:dyDescent="0.25">
      <c r="A1752" s="36">
        <v>30715689045</v>
      </c>
      <c r="B1752" t="s">
        <v>751</v>
      </c>
    </row>
    <row r="1753" spans="1:3" x14ac:dyDescent="0.25">
      <c r="A1753" s="36" t="s">
        <v>1801</v>
      </c>
      <c r="B1753" t="s">
        <v>752</v>
      </c>
    </row>
    <row r="1754" spans="1:3" x14ac:dyDescent="0.25">
      <c r="A1754" s="36">
        <v>30689759684</v>
      </c>
      <c r="B1754" t="s">
        <v>753</v>
      </c>
    </row>
    <row r="1755" spans="1:3" x14ac:dyDescent="0.25">
      <c r="A1755" s="36">
        <v>30501912405</v>
      </c>
      <c r="B1755" t="s">
        <v>754</v>
      </c>
    </row>
    <row r="1756" spans="1:3" x14ac:dyDescent="0.25">
      <c r="A1756" s="36">
        <v>30658325104</v>
      </c>
      <c r="B1756" t="s">
        <v>755</v>
      </c>
    </row>
    <row r="1757" spans="1:3" x14ac:dyDescent="0.25">
      <c r="A1757" s="36">
        <v>30531602273</v>
      </c>
      <c r="B1757" t="s">
        <v>1802</v>
      </c>
    </row>
    <row r="1758" spans="1:3" x14ac:dyDescent="0.25">
      <c r="A1758" s="36">
        <v>30531602273</v>
      </c>
      <c r="B1758" t="s">
        <v>1802</v>
      </c>
    </row>
    <row r="1759" spans="1:3" x14ac:dyDescent="0.25">
      <c r="A1759" s="36">
        <v>5489098</v>
      </c>
      <c r="B1759" t="s">
        <v>1803</v>
      </c>
    </row>
    <row r="1760" spans="1:3" x14ac:dyDescent="0.25">
      <c r="A1760" s="36">
        <v>30715841505</v>
      </c>
      <c r="B1760" t="s">
        <v>1804</v>
      </c>
    </row>
    <row r="1761" spans="1:2" x14ac:dyDescent="0.25">
      <c r="A1761" s="36">
        <v>20259693609</v>
      </c>
      <c r="B1761" t="s">
        <v>756</v>
      </c>
    </row>
    <row r="1762" spans="1:2" x14ac:dyDescent="0.25">
      <c r="A1762" s="36">
        <v>12045622</v>
      </c>
      <c r="B1762" t="s">
        <v>1805</v>
      </c>
    </row>
    <row r="1763" spans="1:2" x14ac:dyDescent="0.25">
      <c r="A1763" s="36">
        <v>14223467</v>
      </c>
      <c r="B1763" t="s">
        <v>1806</v>
      </c>
    </row>
    <row r="1764" spans="1:2" x14ac:dyDescent="0.25">
      <c r="A1764" s="36">
        <v>20902442</v>
      </c>
      <c r="B1764" t="s">
        <v>1807</v>
      </c>
    </row>
    <row r="1765" spans="1:2" x14ac:dyDescent="0.25">
      <c r="A1765" s="36">
        <v>22656207</v>
      </c>
      <c r="B1765" t="s">
        <v>1808</v>
      </c>
    </row>
    <row r="1766" spans="1:2" x14ac:dyDescent="0.25">
      <c r="A1766" s="36">
        <v>23221163</v>
      </c>
      <c r="B1766" t="s">
        <v>1809</v>
      </c>
    </row>
    <row r="1767" spans="1:2" x14ac:dyDescent="0.25">
      <c r="A1767" s="36">
        <v>3910520</v>
      </c>
      <c r="B1767" t="s">
        <v>1810</v>
      </c>
    </row>
    <row r="1768" spans="1:2" x14ac:dyDescent="0.25">
      <c r="A1768" s="36">
        <v>25838736</v>
      </c>
      <c r="B1768" t="s">
        <v>1811</v>
      </c>
    </row>
    <row r="1769" spans="1:2" x14ac:dyDescent="0.25">
      <c r="A1769" s="36">
        <v>20028002</v>
      </c>
      <c r="B1769" t="s">
        <v>1812</v>
      </c>
    </row>
    <row r="1770" spans="1:2" x14ac:dyDescent="0.25">
      <c r="A1770" s="36">
        <v>20922809527</v>
      </c>
      <c r="B1770" t="s">
        <v>1813</v>
      </c>
    </row>
    <row r="1771" spans="1:2" x14ac:dyDescent="0.25">
      <c r="A1771" s="36">
        <v>22156430</v>
      </c>
      <c r="B1771" t="s">
        <v>1814</v>
      </c>
    </row>
    <row r="1772" spans="1:2" x14ac:dyDescent="0.25">
      <c r="A1772" s="36">
        <v>93455751</v>
      </c>
      <c r="B1772" t="s">
        <v>757</v>
      </c>
    </row>
    <row r="1773" spans="1:2" x14ac:dyDescent="0.25">
      <c r="A1773" s="36">
        <v>20257137326</v>
      </c>
      <c r="B1773" t="s">
        <v>1815</v>
      </c>
    </row>
    <row r="1774" spans="1:2" x14ac:dyDescent="0.25">
      <c r="A1774" s="36">
        <v>10423478</v>
      </c>
      <c r="B1774" t="s">
        <v>1816</v>
      </c>
    </row>
    <row r="1775" spans="1:2" x14ac:dyDescent="0.25">
      <c r="A1775" s="36">
        <v>1338226</v>
      </c>
      <c r="B1775" t="s">
        <v>1817</v>
      </c>
    </row>
    <row r="1776" spans="1:2" x14ac:dyDescent="0.25">
      <c r="A1776" s="36">
        <v>17929075</v>
      </c>
      <c r="B1776" t="s">
        <v>1818</v>
      </c>
    </row>
    <row r="1777" spans="1:3" x14ac:dyDescent="0.25">
      <c r="A1777" s="36">
        <v>11815869</v>
      </c>
      <c r="B1777" t="s">
        <v>1819</v>
      </c>
    </row>
    <row r="1778" spans="1:3" x14ac:dyDescent="0.25">
      <c r="A1778" s="36">
        <v>23146140459</v>
      </c>
      <c r="B1778" t="s">
        <v>1820</v>
      </c>
    </row>
    <row r="1779" spans="1:3" x14ac:dyDescent="0.25">
      <c r="A1779" s="36">
        <v>23146140459</v>
      </c>
      <c r="B1779" t="s">
        <v>1820</v>
      </c>
    </row>
    <row r="1780" spans="1:3" x14ac:dyDescent="0.25">
      <c r="A1780" s="36">
        <v>30715222112</v>
      </c>
      <c r="B1780" t="s">
        <v>758</v>
      </c>
    </row>
    <row r="1781" spans="1:3" x14ac:dyDescent="0.25">
      <c r="A1781" s="36">
        <v>13310029</v>
      </c>
      <c r="B1781" t="s">
        <v>1821</v>
      </c>
    </row>
    <row r="1782" spans="1:3" x14ac:dyDescent="0.25">
      <c r="A1782" s="36">
        <v>27208252386</v>
      </c>
      <c r="B1782" t="s">
        <v>759</v>
      </c>
    </row>
    <row r="1783" spans="1:3" x14ac:dyDescent="0.25">
      <c r="A1783" s="36">
        <v>23386252629</v>
      </c>
      <c r="B1783" t="s">
        <v>760</v>
      </c>
    </row>
    <row r="1784" spans="1:3" x14ac:dyDescent="0.25">
      <c r="A1784" s="36">
        <v>16458001</v>
      </c>
      <c r="B1784" t="s">
        <v>761</v>
      </c>
    </row>
    <row r="1785" spans="1:3" x14ac:dyDescent="0.25">
      <c r="A1785" s="36">
        <v>27036968910</v>
      </c>
      <c r="B1785" t="s">
        <v>762</v>
      </c>
    </row>
    <row r="1786" spans="1:3" x14ac:dyDescent="0.25">
      <c r="A1786" s="36">
        <v>22251432</v>
      </c>
      <c r="B1786" t="s">
        <v>1822</v>
      </c>
    </row>
    <row r="1787" spans="1:3" x14ac:dyDescent="0.25">
      <c r="A1787" s="36">
        <v>27003352000</v>
      </c>
      <c r="B1787" t="s">
        <v>763</v>
      </c>
    </row>
    <row r="1788" spans="1:3" x14ac:dyDescent="0.25">
      <c r="A1788" s="36">
        <v>27415594742</v>
      </c>
      <c r="B1788" t="s">
        <v>1823</v>
      </c>
    </row>
    <row r="1789" spans="1:3" x14ac:dyDescent="0.25">
      <c r="A1789" s="36">
        <v>20247225243</v>
      </c>
      <c r="B1789" t="s">
        <v>764</v>
      </c>
      <c r="C1789" s="35" t="s">
        <v>2353</v>
      </c>
    </row>
    <row r="1790" spans="1:3" x14ac:dyDescent="0.25">
      <c r="A1790" s="36">
        <v>20247225243</v>
      </c>
      <c r="B1790" t="s">
        <v>764</v>
      </c>
      <c r="C1790" s="35" t="s">
        <v>2353</v>
      </c>
    </row>
    <row r="1791" spans="1:3" x14ac:dyDescent="0.25">
      <c r="A1791" s="36">
        <v>20247225243</v>
      </c>
      <c r="B1791" t="s">
        <v>764</v>
      </c>
      <c r="C1791" s="35" t="s">
        <v>2353</v>
      </c>
    </row>
    <row r="1792" spans="1:3" x14ac:dyDescent="0.25">
      <c r="A1792" s="36">
        <v>14287880</v>
      </c>
      <c r="B1792" t="s">
        <v>765</v>
      </c>
    </row>
    <row r="1793" spans="1:3" x14ac:dyDescent="0.25">
      <c r="A1793" s="36">
        <v>20178221974</v>
      </c>
      <c r="B1793" t="s">
        <v>766</v>
      </c>
    </row>
    <row r="1794" spans="1:3" x14ac:dyDescent="0.25">
      <c r="A1794" s="36">
        <v>30681830800</v>
      </c>
      <c r="B1794" t="s">
        <v>1824</v>
      </c>
    </row>
    <row r="1795" spans="1:3" x14ac:dyDescent="0.25">
      <c r="A1795" s="36">
        <v>20077107186</v>
      </c>
      <c r="B1795" t="s">
        <v>767</v>
      </c>
    </row>
    <row r="1796" spans="1:3" x14ac:dyDescent="0.25">
      <c r="A1796" s="36">
        <v>30624872874</v>
      </c>
      <c r="B1796" t="s">
        <v>768</v>
      </c>
    </row>
    <row r="1797" spans="1:3" x14ac:dyDescent="0.25">
      <c r="A1797" s="36">
        <v>30643922157</v>
      </c>
      <c r="B1797" t="s">
        <v>769</v>
      </c>
      <c r="C1797" s="35" t="s">
        <v>792</v>
      </c>
    </row>
    <row r="1798" spans="1:3" x14ac:dyDescent="0.25">
      <c r="A1798" s="36">
        <v>33711043069</v>
      </c>
      <c r="B1798" t="s">
        <v>770</v>
      </c>
    </row>
    <row r="1799" spans="1:3" x14ac:dyDescent="0.25">
      <c r="A1799" s="36">
        <v>30561769644</v>
      </c>
      <c r="B1799" t="s">
        <v>1825</v>
      </c>
    </row>
    <row r="1800" spans="1:3" x14ac:dyDescent="0.25">
      <c r="A1800" s="36">
        <v>20287832649</v>
      </c>
      <c r="B1800" t="s">
        <v>771</v>
      </c>
    </row>
    <row r="1801" spans="1:3" x14ac:dyDescent="0.25">
      <c r="A1801" s="36">
        <v>30556565798</v>
      </c>
      <c r="B1801" t="s">
        <v>1826</v>
      </c>
      <c r="C1801" s="35" t="s">
        <v>792</v>
      </c>
    </row>
    <row r="1802" spans="1:3" x14ac:dyDescent="0.25">
      <c r="A1802" s="36">
        <v>11635674</v>
      </c>
      <c r="B1802" t="s">
        <v>1827</v>
      </c>
    </row>
    <row r="1803" spans="1:3" x14ac:dyDescent="0.25">
      <c r="A1803" s="36">
        <v>4442889</v>
      </c>
      <c r="B1803" t="s">
        <v>1828</v>
      </c>
    </row>
    <row r="1804" spans="1:3" x14ac:dyDescent="0.25">
      <c r="A1804" s="36">
        <v>27211421202</v>
      </c>
      <c r="B1804" t="s">
        <v>772</v>
      </c>
    </row>
    <row r="1805" spans="1:3" x14ac:dyDescent="0.25">
      <c r="A1805" s="36">
        <v>30714950750</v>
      </c>
      <c r="B1805" t="s">
        <v>1829</v>
      </c>
      <c r="C1805" s="35" t="s">
        <v>2344</v>
      </c>
    </row>
    <row r="1806" spans="1:3" x14ac:dyDescent="0.25">
      <c r="A1806" s="36">
        <v>30711289778</v>
      </c>
      <c r="B1806" t="s">
        <v>1830</v>
      </c>
    </row>
    <row r="1807" spans="1:3" x14ac:dyDescent="0.25">
      <c r="A1807" s="36">
        <v>22128671</v>
      </c>
      <c r="B1807" t="s">
        <v>1831</v>
      </c>
    </row>
    <row r="1808" spans="1:3" x14ac:dyDescent="0.25">
      <c r="A1808" s="36">
        <v>22765442</v>
      </c>
      <c r="B1808" t="s">
        <v>1832</v>
      </c>
    </row>
    <row r="1809" spans="1:3" x14ac:dyDescent="0.25">
      <c r="A1809" s="36">
        <v>3061564</v>
      </c>
      <c r="B1809" t="s">
        <v>1833</v>
      </c>
    </row>
    <row r="1810" spans="1:3" x14ac:dyDescent="0.25">
      <c r="A1810" s="36">
        <v>96316119</v>
      </c>
      <c r="B1810" t="s">
        <v>1834</v>
      </c>
    </row>
    <row r="1811" spans="1:3" x14ac:dyDescent="0.25">
      <c r="A1811" s="36">
        <v>17810802</v>
      </c>
      <c r="B1811" t="s">
        <v>1835</v>
      </c>
    </row>
    <row r="1812" spans="1:3" x14ac:dyDescent="0.25">
      <c r="A1812" s="36">
        <v>20321447997</v>
      </c>
      <c r="B1812" t="s">
        <v>773</v>
      </c>
      <c r="C1812" s="35" t="s">
        <v>2349</v>
      </c>
    </row>
    <row r="1813" spans="1:3" x14ac:dyDescent="0.25">
      <c r="A1813" s="36">
        <v>24295244</v>
      </c>
      <c r="B1813" t="s">
        <v>1836</v>
      </c>
    </row>
    <row r="1814" spans="1:3" x14ac:dyDescent="0.25">
      <c r="A1814" s="36">
        <v>4481390</v>
      </c>
      <c r="B1814" t="s">
        <v>1837</v>
      </c>
    </row>
    <row r="1815" spans="1:3" x14ac:dyDescent="0.25">
      <c r="A1815" s="36">
        <v>30708648414</v>
      </c>
      <c r="B1815" t="s">
        <v>774</v>
      </c>
    </row>
    <row r="1816" spans="1:3" x14ac:dyDescent="0.25">
      <c r="A1816" s="36">
        <v>20137229944</v>
      </c>
      <c r="B1816" t="s">
        <v>775</v>
      </c>
    </row>
    <row r="1817" spans="1:3" x14ac:dyDescent="0.25">
      <c r="A1817" s="36">
        <v>30715609807</v>
      </c>
      <c r="B1817" t="s">
        <v>776</v>
      </c>
    </row>
    <row r="1818" spans="1:3" x14ac:dyDescent="0.25">
      <c r="A1818" s="36">
        <v>27169596439</v>
      </c>
      <c r="B1818" t="s">
        <v>1838</v>
      </c>
    </row>
    <row r="1819" spans="1:3" x14ac:dyDescent="0.25">
      <c r="A1819" s="36">
        <v>23112144064</v>
      </c>
      <c r="B1819" t="s">
        <v>777</v>
      </c>
    </row>
    <row r="1820" spans="1:3" x14ac:dyDescent="0.25">
      <c r="A1820" s="36">
        <v>14284514</v>
      </c>
      <c r="B1820" t="s">
        <v>1839</v>
      </c>
    </row>
    <row r="1821" spans="1:3" x14ac:dyDescent="0.25">
      <c r="A1821" s="36">
        <v>25139790</v>
      </c>
      <c r="B1821" t="s">
        <v>1840</v>
      </c>
    </row>
    <row r="1822" spans="1:3" x14ac:dyDescent="0.25">
      <c r="A1822" s="36">
        <v>30680297408</v>
      </c>
      <c r="B1822" t="s">
        <v>778</v>
      </c>
    </row>
    <row r="1823" spans="1:3" x14ac:dyDescent="0.25">
      <c r="A1823" s="36">
        <v>20225501190</v>
      </c>
      <c r="B1823" t="s">
        <v>779</v>
      </c>
    </row>
    <row r="1824" spans="1:3" x14ac:dyDescent="0.25">
      <c r="A1824" s="36">
        <v>20165292929</v>
      </c>
      <c r="B1824" t="s">
        <v>780</v>
      </c>
    </row>
    <row r="1825" spans="1:2" x14ac:dyDescent="0.25">
      <c r="A1825" s="36">
        <v>27853772</v>
      </c>
      <c r="B1825" t="s">
        <v>1841</v>
      </c>
    </row>
    <row r="1826" spans="1:2" x14ac:dyDescent="0.25">
      <c r="A1826" s="36">
        <v>30715581562</v>
      </c>
      <c r="B1826" t="s">
        <v>781</v>
      </c>
    </row>
    <row r="1827" spans="1:2" x14ac:dyDescent="0.25">
      <c r="A1827" s="36">
        <v>30714995002</v>
      </c>
      <c r="B1827" t="s">
        <v>782</v>
      </c>
    </row>
    <row r="1828" spans="1:2" x14ac:dyDescent="0.25">
      <c r="A1828" s="36">
        <v>30714867349</v>
      </c>
      <c r="B1828" t="s">
        <v>1842</v>
      </c>
    </row>
    <row r="1829" spans="1:2" x14ac:dyDescent="0.25">
      <c r="A1829" s="36">
        <v>20231247239</v>
      </c>
      <c r="B1829" t="s">
        <v>783</v>
      </c>
    </row>
    <row r="1830" spans="1:2" x14ac:dyDescent="0.25">
      <c r="A1830" s="36">
        <v>20231247239</v>
      </c>
      <c r="B1830" t="s">
        <v>783</v>
      </c>
    </row>
    <row r="1831" spans="1:2" x14ac:dyDescent="0.25">
      <c r="A1831" s="36">
        <v>20231247239</v>
      </c>
      <c r="B1831" t="s">
        <v>783</v>
      </c>
    </row>
    <row r="1832" spans="1:2" x14ac:dyDescent="0.25">
      <c r="A1832" s="36">
        <v>20231247239</v>
      </c>
      <c r="B1832" t="s">
        <v>783</v>
      </c>
    </row>
    <row r="1833" spans="1:2" x14ac:dyDescent="0.25">
      <c r="A1833" s="36">
        <v>30712383603</v>
      </c>
      <c r="B1833" t="s">
        <v>784</v>
      </c>
    </row>
    <row r="1834" spans="1:2" x14ac:dyDescent="0.25">
      <c r="A1834" s="36">
        <v>4544197</v>
      </c>
      <c r="B1834" t="s">
        <v>1843</v>
      </c>
    </row>
    <row r="1835" spans="1:2" x14ac:dyDescent="0.25">
      <c r="A1835" s="36">
        <v>4056016</v>
      </c>
      <c r="B1835" t="s">
        <v>1844</v>
      </c>
    </row>
    <row r="1836" spans="1:2" x14ac:dyDescent="0.25">
      <c r="A1836" s="36">
        <v>30585558733</v>
      </c>
      <c r="B1836" t="s">
        <v>785</v>
      </c>
    </row>
    <row r="1837" spans="1:2" x14ac:dyDescent="0.25">
      <c r="A1837" s="36">
        <v>3606794</v>
      </c>
      <c r="B1837" t="s">
        <v>1845</v>
      </c>
    </row>
    <row r="1838" spans="1:2" x14ac:dyDescent="0.25">
      <c r="A1838" s="36">
        <v>11362236</v>
      </c>
      <c r="B1838" t="s">
        <v>1846</v>
      </c>
    </row>
    <row r="1839" spans="1:2" x14ac:dyDescent="0.25">
      <c r="A1839" s="36">
        <v>10894160</v>
      </c>
      <c r="B1839" t="s">
        <v>1847</v>
      </c>
    </row>
    <row r="1840" spans="1:2" x14ac:dyDescent="0.25">
      <c r="A1840" s="36">
        <v>30578204713</v>
      </c>
      <c r="B1840" t="s">
        <v>786</v>
      </c>
    </row>
    <row r="1841" spans="1:2" x14ac:dyDescent="0.25">
      <c r="A1841" s="36">
        <v>17693917</v>
      </c>
      <c r="B1841" t="s">
        <v>1848</v>
      </c>
    </row>
    <row r="1842" spans="1:2" x14ac:dyDescent="0.25">
      <c r="A1842" s="36">
        <v>30695243673</v>
      </c>
      <c r="B1842" t="s">
        <v>787</v>
      </c>
    </row>
    <row r="1843" spans="1:2" x14ac:dyDescent="0.25">
      <c r="A1843" s="36">
        <v>2741793</v>
      </c>
      <c r="B1843" t="s">
        <v>1849</v>
      </c>
    </row>
    <row r="1844" spans="1:2" x14ac:dyDescent="0.25">
      <c r="A1844" s="36">
        <v>30707512454</v>
      </c>
      <c r="B1844" t="s">
        <v>788</v>
      </c>
    </row>
    <row r="1845" spans="1:2" x14ac:dyDescent="0.25">
      <c r="A1845" s="36">
        <v>5785121</v>
      </c>
      <c r="B1845" t="s">
        <v>1850</v>
      </c>
    </row>
    <row r="1846" spans="1:2" x14ac:dyDescent="0.25">
      <c r="A1846" s="36">
        <v>30546689979</v>
      </c>
      <c r="B1846" t="s">
        <v>789</v>
      </c>
    </row>
    <row r="1847" spans="1:2" x14ac:dyDescent="0.25">
      <c r="A1847" s="36">
        <v>30707395466</v>
      </c>
      <c r="B1847" t="s">
        <v>1851</v>
      </c>
    </row>
    <row r="1848" spans="1:2" x14ac:dyDescent="0.25">
      <c r="A1848" s="36">
        <v>24796858</v>
      </c>
      <c r="B1848" t="s">
        <v>1852</v>
      </c>
    </row>
    <row r="1849" spans="1:2" x14ac:dyDescent="0.25">
      <c r="A1849" s="36">
        <v>5440053</v>
      </c>
      <c r="B1849" t="s">
        <v>1853</v>
      </c>
    </row>
    <row r="1850" spans="1:2" x14ac:dyDescent="0.25">
      <c r="A1850" s="36">
        <v>30710961790</v>
      </c>
      <c r="B1850" t="s">
        <v>1854</v>
      </c>
    </row>
    <row r="1851" spans="1:2" x14ac:dyDescent="0.25">
      <c r="A1851" s="36">
        <v>13378269</v>
      </c>
      <c r="B1851" t="s">
        <v>1855</v>
      </c>
    </row>
    <row r="1852" spans="1:2" x14ac:dyDescent="0.25">
      <c r="A1852" s="36">
        <v>20168475803</v>
      </c>
      <c r="B1852" t="s">
        <v>1856</v>
      </c>
    </row>
    <row r="1853" spans="1:2" x14ac:dyDescent="0.25">
      <c r="A1853" s="36">
        <v>94225446</v>
      </c>
      <c r="B1853" t="s">
        <v>1857</v>
      </c>
    </row>
    <row r="1854" spans="1:2" x14ac:dyDescent="0.25">
      <c r="A1854" s="36">
        <v>17606913</v>
      </c>
      <c r="B1854" t="s">
        <v>1858</v>
      </c>
    </row>
    <row r="1855" spans="1:2" x14ac:dyDescent="0.25">
      <c r="A1855" s="36">
        <v>31856039</v>
      </c>
      <c r="B1855" t="s">
        <v>1859</v>
      </c>
    </row>
    <row r="1856" spans="1:2" x14ac:dyDescent="0.25">
      <c r="A1856" s="36">
        <v>6610650</v>
      </c>
      <c r="B1856" t="s">
        <v>1860</v>
      </c>
    </row>
    <row r="1857" spans="1:3" x14ac:dyDescent="0.25">
      <c r="A1857" s="36">
        <v>4053411</v>
      </c>
      <c r="B1857" t="s">
        <v>1861</v>
      </c>
    </row>
    <row r="1858" spans="1:3" x14ac:dyDescent="0.25">
      <c r="A1858" s="36">
        <v>20295867931</v>
      </c>
      <c r="B1858" t="s">
        <v>1862</v>
      </c>
    </row>
    <row r="1859" spans="1:3" x14ac:dyDescent="0.25">
      <c r="A1859" s="36">
        <v>20929183143</v>
      </c>
      <c r="B1859" t="s">
        <v>1863</v>
      </c>
      <c r="C1859" s="35" t="s">
        <v>79</v>
      </c>
    </row>
    <row r="1860" spans="1:3" x14ac:dyDescent="0.25">
      <c r="A1860" s="36">
        <v>23175716009</v>
      </c>
      <c r="B1860" t="s">
        <v>1864</v>
      </c>
    </row>
    <row r="1861" spans="1:3" x14ac:dyDescent="0.25">
      <c r="A1861" s="36">
        <v>23405137119</v>
      </c>
      <c r="B1861" t="s">
        <v>1865</v>
      </c>
    </row>
    <row r="1862" spans="1:3" x14ac:dyDescent="0.25">
      <c r="A1862" s="36">
        <v>20108555417</v>
      </c>
      <c r="B1862" t="s">
        <v>1866</v>
      </c>
    </row>
    <row r="1863" spans="1:3" x14ac:dyDescent="0.25">
      <c r="A1863" s="36">
        <v>30711037582</v>
      </c>
      <c r="B1863" t="s">
        <v>1867</v>
      </c>
    </row>
    <row r="1864" spans="1:3" x14ac:dyDescent="0.25">
      <c r="A1864" s="36">
        <v>23383224829</v>
      </c>
      <c r="B1864" t="s">
        <v>1868</v>
      </c>
      <c r="C1864" s="35" t="s">
        <v>2341</v>
      </c>
    </row>
    <row r="1865" spans="1:3" x14ac:dyDescent="0.25">
      <c r="A1865" s="36">
        <v>30709879258</v>
      </c>
      <c r="B1865" t="s">
        <v>1869</v>
      </c>
      <c r="C1865" s="35" t="s">
        <v>792</v>
      </c>
    </row>
    <row r="1866" spans="1:3" x14ac:dyDescent="0.25">
      <c r="A1866" s="36">
        <v>30588919826</v>
      </c>
      <c r="B1866" t="s">
        <v>1870</v>
      </c>
    </row>
    <row r="1867" spans="1:3" x14ac:dyDescent="0.25">
      <c r="A1867" s="36">
        <v>30677807012</v>
      </c>
      <c r="B1867" t="s">
        <v>1871</v>
      </c>
    </row>
    <row r="1868" spans="1:3" x14ac:dyDescent="0.25">
      <c r="A1868" s="36">
        <v>18131347</v>
      </c>
      <c r="B1868" t="s">
        <v>1872</v>
      </c>
    </row>
    <row r="1869" spans="1:3" x14ac:dyDescent="0.25">
      <c r="A1869" s="36">
        <v>10623074</v>
      </c>
      <c r="B1869" t="s">
        <v>1873</v>
      </c>
    </row>
    <row r="1870" spans="1:3" x14ac:dyDescent="0.25">
      <c r="A1870" s="36">
        <v>3707945</v>
      </c>
      <c r="B1870" t="s">
        <v>1874</v>
      </c>
    </row>
    <row r="1871" spans="1:3" x14ac:dyDescent="0.25">
      <c r="A1871" s="36">
        <v>32585272</v>
      </c>
      <c r="B1871" t="s">
        <v>1875</v>
      </c>
    </row>
    <row r="1872" spans="1:3" x14ac:dyDescent="0.25">
      <c r="A1872" s="36">
        <v>11917509</v>
      </c>
      <c r="B1872" t="s">
        <v>1876</v>
      </c>
    </row>
    <row r="1873" spans="1:2" x14ac:dyDescent="0.25">
      <c r="A1873" s="36">
        <v>5871233</v>
      </c>
      <c r="B1873" t="s">
        <v>1877</v>
      </c>
    </row>
    <row r="1874" spans="1:2" x14ac:dyDescent="0.25">
      <c r="A1874" s="36">
        <v>23834263</v>
      </c>
      <c r="B1874" t="s">
        <v>1878</v>
      </c>
    </row>
    <row r="1875" spans="1:2" x14ac:dyDescent="0.25">
      <c r="A1875" s="36">
        <v>17108812</v>
      </c>
      <c r="B1875" t="s">
        <v>1879</v>
      </c>
    </row>
    <row r="1876" spans="1:2" x14ac:dyDescent="0.25">
      <c r="A1876" s="36">
        <v>27636282</v>
      </c>
      <c r="B1876" t="s">
        <v>1880</v>
      </c>
    </row>
    <row r="1877" spans="1:2" x14ac:dyDescent="0.25">
      <c r="A1877" s="36">
        <v>2925288</v>
      </c>
      <c r="B1877" t="s">
        <v>1881</v>
      </c>
    </row>
    <row r="1878" spans="1:2" x14ac:dyDescent="0.25">
      <c r="A1878" s="36">
        <v>27032990741</v>
      </c>
      <c r="B1878" t="s">
        <v>1882</v>
      </c>
    </row>
    <row r="1879" spans="1:2" x14ac:dyDescent="0.25">
      <c r="A1879" s="36">
        <v>16453592</v>
      </c>
      <c r="B1879" t="s">
        <v>1883</v>
      </c>
    </row>
    <row r="1880" spans="1:2" x14ac:dyDescent="0.25">
      <c r="A1880" s="36">
        <v>20620499</v>
      </c>
      <c r="B1880" t="s">
        <v>1884</v>
      </c>
    </row>
    <row r="1881" spans="1:2" x14ac:dyDescent="0.25">
      <c r="A1881" s="36">
        <v>36699604</v>
      </c>
      <c r="B1881" t="s">
        <v>1885</v>
      </c>
    </row>
    <row r="1882" spans="1:2" x14ac:dyDescent="0.25">
      <c r="A1882" s="36">
        <v>25568267</v>
      </c>
      <c r="B1882" t="s">
        <v>1886</v>
      </c>
    </row>
    <row r="1883" spans="1:2" x14ac:dyDescent="0.25">
      <c r="A1883" s="36">
        <v>28167218</v>
      </c>
      <c r="B1883" t="s">
        <v>1887</v>
      </c>
    </row>
    <row r="1884" spans="1:2" x14ac:dyDescent="0.25">
      <c r="A1884" s="36">
        <v>30450027</v>
      </c>
      <c r="B1884" t="s">
        <v>1430</v>
      </c>
    </row>
    <row r="1885" spans="1:2" x14ac:dyDescent="0.25">
      <c r="A1885" s="36">
        <v>27292799433</v>
      </c>
      <c r="B1885" t="s">
        <v>1888</v>
      </c>
    </row>
    <row r="1886" spans="1:2" x14ac:dyDescent="0.25">
      <c r="A1886" s="36">
        <v>30710276273</v>
      </c>
      <c r="B1886" t="s">
        <v>1889</v>
      </c>
    </row>
    <row r="1887" spans="1:2" x14ac:dyDescent="0.25">
      <c r="A1887" s="36">
        <v>5571317</v>
      </c>
      <c r="B1887" t="s">
        <v>1890</v>
      </c>
    </row>
    <row r="1888" spans="1:2" x14ac:dyDescent="0.25">
      <c r="A1888" s="36">
        <v>16874783</v>
      </c>
      <c r="B1888" t="s">
        <v>1891</v>
      </c>
    </row>
    <row r="1889" spans="1:2" x14ac:dyDescent="0.25">
      <c r="A1889" s="36">
        <v>26873512</v>
      </c>
      <c r="B1889" t="s">
        <v>1892</v>
      </c>
    </row>
    <row r="1890" spans="1:2" x14ac:dyDescent="0.25">
      <c r="A1890" s="36">
        <v>10964786</v>
      </c>
      <c r="B1890" t="s">
        <v>1893</v>
      </c>
    </row>
    <row r="1891" spans="1:2" x14ac:dyDescent="0.25">
      <c r="A1891" s="36">
        <v>35377683</v>
      </c>
      <c r="B1891" t="s">
        <v>1894</v>
      </c>
    </row>
    <row r="1892" spans="1:2" x14ac:dyDescent="0.25">
      <c r="A1892" s="36">
        <v>94551575</v>
      </c>
      <c r="B1892" t="s">
        <v>1895</v>
      </c>
    </row>
    <row r="1893" spans="1:2" x14ac:dyDescent="0.25">
      <c r="A1893" s="36">
        <v>43874332</v>
      </c>
      <c r="B1893" t="s">
        <v>1896</v>
      </c>
    </row>
    <row r="1894" spans="1:2" x14ac:dyDescent="0.25">
      <c r="A1894" s="36">
        <v>20185074</v>
      </c>
      <c r="B1894" t="s">
        <v>1897</v>
      </c>
    </row>
    <row r="1895" spans="1:2" x14ac:dyDescent="0.25">
      <c r="A1895" s="36">
        <v>23376578</v>
      </c>
      <c r="B1895" t="s">
        <v>1898</v>
      </c>
    </row>
    <row r="1896" spans="1:2" x14ac:dyDescent="0.25">
      <c r="A1896" s="36">
        <v>35186046</v>
      </c>
      <c r="B1896" t="s">
        <v>1899</v>
      </c>
    </row>
    <row r="1897" spans="1:2" x14ac:dyDescent="0.25">
      <c r="A1897" s="36">
        <v>4523927</v>
      </c>
      <c r="B1897" t="s">
        <v>1900</v>
      </c>
    </row>
    <row r="1898" spans="1:2" x14ac:dyDescent="0.25">
      <c r="A1898" s="36">
        <v>31453278</v>
      </c>
      <c r="B1898" t="s">
        <v>1901</v>
      </c>
    </row>
    <row r="1899" spans="1:2" x14ac:dyDescent="0.25">
      <c r="A1899" s="36">
        <v>10260271</v>
      </c>
      <c r="B1899" t="s">
        <v>1902</v>
      </c>
    </row>
    <row r="1900" spans="1:2" x14ac:dyDescent="0.25">
      <c r="A1900" s="36">
        <v>20349249</v>
      </c>
      <c r="B1900" t="s">
        <v>1903</v>
      </c>
    </row>
    <row r="1901" spans="1:2" x14ac:dyDescent="0.25">
      <c r="A1901" s="36">
        <v>26911149</v>
      </c>
      <c r="B1901" t="s">
        <v>1904</v>
      </c>
    </row>
    <row r="1902" spans="1:2" x14ac:dyDescent="0.25">
      <c r="A1902" s="36">
        <v>1300746</v>
      </c>
      <c r="B1902" t="s">
        <v>1905</v>
      </c>
    </row>
    <row r="1903" spans="1:2" x14ac:dyDescent="0.25">
      <c r="A1903" s="36">
        <v>11097725</v>
      </c>
      <c r="B1903" t="s">
        <v>1906</v>
      </c>
    </row>
    <row r="1904" spans="1:2" x14ac:dyDescent="0.25">
      <c r="A1904" s="36">
        <v>36401855</v>
      </c>
      <c r="B1904" t="s">
        <v>1907</v>
      </c>
    </row>
    <row r="1905" spans="1:2" x14ac:dyDescent="0.25">
      <c r="A1905" s="36">
        <v>5729256</v>
      </c>
      <c r="B1905" t="s">
        <v>1908</v>
      </c>
    </row>
    <row r="1906" spans="1:2" x14ac:dyDescent="0.25">
      <c r="A1906" s="36">
        <v>4560258</v>
      </c>
      <c r="B1906" t="s">
        <v>1909</v>
      </c>
    </row>
    <row r="1907" spans="1:2" x14ac:dyDescent="0.25">
      <c r="A1907" s="36">
        <v>12394145</v>
      </c>
      <c r="B1907" t="s">
        <v>1910</v>
      </c>
    </row>
    <row r="1908" spans="1:2" x14ac:dyDescent="0.25">
      <c r="A1908" s="36">
        <v>30583955</v>
      </c>
      <c r="B1908" t="s">
        <v>1911</v>
      </c>
    </row>
    <row r="1909" spans="1:2" x14ac:dyDescent="0.25">
      <c r="A1909" s="36">
        <v>12588018</v>
      </c>
      <c r="B1909" t="s">
        <v>1912</v>
      </c>
    </row>
    <row r="1910" spans="1:2" x14ac:dyDescent="0.25">
      <c r="A1910" s="36">
        <v>10996926</v>
      </c>
      <c r="B1910" t="s">
        <v>1913</v>
      </c>
    </row>
    <row r="1911" spans="1:2" x14ac:dyDescent="0.25">
      <c r="A1911" s="36">
        <v>16493187</v>
      </c>
      <c r="B1911" t="s">
        <v>1914</v>
      </c>
    </row>
    <row r="1912" spans="1:2" x14ac:dyDescent="0.25">
      <c r="A1912" s="36">
        <v>4244655</v>
      </c>
      <c r="B1912" t="s">
        <v>1915</v>
      </c>
    </row>
    <row r="1913" spans="1:2" x14ac:dyDescent="0.25">
      <c r="A1913" s="36">
        <v>10691269</v>
      </c>
      <c r="B1913" t="s">
        <v>1916</v>
      </c>
    </row>
    <row r="1914" spans="1:2" x14ac:dyDescent="0.25">
      <c r="A1914" s="36">
        <v>10223317</v>
      </c>
      <c r="B1914" t="s">
        <v>1917</v>
      </c>
    </row>
    <row r="1915" spans="1:2" x14ac:dyDescent="0.25">
      <c r="A1915" s="36">
        <v>10462997</v>
      </c>
      <c r="B1915" t="s">
        <v>1918</v>
      </c>
    </row>
    <row r="1916" spans="1:2" x14ac:dyDescent="0.25">
      <c r="A1916" s="36">
        <v>37602898</v>
      </c>
      <c r="B1916" t="s">
        <v>1919</v>
      </c>
    </row>
    <row r="1917" spans="1:2" x14ac:dyDescent="0.25">
      <c r="A1917" s="36">
        <v>6221404</v>
      </c>
      <c r="B1917" t="s">
        <v>1920</v>
      </c>
    </row>
    <row r="1918" spans="1:2" x14ac:dyDescent="0.25">
      <c r="A1918" s="36">
        <v>699818</v>
      </c>
      <c r="B1918" t="s">
        <v>1921</v>
      </c>
    </row>
    <row r="1919" spans="1:2" x14ac:dyDescent="0.25">
      <c r="A1919" s="36">
        <v>33339001</v>
      </c>
      <c r="B1919" t="s">
        <v>1922</v>
      </c>
    </row>
    <row r="1920" spans="1:2" x14ac:dyDescent="0.25">
      <c r="A1920" s="36">
        <v>94210250</v>
      </c>
      <c r="B1920" t="s">
        <v>1923</v>
      </c>
    </row>
    <row r="1921" spans="1:3" x14ac:dyDescent="0.25">
      <c r="A1921" s="36">
        <v>32592366</v>
      </c>
      <c r="B1921" t="s">
        <v>1924</v>
      </c>
    </row>
    <row r="1922" spans="1:3" x14ac:dyDescent="0.25">
      <c r="A1922" s="36">
        <v>21363216</v>
      </c>
      <c r="B1922" t="s">
        <v>1925</v>
      </c>
    </row>
    <row r="1923" spans="1:3" x14ac:dyDescent="0.25">
      <c r="A1923" s="36">
        <v>28156061</v>
      </c>
      <c r="B1923" t="s">
        <v>1926</v>
      </c>
    </row>
    <row r="1924" spans="1:3" x14ac:dyDescent="0.25">
      <c r="A1924" s="36">
        <v>94577609</v>
      </c>
      <c r="B1924" t="s">
        <v>1927</v>
      </c>
    </row>
    <row r="1925" spans="1:3" x14ac:dyDescent="0.25">
      <c r="A1925" s="36">
        <v>30707014756</v>
      </c>
      <c r="B1925" t="s">
        <v>1928</v>
      </c>
    </row>
    <row r="1926" spans="1:3" x14ac:dyDescent="0.25">
      <c r="A1926" s="36">
        <v>23334822869</v>
      </c>
      <c r="B1926" t="s">
        <v>1929</v>
      </c>
    </row>
    <row r="1927" spans="1:3" x14ac:dyDescent="0.25">
      <c r="A1927" s="36">
        <v>20211408511</v>
      </c>
      <c r="B1927" t="s">
        <v>1930</v>
      </c>
      <c r="C1927" s="35" t="s">
        <v>44</v>
      </c>
    </row>
    <row r="1928" spans="1:3" x14ac:dyDescent="0.25">
      <c r="A1928" s="36">
        <v>30710361351</v>
      </c>
      <c r="B1928" t="s">
        <v>1931</v>
      </c>
    </row>
    <row r="1929" spans="1:3" x14ac:dyDescent="0.25">
      <c r="A1929" s="36">
        <v>20046086806</v>
      </c>
      <c r="B1929" t="s">
        <v>1932</v>
      </c>
    </row>
    <row r="1930" spans="1:3" x14ac:dyDescent="0.25">
      <c r="A1930" s="36">
        <v>27265832178</v>
      </c>
      <c r="B1930" t="s">
        <v>1933</v>
      </c>
      <c r="C1930" s="35" t="s">
        <v>79</v>
      </c>
    </row>
    <row r="1931" spans="1:3" x14ac:dyDescent="0.25">
      <c r="A1931" s="36">
        <v>20216451679</v>
      </c>
      <c r="B1931" t="s">
        <v>1934</v>
      </c>
      <c r="C1931" s="35" t="s">
        <v>2353</v>
      </c>
    </row>
    <row r="1932" spans="1:3" x14ac:dyDescent="0.25">
      <c r="A1932" s="36">
        <v>20184015820</v>
      </c>
      <c r="B1932" t="s">
        <v>1935</v>
      </c>
    </row>
    <row r="1933" spans="1:3" x14ac:dyDescent="0.25">
      <c r="A1933" s="36">
        <v>30587197215</v>
      </c>
      <c r="B1933" t="s">
        <v>1936</v>
      </c>
      <c r="C1933" s="35" t="s">
        <v>79</v>
      </c>
    </row>
    <row r="1934" spans="1:3" x14ac:dyDescent="0.25">
      <c r="A1934" s="36">
        <v>20230902780</v>
      </c>
      <c r="B1934" t="s">
        <v>1937</v>
      </c>
    </row>
    <row r="1935" spans="1:3" x14ac:dyDescent="0.25">
      <c r="A1935" s="36">
        <v>30540059078</v>
      </c>
      <c r="B1935" t="s">
        <v>1938</v>
      </c>
      <c r="C1935" s="35" t="s">
        <v>2344</v>
      </c>
    </row>
    <row r="1936" spans="1:3" x14ac:dyDescent="0.25">
      <c r="A1936" s="36">
        <v>30648604021</v>
      </c>
      <c r="B1936" t="s">
        <v>1939</v>
      </c>
    </row>
    <row r="1937" spans="1:2" x14ac:dyDescent="0.25">
      <c r="A1937" s="36">
        <v>23411502619</v>
      </c>
      <c r="B1937" t="s">
        <v>1940</v>
      </c>
    </row>
    <row r="1938" spans="1:2" x14ac:dyDescent="0.25">
      <c r="A1938" s="36">
        <v>20264653313</v>
      </c>
      <c r="B1938" t="s">
        <v>1941</v>
      </c>
    </row>
    <row r="1939" spans="1:2" x14ac:dyDescent="0.25">
      <c r="A1939" s="36">
        <v>23292502</v>
      </c>
      <c r="B1939" t="s">
        <v>1942</v>
      </c>
    </row>
    <row r="1940" spans="1:2" x14ac:dyDescent="0.25">
      <c r="A1940" s="36">
        <v>22212182</v>
      </c>
      <c r="B1940" t="s">
        <v>1943</v>
      </c>
    </row>
    <row r="1941" spans="1:2" x14ac:dyDescent="0.25">
      <c r="A1941" s="36">
        <v>12692318</v>
      </c>
      <c r="B1941" t="s">
        <v>1944</v>
      </c>
    </row>
    <row r="1942" spans="1:2" x14ac:dyDescent="0.25">
      <c r="A1942" s="36">
        <v>24448662</v>
      </c>
      <c r="B1942" t="s">
        <v>1073</v>
      </c>
    </row>
    <row r="1943" spans="1:2" x14ac:dyDescent="0.25">
      <c r="A1943" s="36">
        <v>30609521941</v>
      </c>
      <c r="B1943" t="s">
        <v>1945</v>
      </c>
    </row>
    <row r="1944" spans="1:2" x14ac:dyDescent="0.25">
      <c r="A1944" s="36">
        <v>3754732</v>
      </c>
      <c r="B1944" t="s">
        <v>121</v>
      </c>
    </row>
    <row r="1945" spans="1:2" x14ac:dyDescent="0.25">
      <c r="A1945" s="36">
        <v>30590354798</v>
      </c>
      <c r="B1945" t="s">
        <v>1946</v>
      </c>
    </row>
    <row r="1946" spans="1:2" x14ac:dyDescent="0.25">
      <c r="A1946" s="36">
        <v>30590354798</v>
      </c>
      <c r="B1946" t="s">
        <v>1946</v>
      </c>
    </row>
    <row r="1947" spans="1:2" x14ac:dyDescent="0.25">
      <c r="A1947" s="36">
        <v>5124770</v>
      </c>
      <c r="B1947" t="s">
        <v>1947</v>
      </c>
    </row>
    <row r="1948" spans="1:2" x14ac:dyDescent="0.25">
      <c r="A1948" s="36">
        <v>382591</v>
      </c>
      <c r="B1948" t="s">
        <v>1948</v>
      </c>
    </row>
    <row r="1949" spans="1:2" x14ac:dyDescent="0.25">
      <c r="A1949" s="36">
        <v>4088050</v>
      </c>
      <c r="B1949" t="s">
        <v>1232</v>
      </c>
    </row>
    <row r="1950" spans="1:2" x14ac:dyDescent="0.25">
      <c r="A1950" s="36">
        <v>93298160</v>
      </c>
      <c r="B1950" t="s">
        <v>844</v>
      </c>
    </row>
    <row r="1951" spans="1:2" x14ac:dyDescent="0.25">
      <c r="A1951" s="36">
        <v>11043194</v>
      </c>
      <c r="B1951" t="s">
        <v>1949</v>
      </c>
    </row>
    <row r="1952" spans="1:2" x14ac:dyDescent="0.25">
      <c r="A1952" s="36">
        <v>14682258</v>
      </c>
      <c r="B1952" t="s">
        <v>1950</v>
      </c>
    </row>
    <row r="1953" spans="1:2" x14ac:dyDescent="0.25">
      <c r="A1953" s="36">
        <v>22411136</v>
      </c>
      <c r="B1953" t="s">
        <v>1951</v>
      </c>
    </row>
    <row r="1954" spans="1:2" x14ac:dyDescent="0.25">
      <c r="A1954" s="36">
        <v>40393502</v>
      </c>
      <c r="B1954" t="s">
        <v>1952</v>
      </c>
    </row>
    <row r="1955" spans="1:2" x14ac:dyDescent="0.25">
      <c r="A1955" s="36">
        <v>29152927</v>
      </c>
      <c r="B1955" t="s">
        <v>1953</v>
      </c>
    </row>
    <row r="1956" spans="1:2" x14ac:dyDescent="0.25">
      <c r="A1956" s="36">
        <v>5407921</v>
      </c>
      <c r="B1956" t="s">
        <v>1954</v>
      </c>
    </row>
    <row r="1957" spans="1:2" x14ac:dyDescent="0.25">
      <c r="A1957" s="36">
        <v>5660462</v>
      </c>
      <c r="B1957" t="s">
        <v>1955</v>
      </c>
    </row>
    <row r="1958" spans="1:2" x14ac:dyDescent="0.25">
      <c r="A1958" s="36">
        <v>18396938</v>
      </c>
      <c r="B1958" t="s">
        <v>1956</v>
      </c>
    </row>
    <row r="1959" spans="1:2" x14ac:dyDescent="0.25">
      <c r="A1959" s="36">
        <v>94468886</v>
      </c>
      <c r="B1959" t="s">
        <v>1957</v>
      </c>
    </row>
    <row r="1960" spans="1:2" x14ac:dyDescent="0.25">
      <c r="A1960" s="36">
        <v>95902812</v>
      </c>
      <c r="B1960" t="s">
        <v>1958</v>
      </c>
    </row>
    <row r="1961" spans="1:2" x14ac:dyDescent="0.25">
      <c r="A1961" s="36">
        <v>3343777</v>
      </c>
      <c r="B1961" t="s">
        <v>1959</v>
      </c>
    </row>
    <row r="1962" spans="1:2" x14ac:dyDescent="0.25">
      <c r="A1962" s="36">
        <v>10703594</v>
      </c>
      <c r="B1962" t="s">
        <v>1960</v>
      </c>
    </row>
    <row r="1963" spans="1:2" x14ac:dyDescent="0.25">
      <c r="A1963" s="36">
        <v>21675120</v>
      </c>
      <c r="B1963" t="s">
        <v>1961</v>
      </c>
    </row>
    <row r="1964" spans="1:2" x14ac:dyDescent="0.25">
      <c r="A1964" s="36">
        <v>31485269</v>
      </c>
      <c r="B1964" t="s">
        <v>1962</v>
      </c>
    </row>
    <row r="1965" spans="1:2" x14ac:dyDescent="0.25">
      <c r="A1965" s="36">
        <v>16438623</v>
      </c>
      <c r="B1965" t="s">
        <v>1963</v>
      </c>
    </row>
    <row r="1966" spans="1:2" x14ac:dyDescent="0.25">
      <c r="A1966" s="36">
        <v>3327836</v>
      </c>
      <c r="B1966" t="s">
        <v>1964</v>
      </c>
    </row>
    <row r="1967" spans="1:2" x14ac:dyDescent="0.25">
      <c r="A1967" s="36">
        <v>16786629</v>
      </c>
      <c r="B1967" t="s">
        <v>1965</v>
      </c>
    </row>
    <row r="1968" spans="1:2" x14ac:dyDescent="0.25">
      <c r="A1968" s="36">
        <v>705467</v>
      </c>
      <c r="B1968" t="s">
        <v>1966</v>
      </c>
    </row>
    <row r="1969" spans="1:3" x14ac:dyDescent="0.25">
      <c r="A1969" s="36">
        <v>2206038</v>
      </c>
      <c r="B1969" t="s">
        <v>1967</v>
      </c>
    </row>
    <row r="1970" spans="1:3" x14ac:dyDescent="0.25">
      <c r="A1970" s="36">
        <v>7883318</v>
      </c>
      <c r="B1970" t="s">
        <v>1968</v>
      </c>
    </row>
    <row r="1971" spans="1:3" x14ac:dyDescent="0.25">
      <c r="A1971" s="36">
        <v>27819258</v>
      </c>
      <c r="B1971" t="s">
        <v>1969</v>
      </c>
    </row>
    <row r="1972" spans="1:3" x14ac:dyDescent="0.25">
      <c r="A1972" s="36">
        <v>17163446</v>
      </c>
      <c r="B1972" t="s">
        <v>1970</v>
      </c>
    </row>
    <row r="1973" spans="1:3" x14ac:dyDescent="0.25">
      <c r="A1973" s="36">
        <v>31591857</v>
      </c>
      <c r="B1973" t="s">
        <v>1971</v>
      </c>
    </row>
    <row r="1974" spans="1:3" x14ac:dyDescent="0.25">
      <c r="A1974" s="36">
        <v>30716160889</v>
      </c>
      <c r="B1974" t="s">
        <v>1972</v>
      </c>
    </row>
    <row r="1975" spans="1:3" x14ac:dyDescent="0.25">
      <c r="A1975" s="36">
        <v>30715753541</v>
      </c>
      <c r="B1975" t="s">
        <v>1973</v>
      </c>
    </row>
    <row r="1976" spans="1:3" x14ac:dyDescent="0.25">
      <c r="A1976" s="36">
        <v>30687489221</v>
      </c>
      <c r="B1976" t="s">
        <v>1974</v>
      </c>
    </row>
    <row r="1977" spans="1:3" x14ac:dyDescent="0.25">
      <c r="A1977" s="36">
        <v>30540019297</v>
      </c>
      <c r="B1977" t="s">
        <v>1975</v>
      </c>
    </row>
    <row r="1978" spans="1:3" x14ac:dyDescent="0.25">
      <c r="A1978" s="36">
        <v>30708601019</v>
      </c>
      <c r="B1978" t="s">
        <v>1976</v>
      </c>
    </row>
    <row r="1979" spans="1:3" x14ac:dyDescent="0.25">
      <c r="A1979" s="36">
        <v>30710386001</v>
      </c>
      <c r="B1979" t="s">
        <v>1977</v>
      </c>
    </row>
    <row r="1980" spans="1:3" x14ac:dyDescent="0.25">
      <c r="A1980" s="36">
        <v>30716620634</v>
      </c>
      <c r="B1980" t="s">
        <v>1978</v>
      </c>
      <c r="C1980" s="35" t="s">
        <v>79</v>
      </c>
    </row>
    <row r="1981" spans="1:3" x14ac:dyDescent="0.25">
      <c r="A1981" s="36">
        <v>30529403522</v>
      </c>
      <c r="B1981" t="s">
        <v>1979</v>
      </c>
    </row>
    <row r="1982" spans="1:3" x14ac:dyDescent="0.25">
      <c r="A1982" s="36">
        <v>30714930490</v>
      </c>
      <c r="B1982" t="s">
        <v>1980</v>
      </c>
    </row>
    <row r="1983" spans="1:3" x14ac:dyDescent="0.25">
      <c r="A1983" s="36">
        <v>30686525607</v>
      </c>
      <c r="B1983" t="s">
        <v>1981</v>
      </c>
      <c r="C1983" s="35" t="s">
        <v>79</v>
      </c>
    </row>
    <row r="1984" spans="1:3" x14ac:dyDescent="0.25">
      <c r="A1984" s="36">
        <v>20334976433</v>
      </c>
      <c r="B1984" t="s">
        <v>1982</v>
      </c>
      <c r="C1984" s="35" t="s">
        <v>792</v>
      </c>
    </row>
    <row r="1985" spans="1:2" x14ac:dyDescent="0.25">
      <c r="A1985" s="36">
        <v>30697465983</v>
      </c>
      <c r="B1985" t="s">
        <v>1983</v>
      </c>
    </row>
    <row r="1986" spans="1:2" x14ac:dyDescent="0.25">
      <c r="A1986" s="36">
        <v>30715621866</v>
      </c>
      <c r="B1986" t="s">
        <v>1984</v>
      </c>
    </row>
    <row r="1987" spans="1:2" x14ac:dyDescent="0.25">
      <c r="A1987" s="36">
        <v>30654152434</v>
      </c>
      <c r="B1987" t="s">
        <v>1985</v>
      </c>
    </row>
    <row r="1988" spans="1:2" x14ac:dyDescent="0.25">
      <c r="A1988" s="36">
        <v>30716145618</v>
      </c>
      <c r="B1988" t="s">
        <v>1986</v>
      </c>
    </row>
    <row r="1989" spans="1:2" x14ac:dyDescent="0.25">
      <c r="A1989" s="36">
        <v>27326703384</v>
      </c>
      <c r="B1989" t="s">
        <v>1987</v>
      </c>
    </row>
    <row r="1990" spans="1:2" x14ac:dyDescent="0.25">
      <c r="A1990" s="36">
        <v>30717471020</v>
      </c>
      <c r="B1990" t="s">
        <v>1988</v>
      </c>
    </row>
    <row r="1991" spans="1:2" x14ac:dyDescent="0.25">
      <c r="A1991" s="36">
        <v>24324735</v>
      </c>
      <c r="B1991" t="s">
        <v>1989</v>
      </c>
    </row>
    <row r="1992" spans="1:2" x14ac:dyDescent="0.25">
      <c r="A1992" s="36">
        <v>25052487</v>
      </c>
      <c r="B1992" t="s">
        <v>1990</v>
      </c>
    </row>
    <row r="1993" spans="1:2" x14ac:dyDescent="0.25">
      <c r="A1993" s="36">
        <v>23124753</v>
      </c>
      <c r="B1993" t="s">
        <v>1991</v>
      </c>
    </row>
    <row r="1994" spans="1:2" x14ac:dyDescent="0.25">
      <c r="A1994" s="36">
        <v>12047792</v>
      </c>
      <c r="B1994" t="s">
        <v>1992</v>
      </c>
    </row>
    <row r="1995" spans="1:2" x14ac:dyDescent="0.25">
      <c r="A1995" s="36">
        <v>13017622</v>
      </c>
      <c r="B1995" t="s">
        <v>1993</v>
      </c>
    </row>
    <row r="1996" spans="1:2" x14ac:dyDescent="0.25">
      <c r="A1996" s="36">
        <v>93351604</v>
      </c>
      <c r="B1996" t="s">
        <v>1994</v>
      </c>
    </row>
    <row r="1997" spans="1:2" x14ac:dyDescent="0.25">
      <c r="A1997" s="36">
        <v>4407073</v>
      </c>
      <c r="B1997" t="s">
        <v>1995</v>
      </c>
    </row>
    <row r="1998" spans="1:2" x14ac:dyDescent="0.25">
      <c r="A1998" s="36">
        <v>13807197</v>
      </c>
      <c r="B1998" t="s">
        <v>1996</v>
      </c>
    </row>
    <row r="1999" spans="1:2" x14ac:dyDescent="0.25">
      <c r="A1999" s="36">
        <v>119875133</v>
      </c>
      <c r="B1999" t="s">
        <v>1997</v>
      </c>
    </row>
    <row r="2000" spans="1:2" x14ac:dyDescent="0.25">
      <c r="A2000" s="36">
        <v>25675234</v>
      </c>
      <c r="B2000" t="s">
        <v>1998</v>
      </c>
    </row>
    <row r="2001" spans="1:3" x14ac:dyDescent="0.25">
      <c r="A2001" s="36">
        <v>10142132</v>
      </c>
      <c r="B2001" t="s">
        <v>1999</v>
      </c>
    </row>
    <row r="2002" spans="1:3" x14ac:dyDescent="0.25">
      <c r="A2002" s="36">
        <v>26737027</v>
      </c>
      <c r="B2002" t="s">
        <v>1412</v>
      </c>
    </row>
    <row r="2003" spans="1:3" x14ac:dyDescent="0.25">
      <c r="A2003" s="36">
        <v>94059981</v>
      </c>
      <c r="B2003" t="s">
        <v>2000</v>
      </c>
    </row>
    <row r="2004" spans="1:3" x14ac:dyDescent="0.25">
      <c r="A2004" s="36">
        <v>21851553</v>
      </c>
      <c r="B2004" t="s">
        <v>2001</v>
      </c>
    </row>
    <row r="2005" spans="1:3" x14ac:dyDescent="0.25">
      <c r="A2005" s="36">
        <v>33451590</v>
      </c>
      <c r="B2005" t="s">
        <v>2002</v>
      </c>
    </row>
    <row r="2006" spans="1:3" x14ac:dyDescent="0.25">
      <c r="A2006" s="36">
        <v>21481083</v>
      </c>
      <c r="B2006" t="s">
        <v>2003</v>
      </c>
    </row>
    <row r="2007" spans="1:3" x14ac:dyDescent="0.25">
      <c r="A2007" s="36">
        <v>27181965709</v>
      </c>
      <c r="B2007" t="s">
        <v>2004</v>
      </c>
    </row>
    <row r="2008" spans="1:3" x14ac:dyDescent="0.25">
      <c r="A2008" s="36">
        <v>23255855204</v>
      </c>
      <c r="B2008" t="s">
        <v>2005</v>
      </c>
      <c r="C2008" s="35" t="s">
        <v>2342</v>
      </c>
    </row>
    <row r="2009" spans="1:3" x14ac:dyDescent="0.25">
      <c r="A2009" s="36">
        <v>33707660509</v>
      </c>
      <c r="B2009" t="s">
        <v>2006</v>
      </c>
    </row>
    <row r="2010" spans="1:3" x14ac:dyDescent="0.25">
      <c r="A2010" s="36">
        <v>20239531963</v>
      </c>
      <c r="B2010" t="s">
        <v>2007</v>
      </c>
    </row>
    <row r="2011" spans="1:3" x14ac:dyDescent="0.25">
      <c r="A2011" s="36">
        <v>27256759646</v>
      </c>
      <c r="B2011" t="s">
        <v>2008</v>
      </c>
    </row>
    <row r="2012" spans="1:3" x14ac:dyDescent="0.25">
      <c r="A2012" s="36">
        <v>30709591602</v>
      </c>
      <c r="B2012" t="s">
        <v>2009</v>
      </c>
    </row>
    <row r="2013" spans="1:3" x14ac:dyDescent="0.25">
      <c r="A2013" s="36">
        <v>20160559900</v>
      </c>
      <c r="B2013" t="s">
        <v>2010</v>
      </c>
    </row>
    <row r="2014" spans="1:3" x14ac:dyDescent="0.25">
      <c r="A2014" s="36">
        <v>996528</v>
      </c>
      <c r="B2014" t="s">
        <v>2011</v>
      </c>
    </row>
    <row r="2015" spans="1:3" x14ac:dyDescent="0.25">
      <c r="A2015" s="36">
        <v>25393067</v>
      </c>
      <c r="B2015" t="s">
        <v>2012</v>
      </c>
    </row>
    <row r="2016" spans="1:3" x14ac:dyDescent="0.25">
      <c r="A2016" s="36">
        <v>22344274</v>
      </c>
      <c r="B2016" t="s">
        <v>2013</v>
      </c>
    </row>
    <row r="2017" spans="1:2" x14ac:dyDescent="0.25">
      <c r="A2017" s="36">
        <v>21476295</v>
      </c>
      <c r="B2017" t="s">
        <v>2014</v>
      </c>
    </row>
    <row r="2018" spans="1:2" x14ac:dyDescent="0.25">
      <c r="A2018" s="36">
        <v>24699538</v>
      </c>
      <c r="B2018" t="s">
        <v>2015</v>
      </c>
    </row>
    <row r="2019" spans="1:2" x14ac:dyDescent="0.25">
      <c r="A2019" s="36">
        <v>92468293</v>
      </c>
      <c r="B2019" t="s">
        <v>2016</v>
      </c>
    </row>
    <row r="2020" spans="1:2" x14ac:dyDescent="0.25">
      <c r="A2020" s="36">
        <v>11735538</v>
      </c>
      <c r="B2020" t="s">
        <v>2017</v>
      </c>
    </row>
    <row r="2021" spans="1:2" x14ac:dyDescent="0.25">
      <c r="A2021" s="36">
        <v>11815954</v>
      </c>
      <c r="B2021" t="s">
        <v>2018</v>
      </c>
    </row>
    <row r="2022" spans="1:2" x14ac:dyDescent="0.25">
      <c r="A2022" s="36">
        <v>16054550</v>
      </c>
      <c r="B2022" t="s">
        <v>2019</v>
      </c>
    </row>
    <row r="2023" spans="1:2" x14ac:dyDescent="0.25">
      <c r="A2023" s="36">
        <v>10947977</v>
      </c>
      <c r="B2023" t="s">
        <v>2020</v>
      </c>
    </row>
    <row r="2024" spans="1:2" x14ac:dyDescent="0.25">
      <c r="A2024" s="36">
        <v>4374737</v>
      </c>
      <c r="B2024" t="s">
        <v>2021</v>
      </c>
    </row>
    <row r="2025" spans="1:2" x14ac:dyDescent="0.25">
      <c r="A2025" s="36">
        <v>13699449</v>
      </c>
      <c r="B2025" t="s">
        <v>2022</v>
      </c>
    </row>
    <row r="2026" spans="1:2" x14ac:dyDescent="0.25">
      <c r="A2026" s="36">
        <v>23376809</v>
      </c>
      <c r="B2026" t="s">
        <v>2023</v>
      </c>
    </row>
    <row r="2027" spans="1:2" x14ac:dyDescent="0.25">
      <c r="A2027" s="36">
        <v>92316435</v>
      </c>
      <c r="B2027" t="s">
        <v>2024</v>
      </c>
    </row>
    <row r="2028" spans="1:2" x14ac:dyDescent="0.25">
      <c r="A2028" s="36">
        <v>23091604</v>
      </c>
      <c r="B2028" t="s">
        <v>2025</v>
      </c>
    </row>
    <row r="2029" spans="1:2" x14ac:dyDescent="0.25">
      <c r="A2029" s="36">
        <v>16321407</v>
      </c>
      <c r="B2029" t="s">
        <v>2026</v>
      </c>
    </row>
    <row r="2030" spans="1:2" x14ac:dyDescent="0.25">
      <c r="A2030" s="36">
        <v>44285919</v>
      </c>
      <c r="B2030" t="s">
        <v>2027</v>
      </c>
    </row>
    <row r="2031" spans="1:2" x14ac:dyDescent="0.25">
      <c r="A2031" s="36">
        <v>10927488</v>
      </c>
      <c r="B2031" t="s">
        <v>2028</v>
      </c>
    </row>
    <row r="2032" spans="1:2" x14ac:dyDescent="0.25">
      <c r="A2032" s="36">
        <v>20267751</v>
      </c>
      <c r="B2032" t="s">
        <v>2029</v>
      </c>
    </row>
    <row r="2033" spans="1:3" x14ac:dyDescent="0.25">
      <c r="A2033" s="36">
        <v>18413700</v>
      </c>
      <c r="B2033" t="s">
        <v>2030</v>
      </c>
    </row>
    <row r="2034" spans="1:3" x14ac:dyDescent="0.25">
      <c r="A2034" s="36">
        <v>30538627654</v>
      </c>
      <c r="B2034" t="s">
        <v>2031</v>
      </c>
    </row>
    <row r="2035" spans="1:3" x14ac:dyDescent="0.25">
      <c r="A2035" s="36">
        <v>93323980</v>
      </c>
      <c r="B2035" t="s">
        <v>2032</v>
      </c>
    </row>
    <row r="2036" spans="1:3" x14ac:dyDescent="0.25">
      <c r="A2036" s="36">
        <v>26756626</v>
      </c>
      <c r="B2036" t="s">
        <v>2033</v>
      </c>
    </row>
    <row r="2037" spans="1:3" x14ac:dyDescent="0.25">
      <c r="A2037" s="36">
        <v>17054021</v>
      </c>
      <c r="B2037" t="s">
        <v>2034</v>
      </c>
    </row>
    <row r="2038" spans="1:3" x14ac:dyDescent="0.25">
      <c r="A2038" s="36">
        <v>94515799</v>
      </c>
      <c r="B2038" t="s">
        <v>2035</v>
      </c>
    </row>
    <row r="2039" spans="1:3" x14ac:dyDescent="0.25">
      <c r="A2039" s="36">
        <v>20293942332</v>
      </c>
      <c r="B2039" t="s">
        <v>2036</v>
      </c>
    </row>
    <row r="2040" spans="1:3" x14ac:dyDescent="0.25">
      <c r="A2040" s="36">
        <v>30717024393</v>
      </c>
      <c r="B2040" t="s">
        <v>2037</v>
      </c>
    </row>
    <row r="2041" spans="1:3" x14ac:dyDescent="0.25">
      <c r="A2041" s="36">
        <v>27041809715</v>
      </c>
      <c r="B2041" t="s">
        <v>2038</v>
      </c>
    </row>
    <row r="2042" spans="1:3" x14ac:dyDescent="0.25">
      <c r="A2042" s="36">
        <v>23359537069</v>
      </c>
      <c r="B2042" t="s">
        <v>2039</v>
      </c>
    </row>
    <row r="2043" spans="1:3" x14ac:dyDescent="0.25">
      <c r="A2043" s="36">
        <v>30715949292</v>
      </c>
      <c r="B2043" t="s">
        <v>2040</v>
      </c>
    </row>
    <row r="2044" spans="1:3" x14ac:dyDescent="0.25">
      <c r="A2044" s="36">
        <v>30708534907</v>
      </c>
      <c r="B2044" t="s">
        <v>2041</v>
      </c>
      <c r="C2044" s="35" t="s">
        <v>2353</v>
      </c>
    </row>
    <row r="2045" spans="1:3" x14ac:dyDescent="0.25">
      <c r="A2045" s="36">
        <v>30643700952</v>
      </c>
      <c r="B2045" t="s">
        <v>2042</v>
      </c>
    </row>
    <row r="2046" spans="1:3" x14ac:dyDescent="0.25">
      <c r="A2046" s="36">
        <v>30708285818</v>
      </c>
      <c r="B2046" t="s">
        <v>2043</v>
      </c>
    </row>
    <row r="2047" spans="1:3" x14ac:dyDescent="0.25">
      <c r="A2047" s="36">
        <v>27316249154</v>
      </c>
      <c r="B2047" t="s">
        <v>2044</v>
      </c>
    </row>
    <row r="2048" spans="1:3" x14ac:dyDescent="0.25">
      <c r="A2048" s="36">
        <v>27190765127</v>
      </c>
      <c r="B2048" t="s">
        <v>2045</v>
      </c>
    </row>
    <row r="2049" spans="1:3" x14ac:dyDescent="0.25">
      <c r="A2049" s="36">
        <v>30709317853</v>
      </c>
      <c r="B2049" t="s">
        <v>2046</v>
      </c>
    </row>
    <row r="2050" spans="1:3" x14ac:dyDescent="0.25">
      <c r="A2050" s="36">
        <v>27374175640</v>
      </c>
      <c r="B2050" t="s">
        <v>2047</v>
      </c>
    </row>
    <row r="2051" spans="1:3" x14ac:dyDescent="0.25">
      <c r="A2051" s="36">
        <v>23214426684</v>
      </c>
      <c r="B2051" t="s">
        <v>2048</v>
      </c>
    </row>
    <row r="2052" spans="1:3" x14ac:dyDescent="0.25">
      <c r="A2052" s="36">
        <v>33708218699</v>
      </c>
      <c r="B2052" t="s">
        <v>2049</v>
      </c>
      <c r="C2052" s="35" t="s">
        <v>79</v>
      </c>
    </row>
    <row r="2053" spans="1:3" x14ac:dyDescent="0.25">
      <c r="A2053" s="36">
        <v>33643358749</v>
      </c>
      <c r="B2053" t="s">
        <v>2050</v>
      </c>
      <c r="C2053" s="35" t="s">
        <v>2350</v>
      </c>
    </row>
    <row r="2054" spans="1:3" x14ac:dyDescent="0.25">
      <c r="A2054" s="36">
        <v>30716884631</v>
      </c>
      <c r="B2054" t="s">
        <v>2051</v>
      </c>
    </row>
    <row r="2055" spans="1:3" x14ac:dyDescent="0.25">
      <c r="A2055" s="36">
        <v>30708150351</v>
      </c>
      <c r="B2055" t="s">
        <v>2052</v>
      </c>
    </row>
    <row r="2056" spans="1:3" x14ac:dyDescent="0.25">
      <c r="A2056" s="36">
        <v>27299725761</v>
      </c>
      <c r="B2056" t="s">
        <v>2053</v>
      </c>
      <c r="C2056" s="35" t="s">
        <v>2353</v>
      </c>
    </row>
    <row r="2057" spans="1:3" x14ac:dyDescent="0.25">
      <c r="A2057" s="36">
        <v>20362272441</v>
      </c>
      <c r="B2057" t="s">
        <v>2054</v>
      </c>
    </row>
    <row r="2058" spans="1:3" x14ac:dyDescent="0.25">
      <c r="A2058" s="36">
        <v>27252316057</v>
      </c>
      <c r="B2058" t="s">
        <v>2055</v>
      </c>
    </row>
    <row r="2059" spans="1:3" x14ac:dyDescent="0.25">
      <c r="A2059" s="36">
        <v>30709570664</v>
      </c>
      <c r="B2059" t="s">
        <v>2056</v>
      </c>
    </row>
    <row r="2060" spans="1:3" x14ac:dyDescent="0.25">
      <c r="A2060" s="36">
        <v>30708823151</v>
      </c>
      <c r="B2060" t="s">
        <v>2057</v>
      </c>
    </row>
    <row r="2061" spans="1:3" x14ac:dyDescent="0.25">
      <c r="A2061" s="36">
        <v>27265533006</v>
      </c>
      <c r="B2061" t="s">
        <v>2058</v>
      </c>
    </row>
    <row r="2062" spans="1:3" x14ac:dyDescent="0.25">
      <c r="A2062" s="36">
        <v>30565786306</v>
      </c>
      <c r="B2062" t="s">
        <v>2059</v>
      </c>
    </row>
    <row r="2063" spans="1:3" x14ac:dyDescent="0.25">
      <c r="A2063" s="36">
        <v>20043137817</v>
      </c>
      <c r="B2063" t="s">
        <v>2060</v>
      </c>
    </row>
    <row r="2064" spans="1:3" x14ac:dyDescent="0.25">
      <c r="A2064" s="36">
        <v>27120886636</v>
      </c>
      <c r="B2064" t="s">
        <v>2061</v>
      </c>
    </row>
    <row r="2065" spans="1:3" x14ac:dyDescent="0.25">
      <c r="A2065" s="36">
        <v>30717190536</v>
      </c>
      <c r="B2065" t="s">
        <v>2062</v>
      </c>
    </row>
    <row r="2066" spans="1:3" x14ac:dyDescent="0.25">
      <c r="A2066" s="36">
        <v>30708623632</v>
      </c>
      <c r="B2066" t="s">
        <v>2063</v>
      </c>
    </row>
    <row r="2067" spans="1:3" x14ac:dyDescent="0.25">
      <c r="A2067" s="36">
        <v>30715819461</v>
      </c>
      <c r="B2067" t="s">
        <v>2064</v>
      </c>
    </row>
    <row r="2068" spans="1:3" x14ac:dyDescent="0.25">
      <c r="A2068" s="36">
        <v>30716770881</v>
      </c>
      <c r="B2068" t="s">
        <v>2065</v>
      </c>
    </row>
    <row r="2069" spans="1:3" x14ac:dyDescent="0.25">
      <c r="A2069" s="36">
        <v>30575170125</v>
      </c>
      <c r="B2069" t="s">
        <v>2066</v>
      </c>
      <c r="C2069" s="35" t="s">
        <v>2358</v>
      </c>
    </row>
    <row r="2070" spans="1:3" x14ac:dyDescent="0.25">
      <c r="A2070" s="36">
        <v>30708155795</v>
      </c>
      <c r="B2070" t="s">
        <v>2067</v>
      </c>
    </row>
    <row r="2071" spans="1:3" x14ac:dyDescent="0.25">
      <c r="A2071" s="36">
        <v>30710638973</v>
      </c>
      <c r="B2071" t="s">
        <v>2068</v>
      </c>
    </row>
    <row r="2072" spans="1:3" x14ac:dyDescent="0.25">
      <c r="A2072" s="36">
        <v>20299835260</v>
      </c>
      <c r="B2072" t="s">
        <v>2069</v>
      </c>
      <c r="C2072" s="35" t="s">
        <v>2353</v>
      </c>
    </row>
    <row r="2073" spans="1:3" x14ac:dyDescent="0.25">
      <c r="A2073" s="36">
        <v>33709619719</v>
      </c>
      <c r="B2073" t="s">
        <v>2070</v>
      </c>
    </row>
    <row r="2074" spans="1:3" x14ac:dyDescent="0.25">
      <c r="A2074" s="36">
        <v>30571766287</v>
      </c>
      <c r="B2074" t="s">
        <v>2071</v>
      </c>
    </row>
    <row r="2075" spans="1:3" x14ac:dyDescent="0.25">
      <c r="A2075" s="36">
        <v>43244547</v>
      </c>
      <c r="B2075" t="s">
        <v>2072</v>
      </c>
    </row>
    <row r="2076" spans="1:3" x14ac:dyDescent="0.25">
      <c r="A2076" s="36">
        <v>4702938</v>
      </c>
      <c r="B2076" t="s">
        <v>2073</v>
      </c>
    </row>
    <row r="2077" spans="1:3" x14ac:dyDescent="0.25">
      <c r="A2077" s="36">
        <v>14391764</v>
      </c>
      <c r="B2077" t="s">
        <v>2074</v>
      </c>
    </row>
    <row r="2078" spans="1:3" x14ac:dyDescent="0.25">
      <c r="A2078" s="36">
        <v>38893140</v>
      </c>
      <c r="B2078" t="s">
        <v>2075</v>
      </c>
    </row>
    <row r="2079" spans="1:3" x14ac:dyDescent="0.25">
      <c r="A2079" s="36">
        <v>20105333235</v>
      </c>
      <c r="B2079" t="s">
        <v>2076</v>
      </c>
    </row>
    <row r="2080" spans="1:3" x14ac:dyDescent="0.25">
      <c r="A2080" s="36">
        <v>43993254</v>
      </c>
      <c r="B2080" t="s">
        <v>2077</v>
      </c>
    </row>
    <row r="2081" spans="1:3" x14ac:dyDescent="0.25">
      <c r="A2081" s="36">
        <v>57517065</v>
      </c>
      <c r="B2081" t="s">
        <v>2078</v>
      </c>
    </row>
    <row r="2082" spans="1:3" x14ac:dyDescent="0.25">
      <c r="A2082" s="36">
        <v>7603650</v>
      </c>
      <c r="B2082" t="s">
        <v>2079</v>
      </c>
    </row>
    <row r="2083" spans="1:3" x14ac:dyDescent="0.25">
      <c r="A2083" s="36">
        <v>33710090489</v>
      </c>
      <c r="B2083" t="s">
        <v>2080</v>
      </c>
    </row>
    <row r="2084" spans="1:3" x14ac:dyDescent="0.25">
      <c r="A2084" s="36">
        <v>30619859355</v>
      </c>
      <c r="B2084" t="s">
        <v>2081</v>
      </c>
    </row>
    <row r="2085" spans="1:3" x14ac:dyDescent="0.25">
      <c r="A2085" s="36">
        <v>13855506</v>
      </c>
      <c r="B2085" t="s">
        <v>2082</v>
      </c>
    </row>
    <row r="2086" spans="1:3" x14ac:dyDescent="0.25">
      <c r="A2086" s="36">
        <v>10373067</v>
      </c>
      <c r="B2086" t="s">
        <v>2083</v>
      </c>
    </row>
    <row r="2087" spans="1:3" x14ac:dyDescent="0.25">
      <c r="A2087" s="36">
        <v>48594179</v>
      </c>
      <c r="B2087" t="s">
        <v>2084</v>
      </c>
    </row>
    <row r="2088" spans="1:3" x14ac:dyDescent="0.25">
      <c r="A2088" s="36">
        <v>43407785</v>
      </c>
      <c r="B2088" t="s">
        <v>2085</v>
      </c>
    </row>
    <row r="2089" spans="1:3" x14ac:dyDescent="0.25">
      <c r="A2089" s="36">
        <v>26398194</v>
      </c>
      <c r="B2089" t="s">
        <v>2086</v>
      </c>
    </row>
    <row r="2090" spans="1:3" x14ac:dyDescent="0.25">
      <c r="A2090" s="36">
        <v>20964341</v>
      </c>
      <c r="B2090" t="s">
        <v>2087</v>
      </c>
    </row>
    <row r="2091" spans="1:3" x14ac:dyDescent="0.25">
      <c r="A2091" s="36">
        <v>24448662</v>
      </c>
      <c r="B2091" t="s">
        <v>1073</v>
      </c>
    </row>
    <row r="2092" spans="1:3" x14ac:dyDescent="0.25">
      <c r="A2092" s="36">
        <v>33708543409</v>
      </c>
      <c r="B2092" t="s">
        <v>2088</v>
      </c>
    </row>
    <row r="2093" spans="1:3" x14ac:dyDescent="0.25">
      <c r="A2093" s="36">
        <v>30710573308</v>
      </c>
      <c r="B2093" t="s">
        <v>2089</v>
      </c>
      <c r="C2093" s="35" t="s">
        <v>2344</v>
      </c>
    </row>
    <row r="2094" spans="1:3" x14ac:dyDescent="0.25">
      <c r="A2094" s="36">
        <v>20410525888</v>
      </c>
      <c r="B2094" t="s">
        <v>2090</v>
      </c>
      <c r="C2094" s="35" t="s">
        <v>79</v>
      </c>
    </row>
    <row r="2095" spans="1:3" x14ac:dyDescent="0.25">
      <c r="A2095" s="36">
        <v>20253515512</v>
      </c>
      <c r="B2095" t="s">
        <v>2091</v>
      </c>
      <c r="C2095" s="35" t="s">
        <v>2353</v>
      </c>
    </row>
    <row r="2096" spans="1:3" x14ac:dyDescent="0.25">
      <c r="A2096" s="36">
        <v>27256001980</v>
      </c>
      <c r="B2096" t="s">
        <v>2092</v>
      </c>
    </row>
    <row r="2097" spans="1:2" x14ac:dyDescent="0.25">
      <c r="A2097" s="36">
        <v>30696676026</v>
      </c>
      <c r="B2097" t="s">
        <v>2093</v>
      </c>
    </row>
    <row r="2098" spans="1:2" x14ac:dyDescent="0.25">
      <c r="A2098" s="36">
        <v>33663136459</v>
      </c>
      <c r="B2098" t="s">
        <v>2094</v>
      </c>
    </row>
    <row r="2099" spans="1:2" x14ac:dyDescent="0.25">
      <c r="A2099" s="36">
        <v>30717202305</v>
      </c>
      <c r="B2099" t="s">
        <v>2095</v>
      </c>
    </row>
    <row r="2100" spans="1:2" x14ac:dyDescent="0.25">
      <c r="A2100" s="36">
        <v>30710698267</v>
      </c>
      <c r="B2100" t="s">
        <v>2096</v>
      </c>
    </row>
    <row r="2101" spans="1:2" x14ac:dyDescent="0.25">
      <c r="A2101" s="36">
        <v>30684490784</v>
      </c>
      <c r="B2101" t="s">
        <v>2097</v>
      </c>
    </row>
    <row r="2102" spans="1:2" x14ac:dyDescent="0.25">
      <c r="A2102" s="36">
        <v>20921994908</v>
      </c>
      <c r="B2102" t="s">
        <v>2098</v>
      </c>
    </row>
    <row r="2103" spans="1:2" x14ac:dyDescent="0.25">
      <c r="A2103" s="36">
        <v>95930224</v>
      </c>
      <c r="B2103" t="s">
        <v>2099</v>
      </c>
    </row>
    <row r="2104" spans="1:2" x14ac:dyDescent="0.25">
      <c r="A2104" s="36">
        <v>9964789</v>
      </c>
      <c r="B2104" t="s">
        <v>2100</v>
      </c>
    </row>
    <row r="2105" spans="1:2" x14ac:dyDescent="0.25">
      <c r="A2105" s="36">
        <v>4670574</v>
      </c>
      <c r="B2105" t="s">
        <v>2101</v>
      </c>
    </row>
    <row r="2106" spans="1:2" x14ac:dyDescent="0.25">
      <c r="A2106" s="36">
        <v>18901405</v>
      </c>
      <c r="B2106" t="s">
        <v>2102</v>
      </c>
    </row>
    <row r="2107" spans="1:2" x14ac:dyDescent="0.25">
      <c r="A2107" s="36">
        <v>5770359</v>
      </c>
      <c r="B2107" t="s">
        <v>2103</v>
      </c>
    </row>
    <row r="2108" spans="1:2" x14ac:dyDescent="0.25">
      <c r="A2108" s="36">
        <v>14727785</v>
      </c>
      <c r="B2108" t="s">
        <v>2104</v>
      </c>
    </row>
    <row r="2109" spans="1:2" x14ac:dyDescent="0.25">
      <c r="A2109" s="36">
        <v>28692323</v>
      </c>
      <c r="B2109" t="s">
        <v>2105</v>
      </c>
    </row>
    <row r="2110" spans="1:2" x14ac:dyDescent="0.25">
      <c r="A2110" s="36">
        <v>13597783</v>
      </c>
      <c r="B2110" t="s">
        <v>2106</v>
      </c>
    </row>
    <row r="2111" spans="1:2" x14ac:dyDescent="0.25">
      <c r="A2111" s="36">
        <v>12647074</v>
      </c>
      <c r="B2111" t="s">
        <v>2107</v>
      </c>
    </row>
    <row r="2112" spans="1:2" x14ac:dyDescent="0.25">
      <c r="A2112" s="36">
        <v>14012186</v>
      </c>
      <c r="B2112" t="s">
        <v>2108</v>
      </c>
    </row>
    <row r="2113" spans="1:2" x14ac:dyDescent="0.25">
      <c r="A2113" s="36">
        <v>5647106</v>
      </c>
      <c r="B2113" t="s">
        <v>2109</v>
      </c>
    </row>
    <row r="2114" spans="1:2" x14ac:dyDescent="0.25">
      <c r="A2114" s="36">
        <v>20404430</v>
      </c>
      <c r="B2114" t="s">
        <v>2110</v>
      </c>
    </row>
    <row r="2115" spans="1:2" x14ac:dyDescent="0.25">
      <c r="A2115" s="36">
        <v>30852839</v>
      </c>
      <c r="B2115" t="s">
        <v>2111</v>
      </c>
    </row>
    <row r="2116" spans="1:2" x14ac:dyDescent="0.25">
      <c r="A2116" s="36">
        <v>29399469</v>
      </c>
      <c r="B2116" t="s">
        <v>2112</v>
      </c>
    </row>
    <row r="2117" spans="1:2" x14ac:dyDescent="0.25">
      <c r="A2117" s="36">
        <v>37978355</v>
      </c>
      <c r="B2117" t="s">
        <v>2113</v>
      </c>
    </row>
    <row r="2118" spans="1:2" x14ac:dyDescent="0.25">
      <c r="A2118" s="36">
        <v>24134139</v>
      </c>
      <c r="B2118" t="s">
        <v>2114</v>
      </c>
    </row>
    <row r="2119" spans="1:2" x14ac:dyDescent="0.25">
      <c r="A2119" s="36">
        <v>18530289</v>
      </c>
      <c r="B2119" t="s">
        <v>2115</v>
      </c>
    </row>
    <row r="2120" spans="1:2" x14ac:dyDescent="0.25">
      <c r="A2120" s="36">
        <v>21796048</v>
      </c>
      <c r="B2120" t="s">
        <v>2116</v>
      </c>
    </row>
    <row r="2121" spans="1:2" x14ac:dyDescent="0.25">
      <c r="A2121" s="36">
        <v>18021487</v>
      </c>
      <c r="B2121" t="s">
        <v>2117</v>
      </c>
    </row>
    <row r="2122" spans="1:2" x14ac:dyDescent="0.25">
      <c r="A2122" s="36">
        <v>4441045</v>
      </c>
      <c r="B2122" t="s">
        <v>2118</v>
      </c>
    </row>
    <row r="2123" spans="1:2" x14ac:dyDescent="0.25">
      <c r="A2123" s="36">
        <v>3299074</v>
      </c>
      <c r="B2123" t="s">
        <v>1882</v>
      </c>
    </row>
    <row r="2124" spans="1:2" x14ac:dyDescent="0.25">
      <c r="A2124" s="36">
        <v>94210555</v>
      </c>
      <c r="B2124" t="s">
        <v>1948</v>
      </c>
    </row>
    <row r="2125" spans="1:2" x14ac:dyDescent="0.25">
      <c r="A2125" s="36">
        <v>17036140</v>
      </c>
      <c r="B2125" t="s">
        <v>2119</v>
      </c>
    </row>
    <row r="2126" spans="1:2" x14ac:dyDescent="0.25">
      <c r="A2126" s="36">
        <v>41706600</v>
      </c>
      <c r="B2126" t="s">
        <v>2120</v>
      </c>
    </row>
    <row r="2127" spans="1:2" x14ac:dyDescent="0.25">
      <c r="A2127" s="36">
        <v>33362296</v>
      </c>
      <c r="B2127" t="s">
        <v>2121</v>
      </c>
    </row>
    <row r="2128" spans="1:2" x14ac:dyDescent="0.25">
      <c r="A2128" s="36">
        <v>27380155</v>
      </c>
      <c r="B2128" t="s">
        <v>2122</v>
      </c>
    </row>
    <row r="2129" spans="1:3" x14ac:dyDescent="0.25">
      <c r="A2129" s="36">
        <v>22608522</v>
      </c>
      <c r="B2129" t="s">
        <v>2123</v>
      </c>
    </row>
    <row r="2130" spans="1:3" x14ac:dyDescent="0.25">
      <c r="A2130" s="36">
        <v>16287658</v>
      </c>
      <c r="B2130" t="s">
        <v>2124</v>
      </c>
    </row>
    <row r="2131" spans="1:3" x14ac:dyDescent="0.25">
      <c r="A2131" s="36">
        <v>92796373</v>
      </c>
      <c r="B2131" t="s">
        <v>2125</v>
      </c>
    </row>
    <row r="2132" spans="1:3" x14ac:dyDescent="0.25">
      <c r="A2132" s="36">
        <v>47958325</v>
      </c>
      <c r="B2132" t="s">
        <v>2126</v>
      </c>
    </row>
    <row r="2133" spans="1:3" x14ac:dyDescent="0.25">
      <c r="A2133" s="36">
        <v>95749996</v>
      </c>
      <c r="B2133" t="s">
        <v>2127</v>
      </c>
    </row>
    <row r="2134" spans="1:3" x14ac:dyDescent="0.25">
      <c r="A2134" s="36">
        <v>20951293025</v>
      </c>
      <c r="B2134" t="s">
        <v>2128</v>
      </c>
    </row>
    <row r="2135" spans="1:3" x14ac:dyDescent="0.25">
      <c r="A2135" s="36">
        <v>30711753865</v>
      </c>
      <c r="B2135" t="s">
        <v>2129</v>
      </c>
    </row>
    <row r="2136" spans="1:3" x14ac:dyDescent="0.25">
      <c r="A2136" s="36">
        <v>27247019370</v>
      </c>
      <c r="B2136" t="s">
        <v>2130</v>
      </c>
      <c r="C2136" s="35" t="s">
        <v>2353</v>
      </c>
    </row>
    <row r="2137" spans="1:3" x14ac:dyDescent="0.25">
      <c r="A2137" s="36">
        <v>20180429388</v>
      </c>
      <c r="B2137" t="s">
        <v>2131</v>
      </c>
    </row>
    <row r="2138" spans="1:3" x14ac:dyDescent="0.25">
      <c r="A2138" s="36">
        <v>30709525839</v>
      </c>
      <c r="B2138" t="s">
        <v>2132</v>
      </c>
    </row>
    <row r="2139" spans="1:3" x14ac:dyDescent="0.25">
      <c r="A2139" s="36">
        <v>30715515012</v>
      </c>
      <c r="B2139" t="s">
        <v>2133</v>
      </c>
    </row>
    <row r="2140" spans="1:3" x14ac:dyDescent="0.25">
      <c r="A2140" s="36">
        <v>20314536852</v>
      </c>
      <c r="B2140" t="s">
        <v>2134</v>
      </c>
      <c r="C2140" s="35" t="s">
        <v>792</v>
      </c>
    </row>
    <row r="2141" spans="1:3" x14ac:dyDescent="0.25">
      <c r="A2141" s="36">
        <v>30658035033</v>
      </c>
      <c r="B2141" t="s">
        <v>2135</v>
      </c>
    </row>
    <row r="2142" spans="1:3" x14ac:dyDescent="0.25">
      <c r="A2142" s="36">
        <v>30716371812</v>
      </c>
      <c r="B2142" t="s">
        <v>2136</v>
      </c>
    </row>
    <row r="2143" spans="1:3" x14ac:dyDescent="0.25">
      <c r="A2143" s="36">
        <v>27304678165</v>
      </c>
      <c r="B2143" t="s">
        <v>2137</v>
      </c>
    </row>
    <row r="2144" spans="1:3" x14ac:dyDescent="0.25">
      <c r="A2144" s="36">
        <v>30715224468</v>
      </c>
      <c r="B2144" t="s">
        <v>2138</v>
      </c>
      <c r="C2144" s="35" t="s">
        <v>2353</v>
      </c>
    </row>
    <row r="2145" spans="1:3" x14ac:dyDescent="0.25">
      <c r="A2145" s="36">
        <v>30661143610</v>
      </c>
      <c r="B2145" t="s">
        <v>2139</v>
      </c>
      <c r="C2145" s="35" t="s">
        <v>2353</v>
      </c>
    </row>
    <row r="2146" spans="1:3" x14ac:dyDescent="0.25">
      <c r="A2146" s="36">
        <v>20394693864</v>
      </c>
      <c r="B2146" t="s">
        <v>2140</v>
      </c>
    </row>
    <row r="2147" spans="1:3" x14ac:dyDescent="0.25">
      <c r="A2147" s="36">
        <v>33710130189</v>
      </c>
      <c r="B2147" t="s">
        <v>2141</v>
      </c>
    </row>
    <row r="2148" spans="1:3" x14ac:dyDescent="0.25">
      <c r="A2148" s="36">
        <v>30717172651</v>
      </c>
      <c r="B2148" t="s">
        <v>2142</v>
      </c>
    </row>
    <row r="2149" spans="1:3" x14ac:dyDescent="0.25">
      <c r="A2149" s="36">
        <v>30716251884</v>
      </c>
      <c r="B2149" t="s">
        <v>2143</v>
      </c>
    </row>
    <row r="2150" spans="1:3" x14ac:dyDescent="0.25">
      <c r="A2150" s="36">
        <v>92883126</v>
      </c>
      <c r="B2150" t="s">
        <v>2144</v>
      </c>
    </row>
    <row r="2151" spans="1:3" x14ac:dyDescent="0.25">
      <c r="A2151" s="36">
        <v>18737235</v>
      </c>
      <c r="B2151" t="s">
        <v>2145</v>
      </c>
    </row>
    <row r="2152" spans="1:3" x14ac:dyDescent="0.25">
      <c r="A2152" s="36">
        <v>14011463</v>
      </c>
      <c r="B2152" t="s">
        <v>2146</v>
      </c>
    </row>
    <row r="2153" spans="1:3" x14ac:dyDescent="0.25">
      <c r="A2153" s="36">
        <v>30144129</v>
      </c>
      <c r="B2153" t="s">
        <v>2147</v>
      </c>
    </row>
    <row r="2154" spans="1:3" x14ac:dyDescent="0.25">
      <c r="A2154" s="36">
        <v>17055249</v>
      </c>
      <c r="B2154" t="s">
        <v>2148</v>
      </c>
    </row>
    <row r="2155" spans="1:3" x14ac:dyDescent="0.25">
      <c r="A2155" s="36">
        <v>17972001</v>
      </c>
      <c r="B2155" t="s">
        <v>2149</v>
      </c>
    </row>
    <row r="2156" spans="1:3" x14ac:dyDescent="0.25">
      <c r="A2156" s="36">
        <v>38005095</v>
      </c>
      <c r="B2156" t="s">
        <v>2150</v>
      </c>
    </row>
    <row r="2157" spans="1:3" x14ac:dyDescent="0.25">
      <c r="A2157" s="36">
        <v>93195134</v>
      </c>
      <c r="B2157" t="s">
        <v>2151</v>
      </c>
    </row>
    <row r="2158" spans="1:3" x14ac:dyDescent="0.25">
      <c r="A2158" s="36">
        <v>31914239</v>
      </c>
      <c r="B2158" t="s">
        <v>2152</v>
      </c>
    </row>
    <row r="2159" spans="1:3" x14ac:dyDescent="0.25">
      <c r="A2159" s="36">
        <v>12628022</v>
      </c>
      <c r="B2159" t="s">
        <v>2153</v>
      </c>
    </row>
    <row r="2160" spans="1:3" x14ac:dyDescent="0.25">
      <c r="A2160" s="36">
        <v>17856859</v>
      </c>
      <c r="B2160" t="s">
        <v>2154</v>
      </c>
    </row>
    <row r="2161" spans="1:2" x14ac:dyDescent="0.25">
      <c r="A2161" s="36">
        <v>12791306</v>
      </c>
      <c r="B2161" t="s">
        <v>2155</v>
      </c>
    </row>
    <row r="2162" spans="1:2" x14ac:dyDescent="0.25">
      <c r="A2162" s="36">
        <v>29646092</v>
      </c>
      <c r="B2162" t="s">
        <v>2156</v>
      </c>
    </row>
    <row r="2163" spans="1:2" x14ac:dyDescent="0.25">
      <c r="A2163" s="36">
        <v>92634198</v>
      </c>
      <c r="B2163" t="s">
        <v>2157</v>
      </c>
    </row>
    <row r="2164" spans="1:2" x14ac:dyDescent="0.25">
      <c r="A2164" s="36">
        <v>20715936</v>
      </c>
      <c r="B2164" t="s">
        <v>2158</v>
      </c>
    </row>
    <row r="2165" spans="1:2" x14ac:dyDescent="0.25">
      <c r="A2165" s="36">
        <v>33503716</v>
      </c>
      <c r="B2165" t="s">
        <v>2159</v>
      </c>
    </row>
    <row r="2166" spans="1:2" x14ac:dyDescent="0.25">
      <c r="A2166" s="36">
        <v>23451149</v>
      </c>
      <c r="B2166" t="s">
        <v>2160</v>
      </c>
    </row>
    <row r="2167" spans="1:2" x14ac:dyDescent="0.25">
      <c r="A2167" s="36">
        <v>25358801</v>
      </c>
      <c r="B2167" t="s">
        <v>2161</v>
      </c>
    </row>
    <row r="2168" spans="1:2" x14ac:dyDescent="0.25">
      <c r="A2168" s="36">
        <v>23780066</v>
      </c>
      <c r="B2168" t="s">
        <v>2162</v>
      </c>
    </row>
    <row r="2169" spans="1:2" x14ac:dyDescent="0.25">
      <c r="A2169" s="36">
        <v>24306613</v>
      </c>
      <c r="B2169" t="s">
        <v>2163</v>
      </c>
    </row>
    <row r="2170" spans="1:2" x14ac:dyDescent="0.25">
      <c r="A2170" s="36">
        <v>6553491</v>
      </c>
      <c r="B2170" t="s">
        <v>2164</v>
      </c>
    </row>
    <row r="2171" spans="1:2" x14ac:dyDescent="0.25">
      <c r="A2171" s="36">
        <v>8447316</v>
      </c>
      <c r="B2171" t="s">
        <v>2165</v>
      </c>
    </row>
    <row r="2172" spans="1:2" x14ac:dyDescent="0.25">
      <c r="A2172" s="36">
        <v>1304464</v>
      </c>
      <c r="B2172" t="s">
        <v>2166</v>
      </c>
    </row>
    <row r="2173" spans="1:2" x14ac:dyDescent="0.25">
      <c r="A2173" s="36">
        <v>28423753</v>
      </c>
      <c r="B2173" t="s">
        <v>2167</v>
      </c>
    </row>
    <row r="2174" spans="1:2" x14ac:dyDescent="0.25">
      <c r="A2174" s="36">
        <v>13214933</v>
      </c>
      <c r="B2174" t="s">
        <v>2168</v>
      </c>
    </row>
    <row r="2175" spans="1:2" x14ac:dyDescent="0.25">
      <c r="A2175" s="36">
        <v>16246667</v>
      </c>
      <c r="B2175" t="s">
        <v>2169</v>
      </c>
    </row>
    <row r="2176" spans="1:2" x14ac:dyDescent="0.25">
      <c r="A2176" s="36">
        <v>32094943</v>
      </c>
      <c r="B2176" t="s">
        <v>2170</v>
      </c>
    </row>
    <row r="2177" spans="1:3" x14ac:dyDescent="0.25">
      <c r="A2177" s="36">
        <v>30717409007</v>
      </c>
      <c r="B2177" t="s">
        <v>2171</v>
      </c>
    </row>
    <row r="2178" spans="1:3" x14ac:dyDescent="0.25">
      <c r="A2178" s="36">
        <v>27229910782</v>
      </c>
      <c r="B2178" t="s">
        <v>2172</v>
      </c>
    </row>
    <row r="2179" spans="1:3" x14ac:dyDescent="0.25">
      <c r="A2179" s="36">
        <v>30714758116</v>
      </c>
      <c r="B2179" t="s">
        <v>2173</v>
      </c>
    </row>
    <row r="2180" spans="1:3" x14ac:dyDescent="0.25">
      <c r="A2180" s="36">
        <v>30700939797</v>
      </c>
      <c r="B2180" t="s">
        <v>2174</v>
      </c>
      <c r="C2180" s="35" t="s">
        <v>2352</v>
      </c>
    </row>
    <row r="2181" spans="1:3" x14ac:dyDescent="0.25">
      <c r="A2181" s="36">
        <v>30708656018</v>
      </c>
      <c r="B2181" t="s">
        <v>2175</v>
      </c>
    </row>
    <row r="2182" spans="1:3" x14ac:dyDescent="0.25">
      <c r="A2182" s="36">
        <v>20110124636</v>
      </c>
      <c r="B2182" t="s">
        <v>2176</v>
      </c>
    </row>
    <row r="2183" spans="1:3" x14ac:dyDescent="0.25">
      <c r="A2183" s="36">
        <v>20242709897</v>
      </c>
      <c r="B2183" t="s">
        <v>2177</v>
      </c>
    </row>
    <row r="2184" spans="1:3" x14ac:dyDescent="0.25">
      <c r="A2184" s="36">
        <v>30708542349</v>
      </c>
      <c r="B2184" t="s">
        <v>2178</v>
      </c>
    </row>
    <row r="2185" spans="1:3" x14ac:dyDescent="0.25">
      <c r="A2185" s="36">
        <v>30643518364</v>
      </c>
      <c r="B2185" t="s">
        <v>2179</v>
      </c>
      <c r="C2185" s="35" t="s">
        <v>2353</v>
      </c>
    </row>
    <row r="2186" spans="1:3" x14ac:dyDescent="0.25">
      <c r="A2186" s="36">
        <v>33716711469</v>
      </c>
      <c r="B2186" t="s">
        <v>2180</v>
      </c>
      <c r="C2186" s="35" t="s">
        <v>2353</v>
      </c>
    </row>
    <row r="2187" spans="1:3" x14ac:dyDescent="0.25">
      <c r="A2187" s="36">
        <v>27310367813</v>
      </c>
      <c r="B2187" t="s">
        <v>2181</v>
      </c>
    </row>
    <row r="2188" spans="1:3" x14ac:dyDescent="0.25">
      <c r="A2188" s="36">
        <v>27057462960</v>
      </c>
      <c r="B2188" t="s">
        <v>2182</v>
      </c>
    </row>
    <row r="2189" spans="1:3" x14ac:dyDescent="0.25">
      <c r="A2189" s="36">
        <v>30714793272</v>
      </c>
      <c r="B2189" t="s">
        <v>2183</v>
      </c>
    </row>
    <row r="2190" spans="1:3" x14ac:dyDescent="0.25">
      <c r="A2190" s="36">
        <v>30687059812</v>
      </c>
      <c r="B2190" t="s">
        <v>2184</v>
      </c>
    </row>
    <row r="2191" spans="1:3" x14ac:dyDescent="0.25">
      <c r="A2191" s="36">
        <v>30716557010</v>
      </c>
      <c r="B2191" t="s">
        <v>2185</v>
      </c>
      <c r="C2191" s="35" t="s">
        <v>79</v>
      </c>
    </row>
    <row r="2192" spans="1:3" x14ac:dyDescent="0.25">
      <c r="A2192" s="36">
        <v>30710857322</v>
      </c>
      <c r="B2192" t="s">
        <v>2186</v>
      </c>
    </row>
    <row r="2193" spans="1:4" x14ac:dyDescent="0.25">
      <c r="A2193" s="36">
        <v>30717179389</v>
      </c>
      <c r="B2193" t="s">
        <v>2187</v>
      </c>
      <c r="C2193" s="35" t="s">
        <v>44</v>
      </c>
    </row>
    <row r="2194" spans="1:4" x14ac:dyDescent="0.25">
      <c r="A2194" s="36">
        <v>30716534444</v>
      </c>
      <c r="B2194" t="s">
        <v>2188</v>
      </c>
    </row>
    <row r="2195" spans="1:4" x14ac:dyDescent="0.25">
      <c r="A2195" s="36">
        <v>30710329113</v>
      </c>
      <c r="B2195" t="s">
        <v>2189</v>
      </c>
    </row>
    <row r="2196" spans="1:4" x14ac:dyDescent="0.25">
      <c r="A2196" s="36">
        <v>33710237919</v>
      </c>
      <c r="B2196" t="s">
        <v>2190</v>
      </c>
    </row>
    <row r="2197" spans="1:4" x14ac:dyDescent="0.25">
      <c r="A2197" s="36">
        <v>27283627573</v>
      </c>
      <c r="B2197" t="s">
        <v>2191</v>
      </c>
    </row>
    <row r="2198" spans="1:4" x14ac:dyDescent="0.25">
      <c r="A2198" s="36">
        <v>20309759444</v>
      </c>
      <c r="B2198" t="s">
        <v>2192</v>
      </c>
    </row>
    <row r="2199" spans="1:4" x14ac:dyDescent="0.25">
      <c r="A2199" s="36">
        <v>30707977120</v>
      </c>
      <c r="B2199" t="s">
        <v>2193</v>
      </c>
    </row>
    <row r="2200" spans="1:4" x14ac:dyDescent="0.25">
      <c r="A2200" s="36">
        <v>20359718765</v>
      </c>
      <c r="B2200" t="s">
        <v>2194</v>
      </c>
    </row>
    <row r="2201" spans="1:4" x14ac:dyDescent="0.25">
      <c r="A2201" s="36">
        <v>27368203829</v>
      </c>
      <c r="B2201" t="s">
        <v>2195</v>
      </c>
      <c r="C2201" s="35" t="s">
        <v>2344</v>
      </c>
      <c r="D2201" t="s">
        <v>2239</v>
      </c>
    </row>
    <row r="2202" spans="1:4" x14ac:dyDescent="0.25">
      <c r="A2202" s="36">
        <v>30711984026</v>
      </c>
      <c r="B2202" t="s">
        <v>2196</v>
      </c>
    </row>
    <row r="2203" spans="1:4" x14ac:dyDescent="0.25">
      <c r="A2203" s="36">
        <v>20110352108</v>
      </c>
      <c r="B2203" t="s">
        <v>2197</v>
      </c>
    </row>
    <row r="2204" spans="1:4" x14ac:dyDescent="0.25">
      <c r="A2204" s="36">
        <v>30521837000</v>
      </c>
      <c r="B2204" t="s">
        <v>2198</v>
      </c>
    </row>
    <row r="2205" spans="1:4" x14ac:dyDescent="0.25">
      <c r="A2205" s="36">
        <v>20044465532</v>
      </c>
      <c r="B2205" t="s">
        <v>2199</v>
      </c>
    </row>
    <row r="2206" spans="1:4" x14ac:dyDescent="0.25">
      <c r="A2206" s="36">
        <v>30683336765</v>
      </c>
      <c r="B2206" t="s">
        <v>2200</v>
      </c>
    </row>
    <row r="2207" spans="1:4" x14ac:dyDescent="0.25">
      <c r="A2207" s="36">
        <v>23120844989</v>
      </c>
      <c r="B2207" t="s">
        <v>2201</v>
      </c>
    </row>
    <row r="2208" spans="1:4" x14ac:dyDescent="0.25">
      <c r="A2208" s="36">
        <v>30696692951</v>
      </c>
      <c r="B2208" t="s">
        <v>2215</v>
      </c>
      <c r="C2208" s="35" t="s">
        <v>2350</v>
      </c>
    </row>
    <row r="2209" spans="1:3" x14ac:dyDescent="0.25">
      <c r="A2209" s="36">
        <v>30716229552</v>
      </c>
      <c r="B2209" t="s">
        <v>2216</v>
      </c>
      <c r="C2209" s="35" t="s">
        <v>44</v>
      </c>
    </row>
    <row r="2210" spans="1:3" x14ac:dyDescent="0.25">
      <c r="A2210" s="36">
        <v>30571666037</v>
      </c>
      <c r="B2210" t="s">
        <v>826</v>
      </c>
      <c r="C2210" s="35" t="s">
        <v>2353</v>
      </c>
    </row>
    <row r="2211" spans="1:3" x14ac:dyDescent="0.25">
      <c r="A2211" s="36">
        <v>30692975533</v>
      </c>
      <c r="B2211" t="s">
        <v>1982</v>
      </c>
      <c r="C2211" s="35" t="s">
        <v>792</v>
      </c>
    </row>
    <row r="2212" spans="1:3" x14ac:dyDescent="0.25">
      <c r="A2212" s="36">
        <v>27178792178</v>
      </c>
      <c r="B2212" t="s">
        <v>2225</v>
      </c>
      <c r="C2212" s="35" t="s">
        <v>2341</v>
      </c>
    </row>
    <row r="2213" spans="1:3" x14ac:dyDescent="0.25">
      <c r="A2213" s="36">
        <v>30708375582</v>
      </c>
      <c r="B2213" t="s">
        <v>2231</v>
      </c>
      <c r="C2213" s="35" t="s">
        <v>792</v>
      </c>
    </row>
    <row r="2214" spans="1:3" x14ac:dyDescent="0.25">
      <c r="A2214" s="36">
        <v>20142643384</v>
      </c>
      <c r="B2214" t="s">
        <v>2232</v>
      </c>
      <c r="C2214" s="35" t="s">
        <v>2353</v>
      </c>
    </row>
    <row r="2215" spans="1:3" x14ac:dyDescent="0.25">
      <c r="A2215" s="36">
        <v>33710427629</v>
      </c>
      <c r="B2215" t="s">
        <v>2233</v>
      </c>
      <c r="C2215" s="35" t="s">
        <v>2344</v>
      </c>
    </row>
    <row r="2216" spans="1:3" x14ac:dyDescent="0.25">
      <c r="A2216" s="36">
        <v>20167787372</v>
      </c>
      <c r="B2216" t="s">
        <v>2234</v>
      </c>
      <c r="C2216" s="35" t="s">
        <v>792</v>
      </c>
    </row>
    <row r="2217" spans="1:3" x14ac:dyDescent="0.25">
      <c r="A2217" s="36">
        <v>20274215632</v>
      </c>
      <c r="B2217" t="s">
        <v>2235</v>
      </c>
      <c r="C2217" s="35" t="s">
        <v>79</v>
      </c>
    </row>
    <row r="2218" spans="1:3" x14ac:dyDescent="0.25">
      <c r="A2218" s="36">
        <v>30690212265</v>
      </c>
      <c r="B2218" t="s">
        <v>2236</v>
      </c>
      <c r="C2218" s="35" t="s">
        <v>792</v>
      </c>
    </row>
    <row r="2219" spans="1:3" x14ac:dyDescent="0.25">
      <c r="A2219" s="36">
        <v>30711013969</v>
      </c>
      <c r="B2219" t="s">
        <v>2237</v>
      </c>
      <c r="C2219" s="35" t="s">
        <v>792</v>
      </c>
    </row>
    <row r="2220" spans="1:3" x14ac:dyDescent="0.25">
      <c r="A2220" s="36">
        <v>30710449658</v>
      </c>
      <c r="B2220" t="s">
        <v>2238</v>
      </c>
      <c r="C2220" s="35" t="s">
        <v>2344</v>
      </c>
    </row>
    <row r="2221" spans="1:3" x14ac:dyDescent="0.25">
      <c r="A2221" s="36">
        <v>30687805026</v>
      </c>
      <c r="B2221" t="s">
        <v>2241</v>
      </c>
    </row>
    <row r="2222" spans="1:3" x14ac:dyDescent="0.25">
      <c r="A2222" s="36">
        <v>30715668994</v>
      </c>
      <c r="B2222" t="s">
        <v>2257</v>
      </c>
      <c r="C2222" s="35" t="s">
        <v>2353</v>
      </c>
    </row>
    <row r="2223" spans="1:3" x14ac:dyDescent="0.25">
      <c r="A2223" s="36">
        <v>20160503336</v>
      </c>
      <c r="B2223" t="s">
        <v>2258</v>
      </c>
      <c r="C2223" s="35" t="s">
        <v>79</v>
      </c>
    </row>
    <row r="2224" spans="1:3" x14ac:dyDescent="0.25">
      <c r="A2224" s="36">
        <v>30711645884</v>
      </c>
      <c r="B2224" t="s">
        <v>2360</v>
      </c>
      <c r="C2224" s="35" t="s">
        <v>2353</v>
      </c>
    </row>
    <row r="2225" spans="1:3" x14ac:dyDescent="0.25">
      <c r="A2225" s="36">
        <v>30708736186</v>
      </c>
      <c r="B2225" t="s">
        <v>2259</v>
      </c>
      <c r="C2225" s="35" t="s">
        <v>79</v>
      </c>
    </row>
    <row r="2226" spans="1:3" x14ac:dyDescent="0.25">
      <c r="A2226" s="36">
        <v>20243132852</v>
      </c>
      <c r="B2226" t="s">
        <v>2260</v>
      </c>
      <c r="C2226" s="35" t="s">
        <v>2344</v>
      </c>
    </row>
    <row r="2227" spans="1:3" x14ac:dyDescent="0.25">
      <c r="A2227" s="36">
        <v>20268417762</v>
      </c>
      <c r="B2227" t="s">
        <v>2261</v>
      </c>
      <c r="C2227" s="35" t="s">
        <v>79</v>
      </c>
    </row>
    <row r="2228" spans="1:3" x14ac:dyDescent="0.25">
      <c r="A2228" s="36">
        <v>30657715383</v>
      </c>
      <c r="B2228" t="s">
        <v>2262</v>
      </c>
      <c r="C2228" s="35" t="s">
        <v>2341</v>
      </c>
    </row>
    <row r="2229" spans="1:3" x14ac:dyDescent="0.25">
      <c r="A2229" s="36">
        <v>30711328498</v>
      </c>
      <c r="B2229" t="s">
        <v>2263</v>
      </c>
      <c r="C2229" s="35" t="s">
        <v>2344</v>
      </c>
    </row>
    <row r="2230" spans="1:3" x14ac:dyDescent="0.25">
      <c r="A2230" s="36">
        <v>27318630157</v>
      </c>
      <c r="B2230" t="s">
        <v>2264</v>
      </c>
      <c r="C2230" s="35" t="s">
        <v>2341</v>
      </c>
    </row>
    <row r="2231" spans="1:3" x14ac:dyDescent="0.25">
      <c r="A2231" s="36">
        <v>30716313367</v>
      </c>
      <c r="B2231" t="s">
        <v>2266</v>
      </c>
      <c r="C2231" s="35" t="s">
        <v>2344</v>
      </c>
    </row>
    <row r="2232" spans="1:3" x14ac:dyDescent="0.25">
      <c r="A2232" s="36">
        <v>30715010808</v>
      </c>
      <c r="B2232" t="s">
        <v>2267</v>
      </c>
      <c r="C2232" s="35" t="s">
        <v>2344</v>
      </c>
    </row>
    <row r="2233" spans="1:3" x14ac:dyDescent="0.25">
      <c r="A2233" s="36">
        <v>30715979213</v>
      </c>
      <c r="B2233" t="s">
        <v>2268</v>
      </c>
      <c r="C2233" s="35" t="s">
        <v>2341</v>
      </c>
    </row>
    <row r="2234" spans="1:3" x14ac:dyDescent="0.25">
      <c r="A2234" s="36">
        <v>20229905199</v>
      </c>
      <c r="B2234" t="s">
        <v>2269</v>
      </c>
      <c r="C2234" s="35" t="s">
        <v>2344</v>
      </c>
    </row>
    <row r="2235" spans="1:3" x14ac:dyDescent="0.25">
      <c r="A2235" s="231">
        <v>27944827345</v>
      </c>
      <c r="B2235" t="s">
        <v>2270</v>
      </c>
      <c r="C2235" s="35" t="s">
        <v>2344</v>
      </c>
    </row>
    <row r="2236" spans="1:3" x14ac:dyDescent="0.25">
      <c r="A2236" s="36">
        <v>30707927409</v>
      </c>
      <c r="B2236" t="s">
        <v>2274</v>
      </c>
      <c r="C2236" s="35" t="s">
        <v>792</v>
      </c>
    </row>
    <row r="2237" spans="1:3" x14ac:dyDescent="0.25">
      <c r="A2237" s="36">
        <v>30626009618</v>
      </c>
      <c r="B2237" t="s">
        <v>2275</v>
      </c>
      <c r="C2237" s="35" t="s">
        <v>792</v>
      </c>
    </row>
    <row r="2238" spans="1:3" x14ac:dyDescent="0.25">
      <c r="A2238" s="36">
        <v>33717383139</v>
      </c>
      <c r="B2238" t="s">
        <v>2276</v>
      </c>
      <c r="C2238" s="35" t="s">
        <v>2357</v>
      </c>
    </row>
    <row r="2239" spans="1:3" x14ac:dyDescent="0.25">
      <c r="A2239" s="36">
        <v>30709904872</v>
      </c>
      <c r="B2239" t="s">
        <v>2279</v>
      </c>
      <c r="C2239" s="35" t="s">
        <v>792</v>
      </c>
    </row>
    <row r="2240" spans="1:3" x14ac:dyDescent="0.25">
      <c r="A2240" s="36">
        <v>23936845509</v>
      </c>
      <c r="B2240" t="s">
        <v>2280</v>
      </c>
      <c r="C2240" s="35" t="s">
        <v>792</v>
      </c>
    </row>
    <row r="2241" spans="1:3" x14ac:dyDescent="0.25">
      <c r="A2241" s="36">
        <v>30577744579</v>
      </c>
      <c r="B2241" t="s">
        <v>2281</v>
      </c>
      <c r="C2241" s="35" t="s">
        <v>792</v>
      </c>
    </row>
    <row r="2242" spans="1:3" x14ac:dyDescent="0.25">
      <c r="A2242" s="36">
        <v>20275351254</v>
      </c>
      <c r="B2242" t="s">
        <v>2282</v>
      </c>
      <c r="C2242" s="35" t="s">
        <v>2341</v>
      </c>
    </row>
    <row r="2243" spans="1:3" x14ac:dyDescent="0.25">
      <c r="A2243" s="36">
        <v>30715393251</v>
      </c>
      <c r="B2243" t="s">
        <v>2283</v>
      </c>
      <c r="C2243" s="35" t="s">
        <v>2350</v>
      </c>
    </row>
    <row r="2244" spans="1:3" x14ac:dyDescent="0.25">
      <c r="A2244" s="36">
        <v>30716157586</v>
      </c>
      <c r="B2244" t="s">
        <v>2284</v>
      </c>
    </row>
    <row r="2245" spans="1:3" x14ac:dyDescent="0.25">
      <c r="A2245" s="36">
        <v>30708046724</v>
      </c>
      <c r="B2245" t="s">
        <v>2285</v>
      </c>
      <c r="C2245" s="35" t="s">
        <v>792</v>
      </c>
    </row>
    <row r="2246" spans="1:3" x14ac:dyDescent="0.25">
      <c r="A2246" s="36">
        <v>20396584809</v>
      </c>
      <c r="B2246" t="s">
        <v>2286</v>
      </c>
      <c r="C2246" s="35" t="s">
        <v>2353</v>
      </c>
    </row>
    <row r="2247" spans="1:3" x14ac:dyDescent="0.25">
      <c r="A2247" s="36">
        <v>30708601108</v>
      </c>
      <c r="B2247" t="s">
        <v>2287</v>
      </c>
      <c r="C2247" s="35" t="s">
        <v>44</v>
      </c>
    </row>
    <row r="2248" spans="1:3" x14ac:dyDescent="0.25">
      <c r="A2248" s="36">
        <v>20352752992</v>
      </c>
      <c r="B2248" t="s">
        <v>2288</v>
      </c>
      <c r="C2248" s="35" t="s">
        <v>79</v>
      </c>
    </row>
    <row r="2249" spans="1:3" x14ac:dyDescent="0.25">
      <c r="A2249" s="36">
        <v>30639935872</v>
      </c>
      <c r="B2249" t="s">
        <v>2289</v>
      </c>
      <c r="C2249" s="35" t="s">
        <v>875</v>
      </c>
    </row>
    <row r="2250" spans="1:3" x14ac:dyDescent="0.25">
      <c r="A2250" s="36">
        <v>30711296987</v>
      </c>
      <c r="B2250" t="s">
        <v>2290</v>
      </c>
      <c r="C2250" s="35" t="s">
        <v>2341</v>
      </c>
    </row>
    <row r="2251" spans="1:3" x14ac:dyDescent="0.25">
      <c r="A2251" s="36">
        <v>20392730444</v>
      </c>
      <c r="B2251" t="s">
        <v>2291</v>
      </c>
      <c r="C2251" s="35" t="s">
        <v>792</v>
      </c>
    </row>
    <row r="2252" spans="1:3" x14ac:dyDescent="0.25">
      <c r="A2252" s="36">
        <v>27119878468</v>
      </c>
      <c r="B2252" t="s">
        <v>2292</v>
      </c>
      <c r="C2252" s="35" t="s">
        <v>2353</v>
      </c>
    </row>
    <row r="2253" spans="1:3" x14ac:dyDescent="0.25">
      <c r="A2253" s="36">
        <v>20920321292</v>
      </c>
      <c r="B2253" t="s">
        <v>2293</v>
      </c>
      <c r="C2253" s="35" t="s">
        <v>79</v>
      </c>
    </row>
    <row r="2254" spans="1:3" x14ac:dyDescent="0.25">
      <c r="A2254" s="445">
        <v>20224819049</v>
      </c>
      <c r="B2254" t="s">
        <v>2294</v>
      </c>
      <c r="C2254" s="35" t="s">
        <v>2344</v>
      </c>
    </row>
    <row r="2255" spans="1:3" x14ac:dyDescent="0.25">
      <c r="A2255" s="36">
        <v>30716317028</v>
      </c>
      <c r="B2255" t="s">
        <v>2295</v>
      </c>
      <c r="C2255" s="35" t="s">
        <v>2341</v>
      </c>
    </row>
    <row r="2256" spans="1:3" x14ac:dyDescent="0.25">
      <c r="A2256" s="36">
        <v>20181517957</v>
      </c>
      <c r="B2256" t="s">
        <v>2296</v>
      </c>
      <c r="C2256" s="35" t="s">
        <v>2353</v>
      </c>
    </row>
    <row r="2257" spans="1:3" x14ac:dyDescent="0.25">
      <c r="A2257" s="36">
        <v>20421469769</v>
      </c>
      <c r="B2257" t="s">
        <v>2297</v>
      </c>
      <c r="C2257" s="35" t="s">
        <v>79</v>
      </c>
    </row>
    <row r="2258" spans="1:3" x14ac:dyDescent="0.25">
      <c r="A2258" s="36">
        <v>20426451167</v>
      </c>
      <c r="B2258" t="s">
        <v>2298</v>
      </c>
      <c r="C2258" s="35" t="s">
        <v>792</v>
      </c>
    </row>
    <row r="2259" spans="1:3" x14ac:dyDescent="0.25">
      <c r="A2259" s="36">
        <v>20272865869</v>
      </c>
      <c r="B2259" t="s">
        <v>2299</v>
      </c>
      <c r="C2259" s="35" t="s">
        <v>2353</v>
      </c>
    </row>
    <row r="2260" spans="1:3" x14ac:dyDescent="0.25">
      <c r="A2260" s="36">
        <v>23928499804</v>
      </c>
      <c r="B2260" t="s">
        <v>2300</v>
      </c>
      <c r="C2260" s="35" t="s">
        <v>2341</v>
      </c>
    </row>
    <row r="2261" spans="1:3" x14ac:dyDescent="0.25">
      <c r="A2261" s="36">
        <v>30581106234</v>
      </c>
      <c r="B2261" t="s">
        <v>2301</v>
      </c>
      <c r="C2261" s="35" t="s">
        <v>2353</v>
      </c>
    </row>
    <row r="2262" spans="1:3" x14ac:dyDescent="0.25">
      <c r="A2262" s="36">
        <v>20259150249</v>
      </c>
      <c r="B2262" t="s">
        <v>2302</v>
      </c>
      <c r="C2262" s="35" t="s">
        <v>46</v>
      </c>
    </row>
    <row r="2263" spans="1:3" x14ac:dyDescent="0.25">
      <c r="A2263" s="36">
        <v>23324039759</v>
      </c>
      <c r="B2263" t="s">
        <v>2303</v>
      </c>
      <c r="C2263" s="35" t="s">
        <v>46</v>
      </c>
    </row>
    <row r="2264" spans="1:3" x14ac:dyDescent="0.25">
      <c r="A2264" s="36">
        <v>33716367539</v>
      </c>
      <c r="B2264" t="s">
        <v>2304</v>
      </c>
      <c r="C2264" s="35" t="s">
        <v>2353</v>
      </c>
    </row>
    <row r="2265" spans="1:3" x14ac:dyDescent="0.25">
      <c r="A2265" s="36">
        <v>30693066022</v>
      </c>
      <c r="B2265" t="s">
        <v>2305</v>
      </c>
      <c r="C2265" s="35" t="s">
        <v>79</v>
      </c>
    </row>
    <row r="2266" spans="1:3" x14ac:dyDescent="0.25">
      <c r="A2266" s="36">
        <v>30627351263</v>
      </c>
      <c r="B2266" t="s">
        <v>2306</v>
      </c>
      <c r="C2266" s="35" t="s">
        <v>792</v>
      </c>
    </row>
    <row r="2267" spans="1:3" x14ac:dyDescent="0.25">
      <c r="A2267" s="36">
        <v>20110663316</v>
      </c>
      <c r="B2267" t="s">
        <v>2307</v>
      </c>
      <c r="C2267" s="35" t="s">
        <v>2353</v>
      </c>
    </row>
    <row r="2268" spans="1:3" x14ac:dyDescent="0.25">
      <c r="A2268" s="36">
        <v>20312058368</v>
      </c>
      <c r="B2268" t="s">
        <v>2308</v>
      </c>
      <c r="C2268" s="35" t="s">
        <v>2353</v>
      </c>
    </row>
    <row r="2269" spans="1:3" x14ac:dyDescent="0.25">
      <c r="A2269" s="36">
        <v>30707370609</v>
      </c>
      <c r="B2269" t="s">
        <v>2309</v>
      </c>
      <c r="C2269" s="35" t="s">
        <v>847</v>
      </c>
    </row>
    <row r="2270" spans="1:3" x14ac:dyDescent="0.25">
      <c r="A2270" s="36">
        <v>30707304886</v>
      </c>
      <c r="B2270" t="s">
        <v>2310</v>
      </c>
      <c r="C2270" s="35" t="s">
        <v>44</v>
      </c>
    </row>
    <row r="2271" spans="1:3" x14ac:dyDescent="0.25">
      <c r="A2271" s="36">
        <v>20410096103</v>
      </c>
      <c r="B2271" t="s">
        <v>2311</v>
      </c>
      <c r="C2271" s="35" t="s">
        <v>79</v>
      </c>
    </row>
    <row r="2272" spans="1:3" x14ac:dyDescent="0.25">
      <c r="A2272" s="36">
        <v>27443612705</v>
      </c>
      <c r="B2272" t="s">
        <v>2312</v>
      </c>
      <c r="C2272" s="35" t="s">
        <v>2342</v>
      </c>
    </row>
    <row r="2273" spans="1:3" x14ac:dyDescent="0.25">
      <c r="A2273" s="36">
        <v>23278122999</v>
      </c>
      <c r="B2273" t="s">
        <v>2313</v>
      </c>
      <c r="C2273" s="35" t="s">
        <v>2352</v>
      </c>
    </row>
    <row r="2274" spans="1:3" x14ac:dyDescent="0.25">
      <c r="A2274" s="36">
        <v>20262810470</v>
      </c>
      <c r="B2274" t="s">
        <v>2314</v>
      </c>
      <c r="C2274" s="35" t="s">
        <v>79</v>
      </c>
    </row>
    <row r="2275" spans="1:3" x14ac:dyDescent="0.25">
      <c r="A2275" s="36">
        <v>27294612845</v>
      </c>
      <c r="B2275" t="s">
        <v>2317</v>
      </c>
      <c r="C2275" s="35" t="s">
        <v>2353</v>
      </c>
    </row>
    <row r="2276" spans="1:3" x14ac:dyDescent="0.25">
      <c r="A2276" s="36">
        <v>30711129010</v>
      </c>
      <c r="B2276" t="s">
        <v>2318</v>
      </c>
      <c r="C2276" s="35" t="s">
        <v>847</v>
      </c>
    </row>
    <row r="2277" spans="1:3" x14ac:dyDescent="0.25">
      <c r="A2277" s="36">
        <v>30620098058</v>
      </c>
      <c r="B2277" t="s">
        <v>2319</v>
      </c>
      <c r="C2277" s="35" t="s">
        <v>44</v>
      </c>
    </row>
    <row r="2278" spans="1:3" x14ac:dyDescent="0.25">
      <c r="A2278" s="36">
        <v>20238470502</v>
      </c>
      <c r="B2278" t="s">
        <v>2320</v>
      </c>
      <c r="C2278" s="35" t="s">
        <v>2344</v>
      </c>
    </row>
    <row r="2279" spans="1:3" x14ac:dyDescent="0.25">
      <c r="A2279" s="36">
        <v>30715004492</v>
      </c>
      <c r="B2279" t="s">
        <v>2321</v>
      </c>
      <c r="C2279" s="35" t="s">
        <v>847</v>
      </c>
    </row>
    <row r="2280" spans="1:3" x14ac:dyDescent="0.25">
      <c r="A2280" s="36">
        <v>23293850739</v>
      </c>
      <c r="B2280" t="s">
        <v>2325</v>
      </c>
      <c r="C2280" s="35" t="s">
        <v>79</v>
      </c>
    </row>
    <row r="2281" spans="1:3" x14ac:dyDescent="0.25">
      <c r="A2281" s="36">
        <v>30715492543</v>
      </c>
      <c r="B2281" t="s">
        <v>2326</v>
      </c>
      <c r="C2281" s="35" t="s">
        <v>847</v>
      </c>
    </row>
    <row r="2282" spans="1:3" x14ac:dyDescent="0.25">
      <c r="A2282" s="36">
        <v>30716977958</v>
      </c>
      <c r="B2282" t="s">
        <v>2327</v>
      </c>
      <c r="C2282" s="35" t="s">
        <v>79</v>
      </c>
    </row>
    <row r="2283" spans="1:3" x14ac:dyDescent="0.25">
      <c r="A2283" s="36">
        <v>30526492281</v>
      </c>
      <c r="B2283" t="s">
        <v>2328</v>
      </c>
      <c r="C2283" s="35" t="s">
        <v>2353</v>
      </c>
    </row>
    <row r="2284" spans="1:3" x14ac:dyDescent="0.25">
      <c r="A2284" s="36">
        <v>20131202114</v>
      </c>
      <c r="B2284" t="s">
        <v>2329</v>
      </c>
      <c r="C2284" s="35" t="s">
        <v>79</v>
      </c>
    </row>
    <row r="2285" spans="1:3" x14ac:dyDescent="0.25">
      <c r="A2285" s="36">
        <v>30712529721</v>
      </c>
      <c r="B2285" t="s">
        <v>2330</v>
      </c>
    </row>
    <row r="2286" spans="1:3" x14ac:dyDescent="0.25">
      <c r="A2286" s="36">
        <v>30606274161</v>
      </c>
      <c r="B2286" t="s">
        <v>2331</v>
      </c>
    </row>
    <row r="2287" spans="1:3" x14ac:dyDescent="0.25">
      <c r="A2287" s="36">
        <v>30711416656</v>
      </c>
      <c r="B2287" t="s">
        <v>2332</v>
      </c>
    </row>
    <row r="2288" spans="1:3" x14ac:dyDescent="0.25">
      <c r="A2288" s="36">
        <v>30711583765</v>
      </c>
      <c r="B2288" t="s">
        <v>2334</v>
      </c>
      <c r="C2288" s="35" t="s">
        <v>792</v>
      </c>
    </row>
    <row r="2289" spans="1:3" x14ac:dyDescent="0.25">
      <c r="A2289" s="36">
        <v>30708865377</v>
      </c>
      <c r="B2289" t="s">
        <v>2335</v>
      </c>
      <c r="C2289" s="35" t="s">
        <v>79</v>
      </c>
    </row>
    <row r="2290" spans="1:3" x14ac:dyDescent="0.25">
      <c r="A2290" s="36">
        <v>30693293754</v>
      </c>
      <c r="B2290" t="s">
        <v>2336</v>
      </c>
      <c r="C2290" s="35" t="s">
        <v>2350</v>
      </c>
    </row>
    <row r="2291" spans="1:3" x14ac:dyDescent="0.25">
      <c r="A2291" s="36">
        <v>30714228060</v>
      </c>
      <c r="B2291" t="s">
        <v>2337</v>
      </c>
      <c r="C2291" s="35" t="s">
        <v>79</v>
      </c>
    </row>
    <row r="2292" spans="1:3" x14ac:dyDescent="0.25">
      <c r="A2292" s="36">
        <v>20348485580</v>
      </c>
      <c r="B2292" t="s">
        <v>2338</v>
      </c>
      <c r="C2292" s="35" t="s">
        <v>79</v>
      </c>
    </row>
    <row r="2293" spans="1:3" x14ac:dyDescent="0.25">
      <c r="A2293" s="36">
        <v>33516994849</v>
      </c>
      <c r="B2293" t="s">
        <v>2339</v>
      </c>
      <c r="C2293" s="35" t="s">
        <v>2344</v>
      </c>
    </row>
    <row r="2294" spans="1:3" x14ac:dyDescent="0.25">
      <c r="A2294" s="36">
        <v>30717371298</v>
      </c>
      <c r="B2294" t="s">
        <v>2340</v>
      </c>
      <c r="C2294" s="35" t="s">
        <v>79</v>
      </c>
    </row>
    <row r="2295" spans="1:3" x14ac:dyDescent="0.25">
      <c r="A2295" s="36"/>
    </row>
    <row r="2296" spans="1:3" x14ac:dyDescent="0.25">
      <c r="A2296" s="36"/>
    </row>
    <row r="2297" spans="1:3" x14ac:dyDescent="0.25">
      <c r="A2297" s="36"/>
    </row>
  </sheetData>
  <dataValidations count="1">
    <dataValidation type="whole" allowBlank="1" showInputMessage="1" showErrorMessage="1" sqref="A2235 A2254" xr:uid="{00000000-0002-0000-0000-000000000000}">
      <formula1>20000000000</formula1>
      <formula2>33999999999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</sheetPr>
  <dimension ref="A1:Z213"/>
  <sheetViews>
    <sheetView showGridLines="0" topLeftCell="C91" zoomScale="80" zoomScaleNormal="80" workbookViewId="0">
      <selection activeCell="H117" activeCellId="1" sqref="I107 H117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5.7109375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27" t="s">
        <v>790</v>
      </c>
      <c r="H1" s="527"/>
      <c r="I1" s="527"/>
      <c r="J1" s="527"/>
      <c r="K1" s="527"/>
      <c r="L1" s="527"/>
      <c r="M1" s="527"/>
      <c r="N1" s="523">
        <v>44927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2226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SUM(compras_mes1[[#Totals],[NETO GRAVADO]])+extracto_banco_mes1[[#Totals],[NETO]]</f>
        <v>9435046.2299999967</v>
      </c>
      <c r="C4" s="530"/>
      <c r="D4" s="530"/>
      <c r="E4" s="530"/>
      <c r="F4" s="39"/>
      <c r="G4" s="531">
        <f>compras_mes1[[#Totals],[IVA 21 %]]+compras_mes1[[#Totals],[IVA 27%]]+compras_mes1[[#Totals],[IVA 10,5%]]+I118</f>
        <v>1921402.5059</v>
      </c>
      <c r="H4" s="531"/>
      <c r="I4" s="39"/>
      <c r="J4" s="537">
        <f>venta_a_mes1[[#Totals],[IMPORTE NETO]]+ventas_b_mes1[[#Totals],[IMPORTE NETO]]</f>
        <v>0</v>
      </c>
      <c r="K4" s="537"/>
      <c r="L4" s="39"/>
      <c r="M4" s="537">
        <f>venta_a_mes1[[#Totals],[IVA 21%]]+venta_a_mes1[[#Totals],[IVA 10,5%]]+ventas_b_mes1[[#Totals],[IVA 21%]]+ventas_b_mes1[[#Totals],[IVA 10,5%]]</f>
        <v>0</v>
      </c>
      <c r="N4" s="537"/>
      <c r="O4" s="39"/>
      <c r="P4" s="533">
        <f>G4-M4</f>
        <v>1921402.5059</v>
      </c>
      <c r="Q4" s="534"/>
      <c r="R4" s="534"/>
    </row>
    <row r="5" spans="1:26" ht="13.15" customHeight="1" x14ac:dyDescent="0.25"/>
    <row r="6" spans="1:26" ht="10.9" customHeight="1" x14ac:dyDescent="0.25">
      <c r="H6" s="155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124">
        <v>44948</v>
      </c>
      <c r="C9" s="41">
        <v>1</v>
      </c>
      <c r="D9" s="125">
        <v>5</v>
      </c>
      <c r="E9" s="138">
        <v>12</v>
      </c>
      <c r="F9" s="126">
        <v>20929183143</v>
      </c>
      <c r="G9" s="127" t="str">
        <f>IFERROR(IF(compras_mes1[[#This Row],[CUIT]]="","-",VLOOKUP(compras_mes1[[#This Row],[CUIT]],Lista_CUIT[#All],2,0)),"CUIT NO CARGADO")</f>
        <v>MA JUN</v>
      </c>
      <c r="H9" s="128">
        <v>10500</v>
      </c>
      <c r="I9" s="129">
        <f>IF(compras_mes1[[#This Row],[NETO GRAVADO]]="","",compras_mes1[[#This Row],[NETO GRAVADO]]*0.21)</f>
        <v>2205</v>
      </c>
      <c r="J9" s="129"/>
      <c r="K9" s="129"/>
      <c r="L9" s="129"/>
      <c r="M9" s="129"/>
      <c r="N9" s="129"/>
      <c r="O9" s="129"/>
      <c r="P9" s="130">
        <f>SUM(compras_mes1[[#This Row],[NETO GRAVADO]:[Otros / No Grav.]])</f>
        <v>12705</v>
      </c>
      <c r="Q9" s="131" t="str">
        <f>IFERROR(IF(compras_mes1[[#This Row],[CUIT]]="","-",VLOOKUP(compras_mes1[[#This Row],[CUIT]],Lista_CUIT[#All],3,0)),"CUIT NO CARGADO")</f>
        <v>Gastos Varios</v>
      </c>
      <c r="R9" s="131">
        <f>IFERROR(IF(compras_mes1[[#This Row],[CUIT]]="","-",VLOOKUP(compras_mes1[[#This Row],[CUIT]],Lista_CUIT[#All],4,0)),"CUIT NO CARGADO")</f>
        <v>0</v>
      </c>
    </row>
    <row r="10" spans="1:26" x14ac:dyDescent="0.25">
      <c r="B10" s="89" t="s">
        <v>2202</v>
      </c>
      <c r="C10" s="41">
        <v>1</v>
      </c>
      <c r="D10" s="91">
        <v>3</v>
      </c>
      <c r="E10" s="92">
        <v>31</v>
      </c>
      <c r="F10" s="93">
        <v>20334976433</v>
      </c>
      <c r="G10" s="94" t="str">
        <f>IFERROR(IF(compras_mes1[[#This Row],[CUIT]]="","-",VLOOKUP(compras_mes1[[#This Row],[CUIT]],Lista_CUIT[#All],2,0)),"CUIT NO CARGADO")</f>
        <v>NARDOMARINO EZEQUIEL EDUARDO</v>
      </c>
      <c r="H10" s="95">
        <v>54793.39</v>
      </c>
      <c r="I10" s="86">
        <f>IF(compras_mes1[[#This Row],[NETO GRAVADO]]="","",compras_mes1[[#This Row],[NETO GRAVADO]]*0.21)</f>
        <v>11506.6119</v>
      </c>
      <c r="J10" s="86"/>
      <c r="K10" s="86"/>
      <c r="L10" s="86"/>
      <c r="M10" s="86"/>
      <c r="N10" s="86"/>
      <c r="O10" s="86"/>
      <c r="P10" s="87">
        <f>SUM(compras_mes1[[#This Row],[NETO GRAVADO]:[Otros / No Grav.]])</f>
        <v>66300.001900000003</v>
      </c>
      <c r="Q10" s="88" t="str">
        <f>IFERROR(IF(compras_mes1[[#This Row],[CUIT]]="","-",VLOOKUP(compras_mes1[[#This Row],[CUIT]],Lista_CUIT[#All],3,0)),"CUIT NO CARGADO")</f>
        <v>FLETE</v>
      </c>
      <c r="R10" s="88">
        <f>IFERROR(IF(compras_mes1[[#This Row],[CUIT]]="","-",VLOOKUP(compras_mes1[[#This Row],[CUIT]],Lista_CUIT[#All],4,0)),"CUIT NO CARGADO")</f>
        <v>0</v>
      </c>
    </row>
    <row r="11" spans="1:26" x14ac:dyDescent="0.25">
      <c r="B11" s="124" t="s">
        <v>2208</v>
      </c>
      <c r="C11" s="41">
        <v>1</v>
      </c>
      <c r="D11" s="125">
        <v>3</v>
      </c>
      <c r="E11" s="138">
        <v>33</v>
      </c>
      <c r="F11" s="126">
        <v>20334976433</v>
      </c>
      <c r="G11" s="127" t="str">
        <f>IFERROR(IF(compras_mes1[[#This Row],[CUIT]]="","-",VLOOKUP(compras_mes1[[#This Row],[CUIT]],Lista_CUIT[#All],2,0)),"CUIT NO CARGADO")</f>
        <v>NARDOMARINO EZEQUIEL EDUARDO</v>
      </c>
      <c r="H11" s="128">
        <v>33636.36</v>
      </c>
      <c r="I11" s="129">
        <f>IF(compras_mes1[[#This Row],[NETO GRAVADO]]="","",compras_mes1[[#This Row],[NETO GRAVADO]]*0.21)</f>
        <v>7063.6355999999996</v>
      </c>
      <c r="J11" s="129"/>
      <c r="K11" s="129"/>
      <c r="L11" s="129"/>
      <c r="M11" s="129"/>
      <c r="N11" s="129"/>
      <c r="O11" s="129"/>
      <c r="P11" s="130">
        <f>SUM(compras_mes1[[#This Row],[NETO GRAVADO]:[Otros / No Grav.]])</f>
        <v>40699.995600000002</v>
      </c>
      <c r="Q11" s="131" t="str">
        <f>IFERROR(IF(compras_mes1[[#This Row],[CUIT]]="","-",VLOOKUP(compras_mes1[[#This Row],[CUIT]],Lista_CUIT[#All],3,0)),"CUIT NO CARGADO")</f>
        <v>FLETE</v>
      </c>
      <c r="R11" s="131">
        <f>IFERROR(IF(compras_mes1[[#This Row],[CUIT]]="","-",VLOOKUP(compras_mes1[[#This Row],[CUIT]],Lista_CUIT[#All],4,0)),"CUIT NO CARGADO")</f>
        <v>0</v>
      </c>
    </row>
    <row r="12" spans="1:26" x14ac:dyDescent="0.25">
      <c r="B12" s="124">
        <v>44942</v>
      </c>
      <c r="C12" s="41">
        <v>1</v>
      </c>
      <c r="D12" s="125">
        <v>3</v>
      </c>
      <c r="E12" s="138">
        <v>35</v>
      </c>
      <c r="F12" s="126">
        <v>20334976433</v>
      </c>
      <c r="G12" s="127" t="str">
        <f>IFERROR(IF(compras_mes1[[#This Row],[CUIT]]="","-",VLOOKUP(compras_mes1[[#This Row],[CUIT]],Lista_CUIT[#All],2,0)),"CUIT NO CARGADO")</f>
        <v>NARDOMARINO EZEQUIEL EDUARDO</v>
      </c>
      <c r="H12" s="128">
        <v>98842.98</v>
      </c>
      <c r="I12" s="129">
        <f>IF(compras_mes1[[#This Row],[NETO GRAVADO]]="","",compras_mes1[[#This Row],[NETO GRAVADO]]*0.21)</f>
        <v>20757.025799999999</v>
      </c>
      <c r="J12" s="129"/>
      <c r="K12" s="129"/>
      <c r="L12" s="129"/>
      <c r="M12" s="129"/>
      <c r="N12" s="129"/>
      <c r="O12" s="129"/>
      <c r="P12" s="130">
        <f>SUM(compras_mes1[[#This Row],[NETO GRAVADO]:[Otros / No Grav.]])</f>
        <v>119600.0058</v>
      </c>
      <c r="Q12" s="131" t="str">
        <f>IFERROR(IF(compras_mes1[[#This Row],[CUIT]]="","-",VLOOKUP(compras_mes1[[#This Row],[CUIT]],Lista_CUIT[#All],3,0)),"CUIT NO CARGADO")</f>
        <v>FLETE</v>
      </c>
      <c r="R12" s="131">
        <f>IFERROR(IF(compras_mes1[[#This Row],[CUIT]]="","-",VLOOKUP(compras_mes1[[#This Row],[CUIT]],Lista_CUIT[#All],4,0)),"CUIT NO CARGADO")</f>
        <v>0</v>
      </c>
    </row>
    <row r="13" spans="1:26" x14ac:dyDescent="0.25">
      <c r="B13" s="139" t="s">
        <v>2208</v>
      </c>
      <c r="C13" s="140">
        <v>1</v>
      </c>
      <c r="D13" s="141">
        <v>10</v>
      </c>
      <c r="E13" s="142">
        <v>36</v>
      </c>
      <c r="F13" s="143">
        <v>30716229552</v>
      </c>
      <c r="G13" s="144" t="str">
        <f>IFERROR(IF(compras_mes1[[#This Row],[CUIT]]="","-",VLOOKUP(compras_mes1[[#This Row],[CUIT]],Lista_CUIT[#All],2,0)),"CUIT NO CARGADO")</f>
        <v>LUBRICANTES RUTA DE P e H SRL</v>
      </c>
      <c r="H13" s="145">
        <v>1652.89</v>
      </c>
      <c r="I13" s="146">
        <f>IF(compras_mes1[[#This Row],[NETO GRAVADO]]="","",compras_mes1[[#This Row],[NETO GRAVADO]]*0.21)</f>
        <v>347.1069</v>
      </c>
      <c r="J13" s="146"/>
      <c r="K13" s="146"/>
      <c r="L13" s="146"/>
      <c r="M13" s="146"/>
      <c r="N13" s="146"/>
      <c r="O13" s="146"/>
      <c r="P13" s="147">
        <f>SUM(compras_mes1[[#This Row],[NETO GRAVADO]:[Otros / No Grav.]])</f>
        <v>1999.9969000000001</v>
      </c>
      <c r="Q13" s="148" t="str">
        <f>IFERROR(IF(compras_mes1[[#This Row],[CUIT]]="","-",VLOOKUP(compras_mes1[[#This Row],[CUIT]],Lista_CUIT[#All],3,0)),"CUIT NO CARGADO")</f>
        <v>COMBUSTIBLE</v>
      </c>
      <c r="R13" s="148">
        <f>IFERROR(IF(compras_mes1[[#This Row],[CUIT]]="","-",VLOOKUP(compras_mes1[[#This Row],[CUIT]],Lista_CUIT[#All],4,0)),"CUIT NO CARGADO")</f>
        <v>0</v>
      </c>
    </row>
    <row r="14" spans="1:26" x14ac:dyDescent="0.25">
      <c r="B14" s="124">
        <v>44949</v>
      </c>
      <c r="C14" s="41">
        <v>1</v>
      </c>
      <c r="D14" s="125">
        <v>3</v>
      </c>
      <c r="E14" s="138">
        <v>37</v>
      </c>
      <c r="F14" s="126">
        <v>20334976433</v>
      </c>
      <c r="G14" s="127" t="str">
        <f>IFERROR(IF(compras_mes1[[#This Row],[CUIT]]="","-",VLOOKUP(compras_mes1[[#This Row],[CUIT]],Lista_CUIT[#All],2,0)),"CUIT NO CARGADO")</f>
        <v>NARDOMARINO EZEQUIEL EDUARDO</v>
      </c>
      <c r="H14" s="128">
        <v>118148.76</v>
      </c>
      <c r="I14" s="129">
        <f>IF(compras_mes1[[#This Row],[NETO GRAVADO]]="","",compras_mes1[[#This Row],[NETO GRAVADO]]*0.21)</f>
        <v>24811.239599999997</v>
      </c>
      <c r="J14" s="129"/>
      <c r="K14" s="129"/>
      <c r="L14" s="129"/>
      <c r="M14" s="129"/>
      <c r="N14" s="129"/>
      <c r="O14" s="129"/>
      <c r="P14" s="130">
        <f>SUM(compras_mes1[[#This Row],[NETO GRAVADO]:[Otros / No Grav.]])</f>
        <v>142959.99959999998</v>
      </c>
      <c r="Q14" s="131" t="str">
        <f>IFERROR(IF(compras_mes1[[#This Row],[CUIT]]="","-",VLOOKUP(compras_mes1[[#This Row],[CUIT]],Lista_CUIT[#All],3,0)),"CUIT NO CARGADO")</f>
        <v>FLETE</v>
      </c>
      <c r="R14" s="131">
        <f>IFERROR(IF(compras_mes1[[#This Row],[CUIT]]="","-",VLOOKUP(compras_mes1[[#This Row],[CUIT]],Lista_CUIT[#All],4,0)),"CUIT NO CARGADO")</f>
        <v>0</v>
      </c>
    </row>
    <row r="15" spans="1:26" x14ac:dyDescent="0.25">
      <c r="B15" s="139" t="s">
        <v>2223</v>
      </c>
      <c r="C15" s="140">
        <v>1</v>
      </c>
      <c r="D15" s="141">
        <v>3</v>
      </c>
      <c r="E15" s="142">
        <v>39</v>
      </c>
      <c r="F15" s="143">
        <v>20334976433</v>
      </c>
      <c r="G15" s="144" t="str">
        <f>IFERROR(IF(compras_mes1[[#This Row],[CUIT]]="","-",VLOOKUP(compras_mes1[[#This Row],[CUIT]],Lista_CUIT[#All],2,0)),"CUIT NO CARGADO")</f>
        <v>NARDOMARINO EZEQUIEL EDUARDO</v>
      </c>
      <c r="H15" s="145">
        <v>119797.52</v>
      </c>
      <c r="I15" s="146">
        <f>IF(compras_mes1[[#This Row],[NETO GRAVADO]]="","",compras_mes1[[#This Row],[NETO GRAVADO]]*0.21)</f>
        <v>25157.479200000002</v>
      </c>
      <c r="J15" s="146"/>
      <c r="K15" s="146"/>
      <c r="L15" s="146"/>
      <c r="M15" s="146"/>
      <c r="N15" s="146"/>
      <c r="O15" s="146"/>
      <c r="P15" s="147">
        <f>SUM(compras_mes1[[#This Row],[NETO GRAVADO]:[Otros / No Grav.]])</f>
        <v>144954.99920000002</v>
      </c>
      <c r="Q15" s="148" t="str">
        <f>IFERROR(IF(compras_mes1[[#This Row],[CUIT]]="","-",VLOOKUP(compras_mes1[[#This Row],[CUIT]],Lista_CUIT[#All],3,0)),"CUIT NO CARGADO")</f>
        <v>FLETE</v>
      </c>
      <c r="R15" s="148">
        <f>IFERROR(IF(compras_mes1[[#This Row],[CUIT]]="","-",VLOOKUP(compras_mes1[[#This Row],[CUIT]],Lista_CUIT[#All],4,0)),"CUIT NO CARGADO")</f>
        <v>0</v>
      </c>
    </row>
    <row r="16" spans="1:26" s="56" customFormat="1" x14ac:dyDescent="0.25">
      <c r="B16" s="124" t="s">
        <v>2210</v>
      </c>
      <c r="C16" s="41">
        <v>1</v>
      </c>
      <c r="D16" s="125">
        <v>10</v>
      </c>
      <c r="E16" s="138">
        <v>47</v>
      </c>
      <c r="F16" s="126">
        <v>30716229552</v>
      </c>
      <c r="G16" s="127" t="str">
        <f>IFERROR(IF(compras_mes1[[#This Row],[CUIT]]="","-",VLOOKUP(compras_mes1[[#This Row],[CUIT]],Lista_CUIT[#All],2,0)),"CUIT NO CARGADO")</f>
        <v>LUBRICANTES RUTA DE P e H SRL</v>
      </c>
      <c r="H16" s="128">
        <v>1983.47</v>
      </c>
      <c r="I16" s="129">
        <f>IF(compras_mes1[[#This Row],[NETO GRAVADO]]="","",compras_mes1[[#This Row],[NETO GRAVADO]]*0.21)</f>
        <v>416.52870000000001</v>
      </c>
      <c r="J16" s="129"/>
      <c r="K16" s="129"/>
      <c r="L16" s="129"/>
      <c r="M16" s="129"/>
      <c r="N16" s="129"/>
      <c r="O16" s="129"/>
      <c r="P16" s="130">
        <f>SUM(compras_mes1[[#This Row],[NETO GRAVADO]:[Otros / No Grav.]])</f>
        <v>2399.9987000000001</v>
      </c>
      <c r="Q16" s="131" t="str">
        <f>IFERROR(IF(compras_mes1[[#This Row],[CUIT]]="","-",VLOOKUP(compras_mes1[[#This Row],[CUIT]],Lista_CUIT[#All],3,0)),"CUIT NO CARGADO")</f>
        <v>COMBUSTIBLE</v>
      </c>
      <c r="R16" s="131">
        <f>IFERROR(IF(compras_mes1[[#This Row],[CUIT]]="","-",VLOOKUP(compras_mes1[[#This Row],[CUIT]],Lista_CUIT[#All],4,0)),"CUIT NO CARGADO")</f>
        <v>0</v>
      </c>
    </row>
    <row r="17" spans="2:18" x14ac:dyDescent="0.25">
      <c r="B17" s="40" t="s">
        <v>2203</v>
      </c>
      <c r="C17" s="41">
        <v>1</v>
      </c>
      <c r="D17" s="42">
        <v>2</v>
      </c>
      <c r="E17" s="43">
        <v>56</v>
      </c>
      <c r="F17" s="44">
        <v>27165813893</v>
      </c>
      <c r="G17" s="45" t="str">
        <f>IFERROR(IF(compras_mes1[[#This Row],[CUIT]]="","-",VLOOKUP(compras_mes1[[#This Row],[CUIT]],Lista_CUIT[#All],2,0)),"CUIT NO CARGADO")</f>
        <v>HERMIDA ADRIANA MARCELA</v>
      </c>
      <c r="H17" s="46">
        <v>458677.7</v>
      </c>
      <c r="I17" s="85">
        <f>IF(compras_mes1[[#This Row],[NETO GRAVADO]]="","",compras_mes1[[#This Row],[NETO GRAVADO]]*0.21)</f>
        <v>96322.316999999995</v>
      </c>
      <c r="J17" s="85"/>
      <c r="K17" s="85"/>
      <c r="L17" s="85"/>
      <c r="M17" s="85"/>
      <c r="N17" s="85"/>
      <c r="O17" s="85"/>
      <c r="P17" s="48">
        <f>SUM(compras_mes1[[#This Row],[NETO GRAVADO]:[Otros / No Grav.]])</f>
        <v>555000.01699999999</v>
      </c>
      <c r="Q17" s="49" t="str">
        <f>IFERROR(IF(compras_mes1[[#This Row],[CUIT]]="","-",VLOOKUP(compras_mes1[[#This Row],[CUIT]],Lista_CUIT[#All],3,0)),"CUIT NO CARGADO")</f>
        <v>Productos Ortopedicos</v>
      </c>
      <c r="R17" s="49">
        <f>IFERROR(IF(compras_mes1[[#This Row],[CUIT]]="","-",VLOOKUP(compras_mes1[[#This Row],[CUIT]],Lista_CUIT[#All],4,0)),"CUIT NO CARGADO")</f>
        <v>0</v>
      </c>
    </row>
    <row r="18" spans="2:18" x14ac:dyDescent="0.25">
      <c r="B18" s="139" t="s">
        <v>2212</v>
      </c>
      <c r="C18" s="140">
        <v>1</v>
      </c>
      <c r="D18" s="141">
        <v>10845</v>
      </c>
      <c r="E18" s="142">
        <v>63</v>
      </c>
      <c r="F18" s="143">
        <v>30685849751</v>
      </c>
      <c r="G18" s="144" t="str">
        <f>IFERROR(IF(compras_mes1[[#This Row],[CUIT]]="","-",VLOOKUP(compras_mes1[[#This Row],[CUIT]],Lista_CUIT[#All],2,0)),"CUIT NO CARGADO")</f>
        <v>DIA ARGENTINA S.A.</v>
      </c>
      <c r="H18" s="145">
        <v>1023.6</v>
      </c>
      <c r="I18" s="146">
        <f>IF(compras_mes1[[#This Row],[NETO GRAVADO]]="","",compras_mes1[[#This Row],[NETO GRAVADO]]*0.21)</f>
        <v>214.95599999999999</v>
      </c>
      <c r="J18" s="146"/>
      <c r="K18" s="146"/>
      <c r="L18" s="146"/>
      <c r="M18" s="146"/>
      <c r="N18" s="146"/>
      <c r="O18" s="146"/>
      <c r="P18" s="147">
        <f>SUM(compras_mes1[[#This Row],[NETO GRAVADO]:[Otros / No Grav.]])</f>
        <v>1238.556</v>
      </c>
      <c r="Q18" s="148" t="str">
        <f>IFERROR(IF(compras_mes1[[#This Row],[CUIT]]="","-",VLOOKUP(compras_mes1[[#This Row],[CUIT]],Lista_CUIT[#All],3,0)),"CUIT NO CARGADO")</f>
        <v>Gastos Varios</v>
      </c>
      <c r="R18" s="148">
        <f>IFERROR(IF(compras_mes1[[#This Row],[CUIT]]="","-",VLOOKUP(compras_mes1[[#This Row],[CUIT]],Lista_CUIT[#All],4,0)),"CUIT NO CARGADO")</f>
        <v>0</v>
      </c>
    </row>
    <row r="19" spans="2:18" x14ac:dyDescent="0.25">
      <c r="B19" s="124" t="s">
        <v>2209</v>
      </c>
      <c r="C19" s="41">
        <v>1</v>
      </c>
      <c r="D19" s="125">
        <v>4</v>
      </c>
      <c r="E19" s="138">
        <v>111</v>
      </c>
      <c r="F19" s="126">
        <v>20393873583</v>
      </c>
      <c r="G19" s="127" t="str">
        <f>IFERROR(IF(compras_mes1[[#This Row],[CUIT]]="","-",VLOOKUP(compras_mes1[[#This Row],[CUIT]],Lista_CUIT[#All],2,0)),"CUIT NO CARGADO")</f>
        <v>LATI NISIM URIEL</v>
      </c>
      <c r="H19" s="128">
        <v>1487.6</v>
      </c>
      <c r="I19" s="129">
        <f>IF(compras_mes1[[#This Row],[NETO GRAVADO]]="","",compras_mes1[[#This Row],[NETO GRAVADO]]*0.21)</f>
        <v>312.39599999999996</v>
      </c>
      <c r="J19" s="129"/>
      <c r="K19" s="129"/>
      <c r="L19" s="129"/>
      <c r="M19" s="129"/>
      <c r="N19" s="129"/>
      <c r="O19" s="129"/>
      <c r="P19" s="130">
        <f>SUM(compras_mes1[[#This Row],[NETO GRAVADO]:[Otros / No Grav.]])</f>
        <v>1799.9959999999999</v>
      </c>
      <c r="Q19" s="131" t="str">
        <f>IFERROR(IF(compras_mes1[[#This Row],[CUIT]]="","-",VLOOKUP(compras_mes1[[#This Row],[CUIT]],Lista_CUIT[#All],3,0)),"CUIT NO CARGADO")</f>
        <v>Gastos Varios</v>
      </c>
      <c r="R19" s="131">
        <f>IFERROR(IF(compras_mes1[[#This Row],[CUIT]]="","-",VLOOKUP(compras_mes1[[#This Row],[CUIT]],Lista_CUIT[#All],4,0)),"CUIT NO CARGADO")</f>
        <v>0</v>
      </c>
    </row>
    <row r="20" spans="2:18" ht="14.45" customHeight="1" x14ac:dyDescent="0.25">
      <c r="B20" s="139" t="s">
        <v>2203</v>
      </c>
      <c r="C20" s="140">
        <v>3</v>
      </c>
      <c r="D20" s="141">
        <v>5</v>
      </c>
      <c r="E20" s="142">
        <v>132</v>
      </c>
      <c r="F20" s="143">
        <v>30712187316</v>
      </c>
      <c r="G20" s="144" t="str">
        <f>IFERROR(IF(compras_mes1[[#This Row],[CUIT]]="","-",VLOOKUP(compras_mes1[[#This Row],[CUIT]],Lista_CUIT[#All],2,0)),"CUIT NO CARGADO")</f>
        <v>ITALOMED PRODUCTOS SRL</v>
      </c>
      <c r="H20" s="145">
        <v>-536197.93999999994</v>
      </c>
      <c r="I20" s="146">
        <f>IF(compras_mes1[[#This Row],[NETO GRAVADO]]="","",compras_mes1[[#This Row],[NETO GRAVADO]]*0.21)</f>
        <v>-112601.56739999999</v>
      </c>
      <c r="J20" s="146"/>
      <c r="K20" s="146"/>
      <c r="L20" s="146"/>
      <c r="M20" s="146"/>
      <c r="N20" s="146"/>
      <c r="O20" s="146"/>
      <c r="P20" s="147">
        <f>SUM(compras_mes1[[#This Row],[NETO GRAVADO]:[Otros / No Grav.]])</f>
        <v>-648799.50739999989</v>
      </c>
      <c r="Q20" s="148" t="str">
        <f>IFERROR(IF(compras_mes1[[#This Row],[CUIT]]="","-",VLOOKUP(compras_mes1[[#This Row],[CUIT]],Lista_CUIT[#All],3,0)),"CUIT NO CARGADO")</f>
        <v>Productos Ortopedicos</v>
      </c>
      <c r="R20" s="148">
        <f>IFERROR(IF(compras_mes1[[#This Row],[CUIT]]="","-",VLOOKUP(compras_mes1[[#This Row],[CUIT]],Lista_CUIT[#All],4,0)),"CUIT NO CARGADO")</f>
        <v>0</v>
      </c>
    </row>
    <row r="21" spans="2:18" x14ac:dyDescent="0.25">
      <c r="B21" s="89" t="s">
        <v>2202</v>
      </c>
      <c r="C21" s="41">
        <v>1</v>
      </c>
      <c r="D21" s="91">
        <v>2</v>
      </c>
      <c r="E21" s="92">
        <v>176</v>
      </c>
      <c r="F21" s="93">
        <v>30605344352</v>
      </c>
      <c r="G21" s="94" t="str">
        <f>IFERROR(IF(compras_mes1[[#This Row],[CUIT]]="","-",VLOOKUP(compras_mes1[[#This Row],[CUIT]],Lista_CUIT[#All],2,0)),"CUIT NO CARGADO")</f>
        <v>CONSORCIO BARTOLME MITRE 2466</v>
      </c>
      <c r="H21" s="95">
        <v>187880</v>
      </c>
      <c r="I21" s="86">
        <f>IF(compras_mes1[[#This Row],[NETO GRAVADO]]="","",compras_mes1[[#This Row],[NETO GRAVADO]]*0.21)</f>
        <v>39454.799999999996</v>
      </c>
      <c r="J21" s="86"/>
      <c r="K21" s="86"/>
      <c r="L21" s="86"/>
      <c r="M21" s="86"/>
      <c r="N21" s="86"/>
      <c r="O21" s="86"/>
      <c r="P21" s="87">
        <f>SUM(compras_mes1[[#This Row],[NETO GRAVADO]:[Otros / No Grav.]])</f>
        <v>227334.8</v>
      </c>
      <c r="Q21" s="88" t="str">
        <f>IFERROR(IF(compras_mes1[[#This Row],[CUIT]]="","-",VLOOKUP(compras_mes1[[#This Row],[CUIT]],Lista_CUIT[#All],3,0)),"CUIT NO CARGADO")</f>
        <v>Gastos Varios</v>
      </c>
      <c r="R21" s="88">
        <f>IFERROR(IF(compras_mes1[[#This Row],[CUIT]]="","-",VLOOKUP(compras_mes1[[#This Row],[CUIT]],Lista_CUIT[#All],4,0)),"CUIT NO CARGADO")</f>
        <v>0</v>
      </c>
    </row>
    <row r="22" spans="2:18" x14ac:dyDescent="0.25">
      <c r="B22" s="124">
        <v>44939</v>
      </c>
      <c r="C22" s="41">
        <v>1</v>
      </c>
      <c r="D22" s="125">
        <v>10</v>
      </c>
      <c r="E22" s="138">
        <v>241</v>
      </c>
      <c r="F22" s="126">
        <v>30710406037</v>
      </c>
      <c r="G22" s="127" t="str">
        <f>IFERROR(IF(compras_mes1[[#This Row],[CUIT]]="","-",VLOOKUP(compras_mes1[[#This Row],[CUIT]],Lista_CUIT[#All],2,0)),"CUIT NO CARGADO")</f>
        <v>ALSINA MARCELO DANIEL SH</v>
      </c>
      <c r="H22" s="128">
        <v>170000</v>
      </c>
      <c r="I22" s="129">
        <f>IF(compras_mes1[[#This Row],[NETO GRAVADO]]="","",compras_mes1[[#This Row],[NETO GRAVADO]]*0.21)</f>
        <v>35700</v>
      </c>
      <c r="J22" s="129"/>
      <c r="K22" s="129"/>
      <c r="L22" s="129"/>
      <c r="M22" s="129"/>
      <c r="N22" s="129"/>
      <c r="O22" s="129"/>
      <c r="P22" s="130">
        <f>SUM(compras_mes1[[#This Row],[NETO GRAVADO]:[Otros / No Grav.]])</f>
        <v>205700</v>
      </c>
      <c r="Q22" s="131" t="str">
        <f>IFERROR(IF(compras_mes1[[#This Row],[CUIT]]="","-",VLOOKUP(compras_mes1[[#This Row],[CUIT]],Lista_CUIT[#All],3,0)),"CUIT NO CARGADO")</f>
        <v>Productos Ortopedicos</v>
      </c>
      <c r="R22" s="131">
        <f>IFERROR(IF(compras_mes1[[#This Row],[CUIT]]="","-",VLOOKUP(compras_mes1[[#This Row],[CUIT]],Lista_CUIT[#All],4,0)),"CUIT NO CARGADO")</f>
        <v>0</v>
      </c>
    </row>
    <row r="23" spans="2:18" ht="14.45" customHeight="1" x14ac:dyDescent="0.25">
      <c r="B23" s="124" t="s">
        <v>2207</v>
      </c>
      <c r="C23" s="41">
        <v>1</v>
      </c>
      <c r="D23" s="125">
        <v>5</v>
      </c>
      <c r="E23" s="138">
        <v>268</v>
      </c>
      <c r="F23" s="126">
        <v>20242126158</v>
      </c>
      <c r="G23" s="127" t="str">
        <f>IFERROR(IF(compras_mes1[[#This Row],[CUIT]]="","-",VLOOKUP(compras_mes1[[#This Row],[CUIT]],Lista_CUIT[#All],2,0)),"CUIT NO CARGADO")</f>
        <v>IALLONARDO SERGIO</v>
      </c>
      <c r="H23" s="128">
        <v>362191.5</v>
      </c>
      <c r="I23" s="129"/>
      <c r="J23" s="129"/>
      <c r="K23" s="129">
        <v>38030.11</v>
      </c>
      <c r="L23" s="129"/>
      <c r="M23" s="129"/>
      <c r="N23" s="129"/>
      <c r="O23" s="129"/>
      <c r="P23" s="130">
        <f>SUM(compras_mes1[[#This Row],[NETO GRAVADO]:[Otros / No Grav.]])</f>
        <v>400221.61</v>
      </c>
      <c r="Q23" s="131" t="str">
        <f>IFERROR(IF(compras_mes1[[#This Row],[CUIT]]="","-",VLOOKUP(compras_mes1[[#This Row],[CUIT]],Lista_CUIT[#All],3,0)),"CUIT NO CARGADO")</f>
        <v>PROD ORTOP P/ALQ</v>
      </c>
      <c r="R23" s="131">
        <f>IFERROR(IF(compras_mes1[[#This Row],[CUIT]]="","-",VLOOKUP(compras_mes1[[#This Row],[CUIT]],Lista_CUIT[#All],4,0)),"CUIT NO CARGADO")</f>
        <v>0</v>
      </c>
    </row>
    <row r="24" spans="2:18" ht="14.45" customHeight="1" x14ac:dyDescent="0.25">
      <c r="B24" s="124" t="s">
        <v>2207</v>
      </c>
      <c r="C24" s="41">
        <v>1</v>
      </c>
      <c r="D24" s="125">
        <v>1</v>
      </c>
      <c r="E24" s="138">
        <v>381</v>
      </c>
      <c r="F24" s="126">
        <v>33716711469</v>
      </c>
      <c r="G24" s="127" t="str">
        <f>IFERROR(IF(compras_mes1[[#This Row],[CUIT]]="","-",VLOOKUP(compras_mes1[[#This Row],[CUIT]],Lista_CUIT[#All],2,0)),"CUIT NO CARGADO")</f>
        <v>ORTOPEDIA SOLER SRL</v>
      </c>
      <c r="H24" s="128">
        <v>60000</v>
      </c>
      <c r="I24" s="129">
        <f>IF(compras_mes1[[#This Row],[NETO GRAVADO]]="","",compras_mes1[[#This Row],[NETO GRAVADO]]*0.21)</f>
        <v>12600</v>
      </c>
      <c r="J24" s="129"/>
      <c r="K24" s="129"/>
      <c r="L24" s="129"/>
      <c r="M24" s="129"/>
      <c r="N24" s="129"/>
      <c r="O24" s="129"/>
      <c r="P24" s="130">
        <f>SUM(compras_mes1[[#This Row],[NETO GRAVADO]:[Otros / No Grav.]])</f>
        <v>72600</v>
      </c>
      <c r="Q24" s="131" t="str">
        <f>IFERROR(IF(compras_mes1[[#This Row],[CUIT]]="","-",VLOOKUP(compras_mes1[[#This Row],[CUIT]],Lista_CUIT[#All],3,0)),"CUIT NO CARGADO")</f>
        <v>Productos Ortopedicos</v>
      </c>
      <c r="R24" s="131">
        <f>IFERROR(IF(compras_mes1[[#This Row],[CUIT]]="","-",VLOOKUP(compras_mes1[[#This Row],[CUIT]],Lista_CUIT[#All],4,0)),"CUIT NO CARGADO")</f>
        <v>0</v>
      </c>
    </row>
    <row r="25" spans="2:18" ht="15" customHeight="1" x14ac:dyDescent="0.25">
      <c r="B25" s="124" t="s">
        <v>2207</v>
      </c>
      <c r="C25" s="41">
        <v>1</v>
      </c>
      <c r="D25" s="125">
        <v>1</v>
      </c>
      <c r="E25" s="138">
        <v>382</v>
      </c>
      <c r="F25" s="126">
        <v>33716711469</v>
      </c>
      <c r="G25" s="127" t="str">
        <f>IFERROR(IF(compras_mes1[[#This Row],[CUIT]]="","-",VLOOKUP(compras_mes1[[#This Row],[CUIT]],Lista_CUIT[#All],2,0)),"CUIT NO CARGADO")</f>
        <v>ORTOPEDIA SOLER SRL</v>
      </c>
      <c r="H25" s="128">
        <v>60000</v>
      </c>
      <c r="I25" s="129">
        <f>IF(compras_mes1[[#This Row],[NETO GRAVADO]]="","",compras_mes1[[#This Row],[NETO GRAVADO]]*0.21)</f>
        <v>12600</v>
      </c>
      <c r="J25" s="129"/>
      <c r="K25" s="129"/>
      <c r="L25" s="129"/>
      <c r="M25" s="129"/>
      <c r="N25" s="129"/>
      <c r="O25" s="129"/>
      <c r="P25" s="130">
        <f>SUM(compras_mes1[[#This Row],[NETO GRAVADO]:[Otros / No Grav.]])</f>
        <v>72600</v>
      </c>
      <c r="Q25" s="131" t="str">
        <f>IFERROR(IF(compras_mes1[[#This Row],[CUIT]]="","-",VLOOKUP(compras_mes1[[#This Row],[CUIT]],Lista_CUIT[#All],3,0)),"CUIT NO CARGADO")</f>
        <v>Productos Ortopedicos</v>
      </c>
      <c r="R25" s="131">
        <f>IFERROR(IF(compras_mes1[[#This Row],[CUIT]]="","-",VLOOKUP(compras_mes1[[#This Row],[CUIT]],Lista_CUIT[#All],4,0)),"CUIT NO CARGADO")</f>
        <v>0</v>
      </c>
    </row>
    <row r="26" spans="2:18" ht="15" customHeight="1" x14ac:dyDescent="0.25">
      <c r="B26" s="124" t="s">
        <v>2207</v>
      </c>
      <c r="C26" s="41">
        <v>1</v>
      </c>
      <c r="D26" s="125">
        <v>1</v>
      </c>
      <c r="E26" s="138">
        <v>383</v>
      </c>
      <c r="F26" s="126">
        <v>33716711469</v>
      </c>
      <c r="G26" s="127" t="str">
        <f>IFERROR(IF(compras_mes1[[#This Row],[CUIT]]="","-",VLOOKUP(compras_mes1[[#This Row],[CUIT]],Lista_CUIT[#All],2,0)),"CUIT NO CARGADO")</f>
        <v>ORTOPEDIA SOLER SRL</v>
      </c>
      <c r="H26" s="128">
        <v>105000</v>
      </c>
      <c r="I26" s="129">
        <f>IF(compras_mes1[[#This Row],[NETO GRAVADO]]="","",compras_mes1[[#This Row],[NETO GRAVADO]]*0.21)</f>
        <v>22050</v>
      </c>
      <c r="J26" s="129"/>
      <c r="K26" s="129"/>
      <c r="L26" s="129"/>
      <c r="M26" s="129"/>
      <c r="N26" s="129"/>
      <c r="O26" s="129"/>
      <c r="P26" s="130">
        <f>SUM(compras_mes1[[#This Row],[NETO GRAVADO]:[Otros / No Grav.]])</f>
        <v>127050</v>
      </c>
      <c r="Q26" s="131" t="str">
        <f>IFERROR(IF(compras_mes1[[#This Row],[CUIT]]="","-",VLOOKUP(compras_mes1[[#This Row],[CUIT]],Lista_CUIT[#All],3,0)),"CUIT NO CARGADO")</f>
        <v>Productos Ortopedicos</v>
      </c>
      <c r="R26" s="131">
        <f>IFERROR(IF(compras_mes1[[#This Row],[CUIT]]="","-",VLOOKUP(compras_mes1[[#This Row],[CUIT]],Lista_CUIT[#All],4,0)),"CUIT NO CARGADO")</f>
        <v>0</v>
      </c>
    </row>
    <row r="27" spans="2:18" ht="15" customHeight="1" x14ac:dyDescent="0.25">
      <c r="B27" s="139" t="s">
        <v>2224</v>
      </c>
      <c r="C27" s="140">
        <v>1</v>
      </c>
      <c r="D27" s="141">
        <v>1</v>
      </c>
      <c r="E27" s="142">
        <v>559</v>
      </c>
      <c r="F27" s="143">
        <v>30715048066</v>
      </c>
      <c r="G27" s="144" t="str">
        <f>IFERROR(IF(compras_mes1[[#This Row],[CUIT]]="","-",VLOOKUP(compras_mes1[[#This Row],[CUIT]],Lista_CUIT[#All],2,0)),"CUIT NO CARGADO")</f>
        <v>ROLLS Y EMPANADAS SA</v>
      </c>
      <c r="H27" s="145">
        <v>299780</v>
      </c>
      <c r="I27" s="146">
        <f>IF(compras_mes1[[#This Row],[NETO GRAVADO]]="","",compras_mes1[[#This Row],[NETO GRAVADO]]*0.21)</f>
        <v>62953.799999999996</v>
      </c>
      <c r="J27" s="146"/>
      <c r="K27" s="146"/>
      <c r="L27" s="146"/>
      <c r="M27" s="146"/>
      <c r="N27" s="146"/>
      <c r="O27" s="146"/>
      <c r="P27" s="147">
        <f>SUM(compras_mes1[[#This Row],[NETO GRAVADO]:[Otros / No Grav.]])</f>
        <v>362733.8</v>
      </c>
      <c r="Q27" s="148" t="str">
        <f>IFERROR(IF(compras_mes1[[#This Row],[CUIT]]="","-",VLOOKUP(compras_mes1[[#This Row],[CUIT]],Lista_CUIT[#All],3,0)),"CUIT NO CARGADO")</f>
        <v>Catering</v>
      </c>
      <c r="R27" s="148">
        <f>IFERROR(IF(compras_mes1[[#This Row],[CUIT]]="","-",VLOOKUP(compras_mes1[[#This Row],[CUIT]],Lista_CUIT[#All],4,0)),"CUIT NO CARGADO")</f>
        <v>0</v>
      </c>
    </row>
    <row r="28" spans="2:18" ht="15" customHeight="1" x14ac:dyDescent="0.25">
      <c r="B28" s="124" t="s">
        <v>2206</v>
      </c>
      <c r="C28" s="41">
        <v>1</v>
      </c>
      <c r="D28" s="125">
        <v>7</v>
      </c>
      <c r="E28" s="138">
        <v>656</v>
      </c>
      <c r="F28" s="126">
        <v>30712187316</v>
      </c>
      <c r="G28" s="127" t="str">
        <f>IFERROR(IF(compras_mes1[[#This Row],[CUIT]]="","-",VLOOKUP(compras_mes1[[#This Row],[CUIT]],Lista_CUIT[#All],2,0)),"CUIT NO CARGADO")</f>
        <v>ITALOMED PRODUCTOS SRL</v>
      </c>
      <c r="H28" s="128">
        <v>39239.64</v>
      </c>
      <c r="I28" s="129">
        <f>IF(compras_mes1[[#This Row],[NETO GRAVADO]]="","",compras_mes1[[#This Row],[NETO GRAVADO]]*0.21)</f>
        <v>8240.3243999999995</v>
      </c>
      <c r="J28" s="129"/>
      <c r="K28" s="129"/>
      <c r="L28" s="129"/>
      <c r="M28" s="129"/>
      <c r="N28" s="129"/>
      <c r="O28" s="129"/>
      <c r="P28" s="130">
        <f>SUM(compras_mes1[[#This Row],[NETO GRAVADO]:[Otros / No Grav.]])</f>
        <v>47479.964399999997</v>
      </c>
      <c r="Q28" s="131" t="str">
        <f>IFERROR(IF(compras_mes1[[#This Row],[CUIT]]="","-",VLOOKUP(compras_mes1[[#This Row],[CUIT]],Lista_CUIT[#All],3,0)),"CUIT NO CARGADO")</f>
        <v>Productos Ortopedicos</v>
      </c>
      <c r="R28" s="131">
        <f>IFERROR(IF(compras_mes1[[#This Row],[CUIT]]="","-",VLOOKUP(compras_mes1[[#This Row],[CUIT]],Lista_CUIT[#All],4,0)),"CUIT NO CARGADO")</f>
        <v>0</v>
      </c>
    </row>
    <row r="29" spans="2:18" ht="15" customHeight="1" x14ac:dyDescent="0.25">
      <c r="B29" s="124" t="s">
        <v>2208</v>
      </c>
      <c r="C29" s="41">
        <v>1</v>
      </c>
      <c r="D29" s="125">
        <v>7</v>
      </c>
      <c r="E29" s="138">
        <v>662</v>
      </c>
      <c r="F29" s="126">
        <v>30712187316</v>
      </c>
      <c r="G29" s="127" t="str">
        <f>IFERROR(IF(compras_mes1[[#This Row],[CUIT]]="","-",VLOOKUP(compras_mes1[[#This Row],[CUIT]],Lista_CUIT[#All],2,0)),"CUIT NO CARGADO")</f>
        <v>ITALOMED PRODUCTOS SRL</v>
      </c>
      <c r="H29" s="128">
        <v>37778.22</v>
      </c>
      <c r="I29" s="129">
        <f>IF(compras_mes1[[#This Row],[NETO GRAVADO]]="","",compras_mes1[[#This Row],[NETO GRAVADO]]*0.21)</f>
        <v>7933.4261999999999</v>
      </c>
      <c r="J29" s="129"/>
      <c r="K29" s="129"/>
      <c r="L29" s="129"/>
      <c r="M29" s="129"/>
      <c r="N29" s="129"/>
      <c r="O29" s="129"/>
      <c r="P29" s="130">
        <f>SUM(compras_mes1[[#This Row],[NETO GRAVADO]:[Otros / No Grav.]])</f>
        <v>45711.646200000003</v>
      </c>
      <c r="Q29" s="131" t="str">
        <f>IFERROR(IF(compras_mes1[[#This Row],[CUIT]]="","-",VLOOKUP(compras_mes1[[#This Row],[CUIT]],Lista_CUIT[#All],3,0)),"CUIT NO CARGADO")</f>
        <v>Productos Ortopedicos</v>
      </c>
      <c r="R29" s="131">
        <f>IFERROR(IF(compras_mes1[[#This Row],[CUIT]]="","-",VLOOKUP(compras_mes1[[#This Row],[CUIT]],Lista_CUIT[#All],4,0)),"CUIT NO CARGADO")</f>
        <v>0</v>
      </c>
    </row>
    <row r="30" spans="2:18" x14ac:dyDescent="0.25">
      <c r="B30" s="124">
        <v>44939</v>
      </c>
      <c r="C30" s="41">
        <v>1</v>
      </c>
      <c r="D30" s="125">
        <v>7</v>
      </c>
      <c r="E30" s="138">
        <v>668</v>
      </c>
      <c r="F30" s="126">
        <v>30712187316</v>
      </c>
      <c r="G30" s="127" t="str">
        <f>IFERROR(IF(compras_mes1[[#This Row],[CUIT]]="","-",VLOOKUP(compras_mes1[[#This Row],[CUIT]],Lista_CUIT[#All],2,0)),"CUIT NO CARGADO")</f>
        <v>ITALOMED PRODUCTOS SRL</v>
      </c>
      <c r="H30" s="128">
        <v>37778.22</v>
      </c>
      <c r="I30" s="129">
        <f>IF(compras_mes1[[#This Row],[NETO GRAVADO]]="","",compras_mes1[[#This Row],[NETO GRAVADO]]*0.21)</f>
        <v>7933.4261999999999</v>
      </c>
      <c r="J30" s="129"/>
      <c r="K30" s="129"/>
      <c r="L30" s="129"/>
      <c r="M30" s="129"/>
      <c r="N30" s="129"/>
      <c r="O30" s="129"/>
      <c r="P30" s="130">
        <f>SUM(compras_mes1[[#This Row],[NETO GRAVADO]:[Otros / No Grav.]])</f>
        <v>45711.646200000003</v>
      </c>
      <c r="Q30" s="131" t="str">
        <f>IFERROR(IF(compras_mes1[[#This Row],[CUIT]]="","-",VLOOKUP(compras_mes1[[#This Row],[CUIT]],Lista_CUIT[#All],3,0)),"CUIT NO CARGADO")</f>
        <v>Productos Ortopedicos</v>
      </c>
      <c r="R30" s="131">
        <f>IFERROR(IF(compras_mes1[[#This Row],[CUIT]]="","-",VLOOKUP(compras_mes1[[#This Row],[CUIT]],Lista_CUIT[#All],4,0)),"CUIT NO CARGADO")</f>
        <v>0</v>
      </c>
    </row>
    <row r="31" spans="2:18" x14ac:dyDescent="0.25">
      <c r="B31" s="124">
        <v>44956</v>
      </c>
      <c r="C31" s="41">
        <v>1</v>
      </c>
      <c r="D31" s="125">
        <v>7</v>
      </c>
      <c r="E31" s="138">
        <v>687</v>
      </c>
      <c r="F31" s="126">
        <v>30712187316</v>
      </c>
      <c r="G31" s="127" t="str">
        <f>IFERROR(IF(compras_mes1[[#This Row],[CUIT]]="","-",VLOOKUP(compras_mes1[[#This Row],[CUIT]],Lista_CUIT[#All],2,0)),"CUIT NO CARGADO")</f>
        <v>ITALOMED PRODUCTOS SRL</v>
      </c>
      <c r="H31" s="128">
        <v>39239.64</v>
      </c>
      <c r="I31" s="129">
        <f>IF(compras_mes1[[#This Row],[NETO GRAVADO]]="","",compras_mes1[[#This Row],[NETO GRAVADO]]*0.21)</f>
        <v>8240.3243999999995</v>
      </c>
      <c r="J31" s="129"/>
      <c r="K31" s="129"/>
      <c r="L31" s="129"/>
      <c r="M31" s="129"/>
      <c r="N31" s="129"/>
      <c r="O31" s="129"/>
      <c r="P31" s="130">
        <f>SUM(compras_mes1[[#This Row],[NETO GRAVADO]:[Otros / No Grav.]])</f>
        <v>47479.964399999997</v>
      </c>
      <c r="Q31" s="131" t="str">
        <f>IFERROR(IF(compras_mes1[[#This Row],[CUIT]]="","-",VLOOKUP(compras_mes1[[#This Row],[CUIT]],Lista_CUIT[#All],3,0)),"CUIT NO CARGADO")</f>
        <v>Productos Ortopedicos</v>
      </c>
      <c r="R31" s="131">
        <f>IFERROR(IF(compras_mes1[[#This Row],[CUIT]]="","-",VLOOKUP(compras_mes1[[#This Row],[CUIT]],Lista_CUIT[#All],4,0)),"CUIT NO CARGADO")</f>
        <v>0</v>
      </c>
    </row>
    <row r="32" spans="2:18" x14ac:dyDescent="0.25">
      <c r="B32" s="124" t="s">
        <v>2205</v>
      </c>
      <c r="C32" s="41">
        <v>1</v>
      </c>
      <c r="D32" s="125">
        <v>17</v>
      </c>
      <c r="E32" s="138">
        <v>694</v>
      </c>
      <c r="F32" s="126">
        <v>30711764921</v>
      </c>
      <c r="G32" s="127" t="str">
        <f>IFERROR(IF(compras_mes1[[#This Row],[CUIT]]="","-",VLOOKUP(compras_mes1[[#This Row],[CUIT]],Lista_CUIT[#All],2,0)),"CUIT NO CARGADO")</f>
        <v>RELIEF CENTER SRL</v>
      </c>
      <c r="H32" s="128">
        <v>26931</v>
      </c>
      <c r="I32" s="129">
        <f>IF(compras_mes1[[#This Row],[NETO GRAVADO]]="","",compras_mes1[[#This Row],[NETO GRAVADO]]*0.21)</f>
        <v>5655.51</v>
      </c>
      <c r="J32" s="129"/>
      <c r="K32" s="129"/>
      <c r="L32" s="129"/>
      <c r="M32" s="129"/>
      <c r="N32" s="129"/>
      <c r="O32" s="129"/>
      <c r="P32" s="130">
        <f>SUM(compras_mes1[[#This Row],[NETO GRAVADO]:[Otros / No Grav.]])</f>
        <v>32586.510000000002</v>
      </c>
      <c r="Q32" s="131" t="str">
        <f>IFERROR(IF(compras_mes1[[#This Row],[CUIT]]="","-",VLOOKUP(compras_mes1[[#This Row],[CUIT]],Lista_CUIT[#All],3,0)),"CUIT NO CARGADO")</f>
        <v>Productos Ortopedicos</v>
      </c>
      <c r="R32" s="131">
        <f>IFERROR(IF(compras_mes1[[#This Row],[CUIT]]="","-",VLOOKUP(compras_mes1[[#This Row],[CUIT]],Lista_CUIT[#All],4,0)),"CUIT NO CARGADO")</f>
        <v>0</v>
      </c>
    </row>
    <row r="33" spans="2:18" x14ac:dyDescent="0.25">
      <c r="B33" s="124" t="s">
        <v>2208</v>
      </c>
      <c r="C33" s="41">
        <v>1</v>
      </c>
      <c r="D33" s="125">
        <v>17</v>
      </c>
      <c r="E33" s="138">
        <v>701</v>
      </c>
      <c r="F33" s="126">
        <v>30711764921</v>
      </c>
      <c r="G33" s="127" t="str">
        <f>IFERROR(IF(compras_mes1[[#This Row],[CUIT]]="","-",VLOOKUP(compras_mes1[[#This Row],[CUIT]],Lista_CUIT[#All],2,0)),"CUIT NO CARGADO")</f>
        <v>RELIEF CENTER SRL</v>
      </c>
      <c r="H33" s="128">
        <v>9365</v>
      </c>
      <c r="I33" s="129">
        <f>IF(compras_mes1[[#This Row],[NETO GRAVADO]]="","",compras_mes1[[#This Row],[NETO GRAVADO]]*0.21)</f>
        <v>1966.6499999999999</v>
      </c>
      <c r="J33" s="129"/>
      <c r="K33" s="129"/>
      <c r="L33" s="129"/>
      <c r="M33" s="129"/>
      <c r="N33" s="129"/>
      <c r="O33" s="129"/>
      <c r="P33" s="130">
        <f>SUM(compras_mes1[[#This Row],[NETO GRAVADO]:[Otros / No Grav.]])</f>
        <v>11331.65</v>
      </c>
      <c r="Q33" s="131" t="str">
        <f>IFERROR(IF(compras_mes1[[#This Row],[CUIT]]="","-",VLOOKUP(compras_mes1[[#This Row],[CUIT]],Lista_CUIT[#All],3,0)),"CUIT NO CARGADO")</f>
        <v>Productos Ortopedicos</v>
      </c>
      <c r="R33" s="131">
        <f>IFERROR(IF(compras_mes1[[#This Row],[CUIT]]="","-",VLOOKUP(compras_mes1[[#This Row],[CUIT]],Lista_CUIT[#All],4,0)),"CUIT NO CARGADO")</f>
        <v>0</v>
      </c>
    </row>
    <row r="34" spans="2:18" x14ac:dyDescent="0.25">
      <c r="B34" s="124" t="s">
        <v>2213</v>
      </c>
      <c r="C34" s="41">
        <v>1</v>
      </c>
      <c r="D34" s="125">
        <v>17</v>
      </c>
      <c r="E34" s="138">
        <v>717</v>
      </c>
      <c r="F34" s="126">
        <v>30711764921</v>
      </c>
      <c r="G34" s="127" t="str">
        <f>IFERROR(IF(compras_mes1[[#This Row],[CUIT]]="","-",VLOOKUP(compras_mes1[[#This Row],[CUIT]],Lista_CUIT[#All],2,0)),"CUIT NO CARGADO")</f>
        <v>RELIEF CENTER SRL</v>
      </c>
      <c r="H34" s="128">
        <v>8925</v>
      </c>
      <c r="I34" s="129">
        <f>IF(compras_mes1[[#This Row],[NETO GRAVADO]]="","",compras_mes1[[#This Row],[NETO GRAVADO]]*0.21)</f>
        <v>1874.25</v>
      </c>
      <c r="J34" s="129"/>
      <c r="K34" s="129"/>
      <c r="L34" s="129"/>
      <c r="M34" s="129"/>
      <c r="N34" s="129"/>
      <c r="O34" s="129"/>
      <c r="P34" s="130">
        <f>SUM(compras_mes1[[#This Row],[NETO GRAVADO]:[Otros / No Grav.]])</f>
        <v>10799.25</v>
      </c>
      <c r="Q34" s="131" t="str">
        <f>IFERROR(IF(compras_mes1[[#This Row],[CUIT]]="","-",VLOOKUP(compras_mes1[[#This Row],[CUIT]],Lista_CUIT[#All],3,0)),"CUIT NO CARGADO")</f>
        <v>Productos Ortopedicos</v>
      </c>
      <c r="R34" s="131">
        <f>IFERROR(IF(compras_mes1[[#This Row],[CUIT]]="","-",VLOOKUP(compras_mes1[[#This Row],[CUIT]],Lista_CUIT[#All],4,0)),"CUIT NO CARGADO")</f>
        <v>0</v>
      </c>
    </row>
    <row r="35" spans="2:18" x14ac:dyDescent="0.25">
      <c r="B35" s="157">
        <v>44939</v>
      </c>
      <c r="C35" s="158">
        <v>1</v>
      </c>
      <c r="D35" s="159">
        <v>6</v>
      </c>
      <c r="E35" s="160">
        <v>788</v>
      </c>
      <c r="F35" s="161">
        <v>30716815710</v>
      </c>
      <c r="G35" s="162" t="str">
        <f>IFERROR(IF(compras_mes1[[#This Row],[CUIT]]="","-",VLOOKUP(compras_mes1[[#This Row],[CUIT]],Lista_CUIT[#All],2,0)),"CUIT NO CARGADO")</f>
        <v>PAPELERA GEOPEL SRL</v>
      </c>
      <c r="H35" s="163">
        <v>930</v>
      </c>
      <c r="I35" s="156">
        <f>IF(compras_mes1[[#This Row],[NETO GRAVADO]]="","",compras_mes1[[#This Row],[NETO GRAVADO]]*0.21)</f>
        <v>195.29999999999998</v>
      </c>
      <c r="J35" s="156"/>
      <c r="K35" s="156"/>
      <c r="L35" s="156"/>
      <c r="M35" s="156"/>
      <c r="N35" s="156"/>
      <c r="O35" s="156"/>
      <c r="P35" s="164">
        <f>SUM(compras_mes1[[#This Row],[NETO GRAVADO]:[Otros / No Grav.]])</f>
        <v>1125.3</v>
      </c>
      <c r="Q35" s="165" t="str">
        <f>IFERROR(IF(compras_mes1[[#This Row],[CUIT]]="","-",VLOOKUP(compras_mes1[[#This Row],[CUIT]],Lista_CUIT[#All],3,0)),"CUIT NO CARGADO")</f>
        <v>PAPELERIA</v>
      </c>
      <c r="R35" s="165">
        <f>IFERROR(IF(compras_mes1[[#This Row],[CUIT]]="","-",VLOOKUP(compras_mes1[[#This Row],[CUIT]],Lista_CUIT[#All],4,0)),"CUIT NO CARGADO")</f>
        <v>0</v>
      </c>
    </row>
    <row r="36" spans="2:18" x14ac:dyDescent="0.25">
      <c r="B36" s="139" t="s">
        <v>2203</v>
      </c>
      <c r="C36" s="140">
        <v>1</v>
      </c>
      <c r="D36" s="141">
        <v>5</v>
      </c>
      <c r="E36" s="142">
        <v>1020</v>
      </c>
      <c r="F36" s="143">
        <v>30712187316</v>
      </c>
      <c r="G36" s="144" t="str">
        <f>IFERROR(IF(compras_mes1[[#This Row],[CUIT]]="","-",VLOOKUP(compras_mes1[[#This Row],[CUIT]],Lista_CUIT[#All],2,0)),"CUIT NO CARGADO")</f>
        <v>ITALOMED PRODUCTOS SRL</v>
      </c>
      <c r="H36" s="145">
        <v>536197.93999999994</v>
      </c>
      <c r="I36" s="146">
        <f>IF(compras_mes1[[#This Row],[NETO GRAVADO]]="","",compras_mes1[[#This Row],[NETO GRAVADO]]*0.21)</f>
        <v>112601.56739999999</v>
      </c>
      <c r="J36" s="146"/>
      <c r="K36" s="146"/>
      <c r="L36" s="146"/>
      <c r="M36" s="146"/>
      <c r="N36" s="146"/>
      <c r="O36" s="146"/>
      <c r="P36" s="147">
        <f>SUM(compras_mes1[[#This Row],[NETO GRAVADO]:[Otros / No Grav.]])</f>
        <v>648799.50739999989</v>
      </c>
      <c r="Q36" s="148" t="str">
        <f>IFERROR(IF(compras_mes1[[#This Row],[CUIT]]="","-",VLOOKUP(compras_mes1[[#This Row],[CUIT]],Lista_CUIT[#All],3,0)),"CUIT NO CARGADO")</f>
        <v>Productos Ortopedicos</v>
      </c>
      <c r="R36" s="148">
        <f>IFERROR(IF(compras_mes1[[#This Row],[CUIT]]="","-",VLOOKUP(compras_mes1[[#This Row],[CUIT]],Lista_CUIT[#All],4,0)),"CUIT NO CARGADO")</f>
        <v>0</v>
      </c>
    </row>
    <row r="37" spans="2:18" s="56" customFormat="1" x14ac:dyDescent="0.25">
      <c r="B37" s="40" t="s">
        <v>2203</v>
      </c>
      <c r="C37" s="41">
        <v>1</v>
      </c>
      <c r="D37" s="42">
        <v>5</v>
      </c>
      <c r="E37" s="43">
        <v>1021</v>
      </c>
      <c r="F37" s="44">
        <v>30712187316</v>
      </c>
      <c r="G37" s="45" t="str">
        <f>IFERROR(IF(compras_mes1[[#This Row],[CUIT]]="","-",VLOOKUP(compras_mes1[[#This Row],[CUIT]],Lista_CUIT[#All],2,0)),"CUIT NO CARGADO")</f>
        <v>ITALOMED PRODUCTOS SRL</v>
      </c>
      <c r="H37" s="46">
        <v>562609.91</v>
      </c>
      <c r="I37" s="85">
        <f>IF(compras_mes1[[#This Row],[NETO GRAVADO]]="","",compras_mes1[[#This Row],[NETO GRAVADO]]*0.21)</f>
        <v>118148.0811</v>
      </c>
      <c r="J37" s="85"/>
      <c r="K37" s="85"/>
      <c r="L37" s="85"/>
      <c r="M37" s="85"/>
      <c r="N37" s="85"/>
      <c r="O37" s="85"/>
      <c r="P37" s="48">
        <f>SUM(compras_mes1[[#This Row],[NETO GRAVADO]:[Otros / No Grav.]])</f>
        <v>680757.99109999998</v>
      </c>
      <c r="Q37" s="49" t="str">
        <f>IFERROR(IF(compras_mes1[[#This Row],[CUIT]]="","-",VLOOKUP(compras_mes1[[#This Row],[CUIT]],Lista_CUIT[#All],3,0)),"CUIT NO CARGADO")</f>
        <v>Productos Ortopedicos</v>
      </c>
      <c r="R37" s="49">
        <f>IFERROR(IF(compras_mes1[[#This Row],[CUIT]]="","-",VLOOKUP(compras_mes1[[#This Row],[CUIT]],Lista_CUIT[#All],4,0)),"CUIT NO CARGADO")</f>
        <v>0</v>
      </c>
    </row>
    <row r="38" spans="2:18" x14ac:dyDescent="0.25">
      <c r="B38" s="89" t="s">
        <v>2203</v>
      </c>
      <c r="C38" s="41">
        <v>1</v>
      </c>
      <c r="D38" s="91">
        <v>5</v>
      </c>
      <c r="E38" s="92">
        <v>1023</v>
      </c>
      <c r="F38" s="93">
        <v>30712187316</v>
      </c>
      <c r="G38" s="94" t="str">
        <f>IFERROR(IF(compras_mes1[[#This Row],[CUIT]]="","-",VLOOKUP(compras_mes1[[#This Row],[CUIT]],Lista_CUIT[#All],2,0)),"CUIT NO CARGADO")</f>
        <v>ITALOMED PRODUCTOS SRL</v>
      </c>
      <c r="H38" s="95">
        <v>42006.8</v>
      </c>
      <c r="I38" s="86">
        <f>IF(compras_mes1[[#This Row],[NETO GRAVADO]]="","",compras_mes1[[#This Row],[NETO GRAVADO]]*0.21)</f>
        <v>8821.4279999999999</v>
      </c>
      <c r="J38" s="86"/>
      <c r="K38" s="86"/>
      <c r="L38" s="86"/>
      <c r="M38" s="86"/>
      <c r="N38" s="86"/>
      <c r="O38" s="86"/>
      <c r="P38" s="87">
        <f>SUM(compras_mes1[[#This Row],[NETO GRAVADO]:[Otros / No Grav.]])</f>
        <v>50828.228000000003</v>
      </c>
      <c r="Q38" s="88" t="str">
        <f>IFERROR(IF(compras_mes1[[#This Row],[CUIT]]="","-",VLOOKUP(compras_mes1[[#This Row],[CUIT]],Lista_CUIT[#All],3,0)),"CUIT NO CARGADO")</f>
        <v>Productos Ortopedicos</v>
      </c>
      <c r="R38" s="88">
        <f>IFERROR(IF(compras_mes1[[#This Row],[CUIT]]="","-",VLOOKUP(compras_mes1[[#This Row],[CUIT]],Lista_CUIT[#All],4,0)),"CUIT NO CARGADO")</f>
        <v>0</v>
      </c>
    </row>
    <row r="39" spans="2:18" x14ac:dyDescent="0.25">
      <c r="B39" s="124" t="s">
        <v>2206</v>
      </c>
      <c r="C39" s="41">
        <v>1</v>
      </c>
      <c r="D39" s="125">
        <v>5</v>
      </c>
      <c r="E39" s="138">
        <v>1036</v>
      </c>
      <c r="F39" s="126">
        <v>30712187316</v>
      </c>
      <c r="G39" s="127" t="str">
        <f>IFERROR(IF(compras_mes1[[#This Row],[CUIT]]="","-",VLOOKUP(compras_mes1[[#This Row],[CUIT]],Lista_CUIT[#All],2,0)),"CUIT NO CARGADO")</f>
        <v>ITALOMED PRODUCTOS SRL</v>
      </c>
      <c r="H39" s="128">
        <v>34963.06</v>
      </c>
      <c r="I39" s="129">
        <f>IF(compras_mes1[[#This Row],[NETO GRAVADO]]="","",compras_mes1[[#This Row],[NETO GRAVADO]]*0.21)</f>
        <v>7342.2425999999996</v>
      </c>
      <c r="J39" s="129"/>
      <c r="K39" s="129"/>
      <c r="L39" s="129"/>
      <c r="M39" s="129"/>
      <c r="N39" s="129"/>
      <c r="O39" s="129"/>
      <c r="P39" s="130">
        <f>SUM(compras_mes1[[#This Row],[NETO GRAVADO]:[Otros / No Grav.]])</f>
        <v>42305.302599999995</v>
      </c>
      <c r="Q39" s="131" t="str">
        <f>IFERROR(IF(compras_mes1[[#This Row],[CUIT]]="","-",VLOOKUP(compras_mes1[[#This Row],[CUIT]],Lista_CUIT[#All],3,0)),"CUIT NO CARGADO")</f>
        <v>Productos Ortopedicos</v>
      </c>
      <c r="R39" s="131">
        <f>IFERROR(IF(compras_mes1[[#This Row],[CUIT]]="","-",VLOOKUP(compras_mes1[[#This Row],[CUIT]],Lista_CUIT[#All],4,0)),"CUIT NO CARGADO")</f>
        <v>0</v>
      </c>
    </row>
    <row r="40" spans="2:18" x14ac:dyDescent="0.25">
      <c r="B40" s="124" t="s">
        <v>2207</v>
      </c>
      <c r="C40" s="41">
        <v>1</v>
      </c>
      <c r="D40" s="125">
        <v>5</v>
      </c>
      <c r="E40" s="138">
        <v>1037</v>
      </c>
      <c r="F40" s="126">
        <v>30712187316</v>
      </c>
      <c r="G40" s="127" t="str">
        <f>IFERROR(IF(compras_mes1[[#This Row],[CUIT]]="","-",VLOOKUP(compras_mes1[[#This Row],[CUIT]],Lista_CUIT[#All],2,0)),"CUIT NO CARGADO")</f>
        <v>ITALOMED PRODUCTOS SRL</v>
      </c>
      <c r="H40" s="128">
        <v>36580.65</v>
      </c>
      <c r="I40" s="129">
        <f>IF(compras_mes1[[#This Row],[NETO GRAVADO]]="","",compras_mes1[[#This Row],[NETO GRAVADO]]*0.21)</f>
        <v>7681.9364999999998</v>
      </c>
      <c r="J40" s="129"/>
      <c r="K40" s="129"/>
      <c r="L40" s="129"/>
      <c r="M40" s="129"/>
      <c r="N40" s="129"/>
      <c r="O40" s="129"/>
      <c r="P40" s="130">
        <f>SUM(compras_mes1[[#This Row],[NETO GRAVADO]:[Otros / No Grav.]])</f>
        <v>44262.586500000005</v>
      </c>
      <c r="Q40" s="131" t="str">
        <f>IFERROR(IF(compras_mes1[[#This Row],[CUIT]]="","-",VLOOKUP(compras_mes1[[#This Row],[CUIT]],Lista_CUIT[#All],3,0)),"CUIT NO CARGADO")</f>
        <v>Productos Ortopedicos</v>
      </c>
      <c r="R40" s="131">
        <f>IFERROR(IF(compras_mes1[[#This Row],[CUIT]]="","-",VLOOKUP(compras_mes1[[#This Row],[CUIT]],Lista_CUIT[#All],4,0)),"CUIT NO CARGADO")</f>
        <v>0</v>
      </c>
    </row>
    <row r="41" spans="2:18" x14ac:dyDescent="0.25">
      <c r="B41" s="124" t="s">
        <v>2208</v>
      </c>
      <c r="C41" s="41">
        <v>1</v>
      </c>
      <c r="D41" s="125">
        <v>5</v>
      </c>
      <c r="E41" s="138">
        <v>1040</v>
      </c>
      <c r="F41" s="126">
        <v>30712187316</v>
      </c>
      <c r="G41" s="127" t="str">
        <f>IFERROR(IF(compras_mes1[[#This Row],[CUIT]]="","-",VLOOKUP(compras_mes1[[#This Row],[CUIT]],Lista_CUIT[#All],2,0)),"CUIT NO CARGADO")</f>
        <v>ITALOMED PRODUCTOS SRL</v>
      </c>
      <c r="H41" s="128">
        <v>45153.79</v>
      </c>
      <c r="I41" s="129">
        <f>IF(compras_mes1[[#This Row],[NETO GRAVADO]]="","",compras_mes1[[#This Row],[NETO GRAVADO]]*0.21)</f>
        <v>9482.2958999999992</v>
      </c>
      <c r="J41" s="129"/>
      <c r="K41" s="129"/>
      <c r="L41" s="129"/>
      <c r="M41" s="129"/>
      <c r="N41" s="129"/>
      <c r="O41" s="129"/>
      <c r="P41" s="130">
        <f>SUM(compras_mes1[[#This Row],[NETO GRAVADO]:[Otros / No Grav.]])</f>
        <v>54636.085899999998</v>
      </c>
      <c r="Q41" s="131" t="str">
        <f>IFERROR(IF(compras_mes1[[#This Row],[CUIT]]="","-",VLOOKUP(compras_mes1[[#This Row],[CUIT]],Lista_CUIT[#All],3,0)),"CUIT NO CARGADO")</f>
        <v>Productos Ortopedicos</v>
      </c>
      <c r="R41" s="131">
        <f>IFERROR(IF(compras_mes1[[#This Row],[CUIT]]="","-",VLOOKUP(compras_mes1[[#This Row],[CUIT]],Lista_CUIT[#All],4,0)),"CUIT NO CARGADO")</f>
        <v>0</v>
      </c>
    </row>
    <row r="42" spans="2:18" x14ac:dyDescent="0.25">
      <c r="B42" s="124" t="s">
        <v>2209</v>
      </c>
      <c r="C42" s="41">
        <v>1</v>
      </c>
      <c r="D42" s="125">
        <v>5</v>
      </c>
      <c r="E42" s="138">
        <v>1042</v>
      </c>
      <c r="F42" s="126">
        <v>30712187316</v>
      </c>
      <c r="G42" s="127" t="str">
        <f>IFERROR(IF(compras_mes1[[#This Row],[CUIT]]="","-",VLOOKUP(compras_mes1[[#This Row],[CUIT]],Lista_CUIT[#All],2,0)),"CUIT NO CARGADO")</f>
        <v>ITALOMED PRODUCTOS SRL</v>
      </c>
      <c r="H42" s="128">
        <v>71190.05</v>
      </c>
      <c r="I42" s="129">
        <f>IF(compras_mes1[[#This Row],[NETO GRAVADO]]="","",compras_mes1[[#This Row],[NETO GRAVADO]]*0.21)</f>
        <v>14949.9105</v>
      </c>
      <c r="J42" s="129"/>
      <c r="K42" s="129"/>
      <c r="L42" s="129"/>
      <c r="M42" s="129"/>
      <c r="N42" s="129"/>
      <c r="O42" s="129"/>
      <c r="P42" s="130">
        <f>SUM(compras_mes1[[#This Row],[NETO GRAVADO]:[Otros / No Grav.]])</f>
        <v>86139.960500000001</v>
      </c>
      <c r="Q42" s="131" t="str">
        <f>IFERROR(IF(compras_mes1[[#This Row],[CUIT]]="","-",VLOOKUP(compras_mes1[[#This Row],[CUIT]],Lista_CUIT[#All],3,0)),"CUIT NO CARGADO")</f>
        <v>Productos Ortopedicos</v>
      </c>
      <c r="R42" s="131">
        <f>IFERROR(IF(compras_mes1[[#This Row],[CUIT]]="","-",VLOOKUP(compras_mes1[[#This Row],[CUIT]],Lista_CUIT[#All],4,0)),"CUIT NO CARGADO")</f>
        <v>0</v>
      </c>
    </row>
    <row r="43" spans="2:18" x14ac:dyDescent="0.25">
      <c r="B43" s="124" t="s">
        <v>2211</v>
      </c>
      <c r="C43" s="41">
        <v>1</v>
      </c>
      <c r="D43" s="125">
        <v>5</v>
      </c>
      <c r="E43" s="138">
        <v>1049</v>
      </c>
      <c r="F43" s="126">
        <v>30712187316</v>
      </c>
      <c r="G43" s="127" t="str">
        <f>IFERROR(IF(compras_mes1[[#This Row],[CUIT]]="","-",VLOOKUP(compras_mes1[[#This Row],[CUIT]],Lista_CUIT[#All],2,0)),"CUIT NO CARGADO")</f>
        <v>ITALOMED PRODUCTOS SRL</v>
      </c>
      <c r="H43" s="128">
        <v>48079.95</v>
      </c>
      <c r="I43" s="129">
        <f>IF(compras_mes1[[#This Row],[NETO GRAVADO]]="","",compras_mes1[[#This Row],[NETO GRAVADO]]*0.21)</f>
        <v>10096.789499999999</v>
      </c>
      <c r="J43" s="129"/>
      <c r="K43" s="129"/>
      <c r="L43" s="129"/>
      <c r="M43" s="129"/>
      <c r="N43" s="129"/>
      <c r="O43" s="129"/>
      <c r="P43" s="130">
        <f>SUM(compras_mes1[[#This Row],[NETO GRAVADO]:[Otros / No Grav.]])</f>
        <v>58176.739499999996</v>
      </c>
      <c r="Q43" s="131" t="str">
        <f>IFERROR(IF(compras_mes1[[#This Row],[CUIT]]="","-",VLOOKUP(compras_mes1[[#This Row],[CUIT]],Lista_CUIT[#All],3,0)),"CUIT NO CARGADO")</f>
        <v>Productos Ortopedicos</v>
      </c>
      <c r="R43" s="131">
        <f>IFERROR(IF(compras_mes1[[#This Row],[CUIT]]="","-",VLOOKUP(compras_mes1[[#This Row],[CUIT]],Lista_CUIT[#All],4,0)),"CUIT NO CARGADO")</f>
        <v>0</v>
      </c>
    </row>
    <row r="44" spans="2:18" x14ac:dyDescent="0.25">
      <c r="B44" s="40" t="s">
        <v>2202</v>
      </c>
      <c r="C44" s="41">
        <v>1</v>
      </c>
      <c r="D44" s="42">
        <v>13</v>
      </c>
      <c r="E44" s="43">
        <v>1072</v>
      </c>
      <c r="F44" s="44">
        <v>33709914109</v>
      </c>
      <c r="G44" s="45" t="str">
        <f>IFERROR(IF(compras_mes1[[#This Row],[CUIT]]="","-",VLOOKUP(compras_mes1[[#This Row],[CUIT]],Lista_CUIT[#All],2,0)),"CUIT NO CARGADO")</f>
        <v xml:space="preserve">ALAN COLLECTION SA </v>
      </c>
      <c r="H44" s="46">
        <v>3107.44</v>
      </c>
      <c r="I44" s="85">
        <f>IF(compras_mes1[[#This Row],[NETO GRAVADO]]="","",compras_mes1[[#This Row],[NETO GRAVADO]]*0.21)</f>
        <v>652.56240000000003</v>
      </c>
      <c r="J44" s="85"/>
      <c r="K44" s="85"/>
      <c r="L44" s="85"/>
      <c r="M44" s="85"/>
      <c r="N44" s="85"/>
      <c r="O44" s="85"/>
      <c r="P44" s="48">
        <f>SUM(compras_mes1[[#This Row],[NETO GRAVADO]:[Otros / No Grav.]])</f>
        <v>3760.0024000000003</v>
      </c>
      <c r="Q44" s="49" t="str">
        <f>IFERROR(IF(compras_mes1[[#This Row],[CUIT]]="","-",VLOOKUP(compras_mes1[[#This Row],[CUIT]],Lista_CUIT[#All],3,0)),"CUIT NO CARGADO")</f>
        <v>MERCADERIA</v>
      </c>
      <c r="R44" s="49">
        <f>IFERROR(IF(compras_mes1[[#This Row],[CUIT]]="","-",VLOOKUP(compras_mes1[[#This Row],[CUIT]],Lista_CUIT[#All],4,0)),"CUIT NO CARGADO")</f>
        <v>0</v>
      </c>
    </row>
    <row r="45" spans="2:18" x14ac:dyDescent="0.25">
      <c r="B45" s="124" t="s">
        <v>2206</v>
      </c>
      <c r="C45" s="41">
        <v>1</v>
      </c>
      <c r="D45" s="125">
        <v>5</v>
      </c>
      <c r="E45" s="138">
        <v>1237</v>
      </c>
      <c r="F45" s="126">
        <v>30716815710</v>
      </c>
      <c r="G45" s="127" t="str">
        <f>IFERROR(IF(compras_mes1[[#This Row],[CUIT]]="","-",VLOOKUP(compras_mes1[[#This Row],[CUIT]],Lista_CUIT[#All],2,0)),"CUIT NO CARGADO")</f>
        <v>PAPELERA GEOPEL SRL</v>
      </c>
      <c r="H45" s="128">
        <v>11896.73</v>
      </c>
      <c r="I45" s="129">
        <f>IF(compras_mes1[[#This Row],[NETO GRAVADO]]="","",compras_mes1[[#This Row],[NETO GRAVADO]]*0.21)</f>
        <v>2498.3132999999998</v>
      </c>
      <c r="J45" s="129"/>
      <c r="K45" s="129"/>
      <c r="L45" s="129"/>
      <c r="M45" s="129"/>
      <c r="N45" s="129"/>
      <c r="O45" s="129"/>
      <c r="P45" s="130">
        <f>SUM(compras_mes1[[#This Row],[NETO GRAVADO]:[Otros / No Grav.]])</f>
        <v>14395.043299999999</v>
      </c>
      <c r="Q45" s="131" t="str">
        <f>IFERROR(IF(compras_mes1[[#This Row],[CUIT]]="","-",VLOOKUP(compras_mes1[[#This Row],[CUIT]],Lista_CUIT[#All],3,0)),"CUIT NO CARGADO")</f>
        <v>PAPELERIA</v>
      </c>
      <c r="R45" s="131">
        <f>IFERROR(IF(compras_mes1[[#This Row],[CUIT]]="","-",VLOOKUP(compras_mes1[[#This Row],[CUIT]],Lista_CUIT[#All],4,0)),"CUIT NO CARGADO")</f>
        <v>0</v>
      </c>
    </row>
    <row r="46" spans="2:18" ht="18" customHeight="1" x14ac:dyDescent="0.25">
      <c r="B46" s="139" t="s">
        <v>2221</v>
      </c>
      <c r="C46" s="140">
        <v>1</v>
      </c>
      <c r="D46" s="141">
        <v>7</v>
      </c>
      <c r="E46" s="142">
        <v>1511</v>
      </c>
      <c r="F46" s="143">
        <v>20284183534</v>
      </c>
      <c r="G46" s="144" t="str">
        <f>IFERROR(IF(compras_mes1[[#This Row],[CUIT]]="","-",VLOOKUP(compras_mes1[[#This Row],[CUIT]],Lista_CUIT[#All],2,0)),"CUIT NO CARGADO")</f>
        <v>FURLANETTO MARTIN</v>
      </c>
      <c r="H46" s="145">
        <v>2975.21</v>
      </c>
      <c r="I46" s="146">
        <f>IF(compras_mes1[[#This Row],[NETO GRAVADO]]="","",compras_mes1[[#This Row],[NETO GRAVADO]]*0.21)</f>
        <v>624.79409999999996</v>
      </c>
      <c r="J46" s="146"/>
      <c r="K46" s="146"/>
      <c r="L46" s="146"/>
      <c r="M46" s="146"/>
      <c r="N46" s="146"/>
      <c r="O46" s="146"/>
      <c r="P46" s="147">
        <f>SUM(compras_mes1[[#This Row],[NETO GRAVADO]:[Otros / No Grav.]])</f>
        <v>3600.0041000000001</v>
      </c>
      <c r="Q46" s="148" t="str">
        <f>IFERROR(IF(compras_mes1[[#This Row],[CUIT]]="","-",VLOOKUP(compras_mes1[[#This Row],[CUIT]],Lista_CUIT[#All],3,0)),"CUIT NO CARGADO")</f>
        <v>PAPELERIA</v>
      </c>
      <c r="R46" s="148">
        <f>IFERROR(IF(compras_mes1[[#This Row],[CUIT]]="","-",VLOOKUP(compras_mes1[[#This Row],[CUIT]],Lista_CUIT[#All],4,0)),"CUIT NO CARGADO")</f>
        <v>0</v>
      </c>
    </row>
    <row r="47" spans="2:18" x14ac:dyDescent="0.25">
      <c r="B47" s="124">
        <v>44944</v>
      </c>
      <c r="C47" s="41">
        <v>1</v>
      </c>
      <c r="D47" s="125">
        <v>120</v>
      </c>
      <c r="E47" s="138">
        <v>2036</v>
      </c>
      <c r="F47" s="126">
        <v>30587197215</v>
      </c>
      <c r="G47" s="127" t="str">
        <f>IFERROR(IF(compras_mes1[[#This Row],[CUIT]]="","-",VLOOKUP(compras_mes1[[#This Row],[CUIT]],Lista_CUIT[#All],2,0)),"CUIT NO CARGADO")</f>
        <v>PANATEL SOCIEDAD ANONIMA</v>
      </c>
      <c r="H47" s="128">
        <v>9504.1299999999992</v>
      </c>
      <c r="I47" s="129">
        <f>IF(compras_mes1[[#This Row],[NETO GRAVADO]]="","",compras_mes1[[#This Row],[NETO GRAVADO]]*0.21)</f>
        <v>1995.8672999999997</v>
      </c>
      <c r="J47" s="129"/>
      <c r="K47" s="129"/>
      <c r="L47" s="129"/>
      <c r="M47" s="129"/>
      <c r="N47" s="129"/>
      <c r="O47" s="129"/>
      <c r="P47" s="130">
        <f>SUM(compras_mes1[[#This Row],[NETO GRAVADO]:[Otros / No Grav.]])</f>
        <v>11499.997299999999</v>
      </c>
      <c r="Q47" s="131" t="str">
        <f>IFERROR(IF(compras_mes1[[#This Row],[CUIT]]="","-",VLOOKUP(compras_mes1[[#This Row],[CUIT]],Lista_CUIT[#All],3,0)),"CUIT NO CARGADO")</f>
        <v>Gastos Varios</v>
      </c>
      <c r="R47" s="131">
        <f>IFERROR(IF(compras_mes1[[#This Row],[CUIT]]="","-",VLOOKUP(compras_mes1[[#This Row],[CUIT]],Lista_CUIT[#All],4,0)),"CUIT NO CARGADO")</f>
        <v>0</v>
      </c>
    </row>
    <row r="48" spans="2:18" x14ac:dyDescent="0.25">
      <c r="B48" s="124" t="s">
        <v>2209</v>
      </c>
      <c r="C48" s="41">
        <v>1</v>
      </c>
      <c r="D48" s="125">
        <v>4</v>
      </c>
      <c r="E48" s="138">
        <v>3963</v>
      </c>
      <c r="F48" s="126">
        <v>20113613646</v>
      </c>
      <c r="G48" s="127" t="str">
        <f>IFERROR(IF(compras_mes1[[#This Row],[CUIT]]="","-",VLOOKUP(compras_mes1[[#This Row],[CUIT]],Lista_CUIT[#All],2,0)),"CUIT NO CARGADO")</f>
        <v>PIETRUSZKA ALBERTO</v>
      </c>
      <c r="H48" s="128">
        <v>3801.65</v>
      </c>
      <c r="I48" s="129">
        <f>IF(compras_mes1[[#This Row],[NETO GRAVADO]]="","",compras_mes1[[#This Row],[NETO GRAVADO]]*0.21)</f>
        <v>798.34649999999999</v>
      </c>
      <c r="J48" s="129"/>
      <c r="K48" s="129"/>
      <c r="L48" s="129"/>
      <c r="M48" s="129"/>
      <c r="N48" s="129"/>
      <c r="O48" s="129"/>
      <c r="P48" s="130">
        <f>SUM(compras_mes1[[#This Row],[NETO GRAVADO]:[Otros / No Grav.]])</f>
        <v>4599.9965000000002</v>
      </c>
      <c r="Q48" s="131" t="str">
        <f>IFERROR(IF(compras_mes1[[#This Row],[CUIT]]="","-",VLOOKUP(compras_mes1[[#This Row],[CUIT]],Lista_CUIT[#All],3,0)),"CUIT NO CARGADO")</f>
        <v>PAPELERIA</v>
      </c>
      <c r="R48" s="131">
        <f>IFERROR(IF(compras_mes1[[#This Row],[CUIT]]="","-",VLOOKUP(compras_mes1[[#This Row],[CUIT]],Lista_CUIT[#All],4,0)),"CUIT NO CARGADO")</f>
        <v>0</v>
      </c>
    </row>
    <row r="49" spans="2:18" x14ac:dyDescent="0.25">
      <c r="B49" s="124" t="s">
        <v>2211</v>
      </c>
      <c r="C49" s="41">
        <v>1</v>
      </c>
      <c r="D49" s="125">
        <v>3</v>
      </c>
      <c r="E49" s="138">
        <v>5276</v>
      </c>
      <c r="F49" s="126">
        <v>33708218699</v>
      </c>
      <c r="G49" s="127" t="str">
        <f>IFERROR(IF(compras_mes1[[#This Row],[CUIT]]="","-",VLOOKUP(compras_mes1[[#This Row],[CUIT]],Lista_CUIT[#All],2,0)),"CUIT NO CARGADO")</f>
        <v>MANGGINI PABLO Y MANGGINI ULISES SOC. DE HECHO.</v>
      </c>
      <c r="H49" s="128">
        <v>3500</v>
      </c>
      <c r="I49" s="129">
        <f>IF(compras_mes1[[#This Row],[NETO GRAVADO]]="","",compras_mes1[[#This Row],[NETO GRAVADO]]*0.21)</f>
        <v>735</v>
      </c>
      <c r="J49" s="129"/>
      <c r="K49" s="129"/>
      <c r="L49" s="129"/>
      <c r="M49" s="129"/>
      <c r="N49" s="129"/>
      <c r="O49" s="129"/>
      <c r="P49" s="130">
        <f>SUM(compras_mes1[[#This Row],[NETO GRAVADO]:[Otros / No Grav.]])</f>
        <v>4235</v>
      </c>
      <c r="Q49" s="131" t="str">
        <f>IFERROR(IF(compras_mes1[[#This Row],[CUIT]]="","-",VLOOKUP(compras_mes1[[#This Row],[CUIT]],Lista_CUIT[#All],3,0)),"CUIT NO CARGADO")</f>
        <v>Gastos Varios</v>
      </c>
      <c r="R49" s="131">
        <f>IFERROR(IF(compras_mes1[[#This Row],[CUIT]]="","-",VLOOKUP(compras_mes1[[#This Row],[CUIT]],Lista_CUIT[#All],4,0)),"CUIT NO CARGADO")</f>
        <v>0</v>
      </c>
    </row>
    <row r="50" spans="2:18" x14ac:dyDescent="0.25">
      <c r="B50" s="124" t="s">
        <v>2210</v>
      </c>
      <c r="C50" s="41">
        <v>1</v>
      </c>
      <c r="D50" s="125">
        <v>24</v>
      </c>
      <c r="E50" s="138">
        <v>5550</v>
      </c>
      <c r="F50" s="126">
        <v>30540059078</v>
      </c>
      <c r="G50" s="127" t="str">
        <f>IFERROR(IF(compras_mes1[[#This Row],[CUIT]]="","-",VLOOKUP(compras_mes1[[#This Row],[CUIT]],Lista_CUIT[#All],2,0)),"CUIT NO CARGADO")</f>
        <v>VIEL AUTOMOTORES S A C I F I</v>
      </c>
      <c r="H50" s="128">
        <v>38250</v>
      </c>
      <c r="I50" s="129">
        <f>IF(compras_mes1[[#This Row],[NETO GRAVADO]]="","",compras_mes1[[#This Row],[NETO GRAVADO]]*0.21)</f>
        <v>8032.5</v>
      </c>
      <c r="J50" s="129"/>
      <c r="K50" s="129"/>
      <c r="L50" s="129"/>
      <c r="M50" s="129"/>
      <c r="N50" s="129">
        <v>1338.75</v>
      </c>
      <c r="O50" s="129"/>
      <c r="P50" s="130">
        <f>SUM(compras_mes1[[#This Row],[NETO GRAVADO]:[Otros / No Grav.]])</f>
        <v>47621.25</v>
      </c>
      <c r="Q50" s="131" t="str">
        <f>IFERROR(IF(compras_mes1[[#This Row],[CUIT]]="","-",VLOOKUP(compras_mes1[[#This Row],[CUIT]],Lista_CUIT[#All],3,0)),"CUIT NO CARGADO")</f>
        <v>GASTOS MANTENIMIENTO</v>
      </c>
      <c r="R50" s="131">
        <f>IFERROR(IF(compras_mes1[[#This Row],[CUIT]]="","-",VLOOKUP(compras_mes1[[#This Row],[CUIT]],Lista_CUIT[#All],4,0)),"CUIT NO CARGADO")</f>
        <v>0</v>
      </c>
    </row>
    <row r="51" spans="2:18" x14ac:dyDescent="0.25">
      <c r="B51" s="124">
        <v>44957</v>
      </c>
      <c r="C51" s="41">
        <v>1</v>
      </c>
      <c r="D51" s="125">
        <v>24</v>
      </c>
      <c r="E51" s="138">
        <v>5638</v>
      </c>
      <c r="F51" s="126">
        <v>30540059078</v>
      </c>
      <c r="G51" s="127" t="str">
        <f>IFERROR(IF(compras_mes1[[#This Row],[CUIT]]="","-",VLOOKUP(compras_mes1[[#This Row],[CUIT]],Lista_CUIT[#All],2,0)),"CUIT NO CARGADO")</f>
        <v>VIEL AUTOMOTORES S A C I F I</v>
      </c>
      <c r="H51" s="128">
        <v>33713.230000000003</v>
      </c>
      <c r="I51" s="129">
        <f>IF(compras_mes1[[#This Row],[NETO GRAVADO]]="","",compras_mes1[[#This Row],[NETO GRAVADO]]*0.21)</f>
        <v>7079.7783000000009</v>
      </c>
      <c r="J51" s="129"/>
      <c r="K51" s="129"/>
      <c r="L51" s="129"/>
      <c r="M51" s="129"/>
      <c r="N51" s="129">
        <v>1179.96</v>
      </c>
      <c r="O51" s="129"/>
      <c r="P51" s="130">
        <f>SUM(compras_mes1[[#This Row],[NETO GRAVADO]:[Otros / No Grav.]])</f>
        <v>41972.9683</v>
      </c>
      <c r="Q51" s="131" t="str">
        <f>IFERROR(IF(compras_mes1[[#This Row],[CUIT]]="","-",VLOOKUP(compras_mes1[[#This Row],[CUIT]],Lista_CUIT[#All],3,0)),"CUIT NO CARGADO")</f>
        <v>GASTOS MANTENIMIENTO</v>
      </c>
      <c r="R51" s="131">
        <f>IFERROR(IF(compras_mes1[[#This Row],[CUIT]]="","-",VLOOKUP(compras_mes1[[#This Row],[CUIT]],Lista_CUIT[#All],4,0)),"CUIT NO CARGADO")</f>
        <v>0</v>
      </c>
    </row>
    <row r="52" spans="2:18" x14ac:dyDescent="0.25">
      <c r="B52" s="124" t="s">
        <v>2212</v>
      </c>
      <c r="C52" s="41">
        <v>1</v>
      </c>
      <c r="D52" s="125">
        <v>2</v>
      </c>
      <c r="E52" s="138">
        <v>7486</v>
      </c>
      <c r="F52" s="126">
        <v>30714331082</v>
      </c>
      <c r="G52" s="127" t="str">
        <f>IFERROR(IF(compras_mes1[[#This Row],[CUIT]]="","-",VLOOKUP(compras_mes1[[#This Row],[CUIT]],Lista_CUIT[#All],2,0)),"CUIT NO CARGADO")</f>
        <v>ORTOPEDIA CASA ESCALADA SRL</v>
      </c>
      <c r="H52" s="128">
        <v>58765.4</v>
      </c>
      <c r="I52" s="129">
        <f>IF(compras_mes1[[#This Row],[NETO GRAVADO]]="","",compras_mes1[[#This Row],[NETO GRAVADO]]*0.21)</f>
        <v>12340.734</v>
      </c>
      <c r="J52" s="129"/>
      <c r="K52" s="129"/>
      <c r="L52" s="129"/>
      <c r="M52" s="129"/>
      <c r="N52" s="129"/>
      <c r="O52" s="129"/>
      <c r="P52" s="130">
        <f>SUM(compras_mes1[[#This Row],[NETO GRAVADO]:[Otros / No Grav.]])</f>
        <v>71106.134000000005</v>
      </c>
      <c r="Q52" s="131" t="str">
        <f>IFERROR(IF(compras_mes1[[#This Row],[CUIT]]="","-",VLOOKUP(compras_mes1[[#This Row],[CUIT]],Lista_CUIT[#All],3,0)),"CUIT NO CARGADO")</f>
        <v>Productos Ortopedicos</v>
      </c>
      <c r="R52" s="131">
        <f>IFERROR(IF(compras_mes1[[#This Row],[CUIT]]="","-",VLOOKUP(compras_mes1[[#This Row],[CUIT]],Lista_CUIT[#All],4,0)),"CUIT NO CARGADO")</f>
        <v>0</v>
      </c>
    </row>
    <row r="53" spans="2:18" x14ac:dyDescent="0.25">
      <c r="B53" s="124" t="s">
        <v>2214</v>
      </c>
      <c r="C53" s="41">
        <v>1</v>
      </c>
      <c r="D53" s="125">
        <v>2</v>
      </c>
      <c r="E53" s="138">
        <v>7509</v>
      </c>
      <c r="F53" s="126">
        <v>30714331082</v>
      </c>
      <c r="G53" s="127" t="str">
        <f>IFERROR(IF(compras_mes1[[#This Row],[CUIT]]="","-",VLOOKUP(compras_mes1[[#This Row],[CUIT]],Lista_CUIT[#All],2,0)),"CUIT NO CARGADO")</f>
        <v>ORTOPEDIA CASA ESCALADA SRL</v>
      </c>
      <c r="H53" s="128">
        <v>87413.17</v>
      </c>
      <c r="I53" s="129">
        <f>IF(compras_mes1[[#This Row],[NETO GRAVADO]]="","",compras_mes1[[#This Row],[NETO GRAVADO]]*0.21)</f>
        <v>18356.7657</v>
      </c>
      <c r="J53" s="129"/>
      <c r="K53" s="129"/>
      <c r="L53" s="129"/>
      <c r="M53" s="129"/>
      <c r="N53" s="129"/>
      <c r="O53" s="129"/>
      <c r="P53" s="130">
        <f>SUM(compras_mes1[[#This Row],[NETO GRAVADO]:[Otros / No Grav.]])</f>
        <v>105769.9357</v>
      </c>
      <c r="Q53" s="131" t="str">
        <f>IFERROR(IF(compras_mes1[[#This Row],[CUIT]]="","-",VLOOKUP(compras_mes1[[#This Row],[CUIT]],Lista_CUIT[#All],3,0)),"CUIT NO CARGADO")</f>
        <v>Productos Ortopedicos</v>
      </c>
      <c r="R53" s="131">
        <f>IFERROR(IF(compras_mes1[[#This Row],[CUIT]]="","-",VLOOKUP(compras_mes1[[#This Row],[CUIT]],Lista_CUIT[#All],4,0)),"CUIT NO CARGADO")</f>
        <v>0</v>
      </c>
    </row>
    <row r="54" spans="2:18" x14ac:dyDescent="0.25">
      <c r="B54" s="124" t="s">
        <v>2204</v>
      </c>
      <c r="C54" s="41">
        <v>1</v>
      </c>
      <c r="D54" s="125">
        <v>3</v>
      </c>
      <c r="E54" s="138">
        <v>7516</v>
      </c>
      <c r="F54" s="126">
        <v>20045615473</v>
      </c>
      <c r="G54" s="127" t="str">
        <f>IFERROR(IF(compras_mes1[[#This Row],[CUIT]]="","-",VLOOKUP(compras_mes1[[#This Row],[CUIT]],Lista_CUIT[#All],2,0)),"CUIT NO CARGADO")</f>
        <v xml:space="preserve">DI FEO HUGO PASCUAL </v>
      </c>
      <c r="H54" s="128">
        <v>9500</v>
      </c>
      <c r="I54" s="129">
        <f>IF(compras_mes1[[#This Row],[NETO GRAVADO]]="","",compras_mes1[[#This Row],[NETO GRAVADO]]*0.21)</f>
        <v>1995</v>
      </c>
      <c r="J54" s="129"/>
      <c r="K54" s="129"/>
      <c r="L54" s="129"/>
      <c r="M54" s="129"/>
      <c r="N54" s="129"/>
      <c r="O54" s="129"/>
      <c r="P54" s="130">
        <f>SUM(compras_mes1[[#This Row],[NETO GRAVADO]:[Otros / No Grav.]])</f>
        <v>11495</v>
      </c>
      <c r="Q54" s="131" t="str">
        <f>IFERROR(IF(compras_mes1[[#This Row],[CUIT]]="","-",VLOOKUP(compras_mes1[[#This Row],[CUIT]],Lista_CUIT[#All],3,0)),"CUIT NO CARGADO")</f>
        <v>Productos Ortopedicos</v>
      </c>
      <c r="R54" s="131">
        <f>IFERROR(IF(compras_mes1[[#This Row],[CUIT]]="","-",VLOOKUP(compras_mes1[[#This Row],[CUIT]],Lista_CUIT[#All],4,0)),"CUIT NO CARGADO")</f>
        <v>0</v>
      </c>
    </row>
    <row r="55" spans="2:18" x14ac:dyDescent="0.25">
      <c r="B55" s="124">
        <v>44945</v>
      </c>
      <c r="C55" s="41">
        <v>1</v>
      </c>
      <c r="D55" s="125">
        <v>2</v>
      </c>
      <c r="E55" s="138">
        <v>7523</v>
      </c>
      <c r="F55" s="126">
        <v>30714331082</v>
      </c>
      <c r="G55" s="127" t="str">
        <f>IFERROR(IF(compras_mes1[[#This Row],[CUIT]]="","-",VLOOKUP(compras_mes1[[#This Row],[CUIT]],Lista_CUIT[#All],2,0)),"CUIT NO CARGADO")</f>
        <v>ORTOPEDIA CASA ESCALADA SRL</v>
      </c>
      <c r="H55" s="128">
        <v>240000</v>
      </c>
      <c r="I55" s="129">
        <f>IF(compras_mes1[[#This Row],[NETO GRAVADO]]="","",compras_mes1[[#This Row],[NETO GRAVADO]]*0.21)</f>
        <v>50400</v>
      </c>
      <c r="J55" s="129"/>
      <c r="K55" s="129"/>
      <c r="L55" s="129"/>
      <c r="M55" s="129"/>
      <c r="N55" s="129"/>
      <c r="O55" s="129"/>
      <c r="P55" s="130">
        <f>SUM(compras_mes1[[#This Row],[NETO GRAVADO]:[Otros / No Grav.]])</f>
        <v>290400</v>
      </c>
      <c r="Q55" s="131" t="str">
        <f>IFERROR(IF(compras_mes1[[#This Row],[CUIT]]="","-",VLOOKUP(compras_mes1[[#This Row],[CUIT]],Lista_CUIT[#All],3,0)),"CUIT NO CARGADO")</f>
        <v>Productos Ortopedicos</v>
      </c>
      <c r="R55" s="131">
        <f>IFERROR(IF(compras_mes1[[#This Row],[CUIT]]="","-",VLOOKUP(compras_mes1[[#This Row],[CUIT]],Lista_CUIT[#All],4,0)),"CUIT NO CARGADO")</f>
        <v>0</v>
      </c>
    </row>
    <row r="56" spans="2:18" x14ac:dyDescent="0.25">
      <c r="B56" s="124" t="s">
        <v>2210</v>
      </c>
      <c r="C56" s="41">
        <v>1</v>
      </c>
      <c r="D56" s="125">
        <v>3</v>
      </c>
      <c r="E56" s="138">
        <v>7532</v>
      </c>
      <c r="F56" s="126">
        <v>20045615473</v>
      </c>
      <c r="G56" s="127" t="str">
        <f>IFERROR(IF(compras_mes1[[#This Row],[CUIT]]="","-",VLOOKUP(compras_mes1[[#This Row],[CUIT]],Lista_CUIT[#All],2,0)),"CUIT NO CARGADO")</f>
        <v xml:space="preserve">DI FEO HUGO PASCUAL </v>
      </c>
      <c r="H56" s="128">
        <v>24360</v>
      </c>
      <c r="I56" s="129">
        <f>IF(compras_mes1[[#This Row],[NETO GRAVADO]]="","",compras_mes1[[#This Row],[NETO GRAVADO]]*0.21)</f>
        <v>5115.5999999999995</v>
      </c>
      <c r="J56" s="129"/>
      <c r="K56" s="129"/>
      <c r="L56" s="129"/>
      <c r="M56" s="129"/>
      <c r="N56" s="129"/>
      <c r="O56" s="129"/>
      <c r="P56" s="130">
        <f>SUM(compras_mes1[[#This Row],[NETO GRAVADO]:[Otros / No Grav.]])</f>
        <v>29475.599999999999</v>
      </c>
      <c r="Q56" s="131" t="str">
        <f>IFERROR(IF(compras_mes1[[#This Row],[CUIT]]="","-",VLOOKUP(compras_mes1[[#This Row],[CUIT]],Lista_CUIT[#All],3,0)),"CUIT NO CARGADO")</f>
        <v>Productos Ortopedicos</v>
      </c>
      <c r="R56" s="131">
        <f>IFERROR(IF(compras_mes1[[#This Row],[CUIT]]="","-",VLOOKUP(compras_mes1[[#This Row],[CUIT]],Lista_CUIT[#All],4,0)),"CUIT NO CARGADO")</f>
        <v>0</v>
      </c>
    </row>
    <row r="57" spans="2:18" x14ac:dyDescent="0.25">
      <c r="B57" s="124" t="s">
        <v>2210</v>
      </c>
      <c r="C57" s="41">
        <v>1</v>
      </c>
      <c r="D57" s="125">
        <v>3</v>
      </c>
      <c r="E57" s="138">
        <v>7535</v>
      </c>
      <c r="F57" s="126">
        <v>20045615473</v>
      </c>
      <c r="G57" s="127" t="str">
        <f>IFERROR(IF(compras_mes1[[#This Row],[CUIT]]="","-",VLOOKUP(compras_mes1[[#This Row],[CUIT]],Lista_CUIT[#All],2,0)),"CUIT NO CARGADO")</f>
        <v xml:space="preserve">DI FEO HUGO PASCUAL </v>
      </c>
      <c r="H57" s="128">
        <v>3260</v>
      </c>
      <c r="I57" s="129">
        <f>IF(compras_mes1[[#This Row],[NETO GRAVADO]]="","",compras_mes1[[#This Row],[NETO GRAVADO]]*0.21)</f>
        <v>684.6</v>
      </c>
      <c r="J57" s="129"/>
      <c r="K57" s="129"/>
      <c r="L57" s="129"/>
      <c r="M57" s="129"/>
      <c r="N57" s="129"/>
      <c r="O57" s="129"/>
      <c r="P57" s="130">
        <f>SUM(compras_mes1[[#This Row],[NETO GRAVADO]:[Otros / No Grav.]])</f>
        <v>3944.6</v>
      </c>
      <c r="Q57" s="131" t="str">
        <f>IFERROR(IF(compras_mes1[[#This Row],[CUIT]]="","-",VLOOKUP(compras_mes1[[#This Row],[CUIT]],Lista_CUIT[#All],3,0)),"CUIT NO CARGADO")</f>
        <v>Productos Ortopedicos</v>
      </c>
      <c r="R57" s="131">
        <f>IFERROR(IF(compras_mes1[[#This Row],[CUIT]]="","-",VLOOKUP(compras_mes1[[#This Row],[CUIT]],Lista_CUIT[#All],4,0)),"CUIT NO CARGADO")</f>
        <v>0</v>
      </c>
    </row>
    <row r="58" spans="2:18" ht="17.25" customHeight="1" x14ac:dyDescent="0.25">
      <c r="B58" s="124">
        <v>44952</v>
      </c>
      <c r="C58" s="41">
        <v>1</v>
      </c>
      <c r="D58" s="125">
        <v>2</v>
      </c>
      <c r="E58" s="138">
        <v>7597</v>
      </c>
      <c r="F58" s="126">
        <v>30714331082</v>
      </c>
      <c r="G58" s="127" t="str">
        <f>IFERROR(IF(compras_mes1[[#This Row],[CUIT]]="","-",VLOOKUP(compras_mes1[[#This Row],[CUIT]],Lista_CUIT[#All],2,0)),"CUIT NO CARGADO")</f>
        <v>ORTOPEDIA CASA ESCALADA SRL</v>
      </c>
      <c r="H58" s="128">
        <v>50312.88</v>
      </c>
      <c r="I58" s="129">
        <f>IF(compras_mes1[[#This Row],[NETO GRAVADO]]="","",compras_mes1[[#This Row],[NETO GRAVADO]]*0.21)</f>
        <v>10565.7048</v>
      </c>
      <c r="J58" s="129"/>
      <c r="K58" s="129"/>
      <c r="L58" s="129"/>
      <c r="M58" s="129"/>
      <c r="N58" s="129"/>
      <c r="O58" s="129"/>
      <c r="P58" s="130">
        <f>SUM(compras_mes1[[#This Row],[NETO GRAVADO]:[Otros / No Grav.]])</f>
        <v>60878.584799999997</v>
      </c>
      <c r="Q58" s="131" t="str">
        <f>IFERROR(IF(compras_mes1[[#This Row],[CUIT]]="","-",VLOOKUP(compras_mes1[[#This Row],[CUIT]],Lista_CUIT[#All],3,0)),"CUIT NO CARGADO")</f>
        <v>Productos Ortopedicos</v>
      </c>
      <c r="R58" s="131">
        <f>IFERROR(IF(compras_mes1[[#This Row],[CUIT]]="","-",VLOOKUP(compras_mes1[[#This Row],[CUIT]],Lista_CUIT[#All],4,0)),"CUIT NO CARGADO")</f>
        <v>0</v>
      </c>
    </row>
    <row r="59" spans="2:18" x14ac:dyDescent="0.25">
      <c r="B59" s="124">
        <v>44953</v>
      </c>
      <c r="C59" s="41">
        <v>1</v>
      </c>
      <c r="D59" s="125">
        <v>2</v>
      </c>
      <c r="E59" s="138">
        <v>7603</v>
      </c>
      <c r="F59" s="126">
        <v>30714331082</v>
      </c>
      <c r="G59" s="127" t="str">
        <f>IFERROR(IF(compras_mes1[[#This Row],[CUIT]]="","-",VLOOKUP(compras_mes1[[#This Row],[CUIT]],Lista_CUIT[#All],2,0)),"CUIT NO CARGADO")</f>
        <v>ORTOPEDIA CASA ESCALADA SRL</v>
      </c>
      <c r="H59" s="128">
        <v>13795.36</v>
      </c>
      <c r="I59" s="129">
        <f>IF(compras_mes1[[#This Row],[NETO GRAVADO]]="","",compras_mes1[[#This Row],[NETO GRAVADO]]*0.21)</f>
        <v>2897.0255999999999</v>
      </c>
      <c r="J59" s="129"/>
      <c r="K59" s="129"/>
      <c r="L59" s="129"/>
      <c r="M59" s="129"/>
      <c r="N59" s="129"/>
      <c r="O59" s="129"/>
      <c r="P59" s="130">
        <f>SUM(compras_mes1[[#This Row],[NETO GRAVADO]:[Otros / No Grav.]])</f>
        <v>16692.385600000001</v>
      </c>
      <c r="Q59" s="131" t="str">
        <f>IFERROR(IF(compras_mes1[[#This Row],[CUIT]]="","-",VLOOKUP(compras_mes1[[#This Row],[CUIT]],Lista_CUIT[#All],3,0)),"CUIT NO CARGADO")</f>
        <v>Productos Ortopedicos</v>
      </c>
      <c r="R59" s="131">
        <f>IFERROR(IF(compras_mes1[[#This Row],[CUIT]]="","-",VLOOKUP(compras_mes1[[#This Row],[CUIT]],Lista_CUIT[#All],4,0)),"CUIT NO CARGADO")</f>
        <v>0</v>
      </c>
    </row>
    <row r="60" spans="2:18" x14ac:dyDescent="0.25">
      <c r="B60" s="124">
        <v>44945</v>
      </c>
      <c r="C60" s="41">
        <v>1</v>
      </c>
      <c r="D60" s="125">
        <v>101</v>
      </c>
      <c r="E60" s="138">
        <v>7818</v>
      </c>
      <c r="F60" s="126">
        <v>33711430879</v>
      </c>
      <c r="G60" s="127" t="str">
        <f>IFERROR(IF(compras_mes1[[#This Row],[CUIT]]="","-",VLOOKUP(compras_mes1[[#This Row],[CUIT]],Lista_CUIT[#All],2,0)),"CUIT NO CARGADO")</f>
        <v>BALANZE S.A.</v>
      </c>
      <c r="H60" s="128">
        <v>75000</v>
      </c>
      <c r="I60" s="129">
        <f>IF(compras_mes1[[#This Row],[NETO GRAVADO]]="","",compras_mes1[[#This Row],[NETO GRAVADO]]*0.21)</f>
        <v>15750</v>
      </c>
      <c r="J60" s="129"/>
      <c r="K60" s="129"/>
      <c r="L60" s="129"/>
      <c r="M60" s="129"/>
      <c r="N60" s="129"/>
      <c r="O60" s="129"/>
      <c r="P60" s="130">
        <f>SUM(compras_mes1[[#This Row],[NETO GRAVADO]:[Otros / No Grav.]])</f>
        <v>90750</v>
      </c>
      <c r="Q60" s="131" t="str">
        <f>IFERROR(IF(compras_mes1[[#This Row],[CUIT]]="","-",VLOOKUP(compras_mes1[[#This Row],[CUIT]],Lista_CUIT[#All],3,0)),"CUIT NO CARGADO")</f>
        <v>INSUMO</v>
      </c>
      <c r="R60" s="131">
        <f>IFERROR(IF(compras_mes1[[#This Row],[CUIT]]="","-",VLOOKUP(compras_mes1[[#This Row],[CUIT]],Lista_CUIT[#All],4,0)),"CUIT NO CARGADO")</f>
        <v>0</v>
      </c>
    </row>
    <row r="61" spans="2:18" x14ac:dyDescent="0.25">
      <c r="B61" s="139" t="s">
        <v>2208</v>
      </c>
      <c r="C61" s="140">
        <v>3</v>
      </c>
      <c r="D61" s="141">
        <v>143</v>
      </c>
      <c r="E61" s="142">
        <v>8889</v>
      </c>
      <c r="F61" s="143">
        <v>30556565798</v>
      </c>
      <c r="G61" s="144" t="str">
        <f>IFERROR(IF(compras_mes1[[#This Row],[CUIT]]="","-",VLOOKUP(compras_mes1[[#This Row],[CUIT]],Lista_CUIT[#All],2,0)),"CUIT NO CARGADO")</f>
        <v>VICTOR MASSON TRANSPORTES CRUZ DEL SUR S A</v>
      </c>
      <c r="H61" s="145">
        <v>-40175.24</v>
      </c>
      <c r="I61" s="146">
        <f>IF(compras_mes1[[#This Row],[NETO GRAVADO]]="","",compras_mes1[[#This Row],[NETO GRAVADO]]*0.21)</f>
        <v>-8436.8004000000001</v>
      </c>
      <c r="J61" s="146"/>
      <c r="K61" s="146"/>
      <c r="L61" s="146"/>
      <c r="M61" s="146"/>
      <c r="N61" s="146"/>
      <c r="O61" s="146"/>
      <c r="P61" s="147">
        <f>SUM(compras_mes1[[#This Row],[NETO GRAVADO]:[Otros / No Grav.]])</f>
        <v>-48612.040399999998</v>
      </c>
      <c r="Q61" s="148" t="str">
        <f>IFERROR(IF(compras_mes1[[#This Row],[CUIT]]="","-",VLOOKUP(compras_mes1[[#This Row],[CUIT]],Lista_CUIT[#All],3,0)),"CUIT NO CARGADO")</f>
        <v>FLETE</v>
      </c>
      <c r="R61" s="148">
        <f>IFERROR(IF(compras_mes1[[#This Row],[CUIT]]="","-",VLOOKUP(compras_mes1[[#This Row],[CUIT]],Lista_CUIT[#All],4,0)),"CUIT NO CARGADO")</f>
        <v>0</v>
      </c>
    </row>
    <row r="62" spans="2:18" x14ac:dyDescent="0.25">
      <c r="B62" s="124">
        <v>44950</v>
      </c>
      <c r="C62" s="41">
        <v>1</v>
      </c>
      <c r="D62" s="125">
        <v>9038</v>
      </c>
      <c r="E62" s="138">
        <v>9802</v>
      </c>
      <c r="F62" s="126">
        <v>30678774495</v>
      </c>
      <c r="G62" s="127" t="str">
        <f>IFERROR(IF(compras_mes1[[#This Row],[CUIT]]="","-",VLOOKUP(compras_mes1[[#This Row],[CUIT]],Lista_CUIT[#All],2,0)),"CUIT NO CARGADO")</f>
        <v>OPER. DE EST. DE SERV. SA</v>
      </c>
      <c r="H62" s="128">
        <v>7096.8</v>
      </c>
      <c r="I62" s="129">
        <f>IF(compras_mes1[[#This Row],[NETO GRAVADO]]="","",compras_mes1[[#This Row],[NETO GRAVADO]]*0.21)</f>
        <v>1490.328</v>
      </c>
      <c r="J62" s="129"/>
      <c r="K62" s="129"/>
      <c r="L62" s="129"/>
      <c r="M62" s="129"/>
      <c r="N62" s="129"/>
      <c r="O62" s="129">
        <v>625.38</v>
      </c>
      <c r="P62" s="130">
        <f>SUM(compras_mes1[[#This Row],[NETO GRAVADO]:[Otros / No Grav.]])</f>
        <v>9212.5079999999998</v>
      </c>
      <c r="Q62" s="131" t="str">
        <f>IFERROR(IF(compras_mes1[[#This Row],[CUIT]]="","-",VLOOKUP(compras_mes1[[#This Row],[CUIT]],Lista_CUIT[#All],3,0)),"CUIT NO CARGADO")</f>
        <v>COMBUSTIBLE</v>
      </c>
      <c r="R62" s="131">
        <f>IFERROR(IF(compras_mes1[[#This Row],[CUIT]]="","-",VLOOKUP(compras_mes1[[#This Row],[CUIT]],Lista_CUIT[#All],4,0)),"CUIT NO CARGADO")</f>
        <v>0</v>
      </c>
    </row>
    <row r="63" spans="2:18" x14ac:dyDescent="0.25">
      <c r="B63" s="124" t="s">
        <v>2205</v>
      </c>
      <c r="C63" s="41">
        <v>1</v>
      </c>
      <c r="D63" s="125">
        <v>7</v>
      </c>
      <c r="E63" s="138">
        <v>14397</v>
      </c>
      <c r="F63" s="126">
        <v>30709214078</v>
      </c>
      <c r="G63" s="127" t="str">
        <f>IFERROR(IF(compras_mes1[[#This Row],[CUIT]]="","-",VLOOKUP(compras_mes1[[#This Row],[CUIT]],Lista_CUIT[#All],2,0)),"CUIT NO CARGADO")</f>
        <v>REHAVITA S.A</v>
      </c>
      <c r="H63" s="128">
        <v>89883</v>
      </c>
      <c r="I63" s="129"/>
      <c r="J63" s="129"/>
      <c r="K63" s="129">
        <v>9437.7199999999993</v>
      </c>
      <c r="L63" s="129"/>
      <c r="M63" s="129"/>
      <c r="N63" s="129"/>
      <c r="O63" s="129"/>
      <c r="P63" s="130">
        <f>SUM(compras_mes1[[#This Row],[NETO GRAVADO]:[Otros / No Grav.]])</f>
        <v>99320.72</v>
      </c>
      <c r="Q63" s="131" t="str">
        <f>IFERROR(IF(compras_mes1[[#This Row],[CUIT]]="","-",VLOOKUP(compras_mes1[[#This Row],[CUIT]],Lista_CUIT[#All],3,0)),"CUIT NO CARGADO")</f>
        <v>Productos Ortopedicos</v>
      </c>
      <c r="R63" s="131">
        <f>IFERROR(IF(compras_mes1[[#This Row],[CUIT]]="","-",VLOOKUP(compras_mes1[[#This Row],[CUIT]],Lista_CUIT[#All],4,0)),"CUIT NO CARGADO")</f>
        <v>0</v>
      </c>
    </row>
    <row r="64" spans="2:18" x14ac:dyDescent="0.25">
      <c r="B64" s="124" t="s">
        <v>2209</v>
      </c>
      <c r="C64" s="41">
        <v>1</v>
      </c>
      <c r="D64" s="125">
        <v>7</v>
      </c>
      <c r="E64" s="138">
        <v>14442</v>
      </c>
      <c r="F64" s="126">
        <v>30709214078</v>
      </c>
      <c r="G64" s="127" t="str">
        <f>IFERROR(IF(compras_mes1[[#This Row],[CUIT]]="","-",VLOOKUP(compras_mes1[[#This Row],[CUIT]],Lista_CUIT[#All],2,0)),"CUIT NO CARGADO")</f>
        <v>REHAVITA S.A</v>
      </c>
      <c r="H64" s="128">
        <v>89883</v>
      </c>
      <c r="I64" s="129"/>
      <c r="J64" s="129"/>
      <c r="K64" s="129">
        <v>9437.7199999999993</v>
      </c>
      <c r="L64" s="129"/>
      <c r="M64" s="129"/>
      <c r="N64" s="129"/>
      <c r="O64" s="129"/>
      <c r="P64" s="130">
        <f>SUM(compras_mes1[[#This Row],[NETO GRAVADO]:[Otros / No Grav.]])</f>
        <v>99320.72</v>
      </c>
      <c r="Q64" s="131" t="str">
        <f>IFERROR(IF(compras_mes1[[#This Row],[CUIT]]="","-",VLOOKUP(compras_mes1[[#This Row],[CUIT]],Lista_CUIT[#All],3,0)),"CUIT NO CARGADO")</f>
        <v>Productos Ortopedicos</v>
      </c>
      <c r="R64" s="131">
        <f>IFERROR(IF(compras_mes1[[#This Row],[CUIT]]="","-",VLOOKUP(compras_mes1[[#This Row],[CUIT]],Lista_CUIT[#All],4,0)),"CUIT NO CARGADO")</f>
        <v>0</v>
      </c>
    </row>
    <row r="65" spans="2:18" x14ac:dyDescent="0.25">
      <c r="B65" s="124" t="s">
        <v>2211</v>
      </c>
      <c r="C65" s="41">
        <v>1</v>
      </c>
      <c r="D65" s="125">
        <v>7</v>
      </c>
      <c r="E65" s="138">
        <v>14481</v>
      </c>
      <c r="F65" s="126">
        <v>30709214078</v>
      </c>
      <c r="G65" s="127" t="str">
        <f>IFERROR(IF(compras_mes1[[#This Row],[CUIT]]="","-",VLOOKUP(compras_mes1[[#This Row],[CUIT]],Lista_CUIT[#All],2,0)),"CUIT NO CARGADO")</f>
        <v>REHAVITA S.A</v>
      </c>
      <c r="H65" s="128">
        <v>199486</v>
      </c>
      <c r="I65" s="129">
        <f>IF(compras_mes1[[#This Row],[NETO GRAVADO]]="","",compras_mes1[[#This Row],[NETO GRAVADO]]*0.21)</f>
        <v>41892.06</v>
      </c>
      <c r="J65" s="129"/>
      <c r="K65" s="129"/>
      <c r="L65" s="129"/>
      <c r="M65" s="129"/>
      <c r="N65" s="129"/>
      <c r="O65" s="129"/>
      <c r="P65" s="130">
        <f>SUM(compras_mes1[[#This Row],[NETO GRAVADO]:[Otros / No Grav.]])</f>
        <v>241378.06</v>
      </c>
      <c r="Q65" s="131" t="str">
        <f>IFERROR(IF(compras_mes1[[#This Row],[CUIT]]="","-",VLOOKUP(compras_mes1[[#This Row],[CUIT]],Lista_CUIT[#All],3,0)),"CUIT NO CARGADO")</f>
        <v>Productos Ortopedicos</v>
      </c>
      <c r="R65" s="131">
        <f>IFERROR(IF(compras_mes1[[#This Row],[CUIT]]="","-",VLOOKUP(compras_mes1[[#This Row],[CUIT]],Lista_CUIT[#All],4,0)),"CUIT NO CARGADO")</f>
        <v>0</v>
      </c>
    </row>
    <row r="66" spans="2:18" x14ac:dyDescent="0.25">
      <c r="B66" s="124">
        <v>44943</v>
      </c>
      <c r="C66" s="41">
        <v>1</v>
      </c>
      <c r="D66" s="125">
        <v>2</v>
      </c>
      <c r="E66" s="138">
        <v>20679</v>
      </c>
      <c r="F66" s="126">
        <v>23233422029</v>
      </c>
      <c r="G66" s="127" t="str">
        <f>IFERROR(IF(compras_mes1[[#This Row],[CUIT]]="","-",VLOOKUP(compras_mes1[[#This Row],[CUIT]],Lista_CUIT[#All],2,0)),"CUIT NO CARGADO")</f>
        <v>RODOLFO SCHULZE</v>
      </c>
      <c r="H66" s="128">
        <v>5114.7</v>
      </c>
      <c r="I66" s="129">
        <f>IF(compras_mes1[[#This Row],[NETO GRAVADO]]="","",compras_mes1[[#This Row],[NETO GRAVADO]]*0.21)</f>
        <v>1074.087</v>
      </c>
      <c r="J66" s="129"/>
      <c r="K66" s="129"/>
      <c r="L66" s="129"/>
      <c r="M66" s="129"/>
      <c r="N66" s="129"/>
      <c r="O66" s="129"/>
      <c r="P66" s="130">
        <f>SUM(compras_mes1[[#This Row],[NETO GRAVADO]:[Otros / No Grav.]])</f>
        <v>6188.7870000000003</v>
      </c>
      <c r="Q66" s="131" t="str">
        <f>IFERROR(IF(compras_mes1[[#This Row],[CUIT]]="","-",VLOOKUP(compras_mes1[[#This Row],[CUIT]],Lista_CUIT[#All],3,0)),"CUIT NO CARGADO")</f>
        <v>Productos Ortopedicos</v>
      </c>
      <c r="R66" s="131">
        <f>IFERROR(IF(compras_mes1[[#This Row],[CUIT]]="","-",VLOOKUP(compras_mes1[[#This Row],[CUIT]],Lista_CUIT[#All],4,0)),"CUIT NO CARGADO")</f>
        <v>0</v>
      </c>
    </row>
    <row r="67" spans="2:18" x14ac:dyDescent="0.25">
      <c r="B67" s="124">
        <v>44957</v>
      </c>
      <c r="C67" s="41">
        <v>1</v>
      </c>
      <c r="D67" s="125">
        <v>2</v>
      </c>
      <c r="E67" s="138">
        <v>20798</v>
      </c>
      <c r="F67" s="126">
        <v>23233422029</v>
      </c>
      <c r="G67" s="127" t="str">
        <f>IFERROR(IF(compras_mes1[[#This Row],[CUIT]]="","-",VLOOKUP(compras_mes1[[#This Row],[CUIT]],Lista_CUIT[#All],2,0)),"CUIT NO CARGADO")</f>
        <v>RODOLFO SCHULZE</v>
      </c>
      <c r="H67" s="128">
        <v>10945.8</v>
      </c>
      <c r="I67" s="129">
        <f>IF(compras_mes1[[#This Row],[NETO GRAVADO]]="","",compras_mes1[[#This Row],[NETO GRAVADO]]*0.21)</f>
        <v>2298.6179999999999</v>
      </c>
      <c r="J67" s="129"/>
      <c r="K67" s="129"/>
      <c r="L67" s="129"/>
      <c r="M67" s="129"/>
      <c r="N67" s="129"/>
      <c r="O67" s="129"/>
      <c r="P67" s="130">
        <f>SUM(compras_mes1[[#This Row],[NETO GRAVADO]:[Otros / No Grav.]])</f>
        <v>13244.418</v>
      </c>
      <c r="Q67" s="131" t="str">
        <f>IFERROR(IF(compras_mes1[[#This Row],[CUIT]]="","-",VLOOKUP(compras_mes1[[#This Row],[CUIT]],Lista_CUIT[#All],3,0)),"CUIT NO CARGADO")</f>
        <v>Productos Ortopedicos</v>
      </c>
      <c r="R67" s="131">
        <f>IFERROR(IF(compras_mes1[[#This Row],[CUIT]]="","-",VLOOKUP(compras_mes1[[#This Row],[CUIT]],Lista_CUIT[#All],4,0)),"CUIT NO CARGADO")</f>
        <v>0</v>
      </c>
    </row>
    <row r="68" spans="2:18" x14ac:dyDescent="0.25">
      <c r="B68" s="40">
        <v>44929</v>
      </c>
      <c r="C68" s="41">
        <v>1</v>
      </c>
      <c r="D68" s="42">
        <v>6</v>
      </c>
      <c r="E68" s="43">
        <v>21983</v>
      </c>
      <c r="F68" s="44">
        <v>33712276539</v>
      </c>
      <c r="G68" s="45" t="str">
        <f>IFERROR(IF(compras_mes1[[#This Row],[CUIT]]="","-",VLOOKUP(compras_mes1[[#This Row],[CUIT]],Lista_CUIT[#All],2,0)),"CUIT NO CARGADO")</f>
        <v>CASTAÑO AUTOVOX SRL</v>
      </c>
      <c r="H68" s="46">
        <v>4296.67</v>
      </c>
      <c r="I68" s="85">
        <f>IF(compras_mes1[[#This Row],[NETO GRAVADO]]="","",compras_mes1[[#This Row],[NETO GRAVADO]]*0.21)</f>
        <v>902.30070000000001</v>
      </c>
      <c r="J68" s="85"/>
      <c r="K68" s="85"/>
      <c r="L68" s="85"/>
      <c r="M68" s="85"/>
      <c r="N68" s="85">
        <v>150.38</v>
      </c>
      <c r="O68" s="85">
        <v>301.05</v>
      </c>
      <c r="P68" s="48">
        <f>SUM(compras_mes1[[#This Row],[NETO GRAVADO]:[Otros / No Grav.]])</f>
        <v>5650.4007000000001</v>
      </c>
      <c r="Q68" s="49" t="str">
        <f>IFERROR(IF(compras_mes1[[#This Row],[CUIT]]="","-",VLOOKUP(compras_mes1[[#This Row],[CUIT]],Lista_CUIT[#All],3,0)),"CUIT NO CARGADO")</f>
        <v>COMBUSTIBLE</v>
      </c>
      <c r="R68" s="49">
        <f>IFERROR(IF(compras_mes1[[#This Row],[CUIT]]="","-",VLOOKUP(compras_mes1[[#This Row],[CUIT]],Lista_CUIT[#All],4,0)),"CUIT NO CARGADO")</f>
        <v>0</v>
      </c>
    </row>
    <row r="69" spans="2:18" x14ac:dyDescent="0.25">
      <c r="B69" s="124">
        <v>44934</v>
      </c>
      <c r="C69" s="41">
        <v>1</v>
      </c>
      <c r="D69" s="125">
        <v>6</v>
      </c>
      <c r="E69" s="138">
        <v>22028</v>
      </c>
      <c r="F69" s="126">
        <v>33712276539</v>
      </c>
      <c r="G69" s="127" t="str">
        <f>IFERROR(IF(compras_mes1[[#This Row],[CUIT]]="","-",VLOOKUP(compras_mes1[[#This Row],[CUIT]],Lista_CUIT[#All],2,0)),"CUIT NO CARGADO")</f>
        <v>CASTAÑO AUTOVOX SRL</v>
      </c>
      <c r="H69" s="128">
        <v>1957.98</v>
      </c>
      <c r="I69" s="129">
        <f>IF(compras_mes1[[#This Row],[NETO GRAVADO]]="","",compras_mes1[[#This Row],[NETO GRAVADO]]*0.21)</f>
        <v>411.17579999999998</v>
      </c>
      <c r="J69" s="129"/>
      <c r="K69" s="129"/>
      <c r="L69" s="129"/>
      <c r="M69" s="129"/>
      <c r="N69" s="129">
        <v>68.53</v>
      </c>
      <c r="O69" s="129">
        <v>137.19</v>
      </c>
      <c r="P69" s="130">
        <f>SUM(compras_mes1[[#This Row],[NETO GRAVADO]:[Otros / No Grav.]])</f>
        <v>2574.8758000000003</v>
      </c>
      <c r="Q69" s="131" t="str">
        <f>IFERROR(IF(compras_mes1[[#This Row],[CUIT]]="","-",VLOOKUP(compras_mes1[[#This Row],[CUIT]],Lista_CUIT[#All],3,0)),"CUIT NO CARGADO")</f>
        <v>COMBUSTIBLE</v>
      </c>
      <c r="R69" s="131">
        <f>IFERROR(IF(compras_mes1[[#This Row],[CUIT]]="","-",VLOOKUP(compras_mes1[[#This Row],[CUIT]],Lista_CUIT[#All],4,0)),"CUIT NO CARGADO")</f>
        <v>0</v>
      </c>
    </row>
    <row r="70" spans="2:18" x14ac:dyDescent="0.25">
      <c r="B70" s="124" t="s">
        <v>2206</v>
      </c>
      <c r="C70" s="41">
        <v>1</v>
      </c>
      <c r="D70" s="125">
        <v>7</v>
      </c>
      <c r="E70" s="138">
        <v>26044</v>
      </c>
      <c r="F70" s="126">
        <v>20271532483</v>
      </c>
      <c r="G70" s="127" t="str">
        <f>IFERROR(IF(compras_mes1[[#This Row],[CUIT]]="","-",VLOOKUP(compras_mes1[[#This Row],[CUIT]],Lista_CUIT[#All],2,0)),"CUIT NO CARGADO")</f>
        <v>DIEGO MARTIN RIOS</v>
      </c>
      <c r="H70" s="128">
        <v>703397.3</v>
      </c>
      <c r="I70" s="129">
        <f>IF(compras_mes1[[#This Row],[NETO GRAVADO]]="","",compras_mes1[[#This Row],[NETO GRAVADO]]*0.21)</f>
        <v>147713.43299999999</v>
      </c>
      <c r="J70" s="129"/>
      <c r="K70" s="129"/>
      <c r="L70" s="129"/>
      <c r="M70" s="129"/>
      <c r="N70" s="129">
        <v>24618.91</v>
      </c>
      <c r="O70" s="129"/>
      <c r="P70" s="130">
        <f>SUM(compras_mes1[[#This Row],[NETO GRAVADO]:[Otros / No Grav.]])</f>
        <v>875729.64300000004</v>
      </c>
      <c r="Q70" s="131" t="str">
        <f>IFERROR(IF(compras_mes1[[#This Row],[CUIT]]="","-",VLOOKUP(compras_mes1[[#This Row],[CUIT]],Lista_CUIT[#All],3,0)),"CUIT NO CARGADO")</f>
        <v>Productos Ortopedicos</v>
      </c>
      <c r="R70" s="131">
        <f>IFERROR(IF(compras_mes1[[#This Row],[CUIT]]="","-",VLOOKUP(compras_mes1[[#This Row],[CUIT]],Lista_CUIT[#All],4,0)),"CUIT NO CARGADO")</f>
        <v>0</v>
      </c>
    </row>
    <row r="71" spans="2:18" x14ac:dyDescent="0.25">
      <c r="B71" s="124" t="s">
        <v>2211</v>
      </c>
      <c r="C71" s="41">
        <v>1</v>
      </c>
      <c r="D71" s="125">
        <v>7</v>
      </c>
      <c r="E71" s="138">
        <v>26087</v>
      </c>
      <c r="F71" s="126">
        <v>20271532483</v>
      </c>
      <c r="G71" s="127" t="str">
        <f>IFERROR(IF(compras_mes1[[#This Row],[CUIT]]="","-",VLOOKUP(compras_mes1[[#This Row],[CUIT]],Lista_CUIT[#All],2,0)),"CUIT NO CARGADO")</f>
        <v>DIEGO MARTIN RIOS</v>
      </c>
      <c r="H71" s="128">
        <v>1142532.94</v>
      </c>
      <c r="I71" s="129">
        <f>IF(compras_mes1[[#This Row],[NETO GRAVADO]]="","",compras_mes1[[#This Row],[NETO GRAVADO]]*0.21)</f>
        <v>239931.91739999998</v>
      </c>
      <c r="J71" s="129"/>
      <c r="K71" s="129"/>
      <c r="L71" s="129"/>
      <c r="M71" s="129"/>
      <c r="N71" s="129">
        <v>39988.65</v>
      </c>
      <c r="O71" s="129"/>
      <c r="P71" s="130">
        <f>SUM(compras_mes1[[#This Row],[NETO GRAVADO]:[Otros / No Grav.]])</f>
        <v>1422453.5073999998</v>
      </c>
      <c r="Q71" s="131" t="str">
        <f>IFERROR(IF(compras_mes1[[#This Row],[CUIT]]="","-",VLOOKUP(compras_mes1[[#This Row],[CUIT]],Lista_CUIT[#All],3,0)),"CUIT NO CARGADO")</f>
        <v>Productos Ortopedicos</v>
      </c>
      <c r="R71" s="131">
        <f>IFERROR(IF(compras_mes1[[#This Row],[CUIT]]="","-",VLOOKUP(compras_mes1[[#This Row],[CUIT]],Lista_CUIT[#All],4,0)),"CUIT NO CARGADO")</f>
        <v>0</v>
      </c>
    </row>
    <row r="72" spans="2:18" x14ac:dyDescent="0.25">
      <c r="B72" s="124">
        <v>44946</v>
      </c>
      <c r="C72" s="41">
        <v>1</v>
      </c>
      <c r="D72" s="125">
        <v>7</v>
      </c>
      <c r="E72" s="138">
        <v>26131</v>
      </c>
      <c r="F72" s="126">
        <v>20271532483</v>
      </c>
      <c r="G72" s="127" t="str">
        <f>IFERROR(IF(compras_mes1[[#This Row],[CUIT]]="","-",VLOOKUP(compras_mes1[[#This Row],[CUIT]],Lista_CUIT[#All],2,0)),"CUIT NO CARGADO")</f>
        <v>DIEGO MARTIN RIOS</v>
      </c>
      <c r="H72" s="128">
        <v>804420.32</v>
      </c>
      <c r="I72" s="129">
        <f>IF(compras_mes1[[#This Row],[NETO GRAVADO]]="","",compras_mes1[[#This Row],[NETO GRAVADO]]*0.21)</f>
        <v>168928.26719999997</v>
      </c>
      <c r="J72" s="129"/>
      <c r="K72" s="129"/>
      <c r="L72" s="129"/>
      <c r="M72" s="129"/>
      <c r="N72" s="129">
        <v>28154.71</v>
      </c>
      <c r="O72" s="129"/>
      <c r="P72" s="130">
        <f>SUM(compras_mes1[[#This Row],[NETO GRAVADO]:[Otros / No Grav.]])</f>
        <v>1001503.2971999999</v>
      </c>
      <c r="Q72" s="131" t="str">
        <f>IFERROR(IF(compras_mes1[[#This Row],[CUIT]]="","-",VLOOKUP(compras_mes1[[#This Row],[CUIT]],Lista_CUIT[#All],3,0)),"CUIT NO CARGADO")</f>
        <v>Productos Ortopedicos</v>
      </c>
      <c r="R72" s="131">
        <f>IFERROR(IF(compras_mes1[[#This Row],[CUIT]]="","-",VLOOKUP(compras_mes1[[#This Row],[CUIT]],Lista_CUIT[#All],4,0)),"CUIT NO CARGADO")</f>
        <v>0</v>
      </c>
    </row>
    <row r="73" spans="2:18" x14ac:dyDescent="0.25">
      <c r="B73" s="124">
        <v>44946</v>
      </c>
      <c r="C73" s="41">
        <v>1</v>
      </c>
      <c r="D73" s="125">
        <v>7</v>
      </c>
      <c r="E73" s="138">
        <v>26132</v>
      </c>
      <c r="F73" s="126">
        <v>20271532483</v>
      </c>
      <c r="G73" s="127" t="str">
        <f>IFERROR(IF(compras_mes1[[#This Row],[CUIT]]="","-",VLOOKUP(compras_mes1[[#This Row],[CUIT]],Lista_CUIT[#All],2,0)),"CUIT NO CARGADO")</f>
        <v>DIEGO MARTIN RIOS</v>
      </c>
      <c r="H73" s="128">
        <v>578811.09</v>
      </c>
      <c r="I73" s="129">
        <f>IF(compras_mes1[[#This Row],[NETO GRAVADO]]="","",compras_mes1[[#This Row],[NETO GRAVADO]]*0.21)</f>
        <v>121550.32889999999</v>
      </c>
      <c r="J73" s="129"/>
      <c r="K73" s="129"/>
      <c r="L73" s="129"/>
      <c r="M73" s="129"/>
      <c r="N73" s="129">
        <v>20258.39</v>
      </c>
      <c r="O73" s="129"/>
      <c r="P73" s="130">
        <f>SUM(compras_mes1[[#This Row],[NETO GRAVADO]:[Otros / No Grav.]])</f>
        <v>720619.80889999995</v>
      </c>
      <c r="Q73" s="131" t="str">
        <f>IFERROR(IF(compras_mes1[[#This Row],[CUIT]]="","-",VLOOKUP(compras_mes1[[#This Row],[CUIT]],Lista_CUIT[#All],3,0)),"CUIT NO CARGADO")</f>
        <v>Productos Ortopedicos</v>
      </c>
      <c r="R73" s="131">
        <f>IFERROR(IF(compras_mes1[[#This Row],[CUIT]]="","-",VLOOKUP(compras_mes1[[#This Row],[CUIT]],Lista_CUIT[#All],4,0)),"CUIT NO CARGADO")</f>
        <v>0</v>
      </c>
    </row>
    <row r="74" spans="2:18" x14ac:dyDescent="0.25">
      <c r="B74" s="124">
        <v>44952</v>
      </c>
      <c r="C74" s="41">
        <v>1</v>
      </c>
      <c r="D74" s="125">
        <v>7</v>
      </c>
      <c r="E74" s="138">
        <v>26159</v>
      </c>
      <c r="F74" s="126">
        <v>20271532483</v>
      </c>
      <c r="G74" s="127" t="str">
        <f>IFERROR(IF(compras_mes1[[#This Row],[CUIT]]="","-",VLOOKUP(compras_mes1[[#This Row],[CUIT]],Lista_CUIT[#All],2,0)),"CUIT NO CARGADO")</f>
        <v>DIEGO MARTIN RIOS</v>
      </c>
      <c r="H74" s="128">
        <v>1618556.49</v>
      </c>
      <c r="I74" s="129">
        <f>IF(compras_mes1[[#This Row],[NETO GRAVADO]]="","",compras_mes1[[#This Row],[NETO GRAVADO]]*0.21)</f>
        <v>339896.86290000001</v>
      </c>
      <c r="J74" s="129"/>
      <c r="K74" s="129"/>
      <c r="L74" s="129"/>
      <c r="M74" s="129"/>
      <c r="N74" s="129">
        <v>56649.48</v>
      </c>
      <c r="O74" s="129"/>
      <c r="P74" s="130">
        <f>SUM(compras_mes1[[#This Row],[NETO GRAVADO]:[Otros / No Grav.]])</f>
        <v>2015102.8329</v>
      </c>
      <c r="Q74" s="131" t="str">
        <f>IFERROR(IF(compras_mes1[[#This Row],[CUIT]]="","-",VLOOKUP(compras_mes1[[#This Row],[CUIT]],Lista_CUIT[#All],3,0)),"CUIT NO CARGADO")</f>
        <v>Productos Ortopedicos</v>
      </c>
      <c r="R74" s="131">
        <f>IFERROR(IF(compras_mes1[[#This Row],[CUIT]]="","-",VLOOKUP(compras_mes1[[#This Row],[CUIT]],Lista_CUIT[#All],4,0)),"CUIT NO CARGADO")</f>
        <v>0</v>
      </c>
    </row>
    <row r="75" spans="2:18" x14ac:dyDescent="0.25">
      <c r="B75" s="139" t="s">
        <v>2204</v>
      </c>
      <c r="C75" s="140">
        <v>1</v>
      </c>
      <c r="D75" s="141">
        <v>161</v>
      </c>
      <c r="E75" s="142">
        <v>28849</v>
      </c>
      <c r="F75" s="143">
        <v>30556565798</v>
      </c>
      <c r="G75" s="144" t="str">
        <f>IFERROR(IF(compras_mes1[[#This Row],[CUIT]]="","-",VLOOKUP(compras_mes1[[#This Row],[CUIT]],Lista_CUIT[#All],2,0)),"CUIT NO CARGADO")</f>
        <v>VICTOR MASSON TRANSPORTES CRUZ DEL SUR S A</v>
      </c>
      <c r="H75" s="145">
        <v>40175.24</v>
      </c>
      <c r="I75" s="146">
        <f>IF(compras_mes1[[#This Row],[NETO GRAVADO]]="","",compras_mes1[[#This Row],[NETO GRAVADO]]*0.21)</f>
        <v>8436.8004000000001</v>
      </c>
      <c r="J75" s="146"/>
      <c r="K75" s="146"/>
      <c r="L75" s="146"/>
      <c r="M75" s="146"/>
      <c r="N75" s="146"/>
      <c r="O75" s="146"/>
      <c r="P75" s="147">
        <f>SUM(compras_mes1[[#This Row],[NETO GRAVADO]:[Otros / No Grav.]])</f>
        <v>48612.040399999998</v>
      </c>
      <c r="Q75" s="148" t="str">
        <f>IFERROR(IF(compras_mes1[[#This Row],[CUIT]]="","-",VLOOKUP(compras_mes1[[#This Row],[CUIT]],Lista_CUIT[#All],3,0)),"CUIT NO CARGADO")</f>
        <v>FLETE</v>
      </c>
      <c r="R75" s="148">
        <f>IFERROR(IF(compras_mes1[[#This Row],[CUIT]]="","-",VLOOKUP(compras_mes1[[#This Row],[CUIT]],Lista_CUIT[#All],4,0)),"CUIT NO CARGADO")</f>
        <v>0</v>
      </c>
    </row>
    <row r="76" spans="2:18" x14ac:dyDescent="0.25">
      <c r="B76" s="124" t="s">
        <v>2207</v>
      </c>
      <c r="C76" s="41">
        <v>1</v>
      </c>
      <c r="D76" s="125">
        <v>6</v>
      </c>
      <c r="E76" s="138">
        <v>46514</v>
      </c>
      <c r="F76" s="126">
        <v>30710177658</v>
      </c>
      <c r="G76" s="127" t="str">
        <f>IFERROR(IF(compras_mes1[[#This Row],[CUIT]]="","-",VLOOKUP(compras_mes1[[#This Row],[CUIT]],Lista_CUIT[#All],2,0)),"CUIT NO CARGADO")</f>
        <v>TARGET MEDICAL SA</v>
      </c>
      <c r="H76" s="128">
        <v>168494.79</v>
      </c>
      <c r="I76" s="129">
        <f>IF(compras_mes1[[#This Row],[NETO GRAVADO]]="","",compras_mes1[[#This Row],[NETO GRAVADO]]*0.21)</f>
        <v>35383.905899999998</v>
      </c>
      <c r="J76" s="129"/>
      <c r="K76" s="129"/>
      <c r="L76" s="129"/>
      <c r="M76" s="129"/>
      <c r="N76" s="129">
        <v>5897.3176500000009</v>
      </c>
      <c r="O76" s="129"/>
      <c r="P76" s="130">
        <f>SUM(compras_mes1[[#This Row],[NETO GRAVADO]:[Otros / No Grav.]])</f>
        <v>209776.01355</v>
      </c>
      <c r="Q76" s="131" t="str">
        <f>IFERROR(IF(compras_mes1[[#This Row],[CUIT]]="","-",VLOOKUP(compras_mes1[[#This Row],[CUIT]],Lista_CUIT[#All],3,0)),"CUIT NO CARGADO")</f>
        <v>Productos Ortopedicos</v>
      </c>
      <c r="R76" s="131">
        <f>IFERROR(IF(compras_mes1[[#This Row],[CUIT]]="","-",VLOOKUP(compras_mes1[[#This Row],[CUIT]],Lista_CUIT[#All],4,0)),"CUIT NO CARGADO")</f>
        <v>0</v>
      </c>
    </row>
    <row r="77" spans="2:18" x14ac:dyDescent="0.25">
      <c r="B77" s="139" t="s">
        <v>2202</v>
      </c>
      <c r="C77" s="140">
        <v>1</v>
      </c>
      <c r="D77" s="141">
        <v>11</v>
      </c>
      <c r="E77" s="142">
        <v>78419</v>
      </c>
      <c r="F77" s="143">
        <v>30526582884</v>
      </c>
      <c r="G77" s="144" t="str">
        <f>IFERROR(IF(compras_mes1[[#This Row],[CUIT]]="","-",VLOOKUP(compras_mes1[[#This Row],[CUIT]],Lista_CUIT[#All],2,0)),"CUIT NO CARGADO")</f>
        <v>EXPRESO MAR DEL PLATA S.A.</v>
      </c>
      <c r="H77" s="145">
        <v>5495.87</v>
      </c>
      <c r="I77" s="146">
        <f>IF(compras_mes1[[#This Row],[NETO GRAVADO]]="","",compras_mes1[[#This Row],[NETO GRAVADO]]*0.21)</f>
        <v>1154.1326999999999</v>
      </c>
      <c r="J77" s="146"/>
      <c r="K77" s="146"/>
      <c r="L77" s="146"/>
      <c r="M77" s="146"/>
      <c r="N77" s="146"/>
      <c r="O77" s="146"/>
      <c r="P77" s="147">
        <f>SUM(compras_mes1[[#This Row],[NETO GRAVADO]:[Otros / No Grav.]])</f>
        <v>6650.0027</v>
      </c>
      <c r="Q77" s="148" t="str">
        <f>IFERROR(IF(compras_mes1[[#This Row],[CUIT]]="","-",VLOOKUP(compras_mes1[[#This Row],[CUIT]],Lista_CUIT[#All],3,0)),"CUIT NO CARGADO")</f>
        <v>FLETE</v>
      </c>
      <c r="R77" s="148">
        <f>IFERROR(IF(compras_mes1[[#This Row],[CUIT]]="","-",VLOOKUP(compras_mes1[[#This Row],[CUIT]],Lista_CUIT[#All],4,0)),"CUIT NO CARGADO")</f>
        <v>0</v>
      </c>
    </row>
    <row r="78" spans="2:18" x14ac:dyDescent="0.25">
      <c r="B78" s="139" t="s">
        <v>2224</v>
      </c>
      <c r="C78" s="140">
        <v>1</v>
      </c>
      <c r="D78" s="141">
        <v>3</v>
      </c>
      <c r="E78" s="142">
        <v>88254</v>
      </c>
      <c r="F78" s="143">
        <v>30710657250</v>
      </c>
      <c r="G78" s="144" t="str">
        <f>IFERROR(IF(compras_mes1[[#This Row],[CUIT]]="","-",VLOOKUP(compras_mes1[[#This Row],[CUIT]],Lista_CUIT[#All],2,0)),"CUIT NO CARGADO")</f>
        <v>FRATERNA COOPERRATIVA DE PROVISION DE SERVICIOS LIMITADA</v>
      </c>
      <c r="H78" s="145">
        <v>874.65</v>
      </c>
      <c r="I78" s="146">
        <f>IF(compras_mes1[[#This Row],[NETO GRAVADO]]="","",compras_mes1[[#This Row],[NETO GRAVADO]]*0.21)</f>
        <v>183.67649999999998</v>
      </c>
      <c r="J78" s="146"/>
      <c r="K78" s="146"/>
      <c r="L78" s="146"/>
      <c r="M78" s="146"/>
      <c r="N78" s="146"/>
      <c r="O78" s="146"/>
      <c r="P78" s="147">
        <f>SUM(compras_mes1[[#This Row],[NETO GRAVADO]:[Otros / No Grav.]])</f>
        <v>1058.3264999999999</v>
      </c>
      <c r="Q78" s="148" t="str">
        <f>IFERROR(IF(compras_mes1[[#This Row],[CUIT]]="","-",VLOOKUP(compras_mes1[[#This Row],[CUIT]],Lista_CUIT[#All],3,0)),"CUIT NO CARGADO")</f>
        <v>GASTOS ADMINISTRATIVOS</v>
      </c>
      <c r="R78" s="148">
        <f>IFERROR(IF(compras_mes1[[#This Row],[CUIT]]="","-",VLOOKUP(compras_mes1[[#This Row],[CUIT]],Lista_CUIT[#All],4,0)),"CUIT NO CARGADO")</f>
        <v>0</v>
      </c>
    </row>
    <row r="79" spans="2:18" x14ac:dyDescent="0.25">
      <c r="B79" s="40" t="s">
        <v>2202</v>
      </c>
      <c r="C79" s="41">
        <v>1</v>
      </c>
      <c r="D79" s="42">
        <v>5001</v>
      </c>
      <c r="E79" s="43">
        <v>90290</v>
      </c>
      <c r="F79" s="44">
        <v>30696692951</v>
      </c>
      <c r="G79" s="45" t="str">
        <f>IFERROR(IF(compras_mes1[[#This Row],[CUIT]]="","-",VLOOKUP(compras_mes1[[#This Row],[CUIT]],Lista_CUIT[#All],2,0)),"CUIT NO CARGADO")</f>
        <v>CEVEN SA</v>
      </c>
      <c r="H79" s="46">
        <v>36379.19</v>
      </c>
      <c r="I79" s="85"/>
      <c r="J79" s="85"/>
      <c r="K79" s="85">
        <v>3819.81</v>
      </c>
      <c r="L79" s="85"/>
      <c r="M79" s="85"/>
      <c r="N79" s="85"/>
      <c r="O79" s="85"/>
      <c r="P79" s="48">
        <f>SUM(compras_mes1[[#This Row],[NETO GRAVADO]:[Otros / No Grav.]])</f>
        <v>40199</v>
      </c>
      <c r="Q79" s="49" t="str">
        <f>IFERROR(IF(compras_mes1[[#This Row],[CUIT]]="","-",VLOOKUP(compras_mes1[[#This Row],[CUIT]],Lista_CUIT[#All],3,0)),"CUIT NO CARGADO")</f>
        <v>PAPELERIA</v>
      </c>
      <c r="R79" s="49">
        <f>IFERROR(IF(compras_mes1[[#This Row],[CUIT]]="","-",VLOOKUP(compras_mes1[[#This Row],[CUIT]],Lista_CUIT[#All],4,0)),"CUIT NO CARGADO")</f>
        <v>0</v>
      </c>
    </row>
    <row r="80" spans="2:18" x14ac:dyDescent="0.25">
      <c r="B80" s="124">
        <v>44940</v>
      </c>
      <c r="C80" s="41">
        <v>1</v>
      </c>
      <c r="D80" s="125">
        <v>39</v>
      </c>
      <c r="E80" s="138">
        <v>99349</v>
      </c>
      <c r="F80" s="126">
        <v>30571666037</v>
      </c>
      <c r="G80" s="127" t="str">
        <f>IFERROR(IF(compras_mes1[[#This Row],[CUIT]]="","-",VLOOKUP(compras_mes1[[#This Row],[CUIT]],Lista_CUIT[#All],2,0)),"CUIT NO CARGADO")</f>
        <v>ALSINA MARCELO DANIEL SH</v>
      </c>
      <c r="H80" s="128">
        <v>9276.67</v>
      </c>
      <c r="I80" s="129">
        <f>IF(compras_mes1[[#This Row],[NETO GRAVADO]]="","",compras_mes1[[#This Row],[NETO GRAVADO]]*0.21)</f>
        <v>1948.1007</v>
      </c>
      <c r="J80" s="129"/>
      <c r="K80" s="129"/>
      <c r="L80" s="129"/>
      <c r="M80" s="129"/>
      <c r="N80" s="129"/>
      <c r="O80" s="129">
        <v>776.09</v>
      </c>
      <c r="P80" s="130">
        <f>SUM(compras_mes1[[#This Row],[NETO GRAVADO]:[Otros / No Grav.]])</f>
        <v>12000.860700000001</v>
      </c>
      <c r="Q80" s="131" t="str">
        <f>IFERROR(IF(compras_mes1[[#This Row],[CUIT]]="","-",VLOOKUP(compras_mes1[[#This Row],[CUIT]],Lista_CUIT[#All],3,0)),"CUIT NO CARGADO")</f>
        <v>Productos Ortopedicos</v>
      </c>
      <c r="R80" s="131">
        <f>IFERROR(IF(compras_mes1[[#This Row],[CUIT]]="","-",VLOOKUP(compras_mes1[[#This Row],[CUIT]],Lista_CUIT[#All],4,0)),"CUIT NO CARGADO")</f>
        <v>0</v>
      </c>
    </row>
    <row r="81" spans="2:18" x14ac:dyDescent="0.25">
      <c r="B81" s="124">
        <v>44949</v>
      </c>
      <c r="C81" s="41">
        <v>1</v>
      </c>
      <c r="D81" s="125">
        <v>39</v>
      </c>
      <c r="E81" s="138">
        <v>99895</v>
      </c>
      <c r="F81" s="126">
        <v>30571666037</v>
      </c>
      <c r="G81" s="127" t="str">
        <f>IFERROR(IF(compras_mes1[[#This Row],[CUIT]]="","-",VLOOKUP(compras_mes1[[#This Row],[CUIT]],Lista_CUIT[#All],2,0)),"CUIT NO CARGADO")</f>
        <v>ALSINA MARCELO DANIEL SH</v>
      </c>
      <c r="H81" s="128">
        <v>6419.19</v>
      </c>
      <c r="I81" s="129">
        <f>IF(compras_mes1[[#This Row],[NETO GRAVADO]]="","",compras_mes1[[#This Row],[NETO GRAVADO]]*0.21)</f>
        <v>1348.0298999999998</v>
      </c>
      <c r="J81" s="129"/>
      <c r="K81" s="129"/>
      <c r="L81" s="129"/>
      <c r="M81" s="129"/>
      <c r="N81" s="129"/>
      <c r="O81" s="129">
        <v>467.27</v>
      </c>
      <c r="P81" s="130">
        <f>SUM(compras_mes1[[#This Row],[NETO GRAVADO]:[Otros / No Grav.]])</f>
        <v>8234.4898999999987</v>
      </c>
      <c r="Q81" s="131" t="str">
        <f>IFERROR(IF(compras_mes1[[#This Row],[CUIT]]="","-",VLOOKUP(compras_mes1[[#This Row],[CUIT]],Lista_CUIT[#All],3,0)),"CUIT NO CARGADO")</f>
        <v>Productos Ortopedicos</v>
      </c>
      <c r="R81" s="131">
        <f>IFERROR(IF(compras_mes1[[#This Row],[CUIT]]="","-",VLOOKUP(compras_mes1[[#This Row],[CUIT]],Lista_CUIT[#All],4,0)),"CUIT NO CARGADO")</f>
        <v>0</v>
      </c>
    </row>
    <row r="82" spans="2:18" x14ac:dyDescent="0.25">
      <c r="B82" s="139" t="s">
        <v>2224</v>
      </c>
      <c r="C82" s="140">
        <v>1</v>
      </c>
      <c r="D82" s="141">
        <v>20</v>
      </c>
      <c r="E82" s="142">
        <v>137197</v>
      </c>
      <c r="F82" s="143">
        <v>30696850972</v>
      </c>
      <c r="G82" s="144" t="str">
        <f>IFERROR(IF(compras_mes1[[#This Row],[CUIT]]="","-",VLOOKUP(compras_mes1[[#This Row],[CUIT]],Lista_CUIT[#All],2,0)),"CUIT NO CARGADO")</f>
        <v>CPS COMUNICACIONES SA</v>
      </c>
      <c r="H82" s="145">
        <v>2923.03</v>
      </c>
      <c r="I82" s="146"/>
      <c r="J82" s="146">
        <f>+compras_mes1[[#This Row],[NETO GRAVADO]]*0.27</f>
        <v>789.21810000000005</v>
      </c>
      <c r="K82" s="146"/>
      <c r="L82" s="146"/>
      <c r="M82" s="146"/>
      <c r="N82" s="146">
        <v>102.31</v>
      </c>
      <c r="O82" s="146"/>
      <c r="P82" s="147">
        <f>SUM(compras_mes1[[#This Row],[NETO GRAVADO]:[Otros / No Grav.]])</f>
        <v>3814.5581000000002</v>
      </c>
      <c r="Q82" s="148" t="str">
        <f>IFERROR(IF(compras_mes1[[#This Row],[CUIT]]="","-",VLOOKUP(compras_mes1[[#This Row],[CUIT]],Lista_CUIT[#All],3,0)),"CUIT NO CARGADO")</f>
        <v>SERVICIO DE TELEFONIA</v>
      </c>
      <c r="R82" s="148">
        <f>IFERROR(IF(compras_mes1[[#This Row],[CUIT]]="","-",VLOOKUP(compras_mes1[[#This Row],[CUIT]],Lista_CUIT[#All],4,0)),"CUIT NO CARGADO")</f>
        <v>0</v>
      </c>
    </row>
    <row r="83" spans="2:18" x14ac:dyDescent="0.25">
      <c r="B83" s="124">
        <v>44946</v>
      </c>
      <c r="C83" s="41">
        <v>1</v>
      </c>
      <c r="D83" s="125">
        <v>101</v>
      </c>
      <c r="E83" s="138">
        <v>162021</v>
      </c>
      <c r="F83" s="126">
        <v>30683612916</v>
      </c>
      <c r="G83" s="127" t="str">
        <f>IFERROR(IF(compras_mes1[[#This Row],[CUIT]]="","-",VLOOKUP(compras_mes1[[#This Row],[CUIT]],Lista_CUIT[#All],2,0)),"CUIT NO CARGADO")</f>
        <v>TRANSAMERICA TRANSPORTES SA</v>
      </c>
      <c r="H83" s="128">
        <v>11328.98</v>
      </c>
      <c r="I83" s="129">
        <f>IF(compras_mes1[[#This Row],[NETO GRAVADO]]="","",compras_mes1[[#This Row],[NETO GRAVADO]]*0.21)</f>
        <v>2379.0857999999998</v>
      </c>
      <c r="J83" s="129"/>
      <c r="K83" s="129"/>
      <c r="L83" s="129"/>
      <c r="M83" s="129"/>
      <c r="N83" s="129">
        <v>396.51</v>
      </c>
      <c r="O83" s="129"/>
      <c r="P83" s="130">
        <f>SUM(compras_mes1[[#This Row],[NETO GRAVADO]:[Otros / No Grav.]])</f>
        <v>14104.575800000001</v>
      </c>
      <c r="Q83" s="131" t="str">
        <f>IFERROR(IF(compras_mes1[[#This Row],[CUIT]]="","-",VLOOKUP(compras_mes1[[#This Row],[CUIT]],Lista_CUIT[#All],3,0)),"CUIT NO CARGADO")</f>
        <v>FLETE</v>
      </c>
      <c r="R83" s="131">
        <f>IFERROR(IF(compras_mes1[[#This Row],[CUIT]]="","-",VLOOKUP(compras_mes1[[#This Row],[CUIT]],Lista_CUIT[#All],4,0)),"CUIT NO CARGADO")</f>
        <v>0</v>
      </c>
    </row>
    <row r="84" spans="2:18" x14ac:dyDescent="0.25">
      <c r="B84" s="139" t="s">
        <v>2203</v>
      </c>
      <c r="C84" s="140">
        <v>1</v>
      </c>
      <c r="D84" s="141">
        <v>5011</v>
      </c>
      <c r="E84" s="142">
        <v>420219</v>
      </c>
      <c r="F84" s="143">
        <v>30574876474</v>
      </c>
      <c r="G84" s="144" t="str">
        <f>IFERROR(IF(compras_mes1[[#This Row],[CUIT]]="","-",VLOOKUP(compras_mes1[[#This Row],[CUIT]],Lista_CUIT[#All],2,0)),"CUIT NO CARGADO")</f>
        <v>AUTOP. URBANAS SA</v>
      </c>
      <c r="H84" s="145">
        <v>5147.25</v>
      </c>
      <c r="I84" s="146">
        <f>IF(compras_mes1[[#This Row],[NETO GRAVADO]]="","",compras_mes1[[#This Row],[NETO GRAVADO]]*0.21)</f>
        <v>1080.9224999999999</v>
      </c>
      <c r="J84" s="146"/>
      <c r="K84" s="146"/>
      <c r="L84" s="146"/>
      <c r="M84" s="146"/>
      <c r="N84" s="146"/>
      <c r="O84" s="146">
        <v>668.04</v>
      </c>
      <c r="P84" s="147">
        <f>SUM(compras_mes1[[#This Row],[NETO GRAVADO]:[Otros / No Grav.]])</f>
        <v>6896.2124999999996</v>
      </c>
      <c r="Q84" s="148" t="str">
        <f>IFERROR(IF(compras_mes1[[#This Row],[CUIT]]="","-",VLOOKUP(compras_mes1[[#This Row],[CUIT]],Lista_CUIT[#All],3,0)),"CUIT NO CARGADO")</f>
        <v>PEAJE</v>
      </c>
      <c r="R84" s="148">
        <f>IFERROR(IF(compras_mes1[[#This Row],[CUIT]]="","-",VLOOKUP(compras_mes1[[#This Row],[CUIT]],Lista_CUIT[#All],4,0)),"CUIT NO CARGADO")</f>
        <v>0</v>
      </c>
    </row>
    <row r="85" spans="2:18" x14ac:dyDescent="0.25">
      <c r="B85" s="139" t="s">
        <v>2213</v>
      </c>
      <c r="C85" s="140">
        <v>1</v>
      </c>
      <c r="D85" s="141">
        <v>5011</v>
      </c>
      <c r="E85" s="142">
        <v>427040</v>
      </c>
      <c r="F85" s="143">
        <v>30574876474</v>
      </c>
      <c r="G85" s="144" t="str">
        <f>IFERROR(IF(compras_mes1[[#This Row],[CUIT]]="","-",VLOOKUP(compras_mes1[[#This Row],[CUIT]],Lista_CUIT[#All],2,0)),"CUIT NO CARGADO")</f>
        <v>AUTOP. URBANAS SA</v>
      </c>
      <c r="H85" s="145">
        <v>2065.87</v>
      </c>
      <c r="I85" s="146">
        <f>IF(compras_mes1[[#This Row],[NETO GRAVADO]]="","",compras_mes1[[#This Row],[NETO GRAVADO]]*0.21)</f>
        <v>433.83269999999999</v>
      </c>
      <c r="J85" s="146"/>
      <c r="K85" s="146"/>
      <c r="L85" s="146"/>
      <c r="M85" s="146"/>
      <c r="N85" s="146"/>
      <c r="O85" s="146">
        <v>267.51</v>
      </c>
      <c r="P85" s="147">
        <f>SUM(compras_mes1[[#This Row],[NETO GRAVADO]:[Otros / No Grav.]])</f>
        <v>2767.2127</v>
      </c>
      <c r="Q85" s="148" t="str">
        <f>IFERROR(IF(compras_mes1[[#This Row],[CUIT]]="","-",VLOOKUP(compras_mes1[[#This Row],[CUIT]],Lista_CUIT[#All],3,0)),"CUIT NO CARGADO")</f>
        <v>PEAJE</v>
      </c>
      <c r="R85" s="148">
        <f>IFERROR(IF(compras_mes1[[#This Row],[CUIT]]="","-",VLOOKUP(compras_mes1[[#This Row],[CUIT]],Lista_CUIT[#All],4,0)),"CUIT NO CARGADO")</f>
        <v>0</v>
      </c>
    </row>
    <row r="86" spans="2:18" x14ac:dyDescent="0.25">
      <c r="B86" s="139" t="s">
        <v>2224</v>
      </c>
      <c r="C86" s="140">
        <v>1</v>
      </c>
      <c r="D86" s="141">
        <v>600</v>
      </c>
      <c r="E86" s="142">
        <v>462203</v>
      </c>
      <c r="F86" s="143">
        <v>30692975533</v>
      </c>
      <c r="G86" s="144" t="str">
        <f>IFERROR(IF(compras_mes1[[#This Row],[CUIT]]="","-",VLOOKUP(compras_mes1[[#This Row],[CUIT]],Lista_CUIT[#All],2,0)),"CUIT NO CARGADO")</f>
        <v>NARDOMARINO EZEQUIEL EDUARDO</v>
      </c>
      <c r="H86" s="145">
        <v>330.58</v>
      </c>
      <c r="I86" s="146">
        <f>IF(compras_mes1[[#This Row],[NETO GRAVADO]]="","",compras_mes1[[#This Row],[NETO GRAVADO]]*0.21)</f>
        <v>69.42179999999999</v>
      </c>
      <c r="J86" s="146"/>
      <c r="K86" s="146"/>
      <c r="L86" s="146"/>
      <c r="M86" s="146"/>
      <c r="N86" s="146"/>
      <c r="O86" s="146"/>
      <c r="P86" s="147">
        <f>SUM(compras_mes1[[#This Row],[NETO GRAVADO]:[Otros / No Grav.]])</f>
        <v>400.0018</v>
      </c>
      <c r="Q86" s="148" t="str">
        <f>IFERROR(IF(compras_mes1[[#This Row],[CUIT]]="","-",VLOOKUP(compras_mes1[[#This Row],[CUIT]],Lista_CUIT[#All],3,0)),"CUIT NO CARGADO")</f>
        <v>FLETE</v>
      </c>
      <c r="R86" s="148">
        <f>IFERROR(IF(compras_mes1[[#This Row],[CUIT]]="","-",VLOOKUP(compras_mes1[[#This Row],[CUIT]],Lista_CUIT[#All],4,0)),"CUIT NO CARGADO")</f>
        <v>0</v>
      </c>
    </row>
    <row r="87" spans="2:18" x14ac:dyDescent="0.25">
      <c r="B87" s="139" t="s">
        <v>2217</v>
      </c>
      <c r="C87" s="140">
        <v>1</v>
      </c>
      <c r="D87" s="141">
        <v>1305</v>
      </c>
      <c r="E87" s="142">
        <v>576561</v>
      </c>
      <c r="F87" s="143">
        <v>30663288497</v>
      </c>
      <c r="G87" s="144" t="str">
        <f>IFERROR(IF(compras_mes1[[#This Row],[CUIT]]="","-",VLOOKUP(compras_mes1[[#This Row],[CUIT]],Lista_CUIT[#All],2,0)),"CUIT NO CARGADO")</f>
        <v>AMX ARG SA</v>
      </c>
      <c r="H87" s="145">
        <v>5250</v>
      </c>
      <c r="I87" s="146">
        <v>551.25</v>
      </c>
      <c r="J87" s="146">
        <v>708.75</v>
      </c>
      <c r="K87" s="146"/>
      <c r="L87" s="146"/>
      <c r="M87" s="146"/>
      <c r="N87" s="146">
        <v>183.75</v>
      </c>
      <c r="O87" s="146">
        <v>295.66000000000003</v>
      </c>
      <c r="P87" s="147">
        <f>SUM(compras_mes1[[#This Row],[NETO GRAVADO]:[Otros / No Grav.]])</f>
        <v>6989.41</v>
      </c>
      <c r="Q87" s="148" t="str">
        <f>IFERROR(IF(compras_mes1[[#This Row],[CUIT]]="","-",VLOOKUP(compras_mes1[[#This Row],[CUIT]],Lista_CUIT[#All],3,0)),"CUIT NO CARGADO")</f>
        <v>SERVICIOS DE INTERNET</v>
      </c>
      <c r="R87" s="148">
        <f>IFERROR(IF(compras_mes1[[#This Row],[CUIT]]="","-",VLOOKUP(compras_mes1[[#This Row],[CUIT]],Lista_CUIT[#All],4,0)),"CUIT NO CARGADO")</f>
        <v>0</v>
      </c>
    </row>
    <row r="88" spans="2:18" x14ac:dyDescent="0.25">
      <c r="B88" s="139" t="s">
        <v>2213</v>
      </c>
      <c r="C88" s="140">
        <v>1</v>
      </c>
      <c r="D88" s="141">
        <v>5009</v>
      </c>
      <c r="E88" s="142">
        <v>589272</v>
      </c>
      <c r="F88" s="143">
        <v>30574876474</v>
      </c>
      <c r="G88" s="144" t="str">
        <f>IFERROR(IF(compras_mes1[[#This Row],[CUIT]]="","-",VLOOKUP(compras_mes1[[#This Row],[CUIT]],Lista_CUIT[#All],2,0)),"CUIT NO CARGADO")</f>
        <v>AUTOP. URBANAS SA</v>
      </c>
      <c r="H88" s="145">
        <v>1645.18</v>
      </c>
      <c r="I88" s="146">
        <f>IF(compras_mes1[[#This Row],[NETO GRAVADO]]="","",compras_mes1[[#This Row],[NETO GRAVADO]]*0.21)</f>
        <v>345.48779999999999</v>
      </c>
      <c r="J88" s="146"/>
      <c r="K88" s="146"/>
      <c r="L88" s="146"/>
      <c r="M88" s="146"/>
      <c r="N88" s="146"/>
      <c r="O88" s="146">
        <v>163.51</v>
      </c>
      <c r="P88" s="147">
        <f>SUM(compras_mes1[[#This Row],[NETO GRAVADO]:[Otros / No Grav.]])</f>
        <v>2154.1778000000004</v>
      </c>
      <c r="Q88" s="148" t="str">
        <f>IFERROR(IF(compras_mes1[[#This Row],[CUIT]]="","-",VLOOKUP(compras_mes1[[#This Row],[CUIT]],Lista_CUIT[#All],3,0)),"CUIT NO CARGADO")</f>
        <v>PEAJE</v>
      </c>
      <c r="R88" s="148">
        <f>IFERROR(IF(compras_mes1[[#This Row],[CUIT]]="","-",VLOOKUP(compras_mes1[[#This Row],[CUIT]],Lista_CUIT[#All],4,0)),"CUIT NO CARGADO")</f>
        <v>0</v>
      </c>
    </row>
    <row r="89" spans="2:18" x14ac:dyDescent="0.25">
      <c r="B89" s="139" t="s">
        <v>2220</v>
      </c>
      <c r="C89" s="140">
        <v>1</v>
      </c>
      <c r="D89" s="141">
        <v>700</v>
      </c>
      <c r="E89" s="142">
        <v>794738</v>
      </c>
      <c r="F89" s="143">
        <v>30715804812</v>
      </c>
      <c r="G89" s="144" t="str">
        <f>IFERROR(IF(compras_mes1[[#This Row],[CUIT]]="","-",VLOOKUP(compras_mes1[[#This Row],[CUIT]],Lista_CUIT[#All],2,0)),"CUIT NO CARGADO")</f>
        <v>CORREDORES VIALES SOCIEDAD ANONIMA</v>
      </c>
      <c r="H89" s="145">
        <v>3198.35</v>
      </c>
      <c r="I89" s="146">
        <f>IF(compras_mes1[[#This Row],[NETO GRAVADO]]="","",compras_mes1[[#This Row],[NETO GRAVADO]]*0.21)</f>
        <v>671.65350000000001</v>
      </c>
      <c r="J89" s="146"/>
      <c r="K89" s="146"/>
      <c r="L89" s="146"/>
      <c r="M89" s="146"/>
      <c r="N89" s="146">
        <v>111.94</v>
      </c>
      <c r="O89" s="146"/>
      <c r="P89" s="147">
        <f>SUM(compras_mes1[[#This Row],[NETO GRAVADO]:[Otros / No Grav.]])</f>
        <v>3981.9434999999999</v>
      </c>
      <c r="Q89" s="148" t="str">
        <f>IFERROR(IF(compras_mes1[[#This Row],[CUIT]]="","-",VLOOKUP(compras_mes1[[#This Row],[CUIT]],Lista_CUIT[#All],3,0)),"CUIT NO CARGADO")</f>
        <v>Autopista</v>
      </c>
      <c r="R89" s="148">
        <f>IFERROR(IF(compras_mes1[[#This Row],[CUIT]]="","-",VLOOKUP(compras_mes1[[#This Row],[CUIT]],Lista_CUIT[#All],4,0)),"CUIT NO CARGADO")</f>
        <v>0</v>
      </c>
    </row>
    <row r="90" spans="2:18" x14ac:dyDescent="0.25">
      <c r="B90" s="139" t="s">
        <v>2220</v>
      </c>
      <c r="C90" s="140">
        <v>1</v>
      </c>
      <c r="D90" s="141">
        <v>700</v>
      </c>
      <c r="E90" s="142">
        <v>794739</v>
      </c>
      <c r="F90" s="143">
        <v>30715804812</v>
      </c>
      <c r="G90" s="144" t="str">
        <f>IFERROR(IF(compras_mes1[[#This Row],[CUIT]]="","-",VLOOKUP(compras_mes1[[#This Row],[CUIT]],Lista_CUIT[#All],2,0)),"CUIT NO CARGADO")</f>
        <v>CORREDORES VIALES SOCIEDAD ANONIMA</v>
      </c>
      <c r="H90" s="145">
        <v>148.76</v>
      </c>
      <c r="I90" s="146">
        <f>IF(compras_mes1[[#This Row],[NETO GRAVADO]]="","",compras_mes1[[#This Row],[NETO GRAVADO]]*0.21)</f>
        <v>31.239599999999996</v>
      </c>
      <c r="J90" s="146"/>
      <c r="K90" s="146"/>
      <c r="L90" s="146"/>
      <c r="M90" s="146"/>
      <c r="N90" s="146"/>
      <c r="O90" s="146"/>
      <c r="P90" s="147">
        <f>SUM(compras_mes1[[#This Row],[NETO GRAVADO]:[Otros / No Grav.]])</f>
        <v>179.99959999999999</v>
      </c>
      <c r="Q90" s="148" t="str">
        <f>IFERROR(IF(compras_mes1[[#This Row],[CUIT]]="","-",VLOOKUP(compras_mes1[[#This Row],[CUIT]],Lista_CUIT[#All],3,0)),"CUIT NO CARGADO")</f>
        <v>Autopista</v>
      </c>
      <c r="R90" s="148">
        <f>IFERROR(IF(compras_mes1[[#This Row],[CUIT]]="","-",VLOOKUP(compras_mes1[[#This Row],[CUIT]],Lista_CUIT[#All],4,0)),"CUIT NO CARGADO")</f>
        <v>0</v>
      </c>
    </row>
    <row r="91" spans="2:18" x14ac:dyDescent="0.25">
      <c r="B91" s="124" t="s">
        <v>2207</v>
      </c>
      <c r="C91" s="41">
        <v>1</v>
      </c>
      <c r="D91" s="125">
        <v>948</v>
      </c>
      <c r="E91" s="138">
        <v>870610</v>
      </c>
      <c r="F91" s="126">
        <v>30678814357</v>
      </c>
      <c r="G91" s="127" t="str">
        <f>IFERROR(IF(compras_mes1[[#This Row],[CUIT]]="","-",VLOOKUP(compras_mes1[[#This Row],[CUIT]],Lista_CUIT[#All],2,0)),"CUIT NO CARGADO")</f>
        <v>TELEFONICA MOVILES ARG SA</v>
      </c>
      <c r="H91" s="128">
        <v>7254.33</v>
      </c>
      <c r="I91" s="129"/>
      <c r="J91" s="129">
        <v>1958.67</v>
      </c>
      <c r="K91" s="129"/>
      <c r="L91" s="129">
        <v>217.63</v>
      </c>
      <c r="M91" s="129"/>
      <c r="N91" s="129">
        <v>253.9</v>
      </c>
      <c r="O91" s="129"/>
      <c r="P91" s="130">
        <f>SUM(compras_mes1[[#This Row],[NETO GRAVADO]:[Otros / No Grav.]])</f>
        <v>9684.5299999999988</v>
      </c>
      <c r="Q91" s="131" t="str">
        <f>IFERROR(IF(compras_mes1[[#This Row],[CUIT]]="","-",VLOOKUP(compras_mes1[[#This Row],[CUIT]],Lista_CUIT[#All],3,0)),"CUIT NO CARGADO")</f>
        <v>TELEFONIA</v>
      </c>
      <c r="R91" s="131">
        <f>IFERROR(IF(compras_mes1[[#This Row],[CUIT]]="","-",VLOOKUP(compras_mes1[[#This Row],[CUIT]],Lista_CUIT[#All],4,0)),"CUIT NO CARGADO")</f>
        <v>0</v>
      </c>
    </row>
    <row r="92" spans="2:18" x14ac:dyDescent="0.25">
      <c r="B92" s="139" t="s">
        <v>2222</v>
      </c>
      <c r="C92" s="140">
        <v>1</v>
      </c>
      <c r="D92" s="141">
        <v>23</v>
      </c>
      <c r="E92" s="142">
        <v>901854</v>
      </c>
      <c r="F92" s="143">
        <v>30703088534</v>
      </c>
      <c r="G92" s="144" t="str">
        <f>IFERROR(IF(compras_mes1[[#This Row],[CUIT]]="","-",VLOOKUP(compras_mes1[[#This Row],[CUIT]],Lista_CUIT[#All],2,0)),"CUIT NO CARGADO")</f>
        <v>MERCADO LIBRE SRL</v>
      </c>
      <c r="H92" s="145">
        <v>7337.71</v>
      </c>
      <c r="I92" s="146">
        <f>IF(compras_mes1[[#This Row],[NETO GRAVADO]]="","",compras_mes1[[#This Row],[NETO GRAVADO]]*0.21)</f>
        <v>1540.9190999999998</v>
      </c>
      <c r="J92" s="146"/>
      <c r="K92" s="146"/>
      <c r="L92" s="146"/>
      <c r="M92" s="146"/>
      <c r="N92" s="146"/>
      <c r="O92" s="146">
        <v>476.95</v>
      </c>
      <c r="P92" s="147">
        <f>SUM(compras_mes1[[#This Row],[NETO GRAVADO]:[Otros / No Grav.]])</f>
        <v>9355.5791000000008</v>
      </c>
      <c r="Q92" s="148" t="str">
        <f>IFERROR(IF(compras_mes1[[#This Row],[CUIT]]="","-",VLOOKUP(compras_mes1[[#This Row],[CUIT]],Lista_CUIT[#All],3,0)),"CUIT NO CARGADO")</f>
        <v>GASTOS COMERCIALIZACION</v>
      </c>
      <c r="R92" s="148">
        <f>IFERROR(IF(compras_mes1[[#This Row],[CUIT]]="","-",VLOOKUP(compras_mes1[[#This Row],[CUIT]],Lista_CUIT[#All],4,0)),"CUIT NO CARGADO")</f>
        <v>0</v>
      </c>
    </row>
    <row r="93" spans="2:18" x14ac:dyDescent="0.25">
      <c r="B93" s="139" t="s">
        <v>2202</v>
      </c>
      <c r="C93" s="140">
        <v>1</v>
      </c>
      <c r="D93" s="141">
        <v>500</v>
      </c>
      <c r="E93" s="142">
        <v>1169078</v>
      </c>
      <c r="F93" s="143">
        <v>30654118767</v>
      </c>
      <c r="G93" s="144" t="str">
        <f>IFERROR(IF(compras_mes1[[#This Row],[CUIT]]="","-",VLOOKUP(compras_mes1[[#This Row],[CUIT]],Lista_CUIT[#All],2,0)),"CUIT NO CARGADO")</f>
        <v>SOLUCIONES MULTIMEDIA SA</v>
      </c>
      <c r="H93" s="145">
        <v>8180.88</v>
      </c>
      <c r="I93" s="146">
        <f>IF(compras_mes1[[#This Row],[NETO GRAVADO]]="","",compras_mes1[[#This Row],[NETO GRAVADO]]*0.21)</f>
        <v>1717.9848</v>
      </c>
      <c r="J93" s="146"/>
      <c r="K93" s="146"/>
      <c r="L93" s="146"/>
      <c r="M93" s="146">
        <v>286.33</v>
      </c>
      <c r="N93" s="146"/>
      <c r="O93" s="146"/>
      <c r="P93" s="147">
        <f>SUM(compras_mes1[[#This Row],[NETO GRAVADO]:[Otros / No Grav.]])</f>
        <v>10185.194799999999</v>
      </c>
      <c r="Q93" s="148" t="str">
        <f>IFERROR(IF(compras_mes1[[#This Row],[CUIT]]="","-",VLOOKUP(compras_mes1[[#This Row],[CUIT]],Lista_CUIT[#All],3,0)),"CUIT NO CARGADO")</f>
        <v>GASTOS ADMINISTRATIVOS</v>
      </c>
      <c r="R93" s="148">
        <f>IFERROR(IF(compras_mes1[[#This Row],[CUIT]]="","-",VLOOKUP(compras_mes1[[#This Row],[CUIT]],Lista_CUIT[#All],4,0)),"CUIT NO CARGADO")</f>
        <v>0</v>
      </c>
    </row>
    <row r="94" spans="2:18" x14ac:dyDescent="0.25">
      <c r="B94" s="124">
        <v>44946</v>
      </c>
      <c r="C94" s="41">
        <v>1</v>
      </c>
      <c r="D94" s="125">
        <v>4264</v>
      </c>
      <c r="E94" s="138">
        <v>1287472</v>
      </c>
      <c r="F94" s="126">
        <v>30639453738</v>
      </c>
      <c r="G94" s="127" t="str">
        <f>IFERROR(IF(compras_mes1[[#This Row],[CUIT]]="","-",VLOOKUP(compras_mes1[[#This Row],[CUIT]],Lista_CUIT[#All],2,0)),"CUIT NO CARGADO")</f>
        <v>TELECOM ARGENTINA SA</v>
      </c>
      <c r="H94" s="128">
        <v>10330.57</v>
      </c>
      <c r="I94" s="129">
        <f>IF(compras_mes1[[#This Row],[NETO GRAVADO]]="","",compras_mes1[[#This Row],[NETO GRAVADO]]*0.21)</f>
        <v>2169.4196999999999</v>
      </c>
      <c r="J94" s="129"/>
      <c r="K94" s="129"/>
      <c r="L94" s="129">
        <v>309.92</v>
      </c>
      <c r="M94" s="129"/>
      <c r="N94" s="129">
        <v>361.57</v>
      </c>
      <c r="O94" s="129"/>
      <c r="P94" s="130">
        <f>SUM(compras_mes1[[#This Row],[NETO GRAVADO]:[Otros / No Grav.]])</f>
        <v>13171.4797</v>
      </c>
      <c r="Q94" s="131" t="str">
        <f>IFERROR(IF(compras_mes1[[#This Row],[CUIT]]="","-",VLOOKUP(compras_mes1[[#This Row],[CUIT]],Lista_CUIT[#All],3,0)),"CUIT NO CARGADO")</f>
        <v>TELEFONIA</v>
      </c>
      <c r="R94" s="131">
        <f>IFERROR(IF(compras_mes1[[#This Row],[CUIT]]="","-",VLOOKUP(compras_mes1[[#This Row],[CUIT]],Lista_CUIT[#All],4,0)),"CUIT NO CARGADO")</f>
        <v>0</v>
      </c>
    </row>
    <row r="95" spans="2:18" x14ac:dyDescent="0.25">
      <c r="B95" s="139" t="s">
        <v>2205</v>
      </c>
      <c r="C95" s="140">
        <v>1</v>
      </c>
      <c r="D95" s="141">
        <v>12</v>
      </c>
      <c r="E95" s="142">
        <v>1563650</v>
      </c>
      <c r="F95" s="143">
        <v>30709776564</v>
      </c>
      <c r="G95" s="144" t="str">
        <f>IFERROR(IF(compras_mes1[[#This Row],[CUIT]]="","-",VLOOKUP(compras_mes1[[#This Row],[CUIT]],Lista_CUIT[#All],2,0)),"CUIT NO CARGADO")</f>
        <v>PROSEGUR ACTIVA ARG SA</v>
      </c>
      <c r="H95" s="145">
        <v>11960.79</v>
      </c>
      <c r="I95" s="146">
        <f>IF(compras_mes1[[#This Row],[NETO GRAVADO]]="","",compras_mes1[[#This Row],[NETO GRAVADO]]*0.21)</f>
        <v>2511.7658999999999</v>
      </c>
      <c r="J95" s="146"/>
      <c r="K95" s="146"/>
      <c r="L95" s="146"/>
      <c r="M95" s="146"/>
      <c r="N95" s="146">
        <v>418.63</v>
      </c>
      <c r="O95" s="146"/>
      <c r="P95" s="147">
        <f>SUM(compras_mes1[[#This Row],[NETO GRAVADO]:[Otros / No Grav.]])</f>
        <v>14891.1859</v>
      </c>
      <c r="Q95" s="148" t="str">
        <f>IFERROR(IF(compras_mes1[[#This Row],[CUIT]]="","-",VLOOKUP(compras_mes1[[#This Row],[CUIT]],Lista_CUIT[#All],3,0)),"CUIT NO CARGADO")</f>
        <v>SEGURIDAD</v>
      </c>
      <c r="R95" s="148">
        <f>IFERROR(IF(compras_mes1[[#This Row],[CUIT]]="","-",VLOOKUP(compras_mes1[[#This Row],[CUIT]],Lista_CUIT[#All],4,0)),"CUIT NO CARGADO")</f>
        <v>0</v>
      </c>
    </row>
    <row r="96" spans="2:18" x14ac:dyDescent="0.25">
      <c r="B96" s="124">
        <v>44946</v>
      </c>
      <c r="C96" s="41">
        <v>1</v>
      </c>
      <c r="D96" s="125">
        <v>5</v>
      </c>
      <c r="E96" s="138">
        <v>2692257</v>
      </c>
      <c r="F96" s="126">
        <v>30702652975</v>
      </c>
      <c r="G96" s="127" t="str">
        <f>IFERROR(IF(compras_mes1[[#This Row],[CUIT]]="","-",VLOOKUP(compras_mes1[[#This Row],[CUIT]],Lista_CUIT[#All],2,0)),"CUIT NO CARGADO")</f>
        <v>NSS SA</v>
      </c>
      <c r="H96" s="128">
        <v>5151.18</v>
      </c>
      <c r="I96" s="129">
        <f>IF(compras_mes1[[#This Row],[NETO GRAVADO]]="","",compras_mes1[[#This Row],[NETO GRAVADO]]*0.21)</f>
        <v>1081.7478000000001</v>
      </c>
      <c r="J96" s="129"/>
      <c r="K96" s="129"/>
      <c r="L96" s="129"/>
      <c r="M96" s="129"/>
      <c r="N96" s="129">
        <v>180.29</v>
      </c>
      <c r="O96" s="129"/>
      <c r="P96" s="130">
        <f>SUM(compras_mes1[[#This Row],[NETO GRAVADO]:[Otros / No Grav.]])</f>
        <v>6413.2178000000004</v>
      </c>
      <c r="Q96" s="131" t="str">
        <f>IFERROR(IF(compras_mes1[[#This Row],[CUIT]]="","-",VLOOKUP(compras_mes1[[#This Row],[CUIT]],Lista_CUIT[#All],3,0)),"CUIT NO CARGADO")</f>
        <v>TELEFONIA</v>
      </c>
      <c r="R96" s="131">
        <f>IFERROR(IF(compras_mes1[[#This Row],[CUIT]]="","-",VLOOKUP(compras_mes1[[#This Row],[CUIT]],Lista_CUIT[#All],4,0)),"CUIT NO CARGADO")</f>
        <v>0</v>
      </c>
    </row>
    <row r="97" spans="2:18" x14ac:dyDescent="0.25">
      <c r="B97" s="139" t="s">
        <v>2218</v>
      </c>
      <c r="C97" s="140">
        <v>1</v>
      </c>
      <c r="D97" s="141">
        <v>104</v>
      </c>
      <c r="E97" s="142">
        <v>2754457</v>
      </c>
      <c r="F97" s="143">
        <v>30715804812</v>
      </c>
      <c r="G97" s="144" t="str">
        <f>IFERROR(IF(compras_mes1[[#This Row],[CUIT]]="","-",VLOOKUP(compras_mes1[[#This Row],[CUIT]],Lista_CUIT[#All],2,0)),"CUIT NO CARGADO")</f>
        <v>CORREDORES VIALES SOCIEDAD ANONIMA</v>
      </c>
      <c r="H97" s="145">
        <v>82.64</v>
      </c>
      <c r="I97" s="146">
        <f>IF(compras_mes1[[#This Row],[NETO GRAVADO]]="","",compras_mes1[[#This Row],[NETO GRAVADO]]*0.21)</f>
        <v>17.354399999999998</v>
      </c>
      <c r="J97" s="146"/>
      <c r="K97" s="146"/>
      <c r="L97" s="146"/>
      <c r="M97" s="146"/>
      <c r="N97" s="146"/>
      <c r="O97" s="146"/>
      <c r="P97" s="147">
        <f>SUM(compras_mes1[[#This Row],[NETO GRAVADO]:[Otros / No Grav.]])</f>
        <v>99.994399999999999</v>
      </c>
      <c r="Q97" s="148" t="str">
        <f>IFERROR(IF(compras_mes1[[#This Row],[CUIT]]="","-",VLOOKUP(compras_mes1[[#This Row],[CUIT]],Lista_CUIT[#All],3,0)),"CUIT NO CARGADO")</f>
        <v>Autopista</v>
      </c>
      <c r="R97" s="148">
        <f>IFERROR(IF(compras_mes1[[#This Row],[CUIT]]="","-",VLOOKUP(compras_mes1[[#This Row],[CUIT]],Lista_CUIT[#All],4,0)),"CUIT NO CARGADO")</f>
        <v>0</v>
      </c>
    </row>
    <row r="98" spans="2:18" x14ac:dyDescent="0.25">
      <c r="B98" s="139" t="s">
        <v>2218</v>
      </c>
      <c r="C98" s="140">
        <v>1</v>
      </c>
      <c r="D98" s="141">
        <v>104</v>
      </c>
      <c r="E98" s="142">
        <v>2771336</v>
      </c>
      <c r="F98" s="143">
        <v>30715804812</v>
      </c>
      <c r="G98" s="144" t="str">
        <f>IFERROR(IF(compras_mes1[[#This Row],[CUIT]]="","-",VLOOKUP(compras_mes1[[#This Row],[CUIT]],Lista_CUIT[#All],2,0)),"CUIT NO CARGADO")</f>
        <v>CORREDORES VIALES SOCIEDAD ANONIMA</v>
      </c>
      <c r="H98" s="145">
        <v>82.64</v>
      </c>
      <c r="I98" s="146">
        <f>IF(compras_mes1[[#This Row],[NETO GRAVADO]]="","",compras_mes1[[#This Row],[NETO GRAVADO]]*0.21)</f>
        <v>17.354399999999998</v>
      </c>
      <c r="J98" s="146"/>
      <c r="K98" s="146"/>
      <c r="L98" s="146"/>
      <c r="M98" s="146"/>
      <c r="N98" s="146"/>
      <c r="O98" s="146"/>
      <c r="P98" s="147">
        <f>SUM(compras_mes1[[#This Row],[NETO GRAVADO]:[Otros / No Grav.]])</f>
        <v>99.994399999999999</v>
      </c>
      <c r="Q98" s="148" t="str">
        <f>IFERROR(IF(compras_mes1[[#This Row],[CUIT]]="","-",VLOOKUP(compras_mes1[[#This Row],[CUIT]],Lista_CUIT[#All],3,0)),"CUIT NO CARGADO")</f>
        <v>Autopista</v>
      </c>
      <c r="R98" s="148">
        <f>IFERROR(IF(compras_mes1[[#This Row],[CUIT]]="","-",VLOOKUP(compras_mes1[[#This Row],[CUIT]],Lista_CUIT[#All],4,0)),"CUIT NO CARGADO")</f>
        <v>0</v>
      </c>
    </row>
    <row r="99" spans="2:18" x14ac:dyDescent="0.25">
      <c r="B99" s="139" t="s">
        <v>2203</v>
      </c>
      <c r="C99" s="140">
        <v>1</v>
      </c>
      <c r="D99" s="141">
        <v>50</v>
      </c>
      <c r="E99" s="142">
        <v>2891035</v>
      </c>
      <c r="F99" s="143">
        <v>30714112836</v>
      </c>
      <c r="G99" s="144" t="str">
        <f>IFERROR(IF(compras_mes1[[#This Row],[CUIT]]="","-",VLOOKUP(compras_mes1[[#This Row],[CUIT]],Lista_CUIT[#All],2,0)),"CUIT NO CARGADO")</f>
        <v>AUTOPISTAS DE BUENOS AIRES (AUBASA) SA</v>
      </c>
      <c r="H99" s="145">
        <v>289.26</v>
      </c>
      <c r="I99" s="146">
        <f>IF(compras_mes1[[#This Row],[NETO GRAVADO]]="","",compras_mes1[[#This Row],[NETO GRAVADO]]*0.21)</f>
        <v>60.744599999999998</v>
      </c>
      <c r="J99" s="146"/>
      <c r="K99" s="146"/>
      <c r="L99" s="146"/>
      <c r="M99" s="146"/>
      <c r="N99" s="146"/>
      <c r="O99" s="146"/>
      <c r="P99" s="147">
        <f>SUM(compras_mes1[[#This Row],[NETO GRAVADO]:[Otros / No Grav.]])</f>
        <v>350.00459999999998</v>
      </c>
      <c r="Q99" s="148" t="str">
        <f>IFERROR(IF(compras_mes1[[#This Row],[CUIT]]="","-",VLOOKUP(compras_mes1[[#This Row],[CUIT]],Lista_CUIT[#All],3,0)),"CUIT NO CARGADO")</f>
        <v>Autopista</v>
      </c>
      <c r="R99" s="148">
        <f>IFERROR(IF(compras_mes1[[#This Row],[CUIT]]="","-",VLOOKUP(compras_mes1[[#This Row],[CUIT]],Lista_CUIT[#All],4,0)),"CUIT NO CARGADO")</f>
        <v>0</v>
      </c>
    </row>
    <row r="100" spans="2:18" x14ac:dyDescent="0.25">
      <c r="B100" s="139" t="s">
        <v>2219</v>
      </c>
      <c r="C100" s="140">
        <v>1</v>
      </c>
      <c r="D100" s="141">
        <v>113</v>
      </c>
      <c r="E100" s="142">
        <v>3056990</v>
      </c>
      <c r="F100" s="143">
        <v>30577207190</v>
      </c>
      <c r="G100" s="144" t="str">
        <f>IFERROR(IF(compras_mes1[[#This Row],[CUIT]]="","-",VLOOKUP(compras_mes1[[#This Row],[CUIT]],Lista_CUIT[#All],2,0)),"CUIT NO CARGADO")</f>
        <v>COORDINACION ECOLOGICA AREA METROPOLITANA SOCIEDAD DEL ESTADO</v>
      </c>
      <c r="H100" s="145">
        <v>595.04</v>
      </c>
      <c r="I100" s="146">
        <f>IF(compras_mes1[[#This Row],[NETO GRAVADO]]="","",compras_mes1[[#This Row],[NETO GRAVADO]]*0.21)</f>
        <v>124.95839999999998</v>
      </c>
      <c r="J100" s="146"/>
      <c r="K100" s="146"/>
      <c r="L100" s="146"/>
      <c r="M100" s="146"/>
      <c r="N100" s="146"/>
      <c r="O100" s="146"/>
      <c r="P100" s="147">
        <f>SUM(compras_mes1[[#This Row],[NETO GRAVADO]:[Otros / No Grav.]])</f>
        <v>719.99839999999995</v>
      </c>
      <c r="Q100" s="148" t="str">
        <f>IFERROR(IF(compras_mes1[[#This Row],[CUIT]]="","-",VLOOKUP(compras_mes1[[#This Row],[CUIT]],Lista_CUIT[#All],3,0)),"CUIT NO CARGADO")</f>
        <v>gastos varios</v>
      </c>
      <c r="R100" s="148">
        <f>IFERROR(IF(compras_mes1[[#This Row],[CUIT]]="","-",VLOOKUP(compras_mes1[[#This Row],[CUIT]],Lista_CUIT[#All],4,0)),"CUIT NO CARGADO")</f>
        <v>0</v>
      </c>
    </row>
    <row r="101" spans="2:18" x14ac:dyDescent="0.25">
      <c r="B101" s="139" t="s">
        <v>2203</v>
      </c>
      <c r="C101" s="140">
        <v>1</v>
      </c>
      <c r="D101" s="141">
        <v>711</v>
      </c>
      <c r="E101" s="142">
        <v>3802981</v>
      </c>
      <c r="F101" s="143">
        <v>30677237119</v>
      </c>
      <c r="G101" s="144" t="str">
        <f>IFERROR(IF(compras_mes1[[#This Row],[CUIT]]="","-",VLOOKUP(compras_mes1[[#This Row],[CUIT]],Lista_CUIT[#All],2,0)),"CUIT NO CARGADO")</f>
        <v>AUTOPISTAS DEL SOL SA</v>
      </c>
      <c r="H101" s="145">
        <v>727.28</v>
      </c>
      <c r="I101" s="146">
        <f>IF(compras_mes1[[#This Row],[NETO GRAVADO]]="","",compras_mes1[[#This Row],[NETO GRAVADO]]*0.21)</f>
        <v>152.72879999999998</v>
      </c>
      <c r="J101" s="146"/>
      <c r="K101" s="146"/>
      <c r="L101" s="146"/>
      <c r="M101" s="146"/>
      <c r="N101" s="146">
        <v>25.45</v>
      </c>
      <c r="O101" s="146"/>
      <c r="P101" s="147">
        <f>SUM(compras_mes1[[#This Row],[NETO GRAVADO]:[Otros / No Grav.]])</f>
        <v>905.4588</v>
      </c>
      <c r="Q101" s="148" t="str">
        <f>IFERROR(IF(compras_mes1[[#This Row],[CUIT]]="","-",VLOOKUP(compras_mes1[[#This Row],[CUIT]],Lista_CUIT[#All],3,0)),"CUIT NO CARGADO")</f>
        <v>Autopista</v>
      </c>
      <c r="R101" s="148">
        <f>IFERROR(IF(compras_mes1[[#This Row],[CUIT]]="","-",VLOOKUP(compras_mes1[[#This Row],[CUIT]],Lista_CUIT[#All],4,0)),"CUIT NO CARGADO")</f>
        <v>0</v>
      </c>
    </row>
    <row r="102" spans="2:18" x14ac:dyDescent="0.25">
      <c r="B102" s="139" t="s">
        <v>2203</v>
      </c>
      <c r="C102" s="140">
        <v>1</v>
      </c>
      <c r="D102" s="141">
        <v>629</v>
      </c>
      <c r="E102" s="142">
        <v>3826712</v>
      </c>
      <c r="F102" s="143">
        <v>30663498513</v>
      </c>
      <c r="G102" s="144" t="str">
        <f>IFERROR(IF(compras_mes1[[#This Row],[CUIT]]="","-",VLOOKUP(compras_mes1[[#This Row],[CUIT]],Lista_CUIT[#All],2,0)),"CUIT NO CARGADO")</f>
        <v>GRUPO CONCES. DEL OESTE SA</v>
      </c>
      <c r="H102" s="145">
        <v>134.71</v>
      </c>
      <c r="I102" s="146">
        <f>IF(compras_mes1[[#This Row],[NETO GRAVADO]]="","",compras_mes1[[#This Row],[NETO GRAVADO]]*0.21)</f>
        <v>28.289100000000001</v>
      </c>
      <c r="J102" s="146"/>
      <c r="K102" s="146"/>
      <c r="L102" s="146"/>
      <c r="M102" s="146"/>
      <c r="N102" s="146"/>
      <c r="O102" s="146"/>
      <c r="P102" s="147">
        <f>SUM(compras_mes1[[#This Row],[NETO GRAVADO]:[Otros / No Grav.]])</f>
        <v>162.9991</v>
      </c>
      <c r="Q102" s="148" t="str">
        <f>IFERROR(IF(compras_mes1[[#This Row],[CUIT]]="","-",VLOOKUP(compras_mes1[[#This Row],[CUIT]],Lista_CUIT[#All],3,0)),"CUIT NO CARGADO")</f>
        <v>PEAJE</v>
      </c>
      <c r="R102" s="148">
        <f>IFERROR(IF(compras_mes1[[#This Row],[CUIT]]="","-",VLOOKUP(compras_mes1[[#This Row],[CUIT]],Lista_CUIT[#All],4,0)),"CUIT NO CARGADO")</f>
        <v>0</v>
      </c>
    </row>
    <row r="103" spans="2:18" x14ac:dyDescent="0.25">
      <c r="B103" s="139" t="s">
        <v>2213</v>
      </c>
      <c r="C103" s="140">
        <v>1</v>
      </c>
      <c r="D103" s="141">
        <v>711</v>
      </c>
      <c r="E103" s="142">
        <v>3859602</v>
      </c>
      <c r="F103" s="143">
        <v>30677237119</v>
      </c>
      <c r="G103" s="144" t="str">
        <f>IFERROR(IF(compras_mes1[[#This Row],[CUIT]]="","-",VLOOKUP(compras_mes1[[#This Row],[CUIT]],Lista_CUIT[#All],2,0)),"CUIT NO CARGADO")</f>
        <v>AUTOPISTAS DEL SOL SA</v>
      </c>
      <c r="H103" s="145">
        <v>426.44</v>
      </c>
      <c r="I103" s="146">
        <f>IF(compras_mes1[[#This Row],[NETO GRAVADO]]="","",compras_mes1[[#This Row],[NETO GRAVADO]]*0.21)</f>
        <v>89.552399999999992</v>
      </c>
      <c r="J103" s="146"/>
      <c r="K103" s="146"/>
      <c r="L103" s="146"/>
      <c r="M103" s="146"/>
      <c r="N103" s="146"/>
      <c r="O103" s="146"/>
      <c r="P103" s="147">
        <f>SUM(compras_mes1[[#This Row],[NETO GRAVADO]:[Otros / No Grav.]])</f>
        <v>515.99239999999998</v>
      </c>
      <c r="Q103" s="148" t="str">
        <f>IFERROR(IF(compras_mes1[[#This Row],[CUIT]]="","-",VLOOKUP(compras_mes1[[#This Row],[CUIT]],Lista_CUIT[#All],3,0)),"CUIT NO CARGADO")</f>
        <v>Autopista</v>
      </c>
      <c r="R103" s="148">
        <f>IFERROR(IF(compras_mes1[[#This Row],[CUIT]]="","-",VLOOKUP(compras_mes1[[#This Row],[CUIT]],Lista_CUIT[#All],4,0)),"CUIT NO CARGADO")</f>
        <v>0</v>
      </c>
    </row>
    <row r="104" spans="2:18" x14ac:dyDescent="0.25">
      <c r="B104" s="139" t="s">
        <v>2213</v>
      </c>
      <c r="C104" s="140">
        <v>1</v>
      </c>
      <c r="D104" s="141">
        <v>711</v>
      </c>
      <c r="E104" s="142">
        <v>3859603</v>
      </c>
      <c r="F104" s="143">
        <v>30677237119</v>
      </c>
      <c r="G104" s="144" t="str">
        <f>IFERROR(IF(compras_mes1[[#This Row],[CUIT]]="","-",VLOOKUP(compras_mes1[[#This Row],[CUIT]],Lista_CUIT[#All],2,0)),"CUIT NO CARGADO")</f>
        <v>AUTOPISTAS DEL SOL SA</v>
      </c>
      <c r="H104" s="145">
        <v>56.2</v>
      </c>
      <c r="I104" s="146">
        <f>IF(compras_mes1[[#This Row],[NETO GRAVADO]]="","",compras_mes1[[#This Row],[NETO GRAVADO]]*0.21)</f>
        <v>11.802</v>
      </c>
      <c r="J104" s="146"/>
      <c r="K104" s="146"/>
      <c r="L104" s="146"/>
      <c r="M104" s="146"/>
      <c r="N104" s="146"/>
      <c r="O104" s="146"/>
      <c r="P104" s="147">
        <f>SUM(compras_mes1[[#This Row],[NETO GRAVADO]:[Otros / No Grav.]])</f>
        <v>68.00200000000001</v>
      </c>
      <c r="Q104" s="148" t="str">
        <f>IFERROR(IF(compras_mes1[[#This Row],[CUIT]]="","-",VLOOKUP(compras_mes1[[#This Row],[CUIT]],Lista_CUIT[#All],3,0)),"CUIT NO CARGADO")</f>
        <v>Autopista</v>
      </c>
      <c r="R104" s="148">
        <f>IFERROR(IF(compras_mes1[[#This Row],[CUIT]]="","-",VLOOKUP(compras_mes1[[#This Row],[CUIT]],Lista_CUIT[#All],4,0)),"CUIT NO CARGADO")</f>
        <v>0</v>
      </c>
    </row>
    <row r="105" spans="2:18" x14ac:dyDescent="0.25">
      <c r="B105" s="139" t="s">
        <v>2213</v>
      </c>
      <c r="C105" s="140">
        <v>1</v>
      </c>
      <c r="D105" s="141">
        <v>629</v>
      </c>
      <c r="E105" s="142">
        <v>3865689</v>
      </c>
      <c r="F105" s="143">
        <v>30663498513</v>
      </c>
      <c r="G105" s="144" t="str">
        <f>IFERROR(IF(compras_mes1[[#This Row],[CUIT]]="","-",VLOOKUP(compras_mes1[[#This Row],[CUIT]],Lista_CUIT[#All],2,0)),"CUIT NO CARGADO")</f>
        <v>GRUPO CONCES. DEL OESTE SA</v>
      </c>
      <c r="H105" s="145">
        <v>134.71</v>
      </c>
      <c r="I105" s="146">
        <f>IF(compras_mes1[[#This Row],[NETO GRAVADO]]="","",compras_mes1[[#This Row],[NETO GRAVADO]]*0.21)</f>
        <v>28.289100000000001</v>
      </c>
      <c r="J105" s="146"/>
      <c r="K105" s="146"/>
      <c r="L105" s="146"/>
      <c r="M105" s="146"/>
      <c r="N105" s="146"/>
      <c r="O105" s="146"/>
      <c r="P105" s="147">
        <f>SUM(compras_mes1[[#This Row],[NETO GRAVADO]:[Otros / No Grav.]])</f>
        <v>162.9991</v>
      </c>
      <c r="Q105" s="148" t="str">
        <f>IFERROR(IF(compras_mes1[[#This Row],[CUIT]]="","-",VLOOKUP(compras_mes1[[#This Row],[CUIT]],Lista_CUIT[#All],3,0)),"CUIT NO CARGADO")</f>
        <v>PEAJE</v>
      </c>
      <c r="R105" s="148">
        <f>IFERROR(IF(compras_mes1[[#This Row],[CUIT]]="","-",VLOOKUP(compras_mes1[[#This Row],[CUIT]],Lista_CUIT[#All],4,0)),"CUIT NO CARGADO")</f>
        <v>0</v>
      </c>
    </row>
    <row r="106" spans="2:18" x14ac:dyDescent="0.25">
      <c r="B106" s="139" t="s">
        <v>2224</v>
      </c>
      <c r="C106" s="140">
        <v>1</v>
      </c>
      <c r="D106" s="141">
        <v>6</v>
      </c>
      <c r="E106" s="142">
        <v>13576750</v>
      </c>
      <c r="F106" s="143">
        <v>30620177497</v>
      </c>
      <c r="G106" s="144" t="str">
        <f>IFERROR(IF(compras_mes1[[#This Row],[CUIT]]="","-",VLOOKUP(compras_mes1[[#This Row],[CUIT]],Lista_CUIT[#All],2,0)),"CUIT NO CARGADO")</f>
        <v>POSNET SOCIEDAD DE RESPONSABILIDAD LIMITADA</v>
      </c>
      <c r="H106" s="145">
        <v>3599</v>
      </c>
      <c r="I106" s="146">
        <f>IF(compras_mes1[[#This Row],[NETO GRAVADO]]="","",compras_mes1[[#This Row],[NETO GRAVADO]]*0.21)</f>
        <v>755.79</v>
      </c>
      <c r="J106" s="146"/>
      <c r="K106" s="146"/>
      <c r="L106" s="146"/>
      <c r="M106" s="146"/>
      <c r="N106" s="146">
        <v>233.94</v>
      </c>
      <c r="O106" s="146"/>
      <c r="P106" s="147">
        <f>SUM(compras_mes1[[#This Row],[NETO GRAVADO]:[Otros / No Grav.]])</f>
        <v>4588.7299999999996</v>
      </c>
      <c r="Q106" s="148" t="str">
        <f>IFERROR(IF(compras_mes1[[#This Row],[CUIT]]="","-",VLOOKUP(compras_mes1[[#This Row],[CUIT]],Lista_CUIT[#All],3,0)),"CUIT NO CARGADO")</f>
        <v>GASTOS VARIOS</v>
      </c>
      <c r="R106" s="148">
        <f>IFERROR(IF(compras_mes1[[#This Row],[CUIT]]="","-",VLOOKUP(compras_mes1[[#This Row],[CUIT]],Lista_CUIT[#All],4,0)),"CUIT NO CARGADO")</f>
        <v>0</v>
      </c>
    </row>
    <row r="107" spans="2:18" x14ac:dyDescent="0.25">
      <c r="B107" s="96" t="s">
        <v>110</v>
      </c>
      <c r="C107" s="96"/>
      <c r="D107" s="96"/>
      <c r="E107" s="96"/>
      <c r="F107" s="96"/>
      <c r="G107" s="97"/>
      <c r="H107" s="98">
        <f>SUBTOTAL(109,compras_mes1[NETO GRAVADO])</f>
        <v>9427025.7299999967</v>
      </c>
      <c r="I107" s="98">
        <f>SUBTOTAL(109,compras_mes1[IVA 21 %])</f>
        <v>1855536.2027999999</v>
      </c>
      <c r="J107" s="98">
        <f>SUBTOTAL(109,compras_mes1[IVA 27%])</f>
        <v>3456.6381000000001</v>
      </c>
      <c r="K107" s="98">
        <f>SUBTOTAL(109,compras_mes1[IVA 10,5%])</f>
        <v>60725.36</v>
      </c>
      <c r="L107" s="98">
        <f>SUBTOTAL(109,compras_mes1[PERC. IVA])</f>
        <v>527.54999999999995</v>
      </c>
      <c r="M107" s="98">
        <f>SUBTOTAL(109,compras_mes1[PERC IIBB 
BS AS])</f>
        <v>286.33</v>
      </c>
      <c r="N107" s="98">
        <f>SUBTOTAL(109,compras_mes1[PERC. IIBB CABA])</f>
        <v>180573.36765000003</v>
      </c>
      <c r="O107" s="98">
        <f>SUBTOTAL(109,compras_mes1[Otros / No Grav.])</f>
        <v>4178.6499999999996</v>
      </c>
      <c r="P107" s="98">
        <f>SUBTOTAL(109,compras_mes1[TOTAL])</f>
        <v>11532309.82855</v>
      </c>
      <c r="Q107" s="96"/>
      <c r="R107" s="96"/>
    </row>
    <row r="108" spans="2:18" x14ac:dyDescent="0.25">
      <c r="B108" s="40"/>
      <c r="C108" s="41"/>
      <c r="D108" s="42"/>
      <c r="E108" s="43"/>
      <c r="F108" s="44"/>
      <c r="G108" s="45"/>
      <c r="H108" s="46"/>
      <c r="I108" s="47"/>
      <c r="J108" s="47"/>
      <c r="K108" s="47"/>
      <c r="L108" s="47"/>
      <c r="M108" s="47"/>
      <c r="N108" s="47"/>
      <c r="O108" s="47"/>
      <c r="P108" s="48"/>
      <c r="Q108" s="49"/>
      <c r="R108" s="49"/>
    </row>
    <row r="109" spans="2:18" x14ac:dyDescent="0.25">
      <c r="B109" s="40"/>
      <c r="C109" s="41"/>
      <c r="D109" s="42"/>
      <c r="E109" s="43"/>
      <c r="F109" s="44"/>
      <c r="G109" s="45"/>
      <c r="H109" s="46"/>
      <c r="I109" s="47"/>
      <c r="J109" s="47"/>
      <c r="K109" s="47"/>
      <c r="L109" s="47"/>
      <c r="M109" s="47"/>
      <c r="N109" s="47"/>
      <c r="O109" s="47"/>
      <c r="P109" s="48"/>
      <c r="Q109" s="49"/>
      <c r="R109" s="49"/>
    </row>
    <row r="110" spans="2:18" x14ac:dyDescent="0.25">
      <c r="B110" s="40"/>
      <c r="C110" s="41"/>
      <c r="D110" s="42"/>
      <c r="E110" s="43"/>
      <c r="F110" s="44"/>
      <c r="G110" s="45"/>
      <c r="H110" s="46"/>
      <c r="I110" s="47"/>
      <c r="J110" s="47"/>
      <c r="K110" s="47"/>
      <c r="L110" s="47"/>
      <c r="M110" s="47"/>
      <c r="N110" s="47"/>
      <c r="O110" s="47"/>
      <c r="P110" s="48"/>
      <c r="Q110" s="49"/>
      <c r="R110" s="49"/>
    </row>
    <row r="111" spans="2:18" x14ac:dyDescent="0.25">
      <c r="B111" s="40"/>
      <c r="C111" s="41"/>
      <c r="D111" s="42"/>
      <c r="E111" s="43"/>
      <c r="F111" s="44"/>
      <c r="G111" s="45"/>
      <c r="H111" s="46"/>
      <c r="I111" s="47"/>
      <c r="J111" s="47"/>
      <c r="K111" s="47"/>
      <c r="L111" s="47"/>
    </row>
    <row r="112" spans="2:18" ht="21" x14ac:dyDescent="0.25">
      <c r="D112" s="524" t="s">
        <v>15</v>
      </c>
      <c r="E112" s="524"/>
      <c r="F112" s="524"/>
      <c r="G112" s="524"/>
      <c r="H112" s="524"/>
      <c r="I112" s="524"/>
      <c r="J112" s="524"/>
      <c r="K112" s="524"/>
      <c r="L112" s="524"/>
    </row>
    <row r="113" spans="4:12" ht="15.75" x14ac:dyDescent="0.25">
      <c r="D113" s="73" t="s">
        <v>0</v>
      </c>
      <c r="E113" s="74" t="s">
        <v>26</v>
      </c>
      <c r="F113" s="74" t="s">
        <v>16</v>
      </c>
      <c r="G113" s="74" t="s">
        <v>5</v>
      </c>
      <c r="H113" s="74" t="s">
        <v>17</v>
      </c>
      <c r="I113" s="74" t="s">
        <v>7</v>
      </c>
      <c r="J113" s="75" t="s">
        <v>18</v>
      </c>
      <c r="K113" s="75" t="s">
        <v>19</v>
      </c>
      <c r="L113" s="76" t="s">
        <v>20</v>
      </c>
    </row>
    <row r="114" spans="4:12" x14ac:dyDescent="0.25">
      <c r="D114" s="50">
        <v>44957</v>
      </c>
      <c r="E114" s="138">
        <v>31012023</v>
      </c>
      <c r="F114" s="80" t="s">
        <v>2227</v>
      </c>
      <c r="G114" s="81">
        <v>3912.5</v>
      </c>
      <c r="H114" s="81">
        <f>extracto_banco_mes1[[#This Row],[NETO]]*0.21</f>
        <v>821.625</v>
      </c>
      <c r="I114" s="81"/>
      <c r="J114" s="81"/>
      <c r="K114" s="81">
        <v>81</v>
      </c>
      <c r="L114" s="81"/>
    </row>
    <row r="115" spans="4:12" x14ac:dyDescent="0.25">
      <c r="D115" s="50">
        <v>44957</v>
      </c>
      <c r="E115" s="138">
        <v>20230131</v>
      </c>
      <c r="F115" s="80" t="s">
        <v>2228</v>
      </c>
      <c r="G115" s="81">
        <v>4108</v>
      </c>
      <c r="H115" s="81">
        <f>extracto_banco_mes1[[#This Row],[NETO]]*0.21</f>
        <v>862.68</v>
      </c>
      <c r="I115" s="81"/>
      <c r="J115" s="81">
        <v>140</v>
      </c>
      <c r="K115" s="81">
        <v>120</v>
      </c>
      <c r="L115" s="81"/>
    </row>
    <row r="116" spans="4:12" x14ac:dyDescent="0.25">
      <c r="D116" s="50"/>
      <c r="E116" s="138"/>
      <c r="F116" s="80"/>
      <c r="G116" s="81"/>
      <c r="H116" s="81">
        <f>extracto_banco_mes1[[#This Row],[NETO]]*0.21</f>
        <v>0</v>
      </c>
      <c r="I116" s="81"/>
      <c r="J116" s="81"/>
      <c r="K116" s="81"/>
      <c r="L116" s="81"/>
    </row>
    <row r="117" spans="4:12" ht="15.75" thickBot="1" x14ac:dyDescent="0.3">
      <c r="D117" s="82" t="s">
        <v>110</v>
      </c>
      <c r="E117" s="80"/>
      <c r="F117" s="80"/>
      <c r="G117" s="83">
        <f>SUBTOTAL(109,extracto_banco_mes1[NETO])</f>
        <v>8020.5</v>
      </c>
      <c r="H117" s="83">
        <f>SUBTOTAL(109,extracto_banco_mes1[IVA 21%])</f>
        <v>1684.3049999999998</v>
      </c>
      <c r="I117" s="83">
        <f>SUBTOTAL(109,extracto_banco_mes1[IVA 10,5%])</f>
        <v>0</v>
      </c>
      <c r="J117" s="83">
        <f>SUBTOTAL(109,extracto_banco_mes1[RET IIBB CABA])</f>
        <v>140</v>
      </c>
      <c r="K117" s="83">
        <f>SUBTOTAL(109,extracto_banco_mes1[PERC IVA])</f>
        <v>201</v>
      </c>
      <c r="L117" s="83">
        <f>SUBTOTAL(109,extracto_banco_mes1[PERC IIBB])</f>
        <v>0</v>
      </c>
    </row>
    <row r="118" spans="4:12" ht="16.5" thickBot="1" x14ac:dyDescent="0.3">
      <c r="H118" s="166" t="s">
        <v>2229</v>
      </c>
      <c r="I118" s="167">
        <f>SUM(extracto_banco_mes1[[#Totals],[IVA 21%]:[IVA 10,5%]])</f>
        <v>1684.3049999999998</v>
      </c>
      <c r="J118" t="s">
        <v>2230</v>
      </c>
    </row>
    <row r="121" spans="4:12" ht="21" x14ac:dyDescent="0.25">
      <c r="D121" s="524" t="s">
        <v>25</v>
      </c>
      <c r="E121" s="524"/>
      <c r="F121" s="524"/>
      <c r="G121" s="524"/>
      <c r="H121" s="524"/>
      <c r="I121" s="524"/>
      <c r="J121" s="524"/>
      <c r="K121" s="524"/>
    </row>
    <row r="122" spans="4:12" x14ac:dyDescent="0.25">
      <c r="D122" s="51" t="s">
        <v>0</v>
      </c>
      <c r="E122" s="51" t="s">
        <v>2</v>
      </c>
      <c r="F122" s="51" t="s">
        <v>74</v>
      </c>
      <c r="G122" s="51" t="s">
        <v>3</v>
      </c>
      <c r="H122" s="51" t="s">
        <v>4</v>
      </c>
      <c r="I122" s="52" t="s">
        <v>10</v>
      </c>
      <c r="J122" s="51" t="s">
        <v>13</v>
      </c>
      <c r="K122" s="51" t="s">
        <v>38</v>
      </c>
    </row>
    <row r="123" spans="4:12" hidden="1" x14ac:dyDescent="0.25">
      <c r="D123" s="137">
        <v>44930</v>
      </c>
      <c r="E123" s="132">
        <v>2</v>
      </c>
      <c r="F123" s="132">
        <v>26</v>
      </c>
      <c r="G123" s="133">
        <v>20314536852</v>
      </c>
      <c r="H123" s="134" t="str">
        <f>IFERROR(IF(factura_c_mes1[[#This Row],[CUIT]]="","-",VLOOKUP(factura_c_mes1[[#This Row],[CUIT]],Lista_CUIT[#All],2,0)),"CUIT NO CARGADO")</f>
        <v>FRANCESE GONZALO ROMAN</v>
      </c>
      <c r="I123" s="135">
        <v>15600</v>
      </c>
      <c r="J123" s="136" t="str">
        <f>IFERROR(IF(factura_c_mes1[[#This Row],[CUIT]]="","-",VLOOKUP(factura_c_mes1[[#This Row],[CUIT]],Lista_CUIT[#All],3,0)),"CUIT NO CARGADO")</f>
        <v>FLETE</v>
      </c>
      <c r="K123" s="136">
        <f>IFERROR(IF(factura_c_mes1[[#This Row],[CUIT]]="","-",VLOOKUP(factura_c_mes1[[#This Row],[CUIT]],Lista_CUIT[#All],4,0)),"CUIT NO CARGADO")</f>
        <v>0</v>
      </c>
    </row>
    <row r="124" spans="4:12" hidden="1" x14ac:dyDescent="0.25">
      <c r="D124" s="137">
        <v>44930</v>
      </c>
      <c r="E124" s="132">
        <v>2</v>
      </c>
      <c r="F124" s="132">
        <v>27</v>
      </c>
      <c r="G124" s="133">
        <v>20314536852</v>
      </c>
      <c r="H124" s="134" t="str">
        <f>IFERROR(IF(factura_c_mes1[[#This Row],[CUIT]]="","-",VLOOKUP(factura_c_mes1[[#This Row],[CUIT]],Lista_CUIT[#All],2,0)),"CUIT NO CARGADO")</f>
        <v>FRANCESE GONZALO ROMAN</v>
      </c>
      <c r="I124" s="135">
        <v>55500</v>
      </c>
      <c r="J124" s="136" t="str">
        <f>IFERROR(IF(factura_c_mes1[[#This Row],[CUIT]]="","-",VLOOKUP(factura_c_mes1[[#This Row],[CUIT]],Lista_CUIT[#All],3,0)),"CUIT NO CARGADO")</f>
        <v>FLETE</v>
      </c>
      <c r="K124" s="136">
        <f>IFERROR(IF(factura_c_mes1[[#This Row],[CUIT]]="","-",VLOOKUP(factura_c_mes1[[#This Row],[CUIT]],Lista_CUIT[#All],4,0)),"CUIT NO CARGADO")</f>
        <v>0</v>
      </c>
    </row>
    <row r="125" spans="4:12" hidden="1" x14ac:dyDescent="0.25">
      <c r="D125" s="137">
        <v>44937</v>
      </c>
      <c r="E125" s="132">
        <v>2</v>
      </c>
      <c r="F125" s="132">
        <v>28</v>
      </c>
      <c r="G125" s="133">
        <v>20314536852</v>
      </c>
      <c r="H125" s="134" t="str">
        <f>IFERROR(IF(factura_c_mes1[[#This Row],[CUIT]]="","-",VLOOKUP(factura_c_mes1[[#This Row],[CUIT]],Lista_CUIT[#All],2,0)),"CUIT NO CARGADO")</f>
        <v>FRANCESE GONZALO ROMAN</v>
      </c>
      <c r="I125" s="135">
        <v>48100</v>
      </c>
      <c r="J125" s="136" t="str">
        <f>IFERROR(IF(factura_c_mes1[[#This Row],[CUIT]]="","-",VLOOKUP(factura_c_mes1[[#This Row],[CUIT]],Lista_CUIT[#All],3,0)),"CUIT NO CARGADO")</f>
        <v>FLETE</v>
      </c>
      <c r="K125" s="136">
        <f>IFERROR(IF(factura_c_mes1[[#This Row],[CUIT]]="","-",VLOOKUP(factura_c_mes1[[#This Row],[CUIT]],Lista_CUIT[#All],4,0)),"CUIT NO CARGADO")</f>
        <v>0</v>
      </c>
    </row>
    <row r="126" spans="4:12" hidden="1" x14ac:dyDescent="0.25">
      <c r="D126" s="137">
        <v>44942</v>
      </c>
      <c r="E126" s="132">
        <v>2</v>
      </c>
      <c r="F126" s="132">
        <v>29</v>
      </c>
      <c r="G126" s="133">
        <v>20314536852</v>
      </c>
      <c r="H126" s="134" t="str">
        <f>IFERROR(IF(factura_c_mes1[[#This Row],[CUIT]]="","-",VLOOKUP(factura_c_mes1[[#This Row],[CUIT]],Lista_CUIT[#All],2,0)),"CUIT NO CARGADO")</f>
        <v>FRANCESE GONZALO ROMAN</v>
      </c>
      <c r="I126" s="135">
        <v>29700</v>
      </c>
      <c r="J126" s="136" t="str">
        <f>IFERROR(IF(factura_c_mes1[[#This Row],[CUIT]]="","-",VLOOKUP(factura_c_mes1[[#This Row],[CUIT]],Lista_CUIT[#All],3,0)),"CUIT NO CARGADO")</f>
        <v>FLETE</v>
      </c>
      <c r="K126" s="136">
        <f>IFERROR(IF(factura_c_mes1[[#This Row],[CUIT]]="","-",VLOOKUP(factura_c_mes1[[#This Row],[CUIT]],Lista_CUIT[#All],4,0)),"CUIT NO CARGADO")</f>
        <v>0</v>
      </c>
    </row>
    <row r="127" spans="4:12" hidden="1" x14ac:dyDescent="0.25">
      <c r="D127" s="149" t="s">
        <v>2208</v>
      </c>
      <c r="E127" s="150">
        <v>1</v>
      </c>
      <c r="F127" s="150">
        <v>30</v>
      </c>
      <c r="G127" s="151">
        <v>20403969886</v>
      </c>
      <c r="H127" s="152" t="str">
        <f>IFERROR(IF(factura_c_mes1[[#This Row],[CUIT]]="","-",VLOOKUP(factura_c_mes1[[#This Row],[CUIT]],Lista_CUIT[#All],2,0)),"CUIT NO CARGADO")</f>
        <v>DEL GESSO FRANCO JESUS</v>
      </c>
      <c r="I127" s="153">
        <v>118390</v>
      </c>
      <c r="J127" s="154" t="str">
        <f>IFERROR(IF(factura_c_mes1[[#This Row],[CUIT]]="","-",VLOOKUP(factura_c_mes1[[#This Row],[CUIT]],Lista_CUIT[#All],3,0)),"CUIT NO CARGADO")</f>
        <v>GASTOS ADMINISTRATIVOS</v>
      </c>
      <c r="K127" s="154">
        <f>IFERROR(IF(factura_c_mes1[[#This Row],[CUIT]]="","-",VLOOKUP(factura_c_mes1[[#This Row],[CUIT]],Lista_CUIT[#All],4,0)),"CUIT NO CARGADO")</f>
        <v>0</v>
      </c>
    </row>
    <row r="128" spans="4:12" hidden="1" x14ac:dyDescent="0.25">
      <c r="D128" s="149" t="s">
        <v>2223</v>
      </c>
      <c r="E128" s="150">
        <v>2</v>
      </c>
      <c r="F128" s="150">
        <v>30</v>
      </c>
      <c r="G128" s="151">
        <v>20314536852</v>
      </c>
      <c r="H128" s="152" t="str">
        <f>IFERROR(IF(factura_c_mes1[[#This Row],[CUIT]]="","-",VLOOKUP(factura_c_mes1[[#This Row],[CUIT]],Lista_CUIT[#All],2,0)),"CUIT NO CARGADO")</f>
        <v>FRANCESE GONZALO ROMAN</v>
      </c>
      <c r="I128" s="153">
        <v>32100</v>
      </c>
      <c r="J128" s="154" t="str">
        <f>IFERROR(IF(factura_c_mes1[[#This Row],[CUIT]]="","-",VLOOKUP(factura_c_mes1[[#This Row],[CUIT]],Lista_CUIT[#All],3,0)),"CUIT NO CARGADO")</f>
        <v>FLETE</v>
      </c>
      <c r="K128" s="154">
        <f>IFERROR(IF(factura_c_mes1[[#This Row],[CUIT]]="","-",VLOOKUP(factura_c_mes1[[#This Row],[CUIT]],Lista_CUIT[#All],4,0)),"CUIT NO CARGADO")</f>
        <v>0</v>
      </c>
    </row>
    <row r="129" spans="4:11" hidden="1" x14ac:dyDescent="0.25">
      <c r="D129" s="149" t="s">
        <v>2208</v>
      </c>
      <c r="E129" s="150">
        <v>1</v>
      </c>
      <c r="F129" s="150">
        <v>31</v>
      </c>
      <c r="G129" s="151">
        <v>20403969886</v>
      </c>
      <c r="H129" s="152" t="str">
        <f>IFERROR(IF(factura_c_mes1[[#This Row],[CUIT]]="","-",VLOOKUP(factura_c_mes1[[#This Row],[CUIT]],Lista_CUIT[#All],2,0)),"CUIT NO CARGADO")</f>
        <v>DEL GESSO FRANCO JESUS</v>
      </c>
      <c r="I129" s="153">
        <v>118390</v>
      </c>
      <c r="J129" s="154" t="str">
        <f>IFERROR(IF(factura_c_mes1[[#This Row],[CUIT]]="","-",VLOOKUP(factura_c_mes1[[#This Row],[CUIT]],Lista_CUIT[#All],3,0)),"CUIT NO CARGADO")</f>
        <v>GASTOS ADMINISTRATIVOS</v>
      </c>
      <c r="K129" s="154">
        <f>IFERROR(IF(factura_c_mes1[[#This Row],[CUIT]]="","-",VLOOKUP(factura_c_mes1[[#This Row],[CUIT]],Lista_CUIT[#All],4,0)),"CUIT NO CARGADO")</f>
        <v>0</v>
      </c>
    </row>
    <row r="130" spans="4:11" x14ac:dyDescent="0.25">
      <c r="D130" s="137">
        <v>44936</v>
      </c>
      <c r="E130" s="132">
        <v>1</v>
      </c>
      <c r="F130" s="132">
        <v>39</v>
      </c>
      <c r="G130" s="133">
        <v>20299835260</v>
      </c>
      <c r="H130" s="134" t="str">
        <f>IFERROR(IF(factura_c_mes1[[#This Row],[CUIT]]="","-",VLOOKUP(factura_c_mes1[[#This Row],[CUIT]],Lista_CUIT[#All],2,0)),"CUIT NO CARGADO")</f>
        <v>MALGAREJO NICOLAS EMILIO</v>
      </c>
      <c r="I130" s="135">
        <v>23000</v>
      </c>
      <c r="J130" s="136" t="str">
        <f>IFERROR(IF(factura_c_mes1[[#This Row],[CUIT]]="","-",VLOOKUP(factura_c_mes1[[#This Row],[CUIT]],Lista_CUIT[#All],3,0)),"CUIT NO CARGADO")</f>
        <v>Productos Ortopedicos</v>
      </c>
      <c r="K130" s="136">
        <f>IFERROR(IF(factura_c_mes1[[#This Row],[CUIT]]="","-",VLOOKUP(factura_c_mes1[[#This Row],[CUIT]],Lista_CUIT[#All],4,0)),"CUIT NO CARGADO")</f>
        <v>0</v>
      </c>
    </row>
    <row r="131" spans="4:11" x14ac:dyDescent="0.25">
      <c r="D131" s="137">
        <v>44936</v>
      </c>
      <c r="E131" s="132">
        <v>1</v>
      </c>
      <c r="F131" s="132">
        <v>40</v>
      </c>
      <c r="G131" s="133">
        <v>20299835260</v>
      </c>
      <c r="H131" s="134" t="str">
        <f>IFERROR(IF(factura_c_mes1[[#This Row],[CUIT]]="","-",VLOOKUP(factura_c_mes1[[#This Row],[CUIT]],Lista_CUIT[#All],2,0)),"CUIT NO CARGADO")</f>
        <v>MALGAREJO NICOLAS EMILIO</v>
      </c>
      <c r="I131" s="135">
        <v>12000</v>
      </c>
      <c r="J131" s="136" t="str">
        <f>IFERROR(IF(factura_c_mes1[[#This Row],[CUIT]]="","-",VLOOKUP(factura_c_mes1[[#This Row],[CUIT]],Lista_CUIT[#All],3,0)),"CUIT NO CARGADO")</f>
        <v>Productos Ortopedicos</v>
      </c>
      <c r="K131" s="136">
        <f>IFERROR(IF(factura_c_mes1[[#This Row],[CUIT]]="","-",VLOOKUP(factura_c_mes1[[#This Row],[CUIT]],Lista_CUIT[#All],4,0)),"CUIT NO CARGADO")</f>
        <v>0</v>
      </c>
    </row>
    <row r="132" spans="4:11" x14ac:dyDescent="0.25">
      <c r="D132" s="137">
        <v>44936</v>
      </c>
      <c r="E132" s="132">
        <v>1</v>
      </c>
      <c r="F132" s="132">
        <v>41</v>
      </c>
      <c r="G132" s="133">
        <v>20299835260</v>
      </c>
      <c r="H132" s="134" t="str">
        <f>IFERROR(IF(factura_c_mes1[[#This Row],[CUIT]]="","-",VLOOKUP(factura_c_mes1[[#This Row],[CUIT]],Lista_CUIT[#All],2,0)),"CUIT NO CARGADO")</f>
        <v>MALGAREJO NICOLAS EMILIO</v>
      </c>
      <c r="I132" s="135">
        <v>14000</v>
      </c>
      <c r="J132" s="136" t="str">
        <f>IFERROR(IF(factura_c_mes1[[#This Row],[CUIT]]="","-",VLOOKUP(factura_c_mes1[[#This Row],[CUIT]],Lista_CUIT[#All],3,0)),"CUIT NO CARGADO")</f>
        <v>Productos Ortopedicos</v>
      </c>
      <c r="K132" s="136">
        <f>IFERROR(IF(factura_c_mes1[[#This Row],[CUIT]]="","-",VLOOKUP(factura_c_mes1[[#This Row],[CUIT]],Lista_CUIT[#All],4,0)),"CUIT NO CARGADO")</f>
        <v>0</v>
      </c>
    </row>
    <row r="133" spans="4:11" hidden="1" x14ac:dyDescent="0.25">
      <c r="D133" s="137">
        <v>44946</v>
      </c>
      <c r="E133" s="132">
        <v>1</v>
      </c>
      <c r="F133" s="132">
        <v>50</v>
      </c>
      <c r="G133" s="133">
        <v>23281233084</v>
      </c>
      <c r="H133" s="134" t="str">
        <f>IFERROR(IF(factura_c_mes1[[#This Row],[CUIT]]="","-",VLOOKUP(factura_c_mes1[[#This Row],[CUIT]],Lista_CUIT[#All],2,0)),"CUIT NO CARGADO")</f>
        <v>DRUETTA ANDREA MARIEL</v>
      </c>
      <c r="I133" s="135">
        <v>35311</v>
      </c>
      <c r="J133" s="136" t="str">
        <f>IFERROR(IF(factura_c_mes1[[#This Row],[CUIT]]="","-",VLOOKUP(factura_c_mes1[[#This Row],[CUIT]],Lista_CUIT[#All],3,0)),"CUIT NO CARGADO")</f>
        <v>HONORARIOS TECNICOS</v>
      </c>
      <c r="K133" s="136">
        <f>IFERROR(IF(factura_c_mes1[[#This Row],[CUIT]]="","-",VLOOKUP(factura_c_mes1[[#This Row],[CUIT]],Lista_CUIT[#All],4,0)),"CUIT NO CARGADO")</f>
        <v>0</v>
      </c>
    </row>
    <row r="134" spans="4:11" hidden="1" x14ac:dyDescent="0.25">
      <c r="D134" s="149" t="s">
        <v>2211</v>
      </c>
      <c r="E134" s="150">
        <v>1</v>
      </c>
      <c r="F134" s="150">
        <v>72</v>
      </c>
      <c r="G134" s="151">
        <v>27385671526</v>
      </c>
      <c r="H134" s="152" t="str">
        <f>IFERROR(IF(factura_c_mes1[[#This Row],[CUIT]]="","-",VLOOKUP(factura_c_mes1[[#This Row],[CUIT]],Lista_CUIT[#All],2,0)),"CUIT NO CARGADO")</f>
        <v>MACHADO ELIANA NOEMI</v>
      </c>
      <c r="I134" s="153">
        <v>133070</v>
      </c>
      <c r="J134" s="154" t="str">
        <f>IFERROR(IF(factura_c_mes1[[#This Row],[CUIT]]="","-",VLOOKUP(factura_c_mes1[[#This Row],[CUIT]],Lista_CUIT[#All],3,0)),"CUIT NO CARGADO")</f>
        <v>MEDIDAS</v>
      </c>
      <c r="K134" s="154">
        <f>IFERROR(IF(factura_c_mes1[[#This Row],[CUIT]]="","-",VLOOKUP(factura_c_mes1[[#This Row],[CUIT]],Lista_CUIT[#All],4,0)),"CUIT NO CARGADO")</f>
        <v>0</v>
      </c>
    </row>
    <row r="135" spans="4:11" hidden="1" x14ac:dyDescent="0.25">
      <c r="D135" s="149" t="s">
        <v>2211</v>
      </c>
      <c r="E135" s="150">
        <v>1</v>
      </c>
      <c r="F135" s="150">
        <v>73</v>
      </c>
      <c r="G135" s="151">
        <v>27385671526</v>
      </c>
      <c r="H135" s="152" t="str">
        <f>IFERROR(IF(factura_c_mes1[[#This Row],[CUIT]]="","-",VLOOKUP(factura_c_mes1[[#This Row],[CUIT]],Lista_CUIT[#All],2,0)),"CUIT NO CARGADO")</f>
        <v>MACHADO ELIANA NOEMI</v>
      </c>
      <c r="I135" s="153">
        <v>93090</v>
      </c>
      <c r="J135" s="154" t="str">
        <f>IFERROR(IF(factura_c_mes1[[#This Row],[CUIT]]="","-",VLOOKUP(factura_c_mes1[[#This Row],[CUIT]],Lista_CUIT[#All],3,0)),"CUIT NO CARGADO")</f>
        <v>MEDIDAS</v>
      </c>
      <c r="K135" s="154">
        <f>IFERROR(IF(factura_c_mes1[[#This Row],[CUIT]]="","-",VLOOKUP(factura_c_mes1[[#This Row],[CUIT]],Lista_CUIT[#All],4,0)),"CUIT NO CARGADO")</f>
        <v>0</v>
      </c>
    </row>
    <row r="136" spans="4:11" hidden="1" x14ac:dyDescent="0.25">
      <c r="D136" s="137">
        <v>44880</v>
      </c>
      <c r="E136" s="132">
        <v>2</v>
      </c>
      <c r="F136" s="132">
        <v>79</v>
      </c>
      <c r="G136" s="133">
        <v>20220423655</v>
      </c>
      <c r="H136" s="134" t="str">
        <f>IFERROR(IF(factura_c_mes1[[#This Row],[CUIT]]="","-",VLOOKUP(factura_c_mes1[[#This Row],[CUIT]],Lista_CUIT[#All],2,0)),"CUIT NO CARGADO")</f>
        <v>LANDRO FERNANDO GABRIEL</v>
      </c>
      <c r="I136" s="135">
        <v>121345</v>
      </c>
      <c r="J136" s="136" t="str">
        <f>IFERROR(IF(factura_c_mes1[[#This Row],[CUIT]]="","-",VLOOKUP(factura_c_mes1[[#This Row],[CUIT]],Lista_CUIT[#All],3,0)),"CUIT NO CARGADO")</f>
        <v>GESTION COBRANZAS</v>
      </c>
      <c r="K136" s="136">
        <f>IFERROR(IF(factura_c_mes1[[#This Row],[CUIT]]="","-",VLOOKUP(factura_c_mes1[[#This Row],[CUIT]],Lista_CUIT[#All],4,0)),"CUIT NO CARGADO")</f>
        <v>0</v>
      </c>
    </row>
    <row r="137" spans="4:11" hidden="1" x14ac:dyDescent="0.25">
      <c r="D137" s="137">
        <v>44880</v>
      </c>
      <c r="E137" s="132">
        <v>2</v>
      </c>
      <c r="F137" s="132">
        <v>80</v>
      </c>
      <c r="G137" s="133">
        <v>20220423655</v>
      </c>
      <c r="H137" s="134" t="str">
        <f>IFERROR(IF(factura_c_mes1[[#This Row],[CUIT]]="","-",VLOOKUP(factura_c_mes1[[#This Row],[CUIT]],Lista_CUIT[#All],2,0)),"CUIT NO CARGADO")</f>
        <v>LANDRO FERNANDO GABRIEL</v>
      </c>
      <c r="I137" s="135">
        <v>112280</v>
      </c>
      <c r="J137" s="136" t="str">
        <f>IFERROR(IF(factura_c_mes1[[#This Row],[CUIT]]="","-",VLOOKUP(factura_c_mes1[[#This Row],[CUIT]],Lista_CUIT[#All],3,0)),"CUIT NO CARGADO")</f>
        <v>GESTION COBRANZAS</v>
      </c>
      <c r="K137" s="136">
        <f>IFERROR(IF(factura_c_mes1[[#This Row],[CUIT]]="","-",VLOOKUP(factura_c_mes1[[#This Row],[CUIT]],Lista_CUIT[#All],4,0)),"CUIT NO CARGADO")</f>
        <v>0</v>
      </c>
    </row>
    <row r="138" spans="4:11" hidden="1" x14ac:dyDescent="0.25">
      <c r="D138" s="149" t="s">
        <v>2209</v>
      </c>
      <c r="E138" s="150">
        <v>2</v>
      </c>
      <c r="F138" s="150">
        <v>83</v>
      </c>
      <c r="G138" s="151">
        <v>20220423655</v>
      </c>
      <c r="H138" s="152" t="str">
        <f>IFERROR(IF(factura_c_mes1[[#This Row],[CUIT]]="","-",VLOOKUP(factura_c_mes1[[#This Row],[CUIT]],Lista_CUIT[#All],2,0)),"CUIT NO CARGADO")</f>
        <v>LANDRO FERNANDO GABRIEL</v>
      </c>
      <c r="I138" s="153">
        <v>128330</v>
      </c>
      <c r="J138" s="154" t="str">
        <f>IFERROR(IF(factura_c_mes1[[#This Row],[CUIT]]="","-",VLOOKUP(factura_c_mes1[[#This Row],[CUIT]],Lista_CUIT[#All],3,0)),"CUIT NO CARGADO")</f>
        <v>GESTION COBRANZAS</v>
      </c>
      <c r="K138" s="154">
        <f>IFERROR(IF(factura_c_mes1[[#This Row],[CUIT]]="","-",VLOOKUP(factura_c_mes1[[#This Row],[CUIT]],Lista_CUIT[#All],4,0)),"CUIT NO CARGADO")</f>
        <v>0</v>
      </c>
    </row>
    <row r="139" spans="4:11" hidden="1" x14ac:dyDescent="0.25">
      <c r="D139" s="149" t="s">
        <v>2209</v>
      </c>
      <c r="E139" s="150">
        <v>2</v>
      </c>
      <c r="F139" s="150">
        <v>84</v>
      </c>
      <c r="G139" s="151">
        <v>20220423655</v>
      </c>
      <c r="H139" s="152" t="str">
        <f>IFERROR(IF(factura_c_mes1[[#This Row],[CUIT]]="","-",VLOOKUP(factura_c_mes1[[#This Row],[CUIT]],Lista_CUIT[#All],2,0)),"CUIT NO CARGADO")</f>
        <v>LANDRO FERNANDO GABRIEL</v>
      </c>
      <c r="I139" s="153">
        <v>125120</v>
      </c>
      <c r="J139" s="154" t="str">
        <f>IFERROR(IF(factura_c_mes1[[#This Row],[CUIT]]="","-",VLOOKUP(factura_c_mes1[[#This Row],[CUIT]],Lista_CUIT[#All],3,0)),"CUIT NO CARGADO")</f>
        <v>GESTION COBRANZAS</v>
      </c>
      <c r="K139" s="154">
        <f>IFERROR(IF(factura_c_mes1[[#This Row],[CUIT]]="","-",VLOOKUP(factura_c_mes1[[#This Row],[CUIT]],Lista_CUIT[#All],4,0)),"CUIT NO CARGADO")</f>
        <v>0</v>
      </c>
    </row>
    <row r="140" spans="4:11" hidden="1" x14ac:dyDescent="0.25">
      <c r="D140" s="137">
        <v>44942</v>
      </c>
      <c r="E140" s="132">
        <v>1</v>
      </c>
      <c r="F140" s="132">
        <v>84</v>
      </c>
      <c r="G140" s="133">
        <v>27338342840</v>
      </c>
      <c r="H140" s="134" t="str">
        <f>IFERROR(IF(factura_c_mes1[[#This Row],[CUIT]]="","-",VLOOKUP(factura_c_mes1[[#This Row],[CUIT]],Lista_CUIT[#All],2,0)),"CUIT NO CARGADO")</f>
        <v>CANCINO PAMELA RITA</v>
      </c>
      <c r="I140" s="135">
        <v>136300</v>
      </c>
      <c r="J140" s="136" t="str">
        <f>IFERROR(IF(factura_c_mes1[[#This Row],[CUIT]]="","-",VLOOKUP(factura_c_mes1[[#This Row],[CUIT]],Lista_CUIT[#All],3,0)),"CUIT NO CARGADO")</f>
        <v>Productos Ortopedicos</v>
      </c>
      <c r="K140" s="136">
        <f>IFERROR(IF(factura_c_mes1[[#This Row],[CUIT]]="","-",VLOOKUP(factura_c_mes1[[#This Row],[CUIT]],Lista_CUIT[#All],4,0)),"CUIT NO CARGADO")</f>
        <v>0</v>
      </c>
    </row>
    <row r="141" spans="4:11" hidden="1" x14ac:dyDescent="0.25">
      <c r="D141" s="137">
        <v>44888</v>
      </c>
      <c r="E141" s="132">
        <v>1</v>
      </c>
      <c r="F141" s="132">
        <v>104</v>
      </c>
      <c r="G141" s="133">
        <v>27217606255</v>
      </c>
      <c r="H141" s="134" t="str">
        <f>IFERROR(IF(factura_c_mes1[[#This Row],[CUIT]]="","-",VLOOKUP(factura_c_mes1[[#This Row],[CUIT]],Lista_CUIT[#All],2,0)),"CUIT NO CARGADO")</f>
        <v>SAPUNA MARIAN KARINA</v>
      </c>
      <c r="I141" s="135">
        <v>57400</v>
      </c>
      <c r="J141" s="136" t="str">
        <f>IFERROR(IF(factura_c_mes1[[#This Row],[CUIT]]="","-",VLOOKUP(factura_c_mes1[[#This Row],[CUIT]],Lista_CUIT[#All],3,0)),"CUIT NO CARGADO")</f>
        <v>GASTOS MANTENIMIENTO</v>
      </c>
      <c r="K141" s="136">
        <f>IFERROR(IF(factura_c_mes1[[#This Row],[CUIT]]="","-",VLOOKUP(factura_c_mes1[[#This Row],[CUIT]],Lista_CUIT[#All],4,0)),"CUIT NO CARGADO")</f>
        <v>0</v>
      </c>
    </row>
    <row r="142" spans="4:11" hidden="1" x14ac:dyDescent="0.25">
      <c r="D142" s="149" t="s">
        <v>2211</v>
      </c>
      <c r="E142" s="150">
        <v>1</v>
      </c>
      <c r="F142" s="150">
        <v>113</v>
      </c>
      <c r="G142" s="151">
        <v>27217606255</v>
      </c>
      <c r="H142" s="152" t="str">
        <f>IFERROR(IF(factura_c_mes1[[#This Row],[CUIT]]="","-",VLOOKUP(factura_c_mes1[[#This Row],[CUIT]],Lista_CUIT[#All],2,0)),"CUIT NO CARGADO")</f>
        <v>SAPUNA MARIAN KARINA</v>
      </c>
      <c r="I142" s="153">
        <v>20265</v>
      </c>
      <c r="J142" s="154" t="str">
        <f>IFERROR(IF(factura_c_mes1[[#This Row],[CUIT]]="","-",VLOOKUP(factura_c_mes1[[#This Row],[CUIT]],Lista_CUIT[#All],3,0)),"CUIT NO CARGADO")</f>
        <v>GASTOS MANTENIMIENTO</v>
      </c>
      <c r="K142" s="154">
        <f>IFERROR(IF(factura_c_mes1[[#This Row],[CUIT]]="","-",VLOOKUP(factura_c_mes1[[#This Row],[CUIT]],Lista_CUIT[#All],4,0)),"CUIT NO CARGADO")</f>
        <v>0</v>
      </c>
    </row>
    <row r="143" spans="4:11" hidden="1" x14ac:dyDescent="0.25">
      <c r="D143" s="149" t="s">
        <v>2211</v>
      </c>
      <c r="E143" s="150">
        <v>1</v>
      </c>
      <c r="F143" s="150">
        <v>114</v>
      </c>
      <c r="G143" s="151">
        <v>27217606255</v>
      </c>
      <c r="H143" s="152" t="str">
        <f>IFERROR(IF(factura_c_mes1[[#This Row],[CUIT]]="","-",VLOOKUP(factura_c_mes1[[#This Row],[CUIT]],Lista_CUIT[#All],2,0)),"CUIT NO CARGADO")</f>
        <v>SAPUNA MARIAN KARINA</v>
      </c>
      <c r="I143" s="153">
        <v>55690</v>
      </c>
      <c r="J143" s="154" t="str">
        <f>IFERROR(IF(factura_c_mes1[[#This Row],[CUIT]]="","-",VLOOKUP(factura_c_mes1[[#This Row],[CUIT]],Lista_CUIT[#All],3,0)),"CUIT NO CARGADO")</f>
        <v>GASTOS MANTENIMIENTO</v>
      </c>
      <c r="K143" s="154">
        <f>IFERROR(IF(factura_c_mes1[[#This Row],[CUIT]]="","-",VLOOKUP(factura_c_mes1[[#This Row],[CUIT]],Lista_CUIT[#All],4,0)),"CUIT NO CARGADO")</f>
        <v>0</v>
      </c>
    </row>
    <row r="144" spans="4:11" hidden="1" x14ac:dyDescent="0.25">
      <c r="D144" s="149" t="s">
        <v>2213</v>
      </c>
      <c r="E144" s="150">
        <v>1</v>
      </c>
      <c r="F144" s="150">
        <v>115</v>
      </c>
      <c r="G144" s="151">
        <v>27217606255</v>
      </c>
      <c r="H144" s="152" t="str">
        <f>IFERROR(IF(factura_c_mes1[[#This Row],[CUIT]]="","-",VLOOKUP(factura_c_mes1[[#This Row],[CUIT]],Lista_CUIT[#All],2,0)),"CUIT NO CARGADO")</f>
        <v>SAPUNA MARIAN KARINA</v>
      </c>
      <c r="I144" s="153">
        <v>47590</v>
      </c>
      <c r="J144" s="154" t="str">
        <f>IFERROR(IF(factura_c_mes1[[#This Row],[CUIT]]="","-",VLOOKUP(factura_c_mes1[[#This Row],[CUIT]],Lista_CUIT[#All],3,0)),"CUIT NO CARGADO")</f>
        <v>GASTOS MANTENIMIENTO</v>
      </c>
      <c r="K144" s="154">
        <f>IFERROR(IF(factura_c_mes1[[#This Row],[CUIT]]="","-",VLOOKUP(factura_c_mes1[[#This Row],[CUIT]],Lista_CUIT[#All],4,0)),"CUIT NO CARGADO")</f>
        <v>0</v>
      </c>
    </row>
    <row r="145" spans="4:11" hidden="1" x14ac:dyDescent="0.25">
      <c r="D145" s="149" t="s">
        <v>2213</v>
      </c>
      <c r="E145" s="150">
        <v>1</v>
      </c>
      <c r="F145" s="150">
        <v>116</v>
      </c>
      <c r="G145" s="151">
        <v>27217606255</v>
      </c>
      <c r="H145" s="152" t="str">
        <f>IFERROR(IF(factura_c_mes1[[#This Row],[CUIT]]="","-",VLOOKUP(factura_c_mes1[[#This Row],[CUIT]],Lista_CUIT[#All],2,0)),"CUIT NO CARGADO")</f>
        <v>SAPUNA MARIAN KARINA</v>
      </c>
      <c r="I145" s="153">
        <v>41950</v>
      </c>
      <c r="J145" s="154" t="str">
        <f>IFERROR(IF(factura_c_mes1[[#This Row],[CUIT]]="","-",VLOOKUP(factura_c_mes1[[#This Row],[CUIT]],Lista_CUIT[#All],3,0)),"CUIT NO CARGADO")</f>
        <v>GASTOS MANTENIMIENTO</v>
      </c>
      <c r="K145" s="154">
        <f>IFERROR(IF(factura_c_mes1[[#This Row],[CUIT]]="","-",VLOOKUP(factura_c_mes1[[#This Row],[CUIT]],Lista_CUIT[#All],4,0)),"CUIT NO CARGADO")</f>
        <v>0</v>
      </c>
    </row>
    <row r="146" spans="4:11" hidden="1" x14ac:dyDescent="0.25">
      <c r="D146" s="149" t="s">
        <v>2214</v>
      </c>
      <c r="E146" s="150">
        <v>1</v>
      </c>
      <c r="F146" s="150">
        <v>117</v>
      </c>
      <c r="G146" s="151">
        <v>27217606255</v>
      </c>
      <c r="H146" s="152" t="str">
        <f>IFERROR(IF(factura_c_mes1[[#This Row],[CUIT]]="","-",VLOOKUP(factura_c_mes1[[#This Row],[CUIT]],Lista_CUIT[#All],2,0)),"CUIT NO CARGADO")</f>
        <v>SAPUNA MARIAN KARINA</v>
      </c>
      <c r="I146" s="153">
        <v>54505</v>
      </c>
      <c r="J146" s="154" t="str">
        <f>IFERROR(IF(factura_c_mes1[[#This Row],[CUIT]]="","-",VLOOKUP(factura_c_mes1[[#This Row],[CUIT]],Lista_CUIT[#All],3,0)),"CUIT NO CARGADO")</f>
        <v>GASTOS MANTENIMIENTO</v>
      </c>
      <c r="K146" s="154">
        <f>IFERROR(IF(factura_c_mes1[[#This Row],[CUIT]]="","-",VLOOKUP(factura_c_mes1[[#This Row],[CUIT]],Lista_CUIT[#All],4,0)),"CUIT NO CARGADO")</f>
        <v>0</v>
      </c>
    </row>
    <row r="147" spans="4:11" hidden="1" x14ac:dyDescent="0.25">
      <c r="D147" s="137">
        <v>44927</v>
      </c>
      <c r="E147" s="132">
        <v>2</v>
      </c>
      <c r="F147" s="132">
        <v>159</v>
      </c>
      <c r="G147" s="133">
        <v>27265832178</v>
      </c>
      <c r="H147" s="134" t="str">
        <f>IFERROR(IF(factura_c_mes1[[#This Row],[CUIT]]="","-",VLOOKUP(factura_c_mes1[[#This Row],[CUIT]],Lista_CUIT[#All],2,0)),"CUIT NO CARGADO")</f>
        <v>BLASCO MARIA GUADALUPE</v>
      </c>
      <c r="I147" s="135">
        <v>60000</v>
      </c>
      <c r="J147" s="136" t="str">
        <f>IFERROR(IF(factura_c_mes1[[#This Row],[CUIT]]="","-",VLOOKUP(factura_c_mes1[[#This Row],[CUIT]],Lista_CUIT[#All],3,0)),"CUIT NO CARGADO")</f>
        <v>Gastos Varios</v>
      </c>
      <c r="K147" s="136">
        <f>IFERROR(IF(factura_c_mes1[[#This Row],[CUIT]]="","-",VLOOKUP(factura_c_mes1[[#This Row],[CUIT]],Lista_CUIT[#All],4,0)),"CUIT NO CARGADO")</f>
        <v>0</v>
      </c>
    </row>
    <row r="148" spans="4:11" hidden="1" x14ac:dyDescent="0.25">
      <c r="D148" s="137">
        <v>44957</v>
      </c>
      <c r="E148" s="132">
        <v>1</v>
      </c>
      <c r="F148" s="132">
        <v>163</v>
      </c>
      <c r="G148" s="133">
        <v>23255855204</v>
      </c>
      <c r="H148" s="134" t="str">
        <f>IFERROR(IF(factura_c_mes1[[#This Row],[CUIT]]="","-",VLOOKUP(factura_c_mes1[[#This Row],[CUIT]],Lista_CUIT[#All],2,0)),"CUIT NO CARGADO")</f>
        <v>CABELLO LETICIA JESICA</v>
      </c>
      <c r="I148" s="135">
        <v>12000</v>
      </c>
      <c r="J148" s="136" t="str">
        <f>IFERROR(IF(factura_c_mes1[[#This Row],[CUIT]]="","-",VLOOKUP(factura_c_mes1[[#This Row],[CUIT]],Lista_CUIT[#All],3,0)),"CUIT NO CARGADO")</f>
        <v>ALQUILERES</v>
      </c>
      <c r="K148" s="136">
        <f>IFERROR(IF(factura_c_mes1[[#This Row],[CUIT]]="","-",VLOOKUP(factura_c_mes1[[#This Row],[CUIT]],Lista_CUIT[#All],4,0)),"CUIT NO CARGADO")</f>
        <v>0</v>
      </c>
    </row>
    <row r="149" spans="4:11" x14ac:dyDescent="0.25">
      <c r="D149" s="137">
        <v>44944</v>
      </c>
      <c r="E149" s="132">
        <v>1</v>
      </c>
      <c r="F149" s="132">
        <v>196</v>
      </c>
      <c r="G149" s="133">
        <v>27368203829</v>
      </c>
      <c r="H149" s="134" t="str">
        <f>IFERROR(IF(factura_c_mes1[[#This Row],[CUIT]]="","-",VLOOKUP(factura_c_mes1[[#This Row],[CUIT]],Lista_CUIT[#All],2,0)),"CUIT NO CARGADO")</f>
        <v>PROFETI NOEMI GISELE</v>
      </c>
      <c r="I149" s="135">
        <v>118439</v>
      </c>
      <c r="J149" s="136" t="str">
        <f>IFERROR(IF(factura_c_mes1[[#This Row],[CUIT]]="","-",VLOOKUP(factura_c_mes1[[#This Row],[CUIT]],Lista_CUIT[#All],3,0)),"CUIT NO CARGADO")</f>
        <v>GASTOS MANTENIMIENTO</v>
      </c>
      <c r="K149" s="136" t="str">
        <f>IFERROR(IF(factura_c_mes1[[#This Row],[CUIT]]="","-",VLOOKUP(factura_c_mes1[[#This Row],[CUIT]],Lista_CUIT[#All],4,0)),"CUIT NO CARGADO")</f>
        <v>BUENOS AIRES</v>
      </c>
    </row>
    <row r="150" spans="4:11" x14ac:dyDescent="0.25">
      <c r="D150" s="137">
        <v>44944</v>
      </c>
      <c r="E150" s="132">
        <v>1</v>
      </c>
      <c r="F150" s="132">
        <v>197</v>
      </c>
      <c r="G150" s="133">
        <v>27368203829</v>
      </c>
      <c r="H150" s="134" t="str">
        <f>IFERROR(IF(factura_c_mes1[[#This Row],[CUIT]]="","-",VLOOKUP(factura_c_mes1[[#This Row],[CUIT]],Lista_CUIT[#All],2,0)),"CUIT NO CARGADO")</f>
        <v>PROFETI NOEMI GISELE</v>
      </c>
      <c r="I150" s="135">
        <v>15800</v>
      </c>
      <c r="J150" s="136" t="str">
        <f>IFERROR(IF(factura_c_mes1[[#This Row],[CUIT]]="","-",VLOOKUP(factura_c_mes1[[#This Row],[CUIT]],Lista_CUIT[#All],3,0)),"CUIT NO CARGADO")</f>
        <v>GASTOS MANTENIMIENTO</v>
      </c>
      <c r="K150" s="136" t="str">
        <f>IFERROR(IF(factura_c_mes1[[#This Row],[CUIT]]="","-",VLOOKUP(factura_c_mes1[[#This Row],[CUIT]],Lista_CUIT[#All],4,0)),"CUIT NO CARGADO")</f>
        <v>BUENOS AIRES</v>
      </c>
    </row>
    <row r="151" spans="4:11" hidden="1" x14ac:dyDescent="0.25">
      <c r="D151" s="149" t="s">
        <v>2202</v>
      </c>
      <c r="E151" s="150">
        <v>3</v>
      </c>
      <c r="F151" s="150">
        <v>204</v>
      </c>
      <c r="G151" s="151">
        <v>23306035444</v>
      </c>
      <c r="H151" s="152" t="str">
        <f>IFERROR(IF(factura_c_mes1[[#This Row],[CUIT]]="","-",VLOOKUP(factura_c_mes1[[#This Row],[CUIT]],Lista_CUIT[#All],2,0)),"CUIT NO CARGADO")</f>
        <v>NADIA TARANTINO</v>
      </c>
      <c r="I151" s="153">
        <v>17077</v>
      </c>
      <c r="J151" s="154" t="str">
        <f>IFERROR(IF(factura_c_mes1[[#This Row],[CUIT]]="","-",VLOOKUP(factura_c_mes1[[#This Row],[CUIT]],Lista_CUIT[#All],3,0)),"CUIT NO CARGADO")</f>
        <v>GASTOS CONTABLES</v>
      </c>
      <c r="K151" s="154">
        <f>IFERROR(IF(factura_c_mes1[[#This Row],[CUIT]]="","-",VLOOKUP(factura_c_mes1[[#This Row],[CUIT]],Lista_CUIT[#All],4,0)),"CUIT NO CARGADO")</f>
        <v>0</v>
      </c>
    </row>
    <row r="152" spans="4:11" x14ac:dyDescent="0.25">
      <c r="D152" s="149" t="s">
        <v>2206</v>
      </c>
      <c r="E152" s="150">
        <v>2</v>
      </c>
      <c r="F152" s="150">
        <v>347</v>
      </c>
      <c r="G152" s="151">
        <v>27178792178</v>
      </c>
      <c r="H152" s="152" t="str">
        <f>IFERROR(IF(factura_c_mes1[[#This Row],[CUIT]]="","-",VLOOKUP(factura_c_mes1[[#This Row],[CUIT]],Lista_CUIT[#All],2,0)),"CUIT NO CARGADO")</f>
        <v>SAMPEDRO SILVIA HERMINIA</v>
      </c>
      <c r="I152" s="153">
        <v>77000</v>
      </c>
      <c r="J152" s="154" t="str">
        <f>IFERROR(IF(factura_c_mes1[[#This Row],[CUIT]]="","-",VLOOKUP(factura_c_mes1[[#This Row],[CUIT]],Lista_CUIT[#All],3,0)),"CUIT NO CARGADO")</f>
        <v>GASTOS ADMINISTRATIVOS</v>
      </c>
      <c r="K152" s="154">
        <f>IFERROR(IF(factura_c_mes1[[#This Row],[CUIT]]="","-",VLOOKUP(factura_c_mes1[[#This Row],[CUIT]],Lista_CUIT[#All],4,0)),"CUIT NO CARGADO")</f>
        <v>0</v>
      </c>
    </row>
    <row r="153" spans="4:11" hidden="1" x14ac:dyDescent="0.25">
      <c r="D153" s="137">
        <v>44938</v>
      </c>
      <c r="E153" s="132">
        <v>2</v>
      </c>
      <c r="F153" s="132">
        <v>431</v>
      </c>
      <c r="G153" s="133">
        <v>27299725761</v>
      </c>
      <c r="H153" s="134" t="str">
        <f>IFERROR(IF(factura_c_mes1[[#This Row],[CUIT]]="","-",VLOOKUP(factura_c_mes1[[#This Row],[CUIT]],Lista_CUIT[#All],2,0)),"CUIT NO CARGADO")</f>
        <v>TURSARKISIAN MISISIAN VERONICA GEMA</v>
      </c>
      <c r="I153" s="135">
        <v>48000</v>
      </c>
      <c r="J153" s="136" t="str">
        <f>IFERROR(IF(factura_c_mes1[[#This Row],[CUIT]]="","-",VLOOKUP(factura_c_mes1[[#This Row],[CUIT]],Lista_CUIT[#All],3,0)),"CUIT NO CARGADO")</f>
        <v>Productos Ortopedicos</v>
      </c>
      <c r="K153" s="136">
        <f>IFERROR(IF(factura_c_mes1[[#This Row],[CUIT]]="","-",VLOOKUP(factura_c_mes1[[#This Row],[CUIT]],Lista_CUIT[#All],4,0)),"CUIT NO CARGADO")</f>
        <v>0</v>
      </c>
    </row>
    <row r="154" spans="4:11" hidden="1" x14ac:dyDescent="0.25">
      <c r="D154" s="137">
        <v>44938</v>
      </c>
      <c r="E154" s="132">
        <v>2</v>
      </c>
      <c r="F154" s="132">
        <v>432</v>
      </c>
      <c r="G154" s="133">
        <v>27299725761</v>
      </c>
      <c r="H154" s="134" t="str">
        <f>IFERROR(IF(factura_c_mes1[[#This Row],[CUIT]]="","-",VLOOKUP(factura_c_mes1[[#This Row],[CUIT]],Lista_CUIT[#All],2,0)),"CUIT NO CARGADO")</f>
        <v>TURSARKISIAN MISISIAN VERONICA GEMA</v>
      </c>
      <c r="I154" s="135">
        <v>42000</v>
      </c>
      <c r="J154" s="136" t="str">
        <f>IFERROR(IF(factura_c_mes1[[#This Row],[CUIT]]="","-",VLOOKUP(factura_c_mes1[[#This Row],[CUIT]],Lista_CUIT[#All],3,0)),"CUIT NO CARGADO")</f>
        <v>Productos Ortopedicos</v>
      </c>
      <c r="K154" s="136">
        <f>IFERROR(IF(factura_c_mes1[[#This Row],[CUIT]]="","-",VLOOKUP(factura_c_mes1[[#This Row],[CUIT]],Lista_CUIT[#All],4,0)),"CUIT NO CARGADO")</f>
        <v>0</v>
      </c>
    </row>
    <row r="155" spans="4:11" hidden="1" x14ac:dyDescent="0.25">
      <c r="D155" s="137">
        <v>44938</v>
      </c>
      <c r="E155" s="132">
        <v>2</v>
      </c>
      <c r="F155" s="132">
        <v>433</v>
      </c>
      <c r="G155" s="133">
        <v>27299725761</v>
      </c>
      <c r="H155" s="134" t="str">
        <f>IFERROR(IF(factura_c_mes1[[#This Row],[CUIT]]="","-",VLOOKUP(factura_c_mes1[[#This Row],[CUIT]],Lista_CUIT[#All],2,0)),"CUIT NO CARGADO")</f>
        <v>TURSARKISIAN MISISIAN VERONICA GEMA</v>
      </c>
      <c r="I155" s="135">
        <v>40000</v>
      </c>
      <c r="J155" s="136" t="str">
        <f>IFERROR(IF(factura_c_mes1[[#This Row],[CUIT]]="","-",VLOOKUP(factura_c_mes1[[#This Row],[CUIT]],Lista_CUIT[#All],3,0)),"CUIT NO CARGADO")</f>
        <v>Productos Ortopedicos</v>
      </c>
      <c r="K155" s="136">
        <f>IFERROR(IF(factura_c_mes1[[#This Row],[CUIT]]="","-",VLOOKUP(factura_c_mes1[[#This Row],[CUIT]],Lista_CUIT[#All],4,0)),"CUIT NO CARGADO")</f>
        <v>0</v>
      </c>
    </row>
    <row r="156" spans="4:11" hidden="1" x14ac:dyDescent="0.25">
      <c r="D156" s="137">
        <v>44938</v>
      </c>
      <c r="E156" s="132">
        <v>2</v>
      </c>
      <c r="F156" s="132">
        <v>434</v>
      </c>
      <c r="G156" s="133">
        <v>27299725761</v>
      </c>
      <c r="H156" s="134" t="str">
        <f>IFERROR(IF(factura_c_mes1[[#This Row],[CUIT]]="","-",VLOOKUP(factura_c_mes1[[#This Row],[CUIT]],Lista_CUIT[#All],2,0)),"CUIT NO CARGADO")</f>
        <v>TURSARKISIAN MISISIAN VERONICA GEMA</v>
      </c>
      <c r="I156" s="135">
        <v>40000</v>
      </c>
      <c r="J156" s="136" t="str">
        <f>IFERROR(IF(factura_c_mes1[[#This Row],[CUIT]]="","-",VLOOKUP(factura_c_mes1[[#This Row],[CUIT]],Lista_CUIT[#All],3,0)),"CUIT NO CARGADO")</f>
        <v>Productos Ortopedicos</v>
      </c>
      <c r="K156" s="136">
        <f>IFERROR(IF(factura_c_mes1[[#This Row],[CUIT]]="","-",VLOOKUP(factura_c_mes1[[#This Row],[CUIT]],Lista_CUIT[#All],4,0)),"CUIT NO CARGADO")</f>
        <v>0</v>
      </c>
    </row>
    <row r="157" spans="4:11" hidden="1" x14ac:dyDescent="0.25">
      <c r="D157" s="137">
        <v>44952</v>
      </c>
      <c r="E157" s="132">
        <v>3</v>
      </c>
      <c r="F157" s="132">
        <v>598</v>
      </c>
      <c r="G157" s="133">
        <v>20216451679</v>
      </c>
      <c r="H157" s="134" t="str">
        <f>IFERROR(IF(factura_c_mes1[[#This Row],[CUIT]]="","-",VLOOKUP(factura_c_mes1[[#This Row],[CUIT]],Lista_CUIT[#All],2,0)),"CUIT NO CARGADO")</f>
        <v>VAZQUEZ RICARDO OSCAR</v>
      </c>
      <c r="I157" s="135">
        <v>135000</v>
      </c>
      <c r="J157" s="136" t="str">
        <f>IFERROR(IF(factura_c_mes1[[#This Row],[CUIT]]="","-",VLOOKUP(factura_c_mes1[[#This Row],[CUIT]],Lista_CUIT[#All],3,0)),"CUIT NO CARGADO")</f>
        <v>Productos Ortopedicos</v>
      </c>
      <c r="K157" s="136">
        <f>IFERROR(IF(factura_c_mes1[[#This Row],[CUIT]]="","-",VLOOKUP(factura_c_mes1[[#This Row],[CUIT]],Lista_CUIT[#All],4,0)),"CUIT NO CARGADO")</f>
        <v>0</v>
      </c>
    </row>
    <row r="158" spans="4:11" x14ac:dyDescent="0.25">
      <c r="D158" s="137">
        <v>44943</v>
      </c>
      <c r="E158" s="132">
        <v>3</v>
      </c>
      <c r="F158" s="132">
        <v>654</v>
      </c>
      <c r="G158" s="133">
        <v>27129657710</v>
      </c>
      <c r="H158" s="134" t="str">
        <f>IFERROR(IF(factura_c_mes1[[#This Row],[CUIT]]="","-",VLOOKUP(factura_c_mes1[[#This Row],[CUIT]],Lista_CUIT[#All],2,0)),"CUIT NO CARGADO")</f>
        <v>LISNIZER ISABEL JULIANA RUTH</v>
      </c>
      <c r="I158" s="135">
        <v>25700</v>
      </c>
      <c r="J158" s="136" t="str">
        <f>IFERROR(IF(factura_c_mes1[[#This Row],[CUIT]]="","-",VLOOKUP(factura_c_mes1[[#This Row],[CUIT]],Lista_CUIT[#All],3,0)),"CUIT NO CARGADO")</f>
        <v>Productos Ortopedicos</v>
      </c>
      <c r="K158" s="136">
        <f>IFERROR(IF(factura_c_mes1[[#This Row],[CUIT]]="","-",VLOOKUP(factura_c_mes1[[#This Row],[CUIT]],Lista_CUIT[#All],4,0)),"CUIT NO CARGADO")</f>
        <v>0</v>
      </c>
    </row>
    <row r="159" spans="4:11" hidden="1" x14ac:dyDescent="0.25">
      <c r="D159" s="137">
        <v>44929</v>
      </c>
      <c r="E159" s="132">
        <v>3</v>
      </c>
      <c r="F159" s="132">
        <v>665</v>
      </c>
      <c r="G159" s="133">
        <v>20086277523</v>
      </c>
      <c r="H159" s="134" t="str">
        <f>IFERROR(IF(factura_c_mes1[[#This Row],[CUIT]]="","-",VLOOKUP(factura_c_mes1[[#This Row],[CUIT]],Lista_CUIT[#All],2,0)),"CUIT NO CARGADO")</f>
        <v>BOTINDARI JUAN CARLOS</v>
      </c>
      <c r="I159" s="135">
        <v>85000</v>
      </c>
      <c r="J159" s="136" t="str">
        <f>IFERROR(IF(factura_c_mes1[[#This Row],[CUIT]]="","-",VLOOKUP(factura_c_mes1[[#This Row],[CUIT]],Lista_CUIT[#All],3,0)),"CUIT NO CARGADO")</f>
        <v>HONORARIOS CONTABLES</v>
      </c>
      <c r="K159" s="136">
        <f>IFERROR(IF(factura_c_mes1[[#This Row],[CUIT]]="","-",VLOOKUP(factura_c_mes1[[#This Row],[CUIT]],Lista_CUIT[#All],4,0)),"CUIT NO CARGADO")</f>
        <v>0</v>
      </c>
    </row>
    <row r="160" spans="4:11" x14ac:dyDescent="0.25">
      <c r="D160" s="137">
        <v>44939</v>
      </c>
      <c r="E160" s="132">
        <v>2019</v>
      </c>
      <c r="F160" s="132">
        <v>1777</v>
      </c>
      <c r="G160" s="133">
        <v>20277164192</v>
      </c>
      <c r="H160" s="134" t="str">
        <f>IFERROR(IF(factura_c_mes1[[#This Row],[CUIT]]="","-",VLOOKUP(factura_c_mes1[[#This Row],[CUIT]],Lista_CUIT[#All],2,0)),"CUIT NO CARGADO")</f>
        <v>PABLO ROBERTO MURUA POU</v>
      </c>
      <c r="I160" s="135">
        <v>400</v>
      </c>
      <c r="J160" s="136" t="str">
        <f>IFERROR(IF(factura_c_mes1[[#This Row],[CUIT]]="","-",VLOOKUP(factura_c_mes1[[#This Row],[CUIT]],Lista_CUIT[#All],3,0)),"CUIT NO CARGADO")</f>
        <v>GASTOS VARIOS</v>
      </c>
      <c r="K160" s="136">
        <f>IFERROR(IF(factura_c_mes1[[#This Row],[CUIT]]="","-",VLOOKUP(factura_c_mes1[[#This Row],[CUIT]],Lista_CUIT[#All],4,0)),"CUIT NO CARGADO")</f>
        <v>0</v>
      </c>
    </row>
    <row r="161" spans="2:18" x14ac:dyDescent="0.25">
      <c r="D161" s="137">
        <v>44942</v>
      </c>
      <c r="E161" s="132">
        <v>2019</v>
      </c>
      <c r="F161" s="132">
        <v>1787</v>
      </c>
      <c r="G161" s="133">
        <v>20277164192</v>
      </c>
      <c r="H161" s="134" t="str">
        <f>IFERROR(IF(factura_c_mes1[[#This Row],[CUIT]]="","-",VLOOKUP(factura_c_mes1[[#This Row],[CUIT]],Lista_CUIT[#All],2,0)),"CUIT NO CARGADO")</f>
        <v>PABLO ROBERTO MURUA POU</v>
      </c>
      <c r="I161" s="135">
        <v>4665</v>
      </c>
      <c r="J161" s="136" t="str">
        <f>IFERROR(IF(factura_c_mes1[[#This Row],[CUIT]]="","-",VLOOKUP(factura_c_mes1[[#This Row],[CUIT]],Lista_CUIT[#All],3,0)),"CUIT NO CARGADO")</f>
        <v>GASTOS VARIOS</v>
      </c>
      <c r="K161" s="136">
        <f>IFERROR(IF(factura_c_mes1[[#This Row],[CUIT]]="","-",VLOOKUP(factura_c_mes1[[#This Row],[CUIT]],Lista_CUIT[#All],4,0)),"CUIT NO CARGADO")</f>
        <v>0</v>
      </c>
    </row>
    <row r="162" spans="2:18" x14ac:dyDescent="0.25">
      <c r="D162" s="149" t="s">
        <v>2219</v>
      </c>
      <c r="E162" s="150">
        <v>2019</v>
      </c>
      <c r="F162" s="150">
        <v>1808</v>
      </c>
      <c r="G162" s="151">
        <v>20277164192</v>
      </c>
      <c r="H162" s="152" t="str">
        <f>IFERROR(IF(factura_c_mes1[[#This Row],[CUIT]]="","-",VLOOKUP(factura_c_mes1[[#This Row],[CUIT]],Lista_CUIT[#All],2,0)),"CUIT NO CARGADO")</f>
        <v>PABLO ROBERTO MURUA POU</v>
      </c>
      <c r="I162" s="153">
        <v>990</v>
      </c>
      <c r="J162" s="154" t="str">
        <f>IFERROR(IF(factura_c_mes1[[#This Row],[CUIT]]="","-",VLOOKUP(factura_c_mes1[[#This Row],[CUIT]],Lista_CUIT[#All],3,0)),"CUIT NO CARGADO")</f>
        <v>GASTOS VARIOS</v>
      </c>
      <c r="K162" s="154">
        <f>IFERROR(IF(factura_c_mes1[[#This Row],[CUIT]]="","-",VLOOKUP(factura_c_mes1[[#This Row],[CUIT]],Lista_CUIT[#All],4,0)),"CUIT NO CARGADO")</f>
        <v>0</v>
      </c>
    </row>
    <row r="163" spans="2:18" x14ac:dyDescent="0.25">
      <c r="D163" s="137">
        <v>44946</v>
      </c>
      <c r="E163" s="132">
        <v>2019</v>
      </c>
      <c r="F163" s="132">
        <v>1809</v>
      </c>
      <c r="G163" s="133">
        <v>20277164192</v>
      </c>
      <c r="H163" s="134" t="str">
        <f>IFERROR(IF(factura_c_mes1[[#This Row],[CUIT]]="","-",VLOOKUP(factura_c_mes1[[#This Row],[CUIT]],Lista_CUIT[#All],2,0)),"CUIT NO CARGADO")</f>
        <v>PABLO ROBERTO MURUA POU</v>
      </c>
      <c r="I163" s="135">
        <v>990</v>
      </c>
      <c r="J163" s="136" t="str">
        <f>IFERROR(IF(factura_c_mes1[[#This Row],[CUIT]]="","-",VLOOKUP(factura_c_mes1[[#This Row],[CUIT]],Lista_CUIT[#All],3,0)),"CUIT NO CARGADO")</f>
        <v>GASTOS VARIOS</v>
      </c>
      <c r="K163" s="136">
        <f>IFERROR(IF(factura_c_mes1[[#This Row],[CUIT]]="","-",VLOOKUP(factura_c_mes1[[#This Row],[CUIT]],Lista_CUIT[#All],4,0)),"CUIT NO CARGADO")</f>
        <v>0</v>
      </c>
    </row>
    <row r="164" spans="2:18" x14ac:dyDescent="0.25">
      <c r="D164" s="137">
        <v>44957</v>
      </c>
      <c r="E164" s="132">
        <v>3</v>
      </c>
      <c r="F164" s="132">
        <v>1995</v>
      </c>
      <c r="G164" s="133">
        <v>20182999661</v>
      </c>
      <c r="H164" s="134" t="str">
        <f>IFERROR(IF(factura_c_mes1[[#This Row],[CUIT]]="","-",VLOOKUP(factura_c_mes1[[#This Row],[CUIT]],Lista_CUIT[#All],2,0)),"CUIT NO CARGADO")</f>
        <v>KLAINER ABEL JAVIER</v>
      </c>
      <c r="I164" s="135">
        <v>2580</v>
      </c>
      <c r="J164" s="136" t="str">
        <f>IFERROR(IF(factura_c_mes1[[#This Row],[CUIT]]="","-",VLOOKUP(factura_c_mes1[[#This Row],[CUIT]],Lista_CUIT[#All],3,0)),"CUIT NO CARGADO")</f>
        <v>Gastos Varios</v>
      </c>
      <c r="K164" s="136">
        <f>IFERROR(IF(factura_c_mes1[[#This Row],[CUIT]]="","-",VLOOKUP(factura_c_mes1[[#This Row],[CUIT]],Lista_CUIT[#All],4,0)),"CUIT NO CARGADO")</f>
        <v>0</v>
      </c>
    </row>
    <row r="165" spans="2:18" hidden="1" x14ac:dyDescent="0.25">
      <c r="D165" s="137"/>
      <c r="E165" s="132"/>
      <c r="F165" s="132"/>
      <c r="G165" s="133"/>
      <c r="H165" s="134" t="str">
        <f>IFERROR(IF(factura_c_mes1[[#This Row],[CUIT]]="","-",VLOOKUP(factura_c_mes1[[#This Row],[CUIT]],Lista_CUIT[#All],2,0)),"CUIT NO CARGADO")</f>
        <v>-</v>
      </c>
      <c r="I165" s="135"/>
      <c r="J165" s="136" t="str">
        <f>IFERROR(IF(factura_c_mes1[[#This Row],[CUIT]]="","-",VLOOKUP(factura_c_mes1[[#This Row],[CUIT]],Lista_CUIT[#All],3,0)),"CUIT NO CARGADO")</f>
        <v>-</v>
      </c>
      <c r="K165" s="136" t="str">
        <f>IFERROR(IF(factura_c_mes1[[#This Row],[CUIT]]="","-",VLOOKUP(factura_c_mes1[[#This Row],[CUIT]],Lista_CUIT[#All],4,0)),"CUIT NO CARGADO")</f>
        <v>-</v>
      </c>
    </row>
    <row r="166" spans="2:18" hidden="1" x14ac:dyDescent="0.25">
      <c r="D166" s="137"/>
      <c r="E166" s="132"/>
      <c r="F166" s="132"/>
      <c r="G166" s="133"/>
      <c r="H166" s="134" t="str">
        <f>IFERROR(IF(factura_c_mes1[[#This Row],[CUIT]]="","-",VLOOKUP(factura_c_mes1[[#This Row],[CUIT]],Lista_CUIT[#All],2,0)),"CUIT NO CARGADO")</f>
        <v>-</v>
      </c>
      <c r="I166" s="135"/>
      <c r="J166" s="136" t="str">
        <f>IFERROR(IF(factura_c_mes1[[#This Row],[CUIT]]="","-",VLOOKUP(factura_c_mes1[[#This Row],[CUIT]],Lista_CUIT[#All],3,0)),"CUIT NO CARGADO")</f>
        <v>-</v>
      </c>
      <c r="K166" s="136" t="str">
        <f>IFERROR(IF(factura_c_mes1[[#This Row],[CUIT]]="","-",VLOOKUP(factura_c_mes1[[#This Row],[CUIT]],Lista_CUIT[#All],4,0)),"CUIT NO CARGADO")</f>
        <v>-</v>
      </c>
    </row>
    <row r="167" spans="2:18" hidden="1" x14ac:dyDescent="0.25">
      <c r="D167" s="137"/>
      <c r="E167" s="132"/>
      <c r="F167" s="132"/>
      <c r="G167" s="133"/>
      <c r="H167" s="134" t="str">
        <f>IFERROR(IF(factura_c_mes1[[#This Row],[CUIT]]="","-",VLOOKUP(factura_c_mes1[[#This Row],[CUIT]],Lista_CUIT[#All],2,0)),"CUIT NO CARGADO")</f>
        <v>-</v>
      </c>
      <c r="I167" s="135"/>
      <c r="J167" s="136" t="str">
        <f>IFERROR(IF(factura_c_mes1[[#This Row],[CUIT]]="","-",VLOOKUP(factura_c_mes1[[#This Row],[CUIT]],Lista_CUIT[#All],3,0)),"CUIT NO CARGADO")</f>
        <v>-</v>
      </c>
      <c r="K167" s="136" t="str">
        <f>IFERROR(IF(factura_c_mes1[[#This Row],[CUIT]]="","-",VLOOKUP(factura_c_mes1[[#This Row],[CUIT]],Lista_CUIT[#All],4,0)),"CUIT NO CARGADO")</f>
        <v>-</v>
      </c>
    </row>
    <row r="168" spans="2:18" x14ac:dyDescent="0.25">
      <c r="D168" s="55" t="s">
        <v>110</v>
      </c>
      <c r="E168" s="55"/>
      <c r="F168" s="55"/>
      <c r="G168" s="55"/>
      <c r="H168" s="57"/>
      <c r="I168" s="58">
        <f>SUBTOTAL(109,factura_c_mes1[TOTAL])</f>
        <v>295564</v>
      </c>
      <c r="J168" s="55"/>
      <c r="K168" s="55"/>
    </row>
    <row r="169" spans="2:18" x14ac:dyDescent="0.25">
      <c r="B169" s="56"/>
      <c r="C169" s="56"/>
      <c r="L169" s="56"/>
      <c r="M169" s="56"/>
      <c r="N169" s="56"/>
      <c r="O169" s="56"/>
      <c r="P169" s="56"/>
      <c r="Q169" s="56"/>
      <c r="R169" s="56"/>
    </row>
    <row r="174" spans="2:18" ht="26.25" x14ac:dyDescent="0.25">
      <c r="B174" s="532" t="s">
        <v>29</v>
      </c>
      <c r="C174" s="532"/>
      <c r="D174" s="532"/>
      <c r="E174" s="532"/>
      <c r="F174" s="532"/>
      <c r="G174" s="532"/>
      <c r="H174" s="532"/>
      <c r="I174" s="532"/>
      <c r="J174" s="532"/>
      <c r="K174" s="528">
        <f>N1</f>
        <v>44927</v>
      </c>
      <c r="L174" s="528"/>
      <c r="M174" s="528"/>
    </row>
    <row r="176" spans="2:18" ht="21" x14ac:dyDescent="0.25">
      <c r="B176" s="525" t="s">
        <v>30</v>
      </c>
      <c r="C176" s="525"/>
    </row>
    <row r="177" spans="2:13" ht="15.75" x14ac:dyDescent="0.25">
      <c r="B177" s="60" t="s">
        <v>0</v>
      </c>
      <c r="C177" s="61" t="s">
        <v>1</v>
      </c>
      <c r="D177" s="61" t="s">
        <v>21</v>
      </c>
      <c r="E177" s="61" t="s">
        <v>22</v>
      </c>
      <c r="F177" s="61" t="s">
        <v>3</v>
      </c>
      <c r="G177" s="61" t="s">
        <v>4</v>
      </c>
      <c r="H177" s="61" t="s">
        <v>23</v>
      </c>
      <c r="I177" s="61" t="s">
        <v>17</v>
      </c>
      <c r="J177" s="61" t="s">
        <v>7</v>
      </c>
      <c r="K177" s="61" t="s">
        <v>24</v>
      </c>
      <c r="L177" s="61" t="s">
        <v>10</v>
      </c>
      <c r="M177" s="62" t="s">
        <v>38</v>
      </c>
    </row>
    <row r="178" spans="2:13" x14ac:dyDescent="0.25">
      <c r="B178" s="40"/>
      <c r="C178" s="41"/>
      <c r="D178" s="42"/>
      <c r="E178" s="43"/>
      <c r="F178" s="44"/>
      <c r="G178" s="99" t="str">
        <f>IFERROR(IF(venta_a_mes1[[#This Row],[CUIT]]="","-",VLOOKUP(venta_a_mes1[[#This Row],[CUIT]],Lista_CUIT[#All],2,0)),"CUIT NO CARGADO")</f>
        <v>-</v>
      </c>
      <c r="H178" s="100"/>
      <c r="I178" s="101">
        <f>venta_a_mes1[[#This Row],[IMPORTE NETO]]*0.21</f>
        <v>0</v>
      </c>
      <c r="J178" s="65"/>
      <c r="K178" s="65"/>
      <c r="L178" s="65">
        <f>SUM(venta_a_mes1[[#This Row],[IMPORTE NETO]:[EXENTO]])</f>
        <v>0</v>
      </c>
      <c r="M178" s="59"/>
    </row>
    <row r="179" spans="2:13" x14ac:dyDescent="0.25">
      <c r="B179" s="40"/>
      <c r="C179" s="41"/>
      <c r="D179" s="42"/>
      <c r="E179" s="43"/>
      <c r="F179" s="44"/>
      <c r="G179" s="99" t="str">
        <f>IFERROR(IF(venta_a_mes1[[#This Row],[CUIT]]="","-",VLOOKUP(venta_a_mes1[[#This Row],[CUIT]],Lista_CUIT[#All],2,0)),"CUIT NO CARGADO")</f>
        <v>-</v>
      </c>
      <c r="H179" s="100"/>
      <c r="I179" s="101">
        <f>venta_a_mes1[[#This Row],[IMPORTE NETO]]*0.21</f>
        <v>0</v>
      </c>
      <c r="J179" s="65"/>
      <c r="K179" s="65"/>
      <c r="L179" s="65">
        <f>SUM(venta_a_mes1[[#This Row],[IMPORTE NETO]:[EXENTO]])</f>
        <v>0</v>
      </c>
      <c r="M179" s="59"/>
    </row>
    <row r="180" spans="2:13" x14ac:dyDescent="0.25">
      <c r="B180" s="40"/>
      <c r="C180" s="41"/>
      <c r="D180" s="42"/>
      <c r="E180" s="43"/>
      <c r="F180" s="44"/>
      <c r="G180" s="99" t="str">
        <f>IFERROR(IF(venta_a_mes1[[#This Row],[CUIT]]="","-",VLOOKUP(venta_a_mes1[[#This Row],[CUIT]],Lista_CUIT[#All],2,0)),"CUIT NO CARGADO")</f>
        <v>-</v>
      </c>
      <c r="H180" s="100"/>
      <c r="I180" s="101">
        <f>venta_a_mes1[[#This Row],[IMPORTE NETO]]*0.21</f>
        <v>0</v>
      </c>
      <c r="J180" s="65"/>
      <c r="K180" s="65"/>
      <c r="L180" s="65">
        <f>SUM(venta_a_mes1[[#This Row],[IMPORTE NETO]:[EXENTO]])</f>
        <v>0</v>
      </c>
      <c r="M180" s="59"/>
    </row>
    <row r="181" spans="2:13" x14ac:dyDescent="0.25">
      <c r="B181" s="40"/>
      <c r="C181" s="41"/>
      <c r="D181" s="42"/>
      <c r="E181" s="43"/>
      <c r="F181" s="44"/>
      <c r="G181" s="99" t="str">
        <f>IFERROR(IF(venta_a_mes1[[#This Row],[CUIT]]="","-",VLOOKUP(venta_a_mes1[[#This Row],[CUIT]],Lista_CUIT[#All],2,0)),"CUIT NO CARGADO")</f>
        <v>-</v>
      </c>
      <c r="H181" s="100"/>
      <c r="I181" s="101">
        <f>venta_a_mes1[[#This Row],[IMPORTE NETO]]*0.21</f>
        <v>0</v>
      </c>
      <c r="J181" s="65"/>
      <c r="K181" s="65"/>
      <c r="L181" s="65">
        <f>SUM(venta_a_mes1[[#This Row],[IMPORTE NETO]:[EXENTO]])</f>
        <v>0</v>
      </c>
      <c r="M181" s="59"/>
    </row>
    <row r="182" spans="2:13" x14ac:dyDescent="0.25">
      <c r="B182" s="40"/>
      <c r="C182" s="41"/>
      <c r="D182" s="42"/>
      <c r="E182" s="43"/>
      <c r="F182" s="44"/>
      <c r="G182" s="99" t="str">
        <f>IFERROR(IF(venta_a_mes1[[#This Row],[CUIT]]="","-",VLOOKUP(venta_a_mes1[[#This Row],[CUIT]],Lista_CUIT[#All],2,0)),"CUIT NO CARGADO")</f>
        <v>-</v>
      </c>
      <c r="H182" s="100"/>
      <c r="I182" s="101">
        <f>venta_a_mes1[[#This Row],[IMPORTE NETO]]*0.21</f>
        <v>0</v>
      </c>
      <c r="J182" s="65"/>
      <c r="K182" s="65"/>
      <c r="L182" s="65">
        <f>SUM(venta_a_mes1[[#This Row],[IMPORTE NETO]:[EXENTO]])</f>
        <v>0</v>
      </c>
      <c r="M182" s="59"/>
    </row>
    <row r="183" spans="2:13" x14ac:dyDescent="0.25">
      <c r="B183" s="40"/>
      <c r="C183" s="41"/>
      <c r="D183" s="42"/>
      <c r="E183" s="43"/>
      <c r="F183" s="44"/>
      <c r="G183" s="99" t="str">
        <f>IFERROR(IF(venta_a_mes1[[#This Row],[CUIT]]="","-",VLOOKUP(venta_a_mes1[[#This Row],[CUIT]],Lista_CUIT[#All],2,0)),"CUIT NO CARGADO")</f>
        <v>-</v>
      </c>
      <c r="H183" s="100"/>
      <c r="I183" s="101">
        <f>venta_a_mes1[[#This Row],[IMPORTE NETO]]*0.21</f>
        <v>0</v>
      </c>
      <c r="J183" s="65"/>
      <c r="K183" s="65"/>
      <c r="L183" s="65">
        <f>SUM(venta_a_mes1[[#This Row],[IMPORTE NETO]:[EXENTO]])</f>
        <v>0</v>
      </c>
      <c r="M183" s="59"/>
    </row>
    <row r="184" spans="2:13" x14ac:dyDescent="0.25">
      <c r="B184" s="40"/>
      <c r="C184" s="41"/>
      <c r="D184" s="42"/>
      <c r="E184" s="43"/>
      <c r="F184" s="44"/>
      <c r="G184" s="99" t="str">
        <f>IFERROR(IF(venta_a_mes1[[#This Row],[CUIT]]="","-",VLOOKUP(venta_a_mes1[[#This Row],[CUIT]],Lista_CUIT[#All],2,0)),"CUIT NO CARGADO")</f>
        <v>-</v>
      </c>
      <c r="H184" s="100"/>
      <c r="I184" s="101">
        <f>venta_a_mes1[[#This Row],[IMPORTE NETO]]*0.21</f>
        <v>0</v>
      </c>
      <c r="J184" s="65"/>
      <c r="K184" s="65"/>
      <c r="L184" s="65">
        <f>SUM(venta_a_mes1[[#This Row],[IMPORTE NETO]:[EXENTO]])</f>
        <v>0</v>
      </c>
      <c r="M184" s="63"/>
    </row>
    <row r="185" spans="2:13" x14ac:dyDescent="0.25">
      <c r="B185" s="102"/>
      <c r="C185" s="103"/>
      <c r="D185" s="104"/>
      <c r="E185" s="105"/>
      <c r="F185" s="106"/>
      <c r="G185" s="99" t="str">
        <f>IFERROR(IF(venta_a_mes1[[#This Row],[CUIT]]="","-",VLOOKUP(venta_a_mes1[[#This Row],[CUIT]],Lista_CUIT[#All],2,0)),"CUIT NO CARGADO")</f>
        <v>-</v>
      </c>
      <c r="H185" s="107"/>
      <c r="I185" s="108">
        <f>venta_a_mes1[[#This Row],[IMPORTE NETO]]*0.21</f>
        <v>0</v>
      </c>
      <c r="J185" s="72"/>
      <c r="K185" s="72"/>
      <c r="L185" s="72">
        <f>SUM(venta_a_mes1[[#This Row],[IMPORTE NETO]:[EXENTO]])</f>
        <v>0</v>
      </c>
      <c r="M185" s="63"/>
    </row>
    <row r="186" spans="2:13" x14ac:dyDescent="0.25">
      <c r="B186" s="109"/>
      <c r="C186" s="110"/>
      <c r="D186" s="111"/>
      <c r="E186" s="112"/>
      <c r="F186" s="113"/>
      <c r="G186" s="99" t="str">
        <f>IFERROR(IF(venta_a_mes1[[#This Row],[CUIT]]="","-",VLOOKUP(venta_a_mes1[[#This Row],[CUIT]],Lista_CUIT[#All],2,0)),"CUIT NO CARGADO")</f>
        <v>-</v>
      </c>
      <c r="H186" s="100"/>
      <c r="I186" s="101">
        <f>venta_a_mes1[[#This Row],[IMPORTE NETO]]*0.21</f>
        <v>0</v>
      </c>
      <c r="J186" s="65"/>
      <c r="K186" s="65"/>
      <c r="L186" s="65">
        <f>SUM(venta_a_mes1[[#This Row],[IMPORTE NETO]:[EXENTO]])</f>
        <v>0</v>
      </c>
      <c r="M186" s="59"/>
    </row>
    <row r="187" spans="2:13" x14ac:dyDescent="0.25">
      <c r="B187" s="66" t="s">
        <v>110</v>
      </c>
      <c r="C187" s="67"/>
      <c r="D187" s="67"/>
      <c r="E187" s="67"/>
      <c r="F187" s="67"/>
      <c r="G187" s="67"/>
      <c r="H187" s="69">
        <f>SUBTOTAL(109,venta_a_mes1[IMPORTE NETO])</f>
        <v>0</v>
      </c>
      <c r="I187" s="70">
        <f>SUBTOTAL(109,venta_a_mes1[IVA 21%])</f>
        <v>0</v>
      </c>
      <c r="J187" s="71">
        <f>SUBTOTAL(109,venta_a_mes1[IVA 10,5%])</f>
        <v>0</v>
      </c>
      <c r="K187" s="71">
        <f>SUBTOTAL(109,venta_a_mes1[EXENTO])</f>
        <v>0</v>
      </c>
      <c r="L187" s="71">
        <f>SUBTOTAL(109,venta_a_mes1[TOTAL])</f>
        <v>0</v>
      </c>
      <c r="M187" s="68">
        <f>SUBTOTAL(103,venta_a_mes1[Provincia])</f>
        <v>0</v>
      </c>
    </row>
    <row r="190" spans="2:13" ht="21" x14ac:dyDescent="0.25">
      <c r="B190" s="525" t="s">
        <v>31</v>
      </c>
      <c r="C190" s="525"/>
    </row>
    <row r="191" spans="2:13" ht="15.75" x14ac:dyDescent="0.25">
      <c r="B191" s="60" t="s">
        <v>0</v>
      </c>
      <c r="C191" s="61" t="s">
        <v>1</v>
      </c>
      <c r="D191" s="61" t="s">
        <v>21</v>
      </c>
      <c r="E191" s="61" t="s">
        <v>22</v>
      </c>
      <c r="F191" s="61" t="s">
        <v>3</v>
      </c>
      <c r="G191" s="61" t="s">
        <v>4</v>
      </c>
      <c r="H191" s="61" t="s">
        <v>23</v>
      </c>
      <c r="I191" s="61" t="s">
        <v>17</v>
      </c>
      <c r="J191" s="61" t="s">
        <v>7</v>
      </c>
      <c r="K191" s="61" t="s">
        <v>24</v>
      </c>
      <c r="L191" s="61" t="s">
        <v>10</v>
      </c>
      <c r="M191" s="62" t="s">
        <v>38</v>
      </c>
    </row>
    <row r="192" spans="2:13" x14ac:dyDescent="0.25">
      <c r="B192" s="40"/>
      <c r="C192" s="41"/>
      <c r="D192" s="42"/>
      <c r="E192" s="43"/>
      <c r="F192" s="44"/>
      <c r="G192" s="1" t="str">
        <f>IFERROR(IF(ventas_b_mes1[[#This Row],[CUIT]]="","-",VLOOKUP(ventas_b_mes1[[#This Row],[CUIT]],Lista_CUIT[#All],2,0)),"CUIT NO CARGADO")</f>
        <v>-</v>
      </c>
      <c r="H192" s="64"/>
      <c r="I192" s="64"/>
      <c r="J192" s="64"/>
      <c r="K192" s="64"/>
      <c r="L192" s="64">
        <f>SUM(ventas_b_mes1[[#This Row],[IMPORTE NETO]:[EXENTO]])</f>
        <v>0</v>
      </c>
      <c r="M192" s="59"/>
    </row>
    <row r="193" spans="2:13" x14ac:dyDescent="0.25">
      <c r="B193" s="40"/>
      <c r="C193" s="41"/>
      <c r="D193" s="42"/>
      <c r="E193" s="43"/>
      <c r="F193" s="44"/>
      <c r="G193" s="1"/>
      <c r="H193" s="64"/>
      <c r="I193" s="64"/>
      <c r="J193" s="64"/>
      <c r="K193" s="64"/>
      <c r="L193" s="64">
        <f>SUM(ventas_b_mes1[[#This Row],[IMPORTE NETO]:[EXENTO]])</f>
        <v>0</v>
      </c>
      <c r="M193" s="59"/>
    </row>
    <row r="194" spans="2:13" x14ac:dyDescent="0.25">
      <c r="B194" s="40"/>
      <c r="C194" s="41"/>
      <c r="D194" s="42"/>
      <c r="E194" s="43"/>
      <c r="F194" s="44"/>
      <c r="G194" s="1"/>
      <c r="H194" s="64"/>
      <c r="I194" s="64"/>
      <c r="J194" s="64"/>
      <c r="K194" s="64"/>
      <c r="L194" s="64">
        <f>SUM(ventas_b_mes1[[#This Row],[IMPORTE NETO]:[EXENTO]])</f>
        <v>0</v>
      </c>
      <c r="M194" s="59"/>
    </row>
    <row r="195" spans="2:13" x14ac:dyDescent="0.25">
      <c r="B195" s="40"/>
      <c r="C195" s="41"/>
      <c r="D195" s="42"/>
      <c r="E195" s="43"/>
      <c r="F195" s="44"/>
      <c r="G195" s="1"/>
      <c r="H195" s="64"/>
      <c r="I195" s="64"/>
      <c r="J195" s="64"/>
      <c r="K195" s="64"/>
      <c r="L195" s="64">
        <f>SUM(ventas_b_mes1[[#This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SUM(ventas_b_mes1[[#This Row],[IMPORTE NETO]:[EXENTO]])</f>
        <v>0</v>
      </c>
      <c r="M196" s="59"/>
    </row>
    <row r="197" spans="2:13" x14ac:dyDescent="0.25">
      <c r="B197" s="40"/>
      <c r="C197" s="41"/>
      <c r="D197" s="42"/>
      <c r="E197" s="43"/>
      <c r="F197" s="44"/>
      <c r="G197" s="1"/>
      <c r="H197" s="64"/>
      <c r="I197" s="64"/>
      <c r="J197" s="64"/>
      <c r="K197" s="64"/>
      <c r="L197" s="64">
        <f>SUM(ventas_b_mes1[[#This Row],[IMPORTE NETO]:[EXENTO]])</f>
        <v>0</v>
      </c>
      <c r="M197" s="59"/>
    </row>
    <row r="198" spans="2:13" x14ac:dyDescent="0.25">
      <c r="B198" s="66" t="s">
        <v>110</v>
      </c>
      <c r="C198" s="67"/>
      <c r="D198" s="67"/>
      <c r="E198" s="67"/>
      <c r="F198" s="67"/>
      <c r="G198" s="67"/>
      <c r="H198" s="77">
        <f>SUBTOTAL(109,ventas_b_mes1[IMPORTE NETO])</f>
        <v>0</v>
      </c>
      <c r="I198" s="77">
        <f>SUBTOTAL(109,ventas_b_mes1[IVA 21%])</f>
        <v>0</v>
      </c>
      <c r="J198" s="78">
        <f>SUBTOTAL(109,ventas_b_mes1[IVA 10,5%])</f>
        <v>0</v>
      </c>
      <c r="K198" s="78">
        <f>SUBTOTAL(109,ventas_b_mes1[EXENTO])</f>
        <v>0</v>
      </c>
      <c r="L198" s="78">
        <f>SUBTOTAL(109,ventas_b_mes1[TOTAL])</f>
        <v>0</v>
      </c>
      <c r="M198" s="68">
        <f>SUBTOTAL(103,ventas_b_mes1[Provincia])</f>
        <v>0</v>
      </c>
    </row>
    <row r="205" spans="2:13" ht="15.75" thickBot="1" x14ac:dyDescent="0.3"/>
    <row r="206" spans="2:13" ht="15.75" thickTop="1" x14ac:dyDescent="0.25">
      <c r="C206" s="522" t="s">
        <v>66</v>
      </c>
      <c r="D206" s="522"/>
      <c r="E206" s="522"/>
      <c r="F206" s="522"/>
      <c r="G206" s="522"/>
      <c r="H206" s="32"/>
      <c r="I206" s="32"/>
      <c r="J206" s="32"/>
    </row>
    <row r="207" spans="2:13" ht="15.75" x14ac:dyDescent="0.25">
      <c r="C207" s="114" t="s">
        <v>67</v>
      </c>
      <c r="D207" s="115" t="s">
        <v>68</v>
      </c>
      <c r="E207" s="115" t="s">
        <v>112</v>
      </c>
      <c r="F207" s="115" t="s">
        <v>3</v>
      </c>
      <c r="G207" s="115" t="s">
        <v>4</v>
      </c>
      <c r="H207" s="116" t="s">
        <v>69</v>
      </c>
      <c r="I207" s="116" t="s">
        <v>70</v>
      </c>
      <c r="J207" s="116" t="s">
        <v>71</v>
      </c>
      <c r="K207" s="116" t="s">
        <v>72</v>
      </c>
      <c r="L207" s="116" t="s">
        <v>73</v>
      </c>
    </row>
    <row r="208" spans="2:13" x14ac:dyDescent="0.25">
      <c r="C208" s="117"/>
      <c r="D208" s="118"/>
      <c r="E208" s="118"/>
      <c r="F208" s="119"/>
      <c r="G208" s="53" t="str">
        <f>IFERROR(IF(retenciones_mes1[[#This Row],[CUIT]]="","-",VLOOKUP(retenciones_mes1[[#This Row],[CUIT]],Lista_CUIT[#All],2,0)),"CUIT NO CARGADO")</f>
        <v>-</v>
      </c>
      <c r="H208" s="120"/>
      <c r="I208" s="120"/>
      <c r="J208" s="120"/>
      <c r="K208" s="120"/>
      <c r="L208" s="120"/>
    </row>
    <row r="209" spans="3:12" x14ac:dyDescent="0.25">
      <c r="C209" s="117"/>
      <c r="D209" s="118"/>
      <c r="E209" s="118"/>
      <c r="F209" s="119"/>
      <c r="G209" s="53" t="str">
        <f>IFERROR(IF(retenciones_mes1[[#This Row],[CUIT]]="","-",VLOOKUP(retenciones_mes1[[#This Row],[CUIT]],Lista_CUIT[#All],2,0)),"CUIT NO CARGADO")</f>
        <v>-</v>
      </c>
      <c r="H209" s="120"/>
      <c r="I209" s="120"/>
      <c r="J209" s="120"/>
      <c r="K209" s="120"/>
      <c r="L209" s="120"/>
    </row>
    <row r="210" spans="3:12" x14ac:dyDescent="0.25">
      <c r="C210" s="117"/>
      <c r="D210" s="118"/>
      <c r="E210" s="118"/>
      <c r="F210" s="119"/>
      <c r="G210" s="53" t="str">
        <f>IFERROR(IF(retenciones_mes1[[#This Row],[CUIT]]="","-",VLOOKUP(retenciones_mes1[[#This Row],[CUIT]],Lista_CUIT[#All],2,0)),"CUIT NO CARGADO")</f>
        <v>-</v>
      </c>
      <c r="H210" s="120"/>
      <c r="I210" s="120"/>
      <c r="J210" s="120"/>
      <c r="K210" s="120"/>
      <c r="L210" s="120"/>
    </row>
    <row r="211" spans="3:12" x14ac:dyDescent="0.25">
      <c r="C211" s="117"/>
      <c r="D211" s="118"/>
      <c r="E211" s="118"/>
      <c r="F211" s="119"/>
      <c r="G211" s="53" t="str">
        <f>IFERROR(IF(retenciones_mes1[[#This Row],[CUIT]]="","-",VLOOKUP(retenciones_mes1[[#This Row],[CUIT]],Lista_CUIT[#All],2,0)),"CUIT NO CARGADO")</f>
        <v>-</v>
      </c>
      <c r="H211" s="120"/>
      <c r="I211" s="120"/>
      <c r="J211" s="120"/>
      <c r="K211" s="120"/>
      <c r="L211" s="120"/>
    </row>
    <row r="212" spans="3:12" x14ac:dyDescent="0.25">
      <c r="D212" s="118"/>
      <c r="E212" s="118"/>
      <c r="G212" s="53" t="str">
        <f>IFERROR(IF(retenciones_mes1[[#This Row],[CUIT]]="","-",VLOOKUP(retenciones_mes1[[#This Row],[CUIT]],Lista_CUIT[#All],2,0)),"CUIT NO CARGADO")</f>
        <v>-</v>
      </c>
    </row>
    <row r="213" spans="3:12" x14ac:dyDescent="0.25">
      <c r="C213" s="33"/>
    </row>
  </sheetData>
  <mergeCells count="20">
    <mergeCell ref="J3:K3"/>
    <mergeCell ref="J4:K4"/>
    <mergeCell ref="M4:N4"/>
    <mergeCell ref="M3:N3"/>
    <mergeCell ref="C206:G206"/>
    <mergeCell ref="N1:R1"/>
    <mergeCell ref="D112:L112"/>
    <mergeCell ref="B176:C176"/>
    <mergeCell ref="B190:C190"/>
    <mergeCell ref="B1:F1"/>
    <mergeCell ref="G1:M1"/>
    <mergeCell ref="K174:M174"/>
    <mergeCell ref="B3:E3"/>
    <mergeCell ref="B4:E4"/>
    <mergeCell ref="G4:H4"/>
    <mergeCell ref="G3:H3"/>
    <mergeCell ref="B174:J174"/>
    <mergeCell ref="D121:K121"/>
    <mergeCell ref="P4:R4"/>
    <mergeCell ref="P3:R3"/>
  </mergeCells>
  <phoneticPr fontId="38" type="noConversion"/>
  <dataValidations count="13">
    <dataValidation type="whole" allowBlank="1" showInputMessage="1" showErrorMessage="1" sqref="D9:D106 D178:D186 D192:D197 E123:E167" xr:uid="{00000000-0002-0000-0100-000000000000}">
      <formula1>1</formula1>
      <formula2>9999</formula2>
    </dataValidation>
    <dataValidation type="whole" allowBlank="1" showInputMessage="1" showErrorMessage="1" sqref="E9:E106 E178:E186 E192:E197 F123:F167" xr:uid="{00000000-0002-0000-0100-000001000000}">
      <formula1>1</formula1>
      <formula2>99999999</formula2>
    </dataValidation>
    <dataValidation type="whole" allowBlank="1" showInputMessage="1" showErrorMessage="1" sqref="F9:F106 F178:F186 F192:F197 G123:G167" xr:uid="{00000000-0002-0000-0100-000002000000}">
      <formula1>20000000000</formula1>
      <formula2>33999999999</formula2>
    </dataValidation>
    <dataValidation type="date" allowBlank="1" showInputMessage="1" showErrorMessage="1" sqref="B9:B106 D114:D116 B178:B186 B108:B111 B192:B197 D123:D167" xr:uid="{00000000-0002-0000-0100-000003000000}">
      <formula1>40179</formula1>
      <formula2>TODAY()</formula2>
    </dataValidation>
    <dataValidation type="whole" allowBlank="1" showInputMessage="1" showErrorMessage="1" sqref="C108:C111 C178:C186 C9:C106" xr:uid="{00000000-0002-0000-0100-000004000000}">
      <formula1>1</formula1>
      <formula2>3</formula2>
    </dataValidation>
    <dataValidation type="custom" allowBlank="1" showInputMessage="1" showErrorMessage="1" sqref="H178:K178 H180:K180 H182:K182 H184:K184" xr:uid="{00000000-0002-0000-0100-000005000000}">
      <formula1>IF($C178=3,H178&lt;0,H178&gt;=0)</formula1>
    </dataValidation>
    <dataValidation type="whole" allowBlank="1" showInputMessage="1" showErrorMessage="1" sqref="C192:C197" xr:uid="{00000000-0002-0000-0100-000006000000}">
      <formula1>6</formula1>
      <formula2>8</formula2>
    </dataValidation>
    <dataValidation type="custom" allowBlank="1" showInputMessage="1" showErrorMessage="1" sqref="L178:L179" xr:uid="{00000000-0002-0000-0100-000007000000}">
      <formula1>IF($C9=3,L9&lt;0,L9&gt;=0)</formula1>
    </dataValidation>
    <dataValidation type="custom" allowBlank="1" showInputMessage="1" showErrorMessage="1" sqref="L180:L182" xr:uid="{00000000-0002-0000-0100-000008000000}">
      <formula1>IF($C13=3,L13&lt;0,L13&gt;=0)</formula1>
    </dataValidation>
    <dataValidation type="custom" allowBlank="1" showInputMessage="1" showErrorMessage="1" sqref="H192:L197" xr:uid="{00000000-0002-0000-0100-000009000000}">
      <formula1>IF($C192=8,H192&lt;0,H192&gt;=0)</formula1>
    </dataValidation>
    <dataValidation type="custom" allowBlank="1" showInputMessage="1" showErrorMessage="1" sqref="L183:L184" xr:uid="{00000000-0002-0000-0100-00000A000000}">
      <formula1>IF($C107=3,L107&lt;0,L107&gt;=0)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87 H90:O105 H88:N89" xr:uid="{00000000-0002-0000-0100-00000B000000}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88" xr:uid="{00000000-0002-0000-0100-00000C000000}">
      <formula1>IF($C89=3,O88&lt;0,O88&gt;=0)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</sheetPr>
  <dimension ref="A1:Z504"/>
  <sheetViews>
    <sheetView showGridLines="0" tabSelected="1" topLeftCell="A97" zoomScale="80" zoomScaleNormal="80" workbookViewId="0">
      <selection activeCell="K178" sqref="K178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13.140625" customWidth="1"/>
    <col min="4" max="4" width="16.710937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EDATE('Ene-23'!N1,1)</f>
        <v>44958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SUM(compras_mes2[[#Totals],[NETO GRAVADO]])+extracto_banco_mes2[[#Totals],[NETO]]</f>
        <v>11667914.359999994</v>
      </c>
      <c r="C4" s="530"/>
      <c r="D4" s="530"/>
      <c r="E4" s="530"/>
      <c r="F4" s="39"/>
      <c r="G4" s="531">
        <f>compras_mes2[[#Totals],[IVA 21 %]]+compras_mes2[[#Totals],[IVA 27%]]+compras_mes2[[#Totals],[IVA 10,5%]]+extracto_banco_mes2[[#Totals],[IVA 21%]]+extracto_banco_mes2[[#Totals],[IVA 10,5%]]</f>
        <v>2414912.3108999999</v>
      </c>
      <c r="H4" s="531"/>
      <c r="I4" s="39"/>
      <c r="J4" s="537">
        <f>venta_a_mes2[[#Totals],[IMPORTE NETO]]+ventas_b_mes2[[#Totals],[IMPORTE NETO]]</f>
        <v>26325475.760000002</v>
      </c>
      <c r="K4" s="537"/>
      <c r="L4" s="39"/>
      <c r="M4" s="537">
        <f>venta_a_mes2[[#Totals],[IVA 21%]]+venta_a_mes2[[#Totals],[IVA 10,5%]]+ventas_b_mes2[[#Totals],[IVA 21%]]+ventas_b_mes2[[#Totals],[IVA 10,5%]]</f>
        <v>5528349.9095999999</v>
      </c>
      <c r="N4" s="537"/>
      <c r="O4" s="39"/>
      <c r="P4" s="533">
        <f>G4-M4</f>
        <v>-3113437.5987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8.75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08">
        <v>44958</v>
      </c>
      <c r="C9" s="209">
        <v>1</v>
      </c>
      <c r="D9" s="210">
        <v>8</v>
      </c>
      <c r="E9" s="211">
        <v>102</v>
      </c>
      <c r="F9" s="212">
        <v>30643518364</v>
      </c>
      <c r="G9" s="213" t="str">
        <f>IFERROR(IF(compras_mes2[[#This Row],[CUIT]]="","-",VLOOKUP(compras_mes2[[#This Row],[CUIT]],Lista_CUIT[#All],2,0)),"CUIT NO CARGADO")</f>
        <v>FARMACIA DE MEDRANO SCS</v>
      </c>
      <c r="H9" s="214">
        <v>29148</v>
      </c>
      <c r="I9" s="215">
        <f>IF(compras_mes2[[#This Row],[NETO GRAVADO]]="","",compras_mes2[[#This Row],[NETO GRAVADO]]*0.21)</f>
        <v>6121.08</v>
      </c>
      <c r="J9" s="215"/>
      <c r="K9" s="215"/>
      <c r="L9" s="215"/>
      <c r="M9" s="215"/>
      <c r="N9" s="215"/>
      <c r="O9" s="215"/>
      <c r="P9" s="216">
        <f>SUM(compras_mes2[[#This Row],[NETO GRAVADO]:[Otros / No Grav.]])</f>
        <v>35269.08</v>
      </c>
      <c r="Q9" s="217" t="str">
        <f>IFERROR(IF(compras_mes2[[#This Row],[CUIT]]="","-",VLOOKUP(compras_mes2[[#This Row],[CUIT]],Lista_CUIT[#All],3,0)),"CUIT NO CARGADO")</f>
        <v>Productos Ortopedicos</v>
      </c>
      <c r="R9" s="217">
        <f>IFERROR(IF(compras_mes2[[#This Row],[CUIT]]="","-",VLOOKUP(compras_mes2[[#This Row],[CUIT]],Lista_CUIT[#All],4,0)),"CUIT NO CARGADO")</f>
        <v>0</v>
      </c>
    </row>
    <row r="10" spans="1:26" x14ac:dyDescent="0.25">
      <c r="B10" s="168">
        <v>44958</v>
      </c>
      <c r="C10" s="41">
        <v>1</v>
      </c>
      <c r="D10" s="169">
        <v>8</v>
      </c>
      <c r="E10" s="207">
        <v>103</v>
      </c>
      <c r="F10" s="170">
        <v>30643518364</v>
      </c>
      <c r="G10" s="171" t="str">
        <f>IFERROR(IF(compras_mes2[[#This Row],[CUIT]]="","-",VLOOKUP(compras_mes2[[#This Row],[CUIT]],Lista_CUIT[#All],2,0)),"CUIT NO CARGADO")</f>
        <v>FARMACIA DE MEDRANO SCS</v>
      </c>
      <c r="H10" s="172">
        <v>29148</v>
      </c>
      <c r="I10" s="173">
        <f>IF(compras_mes2[[#This Row],[NETO GRAVADO]]="","",compras_mes2[[#This Row],[NETO GRAVADO]]*0.21)</f>
        <v>6121.08</v>
      </c>
      <c r="J10" s="173"/>
      <c r="K10" s="173"/>
      <c r="L10" s="173"/>
      <c r="M10" s="173"/>
      <c r="N10" s="173"/>
      <c r="O10" s="173"/>
      <c r="P10" s="174">
        <f>SUM(compras_mes2[[#This Row],[NETO GRAVADO]:[Otros / No Grav.]])</f>
        <v>35269.08</v>
      </c>
      <c r="Q10" s="175" t="str">
        <f>IFERROR(IF(compras_mes2[[#This Row],[CUIT]]="","-",VLOOKUP(compras_mes2[[#This Row],[CUIT]],Lista_CUIT[#All],3,0)),"CUIT NO CARGADO")</f>
        <v>Productos Ortopedicos</v>
      </c>
      <c r="R10" s="175">
        <f>IFERROR(IF(compras_mes2[[#This Row],[CUIT]]="","-",VLOOKUP(compras_mes2[[#This Row],[CUIT]],Lista_CUIT[#All],4,0)),"CUIT NO CARGADO")</f>
        <v>0</v>
      </c>
    </row>
    <row r="11" spans="1:26" x14ac:dyDescent="0.25">
      <c r="B11" s="168">
        <v>44958</v>
      </c>
      <c r="C11" s="41">
        <v>1</v>
      </c>
      <c r="D11" s="169">
        <v>1</v>
      </c>
      <c r="E11" s="207">
        <v>399</v>
      </c>
      <c r="F11" s="170">
        <v>33716711469</v>
      </c>
      <c r="G11" s="171" t="str">
        <f>IFERROR(IF(compras_mes2[[#This Row],[CUIT]]="","-",VLOOKUP(compras_mes2[[#This Row],[CUIT]],Lista_CUIT[#All],2,0)),"CUIT NO CARGADO")</f>
        <v>ORTOPEDIA SOLER SRL</v>
      </c>
      <c r="H11" s="172">
        <v>40000</v>
      </c>
      <c r="I11" s="173">
        <f>IF(compras_mes2[[#This Row],[NETO GRAVADO]]="","",compras_mes2[[#This Row],[NETO GRAVADO]]*0.21)</f>
        <v>8400</v>
      </c>
      <c r="J11" s="173"/>
      <c r="K11" s="173"/>
      <c r="L11" s="173"/>
      <c r="M11" s="173"/>
      <c r="N11" s="173"/>
      <c r="O11" s="173"/>
      <c r="P11" s="174">
        <f>SUM(compras_mes2[[#This Row],[NETO GRAVADO]:[Otros / No Grav.]])</f>
        <v>48400</v>
      </c>
      <c r="Q11" s="175" t="str">
        <f>IFERROR(IF(compras_mes2[[#This Row],[CUIT]]="","-",VLOOKUP(compras_mes2[[#This Row],[CUIT]],Lista_CUIT[#All],3,0)),"CUIT NO CARGADO")</f>
        <v>Productos Ortopedicos</v>
      </c>
      <c r="R11" s="175">
        <f>IFERROR(IF(compras_mes2[[#This Row],[CUIT]]="","-",VLOOKUP(compras_mes2[[#This Row],[CUIT]],Lista_CUIT[#All],4,0)),"CUIT NO CARGADO")</f>
        <v>0</v>
      </c>
    </row>
    <row r="12" spans="1:26" x14ac:dyDescent="0.25">
      <c r="B12" s="168">
        <v>44958</v>
      </c>
      <c r="C12" s="41">
        <v>1</v>
      </c>
      <c r="D12" s="169">
        <v>1</v>
      </c>
      <c r="E12" s="207">
        <v>400</v>
      </c>
      <c r="F12" s="170">
        <v>33716711469</v>
      </c>
      <c r="G12" s="171" t="str">
        <f>IFERROR(IF(compras_mes2[[#This Row],[CUIT]]="","-",VLOOKUP(compras_mes2[[#This Row],[CUIT]],Lista_CUIT[#All],2,0)),"CUIT NO CARGADO")</f>
        <v>ORTOPEDIA SOLER SRL</v>
      </c>
      <c r="H12" s="172">
        <v>65000</v>
      </c>
      <c r="I12" s="173">
        <f>IF(compras_mes2[[#This Row],[NETO GRAVADO]]="","",compras_mes2[[#This Row],[NETO GRAVADO]]*0.21)</f>
        <v>13650</v>
      </c>
      <c r="J12" s="173"/>
      <c r="K12" s="173"/>
      <c r="L12" s="173"/>
      <c r="M12" s="173"/>
      <c r="N12" s="173"/>
      <c r="O12" s="173"/>
      <c r="P12" s="174">
        <f>SUM(compras_mes2[[#This Row],[NETO GRAVADO]:[Otros / No Grav.]])</f>
        <v>78650</v>
      </c>
      <c r="Q12" s="175" t="str">
        <f>IFERROR(IF(compras_mes2[[#This Row],[CUIT]]="","-",VLOOKUP(compras_mes2[[#This Row],[CUIT]],Lista_CUIT[#All],3,0)),"CUIT NO CARGADO")</f>
        <v>Productos Ortopedicos</v>
      </c>
      <c r="R12" s="175">
        <f>IFERROR(IF(compras_mes2[[#This Row],[CUIT]]="","-",VLOOKUP(compras_mes2[[#This Row],[CUIT]],Lista_CUIT[#All],4,0)),"CUIT NO CARGADO")</f>
        <v>0</v>
      </c>
    </row>
    <row r="13" spans="1:26" x14ac:dyDescent="0.25">
      <c r="B13" s="208">
        <v>44958</v>
      </c>
      <c r="C13" s="218">
        <v>3</v>
      </c>
      <c r="D13" s="210">
        <v>5</v>
      </c>
      <c r="E13" s="211">
        <v>471</v>
      </c>
      <c r="F13" s="212">
        <v>30715833243</v>
      </c>
      <c r="G13" s="213" t="str">
        <f>IFERROR(IF(compras_mes2[[#This Row],[CUIT]]="","-",VLOOKUP(compras_mes2[[#This Row],[CUIT]],Lista_CUIT[#All],2,0)),"CUIT NO CARGADO")</f>
        <v>BIODINAMICA ASIST E INSUMOS</v>
      </c>
      <c r="H13" s="214">
        <v>-40547.14</v>
      </c>
      <c r="I13" s="215">
        <f>IF(compras_mes2[[#This Row],[NETO GRAVADO]]="","",compras_mes2[[#This Row],[NETO GRAVADO]]*0.21)</f>
        <v>-8514.8994000000002</v>
      </c>
      <c r="J13" s="215"/>
      <c r="K13" s="215"/>
      <c r="L13" s="215"/>
      <c r="M13" s="215"/>
      <c r="N13" s="215"/>
      <c r="O13" s="215"/>
      <c r="P13" s="216">
        <f>SUM(compras_mes2[[#This Row],[NETO GRAVADO]:[Otros / No Grav.]])</f>
        <v>-49062.039400000001</v>
      </c>
      <c r="Q13" s="217" t="str">
        <f>IFERROR(IF(compras_mes2[[#This Row],[CUIT]]="","-",VLOOKUP(compras_mes2[[#This Row],[CUIT]],Lista_CUIT[#All],3,0)),"CUIT NO CARGADO")</f>
        <v>INSUMO</v>
      </c>
      <c r="R13" s="217">
        <f>IFERROR(IF(compras_mes2[[#This Row],[CUIT]]="","-",VLOOKUP(compras_mes2[[#This Row],[CUIT]],Lista_CUIT[#All],4,0)),"CUIT NO CARGADO")</f>
        <v>0</v>
      </c>
    </row>
    <row r="14" spans="1:26" x14ac:dyDescent="0.25">
      <c r="B14" s="208">
        <v>44958</v>
      </c>
      <c r="C14" s="218">
        <v>3</v>
      </c>
      <c r="D14" s="210">
        <v>5</v>
      </c>
      <c r="E14" s="211">
        <v>472</v>
      </c>
      <c r="F14" s="212">
        <v>30715833243</v>
      </c>
      <c r="G14" s="213" t="str">
        <f>IFERROR(IF(compras_mes2[[#This Row],[CUIT]]="","-",VLOOKUP(compras_mes2[[#This Row],[CUIT]],Lista_CUIT[#All],2,0)),"CUIT NO CARGADO")</f>
        <v>BIODINAMICA ASIST E INSUMOS</v>
      </c>
      <c r="H14" s="214">
        <v>-40547.14</v>
      </c>
      <c r="I14" s="215">
        <f>IF(compras_mes2[[#This Row],[NETO GRAVADO]]="","",compras_mes2[[#This Row],[NETO GRAVADO]]*0.21)</f>
        <v>-8514.8994000000002</v>
      </c>
      <c r="J14" s="215"/>
      <c r="K14" s="215"/>
      <c r="L14" s="215"/>
      <c r="M14" s="215"/>
      <c r="N14" s="215"/>
      <c r="O14" s="215"/>
      <c r="P14" s="216">
        <f>SUM(compras_mes2[[#This Row],[NETO GRAVADO]:[Otros / No Grav.]])</f>
        <v>-49062.039400000001</v>
      </c>
      <c r="Q14" s="217" t="str">
        <f>IFERROR(IF(compras_mes2[[#This Row],[CUIT]]="","-",VLOOKUP(compras_mes2[[#This Row],[CUIT]],Lista_CUIT[#All],3,0)),"CUIT NO CARGADO")</f>
        <v>INSUMO</v>
      </c>
      <c r="R14" s="217">
        <f>IFERROR(IF(compras_mes2[[#This Row],[CUIT]]="","-",VLOOKUP(compras_mes2[[#This Row],[CUIT]],Lista_CUIT[#All],4,0)),"CUIT NO CARGADO")</f>
        <v>0</v>
      </c>
    </row>
    <row r="15" spans="1:26" x14ac:dyDescent="0.25">
      <c r="B15" s="267">
        <v>44958</v>
      </c>
      <c r="C15" s="268">
        <v>1</v>
      </c>
      <c r="D15" s="269">
        <v>7</v>
      </c>
      <c r="E15" s="270">
        <v>1522</v>
      </c>
      <c r="F15" s="271">
        <v>20284183534</v>
      </c>
      <c r="G15" s="272" t="str">
        <f>IFERROR(IF(compras_mes2[[#This Row],[CUIT]]="","-",VLOOKUP(compras_mes2[[#This Row],[CUIT]],Lista_CUIT[#All],2,0)),"CUIT NO CARGADO")</f>
        <v>FURLANETTO MARTIN</v>
      </c>
      <c r="H15" s="273">
        <v>3115.7</v>
      </c>
      <c r="I15" s="274">
        <f>IF(compras_mes2[[#This Row],[NETO GRAVADO]]="","",compras_mes2[[#This Row],[NETO GRAVADO]]*0.21)</f>
        <v>654.29699999999991</v>
      </c>
      <c r="J15" s="274"/>
      <c r="K15" s="274"/>
      <c r="L15" s="274"/>
      <c r="M15" s="274"/>
      <c r="N15" s="274"/>
      <c r="O15" s="274"/>
      <c r="P15" s="275">
        <f>SUM(compras_mes2[[#This Row],[NETO GRAVADO]:[Otros / No Grav.]])</f>
        <v>3769.9969999999998</v>
      </c>
      <c r="Q15" s="276" t="str">
        <f>IFERROR(IF(compras_mes2[[#This Row],[CUIT]]="","-",VLOOKUP(compras_mes2[[#This Row],[CUIT]],Lista_CUIT[#All],3,0)),"CUIT NO CARGADO")</f>
        <v>PAPELERIA</v>
      </c>
      <c r="R15" s="276">
        <f>IFERROR(IF(compras_mes2[[#This Row],[CUIT]]="","-",VLOOKUP(compras_mes2[[#This Row],[CUIT]],Lista_CUIT[#All],4,0)),"CUIT NO CARGADO")</f>
        <v>0</v>
      </c>
    </row>
    <row r="16" spans="1:26" x14ac:dyDescent="0.25">
      <c r="B16" s="208">
        <v>44958</v>
      </c>
      <c r="C16" s="209">
        <v>1</v>
      </c>
      <c r="D16" s="210">
        <v>3</v>
      </c>
      <c r="E16" s="211">
        <v>3094</v>
      </c>
      <c r="F16" s="212">
        <v>20182721787</v>
      </c>
      <c r="G16" s="213" t="str">
        <f>IFERROR(IF(compras_mes2[[#This Row],[CUIT]]="","-",VLOOKUP(compras_mes2[[#This Row],[CUIT]],Lista_CUIT[#All],2,0)),"CUIT NO CARGADO")</f>
        <v>CARLOS DANIEL QUIROZ</v>
      </c>
      <c r="H16" s="214">
        <v>8429.76</v>
      </c>
      <c r="I16" s="215">
        <f>IF(compras_mes2[[#This Row],[NETO GRAVADO]]="","",compras_mes2[[#This Row],[NETO GRAVADO]]*0.21)</f>
        <v>1770.2495999999999</v>
      </c>
      <c r="J16" s="215"/>
      <c r="K16" s="215"/>
      <c r="L16" s="215"/>
      <c r="M16" s="215"/>
      <c r="N16" s="215"/>
      <c r="O16" s="215"/>
      <c r="P16" s="216">
        <f>SUM(compras_mes2[[#This Row],[NETO GRAVADO]:[Otros / No Grav.]])</f>
        <v>10200.009599999999</v>
      </c>
      <c r="Q16" s="217" t="str">
        <f>IFERROR(IF(compras_mes2[[#This Row],[CUIT]]="","-",VLOOKUP(compras_mes2[[#This Row],[CUIT]],Lista_CUIT[#All],3,0)),"CUIT NO CARGADO")</f>
        <v>INSUMO</v>
      </c>
      <c r="R16" s="217">
        <f>IFERROR(IF(compras_mes2[[#This Row],[CUIT]]="","-",VLOOKUP(compras_mes2[[#This Row],[CUIT]],Lista_CUIT[#All],4,0)),"CUIT NO CARGADO")</f>
        <v>0</v>
      </c>
    </row>
    <row r="17" spans="2:18" x14ac:dyDescent="0.25">
      <c r="B17" s="168">
        <v>44958</v>
      </c>
      <c r="C17" s="41">
        <v>1</v>
      </c>
      <c r="D17" s="169">
        <v>5</v>
      </c>
      <c r="E17" s="207">
        <v>3819</v>
      </c>
      <c r="F17" s="170">
        <v>30715833243</v>
      </c>
      <c r="G17" s="171" t="str">
        <f>IFERROR(IF(compras_mes2[[#This Row],[CUIT]]="","-",VLOOKUP(compras_mes2[[#This Row],[CUIT]],Lista_CUIT[#All],2,0)),"CUIT NO CARGADO")</f>
        <v>BIODINAMICA ASIST E INSUMOS</v>
      </c>
      <c r="H17" s="172">
        <v>40547.14</v>
      </c>
      <c r="I17" s="173">
        <f>IF(compras_mes2[[#This Row],[NETO GRAVADO]]="","",compras_mes2[[#This Row],[NETO GRAVADO]]*0.21)</f>
        <v>8514.8994000000002</v>
      </c>
      <c r="J17" s="173"/>
      <c r="K17" s="173"/>
      <c r="L17" s="173"/>
      <c r="M17" s="173"/>
      <c r="N17" s="173"/>
      <c r="O17" s="173"/>
      <c r="P17" s="174">
        <f>SUM(compras_mes2[[#This Row],[NETO GRAVADO]:[Otros / No Grav.]])</f>
        <v>49062.039400000001</v>
      </c>
      <c r="Q17" s="175" t="str">
        <f>IFERROR(IF(compras_mes2[[#This Row],[CUIT]]="","-",VLOOKUP(compras_mes2[[#This Row],[CUIT]],Lista_CUIT[#All],3,0)),"CUIT NO CARGADO")</f>
        <v>INSUMO</v>
      </c>
      <c r="R17" s="175">
        <f>IFERROR(IF(compras_mes2[[#This Row],[CUIT]]="","-",VLOOKUP(compras_mes2[[#This Row],[CUIT]],Lista_CUIT[#All],4,0)),"CUIT NO CARGADO")</f>
        <v>0</v>
      </c>
    </row>
    <row r="18" spans="2:18" x14ac:dyDescent="0.25">
      <c r="B18" s="208">
        <v>44958</v>
      </c>
      <c r="C18" s="209">
        <v>1</v>
      </c>
      <c r="D18" s="210">
        <v>5</v>
      </c>
      <c r="E18" s="211">
        <v>3820</v>
      </c>
      <c r="F18" s="212">
        <v>30715833243</v>
      </c>
      <c r="G18" s="213" t="str">
        <f>IFERROR(IF(compras_mes2[[#This Row],[CUIT]]="","-",VLOOKUP(compras_mes2[[#This Row],[CUIT]],Lista_CUIT[#All],2,0)),"CUIT NO CARGADO")</f>
        <v>BIODINAMICA ASIST E INSUMOS</v>
      </c>
      <c r="H18" s="214">
        <v>40547.14</v>
      </c>
      <c r="I18" s="215">
        <f>IF(compras_mes2[[#This Row],[NETO GRAVADO]]="","",compras_mes2[[#This Row],[NETO GRAVADO]]*0.21)</f>
        <v>8514.8994000000002</v>
      </c>
      <c r="J18" s="215"/>
      <c r="K18" s="215"/>
      <c r="L18" s="215"/>
      <c r="M18" s="215"/>
      <c r="N18" s="215"/>
      <c r="O18" s="215"/>
      <c r="P18" s="216">
        <f>SUM(compras_mes2[[#This Row],[NETO GRAVADO]:[Otros / No Grav.]])</f>
        <v>49062.039400000001</v>
      </c>
      <c r="Q18" s="217" t="str">
        <f>IFERROR(IF(compras_mes2[[#This Row],[CUIT]]="","-",VLOOKUP(compras_mes2[[#This Row],[CUIT]],Lista_CUIT[#All],3,0)),"CUIT NO CARGADO")</f>
        <v>INSUMO</v>
      </c>
      <c r="R18" s="217">
        <f>IFERROR(IF(compras_mes2[[#This Row],[CUIT]]="","-",VLOOKUP(compras_mes2[[#This Row],[CUIT]],Lista_CUIT[#All],4,0)),"CUIT NO CARGADO")</f>
        <v>0</v>
      </c>
    </row>
    <row r="19" spans="2:18" x14ac:dyDescent="0.25">
      <c r="B19" s="208">
        <v>44958</v>
      </c>
      <c r="C19" s="209">
        <v>1</v>
      </c>
      <c r="D19" s="210">
        <v>5</v>
      </c>
      <c r="E19" s="211">
        <v>3821</v>
      </c>
      <c r="F19" s="212">
        <v>30715833243</v>
      </c>
      <c r="G19" s="213" t="str">
        <f>IFERROR(IF(compras_mes2[[#This Row],[CUIT]]="","-",VLOOKUP(compras_mes2[[#This Row],[CUIT]],Lista_CUIT[#All],2,0)),"CUIT NO CARGADO")</f>
        <v>BIODINAMICA ASIST E INSUMOS</v>
      </c>
      <c r="H19" s="214">
        <v>40547.14</v>
      </c>
      <c r="I19" s="215">
        <f>IF(compras_mes2[[#This Row],[NETO GRAVADO]]="","",compras_mes2[[#This Row],[NETO GRAVADO]]*0.21)</f>
        <v>8514.8994000000002</v>
      </c>
      <c r="J19" s="215"/>
      <c r="K19" s="215"/>
      <c r="L19" s="215"/>
      <c r="M19" s="215"/>
      <c r="N19" s="215"/>
      <c r="O19" s="215"/>
      <c r="P19" s="216">
        <f>SUM(compras_mes2[[#This Row],[NETO GRAVADO]:[Otros / No Grav.]])</f>
        <v>49062.039400000001</v>
      </c>
      <c r="Q19" s="217" t="str">
        <f>IFERROR(IF(compras_mes2[[#This Row],[CUIT]]="","-",VLOOKUP(compras_mes2[[#This Row],[CUIT]],Lista_CUIT[#All],3,0)),"CUIT NO CARGADO")</f>
        <v>INSUMO</v>
      </c>
      <c r="R19" s="217">
        <f>IFERROR(IF(compras_mes2[[#This Row],[CUIT]]="","-",VLOOKUP(compras_mes2[[#This Row],[CUIT]],Lista_CUIT[#All],4,0)),"CUIT NO CARGADO")</f>
        <v>0</v>
      </c>
    </row>
    <row r="20" spans="2:18" x14ac:dyDescent="0.25">
      <c r="B20" s="168">
        <v>44958</v>
      </c>
      <c r="C20" s="41">
        <v>1</v>
      </c>
      <c r="D20" s="169">
        <v>2</v>
      </c>
      <c r="E20" s="207">
        <v>7656</v>
      </c>
      <c r="F20" s="170">
        <v>30714331082</v>
      </c>
      <c r="G20" s="171" t="str">
        <f>IFERROR(IF(compras_mes2[[#This Row],[CUIT]]="","-",VLOOKUP(compras_mes2[[#This Row],[CUIT]],Lista_CUIT[#All],2,0)),"CUIT NO CARGADO")</f>
        <v>ORTOPEDIA CASA ESCALADA SRL</v>
      </c>
      <c r="H20" s="172">
        <v>572471.89</v>
      </c>
      <c r="I20" s="173">
        <f>IF(compras_mes2[[#This Row],[NETO GRAVADO]]="","",compras_mes2[[#This Row],[NETO GRAVADO]]*0.21)</f>
        <v>120219.0969</v>
      </c>
      <c r="J20" s="173"/>
      <c r="K20" s="173"/>
      <c r="L20" s="173"/>
      <c r="M20" s="173"/>
      <c r="N20" s="173"/>
      <c r="O20" s="173"/>
      <c r="P20" s="174">
        <f>SUM(compras_mes2[[#This Row],[NETO GRAVADO]:[Otros / No Grav.]])</f>
        <v>692690.98690000002</v>
      </c>
      <c r="Q20" s="175" t="str">
        <f>IFERROR(IF(compras_mes2[[#This Row],[CUIT]]="","-",VLOOKUP(compras_mes2[[#This Row],[CUIT]],Lista_CUIT[#All],3,0)),"CUIT NO CARGADO")</f>
        <v>Productos Ortopedicos</v>
      </c>
      <c r="R20" s="175">
        <f>IFERROR(IF(compras_mes2[[#This Row],[CUIT]]="","-",VLOOKUP(compras_mes2[[#This Row],[CUIT]],Lista_CUIT[#All],4,0)),"CUIT NO CARGADO")</f>
        <v>0</v>
      </c>
    </row>
    <row r="21" spans="2:18" x14ac:dyDescent="0.25">
      <c r="B21" s="40">
        <v>44958</v>
      </c>
      <c r="C21" s="41">
        <v>1</v>
      </c>
      <c r="D21" s="42">
        <v>4</v>
      </c>
      <c r="E21" s="43">
        <v>62070</v>
      </c>
      <c r="F21" s="44">
        <v>33709738459</v>
      </c>
      <c r="G21" s="45" t="str">
        <f>IFERROR(IF(compras_mes2[[#This Row],[CUIT]]="","-",VLOOKUP(compras_mes2[[#This Row],[CUIT]],Lista_CUIT[#All],2,0)),"CUIT NO CARGADO")</f>
        <v>ORTOPEDICOS ALFOLATEX S.A</v>
      </c>
      <c r="H21" s="46">
        <v>139069.9</v>
      </c>
      <c r="I21" s="85">
        <f>IF(compras_mes2[[#This Row],[NETO GRAVADO]]="","",compras_mes2[[#This Row],[NETO GRAVADO]]*0.21)</f>
        <v>29204.678999999996</v>
      </c>
      <c r="J21" s="85"/>
      <c r="K21" s="85"/>
      <c r="L21" s="85"/>
      <c r="M21" s="85"/>
      <c r="N21" s="85"/>
      <c r="O21" s="85"/>
      <c r="P21" s="48">
        <f>SUM(compras_mes2[[#This Row],[NETO GRAVADO]:[Otros / No Grav.]])</f>
        <v>168274.579</v>
      </c>
      <c r="Q21" s="49" t="str">
        <f>IFERROR(IF(compras_mes2[[#This Row],[CUIT]]="","-",VLOOKUP(compras_mes2[[#This Row],[CUIT]],Lista_CUIT[#All],3,0)),"CUIT NO CARGADO")</f>
        <v>Productos Ortopedicos</v>
      </c>
      <c r="R21" s="49">
        <f>IFERROR(IF(compras_mes2[[#This Row],[CUIT]]="","-",VLOOKUP(compras_mes2[[#This Row],[CUIT]],Lista_CUIT[#All],4,0)),"CUIT NO CARGADO")</f>
        <v>0</v>
      </c>
    </row>
    <row r="22" spans="2:18" x14ac:dyDescent="0.25">
      <c r="B22" s="168">
        <v>44958</v>
      </c>
      <c r="C22" s="41">
        <v>1</v>
      </c>
      <c r="D22" s="169">
        <v>6</v>
      </c>
      <c r="E22" s="207">
        <v>70438</v>
      </c>
      <c r="F22" s="170">
        <v>30711553564</v>
      </c>
      <c r="G22" s="171" t="str">
        <f>IFERROR(IF(compras_mes2[[#This Row],[CUIT]]="","-",VLOOKUP(compras_mes2[[#This Row],[CUIT]],Lista_CUIT[#All],2,0)),"CUIT NO CARGADO")</f>
        <v>SALUD TEX S.A</v>
      </c>
      <c r="H22" s="172">
        <v>130034.1</v>
      </c>
      <c r="I22" s="173">
        <f>IF(compras_mes2[[#This Row],[NETO GRAVADO]]="","",compras_mes2[[#This Row],[NETO GRAVADO]]*0.21)</f>
        <v>27307.161</v>
      </c>
      <c r="J22" s="173"/>
      <c r="K22" s="173"/>
      <c r="L22" s="173"/>
      <c r="M22" s="173"/>
      <c r="N22" s="173"/>
      <c r="O22" s="173"/>
      <c r="P22" s="174">
        <f>SUM(compras_mes2[[#This Row],[NETO GRAVADO]:[Otros / No Grav.]])</f>
        <v>157341.261</v>
      </c>
      <c r="Q22" s="175" t="str">
        <f>IFERROR(IF(compras_mes2[[#This Row],[CUIT]]="","-",VLOOKUP(compras_mes2[[#This Row],[CUIT]],Lista_CUIT[#All],3,0)),"CUIT NO CARGADO")</f>
        <v>Productos Ortopedicos</v>
      </c>
      <c r="R22" s="175">
        <f>IFERROR(IF(compras_mes2[[#This Row],[CUIT]]="","-",VLOOKUP(compras_mes2[[#This Row],[CUIT]],Lista_CUIT[#All],4,0)),"CUIT NO CARGADO")</f>
        <v>0</v>
      </c>
    </row>
    <row r="23" spans="2:18" x14ac:dyDescent="0.25">
      <c r="B23" s="208">
        <v>44958</v>
      </c>
      <c r="C23" s="209">
        <v>1</v>
      </c>
      <c r="D23" s="210">
        <v>1305</v>
      </c>
      <c r="E23" s="211">
        <v>723937</v>
      </c>
      <c r="F23" s="212">
        <v>30663288497</v>
      </c>
      <c r="G23" s="213" t="str">
        <f>IFERROR(IF(compras_mes2[[#This Row],[CUIT]]="","-",VLOOKUP(compras_mes2[[#This Row],[CUIT]],Lista_CUIT[#All],2,0)),"CUIT NO CARGADO")</f>
        <v>AMX ARG SA</v>
      </c>
      <c r="H23" s="214">
        <v>6000</v>
      </c>
      <c r="I23" s="215">
        <v>630</v>
      </c>
      <c r="J23" s="215">
        <v>810</v>
      </c>
      <c r="K23" s="215"/>
      <c r="L23" s="215"/>
      <c r="M23" s="215"/>
      <c r="N23" s="215">
        <v>210</v>
      </c>
      <c r="O23" s="215">
        <v>337.89</v>
      </c>
      <c r="P23" s="216">
        <f>SUM(compras_mes2[[#This Row],[NETO GRAVADO]:[Otros / No Grav.]])</f>
        <v>7987.89</v>
      </c>
      <c r="Q23" s="217" t="str">
        <f>IFERROR(IF(compras_mes2[[#This Row],[CUIT]]="","-",VLOOKUP(compras_mes2[[#This Row],[CUIT]],Lista_CUIT[#All],3,0)),"CUIT NO CARGADO")</f>
        <v>SERVICIOS DE INTERNET</v>
      </c>
      <c r="R23" s="217">
        <f>IFERROR(IF(compras_mes2[[#This Row],[CUIT]]="","-",VLOOKUP(compras_mes2[[#This Row],[CUIT]],Lista_CUIT[#All],4,0)),"CUIT NO CARGADO")</f>
        <v>0</v>
      </c>
    </row>
    <row r="24" spans="2:18" x14ac:dyDescent="0.25">
      <c r="B24" s="208">
        <v>44958</v>
      </c>
      <c r="C24" s="209">
        <v>1</v>
      </c>
      <c r="D24" s="210">
        <v>105</v>
      </c>
      <c r="E24" s="211">
        <v>1179534</v>
      </c>
      <c r="F24" s="212">
        <v>30537882871</v>
      </c>
      <c r="G24" s="213" t="str">
        <f>IFERROR(IF(compras_mes2[[#This Row],[CUIT]]="","-",VLOOKUP(compras_mes2[[#This Row],[CUIT]],Lista_CUIT[#All],2,0)),"CUIT NO CARGADO")</f>
        <v>EL JUMILIANO SA</v>
      </c>
      <c r="H24" s="214">
        <v>1685.95</v>
      </c>
      <c r="I24" s="215">
        <f>IF(compras_mes2[[#This Row],[NETO GRAVADO]]="","",compras_mes2[[#This Row],[NETO GRAVADO]]*0.21)</f>
        <v>354.04950000000002</v>
      </c>
      <c r="J24" s="215"/>
      <c r="K24" s="215"/>
      <c r="L24" s="215"/>
      <c r="M24" s="215"/>
      <c r="N24" s="215"/>
      <c r="O24" s="215"/>
      <c r="P24" s="216">
        <f>SUM(compras_mes2[[#This Row],[NETO GRAVADO]:[Otros / No Grav.]])</f>
        <v>2039.9995000000001</v>
      </c>
      <c r="Q24" s="217" t="str">
        <f>IFERROR(IF(compras_mes2[[#This Row],[CUIT]]="","-",VLOOKUP(compras_mes2[[#This Row],[CUIT]],Lista_CUIT[#All],3,0)),"CUIT NO CARGADO")</f>
        <v>SERVICIOS</v>
      </c>
      <c r="R24" s="217">
        <f>IFERROR(IF(compras_mes2[[#This Row],[CUIT]]="","-",VLOOKUP(compras_mes2[[#This Row],[CUIT]],Lista_CUIT[#All],4,0)),"CUIT NO CARGADO")</f>
        <v>0</v>
      </c>
    </row>
    <row r="25" spans="2:18" x14ac:dyDescent="0.25">
      <c r="B25" s="208">
        <v>44958</v>
      </c>
      <c r="C25" s="209">
        <v>1</v>
      </c>
      <c r="D25" s="210">
        <v>500</v>
      </c>
      <c r="E25" s="211">
        <v>1201114</v>
      </c>
      <c r="F25" s="212">
        <v>30654118767</v>
      </c>
      <c r="G25" s="213" t="str">
        <f>IFERROR(IF(compras_mes2[[#This Row],[CUIT]]="","-",VLOOKUP(compras_mes2[[#This Row],[CUIT]],Lista_CUIT[#All],2,0)),"CUIT NO CARGADO")</f>
        <v>SOLUCIONES MULTIMEDIA SA</v>
      </c>
      <c r="H25" s="214">
        <v>8300.4599999999991</v>
      </c>
      <c r="I25" s="215">
        <f>IF(compras_mes2[[#This Row],[NETO GRAVADO]]="","",compras_mes2[[#This Row],[NETO GRAVADO]]*0.21)</f>
        <v>1743.0965999999999</v>
      </c>
      <c r="J25" s="215"/>
      <c r="K25" s="215"/>
      <c r="L25" s="215"/>
      <c r="M25" s="215"/>
      <c r="N25" s="215"/>
      <c r="O25" s="215"/>
      <c r="P25" s="216">
        <f>SUM(compras_mes2[[#This Row],[NETO GRAVADO]:[Otros / No Grav.]])</f>
        <v>10043.5566</v>
      </c>
      <c r="Q25" s="217" t="str">
        <f>IFERROR(IF(compras_mes2[[#This Row],[CUIT]]="","-",VLOOKUP(compras_mes2[[#This Row],[CUIT]],Lista_CUIT[#All],3,0)),"CUIT NO CARGADO")</f>
        <v>GASTOS ADMINISTRATIVOS</v>
      </c>
      <c r="R25" s="217">
        <f>IFERROR(IF(compras_mes2[[#This Row],[CUIT]]="","-",VLOOKUP(compras_mes2[[#This Row],[CUIT]],Lista_CUIT[#All],4,0)),"CUIT NO CARGADO")</f>
        <v>0</v>
      </c>
    </row>
    <row r="26" spans="2:18" x14ac:dyDescent="0.25">
      <c r="B26" s="168">
        <v>44959</v>
      </c>
      <c r="C26" s="41">
        <v>1</v>
      </c>
      <c r="D26" s="169">
        <v>2</v>
      </c>
      <c r="E26" s="207">
        <v>178</v>
      </c>
      <c r="F26" s="170">
        <v>30605344352</v>
      </c>
      <c r="G26" s="171" t="str">
        <f>IFERROR(IF(compras_mes2[[#This Row],[CUIT]]="","-",VLOOKUP(compras_mes2[[#This Row],[CUIT]],Lista_CUIT[#All],2,0)),"CUIT NO CARGADO")</f>
        <v>CONSORCIO BARTOLME MITRE 2466</v>
      </c>
      <c r="H26" s="172">
        <v>187880</v>
      </c>
      <c r="I26" s="173">
        <f>IF(compras_mes2[[#This Row],[NETO GRAVADO]]="","",compras_mes2[[#This Row],[NETO GRAVADO]]*0.21)</f>
        <v>39454.799999999996</v>
      </c>
      <c r="J26" s="173"/>
      <c r="K26" s="173"/>
      <c r="L26" s="173"/>
      <c r="M26" s="173"/>
      <c r="N26" s="173"/>
      <c r="O26" s="173"/>
      <c r="P26" s="174">
        <f>SUM(compras_mes2[[#This Row],[NETO GRAVADO]:[Otros / No Grav.]])</f>
        <v>227334.8</v>
      </c>
      <c r="Q26" s="175" t="str">
        <f>IFERROR(IF(compras_mes2[[#This Row],[CUIT]]="","-",VLOOKUP(compras_mes2[[#This Row],[CUIT]],Lista_CUIT[#All],3,0)),"CUIT NO CARGADO")</f>
        <v>Gastos Varios</v>
      </c>
      <c r="R26" s="175">
        <f>IFERROR(IF(compras_mes2[[#This Row],[CUIT]]="","-",VLOOKUP(compras_mes2[[#This Row],[CUIT]],Lista_CUIT[#All],4,0)),"CUIT NO CARGADO")</f>
        <v>0</v>
      </c>
    </row>
    <row r="27" spans="2:18" x14ac:dyDescent="0.25">
      <c r="B27" s="168">
        <v>44959</v>
      </c>
      <c r="C27" s="41">
        <v>1</v>
      </c>
      <c r="D27" s="169">
        <v>6</v>
      </c>
      <c r="E27" s="207">
        <v>421</v>
      </c>
      <c r="F27" s="170">
        <v>20247225243</v>
      </c>
      <c r="G27" s="171" t="str">
        <f>IFERROR(IF(compras_mes2[[#This Row],[CUIT]]="","-",VLOOKUP(compras_mes2[[#This Row],[CUIT]],Lista_CUIT[#All],2,0)),"CUIT NO CARGADO")</f>
        <v>VENTO HUGO GABRIEL</v>
      </c>
      <c r="H27" s="172">
        <v>34471</v>
      </c>
      <c r="I27" s="173">
        <f>IF(compras_mes2[[#This Row],[NETO GRAVADO]]="","",compras_mes2[[#This Row],[NETO GRAVADO]]*0.21)</f>
        <v>7238.91</v>
      </c>
      <c r="J27" s="173"/>
      <c r="K27" s="173"/>
      <c r="L27" s="173"/>
      <c r="M27" s="173"/>
      <c r="N27" s="173"/>
      <c r="O27" s="173"/>
      <c r="P27" s="174">
        <f>SUM(compras_mes2[[#This Row],[NETO GRAVADO]:[Otros / No Grav.]])</f>
        <v>41709.910000000003</v>
      </c>
      <c r="Q27" s="175" t="str">
        <f>IFERROR(IF(compras_mes2[[#This Row],[CUIT]]="","-",VLOOKUP(compras_mes2[[#This Row],[CUIT]],Lista_CUIT[#All],3,0)),"CUIT NO CARGADO")</f>
        <v>Productos Ortopedicos</v>
      </c>
      <c r="R27" s="175">
        <f>IFERROR(IF(compras_mes2[[#This Row],[CUIT]]="","-",VLOOKUP(compras_mes2[[#This Row],[CUIT]],Lista_CUIT[#All],4,0)),"CUIT NO CARGADO")</f>
        <v>0</v>
      </c>
    </row>
    <row r="28" spans="2:18" x14ac:dyDescent="0.25">
      <c r="B28" s="168">
        <v>44959</v>
      </c>
      <c r="C28" s="201">
        <v>1</v>
      </c>
      <c r="D28" s="169">
        <v>6</v>
      </c>
      <c r="E28" s="207">
        <v>817</v>
      </c>
      <c r="F28" s="170">
        <v>30716815710</v>
      </c>
      <c r="G28" s="171" t="str">
        <f>IFERROR(IF(compras_mes2[[#This Row],[CUIT]]="","-",VLOOKUP(compras_mes2[[#This Row],[CUIT]],Lista_CUIT[#All],2,0)),"CUIT NO CARGADO")</f>
        <v>PAPELERA GEOPEL SRL</v>
      </c>
      <c r="H28" s="172">
        <v>4730</v>
      </c>
      <c r="I28" s="173">
        <f>IF(compras_mes2[[#This Row],[NETO GRAVADO]]="","",compras_mes2[[#This Row],[NETO GRAVADO]]*0.21)</f>
        <v>993.3</v>
      </c>
      <c r="J28" s="173"/>
      <c r="K28" s="173"/>
      <c r="L28" s="173"/>
      <c r="M28" s="173"/>
      <c r="N28" s="173"/>
      <c r="O28" s="173"/>
      <c r="P28" s="174">
        <f>SUM(compras_mes2[[#This Row],[NETO GRAVADO]:[Otros / No Grav.]])</f>
        <v>5723.3</v>
      </c>
      <c r="Q28" s="175" t="str">
        <f>IFERROR(IF(compras_mes2[[#This Row],[CUIT]]="","-",VLOOKUP(compras_mes2[[#This Row],[CUIT]],Lista_CUIT[#All],3,0)),"CUIT NO CARGADO")</f>
        <v>PAPELERIA</v>
      </c>
      <c r="R28" s="175">
        <f>IFERROR(IF(compras_mes2[[#This Row],[CUIT]]="","-",VLOOKUP(compras_mes2[[#This Row],[CUIT]],Lista_CUIT[#All],4,0)),"CUIT NO CARGADO")</f>
        <v>0</v>
      </c>
    </row>
    <row r="29" spans="2:18" x14ac:dyDescent="0.25">
      <c r="B29" s="168">
        <v>44959</v>
      </c>
      <c r="C29" s="41">
        <v>1</v>
      </c>
      <c r="D29" s="169">
        <v>8</v>
      </c>
      <c r="E29" s="207">
        <v>1375</v>
      </c>
      <c r="F29" s="170">
        <v>30708973501</v>
      </c>
      <c r="G29" s="171" t="str">
        <f>IFERROR(IF(compras_mes2[[#This Row],[CUIT]]="","-",VLOOKUP(compras_mes2[[#This Row],[CUIT]],Lista_CUIT[#All],2,0)),"CUIT NO CARGADO")</f>
        <v>ASIAL SRL</v>
      </c>
      <c r="H29" s="172">
        <v>200807</v>
      </c>
      <c r="I29" s="173">
        <f>IF(compras_mes2[[#This Row],[NETO GRAVADO]]="","",compras_mes2[[#This Row],[NETO GRAVADO]]*0.21)</f>
        <v>42169.47</v>
      </c>
      <c r="J29" s="173"/>
      <c r="K29" s="173"/>
      <c r="L29" s="173"/>
      <c r="M29" s="173"/>
      <c r="N29" s="173"/>
      <c r="O29" s="173"/>
      <c r="P29" s="174">
        <f>SUM(compras_mes2[[#This Row],[NETO GRAVADO]:[Otros / No Grav.]])</f>
        <v>242976.47</v>
      </c>
      <c r="Q29" s="175" t="str">
        <f>IFERROR(IF(compras_mes2[[#This Row],[CUIT]]="","-",VLOOKUP(compras_mes2[[#This Row],[CUIT]],Lista_CUIT[#All],3,0)),"CUIT NO CARGADO")</f>
        <v>Productos Ortopedicos</v>
      </c>
      <c r="R29" s="175">
        <f>IFERROR(IF(compras_mes2[[#This Row],[CUIT]]="","-",VLOOKUP(compras_mes2[[#This Row],[CUIT]],Lista_CUIT[#All],4,0)),"CUIT NO CARGADO")</f>
        <v>0</v>
      </c>
    </row>
    <row r="30" spans="2:18" x14ac:dyDescent="0.25">
      <c r="B30" s="168">
        <v>44959</v>
      </c>
      <c r="C30" s="41">
        <v>1</v>
      </c>
      <c r="D30" s="169">
        <v>8</v>
      </c>
      <c r="E30" s="207">
        <v>1376</v>
      </c>
      <c r="F30" s="170">
        <v>30708973501</v>
      </c>
      <c r="G30" s="171" t="str">
        <f>IFERROR(IF(compras_mes2[[#This Row],[CUIT]]="","-",VLOOKUP(compras_mes2[[#This Row],[CUIT]],Lista_CUIT[#All],2,0)),"CUIT NO CARGADO")</f>
        <v>ASIAL SRL</v>
      </c>
      <c r="H30" s="172">
        <v>183696</v>
      </c>
      <c r="I30" s="173">
        <f>IF(compras_mes2[[#This Row],[NETO GRAVADO]]="","",compras_mes2[[#This Row],[NETO GRAVADO]]*0.21)</f>
        <v>38576.159999999996</v>
      </c>
      <c r="J30" s="173"/>
      <c r="K30" s="173"/>
      <c r="L30" s="173"/>
      <c r="M30" s="173"/>
      <c r="N30" s="173"/>
      <c r="O30" s="173"/>
      <c r="P30" s="174">
        <f>SUM(compras_mes2[[#This Row],[NETO GRAVADO]:[Otros / No Grav.]])</f>
        <v>222272.16</v>
      </c>
      <c r="Q30" s="175" t="str">
        <f>IFERROR(IF(compras_mes2[[#This Row],[CUIT]]="","-",VLOOKUP(compras_mes2[[#This Row],[CUIT]],Lista_CUIT[#All],3,0)),"CUIT NO CARGADO")</f>
        <v>Productos Ortopedicos</v>
      </c>
      <c r="R30" s="175">
        <f>IFERROR(IF(compras_mes2[[#This Row],[CUIT]]="","-",VLOOKUP(compras_mes2[[#This Row],[CUIT]],Lista_CUIT[#All],4,0)),"CUIT NO CARGADO")</f>
        <v>0</v>
      </c>
    </row>
    <row r="31" spans="2:18" x14ac:dyDescent="0.25">
      <c r="B31" s="168">
        <v>44959</v>
      </c>
      <c r="C31" s="41">
        <v>1</v>
      </c>
      <c r="D31" s="169">
        <v>3</v>
      </c>
      <c r="E31" s="207">
        <v>7541</v>
      </c>
      <c r="F31" s="170">
        <v>20045615473</v>
      </c>
      <c r="G31" s="171" t="str">
        <f>IFERROR(IF(compras_mes2[[#This Row],[CUIT]]="","-",VLOOKUP(compras_mes2[[#This Row],[CUIT]],Lista_CUIT[#All],2,0)),"CUIT NO CARGADO")</f>
        <v xml:space="preserve">DI FEO HUGO PASCUAL </v>
      </c>
      <c r="H31" s="172">
        <v>23580</v>
      </c>
      <c r="I31" s="173">
        <f>IF(compras_mes2[[#This Row],[NETO GRAVADO]]="","",compras_mes2[[#This Row],[NETO GRAVADO]]*0.21)</f>
        <v>4951.8</v>
      </c>
      <c r="J31" s="173"/>
      <c r="K31" s="173"/>
      <c r="L31" s="173"/>
      <c r="M31" s="173"/>
      <c r="N31" s="173"/>
      <c r="O31" s="173"/>
      <c r="P31" s="174">
        <f>SUM(compras_mes2[[#This Row],[NETO GRAVADO]:[Otros / No Grav.]])</f>
        <v>28531.8</v>
      </c>
      <c r="Q31" s="175" t="str">
        <f>IFERROR(IF(compras_mes2[[#This Row],[CUIT]]="","-",VLOOKUP(compras_mes2[[#This Row],[CUIT]],Lista_CUIT[#All],3,0)),"CUIT NO CARGADO")</f>
        <v>Productos Ortopedicos</v>
      </c>
      <c r="R31" s="175">
        <f>IFERROR(IF(compras_mes2[[#This Row],[CUIT]]="","-",VLOOKUP(compras_mes2[[#This Row],[CUIT]],Lista_CUIT[#All],4,0)),"CUIT NO CARGADO")</f>
        <v>0</v>
      </c>
    </row>
    <row r="32" spans="2:18" x14ac:dyDescent="0.25">
      <c r="B32" s="168">
        <v>44959</v>
      </c>
      <c r="C32" s="41">
        <v>1</v>
      </c>
      <c r="D32" s="169">
        <v>3</v>
      </c>
      <c r="E32" s="207">
        <v>7544</v>
      </c>
      <c r="F32" s="170">
        <v>20045615473</v>
      </c>
      <c r="G32" s="171" t="str">
        <f>IFERROR(IF(compras_mes2[[#This Row],[CUIT]]="","-",VLOOKUP(compras_mes2[[#This Row],[CUIT]],Lista_CUIT[#All],2,0)),"CUIT NO CARGADO")</f>
        <v xml:space="preserve">DI FEO HUGO PASCUAL </v>
      </c>
      <c r="H32" s="172">
        <v>3120</v>
      </c>
      <c r="I32" s="173">
        <f>IF(compras_mes2[[#This Row],[NETO GRAVADO]]="","",compras_mes2[[#This Row],[NETO GRAVADO]]*0.21)</f>
        <v>655.19999999999993</v>
      </c>
      <c r="J32" s="173"/>
      <c r="K32" s="173"/>
      <c r="L32" s="173"/>
      <c r="M32" s="173"/>
      <c r="N32" s="173"/>
      <c r="O32" s="173"/>
      <c r="P32" s="174">
        <f>SUM(compras_mes2[[#This Row],[NETO GRAVADO]:[Otros / No Grav.]])</f>
        <v>3775.2</v>
      </c>
      <c r="Q32" s="175" t="str">
        <f>IFERROR(IF(compras_mes2[[#This Row],[CUIT]]="","-",VLOOKUP(compras_mes2[[#This Row],[CUIT]],Lista_CUIT[#All],3,0)),"CUIT NO CARGADO")</f>
        <v>Productos Ortopedicos</v>
      </c>
      <c r="R32" s="175">
        <f>IFERROR(IF(compras_mes2[[#This Row],[CUIT]]="","-",VLOOKUP(compras_mes2[[#This Row],[CUIT]],Lista_CUIT[#All],4,0)),"CUIT NO CARGADO")</f>
        <v>0</v>
      </c>
    </row>
    <row r="33" spans="2:18" x14ac:dyDescent="0.25">
      <c r="B33" s="168">
        <v>44959</v>
      </c>
      <c r="C33" s="41">
        <v>1</v>
      </c>
      <c r="D33" s="169">
        <v>7</v>
      </c>
      <c r="E33" s="207">
        <v>26197</v>
      </c>
      <c r="F33" s="170">
        <v>20271532483</v>
      </c>
      <c r="G33" s="171" t="str">
        <f>IFERROR(IF(compras_mes2[[#This Row],[CUIT]]="","-",VLOOKUP(compras_mes2[[#This Row],[CUIT]],Lista_CUIT[#All],2,0)),"CUIT NO CARGADO")</f>
        <v>DIEGO MARTIN RIOS</v>
      </c>
      <c r="H33" s="172">
        <v>1123706.78</v>
      </c>
      <c r="I33" s="173">
        <f>IF(compras_mes2[[#This Row],[NETO GRAVADO]]="","",compras_mes2[[#This Row],[NETO GRAVADO]]*0.21)</f>
        <v>235978.42379999999</v>
      </c>
      <c r="J33" s="173"/>
      <c r="K33" s="173"/>
      <c r="L33" s="173"/>
      <c r="M33" s="173"/>
      <c r="N33" s="173">
        <v>39329.74</v>
      </c>
      <c r="O33" s="173"/>
      <c r="P33" s="174">
        <f>SUM(compras_mes2[[#This Row],[NETO GRAVADO]:[Otros / No Grav.]])</f>
        <v>1399014.9438</v>
      </c>
      <c r="Q33" s="175" t="str">
        <f>IFERROR(IF(compras_mes2[[#This Row],[CUIT]]="","-",VLOOKUP(compras_mes2[[#This Row],[CUIT]],Lista_CUIT[#All],3,0)),"CUIT NO CARGADO")</f>
        <v>Productos Ortopedicos</v>
      </c>
      <c r="R33" s="175">
        <f>IFERROR(IF(compras_mes2[[#This Row],[CUIT]]="","-",VLOOKUP(compras_mes2[[#This Row],[CUIT]],Lista_CUIT[#All],4,0)),"CUIT NO CARGADO")</f>
        <v>0</v>
      </c>
    </row>
    <row r="34" spans="2:18" x14ac:dyDescent="0.25">
      <c r="B34" s="208">
        <v>44959</v>
      </c>
      <c r="C34" s="209">
        <v>1</v>
      </c>
      <c r="D34" s="210">
        <v>50</v>
      </c>
      <c r="E34" s="211">
        <v>2934363</v>
      </c>
      <c r="F34" s="212">
        <v>30714112836</v>
      </c>
      <c r="G34" s="213" t="str">
        <f>IFERROR(IF(compras_mes2[[#This Row],[CUIT]]="","-",VLOOKUP(compras_mes2[[#This Row],[CUIT]],Lista_CUIT[#All],2,0)),"CUIT NO CARGADO")</f>
        <v>AUTOPISTAS DE BUENOS AIRES (AUBASA) SA</v>
      </c>
      <c r="H34" s="214">
        <v>82.65</v>
      </c>
      <c r="I34" s="215">
        <f>IF(compras_mes2[[#This Row],[NETO GRAVADO]]="","",compras_mes2[[#This Row],[NETO GRAVADO]]*0.21)</f>
        <v>17.3565</v>
      </c>
      <c r="J34" s="215"/>
      <c r="K34" s="215"/>
      <c r="L34" s="215"/>
      <c r="M34" s="215"/>
      <c r="N34" s="215"/>
      <c r="O34" s="215"/>
      <c r="P34" s="216">
        <f>SUM(compras_mes2[[#This Row],[NETO GRAVADO]:[Otros / No Grav.]])</f>
        <v>100.0065</v>
      </c>
      <c r="Q34" s="217" t="str">
        <f>IFERROR(IF(compras_mes2[[#This Row],[CUIT]]="","-",VLOOKUP(compras_mes2[[#This Row],[CUIT]],Lista_CUIT[#All],3,0)),"CUIT NO CARGADO")</f>
        <v>Autopista</v>
      </c>
      <c r="R34" s="217">
        <f>IFERROR(IF(compras_mes2[[#This Row],[CUIT]]="","-",VLOOKUP(compras_mes2[[#This Row],[CUIT]],Lista_CUIT[#All],4,0)),"CUIT NO CARGADO")</f>
        <v>0</v>
      </c>
    </row>
    <row r="35" spans="2:18" x14ac:dyDescent="0.25">
      <c r="B35" s="208">
        <v>44960</v>
      </c>
      <c r="C35" s="218">
        <v>1</v>
      </c>
      <c r="D35" s="210">
        <v>6</v>
      </c>
      <c r="E35" s="211">
        <v>1406</v>
      </c>
      <c r="F35" s="212">
        <v>30591633984</v>
      </c>
      <c r="G35" s="213" t="str">
        <f>IFERROR(IF(compras_mes2[[#This Row],[CUIT]]="","-",VLOOKUP(compras_mes2[[#This Row],[CUIT]],Lista_CUIT[#All],2,0)),"CUIT NO CARGADO")</f>
        <v>PANTYMED SA</v>
      </c>
      <c r="H35" s="214">
        <v>231648.95</v>
      </c>
      <c r="I35" s="215">
        <f>IF(compras_mes2[[#This Row],[NETO GRAVADO]]="","",compras_mes2[[#This Row],[NETO GRAVADO]]*0.21)</f>
        <v>48646.279500000004</v>
      </c>
      <c r="J35" s="215"/>
      <c r="K35" s="215"/>
      <c r="L35" s="215"/>
      <c r="M35" s="215"/>
      <c r="N35" s="215"/>
      <c r="O35" s="215"/>
      <c r="P35" s="216">
        <f>SUM(compras_mes2[[#This Row],[NETO GRAVADO]:[Otros / No Grav.]])</f>
        <v>280295.22950000002</v>
      </c>
      <c r="Q35" s="217" t="str">
        <f>IFERROR(IF(compras_mes2[[#This Row],[CUIT]]="","-",VLOOKUP(compras_mes2[[#This Row],[CUIT]],Lista_CUIT[#All],3,0)),"CUIT NO CARGADO")</f>
        <v>Productos Ortopedicos</v>
      </c>
      <c r="R35" s="217">
        <f>IFERROR(IF(compras_mes2[[#This Row],[CUIT]]="","-",VLOOKUP(compras_mes2[[#This Row],[CUIT]],Lista_CUIT[#All],4,0)),"CUIT NO CARGADO")</f>
        <v>0</v>
      </c>
    </row>
    <row r="36" spans="2:18" x14ac:dyDescent="0.25">
      <c r="B36" s="168">
        <v>44960</v>
      </c>
      <c r="C36" s="41">
        <v>1</v>
      </c>
      <c r="D36" s="169">
        <v>2</v>
      </c>
      <c r="E36" s="207">
        <v>7710</v>
      </c>
      <c r="F36" s="170">
        <v>30714331082</v>
      </c>
      <c r="G36" s="171" t="str">
        <f>IFERROR(IF(compras_mes2[[#This Row],[CUIT]]="","-",VLOOKUP(compras_mes2[[#This Row],[CUIT]],Lista_CUIT[#All],2,0)),"CUIT NO CARGADO")</f>
        <v>ORTOPEDIA CASA ESCALADA SRL</v>
      </c>
      <c r="H36" s="172">
        <v>12417.83</v>
      </c>
      <c r="I36" s="173">
        <f>IF(compras_mes2[[#This Row],[NETO GRAVADO]]="","",compras_mes2[[#This Row],[NETO GRAVADO]]*0.21)</f>
        <v>2607.7442999999998</v>
      </c>
      <c r="J36" s="173"/>
      <c r="K36" s="173"/>
      <c r="L36" s="173"/>
      <c r="M36" s="173"/>
      <c r="N36" s="173"/>
      <c r="O36" s="173"/>
      <c r="P36" s="174">
        <f>SUM(compras_mes2[[#This Row],[NETO GRAVADO]:[Otros / No Grav.]])</f>
        <v>15025.5743</v>
      </c>
      <c r="Q36" s="175" t="str">
        <f>IFERROR(IF(compras_mes2[[#This Row],[CUIT]]="","-",VLOOKUP(compras_mes2[[#This Row],[CUIT]],Lista_CUIT[#All],3,0)),"CUIT NO CARGADO")</f>
        <v>Productos Ortopedicos</v>
      </c>
      <c r="R36" s="175">
        <f>IFERROR(IF(compras_mes2[[#This Row],[CUIT]]="","-",VLOOKUP(compras_mes2[[#This Row],[CUIT]],Lista_CUIT[#All],4,0)),"CUIT NO CARGADO")</f>
        <v>0</v>
      </c>
    </row>
    <row r="37" spans="2:18" x14ac:dyDescent="0.25">
      <c r="B37" s="168">
        <v>44960</v>
      </c>
      <c r="C37" s="201">
        <v>1</v>
      </c>
      <c r="D37" s="169">
        <v>6</v>
      </c>
      <c r="E37" s="207">
        <v>22335</v>
      </c>
      <c r="F37" s="170">
        <v>33712276539</v>
      </c>
      <c r="G37" s="171" t="str">
        <f>IFERROR(IF(compras_mes2[[#This Row],[CUIT]]="","-",VLOOKUP(compras_mes2[[#This Row],[CUIT]],Lista_CUIT[#All],2,0)),"CUIT NO CARGADO")</f>
        <v>CASTAÑO AUTOVOX SRL</v>
      </c>
      <c r="H37" s="172">
        <v>6717.19</v>
      </c>
      <c r="I37" s="173">
        <f>IF(compras_mes2[[#This Row],[NETO GRAVADO]]="","",compras_mes2[[#This Row],[NETO GRAVADO]]*0.21)</f>
        <v>1410.6098999999999</v>
      </c>
      <c r="J37" s="173"/>
      <c r="K37" s="173"/>
      <c r="L37" s="173"/>
      <c r="M37" s="173"/>
      <c r="N37" s="173">
        <v>235.1</v>
      </c>
      <c r="O37" s="173">
        <v>463.02</v>
      </c>
      <c r="P37" s="174">
        <f>SUM(compras_mes2[[#This Row],[NETO GRAVADO]:[Otros / No Grav.]])</f>
        <v>8825.9199000000008</v>
      </c>
      <c r="Q37" s="175" t="str">
        <f>IFERROR(IF(compras_mes2[[#This Row],[CUIT]]="","-",VLOOKUP(compras_mes2[[#This Row],[CUIT]],Lista_CUIT[#All],3,0)),"CUIT NO CARGADO")</f>
        <v>COMBUSTIBLE</v>
      </c>
      <c r="R37" s="175">
        <f>IFERROR(IF(compras_mes2[[#This Row],[CUIT]]="","-",VLOOKUP(compras_mes2[[#This Row],[CUIT]],Lista_CUIT[#All],4,0)),"CUIT NO CARGADO")</f>
        <v>0</v>
      </c>
    </row>
    <row r="38" spans="2:18" x14ac:dyDescent="0.25">
      <c r="B38" s="168">
        <v>44960</v>
      </c>
      <c r="C38" s="41">
        <v>1</v>
      </c>
      <c r="D38" s="169">
        <v>11</v>
      </c>
      <c r="E38" s="207">
        <v>79427</v>
      </c>
      <c r="F38" s="170">
        <v>30526582884</v>
      </c>
      <c r="G38" s="171" t="str">
        <f>IFERROR(IF(compras_mes2[[#This Row],[CUIT]]="","-",VLOOKUP(compras_mes2[[#This Row],[CUIT]],Lista_CUIT[#All],2,0)),"CUIT NO CARGADO")</f>
        <v>EXPRESO MAR DEL PLATA S.A.</v>
      </c>
      <c r="H38" s="172">
        <v>2826.45</v>
      </c>
      <c r="I38" s="173">
        <f>IF(compras_mes2[[#This Row],[NETO GRAVADO]]="","",compras_mes2[[#This Row],[NETO GRAVADO]]*0.21)</f>
        <v>593.55449999999996</v>
      </c>
      <c r="J38" s="173"/>
      <c r="K38" s="173"/>
      <c r="L38" s="173"/>
      <c r="M38" s="173"/>
      <c r="N38" s="173"/>
      <c r="O38" s="173"/>
      <c r="P38" s="174">
        <f>SUM(compras_mes2[[#This Row],[NETO GRAVADO]:[Otros / No Grav.]])</f>
        <v>3420.0045</v>
      </c>
      <c r="Q38" s="175" t="str">
        <f>IFERROR(IF(compras_mes2[[#This Row],[CUIT]]="","-",VLOOKUP(compras_mes2[[#This Row],[CUIT]],Lista_CUIT[#All],3,0)),"CUIT NO CARGADO")</f>
        <v>FLETE</v>
      </c>
      <c r="R38" s="175">
        <f>IFERROR(IF(compras_mes2[[#This Row],[CUIT]]="","-",VLOOKUP(compras_mes2[[#This Row],[CUIT]],Lista_CUIT[#All],4,0)),"CUIT NO CARGADO")</f>
        <v>0</v>
      </c>
    </row>
    <row r="39" spans="2:18" x14ac:dyDescent="0.25">
      <c r="B39" s="208">
        <v>44960</v>
      </c>
      <c r="C39" s="209">
        <v>1</v>
      </c>
      <c r="D39" s="210">
        <v>5011</v>
      </c>
      <c r="E39" s="211">
        <v>433048</v>
      </c>
      <c r="F39" s="212">
        <v>30574876474</v>
      </c>
      <c r="G39" s="213" t="str">
        <f>IFERROR(IF(compras_mes2[[#This Row],[CUIT]]="","-",VLOOKUP(compras_mes2[[#This Row],[CUIT]],Lista_CUIT[#All],2,0)),"CUIT NO CARGADO")</f>
        <v>AUTOP. URBANAS SA</v>
      </c>
      <c r="H39" s="214">
        <v>391.91</v>
      </c>
      <c r="I39" s="215">
        <f>IF(compras_mes2[[#This Row],[NETO GRAVADO]]="","",compras_mes2[[#This Row],[NETO GRAVADO]]*0.21)</f>
        <v>82.301100000000005</v>
      </c>
      <c r="J39" s="215"/>
      <c r="K39" s="215"/>
      <c r="L39" s="215"/>
      <c r="M39" s="215"/>
      <c r="N39" s="215"/>
      <c r="O39" s="215">
        <v>39.18</v>
      </c>
      <c r="P39" s="216">
        <f>SUM(compras_mes2[[#This Row],[NETO GRAVADO]:[Otros / No Grav.]])</f>
        <v>513.39110000000005</v>
      </c>
      <c r="Q39" s="217" t="str">
        <f>IFERROR(IF(compras_mes2[[#This Row],[CUIT]]="","-",VLOOKUP(compras_mes2[[#This Row],[CUIT]],Lista_CUIT[#All],3,0)),"CUIT NO CARGADO")</f>
        <v>PEAJE</v>
      </c>
      <c r="R39" s="217">
        <f>IFERROR(IF(compras_mes2[[#This Row],[CUIT]]="","-",VLOOKUP(compras_mes2[[#This Row],[CUIT]],Lista_CUIT[#All],4,0)),"CUIT NO CARGADO")</f>
        <v>0</v>
      </c>
    </row>
    <row r="40" spans="2:18" x14ac:dyDescent="0.25">
      <c r="B40" s="208">
        <v>44960</v>
      </c>
      <c r="C40" s="209">
        <v>1</v>
      </c>
      <c r="D40" s="210">
        <v>5009</v>
      </c>
      <c r="E40" s="211">
        <v>598582</v>
      </c>
      <c r="F40" s="212">
        <v>30574876474</v>
      </c>
      <c r="G40" s="213" t="str">
        <f>IFERROR(IF(compras_mes2[[#This Row],[CUIT]]="","-",VLOOKUP(compras_mes2[[#This Row],[CUIT]],Lista_CUIT[#All],2,0)),"CUIT NO CARGADO")</f>
        <v>AUTOP. URBANAS SA</v>
      </c>
      <c r="H40" s="214">
        <v>459.56</v>
      </c>
      <c r="I40" s="215">
        <f>IF(compras_mes2[[#This Row],[NETO GRAVADO]]="","",compras_mes2[[#This Row],[NETO GRAVADO]]*0.21)</f>
        <v>96.507599999999996</v>
      </c>
      <c r="J40" s="215"/>
      <c r="K40" s="215"/>
      <c r="L40" s="215"/>
      <c r="M40" s="215"/>
      <c r="N40" s="215"/>
      <c r="O40" s="215">
        <v>45.94</v>
      </c>
      <c r="P40" s="216">
        <f>SUM(compras_mes2[[#This Row],[NETO GRAVADO]:[Otros / No Grav.]])</f>
        <v>602.00759999999991</v>
      </c>
      <c r="Q40" s="217" t="str">
        <f>IFERROR(IF(compras_mes2[[#This Row],[CUIT]]="","-",VLOOKUP(compras_mes2[[#This Row],[CUIT]],Lista_CUIT[#All],3,0)),"CUIT NO CARGADO")</f>
        <v>PEAJE</v>
      </c>
      <c r="R40" s="217">
        <f>IFERROR(IF(compras_mes2[[#This Row],[CUIT]]="","-",VLOOKUP(compras_mes2[[#This Row],[CUIT]],Lista_CUIT[#All],4,0)),"CUIT NO CARGADO")</f>
        <v>0</v>
      </c>
    </row>
    <row r="41" spans="2:18" x14ac:dyDescent="0.25">
      <c r="B41" s="208">
        <v>44960</v>
      </c>
      <c r="C41" s="209">
        <v>1</v>
      </c>
      <c r="D41" s="210">
        <v>711</v>
      </c>
      <c r="E41" s="211">
        <v>3914243</v>
      </c>
      <c r="F41" s="212">
        <v>30677237119</v>
      </c>
      <c r="G41" s="213" t="str">
        <f>IFERROR(IF(compras_mes2[[#This Row],[CUIT]]="","-",VLOOKUP(compras_mes2[[#This Row],[CUIT]],Lista_CUIT[#All],2,0)),"CUIT NO CARGADO")</f>
        <v>AUTOPISTAS DEL SOL SA</v>
      </c>
      <c r="H41" s="214">
        <v>78.510000000000005</v>
      </c>
      <c r="I41" s="215">
        <f>IF(compras_mes2[[#This Row],[NETO GRAVADO]]="","",compras_mes2[[#This Row],[NETO GRAVADO]]*0.21)</f>
        <v>16.487100000000002</v>
      </c>
      <c r="J41" s="215"/>
      <c r="K41" s="215"/>
      <c r="L41" s="215"/>
      <c r="M41" s="215"/>
      <c r="N41" s="215"/>
      <c r="O41" s="215"/>
      <c r="P41" s="216">
        <f>SUM(compras_mes2[[#This Row],[NETO GRAVADO]:[Otros / No Grav.]])</f>
        <v>94.997100000000003</v>
      </c>
      <c r="Q41" s="217" t="str">
        <f>IFERROR(IF(compras_mes2[[#This Row],[CUIT]]="","-",VLOOKUP(compras_mes2[[#This Row],[CUIT]],Lista_CUIT[#All],3,0)),"CUIT NO CARGADO")</f>
        <v>Autopista</v>
      </c>
      <c r="R41" s="217">
        <f>IFERROR(IF(compras_mes2[[#This Row],[CUIT]]="","-",VLOOKUP(compras_mes2[[#This Row],[CUIT]],Lista_CUIT[#All],4,0)),"CUIT NO CARGADO")</f>
        <v>0</v>
      </c>
    </row>
    <row r="42" spans="2:18" x14ac:dyDescent="0.25">
      <c r="B42" s="168">
        <v>44961</v>
      </c>
      <c r="C42" s="41">
        <v>1</v>
      </c>
      <c r="D42" s="169">
        <v>2</v>
      </c>
      <c r="E42" s="207">
        <v>58</v>
      </c>
      <c r="F42" s="170">
        <v>27165813893</v>
      </c>
      <c r="G42" s="171" t="str">
        <f>IFERROR(IF(compras_mes2[[#This Row],[CUIT]]="","-",VLOOKUP(compras_mes2[[#This Row],[CUIT]],Lista_CUIT[#All],2,0)),"CUIT NO CARGADO")</f>
        <v>HERMIDA ADRIANA MARCELA</v>
      </c>
      <c r="H42" s="172">
        <v>381676.81</v>
      </c>
      <c r="I42" s="173">
        <f>IF(compras_mes2[[#This Row],[NETO GRAVADO]]="","",compras_mes2[[#This Row],[NETO GRAVADO]]*0.21)</f>
        <v>80152.130099999995</v>
      </c>
      <c r="J42" s="173"/>
      <c r="K42" s="173"/>
      <c r="L42" s="173"/>
      <c r="M42" s="173"/>
      <c r="N42" s="173"/>
      <c r="O42" s="173"/>
      <c r="P42" s="174">
        <f>SUM(compras_mes2[[#This Row],[NETO GRAVADO]:[Otros / No Grav.]])</f>
        <v>461828.94010000001</v>
      </c>
      <c r="Q42" s="175" t="str">
        <f>IFERROR(IF(compras_mes2[[#This Row],[CUIT]]="","-",VLOOKUP(compras_mes2[[#This Row],[CUIT]],Lista_CUIT[#All],3,0)),"CUIT NO CARGADO")</f>
        <v>Productos Ortopedicos</v>
      </c>
      <c r="R42" s="175">
        <f>IFERROR(IF(compras_mes2[[#This Row],[CUIT]]="","-",VLOOKUP(compras_mes2[[#This Row],[CUIT]],Lista_CUIT[#All],4,0)),"CUIT NO CARGADO")</f>
        <v>0</v>
      </c>
    </row>
    <row r="43" spans="2:18" x14ac:dyDescent="0.25">
      <c r="B43" s="168">
        <v>44963</v>
      </c>
      <c r="C43" s="41">
        <v>1</v>
      </c>
      <c r="D43" s="169">
        <v>3</v>
      </c>
      <c r="E43" s="207">
        <v>41</v>
      </c>
      <c r="F43" s="170">
        <v>20334976433</v>
      </c>
      <c r="G43" s="171" t="str">
        <f>IFERROR(IF(compras_mes2[[#This Row],[CUIT]]="","-",VLOOKUP(compras_mes2[[#This Row],[CUIT]],Lista_CUIT[#All],2,0)),"CUIT NO CARGADO")</f>
        <v>NARDOMARINO EZEQUIEL EDUARDO</v>
      </c>
      <c r="H43" s="172">
        <v>115500</v>
      </c>
      <c r="I43" s="173">
        <f>IF(compras_mes2[[#This Row],[NETO GRAVADO]]="","",compras_mes2[[#This Row],[NETO GRAVADO]]*0.21)</f>
        <v>24255</v>
      </c>
      <c r="J43" s="173"/>
      <c r="K43" s="173"/>
      <c r="L43" s="173"/>
      <c r="M43" s="173"/>
      <c r="N43" s="173"/>
      <c r="O43" s="173"/>
      <c r="P43" s="174">
        <f>SUM(compras_mes2[[#This Row],[NETO GRAVADO]:[Otros / No Grav.]])</f>
        <v>139755</v>
      </c>
      <c r="Q43" s="175" t="str">
        <f>IFERROR(IF(compras_mes2[[#This Row],[CUIT]]="","-",VLOOKUP(compras_mes2[[#This Row],[CUIT]],Lista_CUIT[#All],3,0)),"CUIT NO CARGADO")</f>
        <v>FLETE</v>
      </c>
      <c r="R43" s="175">
        <f>IFERROR(IF(compras_mes2[[#This Row],[CUIT]]="","-",VLOOKUP(compras_mes2[[#This Row],[CUIT]],Lista_CUIT[#All],4,0)),"CUIT NO CARGADO")</f>
        <v>0</v>
      </c>
    </row>
    <row r="44" spans="2:18" x14ac:dyDescent="0.25">
      <c r="B44" s="168">
        <v>44963</v>
      </c>
      <c r="C44" s="41">
        <v>1</v>
      </c>
      <c r="D44" s="169">
        <v>17</v>
      </c>
      <c r="E44" s="207">
        <v>746</v>
      </c>
      <c r="F44" s="170">
        <v>30711764921</v>
      </c>
      <c r="G44" s="171" t="str">
        <f>IFERROR(IF(compras_mes2[[#This Row],[CUIT]]="","-",VLOOKUP(compras_mes2[[#This Row],[CUIT]],Lista_CUIT[#All],2,0)),"CUIT NO CARGADO")</f>
        <v>RELIEF CENTER SRL</v>
      </c>
      <c r="H44" s="172">
        <v>27289</v>
      </c>
      <c r="I44" s="173">
        <f>IF(compras_mes2[[#This Row],[NETO GRAVADO]]="","",compras_mes2[[#This Row],[NETO GRAVADO]]*0.21)</f>
        <v>5730.69</v>
      </c>
      <c r="J44" s="173"/>
      <c r="K44" s="173"/>
      <c r="L44" s="173"/>
      <c r="M44" s="173"/>
      <c r="N44" s="173"/>
      <c r="O44" s="173"/>
      <c r="P44" s="174">
        <f>SUM(compras_mes2[[#This Row],[NETO GRAVADO]:[Otros / No Grav.]])</f>
        <v>33019.69</v>
      </c>
      <c r="Q44" s="175" t="str">
        <f>IFERROR(IF(compras_mes2[[#This Row],[CUIT]]="","-",VLOOKUP(compras_mes2[[#This Row],[CUIT]],Lista_CUIT[#All],3,0)),"CUIT NO CARGADO")</f>
        <v>Productos Ortopedicos</v>
      </c>
      <c r="R44" s="175">
        <f>IFERROR(IF(compras_mes2[[#This Row],[CUIT]]="","-",VLOOKUP(compras_mes2[[#This Row],[CUIT]],Lista_CUIT[#All],4,0)),"CUIT NO CARGADO")</f>
        <v>0</v>
      </c>
    </row>
    <row r="45" spans="2:18" x14ac:dyDescent="0.25">
      <c r="B45" s="208">
        <v>44963</v>
      </c>
      <c r="C45" s="209">
        <v>1</v>
      </c>
      <c r="D45" s="210">
        <v>5</v>
      </c>
      <c r="E45" s="211">
        <v>1090</v>
      </c>
      <c r="F45" s="212">
        <v>30712187316</v>
      </c>
      <c r="G45" s="213" t="str">
        <f>IFERROR(IF(compras_mes2[[#This Row],[CUIT]]="","-",VLOOKUP(compras_mes2[[#This Row],[CUIT]],Lista_CUIT[#All],2,0)),"CUIT NO CARGADO")</f>
        <v>ITALOMED PRODUCTOS SRL</v>
      </c>
      <c r="H45" s="214">
        <v>42006.39</v>
      </c>
      <c r="I45" s="215">
        <f>IF(compras_mes2[[#This Row],[NETO GRAVADO]]="","",compras_mes2[[#This Row],[NETO GRAVADO]]*0.21)</f>
        <v>8821.3418999999994</v>
      </c>
      <c r="J45" s="215"/>
      <c r="K45" s="215"/>
      <c r="L45" s="215"/>
      <c r="M45" s="215"/>
      <c r="N45" s="215"/>
      <c r="O45" s="215"/>
      <c r="P45" s="216">
        <f>SUM(compras_mes2[[#This Row],[NETO GRAVADO]:[Otros / No Grav.]])</f>
        <v>50827.731899999999</v>
      </c>
      <c r="Q45" s="217" t="str">
        <f>IFERROR(IF(compras_mes2[[#This Row],[CUIT]]="","-",VLOOKUP(compras_mes2[[#This Row],[CUIT]],Lista_CUIT[#All],3,0)),"CUIT NO CARGADO")</f>
        <v>Productos Ortopedicos</v>
      </c>
      <c r="R45" s="217">
        <f>IFERROR(IF(compras_mes2[[#This Row],[CUIT]]="","-",VLOOKUP(compras_mes2[[#This Row],[CUIT]],Lista_CUIT[#All],4,0)),"CUIT NO CARGADO")</f>
        <v>0</v>
      </c>
    </row>
    <row r="46" spans="2:18" x14ac:dyDescent="0.25">
      <c r="B46" s="168">
        <v>44964</v>
      </c>
      <c r="C46" s="201">
        <v>3</v>
      </c>
      <c r="D46" s="169">
        <v>5</v>
      </c>
      <c r="E46" s="207">
        <v>479</v>
      </c>
      <c r="F46" s="170">
        <v>30715833243</v>
      </c>
      <c r="G46" s="171" t="str">
        <f>IFERROR(IF(compras_mes2[[#This Row],[CUIT]]="","-",VLOOKUP(compras_mes2[[#This Row],[CUIT]],Lista_CUIT[#All],2,0)),"CUIT NO CARGADO")</f>
        <v>BIODINAMICA ASIST E INSUMOS</v>
      </c>
      <c r="H46" s="172">
        <v>-18055.66</v>
      </c>
      <c r="I46" s="173">
        <f>IF(compras_mes2[[#This Row],[NETO GRAVADO]]="","",compras_mes2[[#This Row],[NETO GRAVADO]]*0.21)</f>
        <v>-3791.6886</v>
      </c>
      <c r="J46" s="173"/>
      <c r="K46" s="173"/>
      <c r="L46" s="173"/>
      <c r="M46" s="173"/>
      <c r="N46" s="173"/>
      <c r="O46" s="173"/>
      <c r="P46" s="174">
        <f>SUM(compras_mes2[[#This Row],[NETO GRAVADO]:[Otros / No Grav.]])</f>
        <v>-21847.348600000001</v>
      </c>
      <c r="Q46" s="175" t="str">
        <f>IFERROR(IF(compras_mes2[[#This Row],[CUIT]]="","-",VLOOKUP(compras_mes2[[#This Row],[CUIT]],Lista_CUIT[#All],3,0)),"CUIT NO CARGADO")</f>
        <v>INSUMO</v>
      </c>
      <c r="R46" s="175">
        <f>IFERROR(IF(compras_mes2[[#This Row],[CUIT]]="","-",VLOOKUP(compras_mes2[[#This Row],[CUIT]],Lista_CUIT[#All],4,0)),"CUIT NO CARGADO")</f>
        <v>0</v>
      </c>
    </row>
    <row r="47" spans="2:18" x14ac:dyDescent="0.25">
      <c r="B47" s="168">
        <v>44964</v>
      </c>
      <c r="C47" s="201">
        <v>3</v>
      </c>
      <c r="D47" s="169">
        <v>7</v>
      </c>
      <c r="E47" s="207">
        <v>888</v>
      </c>
      <c r="F47" s="170">
        <v>20271532483</v>
      </c>
      <c r="G47" s="171" t="str">
        <f>IFERROR(IF(compras_mes2[[#This Row],[CUIT]]="","-",VLOOKUP(compras_mes2[[#This Row],[CUIT]],Lista_CUIT[#All],2,0)),"CUIT NO CARGADO")</f>
        <v>DIEGO MARTIN RIOS</v>
      </c>
      <c r="H47" s="172">
        <v>-614802.07999999996</v>
      </c>
      <c r="I47" s="173">
        <f>IF(compras_mes2[[#This Row],[NETO GRAVADO]]="","",compras_mes2[[#This Row],[NETO GRAVADO]]*0.21)</f>
        <v>-129108.43679999998</v>
      </c>
      <c r="J47" s="173"/>
      <c r="K47" s="173"/>
      <c r="L47" s="173"/>
      <c r="M47" s="173"/>
      <c r="N47" s="173">
        <v>-21518.07</v>
      </c>
      <c r="O47" s="173"/>
      <c r="P47" s="174">
        <f>SUM(compras_mes2[[#This Row],[NETO GRAVADO]:[Otros / No Grav.]])</f>
        <v>-765428.58679999993</v>
      </c>
      <c r="Q47" s="175" t="str">
        <f>IFERROR(IF(compras_mes2[[#This Row],[CUIT]]="","-",VLOOKUP(compras_mes2[[#This Row],[CUIT]],Lista_CUIT[#All],3,0)),"CUIT NO CARGADO")</f>
        <v>Productos Ortopedicos</v>
      </c>
      <c r="R47" s="175">
        <f>IFERROR(IF(compras_mes2[[#This Row],[CUIT]]="","-",VLOOKUP(compras_mes2[[#This Row],[CUIT]],Lista_CUIT[#All],4,0)),"CUIT NO CARGADO")</f>
        <v>0</v>
      </c>
    </row>
    <row r="48" spans="2:18" x14ac:dyDescent="0.25">
      <c r="B48" s="208">
        <v>44964</v>
      </c>
      <c r="C48" s="209">
        <v>1</v>
      </c>
      <c r="D48" s="210">
        <v>5</v>
      </c>
      <c r="E48" s="211">
        <v>1091</v>
      </c>
      <c r="F48" s="212">
        <v>30712187316</v>
      </c>
      <c r="G48" s="213" t="str">
        <f>IFERROR(IF(compras_mes2[[#This Row],[CUIT]]="","-",VLOOKUP(compras_mes2[[#This Row],[CUIT]],Lista_CUIT[#All],2,0)),"CUIT NO CARGADO")</f>
        <v>ITALOMED PRODUCTOS SRL</v>
      </c>
      <c r="H48" s="214">
        <v>45822.29</v>
      </c>
      <c r="I48" s="215">
        <f>IF(compras_mes2[[#This Row],[NETO GRAVADO]]="","",compras_mes2[[#This Row],[NETO GRAVADO]]*0.21)</f>
        <v>9622.6808999999994</v>
      </c>
      <c r="J48" s="215"/>
      <c r="K48" s="215"/>
      <c r="L48" s="215"/>
      <c r="M48" s="215"/>
      <c r="N48" s="215"/>
      <c r="O48" s="215"/>
      <c r="P48" s="216">
        <f>SUM(compras_mes2[[#This Row],[NETO GRAVADO]:[Otros / No Grav.]])</f>
        <v>55444.9709</v>
      </c>
      <c r="Q48" s="217" t="str">
        <f>IFERROR(IF(compras_mes2[[#This Row],[CUIT]]="","-",VLOOKUP(compras_mes2[[#This Row],[CUIT]],Lista_CUIT[#All],3,0)),"CUIT NO CARGADO")</f>
        <v>Productos Ortopedicos</v>
      </c>
      <c r="R48" s="217">
        <f>IFERROR(IF(compras_mes2[[#This Row],[CUIT]]="","-",VLOOKUP(compras_mes2[[#This Row],[CUIT]],Lista_CUIT[#All],4,0)),"CUIT NO CARGADO")</f>
        <v>0</v>
      </c>
    </row>
    <row r="49" spans="2:18" x14ac:dyDescent="0.25">
      <c r="B49" s="208">
        <v>44964</v>
      </c>
      <c r="C49" s="209">
        <v>1</v>
      </c>
      <c r="D49" s="210">
        <v>5</v>
      </c>
      <c r="E49" s="211">
        <v>3845</v>
      </c>
      <c r="F49" s="212">
        <v>30715833243</v>
      </c>
      <c r="G49" s="213" t="str">
        <f>IFERROR(IF(compras_mes2[[#This Row],[CUIT]]="","-",VLOOKUP(compras_mes2[[#This Row],[CUIT]],Lista_CUIT[#All],2,0)),"CUIT NO CARGADO")</f>
        <v>BIODINAMICA ASIST E INSUMOS</v>
      </c>
      <c r="H49" s="214">
        <v>25696.78</v>
      </c>
      <c r="I49" s="215">
        <f>IF(compras_mes2[[#This Row],[NETO GRAVADO]]="","",compras_mes2[[#This Row],[NETO GRAVADO]]*0.21)</f>
        <v>5396.3237999999992</v>
      </c>
      <c r="J49" s="215"/>
      <c r="K49" s="215"/>
      <c r="L49" s="215"/>
      <c r="M49" s="215"/>
      <c r="N49" s="215"/>
      <c r="O49" s="215"/>
      <c r="P49" s="216">
        <f>SUM(compras_mes2[[#This Row],[NETO GRAVADO]:[Otros / No Grav.]])</f>
        <v>31093.103799999997</v>
      </c>
      <c r="Q49" s="217" t="str">
        <f>IFERROR(IF(compras_mes2[[#This Row],[CUIT]]="","-",VLOOKUP(compras_mes2[[#This Row],[CUIT]],Lista_CUIT[#All],3,0)),"CUIT NO CARGADO")</f>
        <v>INSUMO</v>
      </c>
      <c r="R49" s="217">
        <f>IFERROR(IF(compras_mes2[[#This Row],[CUIT]]="","-",VLOOKUP(compras_mes2[[#This Row],[CUIT]],Lista_CUIT[#All],4,0)),"CUIT NO CARGADO")</f>
        <v>0</v>
      </c>
    </row>
    <row r="50" spans="2:18" x14ac:dyDescent="0.25">
      <c r="B50" s="168">
        <v>44964</v>
      </c>
      <c r="C50" s="41">
        <v>1</v>
      </c>
      <c r="D50" s="169">
        <v>2</v>
      </c>
      <c r="E50" s="207">
        <v>7725</v>
      </c>
      <c r="F50" s="170">
        <v>30714331082</v>
      </c>
      <c r="G50" s="171" t="str">
        <f>IFERROR(IF(compras_mes2[[#This Row],[CUIT]]="","-",VLOOKUP(compras_mes2[[#This Row],[CUIT]],Lista_CUIT[#All],2,0)),"CUIT NO CARGADO")</f>
        <v>ORTOPEDIA CASA ESCALADA SRL</v>
      </c>
      <c r="H50" s="172">
        <v>197836.43</v>
      </c>
      <c r="I50" s="173">
        <f>IF(compras_mes2[[#This Row],[NETO GRAVADO]]="","",compras_mes2[[#This Row],[NETO GRAVADO]]*0.21)</f>
        <v>41545.650299999994</v>
      </c>
      <c r="J50" s="173"/>
      <c r="K50" s="173"/>
      <c r="L50" s="173"/>
      <c r="M50" s="173"/>
      <c r="N50" s="173"/>
      <c r="O50" s="173"/>
      <c r="P50" s="174">
        <f>SUM(compras_mes2[[#This Row],[NETO GRAVADO]:[Otros / No Grav.]])</f>
        <v>239382.08029999997</v>
      </c>
      <c r="Q50" s="175" t="str">
        <f>IFERROR(IF(compras_mes2[[#This Row],[CUIT]]="","-",VLOOKUP(compras_mes2[[#This Row],[CUIT]],Lista_CUIT[#All],3,0)),"CUIT NO CARGADO")</f>
        <v>Productos Ortopedicos</v>
      </c>
      <c r="R50" s="175">
        <f>IFERROR(IF(compras_mes2[[#This Row],[CUIT]]="","-",VLOOKUP(compras_mes2[[#This Row],[CUIT]],Lista_CUIT[#All],4,0)),"CUIT NO CARGADO")</f>
        <v>0</v>
      </c>
    </row>
    <row r="51" spans="2:18" x14ac:dyDescent="0.25">
      <c r="B51" s="168">
        <v>44964</v>
      </c>
      <c r="C51" s="41">
        <v>1</v>
      </c>
      <c r="D51" s="169">
        <v>7</v>
      </c>
      <c r="E51" s="207">
        <v>26225</v>
      </c>
      <c r="F51" s="170">
        <v>20271532483</v>
      </c>
      <c r="G51" s="171" t="str">
        <f>IFERROR(IF(compras_mes2[[#This Row],[CUIT]]="","-",VLOOKUP(compras_mes2[[#This Row],[CUIT]],Lista_CUIT[#All],2,0)),"CUIT NO CARGADO")</f>
        <v>DIEGO MARTIN RIOS</v>
      </c>
      <c r="H51" s="172">
        <v>12605.94</v>
      </c>
      <c r="I51" s="173">
        <f>IF(compras_mes2[[#This Row],[NETO GRAVADO]]="","",compras_mes2[[#This Row],[NETO GRAVADO]]*0.21)</f>
        <v>2647.2474000000002</v>
      </c>
      <c r="J51" s="173"/>
      <c r="K51" s="173"/>
      <c r="L51" s="173"/>
      <c r="M51" s="173"/>
      <c r="N51" s="173">
        <v>441.21</v>
      </c>
      <c r="O51" s="173"/>
      <c r="P51" s="174">
        <f>SUM(compras_mes2[[#This Row],[NETO GRAVADO]:[Otros / No Grav.]])</f>
        <v>15694.3974</v>
      </c>
      <c r="Q51" s="175" t="str">
        <f>IFERROR(IF(compras_mes2[[#This Row],[CUIT]]="","-",VLOOKUP(compras_mes2[[#This Row],[CUIT]],Lista_CUIT[#All],3,0)),"CUIT NO CARGADO")</f>
        <v>Productos Ortopedicos</v>
      </c>
      <c r="R51" s="175">
        <f>IFERROR(IF(compras_mes2[[#This Row],[CUIT]]="","-",VLOOKUP(compras_mes2[[#This Row],[CUIT]],Lista_CUIT[#All],4,0)),"CUIT NO CARGADO")</f>
        <v>0</v>
      </c>
    </row>
    <row r="52" spans="2:18" x14ac:dyDescent="0.25">
      <c r="B52" s="168">
        <v>44964</v>
      </c>
      <c r="C52" s="41">
        <v>1</v>
      </c>
      <c r="D52" s="169">
        <v>7</v>
      </c>
      <c r="E52" s="207">
        <v>26226</v>
      </c>
      <c r="F52" s="170">
        <v>20271532483</v>
      </c>
      <c r="G52" s="171" t="str">
        <f>IFERROR(IF(compras_mes2[[#This Row],[CUIT]]="","-",VLOOKUP(compras_mes2[[#This Row],[CUIT]],Lista_CUIT[#All],2,0)),"CUIT NO CARGADO")</f>
        <v>DIEGO MARTIN RIOS</v>
      </c>
      <c r="H52" s="172">
        <v>1278718.73</v>
      </c>
      <c r="I52" s="173">
        <f>IF(compras_mes2[[#This Row],[NETO GRAVADO]]="","",compras_mes2[[#This Row],[NETO GRAVADO]]*0.21)</f>
        <v>268530.93329999998</v>
      </c>
      <c r="J52" s="173"/>
      <c r="K52" s="173"/>
      <c r="L52" s="173"/>
      <c r="M52" s="173"/>
      <c r="N52" s="173">
        <v>44755.16</v>
      </c>
      <c r="O52" s="173"/>
      <c r="P52" s="174">
        <f>SUM(compras_mes2[[#This Row],[NETO GRAVADO]:[Otros / No Grav.]])</f>
        <v>1592004.8232999998</v>
      </c>
      <c r="Q52" s="175" t="str">
        <f>IFERROR(IF(compras_mes2[[#This Row],[CUIT]]="","-",VLOOKUP(compras_mes2[[#This Row],[CUIT]],Lista_CUIT[#All],3,0)),"CUIT NO CARGADO")</f>
        <v>Productos Ortopedicos</v>
      </c>
      <c r="R52" s="175">
        <f>IFERROR(IF(compras_mes2[[#This Row],[CUIT]]="","-",VLOOKUP(compras_mes2[[#This Row],[CUIT]],Lista_CUIT[#All],4,0)),"CUIT NO CARGADO")</f>
        <v>0</v>
      </c>
    </row>
    <row r="53" spans="2:18" x14ac:dyDescent="0.25">
      <c r="B53" s="168">
        <v>44964</v>
      </c>
      <c r="C53" s="41">
        <v>1</v>
      </c>
      <c r="D53" s="169">
        <v>7</v>
      </c>
      <c r="E53" s="207">
        <v>26229</v>
      </c>
      <c r="F53" s="170">
        <v>20271532483</v>
      </c>
      <c r="G53" s="171" t="str">
        <f>IFERROR(IF(compras_mes2[[#This Row],[CUIT]]="","-",VLOOKUP(compras_mes2[[#This Row],[CUIT]],Lista_CUIT[#All],2,0)),"CUIT NO CARGADO")</f>
        <v>DIEGO MARTIN RIOS</v>
      </c>
      <c r="H53" s="172">
        <v>539467.79</v>
      </c>
      <c r="I53" s="173">
        <f>IF(compras_mes2[[#This Row],[NETO GRAVADO]]="","",compras_mes2[[#This Row],[NETO GRAVADO]]*0.21)</f>
        <v>113288.2359</v>
      </c>
      <c r="J53" s="173"/>
      <c r="K53" s="173"/>
      <c r="L53" s="173"/>
      <c r="M53" s="173"/>
      <c r="N53" s="173">
        <v>18881.37</v>
      </c>
      <c r="O53" s="173"/>
      <c r="P53" s="174">
        <f>SUM(compras_mes2[[#This Row],[NETO GRAVADO]:[Otros / No Grav.]])</f>
        <v>671637.3959</v>
      </c>
      <c r="Q53" s="175" t="str">
        <f>IFERROR(IF(compras_mes2[[#This Row],[CUIT]]="","-",VLOOKUP(compras_mes2[[#This Row],[CUIT]],Lista_CUIT[#All],3,0)),"CUIT NO CARGADO")</f>
        <v>Productos Ortopedicos</v>
      </c>
      <c r="R53" s="175">
        <f>IFERROR(IF(compras_mes2[[#This Row],[CUIT]]="","-",VLOOKUP(compras_mes2[[#This Row],[CUIT]],Lista_CUIT[#All],4,0)),"CUIT NO CARGADO")</f>
        <v>0</v>
      </c>
    </row>
    <row r="54" spans="2:18" x14ac:dyDescent="0.25">
      <c r="B54" s="208">
        <v>44964</v>
      </c>
      <c r="C54" s="209">
        <v>1</v>
      </c>
      <c r="D54" s="210">
        <v>5</v>
      </c>
      <c r="E54" s="211">
        <v>138959</v>
      </c>
      <c r="F54" s="212">
        <v>30598960093</v>
      </c>
      <c r="G54" s="213" t="str">
        <f>IFERROR(IF(compras_mes2[[#This Row],[CUIT]]="","-",VLOOKUP(compras_mes2[[#This Row],[CUIT]],Lista_CUIT[#All],2,0)),"CUIT NO CARGADO")</f>
        <v>SILVESTRIN FABRIS SRL</v>
      </c>
      <c r="H54" s="214">
        <v>38332.199999999997</v>
      </c>
      <c r="I54" s="215">
        <f>IF(compras_mes2[[#This Row],[NETO GRAVADO]]="","",compras_mes2[[#This Row],[NETO GRAVADO]]*0.21)</f>
        <v>8049.7619999999988</v>
      </c>
      <c r="J54" s="215"/>
      <c r="K54" s="215"/>
      <c r="L54" s="215"/>
      <c r="M54" s="215"/>
      <c r="N54" s="215">
        <v>1341.63</v>
      </c>
      <c r="O54" s="215"/>
      <c r="P54" s="216">
        <f>SUM(compras_mes2[[#This Row],[NETO GRAVADO]:[Otros / No Grav.]])</f>
        <v>47723.591999999997</v>
      </c>
      <c r="Q54" s="217" t="str">
        <f>IFERROR(IF(compras_mes2[[#This Row],[CUIT]]="","-",VLOOKUP(compras_mes2[[#This Row],[CUIT]],Lista_CUIT[#All],3,0)),"CUIT NO CARGADO")</f>
        <v>Productos Ortopedicos</v>
      </c>
      <c r="R54" s="217">
        <f>IFERROR(IF(compras_mes2[[#This Row],[CUIT]]="","-",VLOOKUP(compras_mes2[[#This Row],[CUIT]],Lista_CUIT[#All],4,0)),"CUIT NO CARGADO")</f>
        <v>0</v>
      </c>
    </row>
    <row r="55" spans="2:18" x14ac:dyDescent="0.25">
      <c r="B55" s="168">
        <v>44964</v>
      </c>
      <c r="C55" s="41">
        <v>1</v>
      </c>
      <c r="D55" s="169">
        <v>11</v>
      </c>
      <c r="E55" s="207">
        <v>1515329</v>
      </c>
      <c r="F55" s="170">
        <v>30709776564</v>
      </c>
      <c r="G55" s="171" t="str">
        <f>IFERROR(IF(compras_mes2[[#This Row],[CUIT]]="","-",VLOOKUP(compras_mes2[[#This Row],[CUIT]],Lista_CUIT[#All],2,0)),"CUIT NO CARGADO")</f>
        <v>PROSEGUR ACTIVA ARG SA</v>
      </c>
      <c r="H55" s="172">
        <v>12798.05</v>
      </c>
      <c r="I55" s="173">
        <f>IF(compras_mes2[[#This Row],[NETO GRAVADO]]="","",compras_mes2[[#This Row],[NETO GRAVADO]]*0.21)</f>
        <v>2687.5904999999998</v>
      </c>
      <c r="J55" s="173"/>
      <c r="K55" s="173"/>
      <c r="L55" s="173"/>
      <c r="M55" s="173"/>
      <c r="N55" s="173">
        <v>447.93</v>
      </c>
      <c r="O55" s="173"/>
      <c r="P55" s="174">
        <f>SUM(compras_mes2[[#This Row],[NETO GRAVADO]:[Otros / No Grav.]])</f>
        <v>15933.5705</v>
      </c>
      <c r="Q55" s="175" t="str">
        <f>IFERROR(IF(compras_mes2[[#This Row],[CUIT]]="","-",VLOOKUP(compras_mes2[[#This Row],[CUIT]],Lista_CUIT[#All],3,0)),"CUIT NO CARGADO")</f>
        <v>SEGURIDAD</v>
      </c>
      <c r="R55" s="175">
        <f>IFERROR(IF(compras_mes2[[#This Row],[CUIT]]="","-",VLOOKUP(compras_mes2[[#This Row],[CUIT]],Lista_CUIT[#All],4,0)),"CUIT NO CARGADO")</f>
        <v>0</v>
      </c>
    </row>
    <row r="56" spans="2:18" x14ac:dyDescent="0.25">
      <c r="B56" s="168">
        <v>44965</v>
      </c>
      <c r="C56" s="201">
        <v>1</v>
      </c>
      <c r="D56" s="169">
        <v>6</v>
      </c>
      <c r="E56" s="207">
        <v>822</v>
      </c>
      <c r="F56" s="170">
        <v>30716815710</v>
      </c>
      <c r="G56" s="171" t="str">
        <f>IFERROR(IF(compras_mes2[[#This Row],[CUIT]]="","-",VLOOKUP(compras_mes2[[#This Row],[CUIT]],Lista_CUIT[#All],2,0)),"CUIT NO CARGADO")</f>
        <v>PAPELERA GEOPEL SRL</v>
      </c>
      <c r="H56" s="172">
        <v>10450</v>
      </c>
      <c r="I56" s="173">
        <f>IF(compras_mes2[[#This Row],[NETO GRAVADO]]="","",compras_mes2[[#This Row],[NETO GRAVADO]]*0.21)</f>
        <v>2194.5</v>
      </c>
      <c r="J56" s="173"/>
      <c r="K56" s="173"/>
      <c r="L56" s="173"/>
      <c r="M56" s="173"/>
      <c r="N56" s="173"/>
      <c r="O56" s="173"/>
      <c r="P56" s="174">
        <f>SUM(compras_mes2[[#This Row],[NETO GRAVADO]:[Otros / No Grav.]])</f>
        <v>12644.5</v>
      </c>
      <c r="Q56" s="175" t="str">
        <f>IFERROR(IF(compras_mes2[[#This Row],[CUIT]]="","-",VLOOKUP(compras_mes2[[#This Row],[CUIT]],Lista_CUIT[#All],3,0)),"CUIT NO CARGADO")</f>
        <v>PAPELERIA</v>
      </c>
      <c r="R56" s="175">
        <f>IFERROR(IF(compras_mes2[[#This Row],[CUIT]]="","-",VLOOKUP(compras_mes2[[#This Row],[CUIT]],Lista_CUIT[#All],4,0)),"CUIT NO CARGADO")</f>
        <v>0</v>
      </c>
    </row>
    <row r="57" spans="2:18" x14ac:dyDescent="0.25">
      <c r="B57" s="208">
        <v>44965</v>
      </c>
      <c r="C57" s="209">
        <v>1</v>
      </c>
      <c r="D57" s="210">
        <v>120</v>
      </c>
      <c r="E57" s="211">
        <v>2124</v>
      </c>
      <c r="F57" s="212">
        <v>30587197215</v>
      </c>
      <c r="G57" s="213" t="str">
        <f>IFERROR(IF(compras_mes2[[#This Row],[CUIT]]="","-",VLOOKUP(compras_mes2[[#This Row],[CUIT]],Lista_CUIT[#All],2,0)),"CUIT NO CARGADO")</f>
        <v>PANATEL SOCIEDAD ANONIMA</v>
      </c>
      <c r="H57" s="214">
        <v>9504.1299999999992</v>
      </c>
      <c r="I57" s="215">
        <f>IF(compras_mes2[[#This Row],[NETO GRAVADO]]="","",compras_mes2[[#This Row],[NETO GRAVADO]]*0.21)</f>
        <v>1995.8672999999997</v>
      </c>
      <c r="J57" s="215"/>
      <c r="K57" s="215"/>
      <c r="L57" s="215"/>
      <c r="M57" s="215"/>
      <c r="N57" s="215">
        <v>332.64</v>
      </c>
      <c r="O57" s="215"/>
      <c r="P57" s="216">
        <f>SUM(compras_mes2[[#This Row],[NETO GRAVADO]:[Otros / No Grav.]])</f>
        <v>11832.637299999999</v>
      </c>
      <c r="Q57" s="217" t="str">
        <f>IFERROR(IF(compras_mes2[[#This Row],[CUIT]]="","-",VLOOKUP(compras_mes2[[#This Row],[CUIT]],Lista_CUIT[#All],3,0)),"CUIT NO CARGADO")</f>
        <v>Gastos Varios</v>
      </c>
      <c r="R57" s="217">
        <f>IFERROR(IF(compras_mes2[[#This Row],[CUIT]]="","-",VLOOKUP(compras_mes2[[#This Row],[CUIT]],Lista_CUIT[#All],4,0)),"CUIT NO CARGADO")</f>
        <v>0</v>
      </c>
    </row>
    <row r="58" spans="2:18" x14ac:dyDescent="0.25">
      <c r="B58" s="168">
        <v>44965</v>
      </c>
      <c r="C58" s="41">
        <v>1</v>
      </c>
      <c r="D58" s="169">
        <v>3</v>
      </c>
      <c r="E58" s="207">
        <v>5359</v>
      </c>
      <c r="F58" s="170">
        <v>33708218699</v>
      </c>
      <c r="G58" s="171" t="str">
        <f>IFERROR(IF(compras_mes2[[#This Row],[CUIT]]="","-",VLOOKUP(compras_mes2[[#This Row],[CUIT]],Lista_CUIT[#All],2,0)),"CUIT NO CARGADO")</f>
        <v>MANGGINI PABLO Y MANGGINI ULISES SOC. DE HECHO.</v>
      </c>
      <c r="H58" s="172">
        <v>3500</v>
      </c>
      <c r="I58" s="173">
        <f>IF(compras_mes2[[#This Row],[NETO GRAVADO]]="","",compras_mes2[[#This Row],[NETO GRAVADO]]*0.21)</f>
        <v>735</v>
      </c>
      <c r="J58" s="173"/>
      <c r="K58" s="173"/>
      <c r="L58" s="173"/>
      <c r="M58" s="173"/>
      <c r="N58" s="173"/>
      <c r="O58" s="173"/>
      <c r="P58" s="174">
        <f>SUM(compras_mes2[[#This Row],[NETO GRAVADO]:[Otros / No Grav.]])</f>
        <v>4235</v>
      </c>
      <c r="Q58" s="175" t="str">
        <f>IFERROR(IF(compras_mes2[[#This Row],[CUIT]]="","-",VLOOKUP(compras_mes2[[#This Row],[CUIT]],Lista_CUIT[#All],3,0)),"CUIT NO CARGADO")</f>
        <v>Gastos Varios</v>
      </c>
      <c r="R58" s="175">
        <f>IFERROR(IF(compras_mes2[[#This Row],[CUIT]]="","-",VLOOKUP(compras_mes2[[#This Row],[CUIT]],Lista_CUIT[#All],4,0)),"CUIT NO CARGADO")</f>
        <v>0</v>
      </c>
    </row>
    <row r="59" spans="2:18" x14ac:dyDescent="0.25">
      <c r="B59" s="208">
        <v>44965</v>
      </c>
      <c r="C59" s="209">
        <v>1</v>
      </c>
      <c r="D59" s="210">
        <v>31</v>
      </c>
      <c r="E59" s="211">
        <v>12098</v>
      </c>
      <c r="F59" s="212">
        <v>30708375582</v>
      </c>
      <c r="G59" s="213" t="str">
        <f>IFERROR(IF(compras_mes2[[#This Row],[CUIT]]="","-",VLOOKUP(compras_mes2[[#This Row],[CUIT]],Lista_CUIT[#All],2,0)),"CUIT NO CARGADO")</f>
        <v>TRANSPORTES E.G. S.R.L.</v>
      </c>
      <c r="H59" s="214">
        <v>6702.48</v>
      </c>
      <c r="I59" s="215">
        <f>IF(compras_mes2[[#This Row],[NETO GRAVADO]]="","",compras_mes2[[#This Row],[NETO GRAVADO]]*0.21)</f>
        <v>1407.5207999999998</v>
      </c>
      <c r="J59" s="215"/>
      <c r="K59" s="215"/>
      <c r="L59" s="215"/>
      <c r="M59" s="215"/>
      <c r="N59" s="215"/>
      <c r="O59" s="215"/>
      <c r="P59" s="216">
        <f>SUM(compras_mes2[[#This Row],[NETO GRAVADO]:[Otros / No Grav.]])</f>
        <v>8110.0007999999998</v>
      </c>
      <c r="Q59" s="217" t="str">
        <f>IFERROR(IF(compras_mes2[[#This Row],[CUIT]]="","-",VLOOKUP(compras_mes2[[#This Row],[CUIT]],Lista_CUIT[#All],3,0)),"CUIT NO CARGADO")</f>
        <v>FLETE</v>
      </c>
      <c r="R59" s="217">
        <f>IFERROR(IF(compras_mes2[[#This Row],[CUIT]]="","-",VLOOKUP(compras_mes2[[#This Row],[CUIT]],Lista_CUIT[#All],4,0)),"CUIT NO CARGADO")</f>
        <v>0</v>
      </c>
    </row>
    <row r="60" spans="2:18" x14ac:dyDescent="0.25">
      <c r="B60" s="168">
        <v>44966</v>
      </c>
      <c r="C60" s="41">
        <v>1</v>
      </c>
      <c r="D60" s="169">
        <v>5</v>
      </c>
      <c r="E60" s="207">
        <v>359</v>
      </c>
      <c r="F60" s="170">
        <v>20242126158</v>
      </c>
      <c r="G60" s="171" t="str">
        <f>IFERROR(IF(compras_mes2[[#This Row],[CUIT]]="","-",VLOOKUP(compras_mes2[[#This Row],[CUIT]],Lista_CUIT[#All],2,0)),"CUIT NO CARGADO")</f>
        <v>IALLONARDO SERGIO</v>
      </c>
      <c r="H60" s="172">
        <v>326491.25</v>
      </c>
      <c r="I60" s="173"/>
      <c r="J60" s="173"/>
      <c r="K60" s="173">
        <v>34281.58</v>
      </c>
      <c r="L60" s="173"/>
      <c r="M60" s="173"/>
      <c r="N60" s="173"/>
      <c r="O60" s="173"/>
      <c r="P60" s="174">
        <f>SUM(compras_mes2[[#This Row],[NETO GRAVADO]:[Otros / No Grav.]])</f>
        <v>360772.83</v>
      </c>
      <c r="Q60" s="175" t="str">
        <f>IFERROR(IF(compras_mes2[[#This Row],[CUIT]]="","-",VLOOKUP(compras_mes2[[#This Row],[CUIT]],Lista_CUIT[#All],3,0)),"CUIT NO CARGADO")</f>
        <v>PROD ORTOP P/ALQ</v>
      </c>
      <c r="R60" s="175">
        <f>IFERROR(IF(compras_mes2[[#This Row],[CUIT]]="","-",VLOOKUP(compras_mes2[[#This Row],[CUIT]],Lista_CUIT[#All],4,0)),"CUIT NO CARGADO")</f>
        <v>0</v>
      </c>
    </row>
    <row r="61" spans="2:18" x14ac:dyDescent="0.25">
      <c r="B61" s="208">
        <v>44966</v>
      </c>
      <c r="C61" s="218">
        <v>1</v>
      </c>
      <c r="D61" s="210">
        <v>6</v>
      </c>
      <c r="E61" s="211">
        <v>827</v>
      </c>
      <c r="F61" s="212">
        <v>30716815710</v>
      </c>
      <c r="G61" s="213" t="str">
        <f>IFERROR(IF(compras_mes2[[#This Row],[CUIT]]="","-",VLOOKUP(compras_mes2[[#This Row],[CUIT]],Lista_CUIT[#All],2,0)),"CUIT NO CARGADO")</f>
        <v>PAPELERA GEOPEL SRL</v>
      </c>
      <c r="H61" s="214">
        <v>1360</v>
      </c>
      <c r="I61" s="215">
        <f>IF(compras_mes2[[#This Row],[NETO GRAVADO]]="","",compras_mes2[[#This Row],[NETO GRAVADO]]*0.21)</f>
        <v>285.59999999999997</v>
      </c>
      <c r="J61" s="215"/>
      <c r="K61" s="215"/>
      <c r="L61" s="215"/>
      <c r="M61" s="215"/>
      <c r="N61" s="215"/>
      <c r="O61" s="215"/>
      <c r="P61" s="216">
        <f>SUM(compras_mes2[[#This Row],[NETO GRAVADO]:[Otros / No Grav.]])</f>
        <v>1645.6</v>
      </c>
      <c r="Q61" s="217" t="str">
        <f>IFERROR(IF(compras_mes2[[#This Row],[CUIT]]="","-",VLOOKUP(compras_mes2[[#This Row],[CUIT]],Lista_CUIT[#All],3,0)),"CUIT NO CARGADO")</f>
        <v>PAPELERIA</v>
      </c>
      <c r="R61" s="217">
        <f>IFERROR(IF(compras_mes2[[#This Row],[CUIT]]="","-",VLOOKUP(compras_mes2[[#This Row],[CUIT]],Lista_CUIT[#All],4,0)),"CUIT NO CARGADO")</f>
        <v>0</v>
      </c>
    </row>
    <row r="62" spans="2:18" x14ac:dyDescent="0.25">
      <c r="B62" s="168">
        <v>44966</v>
      </c>
      <c r="C62" s="41">
        <v>1</v>
      </c>
      <c r="D62" s="169">
        <v>3</v>
      </c>
      <c r="E62" s="207">
        <v>7567</v>
      </c>
      <c r="F62" s="170">
        <v>20045615473</v>
      </c>
      <c r="G62" s="171" t="str">
        <f>IFERROR(IF(compras_mes2[[#This Row],[CUIT]]="","-",VLOOKUP(compras_mes2[[#This Row],[CUIT]],Lista_CUIT[#All],2,0)),"CUIT NO CARGADO")</f>
        <v xml:space="preserve">DI FEO HUGO PASCUAL </v>
      </c>
      <c r="H62" s="172">
        <v>86690</v>
      </c>
      <c r="I62" s="173">
        <f>IF(compras_mes2[[#This Row],[NETO GRAVADO]]="","",compras_mes2[[#This Row],[NETO GRAVADO]]*0.21)</f>
        <v>18204.899999999998</v>
      </c>
      <c r="J62" s="173"/>
      <c r="K62" s="173"/>
      <c r="L62" s="173"/>
      <c r="M62" s="173"/>
      <c r="N62" s="173"/>
      <c r="O62" s="173"/>
      <c r="P62" s="174">
        <f>SUM(compras_mes2[[#This Row],[NETO GRAVADO]:[Otros / No Grav.]])</f>
        <v>104894.9</v>
      </c>
      <c r="Q62" s="175" t="str">
        <f>IFERROR(IF(compras_mes2[[#This Row],[CUIT]]="","-",VLOOKUP(compras_mes2[[#This Row],[CUIT]],Lista_CUIT[#All],3,0)),"CUIT NO CARGADO")</f>
        <v>Productos Ortopedicos</v>
      </c>
      <c r="R62" s="175">
        <f>IFERROR(IF(compras_mes2[[#This Row],[CUIT]]="","-",VLOOKUP(compras_mes2[[#This Row],[CUIT]],Lista_CUIT[#All],4,0)),"CUIT NO CARGADO")</f>
        <v>0</v>
      </c>
    </row>
    <row r="63" spans="2:18" x14ac:dyDescent="0.25">
      <c r="B63" s="208">
        <v>44966</v>
      </c>
      <c r="C63" s="209">
        <v>1</v>
      </c>
      <c r="D63" s="210">
        <v>2019</v>
      </c>
      <c r="E63" s="211">
        <v>113755</v>
      </c>
      <c r="F63" s="212">
        <v>30516186670</v>
      </c>
      <c r="G63" s="213" t="str">
        <f>IFERROR(IF(compras_mes2[[#This Row],[CUIT]]="","-",VLOOKUP(compras_mes2[[#This Row],[CUIT]],Lista_CUIT[#All],2,0)),"CUIT NO CARGADO")</f>
        <v>DEHEZA SAICF E I</v>
      </c>
      <c r="H63" s="214">
        <v>12394.22</v>
      </c>
      <c r="I63" s="215">
        <f>IF(compras_mes2[[#This Row],[NETO GRAVADO]]="","",compras_mes2[[#This Row],[NETO GRAVADO]]*0.21)</f>
        <v>2602.7861999999996</v>
      </c>
      <c r="J63" s="215"/>
      <c r="K63" s="215"/>
      <c r="L63" s="225"/>
      <c r="M63" s="215">
        <v>371.83</v>
      </c>
      <c r="N63" s="215">
        <v>472.47</v>
      </c>
      <c r="O63" s="215">
        <v>1104.8499999999999</v>
      </c>
      <c r="P63" s="216">
        <f>SUM(compras_mes2[[#This Row],[NETO GRAVADO]:[Otros / No Grav.]])</f>
        <v>16946.156199999998</v>
      </c>
      <c r="Q63" s="217" t="str">
        <f>IFERROR(IF(compras_mes2[[#This Row],[CUIT]]="","-",VLOOKUP(compras_mes2[[#This Row],[CUIT]],Lista_CUIT[#All],3,0)),"CUIT NO CARGADO")</f>
        <v>COMBUSTIBLE</v>
      </c>
      <c r="R63" s="217">
        <f>IFERROR(IF(compras_mes2[[#This Row],[CUIT]]="","-",VLOOKUP(compras_mes2[[#This Row],[CUIT]],Lista_CUIT[#All],4,0)),"CUIT NO CARGADO")</f>
        <v>0</v>
      </c>
    </row>
    <row r="64" spans="2:18" x14ac:dyDescent="0.25">
      <c r="B64" s="168">
        <v>44966</v>
      </c>
      <c r="C64" s="41">
        <v>1</v>
      </c>
      <c r="D64" s="169">
        <v>948</v>
      </c>
      <c r="E64" s="207">
        <v>894846</v>
      </c>
      <c r="F64" s="170">
        <v>30639453975</v>
      </c>
      <c r="G64" s="171" t="str">
        <f>IFERROR(IF(compras_mes2[[#This Row],[CUIT]]="","-",VLOOKUP(compras_mes2[[#This Row],[CUIT]],Lista_CUIT[#All],2,0)),"CUIT NO CARGADO")</f>
        <v>TELEFONICA ARG SA</v>
      </c>
      <c r="H64" s="172">
        <v>10239.08</v>
      </c>
      <c r="I64" s="173"/>
      <c r="J64" s="173">
        <v>2764.55</v>
      </c>
      <c r="K64" s="173"/>
      <c r="L64" s="173">
        <v>307.17</v>
      </c>
      <c r="M64" s="173"/>
      <c r="N64" s="173">
        <v>358.37</v>
      </c>
      <c r="O64" s="173"/>
      <c r="P64" s="174">
        <f>SUM(compras_mes2[[#This Row],[NETO GRAVADO]:[Otros / No Grav.]])</f>
        <v>13669.170000000002</v>
      </c>
      <c r="Q64" s="175" t="str">
        <f>IFERROR(IF(compras_mes2[[#This Row],[CUIT]]="","-",VLOOKUP(compras_mes2[[#This Row],[CUIT]],Lista_CUIT[#All],3,0)),"CUIT NO CARGADO")</f>
        <v>TELEFONIA</v>
      </c>
      <c r="R64" s="175">
        <f>IFERROR(IF(compras_mes2[[#This Row],[CUIT]]="","-",VLOOKUP(compras_mes2[[#This Row],[CUIT]],Lista_CUIT[#All],4,0)),"CUIT NO CARGADO")</f>
        <v>0</v>
      </c>
    </row>
    <row r="65" spans="2:18" x14ac:dyDescent="0.25">
      <c r="B65" s="168">
        <v>44967</v>
      </c>
      <c r="C65" s="41">
        <v>1</v>
      </c>
      <c r="D65" s="169">
        <v>17</v>
      </c>
      <c r="E65" s="207">
        <v>757</v>
      </c>
      <c r="F65" s="170">
        <v>30711764921</v>
      </c>
      <c r="G65" s="171" t="str">
        <f>IFERROR(IF(compras_mes2[[#This Row],[CUIT]]="","-",VLOOKUP(compras_mes2[[#This Row],[CUIT]],Lista_CUIT[#All],2,0)),"CUIT NO CARGADO")</f>
        <v>RELIEF CENTER SRL</v>
      </c>
      <c r="H65" s="172">
        <v>32703</v>
      </c>
      <c r="I65" s="173">
        <f>IF(compras_mes2[[#This Row],[NETO GRAVADO]]="","",compras_mes2[[#This Row],[NETO GRAVADO]]*0.21)</f>
        <v>6867.63</v>
      </c>
      <c r="J65" s="173"/>
      <c r="K65" s="173"/>
      <c r="L65" s="173"/>
      <c r="M65" s="173"/>
      <c r="N65" s="173"/>
      <c r="O65" s="173"/>
      <c r="P65" s="174">
        <f>SUM(compras_mes2[[#This Row],[NETO GRAVADO]:[Otros / No Grav.]])</f>
        <v>39570.629999999997</v>
      </c>
      <c r="Q65" s="175" t="str">
        <f>IFERROR(IF(compras_mes2[[#This Row],[CUIT]]="","-",VLOOKUP(compras_mes2[[#This Row],[CUIT]],Lista_CUIT[#All],3,0)),"CUIT NO CARGADO")</f>
        <v>Productos Ortopedicos</v>
      </c>
      <c r="R65" s="175">
        <f>IFERROR(IF(compras_mes2[[#This Row],[CUIT]]="","-",VLOOKUP(compras_mes2[[#This Row],[CUIT]],Lista_CUIT[#All],4,0)),"CUIT NO CARGADO")</f>
        <v>0</v>
      </c>
    </row>
    <row r="66" spans="2:18" x14ac:dyDescent="0.25">
      <c r="B66" s="168">
        <v>44967</v>
      </c>
      <c r="C66" s="41">
        <v>1</v>
      </c>
      <c r="D66" s="169">
        <v>3</v>
      </c>
      <c r="E66" s="207">
        <v>7569</v>
      </c>
      <c r="F66" s="170">
        <v>20045615473</v>
      </c>
      <c r="G66" s="171" t="str">
        <f>IFERROR(IF(compras_mes2[[#This Row],[CUIT]]="","-",VLOOKUP(compras_mes2[[#This Row],[CUIT]],Lista_CUIT[#All],2,0)),"CUIT NO CARGADO")</f>
        <v xml:space="preserve">DI FEO HUGO PASCUAL </v>
      </c>
      <c r="H66" s="172">
        <v>2340</v>
      </c>
      <c r="I66" s="173">
        <f>IF(compras_mes2[[#This Row],[NETO GRAVADO]]="","",compras_mes2[[#This Row],[NETO GRAVADO]]*0.21)</f>
        <v>491.4</v>
      </c>
      <c r="J66" s="173"/>
      <c r="K66" s="173"/>
      <c r="L66" s="173"/>
      <c r="M66" s="173"/>
      <c r="N66" s="173"/>
      <c r="O66" s="173"/>
      <c r="P66" s="174">
        <f>SUM(compras_mes2[[#This Row],[NETO GRAVADO]:[Otros / No Grav.]])</f>
        <v>2831.4</v>
      </c>
      <c r="Q66" s="175" t="str">
        <f>IFERROR(IF(compras_mes2[[#This Row],[CUIT]]="","-",VLOOKUP(compras_mes2[[#This Row],[CUIT]],Lista_CUIT[#All],3,0)),"CUIT NO CARGADO")</f>
        <v>Productos Ortopedicos</v>
      </c>
      <c r="R66" s="175">
        <f>IFERROR(IF(compras_mes2[[#This Row],[CUIT]]="","-",VLOOKUP(compras_mes2[[#This Row],[CUIT]],Lista_CUIT[#All],4,0)),"CUIT NO CARGADO")</f>
        <v>0</v>
      </c>
    </row>
    <row r="67" spans="2:18" x14ac:dyDescent="0.25">
      <c r="B67" s="168">
        <v>44970</v>
      </c>
      <c r="C67" s="41">
        <v>1</v>
      </c>
      <c r="D67" s="169">
        <v>3</v>
      </c>
      <c r="E67" s="207">
        <v>44</v>
      </c>
      <c r="F67" s="170">
        <v>20334976433</v>
      </c>
      <c r="G67" s="171" t="str">
        <f>IFERROR(IF(compras_mes2[[#This Row],[CUIT]]="","-",VLOOKUP(compras_mes2[[#This Row],[CUIT]],Lista_CUIT[#All],2,0)),"CUIT NO CARGADO")</f>
        <v>NARDOMARINO EZEQUIEL EDUARDO</v>
      </c>
      <c r="H67" s="172">
        <v>75826.429999999993</v>
      </c>
      <c r="I67" s="173">
        <f>IF(compras_mes2[[#This Row],[NETO GRAVADO]]="","",compras_mes2[[#This Row],[NETO GRAVADO]]*0.21)</f>
        <v>15923.550299999997</v>
      </c>
      <c r="J67" s="173"/>
      <c r="K67" s="173"/>
      <c r="L67" s="173"/>
      <c r="M67" s="173"/>
      <c r="N67" s="173"/>
      <c r="O67" s="173"/>
      <c r="P67" s="174">
        <f>SUM(compras_mes2[[#This Row],[NETO GRAVADO]:[Otros / No Grav.]])</f>
        <v>91749.980299999996</v>
      </c>
      <c r="Q67" s="175" t="str">
        <f>IFERROR(IF(compras_mes2[[#This Row],[CUIT]]="","-",VLOOKUP(compras_mes2[[#This Row],[CUIT]],Lista_CUIT[#All],3,0)),"CUIT NO CARGADO")</f>
        <v>FLETE</v>
      </c>
      <c r="R67" s="175">
        <f>IFERROR(IF(compras_mes2[[#This Row],[CUIT]]="","-",VLOOKUP(compras_mes2[[#This Row],[CUIT]],Lista_CUIT[#All],4,0)),"CUIT NO CARGADO")</f>
        <v>0</v>
      </c>
    </row>
    <row r="68" spans="2:18" x14ac:dyDescent="0.25">
      <c r="B68" s="208">
        <v>44970</v>
      </c>
      <c r="C68" s="209">
        <v>1</v>
      </c>
      <c r="D68" s="210">
        <v>5</v>
      </c>
      <c r="E68" s="211">
        <v>1098</v>
      </c>
      <c r="F68" s="212">
        <v>30712187316</v>
      </c>
      <c r="G68" s="213" t="str">
        <f>IFERROR(IF(compras_mes2[[#This Row],[CUIT]]="","-",VLOOKUP(compras_mes2[[#This Row],[CUIT]],Lista_CUIT[#All],2,0)),"CUIT NO CARGADO")</f>
        <v>ITALOMED PRODUCTOS SRL</v>
      </c>
      <c r="H68" s="214">
        <v>40057.949999999997</v>
      </c>
      <c r="I68" s="215">
        <f>IF(compras_mes2[[#This Row],[NETO GRAVADO]]="","",compras_mes2[[#This Row],[NETO GRAVADO]]*0.21)</f>
        <v>8412.1695</v>
      </c>
      <c r="J68" s="215"/>
      <c r="K68" s="215"/>
      <c r="L68" s="215"/>
      <c r="M68" s="215"/>
      <c r="N68" s="215"/>
      <c r="O68" s="215"/>
      <c r="P68" s="216">
        <f>SUM(compras_mes2[[#This Row],[NETO GRAVADO]:[Otros / No Grav.]])</f>
        <v>48470.119500000001</v>
      </c>
      <c r="Q68" s="217" t="str">
        <f>IFERROR(IF(compras_mes2[[#This Row],[CUIT]]="","-",VLOOKUP(compras_mes2[[#This Row],[CUIT]],Lista_CUIT[#All],3,0)),"CUIT NO CARGADO")</f>
        <v>Productos Ortopedicos</v>
      </c>
      <c r="R68" s="217">
        <f>IFERROR(IF(compras_mes2[[#This Row],[CUIT]]="","-",VLOOKUP(compras_mes2[[#This Row],[CUIT]],Lista_CUIT[#All],4,0)),"CUIT NO CARGADO")</f>
        <v>0</v>
      </c>
    </row>
    <row r="69" spans="2:18" x14ac:dyDescent="0.25">
      <c r="B69" s="208">
        <v>44970</v>
      </c>
      <c r="C69" s="209">
        <v>1</v>
      </c>
      <c r="D69" s="210">
        <v>5</v>
      </c>
      <c r="E69" s="211">
        <v>1099</v>
      </c>
      <c r="F69" s="212">
        <v>30712187316</v>
      </c>
      <c r="G69" s="213" t="str">
        <f>IFERROR(IF(compras_mes2[[#This Row],[CUIT]]="","-",VLOOKUP(compras_mes2[[#This Row],[CUIT]],Lista_CUIT[#All],2,0)),"CUIT NO CARGADO")</f>
        <v>ITALOMED PRODUCTOS SRL</v>
      </c>
      <c r="H69" s="214">
        <v>46362.8</v>
      </c>
      <c r="I69" s="215">
        <f>IF(compras_mes2[[#This Row],[NETO GRAVADO]]="","",compras_mes2[[#This Row],[NETO GRAVADO]]*0.21)</f>
        <v>9736.1880000000001</v>
      </c>
      <c r="J69" s="215"/>
      <c r="K69" s="215"/>
      <c r="L69" s="215"/>
      <c r="M69" s="215"/>
      <c r="N69" s="215"/>
      <c r="O69" s="215"/>
      <c r="P69" s="216">
        <f>SUM(compras_mes2[[#This Row],[NETO GRAVADO]:[Otros / No Grav.]])</f>
        <v>56098.988000000005</v>
      </c>
      <c r="Q69" s="217" t="str">
        <f>IFERROR(IF(compras_mes2[[#This Row],[CUIT]]="","-",VLOOKUP(compras_mes2[[#This Row],[CUIT]],Lista_CUIT[#All],3,0)),"CUIT NO CARGADO")</f>
        <v>Productos Ortopedicos</v>
      </c>
      <c r="R69" s="217">
        <f>IFERROR(IF(compras_mes2[[#This Row],[CUIT]]="","-",VLOOKUP(compras_mes2[[#This Row],[CUIT]],Lista_CUIT[#All],4,0)),"CUIT NO CARGADO")</f>
        <v>0</v>
      </c>
    </row>
    <row r="70" spans="2:18" x14ac:dyDescent="0.25">
      <c r="B70" s="208">
        <v>44970</v>
      </c>
      <c r="C70" s="209">
        <v>1</v>
      </c>
      <c r="D70" s="210">
        <v>5</v>
      </c>
      <c r="E70" s="211">
        <v>1100</v>
      </c>
      <c r="F70" s="212">
        <v>30712187316</v>
      </c>
      <c r="G70" s="213" t="str">
        <f>IFERROR(IF(compras_mes2[[#This Row],[CUIT]]="","-",VLOOKUP(compras_mes2[[#This Row],[CUIT]],Lista_CUIT[#All],2,0)),"CUIT NO CARGADO")</f>
        <v>ITALOMED PRODUCTOS SRL</v>
      </c>
      <c r="H70" s="214">
        <v>39239.64</v>
      </c>
      <c r="I70" s="215">
        <f>IF(compras_mes2[[#This Row],[NETO GRAVADO]]="","",compras_mes2[[#This Row],[NETO GRAVADO]]*0.21)</f>
        <v>8240.3243999999995</v>
      </c>
      <c r="J70" s="215"/>
      <c r="K70" s="215"/>
      <c r="L70" s="215"/>
      <c r="M70" s="215"/>
      <c r="N70" s="215"/>
      <c r="O70" s="215"/>
      <c r="P70" s="216">
        <f>SUM(compras_mes2[[#This Row],[NETO GRAVADO]:[Otros / No Grav.]])</f>
        <v>47479.964399999997</v>
      </c>
      <c r="Q70" s="217" t="str">
        <f>IFERROR(IF(compras_mes2[[#This Row],[CUIT]]="","-",VLOOKUP(compras_mes2[[#This Row],[CUIT]],Lista_CUIT[#All],3,0)),"CUIT NO CARGADO")</f>
        <v>Productos Ortopedicos</v>
      </c>
      <c r="R70" s="217">
        <f>IFERROR(IF(compras_mes2[[#This Row],[CUIT]]="","-",VLOOKUP(compras_mes2[[#This Row],[CUIT]],Lista_CUIT[#All],4,0)),"CUIT NO CARGADO")</f>
        <v>0</v>
      </c>
    </row>
    <row r="71" spans="2:18" x14ac:dyDescent="0.25">
      <c r="B71" s="168">
        <v>44970</v>
      </c>
      <c r="C71" s="41">
        <v>1</v>
      </c>
      <c r="D71" s="169">
        <v>2</v>
      </c>
      <c r="E71" s="207">
        <v>7770</v>
      </c>
      <c r="F71" s="170">
        <v>30714331082</v>
      </c>
      <c r="G71" s="171" t="str">
        <f>IFERROR(IF(compras_mes2[[#This Row],[CUIT]]="","-",VLOOKUP(compras_mes2[[#This Row],[CUIT]],Lista_CUIT[#All],2,0)),"CUIT NO CARGADO")</f>
        <v>ORTOPEDIA CASA ESCALADA SRL</v>
      </c>
      <c r="H71" s="172">
        <v>23963.919999999998</v>
      </c>
      <c r="I71" s="173">
        <f>IF(compras_mes2[[#This Row],[NETO GRAVADO]]="","",compras_mes2[[#This Row],[NETO GRAVADO]]*0.21)</f>
        <v>5032.4231999999993</v>
      </c>
      <c r="J71" s="173"/>
      <c r="K71" s="173"/>
      <c r="L71" s="173"/>
      <c r="M71" s="173"/>
      <c r="N71" s="173"/>
      <c r="O71" s="173"/>
      <c r="P71" s="174">
        <f>SUM(compras_mes2[[#This Row],[NETO GRAVADO]:[Otros / No Grav.]])</f>
        <v>28996.343199999996</v>
      </c>
      <c r="Q71" s="175" t="str">
        <f>IFERROR(IF(compras_mes2[[#This Row],[CUIT]]="","-",VLOOKUP(compras_mes2[[#This Row],[CUIT]],Lista_CUIT[#All],3,0)),"CUIT NO CARGADO")</f>
        <v>Productos Ortopedicos</v>
      </c>
      <c r="R71" s="175">
        <f>IFERROR(IF(compras_mes2[[#This Row],[CUIT]]="","-",VLOOKUP(compras_mes2[[#This Row],[CUIT]],Lista_CUIT[#All],4,0)),"CUIT NO CARGADO")</f>
        <v>0</v>
      </c>
    </row>
    <row r="72" spans="2:18" x14ac:dyDescent="0.25">
      <c r="B72" s="168">
        <v>44970</v>
      </c>
      <c r="C72" s="41">
        <v>1</v>
      </c>
      <c r="D72" s="169">
        <v>4</v>
      </c>
      <c r="E72" s="207">
        <v>10094</v>
      </c>
      <c r="F72" s="170">
        <v>20142643384</v>
      </c>
      <c r="G72" s="171" t="str">
        <f>IFERROR(IF(compras_mes2[[#This Row],[CUIT]]="","-",VLOOKUP(compras_mes2[[#This Row],[CUIT]],Lista_CUIT[#All],2,0)),"CUIT NO CARGADO")</f>
        <v>RAMASKO JORGE FERNANDO</v>
      </c>
      <c r="H72" s="172">
        <v>44132.24</v>
      </c>
      <c r="I72" s="173">
        <f>IF(compras_mes2[[#This Row],[NETO GRAVADO]]="","",compras_mes2[[#This Row],[NETO GRAVADO]]*0.21)</f>
        <v>9267.7703999999994</v>
      </c>
      <c r="J72" s="173"/>
      <c r="K72" s="173"/>
      <c r="L72" s="173"/>
      <c r="M72" s="173"/>
      <c r="N72" s="173"/>
      <c r="O72" s="173"/>
      <c r="P72" s="174">
        <f>SUM(compras_mes2[[#This Row],[NETO GRAVADO]:[Otros / No Grav.]])</f>
        <v>53400.010399999999</v>
      </c>
      <c r="Q72" s="175" t="str">
        <f>IFERROR(IF(compras_mes2[[#This Row],[CUIT]]="","-",VLOOKUP(compras_mes2[[#This Row],[CUIT]],Lista_CUIT[#All],3,0)),"CUIT NO CARGADO")</f>
        <v>Productos Ortopedicos</v>
      </c>
      <c r="R72" s="175">
        <f>IFERROR(IF(compras_mes2[[#This Row],[CUIT]]="","-",VLOOKUP(compras_mes2[[#This Row],[CUIT]],Lista_CUIT[#All],4,0)),"CUIT NO CARGADO")</f>
        <v>0</v>
      </c>
    </row>
    <row r="73" spans="2:18" x14ac:dyDescent="0.25">
      <c r="B73" s="168">
        <v>44970</v>
      </c>
      <c r="C73" s="41">
        <v>1</v>
      </c>
      <c r="D73" s="169">
        <v>7</v>
      </c>
      <c r="E73" s="207">
        <v>26261</v>
      </c>
      <c r="F73" s="170">
        <v>20271532483</v>
      </c>
      <c r="G73" s="171" t="str">
        <f>IFERROR(IF(compras_mes2[[#This Row],[CUIT]]="","-",VLOOKUP(compras_mes2[[#This Row],[CUIT]],Lista_CUIT[#All],2,0)),"CUIT NO CARGADO")</f>
        <v>DIEGO MARTIN RIOS</v>
      </c>
      <c r="H73" s="172">
        <v>797904.65</v>
      </c>
      <c r="I73" s="173">
        <f>IF(compras_mes2[[#This Row],[NETO GRAVADO]]="","",compras_mes2[[#This Row],[NETO GRAVADO]]*0.21)</f>
        <v>167559.97649999999</v>
      </c>
      <c r="J73" s="173"/>
      <c r="K73" s="173"/>
      <c r="L73" s="173"/>
      <c r="M73" s="173"/>
      <c r="N73" s="173">
        <v>27926.66</v>
      </c>
      <c r="O73" s="173"/>
      <c r="P73" s="174">
        <f>SUM(compras_mes2[[#This Row],[NETO GRAVADO]:[Otros / No Grav.]])</f>
        <v>993391.28650000005</v>
      </c>
      <c r="Q73" s="175" t="str">
        <f>IFERROR(IF(compras_mes2[[#This Row],[CUIT]]="","-",VLOOKUP(compras_mes2[[#This Row],[CUIT]],Lista_CUIT[#All],3,0)),"CUIT NO CARGADO")</f>
        <v>Productos Ortopedicos</v>
      </c>
      <c r="R73" s="175">
        <f>IFERROR(IF(compras_mes2[[#This Row],[CUIT]]="","-",VLOOKUP(compras_mes2[[#This Row],[CUIT]],Lista_CUIT[#All],4,0)),"CUIT NO CARGADO")</f>
        <v>0</v>
      </c>
    </row>
    <row r="74" spans="2:18" x14ac:dyDescent="0.25">
      <c r="B74" s="168">
        <v>44970</v>
      </c>
      <c r="C74" s="41">
        <v>1</v>
      </c>
      <c r="D74" s="169">
        <v>6</v>
      </c>
      <c r="E74" s="207">
        <v>47010</v>
      </c>
      <c r="F74" s="170">
        <v>30710177658</v>
      </c>
      <c r="G74" s="171" t="str">
        <f>IFERROR(IF(compras_mes2[[#This Row],[CUIT]]="","-",VLOOKUP(compras_mes2[[#This Row],[CUIT]],Lista_CUIT[#All],2,0)),"CUIT NO CARGADO")</f>
        <v>TARGET MEDICAL SA</v>
      </c>
      <c r="H74" s="172">
        <v>45560</v>
      </c>
      <c r="I74" s="173">
        <f>IF(compras_mes2[[#This Row],[NETO GRAVADO]]="","",compras_mes2[[#This Row],[NETO GRAVADO]]*0.21)</f>
        <v>9567.6</v>
      </c>
      <c r="J74" s="173"/>
      <c r="K74" s="173"/>
      <c r="L74" s="173"/>
      <c r="M74" s="173"/>
      <c r="N74" s="173"/>
      <c r="O74" s="173"/>
      <c r="P74" s="174">
        <f>SUM(compras_mes2[[#This Row],[NETO GRAVADO]:[Otros / No Grav.]])</f>
        <v>55127.6</v>
      </c>
      <c r="Q74" s="175" t="str">
        <f>IFERROR(IF(compras_mes2[[#This Row],[CUIT]]="","-",VLOOKUP(compras_mes2[[#This Row],[CUIT]],Lista_CUIT[#All],3,0)),"CUIT NO CARGADO")</f>
        <v>Productos Ortopedicos</v>
      </c>
      <c r="R74" s="175">
        <f>IFERROR(IF(compras_mes2[[#This Row],[CUIT]]="","-",VLOOKUP(compras_mes2[[#This Row],[CUIT]],Lista_CUIT[#All],4,0)),"CUIT NO CARGADO")</f>
        <v>0</v>
      </c>
    </row>
    <row r="75" spans="2:18" x14ac:dyDescent="0.25">
      <c r="B75" s="168">
        <v>44971</v>
      </c>
      <c r="C75" s="41">
        <v>1</v>
      </c>
      <c r="D75" s="169">
        <v>3</v>
      </c>
      <c r="E75" s="207">
        <v>657</v>
      </c>
      <c r="F75" s="170">
        <v>23076996989</v>
      </c>
      <c r="G75" s="171" t="str">
        <f>IFERROR(IF(compras_mes2[[#This Row],[CUIT]]="","-",VLOOKUP(compras_mes2[[#This Row],[CUIT]],Lista_CUIT[#All],2,0)),"CUIT NO CARGADO")</f>
        <v>GIULIETTI LUIS ALBERTO</v>
      </c>
      <c r="H75" s="172">
        <v>13914.05</v>
      </c>
      <c r="I75" s="173">
        <f>IF(compras_mes2[[#This Row],[NETO GRAVADO]]="","",compras_mes2[[#This Row],[NETO GRAVADO]]*0.21)</f>
        <v>2921.9504999999999</v>
      </c>
      <c r="J75" s="173"/>
      <c r="K75" s="173"/>
      <c r="L75" s="173"/>
      <c r="M75" s="173"/>
      <c r="N75" s="173"/>
      <c r="O75" s="173"/>
      <c r="P75" s="174">
        <f>SUM(compras_mes2[[#This Row],[NETO GRAVADO]:[Otros / No Grav.]])</f>
        <v>16836.000499999998</v>
      </c>
      <c r="Q75" s="175" t="str">
        <f>IFERROR(IF(compras_mes2[[#This Row],[CUIT]]="","-",VLOOKUP(compras_mes2[[#This Row],[CUIT]],Lista_CUIT[#All],3,0)),"CUIT NO CARGADO")</f>
        <v>Productos Ortopedicos</v>
      </c>
      <c r="R75" s="175">
        <f>IFERROR(IF(compras_mes2[[#This Row],[CUIT]]="","-",VLOOKUP(compras_mes2[[#This Row],[CUIT]],Lista_CUIT[#All],4,0)),"CUIT NO CARGADO")</f>
        <v>0</v>
      </c>
    </row>
    <row r="76" spans="2:18" x14ac:dyDescent="0.25">
      <c r="B76" s="208">
        <v>44972</v>
      </c>
      <c r="C76" s="209">
        <v>1</v>
      </c>
      <c r="D76" s="210">
        <v>4</v>
      </c>
      <c r="E76" s="211">
        <v>2360</v>
      </c>
      <c r="F76" s="212">
        <v>30710449658</v>
      </c>
      <c r="G76" s="213" t="str">
        <f>IFERROR(IF(compras_mes2[[#This Row],[CUIT]]="","-",VLOOKUP(compras_mes2[[#This Row],[CUIT]],Lista_CUIT[#All],2,0)),"CUIT NO CARGADO")</f>
        <v>PORTUMAT  S.R.L.</v>
      </c>
      <c r="H76" s="214">
        <v>27024.799999999999</v>
      </c>
      <c r="I76" s="215">
        <f>IF(compras_mes2[[#This Row],[NETO GRAVADO]]="","",compras_mes2[[#This Row],[NETO GRAVADO]]*0.21)</f>
        <v>5675.2079999999996</v>
      </c>
      <c r="J76" s="215"/>
      <c r="K76" s="215"/>
      <c r="L76" s="215"/>
      <c r="M76" s="215"/>
      <c r="N76" s="215"/>
      <c r="O76" s="215"/>
      <c r="P76" s="216">
        <f>SUM(compras_mes2[[#This Row],[NETO GRAVADO]:[Otros / No Grav.]])</f>
        <v>32700.007999999998</v>
      </c>
      <c r="Q76" s="217" t="str">
        <f>IFERROR(IF(compras_mes2[[#This Row],[CUIT]]="","-",VLOOKUP(compras_mes2[[#This Row],[CUIT]],Lista_CUIT[#All],3,0)),"CUIT NO CARGADO")</f>
        <v>GASTOS MANTENIMIENTO</v>
      </c>
      <c r="R76" s="217">
        <f>IFERROR(IF(compras_mes2[[#This Row],[CUIT]]="","-",VLOOKUP(compras_mes2[[#This Row],[CUIT]],Lista_CUIT[#All],4,0)),"CUIT NO CARGADO")</f>
        <v>0</v>
      </c>
    </row>
    <row r="77" spans="2:18" x14ac:dyDescent="0.25">
      <c r="B77" s="168">
        <v>44972</v>
      </c>
      <c r="C77" s="41">
        <v>1</v>
      </c>
      <c r="D77" s="169">
        <v>10</v>
      </c>
      <c r="E77" s="207">
        <v>4925</v>
      </c>
      <c r="F77" s="170">
        <v>33710427629</v>
      </c>
      <c r="G77" s="171" t="str">
        <f>IFERROR(IF(compras_mes2[[#This Row],[CUIT]]="","-",VLOOKUP(compras_mes2[[#This Row],[CUIT]],Lista_CUIT[#All],2,0)),"CUIT NO CARGADO")</f>
        <v>GOMATODO S.R.L.</v>
      </c>
      <c r="H77" s="172">
        <v>188788.42</v>
      </c>
      <c r="I77" s="173">
        <f>IF(compras_mes2[[#This Row],[NETO GRAVADO]]="","",compras_mes2[[#This Row],[NETO GRAVADO]]*0.21)</f>
        <v>39645.568200000002</v>
      </c>
      <c r="J77" s="173"/>
      <c r="K77" s="173"/>
      <c r="L77" s="173"/>
      <c r="M77" s="173"/>
      <c r="N77" s="173"/>
      <c r="O77" s="173"/>
      <c r="P77" s="174">
        <f>SUM(compras_mes2[[#This Row],[NETO GRAVADO]:[Otros / No Grav.]])</f>
        <v>228433.98820000002</v>
      </c>
      <c r="Q77" s="175" t="str">
        <f>IFERROR(IF(compras_mes2[[#This Row],[CUIT]]="","-",VLOOKUP(compras_mes2[[#This Row],[CUIT]],Lista_CUIT[#All],3,0)),"CUIT NO CARGADO")</f>
        <v>GASTOS MANTENIMIENTO</v>
      </c>
      <c r="R77" s="175">
        <f>IFERROR(IF(compras_mes2[[#This Row],[CUIT]]="","-",VLOOKUP(compras_mes2[[#This Row],[CUIT]],Lista_CUIT[#All],4,0)),"CUIT NO CARGADO")</f>
        <v>0</v>
      </c>
    </row>
    <row r="78" spans="2:18" x14ac:dyDescent="0.25">
      <c r="B78" s="168">
        <v>44972</v>
      </c>
      <c r="C78" s="41">
        <v>1</v>
      </c>
      <c r="D78" s="169">
        <v>10</v>
      </c>
      <c r="E78" s="207">
        <v>4926</v>
      </c>
      <c r="F78" s="170">
        <v>33710427629</v>
      </c>
      <c r="G78" s="171" t="str">
        <f>IFERROR(IF(compras_mes2[[#This Row],[CUIT]]="","-",VLOOKUP(compras_mes2[[#This Row],[CUIT]],Lista_CUIT[#All],2,0)),"CUIT NO CARGADO")</f>
        <v>GOMATODO S.R.L.</v>
      </c>
      <c r="H78" s="172">
        <v>4710.74</v>
      </c>
      <c r="I78" s="173">
        <f>IF(compras_mes2[[#This Row],[NETO GRAVADO]]="","",compras_mes2[[#This Row],[NETO GRAVADO]]*0.21)</f>
        <v>989.2553999999999</v>
      </c>
      <c r="J78" s="173"/>
      <c r="K78" s="173"/>
      <c r="L78" s="173"/>
      <c r="M78" s="173"/>
      <c r="N78" s="173"/>
      <c r="O78" s="173"/>
      <c r="P78" s="174">
        <f>SUM(compras_mes2[[#This Row],[NETO GRAVADO]:[Otros / No Grav.]])</f>
        <v>5699.9953999999998</v>
      </c>
      <c r="Q78" s="175" t="str">
        <f>IFERROR(IF(compras_mes2[[#This Row],[CUIT]]="","-",VLOOKUP(compras_mes2[[#This Row],[CUIT]],Lista_CUIT[#All],3,0)),"CUIT NO CARGADO")</f>
        <v>GASTOS MANTENIMIENTO</v>
      </c>
      <c r="R78" s="175">
        <f>IFERROR(IF(compras_mes2[[#This Row],[CUIT]]="","-",VLOOKUP(compras_mes2[[#This Row],[CUIT]],Lista_CUIT[#All],4,0)),"CUIT NO CARGADO")</f>
        <v>0</v>
      </c>
    </row>
    <row r="79" spans="2:18" x14ac:dyDescent="0.25">
      <c r="B79" s="168">
        <v>44972</v>
      </c>
      <c r="C79" s="41">
        <v>1</v>
      </c>
      <c r="D79" s="169">
        <v>4</v>
      </c>
      <c r="E79" s="207">
        <v>10099</v>
      </c>
      <c r="F79" s="170">
        <v>20142643384</v>
      </c>
      <c r="G79" s="171" t="str">
        <f>IFERROR(IF(compras_mes2[[#This Row],[CUIT]]="","-",VLOOKUP(compras_mes2[[#This Row],[CUIT]],Lista_CUIT[#All],2,0)),"CUIT NO CARGADO")</f>
        <v>RAMASKO JORGE FERNANDO</v>
      </c>
      <c r="H79" s="172">
        <v>44132.24</v>
      </c>
      <c r="I79" s="173">
        <f>IF(compras_mes2[[#This Row],[NETO GRAVADO]]="","",compras_mes2[[#This Row],[NETO GRAVADO]]*0.21)</f>
        <v>9267.7703999999994</v>
      </c>
      <c r="J79" s="173"/>
      <c r="K79" s="173"/>
      <c r="L79" s="173"/>
      <c r="M79" s="173"/>
      <c r="N79" s="173"/>
      <c r="O79" s="173"/>
      <c r="P79" s="174">
        <f>SUM(compras_mes2[[#This Row],[NETO GRAVADO]:[Otros / No Grav.]])</f>
        <v>53400.010399999999</v>
      </c>
      <c r="Q79" s="175" t="str">
        <f>IFERROR(IF(compras_mes2[[#This Row],[CUIT]]="","-",VLOOKUP(compras_mes2[[#This Row],[CUIT]],Lista_CUIT[#All],3,0)),"CUIT NO CARGADO")</f>
        <v>Productos Ortopedicos</v>
      </c>
      <c r="R79" s="175">
        <f>IFERROR(IF(compras_mes2[[#This Row],[CUIT]]="","-",VLOOKUP(compras_mes2[[#This Row],[CUIT]],Lista_CUIT[#All],4,0)),"CUIT NO CARGADO")</f>
        <v>0</v>
      </c>
    </row>
    <row r="80" spans="2:18" x14ac:dyDescent="0.25">
      <c r="B80" s="168">
        <v>44972</v>
      </c>
      <c r="C80" s="41">
        <v>1</v>
      </c>
      <c r="D80" s="169">
        <v>7</v>
      </c>
      <c r="E80" s="207">
        <v>26293</v>
      </c>
      <c r="F80" s="170">
        <v>20271532483</v>
      </c>
      <c r="G80" s="171" t="str">
        <f>IFERROR(IF(compras_mes2[[#This Row],[CUIT]]="","-",VLOOKUP(compras_mes2[[#This Row],[CUIT]],Lista_CUIT[#All],2,0)),"CUIT NO CARGADO")</f>
        <v>DIEGO MARTIN RIOS</v>
      </c>
      <c r="H80" s="172">
        <v>1202682.77</v>
      </c>
      <c r="I80" s="173">
        <f>IF(compras_mes2[[#This Row],[NETO GRAVADO]]="","",compras_mes2[[#This Row],[NETO GRAVADO]]*0.21)</f>
        <v>252563.3817</v>
      </c>
      <c r="J80" s="173"/>
      <c r="K80" s="173"/>
      <c r="L80" s="173"/>
      <c r="M80" s="173"/>
      <c r="N80" s="173">
        <v>42093.9</v>
      </c>
      <c r="O80" s="173"/>
      <c r="P80" s="174">
        <f>SUM(compras_mes2[[#This Row],[NETO GRAVADO]:[Otros / No Grav.]])</f>
        <v>1497340.0517</v>
      </c>
      <c r="Q80" s="175" t="str">
        <f>IFERROR(IF(compras_mes2[[#This Row],[CUIT]]="","-",VLOOKUP(compras_mes2[[#This Row],[CUIT]],Lista_CUIT[#All],3,0)),"CUIT NO CARGADO")</f>
        <v>Productos Ortopedicos</v>
      </c>
      <c r="R80" s="175">
        <f>IFERROR(IF(compras_mes2[[#This Row],[CUIT]]="","-",VLOOKUP(compras_mes2[[#This Row],[CUIT]],Lista_CUIT[#All],4,0)),"CUIT NO CARGADO")</f>
        <v>0</v>
      </c>
    </row>
    <row r="81" spans="2:18" x14ac:dyDescent="0.25">
      <c r="B81" s="168">
        <v>44972</v>
      </c>
      <c r="C81" s="41">
        <v>1</v>
      </c>
      <c r="D81" s="169">
        <v>6</v>
      </c>
      <c r="E81" s="207">
        <v>47037</v>
      </c>
      <c r="F81" s="170">
        <v>30710177658</v>
      </c>
      <c r="G81" s="171" t="str">
        <f>IFERROR(IF(compras_mes2[[#This Row],[CUIT]]="","-",VLOOKUP(compras_mes2[[#This Row],[CUIT]],Lista_CUIT[#All],2,0)),"CUIT NO CARGADO")</f>
        <v>TARGET MEDICAL SA</v>
      </c>
      <c r="H81" s="172">
        <v>180470.6</v>
      </c>
      <c r="I81" s="173">
        <f>IF(compras_mes2[[#This Row],[NETO GRAVADO]]="","",compras_mes2[[#This Row],[NETO GRAVADO]]*0.21)</f>
        <v>37898.826000000001</v>
      </c>
      <c r="J81" s="173"/>
      <c r="K81" s="173"/>
      <c r="L81" s="173"/>
      <c r="M81" s="173"/>
      <c r="N81" s="173">
        <v>6316.4709999999995</v>
      </c>
      <c r="O81" s="173"/>
      <c r="P81" s="174">
        <f>SUM(compras_mes2[[#This Row],[NETO GRAVADO]:[Otros / No Grav.]])</f>
        <v>224685.897</v>
      </c>
      <c r="Q81" s="175" t="str">
        <f>IFERROR(IF(compras_mes2[[#This Row],[CUIT]]="","-",VLOOKUP(compras_mes2[[#This Row],[CUIT]],Lista_CUIT[#All],3,0)),"CUIT NO CARGADO")</f>
        <v>Productos Ortopedicos</v>
      </c>
      <c r="R81" s="175">
        <f>IFERROR(IF(compras_mes2[[#This Row],[CUIT]]="","-",VLOOKUP(compras_mes2[[#This Row],[CUIT]],Lista_CUIT[#All],4,0)),"CUIT NO CARGADO")</f>
        <v>0</v>
      </c>
    </row>
    <row r="82" spans="2:18" x14ac:dyDescent="0.25">
      <c r="B82" s="168">
        <v>44973</v>
      </c>
      <c r="C82" s="41">
        <v>1</v>
      </c>
      <c r="D82" s="169">
        <v>3</v>
      </c>
      <c r="E82" s="207">
        <v>7584</v>
      </c>
      <c r="F82" s="170">
        <v>20045615473</v>
      </c>
      <c r="G82" s="171" t="str">
        <f>IFERROR(IF(compras_mes2[[#This Row],[CUIT]]="","-",VLOOKUP(compras_mes2[[#This Row],[CUIT]],Lista_CUIT[#All],2,0)),"CUIT NO CARGADO")</f>
        <v xml:space="preserve">DI FEO HUGO PASCUAL </v>
      </c>
      <c r="H82" s="172">
        <v>26415</v>
      </c>
      <c r="I82" s="173">
        <f>IF(compras_mes2[[#This Row],[NETO GRAVADO]]="","",compras_mes2[[#This Row],[NETO GRAVADO]]*0.21)</f>
        <v>5547.15</v>
      </c>
      <c r="J82" s="173"/>
      <c r="K82" s="173"/>
      <c r="L82" s="173"/>
      <c r="M82" s="173"/>
      <c r="N82" s="173"/>
      <c r="O82" s="173"/>
      <c r="P82" s="174">
        <f>SUM(compras_mes2[[#This Row],[NETO GRAVADO]:[Otros / No Grav.]])</f>
        <v>31962.15</v>
      </c>
      <c r="Q82" s="175" t="str">
        <f>IFERROR(IF(compras_mes2[[#This Row],[CUIT]]="","-",VLOOKUP(compras_mes2[[#This Row],[CUIT]],Lista_CUIT[#All],3,0)),"CUIT NO CARGADO")</f>
        <v>Productos Ortopedicos</v>
      </c>
      <c r="R82" s="175">
        <f>IFERROR(IF(compras_mes2[[#This Row],[CUIT]]="","-",VLOOKUP(compras_mes2[[#This Row],[CUIT]],Lista_CUIT[#All],4,0)),"CUIT NO CARGADO")</f>
        <v>0</v>
      </c>
    </row>
    <row r="83" spans="2:18" x14ac:dyDescent="0.25">
      <c r="B83" s="168">
        <v>44974</v>
      </c>
      <c r="C83" s="41">
        <v>1</v>
      </c>
      <c r="D83" s="169">
        <v>3</v>
      </c>
      <c r="E83" s="207">
        <v>1334</v>
      </c>
      <c r="F83" s="170">
        <v>27251466756</v>
      </c>
      <c r="G83" s="171" t="str">
        <f>IFERROR(IF(compras_mes2[[#This Row],[CUIT]]="","-",VLOOKUP(compras_mes2[[#This Row],[CUIT]],Lista_CUIT[#All],2,0)),"CUIT NO CARGADO")</f>
        <v>MARIA AGUSTINA PEREYRA</v>
      </c>
      <c r="H83" s="172">
        <v>21400</v>
      </c>
      <c r="I83" s="173">
        <f>IF(compras_mes2[[#This Row],[NETO GRAVADO]]="","",compras_mes2[[#This Row],[NETO GRAVADO]]*0.21)</f>
        <v>4494</v>
      </c>
      <c r="J83" s="173"/>
      <c r="K83" s="173"/>
      <c r="L83" s="173"/>
      <c r="M83" s="173"/>
      <c r="N83" s="173"/>
      <c r="O83" s="173">
        <v>4378.97</v>
      </c>
      <c r="P83" s="174">
        <f>SUM(compras_mes2[[#This Row],[NETO GRAVADO]:[Otros / No Grav.]])</f>
        <v>30272.97</v>
      </c>
      <c r="Q83" s="175" t="str">
        <f>IFERROR(IF(compras_mes2[[#This Row],[CUIT]]="","-",VLOOKUP(compras_mes2[[#This Row],[CUIT]],Lista_CUIT[#All],3,0)),"CUIT NO CARGADO")</f>
        <v>Gastos Escribania</v>
      </c>
      <c r="R83" s="175">
        <f>IFERROR(IF(compras_mes2[[#This Row],[CUIT]]="","-",VLOOKUP(compras_mes2[[#This Row],[CUIT]],Lista_CUIT[#All],4,0)),"CUIT NO CARGADO")</f>
        <v>0</v>
      </c>
    </row>
    <row r="84" spans="2:18" x14ac:dyDescent="0.25">
      <c r="B84" s="168">
        <v>44974</v>
      </c>
      <c r="C84" s="201">
        <v>1</v>
      </c>
      <c r="D84" s="169">
        <v>26</v>
      </c>
      <c r="E84" s="207">
        <v>2511</v>
      </c>
      <c r="F84" s="170">
        <v>30708552808</v>
      </c>
      <c r="G84" s="171" t="str">
        <f>IFERROR(IF(compras_mes2[[#This Row],[CUIT]]="","-",VLOOKUP(compras_mes2[[#This Row],[CUIT]],Lista_CUIT[#All],2,0)),"CUIT NO CARGADO")</f>
        <v>ROJO Y AMARILLO SRL</v>
      </c>
      <c r="H84" s="172">
        <v>11516.27</v>
      </c>
      <c r="I84" s="173">
        <f>IF(compras_mes2[[#This Row],[NETO GRAVADO]]="","",compras_mes2[[#This Row],[NETO GRAVADO]]*0.21)</f>
        <v>2418.4167000000002</v>
      </c>
      <c r="J84" s="173"/>
      <c r="K84" s="173"/>
      <c r="L84" s="173"/>
      <c r="M84" s="173">
        <v>403.07</v>
      </c>
      <c r="N84" s="173"/>
      <c r="O84" s="173">
        <v>1066.21</v>
      </c>
      <c r="P84" s="174">
        <f>SUM(compras_mes2[[#This Row],[NETO GRAVADO]:[Otros / No Grav.]])</f>
        <v>15403.966700000001</v>
      </c>
      <c r="Q84" s="175" t="str">
        <f>IFERROR(IF(compras_mes2[[#This Row],[CUIT]]="","-",VLOOKUP(compras_mes2[[#This Row],[CUIT]],Lista_CUIT[#All],3,0)),"CUIT NO CARGADO")</f>
        <v>COMBUSTIBLE</v>
      </c>
      <c r="R84" s="175">
        <f>IFERROR(IF(compras_mes2[[#This Row],[CUIT]]="","-",VLOOKUP(compras_mes2[[#This Row],[CUIT]],Lista_CUIT[#All],4,0)),"CUIT NO CARGADO")</f>
        <v>0</v>
      </c>
    </row>
    <row r="85" spans="2:18" x14ac:dyDescent="0.25">
      <c r="B85" s="168">
        <v>44975</v>
      </c>
      <c r="C85" s="41">
        <v>1</v>
      </c>
      <c r="D85" s="169">
        <v>2</v>
      </c>
      <c r="E85" s="207">
        <v>39927</v>
      </c>
      <c r="F85" s="170">
        <v>30711013969</v>
      </c>
      <c r="G85" s="171" t="str">
        <f>IFERROR(IF(compras_mes2[[#This Row],[CUIT]]="","-",VLOOKUP(compras_mes2[[#This Row],[CUIT]],Lista_CUIT[#All],2,0)),"CUIT NO CARGADO")</f>
        <v>REVICAR S.A.</v>
      </c>
      <c r="H85" s="172">
        <v>15882.65</v>
      </c>
      <c r="I85" s="173">
        <f>IF(compras_mes2[[#This Row],[NETO GRAVADO]]="","",compras_mes2[[#This Row],[NETO GRAVADO]]*0.21)</f>
        <v>3335.3564999999999</v>
      </c>
      <c r="J85" s="173"/>
      <c r="K85" s="173"/>
      <c r="L85" s="173"/>
      <c r="M85" s="173"/>
      <c r="N85" s="173"/>
      <c r="O85" s="173">
        <v>1848</v>
      </c>
      <c r="P85" s="174">
        <f>SUM(compras_mes2[[#This Row],[NETO GRAVADO]:[Otros / No Grav.]])</f>
        <v>21066.0065</v>
      </c>
      <c r="Q85" s="175" t="str">
        <f>IFERROR(IF(compras_mes2[[#This Row],[CUIT]]="","-",VLOOKUP(compras_mes2[[#This Row],[CUIT]],Lista_CUIT[#All],3,0)),"CUIT NO CARGADO")</f>
        <v>FLETE</v>
      </c>
      <c r="R85" s="175">
        <f>IFERROR(IF(compras_mes2[[#This Row],[CUIT]]="","-",VLOOKUP(compras_mes2[[#This Row],[CUIT]],Lista_CUIT[#All],4,0)),"CUIT NO CARGADO")</f>
        <v>0</v>
      </c>
    </row>
    <row r="86" spans="2:18" x14ac:dyDescent="0.25">
      <c r="B86" s="208">
        <v>44975</v>
      </c>
      <c r="C86" s="209">
        <v>1</v>
      </c>
      <c r="D86" s="210">
        <v>5011</v>
      </c>
      <c r="E86" s="211">
        <v>442773</v>
      </c>
      <c r="F86" s="212">
        <v>30574876474</v>
      </c>
      <c r="G86" s="213" t="str">
        <f>IFERROR(IF(compras_mes2[[#This Row],[CUIT]]="","-",VLOOKUP(compras_mes2[[#This Row],[CUIT]],Lista_CUIT[#All],2,0)),"CUIT NO CARGADO")</f>
        <v>AUTOP. URBANAS SA</v>
      </c>
      <c r="H86" s="214">
        <v>3017.51</v>
      </c>
      <c r="I86" s="215">
        <f>IF(compras_mes2[[#This Row],[NETO GRAVADO]]="","",compras_mes2[[#This Row],[NETO GRAVADO]]*0.21)</f>
        <v>633.6771</v>
      </c>
      <c r="J86" s="215"/>
      <c r="K86" s="215"/>
      <c r="L86" s="215"/>
      <c r="M86" s="215"/>
      <c r="N86" s="215"/>
      <c r="O86" s="215">
        <f>90.52+300.7</f>
        <v>391.21999999999997</v>
      </c>
      <c r="P86" s="216">
        <f>SUM(compras_mes2[[#This Row],[NETO GRAVADO]:[Otros / No Grav.]])</f>
        <v>4042.4070999999999</v>
      </c>
      <c r="Q86" s="217" t="str">
        <f>IFERROR(IF(compras_mes2[[#This Row],[CUIT]]="","-",VLOOKUP(compras_mes2[[#This Row],[CUIT]],Lista_CUIT[#All],3,0)),"CUIT NO CARGADO")</f>
        <v>PEAJE</v>
      </c>
      <c r="R86" s="217">
        <f>IFERROR(IF(compras_mes2[[#This Row],[CUIT]]="","-",VLOOKUP(compras_mes2[[#This Row],[CUIT]],Lista_CUIT[#All],4,0)),"CUIT NO CARGADO")</f>
        <v>0</v>
      </c>
    </row>
    <row r="87" spans="2:18" x14ac:dyDescent="0.25">
      <c r="B87" s="208">
        <v>44975</v>
      </c>
      <c r="C87" s="209">
        <v>1</v>
      </c>
      <c r="D87" s="210">
        <v>5009</v>
      </c>
      <c r="E87" s="211">
        <v>612735</v>
      </c>
      <c r="F87" s="212">
        <v>30574876474</v>
      </c>
      <c r="G87" s="213" t="str">
        <f>IFERROR(IF(compras_mes2[[#This Row],[CUIT]]="","-",VLOOKUP(compras_mes2[[#This Row],[CUIT]],Lista_CUIT[#All],2,0)),"CUIT NO CARGADO")</f>
        <v>AUTOP. URBANAS SA</v>
      </c>
      <c r="H87" s="214">
        <v>919.09</v>
      </c>
      <c r="I87" s="215">
        <f>IF(compras_mes2[[#This Row],[NETO GRAVADO]]="","",compras_mes2[[#This Row],[NETO GRAVADO]]*0.21)</f>
        <v>193.00890000000001</v>
      </c>
      <c r="J87" s="215"/>
      <c r="K87" s="215"/>
      <c r="L87" s="215"/>
      <c r="M87" s="215"/>
      <c r="N87" s="215"/>
      <c r="O87" s="215">
        <v>91.9</v>
      </c>
      <c r="P87" s="216">
        <f>SUM(compras_mes2[[#This Row],[NETO GRAVADO]:[Otros / No Grav.]])</f>
        <v>1203.9989</v>
      </c>
      <c r="Q87" s="217" t="str">
        <f>IFERROR(IF(compras_mes2[[#This Row],[CUIT]]="","-",VLOOKUP(compras_mes2[[#This Row],[CUIT]],Lista_CUIT[#All],3,0)),"CUIT NO CARGADO")</f>
        <v>PEAJE</v>
      </c>
      <c r="R87" s="217">
        <f>IFERROR(IF(compras_mes2[[#This Row],[CUIT]]="","-",VLOOKUP(compras_mes2[[#This Row],[CUIT]],Lista_CUIT[#All],4,0)),"CUIT NO CARGADO")</f>
        <v>0</v>
      </c>
    </row>
    <row r="88" spans="2:18" x14ac:dyDescent="0.25">
      <c r="B88" s="168">
        <v>44976</v>
      </c>
      <c r="C88" s="41">
        <v>1</v>
      </c>
      <c r="D88" s="169">
        <v>4264</v>
      </c>
      <c r="E88" s="207">
        <v>1474401</v>
      </c>
      <c r="F88" s="170">
        <v>30639453738</v>
      </c>
      <c r="G88" s="171" t="str">
        <f>IFERROR(IF(compras_mes2[[#This Row],[CUIT]]="","-",VLOOKUP(compras_mes2[[#This Row],[CUIT]],Lista_CUIT[#All],2,0)),"CUIT NO CARGADO")</f>
        <v>TELECOM ARGENTINA SA</v>
      </c>
      <c r="H88" s="172">
        <v>11685.94</v>
      </c>
      <c r="I88" s="173">
        <f>IF(compras_mes2[[#This Row],[NETO GRAVADO]]="","",compras_mes2[[#This Row],[NETO GRAVADO]]*0.21)</f>
        <v>2454.0473999999999</v>
      </c>
      <c r="J88" s="173"/>
      <c r="K88" s="173"/>
      <c r="L88" s="173">
        <v>350.58</v>
      </c>
      <c r="M88" s="173"/>
      <c r="N88" s="173">
        <v>409.01</v>
      </c>
      <c r="O88" s="173"/>
      <c r="P88" s="174">
        <f>SUM(compras_mes2[[#This Row],[NETO GRAVADO]:[Otros / No Grav.]])</f>
        <v>14899.5774</v>
      </c>
      <c r="Q88" s="175" t="str">
        <f>IFERROR(IF(compras_mes2[[#This Row],[CUIT]]="","-",VLOOKUP(compras_mes2[[#This Row],[CUIT]],Lista_CUIT[#All],3,0)),"CUIT NO CARGADO")</f>
        <v>TELEFONIA</v>
      </c>
      <c r="R88" s="175">
        <f>IFERROR(IF(compras_mes2[[#This Row],[CUIT]]="","-",VLOOKUP(compras_mes2[[#This Row],[CUIT]],Lista_CUIT[#All],4,0)),"CUIT NO CARGADO")</f>
        <v>0</v>
      </c>
    </row>
    <row r="89" spans="2:18" x14ac:dyDescent="0.25">
      <c r="B89" s="208">
        <v>44977</v>
      </c>
      <c r="C89" s="209">
        <v>1</v>
      </c>
      <c r="D89" s="210">
        <v>104</v>
      </c>
      <c r="E89" s="211">
        <v>3041351</v>
      </c>
      <c r="F89" s="212">
        <v>30715804812</v>
      </c>
      <c r="G89" s="213" t="str">
        <f>IFERROR(IF(compras_mes2[[#This Row],[CUIT]]="","-",VLOOKUP(compras_mes2[[#This Row],[CUIT]],Lista_CUIT[#All],2,0)),"CUIT NO CARGADO")</f>
        <v>CORREDORES VIALES SOCIEDAD ANONIMA</v>
      </c>
      <c r="H89" s="214">
        <v>82.64</v>
      </c>
      <c r="I89" s="215">
        <f>IF(compras_mes2[[#This Row],[NETO GRAVADO]]="","",compras_mes2[[#This Row],[NETO GRAVADO]]*0.21)</f>
        <v>17.354399999999998</v>
      </c>
      <c r="J89" s="215"/>
      <c r="K89" s="215"/>
      <c r="L89" s="215"/>
      <c r="M89" s="215"/>
      <c r="N89" s="215"/>
      <c r="O89" s="215"/>
      <c r="P89" s="216">
        <f>SUM(compras_mes2[[#This Row],[NETO GRAVADO]:[Otros / No Grav.]])</f>
        <v>99.994399999999999</v>
      </c>
      <c r="Q89" s="217" t="str">
        <f>IFERROR(IF(compras_mes2[[#This Row],[CUIT]]="","-",VLOOKUP(compras_mes2[[#This Row],[CUIT]],Lista_CUIT[#All],3,0)),"CUIT NO CARGADO")</f>
        <v>Autopista</v>
      </c>
      <c r="R89" s="217">
        <f>IFERROR(IF(compras_mes2[[#This Row],[CUIT]]="","-",VLOOKUP(compras_mes2[[#This Row],[CUIT]],Lista_CUIT[#All],4,0)),"CUIT NO CARGADO")</f>
        <v>0</v>
      </c>
    </row>
    <row r="90" spans="2:18" x14ac:dyDescent="0.25">
      <c r="B90" s="168">
        <v>44978</v>
      </c>
      <c r="C90" s="41">
        <v>1</v>
      </c>
      <c r="D90" s="169">
        <v>9036</v>
      </c>
      <c r="E90" s="207">
        <v>11464</v>
      </c>
      <c r="F90" s="170">
        <v>30678774495</v>
      </c>
      <c r="G90" s="171" t="str">
        <f>IFERROR(IF(compras_mes2[[#This Row],[CUIT]]="","-",VLOOKUP(compras_mes2[[#This Row],[CUIT]],Lista_CUIT[#All],2,0)),"CUIT NO CARGADO")</f>
        <v>OPER. DE EST. DE SERV. SA</v>
      </c>
      <c r="H90" s="172">
        <v>5924.11</v>
      </c>
      <c r="I90" s="173">
        <f>IF(compras_mes2[[#This Row],[NETO GRAVADO]]="","",compras_mes2[[#This Row],[NETO GRAVADO]]*0.21)</f>
        <v>1244.0630999999998</v>
      </c>
      <c r="J90" s="173"/>
      <c r="K90" s="173"/>
      <c r="L90" s="173"/>
      <c r="M90" s="173"/>
      <c r="N90" s="173"/>
      <c r="O90" s="173">
        <v>484.52</v>
      </c>
      <c r="P90" s="174">
        <f>SUM(compras_mes2[[#This Row],[NETO GRAVADO]:[Otros / No Grav.]])</f>
        <v>7652.6931000000004</v>
      </c>
      <c r="Q90" s="175" t="str">
        <f>IFERROR(IF(compras_mes2[[#This Row],[CUIT]]="","-",VLOOKUP(compras_mes2[[#This Row],[CUIT]],Lista_CUIT[#All],3,0)),"CUIT NO CARGADO")</f>
        <v>COMBUSTIBLE</v>
      </c>
      <c r="R90" s="175">
        <f>IFERROR(IF(compras_mes2[[#This Row],[CUIT]]="","-",VLOOKUP(compras_mes2[[#This Row],[CUIT]],Lista_CUIT[#All],4,0)),"CUIT NO CARGADO")</f>
        <v>0</v>
      </c>
    </row>
    <row r="91" spans="2:18" x14ac:dyDescent="0.25">
      <c r="B91" s="168">
        <v>44979</v>
      </c>
      <c r="C91" s="41">
        <v>1</v>
      </c>
      <c r="D91" s="169">
        <v>5</v>
      </c>
      <c r="E91" s="207">
        <v>13</v>
      </c>
      <c r="F91" s="170">
        <v>20929183143</v>
      </c>
      <c r="G91" s="171" t="str">
        <f>IFERROR(IF(compras_mes2[[#This Row],[CUIT]]="","-",VLOOKUP(compras_mes2[[#This Row],[CUIT]],Lista_CUIT[#All],2,0)),"CUIT NO CARGADO")</f>
        <v>MA JUN</v>
      </c>
      <c r="H91" s="172">
        <v>10500</v>
      </c>
      <c r="I91" s="173">
        <f>IF(compras_mes2[[#This Row],[NETO GRAVADO]]="","",compras_mes2[[#This Row],[NETO GRAVADO]]*0.21)</f>
        <v>2205</v>
      </c>
      <c r="J91" s="173"/>
      <c r="K91" s="173"/>
      <c r="L91" s="173"/>
      <c r="M91" s="173"/>
      <c r="N91" s="173"/>
      <c r="O91" s="173"/>
      <c r="P91" s="174">
        <f>SUM(compras_mes2[[#This Row],[NETO GRAVADO]:[Otros / No Grav.]])</f>
        <v>12705</v>
      </c>
      <c r="Q91" s="175" t="str">
        <f>IFERROR(IF(compras_mes2[[#This Row],[CUIT]]="","-",VLOOKUP(compras_mes2[[#This Row],[CUIT]],Lista_CUIT[#All],3,0)),"CUIT NO CARGADO")</f>
        <v>Gastos Varios</v>
      </c>
      <c r="R91" s="175">
        <f>IFERROR(IF(compras_mes2[[#This Row],[CUIT]]="","-",VLOOKUP(compras_mes2[[#This Row],[CUIT]],Lista_CUIT[#All],4,0)),"CUIT NO CARGADO")</f>
        <v>0</v>
      </c>
    </row>
    <row r="92" spans="2:18" x14ac:dyDescent="0.25">
      <c r="B92" s="168">
        <v>44979</v>
      </c>
      <c r="C92" s="41">
        <v>1</v>
      </c>
      <c r="D92" s="169">
        <v>3</v>
      </c>
      <c r="E92" s="207">
        <v>46</v>
      </c>
      <c r="F92" s="170">
        <v>20334976433</v>
      </c>
      <c r="G92" s="171" t="str">
        <f>IFERROR(IF(compras_mes2[[#This Row],[CUIT]]="","-",VLOOKUP(compras_mes2[[#This Row],[CUIT]],Lista_CUIT[#All],2,0)),"CUIT NO CARGADO")</f>
        <v>NARDOMARINO EZEQUIEL EDUARDO</v>
      </c>
      <c r="H92" s="172">
        <v>94322.33</v>
      </c>
      <c r="I92" s="173">
        <f>IF(compras_mes2[[#This Row],[NETO GRAVADO]]="","",compras_mes2[[#This Row],[NETO GRAVADO]]*0.21)</f>
        <v>19807.689299999998</v>
      </c>
      <c r="J92" s="173"/>
      <c r="K92" s="173"/>
      <c r="L92" s="173"/>
      <c r="M92" s="173"/>
      <c r="N92" s="173"/>
      <c r="O92" s="173"/>
      <c r="P92" s="174">
        <f>SUM(compras_mes2[[#This Row],[NETO GRAVADO]:[Otros / No Grav.]])</f>
        <v>114130.0193</v>
      </c>
      <c r="Q92" s="175" t="str">
        <f>IFERROR(IF(compras_mes2[[#This Row],[CUIT]]="","-",VLOOKUP(compras_mes2[[#This Row],[CUIT]],Lista_CUIT[#All],3,0)),"CUIT NO CARGADO")</f>
        <v>FLETE</v>
      </c>
      <c r="R92" s="175">
        <f>IFERROR(IF(compras_mes2[[#This Row],[CUIT]]="","-",VLOOKUP(compras_mes2[[#This Row],[CUIT]],Lista_CUIT[#All],4,0)),"CUIT NO CARGADO")</f>
        <v>0</v>
      </c>
    </row>
    <row r="93" spans="2:18" x14ac:dyDescent="0.25">
      <c r="B93" s="208">
        <v>44979</v>
      </c>
      <c r="C93" s="218">
        <v>3</v>
      </c>
      <c r="D93" s="210">
        <v>17</v>
      </c>
      <c r="E93" s="211">
        <v>104</v>
      </c>
      <c r="F93" s="212">
        <v>30711764921</v>
      </c>
      <c r="G93" s="213" t="str">
        <f>IFERROR(IF(compras_mes2[[#This Row],[CUIT]]="","-",VLOOKUP(compras_mes2[[#This Row],[CUIT]],Lista_CUIT[#All],2,0)),"CUIT NO CARGADO")</f>
        <v>RELIEF CENTER SRL</v>
      </c>
      <c r="H93" s="214">
        <v>-168589</v>
      </c>
      <c r="I93" s="215">
        <f>IF(compras_mes2[[#This Row],[NETO GRAVADO]]="","",compras_mes2[[#This Row],[NETO GRAVADO]]*0.21)</f>
        <v>-35403.69</v>
      </c>
      <c r="J93" s="215"/>
      <c r="K93" s="215"/>
      <c r="L93" s="215"/>
      <c r="M93" s="215"/>
      <c r="N93" s="215"/>
      <c r="O93" s="215"/>
      <c r="P93" s="216">
        <f>SUM(compras_mes2[[#This Row],[NETO GRAVADO]:[Otros / No Grav.]])</f>
        <v>-203992.69</v>
      </c>
      <c r="Q93" s="217" t="str">
        <f>IFERROR(IF(compras_mes2[[#This Row],[CUIT]]="","-",VLOOKUP(compras_mes2[[#This Row],[CUIT]],Lista_CUIT[#All],3,0)),"CUIT NO CARGADO")</f>
        <v>Productos Ortopedicos</v>
      </c>
      <c r="R93" s="217">
        <f>IFERROR(IF(compras_mes2[[#This Row],[CUIT]]="","-",VLOOKUP(compras_mes2[[#This Row],[CUIT]],Lista_CUIT[#All],4,0)),"CUIT NO CARGADO")</f>
        <v>0</v>
      </c>
    </row>
    <row r="94" spans="2:18" x14ac:dyDescent="0.25">
      <c r="B94" s="208">
        <v>44979</v>
      </c>
      <c r="C94" s="209">
        <v>1</v>
      </c>
      <c r="D94" s="210">
        <v>17</v>
      </c>
      <c r="E94" s="211">
        <v>779</v>
      </c>
      <c r="F94" s="212">
        <v>30711764921</v>
      </c>
      <c r="G94" s="213" t="str">
        <f>IFERROR(IF(compras_mes2[[#This Row],[CUIT]]="","-",VLOOKUP(compras_mes2[[#This Row],[CUIT]],Lista_CUIT[#All],2,0)),"CUIT NO CARGADO")</f>
        <v>RELIEF CENTER SRL</v>
      </c>
      <c r="H94" s="214">
        <v>168589</v>
      </c>
      <c r="I94" s="215">
        <f>IF(compras_mes2[[#This Row],[NETO GRAVADO]]="","",compras_mes2[[#This Row],[NETO GRAVADO]]*0.21)</f>
        <v>35403.69</v>
      </c>
      <c r="J94" s="215"/>
      <c r="K94" s="215"/>
      <c r="L94" s="215"/>
      <c r="M94" s="215"/>
      <c r="N94" s="215"/>
      <c r="O94" s="215"/>
      <c r="P94" s="216">
        <f>SUM(compras_mes2[[#This Row],[NETO GRAVADO]:[Otros / No Grav.]])</f>
        <v>203992.69</v>
      </c>
      <c r="Q94" s="217" t="str">
        <f>IFERROR(IF(compras_mes2[[#This Row],[CUIT]]="","-",VLOOKUP(compras_mes2[[#This Row],[CUIT]],Lista_CUIT[#All],3,0)),"CUIT NO CARGADO")</f>
        <v>Productos Ortopedicos</v>
      </c>
      <c r="R94" s="217">
        <f>IFERROR(IF(compras_mes2[[#This Row],[CUIT]]="","-",VLOOKUP(compras_mes2[[#This Row],[CUIT]],Lista_CUIT[#All],4,0)),"CUIT NO CARGADO")</f>
        <v>0</v>
      </c>
    </row>
    <row r="95" spans="2:18" x14ac:dyDescent="0.25">
      <c r="B95" s="168">
        <v>44979</v>
      </c>
      <c r="C95" s="41">
        <v>1</v>
      </c>
      <c r="D95" s="169">
        <v>17</v>
      </c>
      <c r="E95" s="207">
        <v>781</v>
      </c>
      <c r="F95" s="170">
        <v>30711764921</v>
      </c>
      <c r="G95" s="171" t="str">
        <f>IFERROR(IF(compras_mes2[[#This Row],[CUIT]]="","-",VLOOKUP(compras_mes2[[#This Row],[CUIT]],Lista_CUIT[#All],2,0)),"CUIT NO CARGADO")</f>
        <v>RELIEF CENTER SRL</v>
      </c>
      <c r="H95" s="172">
        <v>158599</v>
      </c>
      <c r="I95" s="173">
        <f>IF(compras_mes2[[#This Row],[NETO GRAVADO]]="","",compras_mes2[[#This Row],[NETO GRAVADO]]*0.21)</f>
        <v>33305.79</v>
      </c>
      <c r="J95" s="173"/>
      <c r="K95" s="173"/>
      <c r="L95" s="173"/>
      <c r="M95" s="173"/>
      <c r="N95" s="173"/>
      <c r="O95" s="173"/>
      <c r="P95" s="174">
        <f>SUM(compras_mes2[[#This Row],[NETO GRAVADO]:[Otros / No Grav.]])</f>
        <v>191904.79</v>
      </c>
      <c r="Q95" s="175" t="str">
        <f>IFERROR(IF(compras_mes2[[#This Row],[CUIT]]="","-",VLOOKUP(compras_mes2[[#This Row],[CUIT]],Lista_CUIT[#All],3,0)),"CUIT NO CARGADO")</f>
        <v>Productos Ortopedicos</v>
      </c>
      <c r="R95" s="175">
        <f>IFERROR(IF(compras_mes2[[#This Row],[CUIT]]="","-",VLOOKUP(compras_mes2[[#This Row],[CUIT]],Lista_CUIT[#All],4,0)),"CUIT NO CARGADO")</f>
        <v>0</v>
      </c>
    </row>
    <row r="96" spans="2:18" x14ac:dyDescent="0.25">
      <c r="B96" s="168">
        <v>44979</v>
      </c>
      <c r="C96" s="41">
        <v>1</v>
      </c>
      <c r="D96" s="169">
        <v>1</v>
      </c>
      <c r="E96" s="207">
        <v>1107</v>
      </c>
      <c r="F96" s="170">
        <v>30717179389</v>
      </c>
      <c r="G96" s="171" t="str">
        <f>IFERROR(IF(compras_mes2[[#This Row],[CUIT]]="","-",VLOOKUP(compras_mes2[[#This Row],[CUIT]],Lista_CUIT[#All],2,0)),"CUIT NO CARGADO")</f>
        <v>NICOLAS TOBIAS SEQUEIRA Y MARIA GABRIELA RATTNER SOCIEDAD DE LA SECCION IV LGS</v>
      </c>
      <c r="H96" s="172">
        <v>24462.81</v>
      </c>
      <c r="I96" s="173">
        <f>IF(compras_mes2[[#This Row],[NETO GRAVADO]]="","",compras_mes2[[#This Row],[NETO GRAVADO]]*0.21)</f>
        <v>5137.1900999999998</v>
      </c>
      <c r="J96" s="173"/>
      <c r="K96" s="173"/>
      <c r="L96" s="173"/>
      <c r="M96" s="173"/>
      <c r="N96" s="173"/>
      <c r="O96" s="173"/>
      <c r="P96" s="174">
        <f>SUM(compras_mes2[[#This Row],[NETO GRAVADO]:[Otros / No Grav.]])</f>
        <v>29600.000100000001</v>
      </c>
      <c r="Q96" s="175" t="str">
        <f>IFERROR(IF(compras_mes2[[#This Row],[CUIT]]="","-",VLOOKUP(compras_mes2[[#This Row],[CUIT]],Lista_CUIT[#All],3,0)),"CUIT NO CARGADO")</f>
        <v>COMBUSTIBLE</v>
      </c>
      <c r="R96" s="175">
        <f>IFERROR(IF(compras_mes2[[#This Row],[CUIT]]="","-",VLOOKUP(compras_mes2[[#This Row],[CUIT]],Lista_CUIT[#All],4,0)),"CUIT NO CARGADO")</f>
        <v>0</v>
      </c>
    </row>
    <row r="97" spans="2:19" s="56" customFormat="1" ht="18.600000000000001" customHeight="1" x14ac:dyDescent="0.25">
      <c r="B97" s="168">
        <v>44979</v>
      </c>
      <c r="C97" s="41">
        <v>1</v>
      </c>
      <c r="D97" s="169">
        <v>2</v>
      </c>
      <c r="E97" s="207">
        <v>7798</v>
      </c>
      <c r="F97" s="170">
        <v>30714331082</v>
      </c>
      <c r="G97" s="171" t="str">
        <f>IFERROR(IF(compras_mes2[[#This Row],[CUIT]]="","-",VLOOKUP(compras_mes2[[#This Row],[CUIT]],Lista_CUIT[#All],2,0)),"CUIT NO CARGADO")</f>
        <v>ORTOPEDIA CASA ESCALADA SRL</v>
      </c>
      <c r="H97" s="172">
        <v>668883.09</v>
      </c>
      <c r="I97" s="173">
        <f>IF(compras_mes2[[#This Row],[NETO GRAVADO]]="","",compras_mes2[[#This Row],[NETO GRAVADO]]*0.21)</f>
        <v>140465.44889999999</v>
      </c>
      <c r="J97" s="173"/>
      <c r="K97" s="173"/>
      <c r="L97" s="173"/>
      <c r="M97" s="173"/>
      <c r="N97" s="173"/>
      <c r="O97" s="173"/>
      <c r="P97" s="174">
        <f>SUM(compras_mes2[[#This Row],[NETO GRAVADO]:[Otros / No Grav.]])</f>
        <v>809348.53889999993</v>
      </c>
      <c r="Q97" s="175" t="str">
        <f>IFERROR(IF(compras_mes2[[#This Row],[CUIT]]="","-",VLOOKUP(compras_mes2[[#This Row],[CUIT]],Lista_CUIT[#All],3,0)),"CUIT NO CARGADO")</f>
        <v>Productos Ortopedicos</v>
      </c>
      <c r="R97" s="175">
        <f>IFERROR(IF(compras_mes2[[#This Row],[CUIT]]="","-",VLOOKUP(compras_mes2[[#This Row],[CUIT]],Lista_CUIT[#All],4,0)),"CUIT NO CARGADO")</f>
        <v>0</v>
      </c>
    </row>
    <row r="98" spans="2:19" x14ac:dyDescent="0.25">
      <c r="B98" s="168">
        <v>44979</v>
      </c>
      <c r="C98" s="41">
        <v>1</v>
      </c>
      <c r="D98" s="169">
        <v>5</v>
      </c>
      <c r="E98" s="207">
        <v>2713093</v>
      </c>
      <c r="F98" s="170">
        <v>30702652975</v>
      </c>
      <c r="G98" s="171" t="str">
        <f>IFERROR(IF(compras_mes2[[#This Row],[CUIT]]="","-",VLOOKUP(compras_mes2[[#This Row],[CUIT]],Lista_CUIT[#All],2,0)),"CUIT NO CARGADO")</f>
        <v>NSS SA</v>
      </c>
      <c r="H98" s="172">
        <v>5151.18</v>
      </c>
      <c r="I98" s="173">
        <f>IF(compras_mes2[[#This Row],[NETO GRAVADO]]="","",compras_mes2[[#This Row],[NETO GRAVADO]]*0.21)</f>
        <v>1081.7478000000001</v>
      </c>
      <c r="J98" s="173"/>
      <c r="K98" s="173"/>
      <c r="L98" s="173"/>
      <c r="M98" s="173"/>
      <c r="N98" s="173">
        <v>180.29</v>
      </c>
      <c r="O98" s="173"/>
      <c r="P98" s="174">
        <f>SUM(compras_mes2[[#This Row],[NETO GRAVADO]:[Otros / No Grav.]])</f>
        <v>6413.2178000000004</v>
      </c>
      <c r="Q98" s="175" t="str">
        <f>IFERROR(IF(compras_mes2[[#This Row],[CUIT]]="","-",VLOOKUP(compras_mes2[[#This Row],[CUIT]],Lista_CUIT[#All],3,0)),"CUIT NO CARGADO")</f>
        <v>TELEFONIA</v>
      </c>
      <c r="R98" s="175">
        <f>IFERROR(IF(compras_mes2[[#This Row],[CUIT]]="","-",VLOOKUP(compras_mes2[[#This Row],[CUIT]],Lista_CUIT[#All],4,0)),"CUIT NO CARGADO")</f>
        <v>0</v>
      </c>
    </row>
    <row r="99" spans="2:19" x14ac:dyDescent="0.25">
      <c r="B99" s="208">
        <v>44980</v>
      </c>
      <c r="C99" s="209">
        <v>1</v>
      </c>
      <c r="D99" s="210">
        <v>907</v>
      </c>
      <c r="E99" s="211">
        <v>206</v>
      </c>
      <c r="F99" s="212">
        <v>30685849751</v>
      </c>
      <c r="G99" s="213" t="str">
        <f>IFERROR(IF(compras_mes2[[#This Row],[CUIT]]="","-",VLOOKUP(compras_mes2[[#This Row],[CUIT]],Lista_CUIT[#All],2,0)),"CUIT NO CARGADO")</f>
        <v>DIA ARGENTINA S.A.</v>
      </c>
      <c r="H99" s="214">
        <v>415.37</v>
      </c>
      <c r="I99" s="215">
        <f>IF(compras_mes2[[#This Row],[NETO GRAVADO]]="","",compras_mes2[[#This Row],[NETO GRAVADO]]*0.21)</f>
        <v>87.227699999999999</v>
      </c>
      <c r="J99" s="215"/>
      <c r="K99" s="215"/>
      <c r="L99" s="215"/>
      <c r="M99" s="215"/>
      <c r="N99" s="215"/>
      <c r="O99" s="215"/>
      <c r="P99" s="216">
        <f>SUM(compras_mes2[[#This Row],[NETO GRAVADO]:[Otros / No Grav.]])</f>
        <v>502.59770000000003</v>
      </c>
      <c r="Q99" s="217" t="str">
        <f>IFERROR(IF(compras_mes2[[#This Row],[CUIT]]="","-",VLOOKUP(compras_mes2[[#This Row],[CUIT]],Lista_CUIT[#All],3,0)),"CUIT NO CARGADO")</f>
        <v>Gastos Varios</v>
      </c>
      <c r="R99" s="217">
        <f>IFERROR(IF(compras_mes2[[#This Row],[CUIT]]="","-",VLOOKUP(compras_mes2[[#This Row],[CUIT]],Lista_CUIT[#All],4,0)),"CUIT NO CARGADO")</f>
        <v>0</v>
      </c>
    </row>
    <row r="100" spans="2:19" x14ac:dyDescent="0.25">
      <c r="B100" s="168">
        <v>44980</v>
      </c>
      <c r="C100" s="41">
        <v>1</v>
      </c>
      <c r="D100" s="169">
        <v>17</v>
      </c>
      <c r="E100" s="207">
        <v>787</v>
      </c>
      <c r="F100" s="170">
        <v>30711764921</v>
      </c>
      <c r="G100" s="171" t="str">
        <f>IFERROR(IF(compras_mes2[[#This Row],[CUIT]]="","-",VLOOKUP(compras_mes2[[#This Row],[CUIT]],Lista_CUIT[#All],2,0)),"CUIT NO CARGADO")</f>
        <v>RELIEF CENTER SRL</v>
      </c>
      <c r="H100" s="172">
        <v>17197</v>
      </c>
      <c r="I100" s="173">
        <f>IF(compras_mes2[[#This Row],[NETO GRAVADO]]="","",compras_mes2[[#This Row],[NETO GRAVADO]]*0.21)</f>
        <v>3611.37</v>
      </c>
      <c r="J100" s="173"/>
      <c r="K100" s="173"/>
      <c r="L100" s="173"/>
      <c r="M100" s="173"/>
      <c r="N100" s="173"/>
      <c r="O100" s="173"/>
      <c r="P100" s="174">
        <f>SUM(compras_mes2[[#This Row],[NETO GRAVADO]:[Otros / No Grav.]])</f>
        <v>20808.37</v>
      </c>
      <c r="Q100" s="175" t="str">
        <f>IFERROR(IF(compras_mes2[[#This Row],[CUIT]]="","-",VLOOKUP(compras_mes2[[#This Row],[CUIT]],Lista_CUIT[#All],3,0)),"CUIT NO CARGADO")</f>
        <v>Productos Ortopedicos</v>
      </c>
      <c r="R100" s="175">
        <f>IFERROR(IF(compras_mes2[[#This Row],[CUIT]]="","-",VLOOKUP(compras_mes2[[#This Row],[CUIT]],Lista_CUIT[#All],4,0)),"CUIT NO CARGADO")</f>
        <v>0</v>
      </c>
    </row>
    <row r="101" spans="2:19" ht="14.45" customHeight="1" x14ac:dyDescent="0.25">
      <c r="B101" s="168">
        <v>44980</v>
      </c>
      <c r="C101" s="41">
        <v>1</v>
      </c>
      <c r="D101" s="169">
        <v>37</v>
      </c>
      <c r="E101" s="207">
        <v>962</v>
      </c>
      <c r="F101" s="170">
        <v>30690212265</v>
      </c>
      <c r="G101" s="171" t="str">
        <f>IFERROR(IF(compras_mes2[[#This Row],[CUIT]]="","-",VLOOKUP(compras_mes2[[#This Row],[CUIT]],Lista_CUIT[#All],2,0)),"CUIT NO CARGADO")</f>
        <v>GIAMPAOLETTI  S A</v>
      </c>
      <c r="H101" s="172">
        <v>8414.9500000000007</v>
      </c>
      <c r="I101" s="173">
        <f>IF(compras_mes2[[#This Row],[NETO GRAVADO]]="","",compras_mes2[[#This Row],[NETO GRAVADO]]*0.21)</f>
        <v>1767.1395</v>
      </c>
      <c r="J101" s="173"/>
      <c r="K101" s="173"/>
      <c r="L101" s="173"/>
      <c r="M101" s="173"/>
      <c r="N101" s="173"/>
      <c r="O101" s="173"/>
      <c r="P101" s="174">
        <f>SUM(compras_mes2[[#This Row],[NETO GRAVADO]:[Otros / No Grav.]])</f>
        <v>10182.0895</v>
      </c>
      <c r="Q101" s="175" t="str">
        <f>IFERROR(IF(compras_mes2[[#This Row],[CUIT]]="","-",VLOOKUP(compras_mes2[[#This Row],[CUIT]],Lista_CUIT[#All],3,0)),"CUIT NO CARGADO")</f>
        <v>FLETE</v>
      </c>
      <c r="R101" s="175">
        <f>IFERROR(IF(compras_mes2[[#This Row],[CUIT]]="","-",VLOOKUP(compras_mes2[[#This Row],[CUIT]],Lista_CUIT[#All],4,0)),"CUIT NO CARGADO")</f>
        <v>0</v>
      </c>
    </row>
    <row r="102" spans="2:19" ht="22.9" customHeight="1" x14ac:dyDescent="0.25">
      <c r="B102" s="168">
        <v>44980</v>
      </c>
      <c r="C102" s="41">
        <v>1</v>
      </c>
      <c r="D102" s="169">
        <v>3</v>
      </c>
      <c r="E102" s="207">
        <v>7594</v>
      </c>
      <c r="F102" s="170">
        <v>20045615473</v>
      </c>
      <c r="G102" s="171" t="str">
        <f>IFERROR(IF(compras_mes2[[#This Row],[CUIT]]="","-",VLOOKUP(compras_mes2[[#This Row],[CUIT]],Lista_CUIT[#All],2,0)),"CUIT NO CARGADO")</f>
        <v xml:space="preserve">DI FEO HUGO PASCUAL </v>
      </c>
      <c r="H102" s="172">
        <v>39815</v>
      </c>
      <c r="I102" s="173">
        <f>IF(compras_mes2[[#This Row],[NETO GRAVADO]]="","",compras_mes2[[#This Row],[NETO GRAVADO]]*0.21)</f>
        <v>8361.15</v>
      </c>
      <c r="J102" s="173"/>
      <c r="K102" s="173"/>
      <c r="L102" s="173"/>
      <c r="M102" s="173"/>
      <c r="N102" s="173"/>
      <c r="O102" s="173"/>
      <c r="P102" s="174">
        <f>SUM(compras_mes2[[#This Row],[NETO GRAVADO]:[Otros / No Grav.]])</f>
        <v>48176.15</v>
      </c>
      <c r="Q102" s="175" t="str">
        <f>IFERROR(IF(compras_mes2[[#This Row],[CUIT]]="","-",VLOOKUP(compras_mes2[[#This Row],[CUIT]],Lista_CUIT[#All],3,0)),"CUIT NO CARGADO")</f>
        <v>Productos Ortopedicos</v>
      </c>
      <c r="R102" s="175">
        <f>IFERROR(IF(compras_mes2[[#This Row],[CUIT]]="","-",VLOOKUP(compras_mes2[[#This Row],[CUIT]],Lista_CUIT[#All],4,0)),"CUIT NO CARGADO")</f>
        <v>0</v>
      </c>
    </row>
    <row r="103" spans="2:19" x14ac:dyDescent="0.25">
      <c r="B103" s="40">
        <v>44981</v>
      </c>
      <c r="C103" s="41">
        <v>1</v>
      </c>
      <c r="D103" s="42">
        <v>12</v>
      </c>
      <c r="E103" s="43">
        <v>13</v>
      </c>
      <c r="F103" s="44">
        <v>27202892936</v>
      </c>
      <c r="G103" s="45" t="str">
        <f>IFERROR(IF(compras_mes2[[#This Row],[CUIT]]="","-",VLOOKUP(compras_mes2[[#This Row],[CUIT]],Lista_CUIT[#All],2,0)),"CUIT NO CARGADO")</f>
        <v>Moriondo, Adriana Ines</v>
      </c>
      <c r="H103" s="46">
        <v>431569.33</v>
      </c>
      <c r="I103" s="85">
        <f>IF(compras_mes2[[#This Row],[NETO GRAVADO]]="","",compras_mes2[[#This Row],[NETO GRAVADO]]*0.21)</f>
        <v>90629.559299999994</v>
      </c>
      <c r="J103" s="85"/>
      <c r="K103" s="85"/>
      <c r="L103" s="85"/>
      <c r="M103" s="85"/>
      <c r="N103" s="85"/>
      <c r="O103" s="85"/>
      <c r="P103" s="48">
        <f>SUM(compras_mes2[[#This Row],[NETO GRAVADO]:[Otros / No Grav.]])</f>
        <v>522198.88930000004</v>
      </c>
      <c r="Q103" s="49" t="str">
        <f>IFERROR(IF(compras_mes2[[#This Row],[CUIT]]="","-",VLOOKUP(compras_mes2[[#This Row],[CUIT]],Lista_CUIT[#All],3,0)),"CUIT NO CARGADO")</f>
        <v>PATENTES</v>
      </c>
      <c r="R103" s="49">
        <f>IFERROR(IF(compras_mes2[[#This Row],[CUIT]]="","-",VLOOKUP(compras_mes2[[#This Row],[CUIT]],Lista_CUIT[#All],4,0)),"CUIT NO CARGADO")</f>
        <v>0</v>
      </c>
    </row>
    <row r="104" spans="2:19" ht="14.45" customHeight="1" x14ac:dyDescent="0.25">
      <c r="B104" s="89">
        <v>44981</v>
      </c>
      <c r="C104" s="41">
        <v>1</v>
      </c>
      <c r="D104" s="91">
        <v>1</v>
      </c>
      <c r="E104" s="92">
        <v>791</v>
      </c>
      <c r="F104" s="93">
        <v>30715224468</v>
      </c>
      <c r="G104" s="94" t="str">
        <f>IFERROR(IF(compras_mes2[[#This Row],[CUIT]]="","-",VLOOKUP(compras_mes2[[#This Row],[CUIT]],Lista_CUIT[#All],2,0)),"CUIT NO CARGADO")</f>
        <v>MLND SRL</v>
      </c>
      <c r="H104" s="95">
        <v>5785.14</v>
      </c>
      <c r="I104" s="86">
        <f>IF(compras_mes2[[#This Row],[NETO GRAVADO]]="","",compras_mes2[[#This Row],[NETO GRAVADO]]*0.21)</f>
        <v>1214.8794</v>
      </c>
      <c r="J104" s="86"/>
      <c r="K104" s="86"/>
      <c r="L104" s="86"/>
      <c r="M104" s="86"/>
      <c r="N104" s="86"/>
      <c r="O104" s="86"/>
      <c r="P104" s="87">
        <f>SUM(compras_mes2[[#This Row],[NETO GRAVADO]:[Otros / No Grav.]])</f>
        <v>7000.0194000000001</v>
      </c>
      <c r="Q104" s="88" t="str">
        <f>IFERROR(IF(compras_mes2[[#This Row],[CUIT]]="","-",VLOOKUP(compras_mes2[[#This Row],[CUIT]],Lista_CUIT[#All],3,0)),"CUIT NO CARGADO")</f>
        <v>Productos Ortopedicos</v>
      </c>
      <c r="R104" s="88">
        <f>IFERROR(IF(compras_mes2[[#This Row],[CUIT]]="","-",VLOOKUP(compras_mes2[[#This Row],[CUIT]],Lista_CUIT[#All],4,0)),"CUIT NO CARGADO")</f>
        <v>0</v>
      </c>
    </row>
    <row r="105" spans="2:19" ht="14.45" customHeight="1" x14ac:dyDescent="0.25">
      <c r="B105" s="219">
        <v>44981</v>
      </c>
      <c r="C105" s="209">
        <v>1</v>
      </c>
      <c r="D105" s="220">
        <v>11</v>
      </c>
      <c r="E105" s="221">
        <v>80004</v>
      </c>
      <c r="F105" s="222">
        <v>30526582884</v>
      </c>
      <c r="G105" s="223" t="str">
        <f>IFERROR(IF(compras_mes2[[#This Row],[CUIT]]="","-",VLOOKUP(compras_mes2[[#This Row],[CUIT]],Lista_CUIT[#All],2,0)),"CUIT NO CARGADO")</f>
        <v>EXPRESO MAR DEL PLATA S.A.</v>
      </c>
      <c r="H105" s="224">
        <v>3991.74</v>
      </c>
      <c r="I105" s="225">
        <f>IF(compras_mes2[[#This Row],[NETO GRAVADO]]="","",compras_mes2[[#This Row],[NETO GRAVADO]]*0.21)</f>
        <v>838.26539999999989</v>
      </c>
      <c r="J105" s="225"/>
      <c r="K105" s="225"/>
      <c r="L105" s="225"/>
      <c r="M105" s="225"/>
      <c r="N105" s="225"/>
      <c r="O105" s="225"/>
      <c r="P105" s="226">
        <f>SUM(compras_mes2[[#This Row],[NETO GRAVADO]:[Otros / No Grav.]])</f>
        <v>4830.0054</v>
      </c>
      <c r="Q105" s="227" t="str">
        <f>IFERROR(IF(compras_mes2[[#This Row],[CUIT]]="","-",VLOOKUP(compras_mes2[[#This Row],[CUIT]],Lista_CUIT[#All],3,0)),"CUIT NO CARGADO")</f>
        <v>FLETE</v>
      </c>
      <c r="R105" s="227">
        <f>IFERROR(IF(compras_mes2[[#This Row],[CUIT]]="","-",VLOOKUP(compras_mes2[[#This Row],[CUIT]],Lista_CUIT[#All],4,0)),"CUIT NO CARGADO")</f>
        <v>0</v>
      </c>
    </row>
    <row r="106" spans="2:19" ht="15" customHeight="1" x14ac:dyDescent="0.25">
      <c r="B106" s="89">
        <v>44981</v>
      </c>
      <c r="C106" s="41">
        <v>1</v>
      </c>
      <c r="D106" s="91">
        <v>5</v>
      </c>
      <c r="E106" s="92">
        <v>139477</v>
      </c>
      <c r="F106" s="93">
        <v>30598960093</v>
      </c>
      <c r="G106" s="94" t="str">
        <f>IFERROR(IF(compras_mes2[[#This Row],[CUIT]]="","-",VLOOKUP(compras_mes2[[#This Row],[CUIT]],Lista_CUIT[#All],2,0)),"CUIT NO CARGADO")</f>
        <v>SILVESTRIN FABRIS SRL</v>
      </c>
      <c r="H106" s="95">
        <v>17397</v>
      </c>
      <c r="I106" s="86">
        <f>IF(compras_mes2[[#This Row],[NETO GRAVADO]]="","",compras_mes2[[#This Row],[NETO GRAVADO]]*0.21)</f>
        <v>3653.37</v>
      </c>
      <c r="J106" s="86"/>
      <c r="K106" s="86"/>
      <c r="L106" s="86"/>
      <c r="M106" s="86"/>
      <c r="N106" s="86">
        <v>608.9</v>
      </c>
      <c r="O106" s="86"/>
      <c r="P106" s="87">
        <f>SUM(compras_mes2[[#This Row],[NETO GRAVADO]:[Otros / No Grav.]])</f>
        <v>21659.27</v>
      </c>
      <c r="Q106" s="88" t="str">
        <f>IFERROR(IF(compras_mes2[[#This Row],[CUIT]]="","-",VLOOKUP(compras_mes2[[#This Row],[CUIT]],Lista_CUIT[#All],3,0)),"CUIT NO CARGADO")</f>
        <v>Productos Ortopedicos</v>
      </c>
      <c r="R106" s="88">
        <f>IFERROR(IF(compras_mes2[[#This Row],[CUIT]]="","-",VLOOKUP(compras_mes2[[#This Row],[CUIT]],Lista_CUIT[#All],4,0)),"CUIT NO CARGADO")</f>
        <v>0</v>
      </c>
    </row>
    <row r="107" spans="2:19" ht="15" customHeight="1" x14ac:dyDescent="0.25">
      <c r="B107" s="168">
        <v>44984</v>
      </c>
      <c r="C107" s="41">
        <v>1</v>
      </c>
      <c r="D107" s="169">
        <v>3</v>
      </c>
      <c r="E107" s="207">
        <v>48</v>
      </c>
      <c r="F107" s="170">
        <v>20334976433</v>
      </c>
      <c r="G107" s="171" t="str">
        <f>IFERROR(IF(compras_mes2[[#This Row],[CUIT]]="","-",VLOOKUP(compras_mes2[[#This Row],[CUIT]],Lista_CUIT[#All],2,0)),"CUIT NO CARGADO")</f>
        <v>NARDOMARINO EZEQUIEL EDUARDO</v>
      </c>
      <c r="H107" s="172">
        <v>78247.95</v>
      </c>
      <c r="I107" s="173">
        <f>IF(compras_mes2[[#This Row],[NETO GRAVADO]]="","",compras_mes2[[#This Row],[NETO GRAVADO]]*0.21)</f>
        <v>16432.069499999998</v>
      </c>
      <c r="J107" s="173"/>
      <c r="K107" s="173"/>
      <c r="L107" s="173"/>
      <c r="M107" s="173"/>
      <c r="N107" s="173"/>
      <c r="O107" s="173"/>
      <c r="P107" s="174">
        <f>SUM(compras_mes2[[#This Row],[NETO GRAVADO]:[Otros / No Grav.]])</f>
        <v>94680.019499999995</v>
      </c>
      <c r="Q107" s="175" t="str">
        <f>IFERROR(IF(compras_mes2[[#This Row],[CUIT]]="","-",VLOOKUP(compras_mes2[[#This Row],[CUIT]],Lista_CUIT[#All],3,0)),"CUIT NO CARGADO")</f>
        <v>FLETE</v>
      </c>
      <c r="R107" s="175">
        <f>IFERROR(IF(compras_mes2[[#This Row],[CUIT]]="","-",VLOOKUP(compras_mes2[[#This Row],[CUIT]],Lista_CUIT[#All],4,0)),"CUIT NO CARGADO")</f>
        <v>0</v>
      </c>
    </row>
    <row r="108" spans="2:19" ht="15" customHeight="1" x14ac:dyDescent="0.25">
      <c r="B108" s="89">
        <v>44984</v>
      </c>
      <c r="C108" s="41">
        <v>1</v>
      </c>
      <c r="D108" s="91">
        <v>6</v>
      </c>
      <c r="E108" s="92">
        <v>443</v>
      </c>
      <c r="F108" s="93">
        <v>20247225243</v>
      </c>
      <c r="G108" s="94" t="str">
        <f>IFERROR(IF(compras_mes2[[#This Row],[CUIT]]="","-",VLOOKUP(compras_mes2[[#This Row],[CUIT]],Lista_CUIT[#All],2,0)),"CUIT NO CARGADO")</f>
        <v>VENTO HUGO GABRIEL</v>
      </c>
      <c r="H108" s="95">
        <v>14825</v>
      </c>
      <c r="I108" s="86">
        <f>IF(compras_mes2[[#This Row],[NETO GRAVADO]]="","",compras_mes2[[#This Row],[NETO GRAVADO]]*0.21)</f>
        <v>3113.25</v>
      </c>
      <c r="J108" s="86"/>
      <c r="K108" s="86"/>
      <c r="L108" s="86"/>
      <c r="M108" s="86"/>
      <c r="N108" s="86"/>
      <c r="O108" s="86"/>
      <c r="P108" s="87">
        <f>SUM(compras_mes2[[#This Row],[NETO GRAVADO]:[Otros / No Grav.]])</f>
        <v>17938.25</v>
      </c>
      <c r="Q108" s="88" t="str">
        <f>IFERROR(IF(compras_mes2[[#This Row],[CUIT]]="","-",VLOOKUP(compras_mes2[[#This Row],[CUIT]],Lista_CUIT[#All],3,0)),"CUIT NO CARGADO")</f>
        <v>Productos Ortopedicos</v>
      </c>
      <c r="R108" s="88">
        <f>IFERROR(IF(compras_mes2[[#This Row],[CUIT]]="","-",VLOOKUP(compras_mes2[[#This Row],[CUIT]],Lista_CUIT[#All],4,0)),"CUIT NO CARGADO")</f>
        <v>0</v>
      </c>
    </row>
    <row r="109" spans="2:19" ht="15" customHeight="1" x14ac:dyDescent="0.25">
      <c r="B109" s="168">
        <v>44984</v>
      </c>
      <c r="C109" s="41">
        <v>1</v>
      </c>
      <c r="D109" s="169">
        <v>5</v>
      </c>
      <c r="E109" s="207">
        <v>1972</v>
      </c>
      <c r="F109" s="170">
        <v>20274215632</v>
      </c>
      <c r="G109" s="171" t="str">
        <f>IFERROR(IF(compras_mes2[[#This Row],[CUIT]]="","-",VLOOKUP(compras_mes2[[#This Row],[CUIT]],Lista_CUIT[#All],2,0)),"CUIT NO CARGADO")</f>
        <v>COLOMBO JAVIER MATIAS</v>
      </c>
      <c r="H109" s="172">
        <v>11694.24</v>
      </c>
      <c r="I109" s="173">
        <f>IF(compras_mes2[[#This Row],[NETO GRAVADO]]="","",compras_mes2[[#This Row],[NETO GRAVADO]]*0.21)</f>
        <v>2455.7903999999999</v>
      </c>
      <c r="J109" s="173"/>
      <c r="K109" s="173"/>
      <c r="L109" s="173"/>
      <c r="M109" s="173"/>
      <c r="N109" s="173"/>
      <c r="O109" s="173"/>
      <c r="P109" s="174">
        <f>SUM(compras_mes2[[#This Row],[NETO GRAVADO]:[Otros / No Grav.]])</f>
        <v>14150.0304</v>
      </c>
      <c r="Q109" s="175" t="str">
        <f>IFERROR(IF(compras_mes2[[#This Row],[CUIT]]="","-",VLOOKUP(compras_mes2[[#This Row],[CUIT]],Lista_CUIT[#All],3,0)),"CUIT NO CARGADO")</f>
        <v>Gastos Varios</v>
      </c>
      <c r="R109" s="175">
        <f>IFERROR(IF(compras_mes2[[#This Row],[CUIT]]="","-",VLOOKUP(compras_mes2[[#This Row],[CUIT]],Lista_CUIT[#All],4,0)),"CUIT NO CARGADO")</f>
        <v>0</v>
      </c>
      <c r="S109" s="184" t="s">
        <v>2240</v>
      </c>
    </row>
    <row r="110" spans="2:19" ht="15" customHeight="1" x14ac:dyDescent="0.25">
      <c r="B110" s="40">
        <v>44984</v>
      </c>
      <c r="C110" s="41">
        <v>1</v>
      </c>
      <c r="D110" s="42">
        <v>4</v>
      </c>
      <c r="E110" s="43">
        <v>3890</v>
      </c>
      <c r="F110" s="44">
        <v>20129871947</v>
      </c>
      <c r="G110" s="45" t="str">
        <f>IFERROR(IF(compras_mes2[[#This Row],[CUIT]]="","-",VLOOKUP(compras_mes2[[#This Row],[CUIT]],Lista_CUIT[#All],2,0)),"CUIT NO CARGADO")</f>
        <v>CARLOS RODOLFO FERNANDEZ</v>
      </c>
      <c r="H110" s="46">
        <v>21645.84</v>
      </c>
      <c r="I110" s="85">
        <f>IF(compras_mes2[[#This Row],[NETO GRAVADO]]="","",compras_mes2[[#This Row],[NETO GRAVADO]]*0.21)</f>
        <v>4545.6264000000001</v>
      </c>
      <c r="J110" s="85"/>
      <c r="K110" s="85"/>
      <c r="L110" s="85"/>
      <c r="M110" s="85"/>
      <c r="N110" s="85"/>
      <c r="O110" s="85"/>
      <c r="P110" s="48">
        <f>SUM(compras_mes2[[#This Row],[NETO GRAVADO]:[Otros / No Grav.]])</f>
        <v>26191.466400000001</v>
      </c>
      <c r="Q110" s="49" t="str">
        <f>IFERROR(IF(compras_mes2[[#This Row],[CUIT]]="","-",VLOOKUP(compras_mes2[[#This Row],[CUIT]],Lista_CUIT[#All],3,0)),"CUIT NO CARGADO")</f>
        <v>INSUMO</v>
      </c>
      <c r="R110" s="49">
        <f>IFERROR(IF(compras_mes2[[#This Row],[CUIT]]="","-",VLOOKUP(compras_mes2[[#This Row],[CUIT]],Lista_CUIT[#All],4,0)),"CUIT NO CARGADO")</f>
        <v>0</v>
      </c>
    </row>
    <row r="111" spans="2:19" ht="23.45" customHeight="1" x14ac:dyDescent="0.25">
      <c r="B111" s="168">
        <v>44984</v>
      </c>
      <c r="C111" s="41">
        <v>1</v>
      </c>
      <c r="D111" s="169">
        <v>3</v>
      </c>
      <c r="E111" s="207">
        <v>18334</v>
      </c>
      <c r="F111" s="170">
        <v>20167787372</v>
      </c>
      <c r="G111" s="171" t="str">
        <f>IFERROR(IF(compras_mes2[[#This Row],[CUIT]]="","-",VLOOKUP(compras_mes2[[#This Row],[CUIT]],Lista_CUIT[#All],2,0)),"CUIT NO CARGADO")</f>
        <v>ZAMORA EDUARDO HERALDO</v>
      </c>
      <c r="H111" s="172">
        <v>8000</v>
      </c>
      <c r="I111" s="173">
        <f>IF(compras_mes2[[#This Row],[NETO GRAVADO]]="","",compras_mes2[[#This Row],[NETO GRAVADO]]*0.21)</f>
        <v>1680</v>
      </c>
      <c r="J111" s="173"/>
      <c r="K111" s="173"/>
      <c r="L111" s="173"/>
      <c r="M111" s="173"/>
      <c r="N111" s="173"/>
      <c r="O111" s="173"/>
      <c r="P111" s="174">
        <f>SUM(compras_mes2[[#This Row],[NETO GRAVADO]:[Otros / No Grav.]])</f>
        <v>9680</v>
      </c>
      <c r="Q111" s="175" t="str">
        <f>IFERROR(IF(compras_mes2[[#This Row],[CUIT]]="","-",VLOOKUP(compras_mes2[[#This Row],[CUIT]],Lista_CUIT[#All],3,0)),"CUIT NO CARGADO")</f>
        <v>FLETE</v>
      </c>
      <c r="R111" s="175">
        <f>IFERROR(IF(compras_mes2[[#This Row],[CUIT]]="","-",VLOOKUP(compras_mes2[[#This Row],[CUIT]],Lista_CUIT[#All],4,0)),"CUIT NO CARGADO")</f>
        <v>0</v>
      </c>
    </row>
    <row r="112" spans="2:19" ht="21" customHeight="1" x14ac:dyDescent="0.25">
      <c r="B112" s="168">
        <v>44984</v>
      </c>
      <c r="C112" s="41">
        <v>1</v>
      </c>
      <c r="D112" s="169">
        <v>6</v>
      </c>
      <c r="E112" s="207">
        <v>47136</v>
      </c>
      <c r="F112" s="170">
        <v>30710177658</v>
      </c>
      <c r="G112" s="171" t="str">
        <f>IFERROR(IF(compras_mes2[[#This Row],[CUIT]]="","-",VLOOKUP(compras_mes2[[#This Row],[CUIT]],Lista_CUIT[#All],2,0)),"CUIT NO CARGADO")</f>
        <v>TARGET MEDICAL SA</v>
      </c>
      <c r="H112" s="172">
        <v>13720</v>
      </c>
      <c r="I112" s="173">
        <f>IF(compras_mes2[[#This Row],[NETO GRAVADO]]="","",compras_mes2[[#This Row],[NETO GRAVADO]]*0.21)</f>
        <v>2881.2</v>
      </c>
      <c r="J112" s="173"/>
      <c r="K112" s="173"/>
      <c r="L112" s="173"/>
      <c r="M112" s="173"/>
      <c r="N112" s="173"/>
      <c r="O112" s="173"/>
      <c r="P112" s="174">
        <f>SUM(compras_mes2[[#This Row],[NETO GRAVADO]:[Otros / No Grav.]])</f>
        <v>16601.2</v>
      </c>
      <c r="Q112" s="175" t="str">
        <f>IFERROR(IF(compras_mes2[[#This Row],[CUIT]]="","-",VLOOKUP(compras_mes2[[#This Row],[CUIT]],Lista_CUIT[#All],3,0)),"CUIT NO CARGADO")</f>
        <v>Productos Ortopedicos</v>
      </c>
      <c r="R112" s="175">
        <f>IFERROR(IF(compras_mes2[[#This Row],[CUIT]]="","-",VLOOKUP(compras_mes2[[#This Row],[CUIT]],Lista_CUIT[#All],4,0)),"CUIT NO CARGADO")</f>
        <v>0</v>
      </c>
    </row>
    <row r="113" spans="2:18" x14ac:dyDescent="0.25">
      <c r="B113" s="277">
        <v>44985</v>
      </c>
      <c r="C113" s="268">
        <v>1</v>
      </c>
      <c r="D113" s="278">
        <v>5</v>
      </c>
      <c r="E113" s="279">
        <v>1116</v>
      </c>
      <c r="F113" s="280">
        <v>30712187316</v>
      </c>
      <c r="G113" s="281" t="str">
        <f>IFERROR(IF(compras_mes2[[#This Row],[CUIT]]="","-",VLOOKUP(compras_mes2[[#This Row],[CUIT]],Lista_CUIT[#All],2,0)),"CUIT NO CARGADO")</f>
        <v>ITALOMED PRODUCTOS SRL</v>
      </c>
      <c r="H113" s="282">
        <v>50933.599999999999</v>
      </c>
      <c r="I113" s="283">
        <f>IF(compras_mes2[[#This Row],[NETO GRAVADO]]="","",compras_mes2[[#This Row],[NETO GRAVADO]]*0.21)</f>
        <v>10696.055999999999</v>
      </c>
      <c r="J113" s="283"/>
      <c r="K113" s="283"/>
      <c r="L113" s="283"/>
      <c r="M113" s="283"/>
      <c r="N113" s="283"/>
      <c r="O113" s="283"/>
      <c r="P113" s="284">
        <f>SUM(compras_mes2[[#This Row],[NETO GRAVADO]:[Otros / No Grav.]])</f>
        <v>61629.655999999995</v>
      </c>
      <c r="Q113" s="285" t="str">
        <f>IFERROR(IF(compras_mes2[[#This Row],[CUIT]]="","-",VLOOKUP(compras_mes2[[#This Row],[CUIT]],Lista_CUIT[#All],3,0)),"CUIT NO CARGADO")</f>
        <v>Productos Ortopedicos</v>
      </c>
      <c r="R113" s="285">
        <f>IFERROR(IF(compras_mes2[[#This Row],[CUIT]]="","-",VLOOKUP(compras_mes2[[#This Row],[CUIT]],Lista_CUIT[#All],4,0)),"CUIT NO CARGADO")</f>
        <v>0</v>
      </c>
    </row>
    <row r="114" spans="2:18" x14ac:dyDescent="0.25">
      <c r="B114" s="208">
        <v>44985</v>
      </c>
      <c r="C114" s="218">
        <v>1</v>
      </c>
      <c r="D114" s="210">
        <v>3</v>
      </c>
      <c r="E114" s="211">
        <v>5627</v>
      </c>
      <c r="F114" s="212">
        <v>20167787372</v>
      </c>
      <c r="G114" s="213" t="str">
        <f>IFERROR(IF(compras_mes2[[#This Row],[CUIT]]="","-",VLOOKUP(compras_mes2[[#This Row],[CUIT]],Lista_CUIT[#All],2,0)),"CUIT NO CARGADO")</f>
        <v>ZAMORA EDUARDO HERALDO</v>
      </c>
      <c r="H114" s="214">
        <v>9680</v>
      </c>
      <c r="I114" s="215"/>
      <c r="J114" s="215"/>
      <c r="K114" s="215"/>
      <c r="L114" s="215"/>
      <c r="M114" s="215"/>
      <c r="N114" s="215"/>
      <c r="O114" s="215"/>
      <c r="P114" s="216">
        <f>SUM(compras_mes2[[#This Row],[NETO GRAVADO]:[Otros / No Grav.]])</f>
        <v>9680</v>
      </c>
      <c r="Q114" s="217" t="str">
        <f>IFERROR(IF(compras_mes2[[#This Row],[CUIT]]="","-",VLOOKUP(compras_mes2[[#This Row],[CUIT]],Lista_CUIT[#All],3,0)),"CUIT NO CARGADO")</f>
        <v>FLETE</v>
      </c>
      <c r="R114" s="217">
        <f>IFERROR(IF(compras_mes2[[#This Row],[CUIT]]="","-",VLOOKUP(compras_mes2[[#This Row],[CUIT]],Lista_CUIT[#All],4,0)),"CUIT NO CARGADO")</f>
        <v>0</v>
      </c>
    </row>
    <row r="115" spans="2:18" x14ac:dyDescent="0.25">
      <c r="B115" s="168">
        <v>44985</v>
      </c>
      <c r="C115" s="41">
        <v>1</v>
      </c>
      <c r="D115" s="169">
        <v>7</v>
      </c>
      <c r="E115" s="207">
        <v>26352</v>
      </c>
      <c r="F115" s="170">
        <v>20271532483</v>
      </c>
      <c r="G115" s="171" t="str">
        <f>IFERROR(IF(compras_mes2[[#This Row],[CUIT]]="","-",VLOOKUP(compras_mes2[[#This Row],[CUIT]],Lista_CUIT[#All],2,0)),"CUIT NO CARGADO")</f>
        <v>DIEGO MARTIN RIOS</v>
      </c>
      <c r="H115" s="172">
        <v>1402966.04</v>
      </c>
      <c r="I115" s="173">
        <f>IF(compras_mes2[[#This Row],[NETO GRAVADO]]="","",compras_mes2[[#This Row],[NETO GRAVADO]]*0.21)</f>
        <v>294622.86839999998</v>
      </c>
      <c r="J115" s="173"/>
      <c r="K115" s="173"/>
      <c r="L115" s="173"/>
      <c r="M115" s="173"/>
      <c r="N115" s="173">
        <v>49103.81</v>
      </c>
      <c r="O115" s="173"/>
      <c r="P115" s="174">
        <f>SUM(compras_mes2[[#This Row],[NETO GRAVADO]:[Otros / No Grav.]])</f>
        <v>1746692.7184000001</v>
      </c>
      <c r="Q115" s="175" t="str">
        <f>IFERROR(IF(compras_mes2[[#This Row],[CUIT]]="","-",VLOOKUP(compras_mes2[[#This Row],[CUIT]],Lista_CUIT[#All],3,0)),"CUIT NO CARGADO")</f>
        <v>Productos Ortopedicos</v>
      </c>
      <c r="R115" s="175">
        <f>IFERROR(IF(compras_mes2[[#This Row],[CUIT]]="","-",VLOOKUP(compras_mes2[[#This Row],[CUIT]],Lista_CUIT[#All],4,0)),"CUIT NO CARGADO")</f>
        <v>0</v>
      </c>
    </row>
    <row r="116" spans="2:18" x14ac:dyDescent="0.25">
      <c r="B116" s="208">
        <v>44985</v>
      </c>
      <c r="C116" s="218">
        <v>3</v>
      </c>
      <c r="D116" s="210">
        <v>23</v>
      </c>
      <c r="E116" s="211">
        <v>32728</v>
      </c>
      <c r="F116" s="212">
        <v>30703088534</v>
      </c>
      <c r="G116" s="213" t="str">
        <f>IFERROR(IF(compras_mes2[[#This Row],[CUIT]]="","-",VLOOKUP(compras_mes2[[#This Row],[CUIT]],Lista_CUIT[#All],2,0)),"CUIT NO CARGADO")</f>
        <v>MERCADO LIBRE SRL</v>
      </c>
      <c r="H116" s="214">
        <v>-203.3</v>
      </c>
      <c r="I116" s="215">
        <v>-42.7</v>
      </c>
      <c r="J116" s="215"/>
      <c r="K116" s="215"/>
      <c r="L116" s="215"/>
      <c r="M116" s="215"/>
      <c r="N116" s="215"/>
      <c r="O116" s="215">
        <v>-6.1</v>
      </c>
      <c r="P116" s="216">
        <f>SUM(compras_mes2[[#This Row],[NETO GRAVADO]:[Otros / No Grav.]])</f>
        <v>-252.1</v>
      </c>
      <c r="Q116" s="217" t="str">
        <f>IFERROR(IF(compras_mes2[[#This Row],[CUIT]]="","-",VLOOKUP(compras_mes2[[#This Row],[CUIT]],Lista_CUIT[#All],3,0)),"CUIT NO CARGADO")</f>
        <v>GASTOS COMERCIALIZACION</v>
      </c>
      <c r="R116" s="217">
        <f>IFERROR(IF(compras_mes2[[#This Row],[CUIT]]="","-",VLOOKUP(compras_mes2[[#This Row],[CUIT]],Lista_CUIT[#All],4,0)),"CUIT NO CARGADO")</f>
        <v>0</v>
      </c>
    </row>
    <row r="117" spans="2:18" x14ac:dyDescent="0.25">
      <c r="B117" s="208">
        <v>44985</v>
      </c>
      <c r="C117" s="209">
        <v>1</v>
      </c>
      <c r="D117" s="210">
        <v>20</v>
      </c>
      <c r="E117" s="211">
        <v>140387</v>
      </c>
      <c r="F117" s="212">
        <v>30696850972</v>
      </c>
      <c r="G117" s="213" t="str">
        <f>IFERROR(IF(compras_mes2[[#This Row],[CUIT]]="","-",VLOOKUP(compras_mes2[[#This Row],[CUIT]],Lista_CUIT[#All],2,0)),"CUIT NO CARGADO")</f>
        <v>CPS COMUNICACIONES SA</v>
      </c>
      <c r="H117" s="214">
        <v>2839.04</v>
      </c>
      <c r="I117" s="215"/>
      <c r="J117" s="215">
        <v>766.54</v>
      </c>
      <c r="K117" s="215"/>
      <c r="L117" s="215"/>
      <c r="M117" s="215"/>
      <c r="N117" s="215">
        <v>99.35</v>
      </c>
      <c r="O117" s="215"/>
      <c r="P117" s="216">
        <f>SUM(compras_mes2[[#This Row],[NETO GRAVADO]:[Otros / No Grav.]])</f>
        <v>3704.93</v>
      </c>
      <c r="Q117" s="217" t="str">
        <f>IFERROR(IF(compras_mes2[[#This Row],[CUIT]]="","-",VLOOKUP(compras_mes2[[#This Row],[CUIT]],Lista_CUIT[#All],3,0)),"CUIT NO CARGADO")</f>
        <v>SERVICIO DE TELEFONIA</v>
      </c>
      <c r="R117" s="217">
        <f>IFERROR(IF(compras_mes2[[#This Row],[CUIT]]="","-",VLOOKUP(compras_mes2[[#This Row],[CUIT]],Lista_CUIT[#All],4,0)),"CUIT NO CARGADO")</f>
        <v>0</v>
      </c>
    </row>
    <row r="118" spans="2:18" s="56" customFormat="1" ht="18.600000000000001" customHeight="1" x14ac:dyDescent="0.25">
      <c r="B118" s="208">
        <v>44985</v>
      </c>
      <c r="C118" s="209">
        <v>1</v>
      </c>
      <c r="D118" s="210">
        <v>700</v>
      </c>
      <c r="E118" s="211">
        <v>832781</v>
      </c>
      <c r="F118" s="212">
        <v>30715804812</v>
      </c>
      <c r="G118" s="213" t="str">
        <f>IFERROR(IF(compras_mes2[[#This Row],[CUIT]]="","-",VLOOKUP(compras_mes2[[#This Row],[CUIT]],Lista_CUIT[#All],2,0)),"CUIT NO CARGADO")</f>
        <v>CORREDORES VIALES SOCIEDAD ANONIMA</v>
      </c>
      <c r="H118" s="214">
        <v>1834.71</v>
      </c>
      <c r="I118" s="215">
        <f>IF(compras_mes2[[#This Row],[NETO GRAVADO]]="","",compras_mes2[[#This Row],[NETO GRAVADO]]*0.21)</f>
        <v>385.28910000000002</v>
      </c>
      <c r="J118" s="215"/>
      <c r="K118" s="215"/>
      <c r="L118" s="215"/>
      <c r="M118" s="215"/>
      <c r="N118" s="215">
        <v>64.22</v>
      </c>
      <c r="O118" s="215"/>
      <c r="P118" s="216">
        <f>SUM(compras_mes2[[#This Row],[NETO GRAVADO]:[Otros / No Grav.]])</f>
        <v>2284.2190999999998</v>
      </c>
      <c r="Q118" s="217" t="str">
        <f>IFERROR(IF(compras_mes2[[#This Row],[CUIT]]="","-",VLOOKUP(compras_mes2[[#This Row],[CUIT]],Lista_CUIT[#All],3,0)),"CUIT NO CARGADO")</f>
        <v>Autopista</v>
      </c>
      <c r="R118" s="217">
        <f>IFERROR(IF(compras_mes2[[#This Row],[CUIT]]="","-",VLOOKUP(compras_mes2[[#This Row],[CUIT]],Lista_CUIT[#All],4,0)),"CUIT NO CARGADO")</f>
        <v>0</v>
      </c>
    </row>
    <row r="119" spans="2:18" x14ac:dyDescent="0.25">
      <c r="B119" s="208">
        <v>44985</v>
      </c>
      <c r="C119" s="209">
        <v>1</v>
      </c>
      <c r="D119" s="210">
        <v>700</v>
      </c>
      <c r="E119" s="211">
        <v>832782</v>
      </c>
      <c r="F119" s="212">
        <v>30715804812</v>
      </c>
      <c r="G119" s="213" t="str">
        <f>IFERROR(IF(compras_mes2[[#This Row],[CUIT]]="","-",VLOOKUP(compras_mes2[[#This Row],[CUIT]],Lista_CUIT[#All],2,0)),"CUIT NO CARGADO")</f>
        <v>CORREDORES VIALES SOCIEDAD ANONIMA</v>
      </c>
      <c r="H119" s="214">
        <v>495.87</v>
      </c>
      <c r="I119" s="215">
        <f>IF(compras_mes2[[#This Row],[NETO GRAVADO]]="","",compras_mes2[[#This Row],[NETO GRAVADO]]*0.21)</f>
        <v>104.1327</v>
      </c>
      <c r="J119" s="215"/>
      <c r="K119" s="215"/>
      <c r="L119" s="215"/>
      <c r="M119" s="215"/>
      <c r="N119" s="215"/>
      <c r="O119" s="215"/>
      <c r="P119" s="216">
        <f>SUM(compras_mes2[[#This Row],[NETO GRAVADO]:[Otros / No Grav.]])</f>
        <v>600.0027</v>
      </c>
      <c r="Q119" s="217" t="str">
        <f>IFERROR(IF(compras_mes2[[#This Row],[CUIT]]="","-",VLOOKUP(compras_mes2[[#This Row],[CUIT]],Lista_CUIT[#All],3,0)),"CUIT NO CARGADO")</f>
        <v>Autopista</v>
      </c>
      <c r="R119" s="217">
        <f>IFERROR(IF(compras_mes2[[#This Row],[CUIT]]="","-",VLOOKUP(compras_mes2[[#This Row],[CUIT]],Lista_CUIT[#All],4,0)),"CUIT NO CARGADO")</f>
        <v>0</v>
      </c>
    </row>
    <row r="120" spans="2:18" x14ac:dyDescent="0.25">
      <c r="B120" s="208">
        <v>44985</v>
      </c>
      <c r="C120" s="209">
        <v>1</v>
      </c>
      <c r="D120" s="210">
        <v>23</v>
      </c>
      <c r="E120" s="211">
        <v>989866</v>
      </c>
      <c r="F120" s="212">
        <v>30703088534</v>
      </c>
      <c r="G120" s="213" t="str">
        <f>IFERROR(IF(compras_mes2[[#This Row],[CUIT]]="","-",VLOOKUP(compras_mes2[[#This Row],[CUIT]],Lista_CUIT[#All],2,0)),"CUIT NO CARGADO")</f>
        <v>MERCADO LIBRE SRL</v>
      </c>
      <c r="H120" s="214">
        <v>7949.41</v>
      </c>
      <c r="I120" s="215">
        <f>IF(compras_mes2[[#This Row],[NETO GRAVADO]]="","",compras_mes2[[#This Row],[NETO GRAVADO]]*0.21)</f>
        <v>1669.3761</v>
      </c>
      <c r="J120" s="215"/>
      <c r="K120" s="215"/>
      <c r="L120" s="215"/>
      <c r="M120" s="215"/>
      <c r="N120" s="215"/>
      <c r="O120" s="215">
        <v>516.71</v>
      </c>
      <c r="P120" s="216">
        <f>SUM(compras_mes2[[#This Row],[NETO GRAVADO]:[Otros / No Grav.]])</f>
        <v>10135.4961</v>
      </c>
      <c r="Q120" s="217" t="str">
        <f>IFERROR(IF(compras_mes2[[#This Row],[CUIT]]="","-",VLOOKUP(compras_mes2[[#This Row],[CUIT]],Lista_CUIT[#All],3,0)),"CUIT NO CARGADO")</f>
        <v>GASTOS COMERCIALIZACION</v>
      </c>
      <c r="R120" s="217">
        <f>IFERROR(IF(compras_mes2[[#This Row],[CUIT]]="","-",VLOOKUP(compras_mes2[[#This Row],[CUIT]],Lista_CUIT[#All],4,0)),"CUIT NO CARGADO")</f>
        <v>0</v>
      </c>
    </row>
    <row r="121" spans="2:18" x14ac:dyDescent="0.25">
      <c r="B121" s="208">
        <v>44985</v>
      </c>
      <c r="C121" s="209">
        <v>1</v>
      </c>
      <c r="D121" s="210">
        <v>6</v>
      </c>
      <c r="E121" s="211">
        <v>13734533</v>
      </c>
      <c r="F121" s="212">
        <v>30620177497</v>
      </c>
      <c r="G121" s="213" t="str">
        <f>IFERROR(IF(compras_mes2[[#This Row],[CUIT]]="","-",VLOOKUP(compras_mes2[[#This Row],[CUIT]],Lista_CUIT[#All],2,0)),"CUIT NO CARGADO")</f>
        <v>POSNET SOCIEDAD DE RESPONSABILIDAD LIMITADA</v>
      </c>
      <c r="H121" s="214">
        <v>3599</v>
      </c>
      <c r="I121" s="215">
        <f>IF(compras_mes2[[#This Row],[NETO GRAVADO]]="","",compras_mes2[[#This Row],[NETO GRAVADO]]*0.21)</f>
        <v>755.79</v>
      </c>
      <c r="J121" s="215"/>
      <c r="K121" s="215"/>
      <c r="L121" s="215"/>
      <c r="M121" s="215"/>
      <c r="N121" s="215">
        <v>233.94</v>
      </c>
      <c r="O121" s="215"/>
      <c r="P121" s="216">
        <f>SUM(compras_mes2[[#This Row],[NETO GRAVADO]:[Otros / No Grav.]])</f>
        <v>4588.7299999999996</v>
      </c>
      <c r="Q121" s="217" t="str">
        <f>IFERROR(IF(compras_mes2[[#This Row],[CUIT]]="","-",VLOOKUP(compras_mes2[[#This Row],[CUIT]],Lista_CUIT[#All],3,0)),"CUIT NO CARGADO")</f>
        <v>GASTOS VARIOS</v>
      </c>
      <c r="R121" s="217">
        <f>IFERROR(IF(compras_mes2[[#This Row],[CUIT]]="","-",VLOOKUP(compras_mes2[[#This Row],[CUIT]],Lista_CUIT[#All],4,0)),"CUIT NO CARGADO")</f>
        <v>0</v>
      </c>
    </row>
    <row r="122" spans="2:18" x14ac:dyDescent="0.25">
      <c r="B122" s="96" t="s">
        <v>110</v>
      </c>
      <c r="C122" s="96"/>
      <c r="D122" s="96"/>
      <c r="E122" s="96"/>
      <c r="F122" s="96"/>
      <c r="G122" s="97"/>
      <c r="H122" s="98">
        <f>SUBTOTAL(109,compras_mes2[NETO GRAVADO])</f>
        <v>11663177.359999994</v>
      </c>
      <c r="I122" s="98">
        <f>SUBTOTAL(109,compras_mes2[IVA 21 %])</f>
        <v>2375294.8709</v>
      </c>
      <c r="J122" s="98">
        <f>SUBTOTAL(109,compras_mes2[IVA 27%])</f>
        <v>4341.09</v>
      </c>
      <c r="K122" s="98">
        <f>SUBTOTAL(109,compras_mes2[IVA 10,5%])</f>
        <v>34281.58</v>
      </c>
      <c r="L122" s="98">
        <f>SUBTOTAL(109,compras_mes2[PERC. IVA])</f>
        <v>657.75</v>
      </c>
      <c r="M122" s="98">
        <f>SUBTOTAL(109,compras_mes2[PERC IIBB 
BS AS])</f>
        <v>774.9</v>
      </c>
      <c r="N122" s="98">
        <f>SUBTOTAL(109,compras_mes2[PERC. IIBB CABA])</f>
        <v>212324.101</v>
      </c>
      <c r="O122" s="98">
        <f>SUBTOTAL(109,compras_mes2[Otros / No Grav.])</f>
        <v>10762.310000000001</v>
      </c>
      <c r="P122" s="98">
        <f>SUBTOTAL(109,compras_mes2[TOTAL])</f>
        <v>14301613.9619</v>
      </c>
      <c r="Q122" s="96"/>
      <c r="R122" s="96"/>
    </row>
    <row r="123" spans="2:18" x14ac:dyDescent="0.25">
      <c r="B123" s="40"/>
      <c r="C123" s="41"/>
      <c r="D123" s="42"/>
      <c r="E123" s="43"/>
      <c r="F123" s="44"/>
      <c r="G123" s="45"/>
      <c r="H123" s="46"/>
      <c r="I123" s="47"/>
      <c r="J123" s="47"/>
      <c r="K123" s="47"/>
      <c r="L123" s="47"/>
      <c r="M123" s="47"/>
      <c r="N123" s="47"/>
      <c r="O123" s="47"/>
      <c r="P123" s="48"/>
      <c r="Q123" s="49"/>
      <c r="R123" s="49"/>
    </row>
    <row r="124" spans="2:18" x14ac:dyDescent="0.25">
      <c r="B124" s="40"/>
      <c r="C124" s="41"/>
      <c r="D124" s="42"/>
      <c r="E124" s="43"/>
      <c r="F124" s="44"/>
      <c r="G124" s="45"/>
      <c r="H124" s="46"/>
      <c r="I124" s="47"/>
      <c r="J124" s="47"/>
      <c r="K124" s="47"/>
      <c r="L124" s="47"/>
      <c r="M124" s="47"/>
      <c r="N124" s="47"/>
      <c r="O124" s="47"/>
      <c r="P124" s="48"/>
      <c r="Q124" s="49"/>
      <c r="R124" s="49"/>
    </row>
    <row r="125" spans="2:18" x14ac:dyDescent="0.25">
      <c r="B125" s="40"/>
      <c r="C125" s="41"/>
      <c r="D125" s="42"/>
      <c r="E125" s="43"/>
      <c r="F125" s="44"/>
      <c r="G125" s="45"/>
      <c r="H125" s="46"/>
      <c r="I125" s="47"/>
      <c r="J125" s="47"/>
      <c r="K125" s="47"/>
      <c r="L125" s="47"/>
      <c r="M125" s="47"/>
      <c r="N125" s="47"/>
      <c r="O125" s="47"/>
      <c r="P125" s="48"/>
      <c r="Q125" s="49"/>
      <c r="R125" s="49"/>
    </row>
    <row r="126" spans="2:18" x14ac:dyDescent="0.25">
      <c r="B126" s="40"/>
      <c r="C126" s="41"/>
      <c r="D126" s="42"/>
      <c r="E126" s="43"/>
      <c r="F126" s="44"/>
      <c r="G126" s="45"/>
      <c r="H126" s="46"/>
      <c r="I126" s="47"/>
      <c r="J126" s="47"/>
      <c r="K126" s="47"/>
      <c r="L126" s="47"/>
    </row>
    <row r="127" spans="2:18" ht="25.9" customHeight="1" x14ac:dyDescent="0.25">
      <c r="D127" s="524" t="s">
        <v>15</v>
      </c>
      <c r="E127" s="524"/>
      <c r="F127" s="524"/>
      <c r="G127" s="524"/>
      <c r="H127" s="524"/>
      <c r="I127" s="524"/>
      <c r="J127" s="524"/>
      <c r="K127" s="524"/>
      <c r="L127" s="524"/>
    </row>
    <row r="128" spans="2:18" ht="15.75" x14ac:dyDescent="0.25">
      <c r="D128" s="73" t="s">
        <v>0</v>
      </c>
      <c r="E128" s="74" t="s">
        <v>26</v>
      </c>
      <c r="F128" s="74" t="s">
        <v>16</v>
      </c>
      <c r="G128" s="74" t="s">
        <v>5</v>
      </c>
      <c r="H128" s="74" t="s">
        <v>17</v>
      </c>
      <c r="I128" s="74" t="s">
        <v>7</v>
      </c>
      <c r="J128" s="75" t="s">
        <v>18</v>
      </c>
      <c r="K128" s="75" t="s">
        <v>19</v>
      </c>
      <c r="L128" s="76" t="s">
        <v>20</v>
      </c>
    </row>
    <row r="129" spans="4:12" ht="17.25" customHeight="1" x14ac:dyDescent="0.25">
      <c r="D129" s="50">
        <v>44985</v>
      </c>
      <c r="E129" s="79"/>
      <c r="F129" s="80" t="s">
        <v>2242</v>
      </c>
      <c r="G129" s="81">
        <v>4594</v>
      </c>
      <c r="H129" s="81">
        <v>964.74</v>
      </c>
      <c r="I129" s="81"/>
      <c r="J129" s="81"/>
      <c r="K129" s="81">
        <v>108</v>
      </c>
      <c r="L129" s="81">
        <v>126</v>
      </c>
    </row>
    <row r="130" spans="4:12" ht="21.75" customHeight="1" x14ac:dyDescent="0.25">
      <c r="D130" s="50">
        <v>44985</v>
      </c>
      <c r="E130" s="79"/>
      <c r="F130" s="80" t="s">
        <v>2243</v>
      </c>
      <c r="G130" s="81">
        <v>143</v>
      </c>
      <c r="H130" s="81">
        <v>30.03</v>
      </c>
      <c r="I130" s="81"/>
      <c r="J130" s="81"/>
      <c r="K130" s="81"/>
      <c r="L130" s="81"/>
    </row>
    <row r="131" spans="4:12" x14ac:dyDescent="0.25">
      <c r="D131" s="50"/>
      <c r="E131" s="79"/>
      <c r="F131" s="80"/>
      <c r="G131" s="81"/>
      <c r="H131" s="81"/>
      <c r="I131" s="81"/>
      <c r="J131" s="81"/>
      <c r="K131" s="81"/>
      <c r="L131" s="81"/>
    </row>
    <row r="132" spans="4:12" x14ac:dyDescent="0.25">
      <c r="D132" s="82" t="s">
        <v>110</v>
      </c>
      <c r="E132" s="80"/>
      <c r="F132" s="80"/>
      <c r="G132" s="83">
        <f>SUBTOTAL(109,extracto_banco_mes2[NETO])</f>
        <v>4737</v>
      </c>
      <c r="H132" s="83">
        <f>SUBTOTAL(109,extracto_banco_mes2[IVA 21%])</f>
        <v>994.77</v>
      </c>
      <c r="I132" s="83">
        <f>SUBTOTAL(109,extracto_banco_mes2[IVA 10,5%])</f>
        <v>0</v>
      </c>
      <c r="J132" s="83">
        <f>SUBTOTAL(109,extracto_banco_mes2[RET IIBB CABA])</f>
        <v>0</v>
      </c>
      <c r="K132" s="83">
        <f>SUBTOTAL(109,extracto_banco_mes2[PERC IVA])</f>
        <v>108</v>
      </c>
      <c r="L132" s="83">
        <f>SUBTOTAL(109,extracto_banco_mes2[PERC IIBB])</f>
        <v>126</v>
      </c>
    </row>
    <row r="136" spans="4:12" ht="21" x14ac:dyDescent="0.25">
      <c r="D136" s="524" t="s">
        <v>25</v>
      </c>
      <c r="E136" s="524"/>
      <c r="F136" s="524"/>
      <c r="G136" s="524"/>
      <c r="H136" s="524"/>
      <c r="I136" s="524"/>
      <c r="J136" s="524"/>
      <c r="K136" s="524"/>
    </row>
    <row r="137" spans="4:12" x14ac:dyDescent="0.25">
      <c r="D137" s="51" t="s">
        <v>0</v>
      </c>
      <c r="E137" s="51" t="s">
        <v>2</v>
      </c>
      <c r="F137" s="51" t="s">
        <v>74</v>
      </c>
      <c r="G137" s="51" t="s">
        <v>3</v>
      </c>
      <c r="H137" s="51" t="s">
        <v>4</v>
      </c>
      <c r="I137" s="52" t="s">
        <v>10</v>
      </c>
      <c r="J137" s="51" t="s">
        <v>13</v>
      </c>
      <c r="K137" s="51" t="s">
        <v>38</v>
      </c>
    </row>
    <row r="138" spans="4:12" x14ac:dyDescent="0.25">
      <c r="D138" s="50">
        <v>44965</v>
      </c>
      <c r="E138" s="176">
        <v>2</v>
      </c>
      <c r="F138" s="176">
        <v>31</v>
      </c>
      <c r="G138" s="177">
        <v>20314536852</v>
      </c>
      <c r="H138" s="178" t="str">
        <f>IFERROR(IF(factura_c_mes2[[#This Row],[CUIT]]="","-",VLOOKUP(factura_c_mes2[[#This Row],[CUIT]],Lista_CUIT[#All],2,0)),"CUIT NO CARGADO")</f>
        <v>FRANCESE GONZALO ROMAN</v>
      </c>
      <c r="I138" s="183">
        <v>55200</v>
      </c>
      <c r="J138" s="179" t="str">
        <f>IFERROR(IF(factura_c_mes2[[#This Row],[CUIT]]="","-",VLOOKUP(factura_c_mes2[[#This Row],[CUIT]],Lista_CUIT[#All],3,0)),"CUIT NO CARGADO")</f>
        <v>FLETE</v>
      </c>
      <c r="K138" s="179">
        <f>IFERROR(IF(factura_c_mes2[[#This Row],[CUIT]]="","-",VLOOKUP(factura_c_mes2[[#This Row],[CUIT]],Lista_CUIT[#All],4,0)),"CUIT NO CARGADO")</f>
        <v>0</v>
      </c>
    </row>
    <row r="139" spans="4:12" x14ac:dyDescent="0.25">
      <c r="D139" s="50">
        <v>44964</v>
      </c>
      <c r="E139" s="176">
        <v>1</v>
      </c>
      <c r="F139" s="176">
        <v>32</v>
      </c>
      <c r="G139" s="177">
        <v>20403969886</v>
      </c>
      <c r="H139" s="178" t="str">
        <f>IFERROR(IF(factura_c_mes2[[#This Row],[CUIT]]="","-",VLOOKUP(factura_c_mes2[[#This Row],[CUIT]],Lista_CUIT[#All],2,0)),"CUIT NO CARGADO")</f>
        <v>DEL GESSO FRANCO JESUS</v>
      </c>
      <c r="I139" s="183">
        <v>118070</v>
      </c>
      <c r="J139" s="179" t="str">
        <f>IFERROR(IF(factura_c_mes2[[#This Row],[CUIT]]="","-",VLOOKUP(factura_c_mes2[[#This Row],[CUIT]],Lista_CUIT[#All],3,0)),"CUIT NO CARGADO")</f>
        <v>GASTOS ADMINISTRATIVOS</v>
      </c>
      <c r="K139" s="179">
        <f>IFERROR(IF(factura_c_mes2[[#This Row],[CUIT]]="","-",VLOOKUP(factura_c_mes2[[#This Row],[CUIT]],Lista_CUIT[#All],4,0)),"CUIT NO CARGADO")</f>
        <v>0</v>
      </c>
    </row>
    <row r="140" spans="4:12" x14ac:dyDescent="0.25">
      <c r="D140" s="50">
        <v>44971</v>
      </c>
      <c r="E140" s="176">
        <v>2</v>
      </c>
      <c r="F140" s="176">
        <v>32</v>
      </c>
      <c r="G140" s="177">
        <v>20314536852</v>
      </c>
      <c r="H140" s="178" t="str">
        <f>IFERROR(IF(factura_c_mes2[[#This Row],[CUIT]]="","-",VLOOKUP(factura_c_mes2[[#This Row],[CUIT]],Lista_CUIT[#All],2,0)),"CUIT NO CARGADO")</f>
        <v>FRANCESE GONZALO ROMAN</v>
      </c>
      <c r="I140" s="183">
        <v>48800</v>
      </c>
      <c r="J140" s="179" t="str">
        <f>IFERROR(IF(factura_c_mes2[[#This Row],[CUIT]]="","-",VLOOKUP(factura_c_mes2[[#This Row],[CUIT]],Lista_CUIT[#All],3,0)),"CUIT NO CARGADO")</f>
        <v>FLETE</v>
      </c>
      <c r="K140" s="179">
        <f>IFERROR(IF(factura_c_mes2[[#This Row],[CUIT]]="","-",VLOOKUP(factura_c_mes2[[#This Row],[CUIT]],Lista_CUIT[#All],4,0)),"CUIT NO CARGADO")</f>
        <v>0</v>
      </c>
    </row>
    <row r="141" spans="4:12" x14ac:dyDescent="0.25">
      <c r="D141" s="50">
        <v>44979</v>
      </c>
      <c r="E141" s="176">
        <v>2</v>
      </c>
      <c r="F141" s="176">
        <v>33</v>
      </c>
      <c r="G141" s="177">
        <v>20314536852</v>
      </c>
      <c r="H141" s="178" t="str">
        <f>IFERROR(IF(factura_c_mes2[[#This Row],[CUIT]]="","-",VLOOKUP(factura_c_mes2[[#This Row],[CUIT]],Lista_CUIT[#All],2,0)),"CUIT NO CARGADO")</f>
        <v>FRANCESE GONZALO ROMAN</v>
      </c>
      <c r="I141" s="183">
        <v>29700</v>
      </c>
      <c r="J141" s="179" t="str">
        <f>IFERROR(IF(factura_c_mes2[[#This Row],[CUIT]]="","-",VLOOKUP(factura_c_mes2[[#This Row],[CUIT]],Lista_CUIT[#All],3,0)),"CUIT NO CARGADO")</f>
        <v>FLETE</v>
      </c>
      <c r="K141" s="179">
        <f>IFERROR(IF(factura_c_mes2[[#This Row],[CUIT]]="","-",VLOOKUP(factura_c_mes2[[#This Row],[CUIT]],Lista_CUIT[#All],4,0)),"CUIT NO CARGADO")</f>
        <v>0</v>
      </c>
    </row>
    <row r="142" spans="4:12" x14ac:dyDescent="0.25">
      <c r="D142" s="50">
        <v>44959</v>
      </c>
      <c r="E142" s="176">
        <v>1</v>
      </c>
      <c r="F142" s="176">
        <v>42</v>
      </c>
      <c r="G142" s="177">
        <v>20299835260</v>
      </c>
      <c r="H142" s="178" t="str">
        <f>IFERROR(IF(factura_c_mes2[[#This Row],[CUIT]]="","-",VLOOKUP(factura_c_mes2[[#This Row],[CUIT]],Lista_CUIT[#All],2,0)),"CUIT NO CARGADO")</f>
        <v>MALGAREJO NICOLAS EMILIO</v>
      </c>
      <c r="I142" s="183">
        <v>195000</v>
      </c>
      <c r="J142" s="179" t="str">
        <f>IFERROR(IF(factura_c_mes2[[#This Row],[CUIT]]="","-",VLOOKUP(factura_c_mes2[[#This Row],[CUIT]],Lista_CUIT[#All],3,0)),"CUIT NO CARGADO")</f>
        <v>Productos Ortopedicos</v>
      </c>
      <c r="K142" s="179">
        <f>IFERROR(IF(factura_c_mes2[[#This Row],[CUIT]]="","-",VLOOKUP(factura_c_mes2[[#This Row],[CUIT]],Lista_CUIT[#All],4,0)),"CUIT NO CARGADO")</f>
        <v>0</v>
      </c>
    </row>
    <row r="143" spans="4:12" x14ac:dyDescent="0.25">
      <c r="D143" s="50">
        <v>44959</v>
      </c>
      <c r="E143" s="176">
        <v>1</v>
      </c>
      <c r="F143" s="176">
        <v>43</v>
      </c>
      <c r="G143" s="177">
        <v>20299835260</v>
      </c>
      <c r="H143" s="178" t="str">
        <f>IFERROR(IF(factura_c_mes2[[#This Row],[CUIT]]="","-",VLOOKUP(factura_c_mes2[[#This Row],[CUIT]],Lista_CUIT[#All],2,0)),"CUIT NO CARGADO")</f>
        <v>MALGAREJO NICOLAS EMILIO</v>
      </c>
      <c r="I143" s="183">
        <v>44000</v>
      </c>
      <c r="J143" s="179" t="str">
        <f>IFERROR(IF(factura_c_mes2[[#This Row],[CUIT]]="","-",VLOOKUP(factura_c_mes2[[#This Row],[CUIT]],Lista_CUIT[#All],3,0)),"CUIT NO CARGADO")</f>
        <v>Productos Ortopedicos</v>
      </c>
      <c r="K143" s="179">
        <f>IFERROR(IF(factura_c_mes2[[#This Row],[CUIT]]="","-",VLOOKUP(factura_c_mes2[[#This Row],[CUIT]],Lista_CUIT[#All],4,0)),"CUIT NO CARGADO")</f>
        <v>0</v>
      </c>
    </row>
    <row r="144" spans="4:12" x14ac:dyDescent="0.25">
      <c r="D144" s="50">
        <v>44959</v>
      </c>
      <c r="E144" s="176">
        <v>1</v>
      </c>
      <c r="F144" s="176">
        <v>44</v>
      </c>
      <c r="G144" s="177">
        <v>20299835260</v>
      </c>
      <c r="H144" s="178" t="str">
        <f>IFERROR(IF(factura_c_mes2[[#This Row],[CUIT]]="","-",VLOOKUP(factura_c_mes2[[#This Row],[CUIT]],Lista_CUIT[#All],2,0)),"CUIT NO CARGADO")</f>
        <v>MALGAREJO NICOLAS EMILIO</v>
      </c>
      <c r="I144" s="183">
        <v>40000</v>
      </c>
      <c r="J144" s="179" t="str">
        <f>IFERROR(IF(factura_c_mes2[[#This Row],[CUIT]]="","-",VLOOKUP(factura_c_mes2[[#This Row],[CUIT]],Lista_CUIT[#All],3,0)),"CUIT NO CARGADO")</f>
        <v>Productos Ortopedicos</v>
      </c>
      <c r="K144" s="179">
        <f>IFERROR(IF(factura_c_mes2[[#This Row],[CUIT]]="","-",VLOOKUP(factura_c_mes2[[#This Row],[CUIT]],Lista_CUIT[#All],4,0)),"CUIT NO CARGADO")</f>
        <v>0</v>
      </c>
    </row>
    <row r="145" spans="4:11" x14ac:dyDescent="0.25">
      <c r="D145" s="50">
        <v>44959</v>
      </c>
      <c r="E145" s="176">
        <v>1</v>
      </c>
      <c r="F145" s="176">
        <v>45</v>
      </c>
      <c r="G145" s="177">
        <v>20299835260</v>
      </c>
      <c r="H145" s="178" t="str">
        <f>IFERROR(IF(factura_c_mes2[[#This Row],[CUIT]]="","-",VLOOKUP(factura_c_mes2[[#This Row],[CUIT]],Lista_CUIT[#All],2,0)),"CUIT NO CARGADO")</f>
        <v>MALGAREJO NICOLAS EMILIO</v>
      </c>
      <c r="I145" s="183">
        <v>80000</v>
      </c>
      <c r="J145" s="179" t="str">
        <f>IFERROR(IF(factura_c_mes2[[#This Row],[CUIT]]="","-",VLOOKUP(factura_c_mes2[[#This Row],[CUIT]],Lista_CUIT[#All],3,0)),"CUIT NO CARGADO")</f>
        <v>Productos Ortopedicos</v>
      </c>
      <c r="K145" s="179">
        <f>IFERROR(IF(factura_c_mes2[[#This Row],[CUIT]]="","-",VLOOKUP(factura_c_mes2[[#This Row],[CUIT]],Lista_CUIT[#All],4,0)),"CUIT NO CARGADO")</f>
        <v>0</v>
      </c>
    </row>
    <row r="146" spans="4:11" x14ac:dyDescent="0.25">
      <c r="D146" s="50">
        <v>44959</v>
      </c>
      <c r="E146" s="176">
        <v>1</v>
      </c>
      <c r="F146" s="176">
        <v>46</v>
      </c>
      <c r="G146" s="177">
        <v>20299835260</v>
      </c>
      <c r="H146" s="178" t="str">
        <f>IFERROR(IF(factura_c_mes2[[#This Row],[CUIT]]="","-",VLOOKUP(factura_c_mes2[[#This Row],[CUIT]],Lista_CUIT[#All],2,0)),"CUIT NO CARGADO")</f>
        <v>MALGAREJO NICOLAS EMILIO</v>
      </c>
      <c r="I146" s="183">
        <v>44000</v>
      </c>
      <c r="J146" s="179" t="str">
        <f>IFERROR(IF(factura_c_mes2[[#This Row],[CUIT]]="","-",VLOOKUP(factura_c_mes2[[#This Row],[CUIT]],Lista_CUIT[#All],3,0)),"CUIT NO CARGADO")</f>
        <v>Productos Ortopedicos</v>
      </c>
      <c r="K146" s="179">
        <f>IFERROR(IF(factura_c_mes2[[#This Row],[CUIT]]="","-",VLOOKUP(factura_c_mes2[[#This Row],[CUIT]],Lista_CUIT[#All],4,0)),"CUIT NO CARGADO")</f>
        <v>0</v>
      </c>
    </row>
    <row r="147" spans="4:11" x14ac:dyDescent="0.25">
      <c r="D147" s="50">
        <v>44979</v>
      </c>
      <c r="E147" s="176">
        <v>1</v>
      </c>
      <c r="F147" s="176">
        <v>51</v>
      </c>
      <c r="G147" s="177">
        <v>23281233084</v>
      </c>
      <c r="H147" s="178" t="str">
        <f>IFERROR(IF(factura_c_mes2[[#This Row],[CUIT]]="","-",VLOOKUP(factura_c_mes2[[#This Row],[CUIT]],Lista_CUIT[#All],2,0)),"CUIT NO CARGADO")</f>
        <v>DRUETTA ANDREA MARIEL</v>
      </c>
      <c r="I147" s="183">
        <v>35311</v>
      </c>
      <c r="J147" s="179" t="str">
        <f>IFERROR(IF(factura_c_mes2[[#This Row],[CUIT]]="","-",VLOOKUP(factura_c_mes2[[#This Row],[CUIT]],Lista_CUIT[#All],3,0)),"CUIT NO CARGADO")</f>
        <v>HONORARIOS TECNICOS</v>
      </c>
      <c r="K147" s="179">
        <f>IFERROR(IF(factura_c_mes2[[#This Row],[CUIT]]="","-",VLOOKUP(factura_c_mes2[[#This Row],[CUIT]],Lista_CUIT[#All],4,0)),"CUIT NO CARGADO")</f>
        <v>0</v>
      </c>
    </row>
    <row r="148" spans="4:11" x14ac:dyDescent="0.25">
      <c r="D148" s="50">
        <v>44963</v>
      </c>
      <c r="E148" s="176">
        <v>1</v>
      </c>
      <c r="F148" s="176">
        <v>74</v>
      </c>
      <c r="G148" s="177">
        <v>27385671526</v>
      </c>
      <c r="H148" s="178" t="str">
        <f>IFERROR(IF(factura_c_mes2[[#This Row],[CUIT]]="","-",VLOOKUP(factura_c_mes2[[#This Row],[CUIT]],Lista_CUIT[#All],2,0)),"CUIT NO CARGADO")</f>
        <v>MACHADO ELIANA NOEMI</v>
      </c>
      <c r="I148" s="183">
        <v>143040</v>
      </c>
      <c r="J148" s="179" t="str">
        <f>IFERROR(IF(factura_c_mes2[[#This Row],[CUIT]]="","-",VLOOKUP(factura_c_mes2[[#This Row],[CUIT]],Lista_CUIT[#All],3,0)),"CUIT NO CARGADO")</f>
        <v>MEDIDAS</v>
      </c>
      <c r="K148" s="179">
        <f>IFERROR(IF(factura_c_mes2[[#This Row],[CUIT]]="","-",VLOOKUP(factura_c_mes2[[#This Row],[CUIT]],Lista_CUIT[#All],4,0)),"CUIT NO CARGADO")</f>
        <v>0</v>
      </c>
    </row>
    <row r="149" spans="4:11" x14ac:dyDescent="0.25">
      <c r="D149" s="50">
        <v>44963</v>
      </c>
      <c r="E149" s="176">
        <v>1</v>
      </c>
      <c r="F149" s="176">
        <v>75</v>
      </c>
      <c r="G149" s="177">
        <v>27385671526</v>
      </c>
      <c r="H149" s="178" t="str">
        <f>IFERROR(IF(factura_c_mes2[[#This Row],[CUIT]]="","-",VLOOKUP(factura_c_mes2[[#This Row],[CUIT]],Lista_CUIT[#All],2,0)),"CUIT NO CARGADO")</f>
        <v>MACHADO ELIANA NOEMI</v>
      </c>
      <c r="I149" s="183">
        <v>109620</v>
      </c>
      <c r="J149" s="179" t="str">
        <f>IFERROR(IF(factura_c_mes2[[#This Row],[CUIT]]="","-",VLOOKUP(factura_c_mes2[[#This Row],[CUIT]],Lista_CUIT[#All],3,0)),"CUIT NO CARGADO")</f>
        <v>MEDIDAS</v>
      </c>
      <c r="K149" s="179">
        <f>IFERROR(IF(factura_c_mes2[[#This Row],[CUIT]]="","-",VLOOKUP(factura_c_mes2[[#This Row],[CUIT]],Lista_CUIT[#All],4,0)),"CUIT NO CARGADO")</f>
        <v>0</v>
      </c>
    </row>
    <row r="150" spans="4:11" x14ac:dyDescent="0.25">
      <c r="D150" s="50">
        <v>44960</v>
      </c>
      <c r="E150" s="176">
        <v>2</v>
      </c>
      <c r="F150" s="176">
        <v>85</v>
      </c>
      <c r="G150" s="177">
        <v>20220423655</v>
      </c>
      <c r="H150" s="178" t="str">
        <f>IFERROR(IF(factura_c_mes2[[#This Row],[CUIT]]="","-",VLOOKUP(factura_c_mes2[[#This Row],[CUIT]],Lista_CUIT[#All],2,0)),"CUIT NO CARGADO")</f>
        <v>LANDRO FERNANDO GABRIEL</v>
      </c>
      <c r="I150" s="183">
        <v>166230</v>
      </c>
      <c r="J150" s="179" t="str">
        <f>IFERROR(IF(factura_c_mes2[[#This Row],[CUIT]]="","-",VLOOKUP(factura_c_mes2[[#This Row],[CUIT]],Lista_CUIT[#All],3,0)),"CUIT NO CARGADO")</f>
        <v>GESTION COBRANZAS</v>
      </c>
      <c r="K150" s="179">
        <f>IFERROR(IF(factura_c_mes2[[#This Row],[CUIT]]="","-",VLOOKUP(factura_c_mes2[[#This Row],[CUIT]],Lista_CUIT[#All],4,0)),"CUIT NO CARGADO")</f>
        <v>0</v>
      </c>
    </row>
    <row r="151" spans="4:11" x14ac:dyDescent="0.25">
      <c r="D151" s="50">
        <v>44960</v>
      </c>
      <c r="E151" s="176">
        <v>2</v>
      </c>
      <c r="F151" s="176">
        <v>86</v>
      </c>
      <c r="G151" s="177">
        <v>20220423655</v>
      </c>
      <c r="H151" s="178" t="str">
        <f>IFERROR(IF(factura_c_mes2[[#This Row],[CUIT]]="","-",VLOOKUP(factura_c_mes2[[#This Row],[CUIT]],Lista_CUIT[#All],2,0)),"CUIT NO CARGADO")</f>
        <v>LANDRO FERNANDO GABRIEL</v>
      </c>
      <c r="I151" s="183">
        <v>162570</v>
      </c>
      <c r="J151" s="179" t="str">
        <f>IFERROR(IF(factura_c_mes2[[#This Row],[CUIT]]="","-",VLOOKUP(factura_c_mes2[[#This Row],[CUIT]],Lista_CUIT[#All],3,0)),"CUIT NO CARGADO")</f>
        <v>GESTION COBRANZAS</v>
      </c>
      <c r="K151" s="179">
        <f>IFERROR(IF(factura_c_mes2[[#This Row],[CUIT]]="","-",VLOOKUP(factura_c_mes2[[#This Row],[CUIT]],Lista_CUIT[#All],4,0)),"CUIT NO CARGADO")</f>
        <v>0</v>
      </c>
    </row>
    <row r="152" spans="4:11" x14ac:dyDescent="0.25">
      <c r="D152" s="50">
        <v>44965</v>
      </c>
      <c r="E152" s="176">
        <v>1</v>
      </c>
      <c r="F152" s="176">
        <v>86</v>
      </c>
      <c r="G152" s="177">
        <v>27338342840</v>
      </c>
      <c r="H152" s="178" t="str">
        <f>IFERROR(IF(factura_c_mes2[[#This Row],[CUIT]]="","-",VLOOKUP(factura_c_mes2[[#This Row],[CUIT]],Lista_CUIT[#All],2,0)),"CUIT NO CARGADO")</f>
        <v>CANCINO PAMELA RITA</v>
      </c>
      <c r="I152" s="183">
        <v>60200</v>
      </c>
      <c r="J152" s="179" t="str">
        <f>IFERROR(IF(factura_c_mes2[[#This Row],[CUIT]]="","-",VLOOKUP(factura_c_mes2[[#This Row],[CUIT]],Lista_CUIT[#All],3,0)),"CUIT NO CARGADO")</f>
        <v>Productos Ortopedicos</v>
      </c>
      <c r="K152" s="179">
        <f>IFERROR(IF(factura_c_mes2[[#This Row],[CUIT]]="","-",VLOOKUP(factura_c_mes2[[#This Row],[CUIT]],Lista_CUIT[#All],4,0)),"CUIT NO CARGADO")</f>
        <v>0</v>
      </c>
    </row>
    <row r="153" spans="4:11" x14ac:dyDescent="0.25">
      <c r="D153" s="50">
        <v>44971</v>
      </c>
      <c r="E153" s="176">
        <v>1</v>
      </c>
      <c r="F153" s="176">
        <v>118</v>
      </c>
      <c r="G153" s="177">
        <v>27217606255</v>
      </c>
      <c r="H153" s="178" t="str">
        <f>IFERROR(IF(factura_c_mes2[[#This Row],[CUIT]]="","-",VLOOKUP(factura_c_mes2[[#This Row],[CUIT]],Lista_CUIT[#All],2,0)),"CUIT NO CARGADO")</f>
        <v>SAPUNA MARIAN KARINA</v>
      </c>
      <c r="I153" s="183">
        <v>55690</v>
      </c>
      <c r="J153" s="179" t="str">
        <f>IFERROR(IF(factura_c_mes2[[#This Row],[CUIT]]="","-",VLOOKUP(factura_c_mes2[[#This Row],[CUIT]],Lista_CUIT[#All],3,0)),"CUIT NO CARGADO")</f>
        <v>GASTOS MANTENIMIENTO</v>
      </c>
      <c r="K153" s="179">
        <f>IFERROR(IF(factura_c_mes2[[#This Row],[CUIT]]="","-",VLOOKUP(factura_c_mes2[[#This Row],[CUIT]],Lista_CUIT[#All],4,0)),"CUIT NO CARGADO")</f>
        <v>0</v>
      </c>
    </row>
    <row r="154" spans="4:11" x14ac:dyDescent="0.25">
      <c r="D154" s="50">
        <v>44971</v>
      </c>
      <c r="E154" s="176">
        <v>1</v>
      </c>
      <c r="F154" s="176">
        <v>119</v>
      </c>
      <c r="G154" s="177">
        <v>27217606255</v>
      </c>
      <c r="H154" s="178" t="str">
        <f>IFERROR(IF(factura_c_mes2[[#This Row],[CUIT]]="","-",VLOOKUP(factura_c_mes2[[#This Row],[CUIT]],Lista_CUIT[#All],2,0)),"CUIT NO CARGADO")</f>
        <v>SAPUNA MARIAN KARINA</v>
      </c>
      <c r="I154" s="183">
        <v>41950</v>
      </c>
      <c r="J154" s="179" t="str">
        <f>IFERROR(IF(factura_c_mes2[[#This Row],[CUIT]]="","-",VLOOKUP(factura_c_mes2[[#This Row],[CUIT]],Lista_CUIT[#All],3,0)),"CUIT NO CARGADO")</f>
        <v>GASTOS MANTENIMIENTO</v>
      </c>
      <c r="K154" s="179">
        <f>IFERROR(IF(factura_c_mes2[[#This Row],[CUIT]]="","-",VLOOKUP(factura_c_mes2[[#This Row],[CUIT]],Lista_CUIT[#All],4,0)),"CUIT NO CARGADO")</f>
        <v>0</v>
      </c>
    </row>
    <row r="155" spans="4:11" x14ac:dyDescent="0.25">
      <c r="D155" s="50">
        <v>44972</v>
      </c>
      <c r="E155" s="176">
        <v>1</v>
      </c>
      <c r="F155" s="176">
        <v>120</v>
      </c>
      <c r="G155" s="177">
        <v>27217606255</v>
      </c>
      <c r="H155" s="178" t="str">
        <f>IFERROR(IF(factura_c_mes2[[#This Row],[CUIT]]="","-",VLOOKUP(factura_c_mes2[[#This Row],[CUIT]],Lista_CUIT[#All],2,0)),"CUIT NO CARGADO")</f>
        <v>SAPUNA MARIAN KARINA</v>
      </c>
      <c r="I155" s="183">
        <v>41390</v>
      </c>
      <c r="J155" s="179" t="str">
        <f>IFERROR(IF(factura_c_mes2[[#This Row],[CUIT]]="","-",VLOOKUP(factura_c_mes2[[#This Row],[CUIT]],Lista_CUIT[#All],3,0)),"CUIT NO CARGADO")</f>
        <v>GASTOS MANTENIMIENTO</v>
      </c>
      <c r="K155" s="179">
        <f>IFERROR(IF(factura_c_mes2[[#This Row],[CUIT]]="","-",VLOOKUP(factura_c_mes2[[#This Row],[CUIT]],Lista_CUIT[#All],4,0)),"CUIT NO CARGADO")</f>
        <v>0</v>
      </c>
    </row>
    <row r="156" spans="4:11" x14ac:dyDescent="0.25">
      <c r="D156" s="50">
        <v>44972</v>
      </c>
      <c r="E156" s="176">
        <v>1</v>
      </c>
      <c r="F156" s="176">
        <v>121</v>
      </c>
      <c r="G156" s="177">
        <v>27217606255</v>
      </c>
      <c r="H156" s="178" t="str">
        <f>IFERROR(IF(factura_c_mes2[[#This Row],[CUIT]]="","-",VLOOKUP(factura_c_mes2[[#This Row],[CUIT]],Lista_CUIT[#All],2,0)),"CUIT NO CARGADO")</f>
        <v>SAPUNA MARIAN KARINA</v>
      </c>
      <c r="I156" s="183">
        <v>39680</v>
      </c>
      <c r="J156" s="179" t="str">
        <f>IFERROR(IF(factura_c_mes2[[#This Row],[CUIT]]="","-",VLOOKUP(factura_c_mes2[[#This Row],[CUIT]],Lista_CUIT[#All],3,0)),"CUIT NO CARGADO")</f>
        <v>GASTOS MANTENIMIENTO</v>
      </c>
      <c r="K156" s="179">
        <f>IFERROR(IF(factura_c_mes2[[#This Row],[CUIT]]="","-",VLOOKUP(factura_c_mes2[[#This Row],[CUIT]],Lista_CUIT[#All],4,0)),"CUIT NO CARGADO")</f>
        <v>0</v>
      </c>
    </row>
    <row r="157" spans="4:11" x14ac:dyDescent="0.25">
      <c r="D157" s="50">
        <v>44973</v>
      </c>
      <c r="E157" s="176">
        <v>1</v>
      </c>
      <c r="F157" s="176">
        <v>122</v>
      </c>
      <c r="G157" s="177">
        <v>27217606255</v>
      </c>
      <c r="H157" s="178" t="str">
        <f>IFERROR(IF(factura_c_mes2[[#This Row],[CUIT]]="","-",VLOOKUP(factura_c_mes2[[#This Row],[CUIT]],Lista_CUIT[#All],2,0)),"CUIT NO CARGADO")</f>
        <v>SAPUNA MARIAN KARINA</v>
      </c>
      <c r="I157" s="183">
        <v>28690</v>
      </c>
      <c r="J157" s="179" t="str">
        <f>IFERROR(IF(factura_c_mes2[[#This Row],[CUIT]]="","-",VLOOKUP(factura_c_mes2[[#This Row],[CUIT]],Lista_CUIT[#All],3,0)),"CUIT NO CARGADO")</f>
        <v>GASTOS MANTENIMIENTO</v>
      </c>
      <c r="K157" s="179">
        <f>IFERROR(IF(factura_c_mes2[[#This Row],[CUIT]]="","-",VLOOKUP(factura_c_mes2[[#This Row],[CUIT]],Lista_CUIT[#All],4,0)),"CUIT NO CARGADO")</f>
        <v>0</v>
      </c>
    </row>
    <row r="158" spans="4:11" x14ac:dyDescent="0.25">
      <c r="D158" s="50">
        <v>44974</v>
      </c>
      <c r="E158" s="176">
        <v>1</v>
      </c>
      <c r="F158" s="176">
        <v>123</v>
      </c>
      <c r="G158" s="177">
        <v>27217606255</v>
      </c>
      <c r="H158" s="178" t="str">
        <f>IFERROR(IF(factura_c_mes2[[#This Row],[CUIT]]="","-",VLOOKUP(factura_c_mes2[[#This Row],[CUIT]],Lista_CUIT[#All],2,0)),"CUIT NO CARGADO")</f>
        <v>SAPUNA MARIAN KARINA</v>
      </c>
      <c r="I158" s="183">
        <v>27690</v>
      </c>
      <c r="J158" s="179" t="str">
        <f>IFERROR(IF(factura_c_mes2[[#This Row],[CUIT]]="","-",VLOOKUP(factura_c_mes2[[#This Row],[CUIT]],Lista_CUIT[#All],3,0)),"CUIT NO CARGADO")</f>
        <v>GASTOS MANTENIMIENTO</v>
      </c>
      <c r="K158" s="179">
        <f>IFERROR(IF(factura_c_mes2[[#This Row],[CUIT]]="","-",VLOOKUP(factura_c_mes2[[#This Row],[CUIT]],Lista_CUIT[#All],4,0)),"CUIT NO CARGADO")</f>
        <v>0</v>
      </c>
    </row>
    <row r="159" spans="4:11" x14ac:dyDescent="0.25">
      <c r="D159" s="50">
        <v>44978</v>
      </c>
      <c r="E159" s="176">
        <v>1</v>
      </c>
      <c r="F159" s="176">
        <v>124</v>
      </c>
      <c r="G159" s="177">
        <v>27217606255</v>
      </c>
      <c r="H159" s="178" t="str">
        <f>IFERROR(IF(factura_c_mes2[[#This Row],[CUIT]]="","-",VLOOKUP(factura_c_mes2[[#This Row],[CUIT]],Lista_CUIT[#All],2,0)),"CUIT NO CARGADO")</f>
        <v>SAPUNA MARIAN KARINA</v>
      </c>
      <c r="I159" s="183">
        <v>26890</v>
      </c>
      <c r="J159" s="179" t="str">
        <f>IFERROR(IF(factura_c_mes2[[#This Row],[CUIT]]="","-",VLOOKUP(factura_c_mes2[[#This Row],[CUIT]],Lista_CUIT[#All],3,0)),"CUIT NO CARGADO")</f>
        <v>GASTOS MANTENIMIENTO</v>
      </c>
      <c r="K159" s="179">
        <f>IFERROR(IF(factura_c_mes2[[#This Row],[CUIT]]="","-",VLOOKUP(factura_c_mes2[[#This Row],[CUIT]],Lista_CUIT[#All],4,0)),"CUIT NO CARGADO")</f>
        <v>0</v>
      </c>
    </row>
    <row r="160" spans="4:11" x14ac:dyDescent="0.25">
      <c r="D160" s="50">
        <v>44959</v>
      </c>
      <c r="E160" s="176">
        <v>5</v>
      </c>
      <c r="F160" s="176">
        <v>146</v>
      </c>
      <c r="G160" s="177">
        <v>27062343449</v>
      </c>
      <c r="H160" s="178" t="str">
        <f>IFERROR(IF(factura_c_mes2[[#This Row],[CUIT]]="","-",VLOOKUP(factura_c_mes2[[#This Row],[CUIT]],Lista_CUIT[#All],2,0)),"CUIT NO CARGADO")</f>
        <v>FERREIRS LILISNS INES</v>
      </c>
      <c r="I160" s="183">
        <v>120000</v>
      </c>
      <c r="J160" s="179" t="str">
        <f>IFERROR(IF(factura_c_mes2[[#This Row],[CUIT]]="","-",VLOOKUP(factura_c_mes2[[#This Row],[CUIT]],Lista_CUIT[#All],3,0)),"CUIT NO CARGADO")</f>
        <v>ALQUILERES</v>
      </c>
      <c r="K160" s="179">
        <f>IFERROR(IF(factura_c_mes2[[#This Row],[CUIT]]="","-",VLOOKUP(factura_c_mes2[[#This Row],[CUIT]],Lista_CUIT[#All],4,0)),"CUIT NO CARGADO")</f>
        <v>0</v>
      </c>
    </row>
    <row r="161" spans="4:11" x14ac:dyDescent="0.25">
      <c r="D161" s="50">
        <v>44959</v>
      </c>
      <c r="E161" s="176">
        <v>5</v>
      </c>
      <c r="F161" s="176">
        <v>147</v>
      </c>
      <c r="G161" s="177">
        <v>27062343449</v>
      </c>
      <c r="H161" s="178" t="str">
        <f>IFERROR(IF(factura_c_mes2[[#This Row],[CUIT]]="","-",VLOOKUP(factura_c_mes2[[#This Row],[CUIT]],Lista_CUIT[#All],2,0)),"CUIT NO CARGADO")</f>
        <v>FERREIRS LILISNS INES</v>
      </c>
      <c r="I161" s="183">
        <v>120000</v>
      </c>
      <c r="J161" s="179" t="str">
        <f>IFERROR(IF(factura_c_mes2[[#This Row],[CUIT]]="","-",VLOOKUP(factura_c_mes2[[#This Row],[CUIT]],Lista_CUIT[#All],3,0)),"CUIT NO CARGADO")</f>
        <v>ALQUILERES</v>
      </c>
      <c r="K161" s="179">
        <f>IFERROR(IF(factura_c_mes2[[#This Row],[CUIT]]="","-",VLOOKUP(factura_c_mes2[[#This Row],[CUIT]],Lista_CUIT[#All],4,0)),"CUIT NO CARGADO")</f>
        <v>0</v>
      </c>
    </row>
    <row r="162" spans="4:11" x14ac:dyDescent="0.25">
      <c r="D162" s="50">
        <v>44973</v>
      </c>
      <c r="E162" s="176">
        <v>5</v>
      </c>
      <c r="F162" s="176">
        <v>148</v>
      </c>
      <c r="G162" s="177">
        <v>27062343449</v>
      </c>
      <c r="H162" s="178" t="str">
        <f>IFERROR(IF(factura_c_mes2[[#This Row],[CUIT]]="","-",VLOOKUP(factura_c_mes2[[#This Row],[CUIT]],Lista_CUIT[#All],2,0)),"CUIT NO CARGADO")</f>
        <v>FERREIRS LILISNS INES</v>
      </c>
      <c r="I162" s="183">
        <v>130000</v>
      </c>
      <c r="J162" s="179" t="str">
        <f>IFERROR(IF(factura_c_mes2[[#This Row],[CUIT]]="","-",VLOOKUP(factura_c_mes2[[#This Row],[CUIT]],Lista_CUIT[#All],3,0)),"CUIT NO CARGADO")</f>
        <v>ALQUILERES</v>
      </c>
      <c r="K162" s="179">
        <f>IFERROR(IF(factura_c_mes2[[#This Row],[CUIT]]="","-",VLOOKUP(factura_c_mes2[[#This Row],[CUIT]],Lista_CUIT[#All],4,0)),"CUIT NO CARGADO")</f>
        <v>0</v>
      </c>
    </row>
    <row r="163" spans="4:11" x14ac:dyDescent="0.25">
      <c r="D163" s="50">
        <v>44963</v>
      </c>
      <c r="E163" s="176">
        <v>2</v>
      </c>
      <c r="F163" s="176">
        <v>165</v>
      </c>
      <c r="G163" s="177">
        <v>27265832178</v>
      </c>
      <c r="H163" s="178" t="str">
        <f>IFERROR(IF(factura_c_mes2[[#This Row],[CUIT]]="","-",VLOOKUP(factura_c_mes2[[#This Row],[CUIT]],Lista_CUIT[#All],2,0)),"CUIT NO CARGADO")</f>
        <v>BLASCO MARIA GUADALUPE</v>
      </c>
      <c r="I163" s="183">
        <v>60000</v>
      </c>
      <c r="J163" s="179" t="str">
        <f>IFERROR(IF(factura_c_mes2[[#This Row],[CUIT]]="","-",VLOOKUP(factura_c_mes2[[#This Row],[CUIT]],Lista_CUIT[#All],3,0)),"CUIT NO CARGADO")</f>
        <v>Gastos Varios</v>
      </c>
      <c r="K163" s="179">
        <f>IFERROR(IF(factura_c_mes2[[#This Row],[CUIT]]="","-",VLOOKUP(factura_c_mes2[[#This Row],[CUIT]],Lista_CUIT[#All],4,0)),"CUIT NO CARGADO")</f>
        <v>0</v>
      </c>
    </row>
    <row r="164" spans="4:11" x14ac:dyDescent="0.25">
      <c r="D164" s="50">
        <v>44976</v>
      </c>
      <c r="E164" s="176">
        <v>1</v>
      </c>
      <c r="F164" s="176">
        <v>174</v>
      </c>
      <c r="G164" s="177">
        <v>23255855204</v>
      </c>
      <c r="H164" s="178" t="str">
        <f>IFERROR(IF(factura_c_mes2[[#This Row],[CUIT]]="","-",VLOOKUP(factura_c_mes2[[#This Row],[CUIT]],Lista_CUIT[#All],2,0)),"CUIT NO CARGADO")</f>
        <v>CABELLO LETICIA JESICA</v>
      </c>
      <c r="I164" s="183">
        <v>12000</v>
      </c>
      <c r="J164" s="179" t="str">
        <f>IFERROR(IF(factura_c_mes2[[#This Row],[CUIT]]="","-",VLOOKUP(factura_c_mes2[[#This Row],[CUIT]],Lista_CUIT[#All],3,0)),"CUIT NO CARGADO")</f>
        <v>ALQUILERES</v>
      </c>
      <c r="K164" s="179">
        <f>IFERROR(IF(factura_c_mes2[[#This Row],[CUIT]]="","-",VLOOKUP(factura_c_mes2[[#This Row],[CUIT]],Lista_CUIT[#All],4,0)),"CUIT NO CARGADO")</f>
        <v>0</v>
      </c>
    </row>
    <row r="165" spans="4:11" x14ac:dyDescent="0.25">
      <c r="D165" s="50">
        <v>44960</v>
      </c>
      <c r="E165" s="176">
        <v>1</v>
      </c>
      <c r="F165" s="176">
        <v>203</v>
      </c>
      <c r="G165" s="177">
        <v>27368203829</v>
      </c>
      <c r="H165" s="178" t="str">
        <f>IFERROR(IF(factura_c_mes2[[#This Row],[CUIT]]="","-",VLOOKUP(factura_c_mes2[[#This Row],[CUIT]],Lista_CUIT[#All],2,0)),"CUIT NO CARGADO")</f>
        <v>PROFETI NOEMI GISELE</v>
      </c>
      <c r="I165" s="183">
        <v>11500</v>
      </c>
      <c r="J165" s="179" t="str">
        <f>IFERROR(IF(factura_c_mes2[[#This Row],[CUIT]]="","-",VLOOKUP(factura_c_mes2[[#This Row],[CUIT]],Lista_CUIT[#All],3,0)),"CUIT NO CARGADO")</f>
        <v>GASTOS MANTENIMIENTO</v>
      </c>
      <c r="K165" s="179" t="str">
        <f>IFERROR(IF(factura_c_mes2[[#This Row],[CUIT]]="","-",VLOOKUP(factura_c_mes2[[#This Row],[CUIT]],Lista_CUIT[#All],4,0)),"CUIT NO CARGADO")</f>
        <v>BUENOS AIRES</v>
      </c>
    </row>
    <row r="166" spans="4:11" x14ac:dyDescent="0.25">
      <c r="D166" s="50">
        <v>44958</v>
      </c>
      <c r="E166" s="176">
        <v>3</v>
      </c>
      <c r="F166" s="176">
        <v>207</v>
      </c>
      <c r="G166" s="177">
        <v>23306035444</v>
      </c>
      <c r="H166" s="178" t="str">
        <f>IFERROR(IF(factura_c_mes2[[#This Row],[CUIT]]="","-",VLOOKUP(factura_c_mes2[[#This Row],[CUIT]],Lista_CUIT[#All],2,0)),"CUIT NO CARGADO")</f>
        <v>NADIA TARANTINO</v>
      </c>
      <c r="I166" s="183">
        <v>25615</v>
      </c>
      <c r="J166" s="179" t="str">
        <f>IFERROR(IF(factura_c_mes2[[#This Row],[CUIT]]="","-",VLOOKUP(factura_c_mes2[[#This Row],[CUIT]],Lista_CUIT[#All],3,0)),"CUIT NO CARGADO")</f>
        <v>GASTOS CONTABLES</v>
      </c>
      <c r="K166" s="179">
        <f>IFERROR(IF(factura_c_mes2[[#This Row],[CUIT]]="","-",VLOOKUP(factura_c_mes2[[#This Row],[CUIT]],Lista_CUIT[#All],4,0)),"CUIT NO CARGADO")</f>
        <v>0</v>
      </c>
    </row>
    <row r="167" spans="4:11" x14ac:dyDescent="0.25">
      <c r="D167" s="50">
        <v>44974</v>
      </c>
      <c r="E167" s="176">
        <v>1</v>
      </c>
      <c r="F167" s="176">
        <v>210</v>
      </c>
      <c r="G167" s="177">
        <v>27368203829</v>
      </c>
      <c r="H167" s="178" t="str">
        <f>IFERROR(IF(factura_c_mes2[[#This Row],[CUIT]]="","-",VLOOKUP(factura_c_mes2[[#This Row],[CUIT]],Lista_CUIT[#All],2,0)),"CUIT NO CARGADO")</f>
        <v>PROFETI NOEMI GISELE</v>
      </c>
      <c r="I167" s="183">
        <v>61600</v>
      </c>
      <c r="J167" s="179" t="str">
        <f>IFERROR(IF(factura_c_mes2[[#This Row],[CUIT]]="","-",VLOOKUP(factura_c_mes2[[#This Row],[CUIT]],Lista_CUIT[#All],3,0)),"CUIT NO CARGADO")</f>
        <v>GASTOS MANTENIMIENTO</v>
      </c>
      <c r="K167" s="179" t="str">
        <f>IFERROR(IF(factura_c_mes2[[#This Row],[CUIT]]="","-",VLOOKUP(factura_c_mes2[[#This Row],[CUIT]],Lista_CUIT[#All],4,0)),"CUIT NO CARGADO")</f>
        <v>BUENOS AIRES</v>
      </c>
    </row>
    <row r="168" spans="4:11" x14ac:dyDescent="0.25">
      <c r="D168" s="50">
        <v>44958</v>
      </c>
      <c r="E168" s="176">
        <v>2</v>
      </c>
      <c r="F168" s="176">
        <v>435</v>
      </c>
      <c r="G168" s="177">
        <v>27299725761</v>
      </c>
      <c r="H168" s="178" t="str">
        <f>IFERROR(IF(factura_c_mes2[[#This Row],[CUIT]]="","-",VLOOKUP(factura_c_mes2[[#This Row],[CUIT]],Lista_CUIT[#All],2,0)),"CUIT NO CARGADO")</f>
        <v>TURSARKISIAN MISISIAN VERONICA GEMA</v>
      </c>
      <c r="I168" s="183">
        <v>50000</v>
      </c>
      <c r="J168" s="179" t="str">
        <f>IFERROR(IF(factura_c_mes2[[#This Row],[CUIT]]="","-",VLOOKUP(factura_c_mes2[[#This Row],[CUIT]],Lista_CUIT[#All],3,0)),"CUIT NO CARGADO")</f>
        <v>Productos Ortopedicos</v>
      </c>
      <c r="K168" s="179">
        <f>IFERROR(IF(factura_c_mes2[[#This Row],[CUIT]]="","-",VLOOKUP(factura_c_mes2[[#This Row],[CUIT]],Lista_CUIT[#All],4,0)),"CUIT NO CARGADO")</f>
        <v>0</v>
      </c>
    </row>
    <row r="169" spans="4:11" x14ac:dyDescent="0.25">
      <c r="D169" s="50">
        <v>44958</v>
      </c>
      <c r="E169" s="176">
        <v>2</v>
      </c>
      <c r="F169" s="176">
        <v>436</v>
      </c>
      <c r="G169" s="177">
        <v>27299725761</v>
      </c>
      <c r="H169" s="178" t="str">
        <f>IFERROR(IF(factura_c_mes2[[#This Row],[CUIT]]="","-",VLOOKUP(factura_c_mes2[[#This Row],[CUIT]],Lista_CUIT[#All],2,0)),"CUIT NO CARGADO")</f>
        <v>TURSARKISIAN MISISIAN VERONICA GEMA</v>
      </c>
      <c r="I169" s="183">
        <v>25000</v>
      </c>
      <c r="J169" s="179" t="str">
        <f>IFERROR(IF(factura_c_mes2[[#This Row],[CUIT]]="","-",VLOOKUP(factura_c_mes2[[#This Row],[CUIT]],Lista_CUIT[#All],3,0)),"CUIT NO CARGADO")</f>
        <v>Productos Ortopedicos</v>
      </c>
      <c r="K169" s="179">
        <f>IFERROR(IF(factura_c_mes2[[#This Row],[CUIT]]="","-",VLOOKUP(factura_c_mes2[[#This Row],[CUIT]],Lista_CUIT[#All],4,0)),"CUIT NO CARGADO")</f>
        <v>0</v>
      </c>
    </row>
    <row r="170" spans="4:11" x14ac:dyDescent="0.25">
      <c r="D170" s="50">
        <v>44958</v>
      </c>
      <c r="E170" s="176">
        <v>2</v>
      </c>
      <c r="F170" s="176">
        <v>437</v>
      </c>
      <c r="G170" s="177">
        <v>27299725761</v>
      </c>
      <c r="H170" s="178" t="str">
        <f>IFERROR(IF(factura_c_mes2[[#This Row],[CUIT]]="","-",VLOOKUP(factura_c_mes2[[#This Row],[CUIT]],Lista_CUIT[#All],2,0)),"CUIT NO CARGADO")</f>
        <v>TURSARKISIAN MISISIAN VERONICA GEMA</v>
      </c>
      <c r="I170" s="183">
        <v>22000</v>
      </c>
      <c r="J170" s="179" t="str">
        <f>IFERROR(IF(factura_c_mes2[[#This Row],[CUIT]]="","-",VLOOKUP(factura_c_mes2[[#This Row],[CUIT]],Lista_CUIT[#All],3,0)),"CUIT NO CARGADO")</f>
        <v>Productos Ortopedicos</v>
      </c>
      <c r="K170" s="179">
        <f>IFERROR(IF(factura_c_mes2[[#This Row],[CUIT]]="","-",VLOOKUP(factura_c_mes2[[#This Row],[CUIT]],Lista_CUIT[#All],4,0)),"CUIT NO CARGADO")</f>
        <v>0</v>
      </c>
    </row>
    <row r="171" spans="4:11" x14ac:dyDescent="0.25">
      <c r="D171" s="50">
        <v>44958</v>
      </c>
      <c r="E171" s="176">
        <v>2</v>
      </c>
      <c r="F171" s="176">
        <v>438</v>
      </c>
      <c r="G171" s="177">
        <v>27299725761</v>
      </c>
      <c r="H171" s="178" t="str">
        <f>IFERROR(IF(factura_c_mes2[[#This Row],[CUIT]]="","-",VLOOKUP(factura_c_mes2[[#This Row],[CUIT]],Lista_CUIT[#All],2,0)),"CUIT NO CARGADO")</f>
        <v>TURSARKISIAN MISISIAN VERONICA GEMA</v>
      </c>
      <c r="I171" s="183">
        <v>42000</v>
      </c>
      <c r="J171" s="179" t="str">
        <f>IFERROR(IF(factura_c_mes2[[#This Row],[CUIT]]="","-",VLOOKUP(factura_c_mes2[[#This Row],[CUIT]],Lista_CUIT[#All],3,0)),"CUIT NO CARGADO")</f>
        <v>Productos Ortopedicos</v>
      </c>
      <c r="K171" s="179">
        <f>IFERROR(IF(factura_c_mes2[[#This Row],[CUIT]]="","-",VLOOKUP(factura_c_mes2[[#This Row],[CUIT]],Lista_CUIT[#All],4,0)),"CUIT NO CARGADO")</f>
        <v>0</v>
      </c>
    </row>
    <row r="172" spans="4:11" x14ac:dyDescent="0.25">
      <c r="D172" s="50">
        <v>44958</v>
      </c>
      <c r="E172" s="176">
        <v>2</v>
      </c>
      <c r="F172" s="176">
        <v>439</v>
      </c>
      <c r="G172" s="177">
        <v>27299725761</v>
      </c>
      <c r="H172" s="178" t="str">
        <f>IFERROR(IF(factura_c_mes2[[#This Row],[CUIT]]="","-",VLOOKUP(factura_c_mes2[[#This Row],[CUIT]],Lista_CUIT[#All],2,0)),"CUIT NO CARGADO")</f>
        <v>TURSARKISIAN MISISIAN VERONICA GEMA</v>
      </c>
      <c r="I172" s="183">
        <v>48000</v>
      </c>
      <c r="J172" s="179" t="str">
        <f>IFERROR(IF(factura_c_mes2[[#This Row],[CUIT]]="","-",VLOOKUP(factura_c_mes2[[#This Row],[CUIT]],Lista_CUIT[#All],3,0)),"CUIT NO CARGADO")</f>
        <v>Productos Ortopedicos</v>
      </c>
      <c r="K172" s="179">
        <f>IFERROR(IF(factura_c_mes2[[#This Row],[CUIT]]="","-",VLOOKUP(factura_c_mes2[[#This Row],[CUIT]],Lista_CUIT[#All],4,0)),"CUIT NO CARGADO")</f>
        <v>0</v>
      </c>
    </row>
    <row r="173" spans="4:11" x14ac:dyDescent="0.25">
      <c r="D173" s="50">
        <v>44958</v>
      </c>
      <c r="E173" s="176">
        <v>2</v>
      </c>
      <c r="F173" s="176">
        <v>440</v>
      </c>
      <c r="G173" s="177">
        <v>27299725761</v>
      </c>
      <c r="H173" s="178" t="str">
        <f>IFERROR(IF(factura_c_mes2[[#This Row],[CUIT]]="","-",VLOOKUP(factura_c_mes2[[#This Row],[CUIT]],Lista_CUIT[#All],2,0)),"CUIT NO CARGADO")</f>
        <v>TURSARKISIAN MISISIAN VERONICA GEMA</v>
      </c>
      <c r="I173" s="183">
        <v>48000</v>
      </c>
      <c r="J173" s="179" t="str">
        <f>IFERROR(IF(factura_c_mes2[[#This Row],[CUIT]]="","-",VLOOKUP(factura_c_mes2[[#This Row],[CUIT]],Lista_CUIT[#All],3,0)),"CUIT NO CARGADO")</f>
        <v>Productos Ortopedicos</v>
      </c>
      <c r="K173" s="179">
        <f>IFERROR(IF(factura_c_mes2[[#This Row],[CUIT]]="","-",VLOOKUP(factura_c_mes2[[#This Row],[CUIT]],Lista_CUIT[#All],4,0)),"CUIT NO CARGADO")</f>
        <v>0</v>
      </c>
    </row>
    <row r="174" spans="4:11" x14ac:dyDescent="0.25">
      <c r="D174" s="50">
        <v>44984</v>
      </c>
      <c r="E174" s="176">
        <v>3</v>
      </c>
      <c r="F174" s="176">
        <v>617</v>
      </c>
      <c r="G174" s="177">
        <v>20216451679</v>
      </c>
      <c r="H174" s="178" t="str">
        <f>IFERROR(IF(factura_c_mes2[[#This Row],[CUIT]]="","-",VLOOKUP(factura_c_mes2[[#This Row],[CUIT]],Lista_CUIT[#All],2,0)),"CUIT NO CARGADO")</f>
        <v>VAZQUEZ RICARDO OSCAR</v>
      </c>
      <c r="I174" s="183">
        <v>41000</v>
      </c>
      <c r="J174" s="179" t="str">
        <f>IFERROR(IF(factura_c_mes2[[#This Row],[CUIT]]="","-",VLOOKUP(factura_c_mes2[[#This Row],[CUIT]],Lista_CUIT[#All],3,0)),"CUIT NO CARGADO")</f>
        <v>Productos Ortopedicos</v>
      </c>
      <c r="K174" s="179">
        <f>IFERROR(IF(factura_c_mes2[[#This Row],[CUIT]]="","-",VLOOKUP(factura_c_mes2[[#This Row],[CUIT]],Lista_CUIT[#All],4,0)),"CUIT NO CARGADO")</f>
        <v>0</v>
      </c>
    </row>
    <row r="175" spans="4:11" x14ac:dyDescent="0.25">
      <c r="D175" s="50">
        <v>44958</v>
      </c>
      <c r="E175" s="176">
        <v>3</v>
      </c>
      <c r="F175" s="176">
        <v>678</v>
      </c>
      <c r="G175" s="177">
        <v>20086277523</v>
      </c>
      <c r="H175" s="178" t="str">
        <f>IFERROR(IF(factura_c_mes2[[#This Row],[CUIT]]="","-",VLOOKUP(factura_c_mes2[[#This Row],[CUIT]],Lista_CUIT[#All],2,0)),"CUIT NO CARGADO")</f>
        <v>BOTINDARI JUAN CARLOS</v>
      </c>
      <c r="I175" s="183">
        <v>85000</v>
      </c>
      <c r="J175" s="179" t="str">
        <f>IFERROR(IF(factura_c_mes2[[#This Row],[CUIT]]="","-",VLOOKUP(factura_c_mes2[[#This Row],[CUIT]],Lista_CUIT[#All],3,0)),"CUIT NO CARGADO")</f>
        <v>HONORARIOS CONTABLES</v>
      </c>
      <c r="K175" s="179">
        <f>IFERROR(IF(factura_c_mes2[[#This Row],[CUIT]]="","-",VLOOKUP(factura_c_mes2[[#This Row],[CUIT]],Lista_CUIT[#All],4,0)),"CUIT NO CARGADO")</f>
        <v>0</v>
      </c>
    </row>
    <row r="176" spans="4:11" x14ac:dyDescent="0.25">
      <c r="D176" s="50">
        <v>44963</v>
      </c>
      <c r="E176" s="176">
        <v>2019</v>
      </c>
      <c r="F176" s="176">
        <v>1869</v>
      </c>
      <c r="G176" s="177">
        <v>20277164192</v>
      </c>
      <c r="H176" s="178" t="str">
        <f>IFERROR(IF(factura_c_mes2[[#This Row],[CUIT]]="","-",VLOOKUP(factura_c_mes2[[#This Row],[CUIT]],Lista_CUIT[#All],2,0)),"CUIT NO CARGADO")</f>
        <v>PABLO ROBERTO MURUA POU</v>
      </c>
      <c r="I176" s="183">
        <v>5760</v>
      </c>
      <c r="J176" s="179" t="str">
        <f>IFERROR(IF(factura_c_mes2[[#This Row],[CUIT]]="","-",VLOOKUP(factura_c_mes2[[#This Row],[CUIT]],Lista_CUIT[#All],3,0)),"CUIT NO CARGADO")</f>
        <v>GASTOS VARIOS</v>
      </c>
      <c r="K176" s="179">
        <f>IFERROR(IF(factura_c_mes2[[#This Row],[CUIT]]="","-",VLOOKUP(factura_c_mes2[[#This Row],[CUIT]],Lista_CUIT[#All],4,0)),"CUIT NO CARGADO")</f>
        <v>0</v>
      </c>
    </row>
    <row r="177" spans="2:18" x14ac:dyDescent="0.25">
      <c r="D177" s="50">
        <v>44966</v>
      </c>
      <c r="E177" s="176">
        <v>2019</v>
      </c>
      <c r="F177" s="176">
        <v>1881</v>
      </c>
      <c r="G177" s="177">
        <v>20277164192</v>
      </c>
      <c r="H177" s="178" t="str">
        <f>IFERROR(IF(factura_c_mes2[[#This Row],[CUIT]]="","-",VLOOKUP(factura_c_mes2[[#This Row],[CUIT]],Lista_CUIT[#All],2,0)),"CUIT NO CARGADO")</f>
        <v>PABLO ROBERTO MURUA POU</v>
      </c>
      <c r="I177" s="183">
        <v>1470</v>
      </c>
      <c r="J177" s="179" t="str">
        <f>IFERROR(IF(factura_c_mes2[[#This Row],[CUIT]]="","-",VLOOKUP(factura_c_mes2[[#This Row],[CUIT]],Lista_CUIT[#All],3,0)),"CUIT NO CARGADO")</f>
        <v>GASTOS VARIOS</v>
      </c>
      <c r="K177" s="179">
        <f>IFERROR(IF(factura_c_mes2[[#This Row],[CUIT]]="","-",VLOOKUP(factura_c_mes2[[#This Row],[CUIT]],Lista_CUIT[#All],4,0)),"CUIT NO CARGADO")</f>
        <v>0</v>
      </c>
    </row>
    <row r="178" spans="2:18" x14ac:dyDescent="0.25">
      <c r="D178" s="50">
        <v>44984</v>
      </c>
      <c r="E178" s="176">
        <v>2019</v>
      </c>
      <c r="F178" s="176">
        <v>1945</v>
      </c>
      <c r="G178" s="177">
        <v>20277164192</v>
      </c>
      <c r="H178" s="178" t="str">
        <f>IFERROR(IF(factura_c_mes2[[#This Row],[CUIT]]="","-",VLOOKUP(factura_c_mes2[[#This Row],[CUIT]],Lista_CUIT[#All],2,0)),"CUIT NO CARGADO")</f>
        <v>PABLO ROBERTO MURUA POU</v>
      </c>
      <c r="I178" s="183">
        <v>290</v>
      </c>
      <c r="J178" s="179" t="str">
        <f>IFERROR(IF(factura_c_mes2[[#This Row],[CUIT]]="","-",VLOOKUP(factura_c_mes2[[#This Row],[CUIT]],Lista_CUIT[#All],3,0)),"CUIT NO CARGADO")</f>
        <v>GASTOS VARIOS</v>
      </c>
      <c r="K178" s="179">
        <f>IFERROR(IF(factura_c_mes2[[#This Row],[CUIT]]="","-",VLOOKUP(factura_c_mes2[[#This Row],[CUIT]],Lista_CUIT[#All],4,0)),"CUIT NO CARGADO")</f>
        <v>0</v>
      </c>
    </row>
    <row r="179" spans="2:18" x14ac:dyDescent="0.25">
      <c r="D179" s="50">
        <v>44966</v>
      </c>
      <c r="E179" s="176">
        <v>400</v>
      </c>
      <c r="F179" s="176">
        <v>5956840</v>
      </c>
      <c r="G179" s="177">
        <v>30710573308</v>
      </c>
      <c r="H179" s="178" t="str">
        <f>IFERROR(IF(factura_c_mes2[[#This Row],[CUIT]]="","-",VLOOKUP(factura_c_mes2[[#This Row],[CUIT]],Lista_CUIT[#All],2,0)),"CUIT NO CARGADO")</f>
        <v>CAMARA  DE GRABADORES DE AUTOPARTES DE VEHICULOS AUTOMOTORES Y MOTOVEHICULOS</v>
      </c>
      <c r="I179" s="183">
        <v>6476</v>
      </c>
      <c r="J179" s="179" t="str">
        <f>IFERROR(IF(factura_c_mes2[[#This Row],[CUIT]]="","-",VLOOKUP(factura_c_mes2[[#This Row],[CUIT]],Lista_CUIT[#All],3,0)),"CUIT NO CARGADO")</f>
        <v>GASTOS MANTENIMIENTO</v>
      </c>
      <c r="K179" s="179">
        <f>IFERROR(IF(factura_c_mes2[[#This Row],[CUIT]]="","-",VLOOKUP(factura_c_mes2[[#This Row],[CUIT]],Lista_CUIT[#All],4,0)),"CUIT NO CARGADO")</f>
        <v>0</v>
      </c>
    </row>
    <row r="180" spans="2:18" x14ac:dyDescent="0.25">
      <c r="D180" s="50"/>
      <c r="E180" s="42"/>
      <c r="F180" s="176"/>
      <c r="G180" s="44"/>
      <c r="H180" s="53" t="str">
        <f>IFERROR(IF(factura_c_mes2[[#This Row],[CUIT]]="","-",VLOOKUP(factura_c_mes2[[#This Row],[CUIT]],Lista_CUIT[#All],2,0)),"CUIT NO CARGADO")</f>
        <v>-</v>
      </c>
      <c r="I180" s="81"/>
      <c r="J180" s="54" t="str">
        <f>IFERROR(IF(factura_c_mes2[[#This Row],[CUIT]]="","-",VLOOKUP(factura_c_mes2[[#This Row],[CUIT]],Lista_CUIT[#All],3,0)),"CUIT NO CARGADO")</f>
        <v>-</v>
      </c>
      <c r="K180" s="54" t="str">
        <f>IFERROR(IF(factura_c_mes2[[#This Row],[CUIT]]="","-",VLOOKUP(factura_c_mes2[[#This Row],[CUIT]],Lista_CUIT[#All],4,0)),"CUIT NO CARGADO")</f>
        <v>-</v>
      </c>
    </row>
    <row r="181" spans="2:18" ht="19.149999999999999" customHeight="1" x14ac:dyDescent="0.25">
      <c r="D181" s="50"/>
      <c r="E181" s="42"/>
      <c r="F181" s="43"/>
      <c r="G181" s="44"/>
      <c r="H181" s="53" t="str">
        <f>IFERROR(IF(factura_c_mes2[[#This Row],[CUIT]]="","-",VLOOKUP(factura_c_mes2[[#This Row],[CUIT]],Lista_CUIT[#All],2,0)),"CUIT NO CARGADO")</f>
        <v>-</v>
      </c>
      <c r="I181" s="81"/>
      <c r="J181" s="54" t="str">
        <f>IFERROR(IF(factura_c_mes2[[#This Row],[CUIT]]="","-",VLOOKUP(factura_c_mes2[[#This Row],[CUIT]],Lista_CUIT[#All],3,0)),"CUIT NO CARGADO")</f>
        <v>-</v>
      </c>
      <c r="K181" s="54" t="str">
        <f>IFERROR(IF(factura_c_mes2[[#This Row],[CUIT]]="","-",VLOOKUP(factura_c_mes2[[#This Row],[CUIT]],Lista_CUIT[#All],4,0)),"CUIT NO CARGADO")</f>
        <v>-</v>
      </c>
    </row>
    <row r="182" spans="2:18" ht="21.75" customHeight="1" x14ac:dyDescent="0.25">
      <c r="D182" s="50"/>
      <c r="E182" s="42"/>
      <c r="F182" s="43"/>
      <c r="G182" s="44"/>
      <c r="H182" s="53" t="str">
        <f>IFERROR(IF(factura_c_mes2[[#This Row],[CUIT]]="","-",VLOOKUP(factura_c_mes2[[#This Row],[CUIT]],Lista_CUIT[#All],2,0)),"CUIT NO CARGADO")</f>
        <v>-</v>
      </c>
      <c r="I182" s="81"/>
      <c r="J182" s="54" t="str">
        <f>IFERROR(IF(factura_c_mes2[[#This Row],[CUIT]]="","-",VLOOKUP(factura_c_mes2[[#This Row],[CUIT]],Lista_CUIT[#All],3,0)),"CUIT NO CARGADO")</f>
        <v>-</v>
      </c>
      <c r="K182" s="54" t="str">
        <f>IFERROR(IF(factura_c_mes2[[#This Row],[CUIT]]="","-",VLOOKUP(factura_c_mes2[[#This Row],[CUIT]],Lista_CUIT[#All],4,0)),"CUIT NO CARGADO")</f>
        <v>-</v>
      </c>
    </row>
    <row r="183" spans="2:18" x14ac:dyDescent="0.25">
      <c r="D183" s="180" t="s">
        <v>110</v>
      </c>
      <c r="E183" s="180"/>
      <c r="F183" s="180"/>
      <c r="G183" s="180"/>
      <c r="H183" s="181"/>
      <c r="I183" s="182">
        <f>SUBTOTAL(109,factura_c_mes2[TOTAL])</f>
        <v>2509432</v>
      </c>
      <c r="J183" s="180"/>
      <c r="K183" s="180"/>
    </row>
    <row r="184" spans="2:18" x14ac:dyDescent="0.25">
      <c r="B184" s="56"/>
      <c r="C184" s="56"/>
      <c r="G184" s="35"/>
      <c r="L184" s="56"/>
      <c r="M184" s="56"/>
      <c r="N184" s="56"/>
      <c r="O184" s="56"/>
      <c r="P184" s="56"/>
      <c r="Q184" s="56"/>
      <c r="R184" s="56"/>
    </row>
    <row r="189" spans="2:18" ht="26.25" x14ac:dyDescent="0.25">
      <c r="B189" s="532" t="s">
        <v>29</v>
      </c>
      <c r="C189" s="532"/>
      <c r="D189" s="532"/>
      <c r="E189" s="532"/>
      <c r="F189" s="532"/>
      <c r="G189" s="532"/>
      <c r="H189" s="532"/>
      <c r="I189" s="532"/>
      <c r="J189" s="532"/>
      <c r="K189" s="528">
        <f>N1</f>
        <v>44958</v>
      </c>
      <c r="L189" s="528"/>
      <c r="M189" s="528"/>
    </row>
    <row r="191" spans="2:18" ht="21" x14ac:dyDescent="0.25">
      <c r="B191" s="525" t="s">
        <v>30</v>
      </c>
      <c r="C191" s="525"/>
    </row>
    <row r="192" spans="2:18" ht="15.75" x14ac:dyDescent="0.25">
      <c r="B192" s="60" t="s">
        <v>0</v>
      </c>
      <c r="C192" s="61" t="s">
        <v>1</v>
      </c>
      <c r="D192" s="61" t="s">
        <v>21</v>
      </c>
      <c r="E192" s="61" t="s">
        <v>22</v>
      </c>
      <c r="F192" s="61" t="s">
        <v>3</v>
      </c>
      <c r="G192" s="61" t="s">
        <v>4</v>
      </c>
      <c r="H192" s="61" t="s">
        <v>23</v>
      </c>
      <c r="I192" s="61" t="s">
        <v>17</v>
      </c>
      <c r="J192" s="61" t="s">
        <v>7</v>
      </c>
      <c r="K192" s="61" t="s">
        <v>24</v>
      </c>
      <c r="L192" s="61" t="s">
        <v>10</v>
      </c>
      <c r="M192" s="62" t="s">
        <v>38</v>
      </c>
    </row>
    <row r="193" spans="2:13" x14ac:dyDescent="0.25">
      <c r="B193" s="40">
        <v>44958</v>
      </c>
      <c r="C193" s="41">
        <v>1</v>
      </c>
      <c r="D193" s="42">
        <v>7</v>
      </c>
      <c r="E193" s="43">
        <v>1345</v>
      </c>
      <c r="F193" s="44">
        <v>30657418877</v>
      </c>
      <c r="G193" s="99" t="str">
        <f>IFERROR(IF(venta_a_mes2[[#This Row],[CUIT]]="","-",VLOOKUP(venta_a_mes2[[#This Row],[CUIT]],Lista_CUIT[#All],2,0)),"CUIT NO CARGADO")</f>
        <v>FUNDAC EMPRESARIA MADERERA</v>
      </c>
      <c r="H193" s="100">
        <v>2462.81</v>
      </c>
      <c r="I193" s="101">
        <f>venta_a_mes2[[#This Row],[IMPORTE NETO]]*0.21</f>
        <v>517.19009999999992</v>
      </c>
      <c r="J193" s="65"/>
      <c r="K193" s="65"/>
      <c r="L193" s="65">
        <f>SUM(venta_a_mes2[[#This Row],[IMPORTE NETO]:[EXENTO]])</f>
        <v>2980.0000999999997</v>
      </c>
      <c r="M193" s="59"/>
    </row>
    <row r="194" spans="2:13" x14ac:dyDescent="0.25">
      <c r="B194" s="40">
        <v>44958</v>
      </c>
      <c r="C194" s="41">
        <v>1</v>
      </c>
      <c r="D194" s="42">
        <v>7</v>
      </c>
      <c r="E194" s="43">
        <v>1347</v>
      </c>
      <c r="F194" s="44">
        <v>30707612971</v>
      </c>
      <c r="G194" s="99" t="str">
        <f>IFERROR(IF(venta_a_mes2[[#This Row],[CUIT]]="","-",VLOOKUP(venta_a_mes2[[#This Row],[CUIT]],Lista_CUIT[#All],2,0)),"CUIT NO CARGADO")</f>
        <v>CENTRO MEDICO AMENABAR SRL</v>
      </c>
      <c r="H194" s="100">
        <v>7603.31</v>
      </c>
      <c r="I194" s="101">
        <f>venta_a_mes2[[#This Row],[IMPORTE NETO]]*0.21</f>
        <v>1596.6950999999999</v>
      </c>
      <c r="J194" s="65"/>
      <c r="K194" s="65"/>
      <c r="L194" s="65">
        <f>SUM(venta_a_mes2[[#This Row],[IMPORTE NETO]:[EXENTO]])</f>
        <v>9200.0051000000003</v>
      </c>
      <c r="M194" s="59"/>
    </row>
    <row r="195" spans="2:13" x14ac:dyDescent="0.25">
      <c r="B195" s="40">
        <v>44958</v>
      </c>
      <c r="C195" s="41">
        <v>1</v>
      </c>
      <c r="D195" s="42">
        <v>7</v>
      </c>
      <c r="E195" s="43">
        <v>1339</v>
      </c>
      <c r="F195" s="44">
        <v>30711244383</v>
      </c>
      <c r="G195" s="99" t="str">
        <f>IFERROR(IF(venta_a_mes2[[#This Row],[CUIT]]="","-",VLOOKUP(venta_a_mes2[[#This Row],[CUIT]],Lista_CUIT[#All],2,0)),"CUIT NO CARGADO")</f>
        <v>LOGIN DOOR SA</v>
      </c>
      <c r="H195" s="100">
        <v>15907.44</v>
      </c>
      <c r="I195" s="101">
        <f>venta_a_mes2[[#This Row],[IMPORTE NETO]]*0.21</f>
        <v>3340.5623999999998</v>
      </c>
      <c r="J195" s="65"/>
      <c r="K195" s="65"/>
      <c r="L195" s="65">
        <f>SUM(venta_a_mes2[[#This Row],[IMPORTE NETO]:[EXENTO]])</f>
        <v>19248.002400000001</v>
      </c>
      <c r="M195" s="59"/>
    </row>
    <row r="196" spans="2:13" x14ac:dyDescent="0.25">
      <c r="B196" s="40">
        <v>44958</v>
      </c>
      <c r="C196" s="41">
        <v>1</v>
      </c>
      <c r="D196" s="42">
        <v>7</v>
      </c>
      <c r="E196" s="43">
        <v>1344</v>
      </c>
      <c r="F196" s="44">
        <v>30709016012</v>
      </c>
      <c r="G196" s="99" t="str">
        <f>IFERROR(IF(venta_a_mes2[[#This Row],[CUIT]]="","-",VLOOKUP(venta_a_mes2[[#This Row],[CUIT]],Lista_CUIT[#All],2,0)),"CUIT NO CARGADO")</f>
        <v>MGR IMPLANTES S.A</v>
      </c>
      <c r="H196" s="100">
        <v>7107.44</v>
      </c>
      <c r="I196" s="101">
        <f>venta_a_mes2[[#This Row],[IMPORTE NETO]]*0.21</f>
        <v>1492.5623999999998</v>
      </c>
      <c r="J196" s="65"/>
      <c r="K196" s="65"/>
      <c r="L196" s="65">
        <f>SUM(venta_a_mes2[[#This Row],[IMPORTE NETO]:[EXENTO]])</f>
        <v>8600.0023999999994</v>
      </c>
      <c r="M196" s="59"/>
    </row>
    <row r="197" spans="2:13" x14ac:dyDescent="0.25">
      <c r="B197" s="40">
        <v>44958</v>
      </c>
      <c r="C197" s="41">
        <v>1</v>
      </c>
      <c r="D197" s="42">
        <v>7</v>
      </c>
      <c r="E197" s="43">
        <v>1342</v>
      </c>
      <c r="F197" s="44">
        <v>30546771314</v>
      </c>
      <c r="G197" s="99" t="str">
        <f>IFERROR(IF(venta_a_mes2[[#This Row],[CUIT]]="","-",VLOOKUP(venta_a_mes2[[#This Row],[CUIT]],Lista_CUIT[#All],2,0)),"CUIT NO CARGADO")</f>
        <v>MEDICUS S.A DE ASIST. MEDICA</v>
      </c>
      <c r="H197" s="100">
        <v>17107.439999999999</v>
      </c>
      <c r="I197" s="101">
        <f>venta_a_mes2[[#This Row],[IMPORTE NETO]]*0.21</f>
        <v>3592.5623999999998</v>
      </c>
      <c r="J197" s="65"/>
      <c r="K197" s="65"/>
      <c r="L197" s="65">
        <f>SUM(venta_a_mes2[[#This Row],[IMPORTE NETO]:[EXENTO]])</f>
        <v>20700.002399999998</v>
      </c>
      <c r="M197" s="59"/>
    </row>
    <row r="198" spans="2:13" x14ac:dyDescent="0.25">
      <c r="B198" s="40">
        <v>44958</v>
      </c>
      <c r="C198" s="41">
        <v>1</v>
      </c>
      <c r="D198" s="42">
        <v>7</v>
      </c>
      <c r="E198" s="43">
        <v>1343</v>
      </c>
      <c r="F198" s="44">
        <v>30710961790</v>
      </c>
      <c r="G198" s="99" t="str">
        <f>IFERROR(IF(venta_a_mes2[[#This Row],[CUIT]]="","-",VLOOKUP(venta_a_mes2[[#This Row],[CUIT]],Lista_CUIT[#All],2,0)),"CUIT NO CARGADO")</f>
        <v>ZC DIABETES SRL</v>
      </c>
      <c r="H198" s="100">
        <v>38512.400000000001</v>
      </c>
      <c r="I198" s="101">
        <f>venta_a_mes2[[#This Row],[IMPORTE NETO]]*0.21</f>
        <v>8087.6040000000003</v>
      </c>
      <c r="J198" s="65"/>
      <c r="K198" s="65"/>
      <c r="L198" s="65">
        <f>SUM(venta_a_mes2[[#This Row],[IMPORTE NETO]:[EXENTO]])</f>
        <v>46600.004000000001</v>
      </c>
      <c r="M198" s="59"/>
    </row>
    <row r="199" spans="2:13" x14ac:dyDescent="0.25">
      <c r="B199" s="40">
        <v>44958</v>
      </c>
      <c r="C199" s="41">
        <v>1</v>
      </c>
      <c r="D199" s="42">
        <v>7</v>
      </c>
      <c r="E199" s="43">
        <v>1349</v>
      </c>
      <c r="F199" s="44">
        <v>30683032227</v>
      </c>
      <c r="G199" s="99" t="str">
        <f>IFERROR(IF(venta_a_mes2[[#This Row],[CUIT]]="","-",VLOOKUP(venta_a_mes2[[#This Row],[CUIT]],Lista_CUIT[#All],2,0)),"CUIT NO CARGADO")</f>
        <v>OBRA SOCIAL UNION PERSONAL DE LA UNION DEL PERSONAL CIVIL D</v>
      </c>
      <c r="H199" s="100">
        <v>183834.23999999999</v>
      </c>
      <c r="I199" s="101">
        <f>venta_a_mes2[[#This Row],[IMPORTE NETO]]*0.21</f>
        <v>38605.190399999999</v>
      </c>
      <c r="J199" s="65"/>
      <c r="K199" s="65"/>
      <c r="L199" s="65">
        <f>SUM(venta_a_mes2[[#This Row],[IMPORTE NETO]:[EXENTO]])</f>
        <v>222439.43039999998</v>
      </c>
      <c r="M199" s="63"/>
    </row>
    <row r="200" spans="2:13" x14ac:dyDescent="0.25">
      <c r="B200" s="102">
        <v>44958</v>
      </c>
      <c r="C200" s="103">
        <v>1</v>
      </c>
      <c r="D200" s="104">
        <v>7</v>
      </c>
      <c r="E200" s="105">
        <v>1340</v>
      </c>
      <c r="F200" s="106">
        <v>30645337979</v>
      </c>
      <c r="G200" s="99" t="str">
        <f>IFERROR(IF(venta_a_mes2[[#This Row],[CUIT]]="","-",VLOOKUP(venta_a_mes2[[#This Row],[CUIT]],Lista_CUIT[#All],2,0)),"CUIT NO CARGADO")</f>
        <v>ALEXANDER FLEMING SA</v>
      </c>
      <c r="H200" s="107">
        <v>9190.08</v>
      </c>
      <c r="I200" s="108">
        <f>venta_a_mes2[[#This Row],[IMPORTE NETO]]*0.21</f>
        <v>1929.9168</v>
      </c>
      <c r="J200" s="72"/>
      <c r="K200" s="72"/>
      <c r="L200" s="72">
        <f>SUM(venta_a_mes2[[#This Row],[IMPORTE NETO]:[EXENTO]])</f>
        <v>11119.996800000001</v>
      </c>
      <c r="M200" s="63"/>
    </row>
    <row r="201" spans="2:13" x14ac:dyDescent="0.25">
      <c r="B201" s="109">
        <v>44958</v>
      </c>
      <c r="C201" s="110">
        <v>1</v>
      </c>
      <c r="D201" s="111">
        <v>7</v>
      </c>
      <c r="E201" s="112">
        <v>1352</v>
      </c>
      <c r="F201" s="113">
        <v>30608716390</v>
      </c>
      <c r="G201" s="99" t="str">
        <f>IFERROR(IF(venta_a_mes2[[#This Row],[CUIT]]="","-",VLOOKUP(venta_a_mes2[[#This Row],[CUIT]],Lista_CUIT[#All],2,0)),"CUIT NO CARGADO")</f>
        <v>OBRA SOCIAL DEL PERSONAL DE LAS TELECOMUNICACIONES DE LA REP. ARGENTINA</v>
      </c>
      <c r="H201" s="100">
        <v>5289.26</v>
      </c>
      <c r="I201" s="101">
        <f>venta_a_mes2[[#This Row],[IMPORTE NETO]]*0.21</f>
        <v>1110.7446</v>
      </c>
      <c r="J201" s="65"/>
      <c r="K201" s="65"/>
      <c r="L201" s="65">
        <f>SUM(venta_a_mes2[[#This Row],[IMPORTE NETO]:[EXENTO]])</f>
        <v>6400.0046000000002</v>
      </c>
      <c r="M201" s="59"/>
    </row>
    <row r="202" spans="2:13" x14ac:dyDescent="0.25">
      <c r="B202" s="102">
        <v>44958</v>
      </c>
      <c r="C202" s="103">
        <v>1</v>
      </c>
      <c r="D202" s="104">
        <v>7</v>
      </c>
      <c r="E202" s="105">
        <v>1351</v>
      </c>
      <c r="F202" s="106">
        <v>30608716390</v>
      </c>
      <c r="G202" s="185" t="str">
        <f>IFERROR(IF(venta_a_mes2[[#This Row],[CUIT]]="","-",VLOOKUP(venta_a_mes2[[#This Row],[CUIT]],Lista_CUIT[#All],2,0)),"CUIT NO CARGADO")</f>
        <v>OBRA SOCIAL DEL PERSONAL DE LAS TELECOMUNICACIONES DE LA REP. ARGENTINA</v>
      </c>
      <c r="H202" s="107">
        <v>3016.53</v>
      </c>
      <c r="I202" s="108">
        <f>venta_a_mes2[[#This Row],[IMPORTE NETO]]*0.21</f>
        <v>633.47130000000004</v>
      </c>
      <c r="J202" s="72"/>
      <c r="K202" s="72"/>
      <c r="L202" s="72">
        <f>SUM(venta_a_mes2[[#This Row],[IMPORTE NETO]:[EXENTO]])</f>
        <v>3650.0013000000004</v>
      </c>
      <c r="M202" s="63"/>
    </row>
    <row r="203" spans="2:13" x14ac:dyDescent="0.25">
      <c r="B203" s="109">
        <v>44958</v>
      </c>
      <c r="C203" s="110">
        <v>1</v>
      </c>
      <c r="D203" s="111">
        <v>7</v>
      </c>
      <c r="E203" s="112">
        <v>1337</v>
      </c>
      <c r="F203" s="113">
        <v>30522428163</v>
      </c>
      <c r="G203" s="99" t="str">
        <f>IFERROR(IF(venta_a_mes2[[#This Row],[CUIT]]="","-",VLOOKUP(venta_a_mes2[[#This Row],[CUIT]],Lista_CUIT[#All],2,0)),"CUIT NO CARGADO")</f>
        <v>GALENO ARGENTINA SA</v>
      </c>
      <c r="H203" s="100">
        <v>38805.26</v>
      </c>
      <c r="I203" s="101">
        <f>venta_a_mes2[[#This Row],[IMPORTE NETO]]*0.21</f>
        <v>8149.1046000000006</v>
      </c>
      <c r="J203" s="65"/>
      <c r="K203" s="65"/>
      <c r="L203" s="65">
        <f>SUM(venta_a_mes2[[#This Row],[IMPORTE NETO]:[EXENTO]])</f>
        <v>46954.364600000001</v>
      </c>
      <c r="M203" s="59"/>
    </row>
    <row r="204" spans="2:13" x14ac:dyDescent="0.25">
      <c r="B204" s="109">
        <v>44958</v>
      </c>
      <c r="C204" s="110">
        <v>1</v>
      </c>
      <c r="D204" s="111">
        <v>7</v>
      </c>
      <c r="E204" s="112">
        <v>1346</v>
      </c>
      <c r="F204" s="113">
        <v>30713669004</v>
      </c>
      <c r="G204" s="99" t="str">
        <f>IFERROR(IF(venta_a_mes2[[#This Row],[CUIT]]="","-",VLOOKUP(venta_a_mes2[[#This Row],[CUIT]],Lista_CUIT[#All],2,0)),"CUIT NO CARGADO")</f>
        <v>Medincare Argentina S.A.</v>
      </c>
      <c r="H204" s="100">
        <v>11735.54</v>
      </c>
      <c r="I204" s="101">
        <f>venta_a_mes2[[#This Row],[IMPORTE NETO]]*0.21</f>
        <v>2464.4634000000001</v>
      </c>
      <c r="J204" s="65"/>
      <c r="K204" s="65"/>
      <c r="L204" s="65">
        <f>SUM(venta_a_mes2[[#This Row],[IMPORTE NETO]:[EXENTO]])</f>
        <v>14200.003400000001</v>
      </c>
      <c r="M204" s="59"/>
    </row>
    <row r="205" spans="2:13" x14ac:dyDescent="0.25">
      <c r="B205" s="109">
        <v>44958</v>
      </c>
      <c r="C205" s="110">
        <v>1</v>
      </c>
      <c r="D205" s="111">
        <v>7</v>
      </c>
      <c r="E205" s="112">
        <v>1338</v>
      </c>
      <c r="F205" s="113">
        <v>30710538014</v>
      </c>
      <c r="G205" s="99" t="str">
        <f>IFERROR(IF(venta_a_mes2[[#This Row],[CUIT]]="","-",VLOOKUP(venta_a_mes2[[#This Row],[CUIT]],Lista_CUIT[#All],2,0)),"CUIT NO CARGADO")</f>
        <v>Hc Homecare Internacion Domiciliaria S.A.</v>
      </c>
      <c r="H205" s="100">
        <v>25619.83</v>
      </c>
      <c r="I205" s="101">
        <f>venta_a_mes2[[#This Row],[IMPORTE NETO]]*0.21</f>
        <v>5380.1643000000004</v>
      </c>
      <c r="J205" s="65"/>
      <c r="K205" s="65"/>
      <c r="L205" s="65">
        <f>SUM(venta_a_mes2[[#This Row],[IMPORTE NETO]:[EXENTO]])</f>
        <v>30999.994300000002</v>
      </c>
      <c r="M205" s="59"/>
    </row>
    <row r="206" spans="2:13" x14ac:dyDescent="0.25">
      <c r="B206" s="109">
        <v>44958</v>
      </c>
      <c r="C206" s="110">
        <v>1</v>
      </c>
      <c r="D206" s="111">
        <v>7</v>
      </c>
      <c r="E206" s="112">
        <v>1341</v>
      </c>
      <c r="F206" s="113">
        <v>30715186655</v>
      </c>
      <c r="G206" s="99" t="str">
        <f>IFERROR(IF(venta_a_mes2[[#This Row],[CUIT]]="","-",VLOOKUP(venta_a_mes2[[#This Row],[CUIT]],Lista_CUIT[#All],2,0)),"CUIT NO CARGADO")</f>
        <v>Amparo Salud S.R.L.</v>
      </c>
      <c r="H206" s="100">
        <v>52396.69</v>
      </c>
      <c r="I206" s="101">
        <f>venta_a_mes2[[#This Row],[IMPORTE NETO]]*0.21</f>
        <v>11003.304899999999</v>
      </c>
      <c r="J206" s="65"/>
      <c r="K206" s="65"/>
      <c r="L206" s="65">
        <f>SUM(venta_a_mes2[[#This Row],[IMPORTE NETO]:[EXENTO]])</f>
        <v>63399.994900000005</v>
      </c>
      <c r="M206" s="59"/>
    </row>
    <row r="207" spans="2:13" x14ac:dyDescent="0.25">
      <c r="B207" s="109">
        <v>44958</v>
      </c>
      <c r="C207" s="110">
        <v>1</v>
      </c>
      <c r="D207" s="111">
        <v>7</v>
      </c>
      <c r="E207" s="112">
        <v>1348</v>
      </c>
      <c r="F207" s="113">
        <v>30683032227</v>
      </c>
      <c r="G207" s="99" t="str">
        <f>IFERROR(IF(venta_a_mes2[[#This Row],[CUIT]]="","-",VLOOKUP(venta_a_mes2[[#This Row],[CUIT]],Lista_CUIT[#All],2,0)),"CUIT NO CARGADO")</f>
        <v>OBRA SOCIAL UNION PERSONAL DE LA UNION DEL PERSONAL CIVIL D</v>
      </c>
      <c r="H207" s="100">
        <v>6198.35</v>
      </c>
      <c r="I207" s="101">
        <f>venta_a_mes2[[#This Row],[IMPORTE NETO]]*0.21</f>
        <v>1301.6535000000001</v>
      </c>
      <c r="J207" s="65"/>
      <c r="K207" s="65"/>
      <c r="L207" s="65">
        <f>SUM(venta_a_mes2[[#This Row],[IMPORTE NETO]:[EXENTO]])</f>
        <v>7500.0035000000007</v>
      </c>
      <c r="M207" s="59"/>
    </row>
    <row r="208" spans="2:13" x14ac:dyDescent="0.25">
      <c r="B208" s="109">
        <v>44958</v>
      </c>
      <c r="C208" s="110">
        <v>1</v>
      </c>
      <c r="D208" s="111">
        <v>7</v>
      </c>
      <c r="E208" s="112">
        <v>1350</v>
      </c>
      <c r="F208" s="113">
        <v>30683032227</v>
      </c>
      <c r="G208" s="99" t="str">
        <f>IFERROR(IF(venta_a_mes2[[#This Row],[CUIT]]="","-",VLOOKUP(venta_a_mes2[[#This Row],[CUIT]],Lista_CUIT[#All],2,0)),"CUIT NO CARGADO")</f>
        <v>OBRA SOCIAL UNION PERSONAL DE LA UNION DEL PERSONAL CIVIL D</v>
      </c>
      <c r="H208" s="100">
        <v>33751.360000000001</v>
      </c>
      <c r="I208" s="101">
        <f>venta_a_mes2[[#This Row],[IMPORTE NETO]]*0.21</f>
        <v>7087.7856000000002</v>
      </c>
      <c r="J208" s="65"/>
      <c r="K208" s="65"/>
      <c r="L208" s="65">
        <f>SUM(venta_a_mes2[[#This Row],[IMPORTE NETO]:[EXENTO]])</f>
        <v>40839.145600000003</v>
      </c>
      <c r="M208" s="59"/>
    </row>
    <row r="209" spans="2:13" x14ac:dyDescent="0.25">
      <c r="B209" s="109">
        <v>44967</v>
      </c>
      <c r="C209" s="110">
        <v>1</v>
      </c>
      <c r="D209" s="111">
        <v>5</v>
      </c>
      <c r="E209" s="112">
        <v>129</v>
      </c>
      <c r="F209" s="113">
        <v>20284183534</v>
      </c>
      <c r="G209" s="99" t="str">
        <f>IFERROR(IF(venta_a_mes2[[#This Row],[CUIT]]="","-",VLOOKUP(venta_a_mes2[[#This Row],[CUIT]],Lista_CUIT[#All],2,0)),"CUIT NO CARGADO")</f>
        <v>FURLANETTO MARTIN</v>
      </c>
      <c r="H209" s="100">
        <v>8429.75</v>
      </c>
      <c r="I209" s="101">
        <f>venta_a_mes2[[#This Row],[IMPORTE NETO]]*0.21</f>
        <v>1770.2474999999999</v>
      </c>
      <c r="J209" s="65"/>
      <c r="K209" s="65"/>
      <c r="L209" s="65">
        <f>SUM(venta_a_mes2[[#This Row],[IMPORTE NETO]:[EXENTO]])</f>
        <v>10199.997499999999</v>
      </c>
      <c r="M209" s="59"/>
    </row>
    <row r="210" spans="2:13" x14ac:dyDescent="0.25">
      <c r="B210" s="109">
        <v>44972</v>
      </c>
      <c r="C210" s="110">
        <v>1</v>
      </c>
      <c r="D210" s="111">
        <v>5</v>
      </c>
      <c r="E210" s="112">
        <v>130</v>
      </c>
      <c r="F210" s="113">
        <v>30687805026</v>
      </c>
      <c r="G210" s="99" t="str">
        <f>IFERROR(IF(venta_a_mes2[[#This Row],[CUIT]]="","-",VLOOKUP(venta_a_mes2[[#This Row],[CUIT]],Lista_CUIT[#All],2,0)),"CUIT NO CARGADO")</f>
        <v>NOUBAR PARNAKIAN S A</v>
      </c>
      <c r="H210" s="100">
        <v>4421.49</v>
      </c>
      <c r="I210" s="101">
        <f>venta_a_mes2[[#This Row],[IMPORTE NETO]]*0.21</f>
        <v>928.51289999999995</v>
      </c>
      <c r="J210" s="65"/>
      <c r="K210" s="65"/>
      <c r="L210" s="65">
        <f>SUM(venta_a_mes2[[#This Row],[IMPORTE NETO]:[EXENTO]])</f>
        <v>5350.0028999999995</v>
      </c>
      <c r="M210" s="59"/>
    </row>
    <row r="211" spans="2:13" x14ac:dyDescent="0.25">
      <c r="B211" s="109">
        <v>44979</v>
      </c>
      <c r="C211" s="110">
        <v>1</v>
      </c>
      <c r="D211" s="111">
        <v>7</v>
      </c>
      <c r="E211" s="112">
        <v>1353</v>
      </c>
      <c r="F211" s="113">
        <v>30658035033</v>
      </c>
      <c r="G211" s="99" t="str">
        <f>IFERROR(IF(venta_a_mes2[[#This Row],[CUIT]]="","-",VLOOKUP(venta_a_mes2[[#This Row],[CUIT]],Lista_CUIT[#All],2,0)),"CUIT NO CARGADO")</f>
        <v>MEDICINA PREPAGA HOMINIS SA</v>
      </c>
      <c r="H211" s="100">
        <v>20247.93</v>
      </c>
      <c r="I211" s="101">
        <f>venta_a_mes2[[#This Row],[IMPORTE NETO]]*0.21</f>
        <v>4252.0653000000002</v>
      </c>
      <c r="J211" s="65"/>
      <c r="K211" s="65"/>
      <c r="L211" s="65">
        <f>SUM(venta_a_mes2[[#This Row],[IMPORTE NETO]:[EXENTO]])</f>
        <v>24499.995300000002</v>
      </c>
      <c r="M211" s="59"/>
    </row>
    <row r="212" spans="2:13" x14ac:dyDescent="0.25">
      <c r="B212" s="109">
        <v>44981</v>
      </c>
      <c r="C212" s="110">
        <v>1</v>
      </c>
      <c r="D212" s="111">
        <v>7</v>
      </c>
      <c r="E212" s="112">
        <v>1357</v>
      </c>
      <c r="F212" s="113">
        <v>30608716390</v>
      </c>
      <c r="G212" s="99" t="str">
        <f>IFERROR(IF(venta_a_mes2[[#This Row],[CUIT]]="","-",VLOOKUP(venta_a_mes2[[#This Row],[CUIT]],Lista_CUIT[#All],2,0)),"CUIT NO CARGADO")</f>
        <v>OBRA SOCIAL DEL PERSONAL DE LAS TELECOMUNICACIONES DE LA REP. ARGENTINA</v>
      </c>
      <c r="H212" s="100">
        <v>6611.56</v>
      </c>
      <c r="I212" s="101">
        <f>venta_a_mes2[[#This Row],[IMPORTE NETO]]*0.21</f>
        <v>1388.4276</v>
      </c>
      <c r="J212" s="65"/>
      <c r="K212" s="65"/>
      <c r="L212" s="65">
        <f>SUM(venta_a_mes2[[#This Row],[IMPORTE NETO]:[EXENTO]])</f>
        <v>7999.9876000000004</v>
      </c>
      <c r="M212" s="59"/>
    </row>
    <row r="213" spans="2:13" x14ac:dyDescent="0.25">
      <c r="B213" s="109">
        <v>44981</v>
      </c>
      <c r="C213" s="110">
        <v>1</v>
      </c>
      <c r="D213" s="111">
        <v>7</v>
      </c>
      <c r="E213" s="112">
        <v>1355</v>
      </c>
      <c r="F213" s="113">
        <v>30608716390</v>
      </c>
      <c r="G213" s="99" t="str">
        <f>IFERROR(IF(venta_a_mes2[[#This Row],[CUIT]]="","-",VLOOKUP(venta_a_mes2[[#This Row],[CUIT]],Lista_CUIT[#All],2,0)),"CUIT NO CARGADO")</f>
        <v>OBRA SOCIAL DEL PERSONAL DE LAS TELECOMUNICACIONES DE LA REP. ARGENTINA</v>
      </c>
      <c r="H213" s="100">
        <v>991.74</v>
      </c>
      <c r="I213" s="101">
        <f>venta_a_mes2[[#This Row],[IMPORTE NETO]]*0.21</f>
        <v>208.2654</v>
      </c>
      <c r="J213" s="65"/>
      <c r="K213" s="65"/>
      <c r="L213" s="65">
        <f>SUM(venta_a_mes2[[#This Row],[IMPORTE NETO]:[EXENTO]])</f>
        <v>1200.0054</v>
      </c>
      <c r="M213" s="59"/>
    </row>
    <row r="214" spans="2:13" x14ac:dyDescent="0.25">
      <c r="B214" s="109">
        <v>44981</v>
      </c>
      <c r="C214" s="110">
        <v>1</v>
      </c>
      <c r="D214" s="111">
        <v>7</v>
      </c>
      <c r="E214" s="112">
        <v>1356</v>
      </c>
      <c r="F214" s="113">
        <v>30608716390</v>
      </c>
      <c r="G214" s="99" t="str">
        <f>IFERROR(IF(venta_a_mes2[[#This Row],[CUIT]]="","-",VLOOKUP(venta_a_mes2[[#This Row],[CUIT]],Lista_CUIT[#All],2,0)),"CUIT NO CARGADO")</f>
        <v>OBRA SOCIAL DEL PERSONAL DE LAS TELECOMUNICACIONES DE LA REP. ARGENTINA</v>
      </c>
      <c r="H214" s="100">
        <v>6611.56</v>
      </c>
      <c r="I214" s="101">
        <f>venta_a_mes2[[#This Row],[IMPORTE NETO]]*0.21</f>
        <v>1388.4276</v>
      </c>
      <c r="J214" s="65"/>
      <c r="K214" s="65"/>
      <c r="L214" s="65">
        <f>SUM(venta_a_mes2[[#This Row],[IMPORTE NETO]:[EXENTO]])</f>
        <v>7999.9876000000004</v>
      </c>
      <c r="M214" s="59"/>
    </row>
    <row r="215" spans="2:13" x14ac:dyDescent="0.25">
      <c r="B215" s="109">
        <v>44981</v>
      </c>
      <c r="C215" s="110">
        <v>1</v>
      </c>
      <c r="D215" s="111">
        <v>7</v>
      </c>
      <c r="E215" s="112">
        <v>1354</v>
      </c>
      <c r="F215" s="113">
        <v>30608716390</v>
      </c>
      <c r="G215" s="99" t="str">
        <f>IFERROR(IF(venta_a_mes2[[#This Row],[CUIT]]="","-",VLOOKUP(venta_a_mes2[[#This Row],[CUIT]],Lista_CUIT[#All],2,0)),"CUIT NO CARGADO")</f>
        <v>OBRA SOCIAL DEL PERSONAL DE LAS TELECOMUNICACIONES DE LA REP. ARGENTINA</v>
      </c>
      <c r="H215" s="100">
        <v>1239.6600000000001</v>
      </c>
      <c r="I215" s="101">
        <f>venta_a_mes2[[#This Row],[IMPORTE NETO]]*0.21</f>
        <v>260.32859999999999</v>
      </c>
      <c r="J215" s="65"/>
      <c r="K215" s="65"/>
      <c r="L215" s="65">
        <f>SUM(venta_a_mes2[[#This Row],[IMPORTE NETO]:[EXENTO]])</f>
        <v>1499.9886000000001</v>
      </c>
      <c r="M215" s="59"/>
    </row>
    <row r="216" spans="2:13" x14ac:dyDescent="0.25">
      <c r="B216" s="109">
        <v>44981</v>
      </c>
      <c r="C216" s="110">
        <v>1</v>
      </c>
      <c r="D216" s="111">
        <v>7</v>
      </c>
      <c r="E216" s="112">
        <v>1358</v>
      </c>
      <c r="F216" s="113">
        <v>30608716390</v>
      </c>
      <c r="G216" s="99" t="str">
        <f>IFERROR(IF(venta_a_mes2[[#This Row],[CUIT]]="","-",VLOOKUP(venta_a_mes2[[#This Row],[CUIT]],Lista_CUIT[#All],2,0)),"CUIT NO CARGADO")</f>
        <v>OBRA SOCIAL DEL PERSONAL DE LAS TELECOMUNICACIONES DE LA REP. ARGENTINA</v>
      </c>
      <c r="H216" s="100">
        <v>3305.78</v>
      </c>
      <c r="I216" s="101">
        <f>venta_a_mes2[[#This Row],[IMPORTE NETO]]*0.21</f>
        <v>694.21379999999999</v>
      </c>
      <c r="J216" s="65"/>
      <c r="K216" s="65"/>
      <c r="L216" s="65">
        <f>SUM(venta_a_mes2[[#This Row],[IMPORTE NETO]:[EXENTO]])</f>
        <v>3999.9938000000002</v>
      </c>
      <c r="M216" s="59"/>
    </row>
    <row r="217" spans="2:13" x14ac:dyDescent="0.25">
      <c r="B217" s="109">
        <v>44984</v>
      </c>
      <c r="C217" s="110">
        <v>1</v>
      </c>
      <c r="D217" s="111">
        <v>7</v>
      </c>
      <c r="E217" s="112">
        <v>1360</v>
      </c>
      <c r="F217" s="113">
        <v>30608716390</v>
      </c>
      <c r="G217" s="99" t="str">
        <f>IFERROR(IF(venta_a_mes2[[#This Row],[CUIT]]="","-",VLOOKUP(venta_a_mes2[[#This Row],[CUIT]],Lista_CUIT[#All],2,0)),"CUIT NO CARGADO")</f>
        <v>OBRA SOCIAL DEL PERSONAL DE LAS TELECOMUNICACIONES DE LA REP. ARGENTINA</v>
      </c>
      <c r="H217" s="100">
        <v>2975.2</v>
      </c>
      <c r="I217" s="101">
        <f>venta_a_mes2[[#This Row],[IMPORTE NETO]]*0.21</f>
        <v>624.79199999999992</v>
      </c>
      <c r="J217" s="65"/>
      <c r="K217" s="65"/>
      <c r="L217" s="65">
        <f>SUM(venta_a_mes2[[#This Row],[IMPORTE NETO]:[EXENTO]])</f>
        <v>3599.9919999999997</v>
      </c>
      <c r="M217" s="59"/>
    </row>
    <row r="218" spans="2:13" x14ac:dyDescent="0.25">
      <c r="B218" s="109">
        <v>44984</v>
      </c>
      <c r="C218" s="110">
        <v>1</v>
      </c>
      <c r="D218" s="111">
        <v>7</v>
      </c>
      <c r="E218" s="112">
        <v>1359</v>
      </c>
      <c r="F218" s="113">
        <v>30608716390</v>
      </c>
      <c r="G218" s="99" t="str">
        <f>IFERROR(IF(venta_a_mes2[[#This Row],[CUIT]]="","-",VLOOKUP(venta_a_mes2[[#This Row],[CUIT]],Lista_CUIT[#All],2,0)),"CUIT NO CARGADO")</f>
        <v>OBRA SOCIAL DEL PERSONAL DE LAS TELECOMUNICACIONES DE LA REP. ARGENTINA</v>
      </c>
      <c r="H218" s="100">
        <v>2479.34</v>
      </c>
      <c r="I218" s="101">
        <f>venta_a_mes2[[#This Row],[IMPORTE NETO]]*0.21</f>
        <v>520.66139999999996</v>
      </c>
      <c r="J218" s="65"/>
      <c r="K218" s="65"/>
      <c r="L218" s="65">
        <f>SUM(venta_a_mes2[[#This Row],[IMPORTE NETO]:[EXENTO]])</f>
        <v>3000.0014000000001</v>
      </c>
      <c r="M218" s="59"/>
    </row>
    <row r="219" spans="2:13" x14ac:dyDescent="0.25">
      <c r="B219" s="109">
        <v>44984</v>
      </c>
      <c r="C219" s="110">
        <v>1</v>
      </c>
      <c r="D219" s="111">
        <v>7</v>
      </c>
      <c r="E219" s="112">
        <v>1361</v>
      </c>
      <c r="F219" s="113">
        <v>30546771314</v>
      </c>
      <c r="G219" s="99" t="str">
        <f>IFERROR(IF(venta_a_mes2[[#This Row],[CUIT]]="","-",VLOOKUP(venta_a_mes2[[#This Row],[CUIT]],Lista_CUIT[#All],2,0)),"CUIT NO CARGADO")</f>
        <v>MEDICUS S.A DE ASIST. MEDICA</v>
      </c>
      <c r="H219" s="100">
        <v>4462.8</v>
      </c>
      <c r="I219" s="101">
        <f>venta_a_mes2[[#This Row],[IMPORTE NETO]]*0.21</f>
        <v>937.18799999999999</v>
      </c>
      <c r="J219" s="65"/>
      <c r="K219" s="65"/>
      <c r="L219" s="65">
        <f>SUM(venta_a_mes2[[#This Row],[IMPORTE NETO]:[EXENTO]])</f>
        <v>5399.9880000000003</v>
      </c>
      <c r="M219" s="59"/>
    </row>
    <row r="220" spans="2:13" x14ac:dyDescent="0.25">
      <c r="B220" s="109">
        <v>44958</v>
      </c>
      <c r="C220" s="110">
        <v>1</v>
      </c>
      <c r="D220" s="111">
        <v>6</v>
      </c>
      <c r="E220" s="112">
        <v>307</v>
      </c>
      <c r="F220" s="113">
        <v>30522428163</v>
      </c>
      <c r="G220" s="99" t="str">
        <f>IFERROR(IF(venta_a_mes2[[#This Row],[CUIT]]="","-",VLOOKUP(venta_a_mes2[[#This Row],[CUIT]],Lista_CUIT[#All],2,0)),"CUIT NO CARGADO")</f>
        <v>GALENO ARGENTINA SA</v>
      </c>
      <c r="H220" s="100">
        <v>344904.71</v>
      </c>
      <c r="I220" s="101">
        <f>venta_a_mes2[[#This Row],[IMPORTE NETO]]*0.21</f>
        <v>72429.989100000006</v>
      </c>
      <c r="J220" s="65"/>
      <c r="K220" s="65"/>
      <c r="L220" s="65">
        <f>SUM(venta_a_mes2[[#This Row],[IMPORTE NETO]:[EXENTO]])</f>
        <v>417334.69910000003</v>
      </c>
      <c r="M220" s="59"/>
    </row>
    <row r="221" spans="2:13" x14ac:dyDescent="0.25">
      <c r="B221" s="109">
        <v>44958</v>
      </c>
      <c r="C221" s="110">
        <v>1</v>
      </c>
      <c r="D221" s="111">
        <v>6</v>
      </c>
      <c r="E221" s="112">
        <v>305</v>
      </c>
      <c r="F221" s="113">
        <v>30522428163</v>
      </c>
      <c r="G221" s="99" t="str">
        <f>IFERROR(IF(venta_a_mes2[[#This Row],[CUIT]]="","-",VLOOKUP(venta_a_mes2[[#This Row],[CUIT]],Lista_CUIT[#All],2,0)),"CUIT NO CARGADO")</f>
        <v>GALENO ARGENTINA SA</v>
      </c>
      <c r="H221" s="100">
        <v>288696.56</v>
      </c>
      <c r="I221" s="101">
        <f>venta_a_mes2[[#This Row],[IMPORTE NETO]]*0.21</f>
        <v>60626.277599999994</v>
      </c>
      <c r="J221" s="65"/>
      <c r="K221" s="65"/>
      <c r="L221" s="65">
        <f>SUM(venta_a_mes2[[#This Row],[IMPORTE NETO]:[EXENTO]])</f>
        <v>349322.83759999997</v>
      </c>
      <c r="M221" s="59"/>
    </row>
    <row r="222" spans="2:13" x14ac:dyDescent="0.25">
      <c r="B222" s="109">
        <v>44958</v>
      </c>
      <c r="C222" s="110">
        <v>1</v>
      </c>
      <c r="D222" s="111">
        <v>6</v>
      </c>
      <c r="E222" s="112">
        <v>306</v>
      </c>
      <c r="F222" s="113">
        <v>30522428163</v>
      </c>
      <c r="G222" s="99" t="str">
        <f>IFERROR(IF(venta_a_mes2[[#This Row],[CUIT]]="","-",VLOOKUP(venta_a_mes2[[#This Row],[CUIT]],Lista_CUIT[#All],2,0)),"CUIT NO CARGADO")</f>
        <v>GALENO ARGENTINA SA</v>
      </c>
      <c r="H222" s="100">
        <v>2109500.7400000002</v>
      </c>
      <c r="I222" s="101">
        <f>venta_a_mes2[[#This Row],[IMPORTE NETO]]*0.21</f>
        <v>442995.15540000005</v>
      </c>
      <c r="J222" s="65"/>
      <c r="K222" s="65"/>
      <c r="L222" s="65">
        <f>SUM(venta_a_mes2[[#This Row],[IMPORTE NETO]:[EXENTO]])</f>
        <v>2552495.8954000003</v>
      </c>
      <c r="M222" s="59"/>
    </row>
    <row r="223" spans="2:13" x14ac:dyDescent="0.25">
      <c r="B223" s="109">
        <v>44967</v>
      </c>
      <c r="C223" s="110">
        <v>1</v>
      </c>
      <c r="D223" s="111">
        <v>6</v>
      </c>
      <c r="E223" s="112">
        <v>312</v>
      </c>
      <c r="F223" s="113">
        <v>30522428163</v>
      </c>
      <c r="G223" s="99" t="str">
        <f>IFERROR(IF(venta_a_mes2[[#This Row],[CUIT]]="","-",VLOOKUP(venta_a_mes2[[#This Row],[CUIT]],Lista_CUIT[#All],2,0)),"CUIT NO CARGADO")</f>
        <v>GALENO ARGENTINA SA</v>
      </c>
      <c r="H223" s="100">
        <v>2992561.98</v>
      </c>
      <c r="I223" s="101">
        <f>venta_a_mes2[[#This Row],[IMPORTE NETO]]*0.21</f>
        <v>628438.01579999994</v>
      </c>
      <c r="J223" s="65"/>
      <c r="K223" s="65"/>
      <c r="L223" s="65">
        <f>SUM(venta_a_mes2[[#This Row],[IMPORTE NETO]:[EXENTO]])</f>
        <v>3620999.9957999997</v>
      </c>
      <c r="M223" s="59"/>
    </row>
    <row r="224" spans="2:13" x14ac:dyDescent="0.25">
      <c r="B224" s="109">
        <v>44967</v>
      </c>
      <c r="C224" s="110">
        <v>1</v>
      </c>
      <c r="D224" s="111">
        <v>6</v>
      </c>
      <c r="E224" s="112">
        <v>311</v>
      </c>
      <c r="F224" s="113">
        <v>30522428163</v>
      </c>
      <c r="G224" s="99" t="str">
        <f>IFERROR(IF(venta_a_mes2[[#This Row],[CUIT]]="","-",VLOOKUP(venta_a_mes2[[#This Row],[CUIT]],Lista_CUIT[#All],2,0)),"CUIT NO CARGADO")</f>
        <v>GALENO ARGENTINA SA</v>
      </c>
      <c r="H224" s="100">
        <v>1291818.18</v>
      </c>
      <c r="I224" s="101">
        <f>venta_a_mes2[[#This Row],[IMPORTE NETO]]*0.21</f>
        <v>271281.81779999996</v>
      </c>
      <c r="J224" s="65"/>
      <c r="K224" s="65"/>
      <c r="L224" s="65">
        <f>SUM(venta_a_mes2[[#This Row],[IMPORTE NETO]:[EXENTO]])</f>
        <v>1563099.9978</v>
      </c>
      <c r="M224" s="59"/>
    </row>
    <row r="225" spans="2:13" x14ac:dyDescent="0.25">
      <c r="B225" s="109">
        <v>44967</v>
      </c>
      <c r="C225" s="110">
        <v>1</v>
      </c>
      <c r="D225" s="111">
        <v>6</v>
      </c>
      <c r="E225" s="112">
        <v>309</v>
      </c>
      <c r="F225" s="113">
        <v>30522428163</v>
      </c>
      <c r="G225" s="99" t="str">
        <f>IFERROR(IF(venta_a_mes2[[#This Row],[CUIT]]="","-",VLOOKUP(venta_a_mes2[[#This Row],[CUIT]],Lista_CUIT[#All],2,0)),"CUIT NO CARGADO")</f>
        <v>GALENO ARGENTINA SA</v>
      </c>
      <c r="H225" s="100">
        <v>446942.13</v>
      </c>
      <c r="I225" s="101">
        <f>venta_a_mes2[[#This Row],[IMPORTE NETO]]*0.21</f>
        <v>93857.847299999994</v>
      </c>
      <c r="J225" s="65"/>
      <c r="K225" s="65"/>
      <c r="L225" s="65">
        <f>SUM(venta_a_mes2[[#This Row],[IMPORTE NETO]:[EXENTO]])</f>
        <v>540799.97730000003</v>
      </c>
      <c r="M225" s="59"/>
    </row>
    <row r="226" spans="2:13" x14ac:dyDescent="0.25">
      <c r="B226" s="109">
        <v>44967</v>
      </c>
      <c r="C226" s="110">
        <v>1</v>
      </c>
      <c r="D226" s="111">
        <v>6</v>
      </c>
      <c r="E226" s="112">
        <v>308</v>
      </c>
      <c r="F226" s="113">
        <v>30522428163</v>
      </c>
      <c r="G226" s="99" t="str">
        <f>IFERROR(IF(venta_a_mes2[[#This Row],[CUIT]]="","-",VLOOKUP(venta_a_mes2[[#This Row],[CUIT]],Lista_CUIT[#All],2,0)),"CUIT NO CARGADO")</f>
        <v>GALENO ARGENTINA SA</v>
      </c>
      <c r="H226" s="100">
        <v>2242314.0499999998</v>
      </c>
      <c r="I226" s="101">
        <f>venta_a_mes2[[#This Row],[IMPORTE NETO]]*0.21</f>
        <v>470885.95049999992</v>
      </c>
      <c r="J226" s="65"/>
      <c r="K226" s="65"/>
      <c r="L226" s="65">
        <f>SUM(venta_a_mes2[[#This Row],[IMPORTE NETO]:[EXENTO]])</f>
        <v>2713200.0004999996</v>
      </c>
      <c r="M226" s="59"/>
    </row>
    <row r="227" spans="2:13" x14ac:dyDescent="0.25">
      <c r="B227" s="109">
        <v>44967</v>
      </c>
      <c r="C227" s="110">
        <v>1</v>
      </c>
      <c r="D227" s="111">
        <v>6</v>
      </c>
      <c r="E227" s="112">
        <v>310</v>
      </c>
      <c r="F227" s="113">
        <v>30522428163</v>
      </c>
      <c r="G227" s="99" t="str">
        <f>IFERROR(IF(venta_a_mes2[[#This Row],[CUIT]]="","-",VLOOKUP(venta_a_mes2[[#This Row],[CUIT]],Lista_CUIT[#All],2,0)),"CUIT NO CARGADO")</f>
        <v>GALENO ARGENTINA SA</v>
      </c>
      <c r="H227" s="100">
        <v>1157024.79</v>
      </c>
      <c r="I227" s="101">
        <f>venta_a_mes2[[#This Row],[IMPORTE NETO]]*0.21</f>
        <v>242975.2059</v>
      </c>
      <c r="J227" s="65"/>
      <c r="K227" s="65"/>
      <c r="L227" s="65">
        <f>SUM(venta_a_mes2[[#This Row],[IMPORTE NETO]:[EXENTO]])</f>
        <v>1399999.9959</v>
      </c>
      <c r="M227" s="59"/>
    </row>
    <row r="228" spans="2:13" x14ac:dyDescent="0.25">
      <c r="B228" s="109">
        <v>44973</v>
      </c>
      <c r="C228" s="110">
        <v>1</v>
      </c>
      <c r="D228" s="111">
        <v>6</v>
      </c>
      <c r="E228" s="112">
        <v>316</v>
      </c>
      <c r="F228" s="113">
        <v>30522428163</v>
      </c>
      <c r="G228" s="99" t="str">
        <f>IFERROR(IF(venta_a_mes2[[#This Row],[CUIT]]="","-",VLOOKUP(venta_a_mes2[[#This Row],[CUIT]],Lista_CUIT[#All],2,0)),"CUIT NO CARGADO")</f>
        <v>GALENO ARGENTINA SA</v>
      </c>
      <c r="H228" s="100">
        <v>845454.55</v>
      </c>
      <c r="I228" s="101">
        <f>venta_a_mes2[[#This Row],[IMPORTE NETO]]*0.21</f>
        <v>177545.45550000001</v>
      </c>
      <c r="J228" s="65"/>
      <c r="K228" s="65"/>
      <c r="L228" s="65">
        <f>SUM(venta_a_mes2[[#This Row],[IMPORTE NETO]:[EXENTO]])</f>
        <v>1023000.0055000001</v>
      </c>
      <c r="M228" s="59"/>
    </row>
    <row r="229" spans="2:13" x14ac:dyDescent="0.25">
      <c r="B229" s="109">
        <v>44973</v>
      </c>
      <c r="C229" s="110">
        <v>1</v>
      </c>
      <c r="D229" s="111">
        <v>6</v>
      </c>
      <c r="E229" s="112">
        <v>313</v>
      </c>
      <c r="F229" s="113">
        <v>30522428163</v>
      </c>
      <c r="G229" s="99" t="str">
        <f>IFERROR(IF(venta_a_mes2[[#This Row],[CUIT]]="","-",VLOOKUP(venta_a_mes2[[#This Row],[CUIT]],Lista_CUIT[#All],2,0)),"CUIT NO CARGADO")</f>
        <v>GALENO ARGENTINA SA</v>
      </c>
      <c r="H229" s="100">
        <v>967851.24</v>
      </c>
      <c r="I229" s="101">
        <f>venta_a_mes2[[#This Row],[IMPORTE NETO]]*0.21</f>
        <v>203248.7604</v>
      </c>
      <c r="J229" s="65"/>
      <c r="K229" s="65"/>
      <c r="L229" s="65">
        <f>SUM(venta_a_mes2[[#This Row],[IMPORTE NETO]:[EXENTO]])</f>
        <v>1171100.0004</v>
      </c>
      <c r="M229" s="59"/>
    </row>
    <row r="230" spans="2:13" x14ac:dyDescent="0.25">
      <c r="B230" s="109">
        <v>44973</v>
      </c>
      <c r="C230" s="110">
        <v>1</v>
      </c>
      <c r="D230" s="111">
        <v>6</v>
      </c>
      <c r="E230" s="112">
        <v>315</v>
      </c>
      <c r="F230" s="113">
        <v>30522428163</v>
      </c>
      <c r="G230" s="99" t="str">
        <f>IFERROR(IF(venta_a_mes2[[#This Row],[CUIT]]="","-",VLOOKUP(venta_a_mes2[[#This Row],[CUIT]],Lista_CUIT[#All],2,0)),"CUIT NO CARGADO")</f>
        <v>GALENO ARGENTINA SA</v>
      </c>
      <c r="H230" s="100">
        <v>2892561.98</v>
      </c>
      <c r="I230" s="101">
        <f>venta_a_mes2[[#This Row],[IMPORTE NETO]]*0.21</f>
        <v>607438.01579999994</v>
      </c>
      <c r="J230" s="65"/>
      <c r="K230" s="65"/>
      <c r="L230" s="65">
        <f>SUM(venta_a_mes2[[#This Row],[IMPORTE NETO]:[EXENTO]])</f>
        <v>3499999.9957999997</v>
      </c>
      <c r="M230" s="59"/>
    </row>
    <row r="231" spans="2:13" x14ac:dyDescent="0.25">
      <c r="B231" s="109">
        <v>44973</v>
      </c>
      <c r="C231" s="110">
        <v>1</v>
      </c>
      <c r="D231" s="111">
        <v>6</v>
      </c>
      <c r="E231" s="112">
        <v>317</v>
      </c>
      <c r="F231" s="113">
        <v>30522428163</v>
      </c>
      <c r="G231" s="99" t="str">
        <f>IFERROR(IF(venta_a_mes2[[#This Row],[CUIT]]="","-",VLOOKUP(venta_a_mes2[[#This Row],[CUIT]],Lista_CUIT[#All],2,0)),"CUIT NO CARGADO")</f>
        <v>GALENO ARGENTINA SA</v>
      </c>
      <c r="H231" s="100">
        <v>562809.92000000004</v>
      </c>
      <c r="I231" s="101">
        <f>venta_a_mes2[[#This Row],[IMPORTE NETO]]*0.21</f>
        <v>118190.08320000001</v>
      </c>
      <c r="J231" s="65"/>
      <c r="K231" s="65"/>
      <c r="L231" s="65">
        <f>SUM(venta_a_mes2[[#This Row],[IMPORTE NETO]:[EXENTO]])</f>
        <v>681000.00320000004</v>
      </c>
      <c r="M231" s="59"/>
    </row>
    <row r="232" spans="2:13" x14ac:dyDescent="0.25">
      <c r="B232" s="109">
        <v>44973</v>
      </c>
      <c r="C232" s="110">
        <v>1</v>
      </c>
      <c r="D232" s="111">
        <v>6</v>
      </c>
      <c r="E232" s="112">
        <v>314</v>
      </c>
      <c r="F232" s="113">
        <v>30522428163</v>
      </c>
      <c r="G232" s="99" t="str">
        <f>IFERROR(IF(venta_a_mes2[[#This Row],[CUIT]]="","-",VLOOKUP(venta_a_mes2[[#This Row],[CUIT]],Lista_CUIT[#All],2,0)),"CUIT NO CARGADO")</f>
        <v>GALENO ARGENTINA SA</v>
      </c>
      <c r="H232" s="100">
        <v>6578512.3899999997</v>
      </c>
      <c r="I232" s="101">
        <f>venta_a_mes2[[#This Row],[IMPORTE NETO]]*0.21</f>
        <v>1381487.6018999999</v>
      </c>
      <c r="J232" s="65"/>
      <c r="K232" s="65"/>
      <c r="L232" s="65">
        <f>SUM(venta_a_mes2[[#This Row],[IMPORTE NETO]:[EXENTO]])</f>
        <v>7959999.9918999998</v>
      </c>
      <c r="M232" s="59"/>
    </row>
    <row r="233" spans="2:13" x14ac:dyDescent="0.25">
      <c r="B233" s="109">
        <v>44979</v>
      </c>
      <c r="C233" s="110">
        <v>1</v>
      </c>
      <c r="D233" s="111">
        <v>6</v>
      </c>
      <c r="E233" s="112">
        <v>318</v>
      </c>
      <c r="F233" s="113">
        <v>30522428163</v>
      </c>
      <c r="G233" s="99" t="str">
        <f>IFERROR(IF(venta_a_mes2[[#This Row],[CUIT]]="","-",VLOOKUP(venta_a_mes2[[#This Row],[CUIT]],Lista_CUIT[#All],2,0)),"CUIT NO CARGADO")</f>
        <v>GALENO ARGENTINA SA</v>
      </c>
      <c r="H233" s="100">
        <v>777851.24</v>
      </c>
      <c r="I233" s="101">
        <f>venta_a_mes2[[#This Row],[IMPORTE NETO]]*0.21</f>
        <v>163348.7604</v>
      </c>
      <c r="J233" s="65"/>
      <c r="K233" s="65"/>
      <c r="L233" s="65">
        <f>SUM(venta_a_mes2[[#This Row],[IMPORTE NETO]:[EXENTO]])</f>
        <v>941200.00040000002</v>
      </c>
      <c r="M233" s="59"/>
    </row>
    <row r="234" spans="2:13" x14ac:dyDescent="0.25">
      <c r="B234" s="109">
        <v>44979</v>
      </c>
      <c r="C234" s="110">
        <v>1</v>
      </c>
      <c r="D234" s="111">
        <v>6</v>
      </c>
      <c r="E234" s="112">
        <v>319</v>
      </c>
      <c r="F234" s="113">
        <v>30522428163</v>
      </c>
      <c r="G234" s="99" t="str">
        <f>IFERROR(IF(venta_a_mes2[[#This Row],[CUIT]]="","-",VLOOKUP(venta_a_mes2[[#This Row],[CUIT]],Lista_CUIT[#All],2,0)),"CUIT NO CARGADO")</f>
        <v>GALENO ARGENTINA SA</v>
      </c>
      <c r="H234" s="100">
        <v>739090.89</v>
      </c>
      <c r="I234" s="101">
        <f>venta_a_mes2[[#This Row],[IMPORTE NETO]]*0.21</f>
        <v>155209.08689999999</v>
      </c>
      <c r="J234" s="65"/>
      <c r="K234" s="65"/>
      <c r="L234" s="65">
        <f>SUM(venta_a_mes2[[#This Row],[IMPORTE NETO]:[EXENTO]])</f>
        <v>894299.97690000001</v>
      </c>
      <c r="M234" s="59"/>
    </row>
    <row r="235" spans="2:13" x14ac:dyDescent="0.25">
      <c r="B235" s="109">
        <v>44981</v>
      </c>
      <c r="C235" s="110">
        <v>3</v>
      </c>
      <c r="D235" s="111">
        <v>7</v>
      </c>
      <c r="E235" s="112">
        <v>78</v>
      </c>
      <c r="F235" s="113">
        <v>30608716390</v>
      </c>
      <c r="G235" s="99" t="str">
        <f>IFERROR(IF(venta_a_mes2[[#This Row],[CUIT]]="","-",VLOOKUP(venta_a_mes2[[#This Row],[CUIT]],Lista_CUIT[#All],2,0)),"CUIT NO CARGADO")</f>
        <v>OBRA SOCIAL DEL PERSONAL DE LAS TELECOMUNICACIONES DE LA REP. ARGENTINA</v>
      </c>
      <c r="H235" s="100">
        <v>-6611.56</v>
      </c>
      <c r="I235" s="101">
        <f>venta_a_mes2[[#This Row],[IMPORTE NETO]]*0.21</f>
        <v>-1388.4276</v>
      </c>
      <c r="J235" s="65"/>
      <c r="K235" s="65"/>
      <c r="L235" s="65">
        <f>SUM(venta_a_mes2[[#This Row],[IMPORTE NETO]:[EXENTO]])</f>
        <v>-7999.9876000000004</v>
      </c>
      <c r="M235" s="59"/>
    </row>
    <row r="236" spans="2:13" x14ac:dyDescent="0.25">
      <c r="B236" s="109"/>
      <c r="C236" s="110"/>
      <c r="D236" s="111"/>
      <c r="E236" s="112"/>
      <c r="F236" s="113"/>
      <c r="G236" s="99" t="str">
        <f>IFERROR(IF(venta_a_mes2[[#This Row],[CUIT]]="","-",VLOOKUP(venta_a_mes2[[#This Row],[CUIT]],Lista_CUIT[#All],2,0)),"CUIT NO CARGADO")</f>
        <v>-</v>
      </c>
      <c r="H236" s="100"/>
      <c r="I236" s="101">
        <f>venta_a_mes2[[#This Row],[IMPORTE NETO]]*0.21</f>
        <v>0</v>
      </c>
      <c r="J236" s="65"/>
      <c r="K236" s="65"/>
      <c r="L236" s="65">
        <f>SUM(venta_a_mes2[[#This Row],[IMPORTE NETO]:[EXENTO]])</f>
        <v>0</v>
      </c>
      <c r="M236" s="59"/>
    </row>
    <row r="237" spans="2:13" x14ac:dyDescent="0.25">
      <c r="B237" s="102"/>
      <c r="C237" s="103"/>
      <c r="D237" s="104"/>
      <c r="E237" s="105"/>
      <c r="F237" s="106"/>
      <c r="G237" s="185" t="str">
        <f>IFERROR(IF(venta_a_mes2[[#This Row],[CUIT]]="","-",VLOOKUP(venta_a_mes2[[#This Row],[CUIT]],Lista_CUIT[#All],2,0)),"CUIT NO CARGADO")</f>
        <v>-</v>
      </c>
      <c r="H237" s="107"/>
      <c r="I237" s="108">
        <f>venta_a_mes2[[#This Row],[IMPORTE NETO]]*0.21</f>
        <v>0</v>
      </c>
      <c r="J237" s="72"/>
      <c r="K237" s="72"/>
      <c r="L237" s="72">
        <f>SUM(venta_a_mes2[[#This Row],[IMPORTE NETO]:[EXENTO]])</f>
        <v>0</v>
      </c>
      <c r="M237" s="63"/>
    </row>
    <row r="238" spans="2:13" x14ac:dyDescent="0.25">
      <c r="B238" s="109"/>
      <c r="C238" s="110"/>
      <c r="D238" s="111"/>
      <c r="E238" s="112"/>
      <c r="F238" s="113"/>
      <c r="G238" s="99" t="str">
        <f>IFERROR(IF(venta_a_mes2[[#This Row],[CUIT]]="","-",VLOOKUP(venta_a_mes2[[#This Row],[CUIT]],Lista_CUIT[#All],2,0)),"CUIT NO CARGADO")</f>
        <v>-</v>
      </c>
      <c r="H238" s="100"/>
      <c r="I238" s="101">
        <f>venta_a_mes2[[#This Row],[IMPORTE NETO]]*0.21</f>
        <v>0</v>
      </c>
      <c r="J238" s="65"/>
      <c r="K238" s="65"/>
      <c r="L238" s="65">
        <f>SUM(venta_a_mes2[[#This Row],[IMPORTE NETO]:[EXENTO]])</f>
        <v>0</v>
      </c>
      <c r="M238" s="59"/>
    </row>
    <row r="239" spans="2:13" x14ac:dyDescent="0.25">
      <c r="B239" s="109"/>
      <c r="C239" s="110"/>
      <c r="D239" s="111"/>
      <c r="E239" s="112"/>
      <c r="F239" s="113"/>
      <c r="G239" s="99" t="str">
        <f>IFERROR(IF(venta_a_mes2[[#This Row],[CUIT]]="","-",VLOOKUP(venta_a_mes2[[#This Row],[CUIT]],Lista_CUIT[#All],2,0)),"CUIT NO CARGADO")</f>
        <v>-</v>
      </c>
      <c r="H239" s="100"/>
      <c r="I239" s="101">
        <f>venta_a_mes2[[#This Row],[IMPORTE NETO]]*0.21</f>
        <v>0</v>
      </c>
      <c r="J239" s="65"/>
      <c r="K239" s="65"/>
      <c r="L239" s="65">
        <f>SUM(venta_a_mes2[[#This Row],[IMPORTE NETO]:[EXENTO]])</f>
        <v>0</v>
      </c>
      <c r="M239" s="59"/>
    </row>
    <row r="240" spans="2:13" x14ac:dyDescent="0.25">
      <c r="B240" s="109"/>
      <c r="C240" s="110"/>
      <c r="D240" s="111"/>
      <c r="E240" s="112"/>
      <c r="F240" s="113"/>
      <c r="G240" s="99" t="str">
        <f>IFERROR(IF(venta_a_mes2[[#This Row],[CUIT]]="","-",VLOOKUP(venta_a_mes2[[#This Row],[CUIT]],Lista_CUIT[#All],2,0)),"CUIT NO CARGADO")</f>
        <v>-</v>
      </c>
      <c r="H240" s="100"/>
      <c r="I240" s="101">
        <f>venta_a_mes2[[#This Row],[IMPORTE NETO]]*0.21</f>
        <v>0</v>
      </c>
      <c r="J240" s="65"/>
      <c r="K240" s="65"/>
      <c r="L240" s="65">
        <f>SUM(venta_a_mes2[[#This Row],[IMPORTE NETO]:[EXENTO]])</f>
        <v>0</v>
      </c>
      <c r="M240" s="59"/>
    </row>
    <row r="241" spans="2:13" x14ac:dyDescent="0.25">
      <c r="B241" s="109"/>
      <c r="C241" s="110"/>
      <c r="D241" s="111"/>
      <c r="E241" s="112"/>
      <c r="F241" s="113"/>
      <c r="G241" s="99" t="str">
        <f>IFERROR(IF(venta_a_mes2[[#This Row],[CUIT]]="","-",VLOOKUP(venta_a_mes2[[#This Row],[CUIT]],Lista_CUIT[#All],2,0)),"CUIT NO CARGADO")</f>
        <v>-</v>
      </c>
      <c r="H241" s="100"/>
      <c r="I241" s="101">
        <f>venta_a_mes2[[#This Row],[IMPORTE NETO]]*0.21</f>
        <v>0</v>
      </c>
      <c r="J241" s="65"/>
      <c r="K241" s="65"/>
      <c r="L241" s="65">
        <f>SUM(venta_a_mes2[[#This Row],[IMPORTE NETO]:[EXENTO]])</f>
        <v>0</v>
      </c>
      <c r="M241" s="59"/>
    </row>
    <row r="242" spans="2:13" x14ac:dyDescent="0.25">
      <c r="B242" s="109"/>
      <c r="C242" s="110"/>
      <c r="D242" s="111"/>
      <c r="E242" s="112"/>
      <c r="F242" s="113"/>
      <c r="G242" s="99" t="str">
        <f>IFERROR(IF(venta_a_mes2[[#This Row],[CUIT]]="","-",VLOOKUP(venta_a_mes2[[#This Row],[CUIT]],Lista_CUIT[#All],2,0)),"CUIT NO CARGADO")</f>
        <v>-</v>
      </c>
      <c r="H242" s="100"/>
      <c r="I242" s="101">
        <f>venta_a_mes2[[#This Row],[IMPORTE NETO]]*0.21</f>
        <v>0</v>
      </c>
      <c r="J242" s="65"/>
      <c r="K242" s="65"/>
      <c r="L242" s="65">
        <f>SUM(venta_a_mes2[[#This Row],[IMPORTE NETO]:[EXENTO]])</f>
        <v>0</v>
      </c>
      <c r="M242" s="59"/>
    </row>
    <row r="243" spans="2:13" x14ac:dyDescent="0.25">
      <c r="B243" s="109"/>
      <c r="C243" s="110"/>
      <c r="D243" s="111"/>
      <c r="E243" s="112"/>
      <c r="F243" s="113"/>
      <c r="G243" s="99" t="str">
        <f>IFERROR(IF(venta_a_mes2[[#This Row],[CUIT]]="","-",VLOOKUP(venta_a_mes2[[#This Row],[CUIT]],Lista_CUIT[#All],2,0)),"CUIT NO CARGADO")</f>
        <v>-</v>
      </c>
      <c r="H243" s="100"/>
      <c r="I243" s="101">
        <f>venta_a_mes2[[#This Row],[IMPORTE NETO]]*0.21</f>
        <v>0</v>
      </c>
      <c r="J243" s="65"/>
      <c r="K243" s="65"/>
      <c r="L243" s="65">
        <f>SUM(venta_a_mes2[[#This Row],[IMPORTE NETO]:[EXENTO]])</f>
        <v>0</v>
      </c>
      <c r="M243" s="59"/>
    </row>
    <row r="244" spans="2:13" x14ac:dyDescent="0.25">
      <c r="B244" s="109"/>
      <c r="C244" s="110"/>
      <c r="D244" s="111"/>
      <c r="E244" s="112"/>
      <c r="F244" s="113"/>
      <c r="G244" s="99" t="str">
        <f>IFERROR(IF(venta_a_mes2[[#This Row],[CUIT]]="","-",VLOOKUP(venta_a_mes2[[#This Row],[CUIT]],Lista_CUIT[#All],2,0)),"CUIT NO CARGADO")</f>
        <v>-</v>
      </c>
      <c r="H244" s="100"/>
      <c r="I244" s="101">
        <f>venta_a_mes2[[#This Row],[IMPORTE NETO]]*0.21</f>
        <v>0</v>
      </c>
      <c r="J244" s="65"/>
      <c r="K244" s="65"/>
      <c r="L244" s="65">
        <f>SUM(venta_a_mes2[[#This Row],[IMPORTE NETO]:[EXENTO]])</f>
        <v>0</v>
      </c>
      <c r="M244" s="59"/>
    </row>
    <row r="245" spans="2:13" x14ac:dyDescent="0.25">
      <c r="B245" s="66" t="s">
        <v>110</v>
      </c>
      <c r="C245" s="67"/>
      <c r="D245" s="67"/>
      <c r="E245" s="67"/>
      <c r="F245" s="67"/>
      <c r="G245" s="67"/>
      <c r="H245" s="69">
        <f>SUBTOTAL(109,venta_a_mes2[IMPORTE NETO])</f>
        <v>24751598.580000002</v>
      </c>
      <c r="I245" s="70">
        <f>SUBTOTAL(109,venta_a_mes2[IVA 21%])</f>
        <v>5197835.7017999999</v>
      </c>
      <c r="J245" s="71">
        <f>SUBTOTAL(109,venta_a_mes2[IVA 10,5%])</f>
        <v>0</v>
      </c>
      <c r="K245" s="71">
        <f>SUBTOTAL(109,venta_a_mes2[EXENTO])</f>
        <v>0</v>
      </c>
      <c r="L245" s="71">
        <f>SUBTOTAL(109,venta_a_mes2[TOTAL])</f>
        <v>29949434.281799998</v>
      </c>
      <c r="M245" s="68">
        <f>SUBTOTAL(103,venta_a_mes2[Provincia])</f>
        <v>0</v>
      </c>
    </row>
    <row r="246" spans="2:13" ht="21" x14ac:dyDescent="0.25">
      <c r="B246" s="525" t="s">
        <v>31</v>
      </c>
      <c r="C246" s="525"/>
    </row>
    <row r="247" spans="2:13" ht="15.75" x14ac:dyDescent="0.25">
      <c r="B247" s="60" t="s">
        <v>0</v>
      </c>
      <c r="C247" s="61" t="s">
        <v>1</v>
      </c>
      <c r="D247" s="61" t="s">
        <v>21</v>
      </c>
      <c r="E247" s="61" t="s">
        <v>22</v>
      </c>
      <c r="F247" s="61" t="s">
        <v>3</v>
      </c>
      <c r="G247" s="61" t="s">
        <v>4</v>
      </c>
      <c r="H247" s="61" t="s">
        <v>23</v>
      </c>
      <c r="I247" s="61" t="s">
        <v>17</v>
      </c>
      <c r="J247" s="61" t="s">
        <v>7</v>
      </c>
      <c r="K247" s="61" t="s">
        <v>24</v>
      </c>
      <c r="L247" s="61" t="s">
        <v>10</v>
      </c>
      <c r="M247" s="62" t="s">
        <v>38</v>
      </c>
    </row>
    <row r="248" spans="2:13" x14ac:dyDescent="0.25">
      <c r="B248" s="40">
        <v>44958</v>
      </c>
      <c r="C248" s="41">
        <v>6</v>
      </c>
      <c r="D248" s="42">
        <v>5</v>
      </c>
      <c r="E248" s="43">
        <v>7281</v>
      </c>
      <c r="F248" s="44"/>
      <c r="G248" s="1" t="str">
        <f>IFERROR(IF(ventas_b_mes2[[#This Row],[CUIT]]="","-",VLOOKUP(ventas_b_mes2[[#This Row],[CUIT]],Lista_CUIT[#All],2,0)),"CUIT NO CARGADO")</f>
        <v>-</v>
      </c>
      <c r="H248" s="64">
        <v>8264.4599999999991</v>
      </c>
      <c r="I248" s="64">
        <f>ventas_b_mes2[[#This Row],[IMPORTE NETO]]*0.21</f>
        <v>1735.5365999999997</v>
      </c>
      <c r="J248" s="64"/>
      <c r="K248" s="64"/>
      <c r="L248" s="64">
        <f>SUM(ventas_b_mes2[[#This Row],[IMPORTE NETO]:[EXENTO]])</f>
        <v>9999.9965999999986</v>
      </c>
      <c r="M248" s="59"/>
    </row>
    <row r="249" spans="2:13" x14ac:dyDescent="0.25">
      <c r="B249" s="40">
        <v>44958</v>
      </c>
      <c r="C249" s="41">
        <v>6</v>
      </c>
      <c r="D249" s="42">
        <v>5</v>
      </c>
      <c r="E249" s="43">
        <v>7284</v>
      </c>
      <c r="F249" s="44"/>
      <c r="G249" s="1" t="str">
        <f>IFERROR(IF(ventas_b_mes2[[#This Row],[CUIT]]="","-",VLOOKUP(ventas_b_mes2[[#This Row],[CUIT]],Lista_CUIT[#All],2,0)),"CUIT NO CARGADO")</f>
        <v>-</v>
      </c>
      <c r="H249" s="64">
        <v>6239.67</v>
      </c>
      <c r="I249" s="64">
        <f>ventas_b_mes2[[#This Row],[IMPORTE NETO]]*0.21</f>
        <v>1310.3307</v>
      </c>
      <c r="J249" s="64"/>
      <c r="K249" s="64"/>
      <c r="L249" s="64">
        <f>SUM(ventas_b_mes2[[#This Row],[IMPORTE NETO]:[EXENTO]])</f>
        <v>7550.0007000000005</v>
      </c>
      <c r="M249" s="59"/>
    </row>
    <row r="250" spans="2:13" x14ac:dyDescent="0.25">
      <c r="B250" s="40">
        <v>44958</v>
      </c>
      <c r="C250" s="41">
        <v>6</v>
      </c>
      <c r="D250" s="42">
        <v>5</v>
      </c>
      <c r="E250" s="43">
        <v>7285</v>
      </c>
      <c r="F250" s="44"/>
      <c r="G250" s="1" t="str">
        <f>IFERROR(IF(ventas_b_mes2[[#This Row],[CUIT]]="","-",VLOOKUP(ventas_b_mes2[[#This Row],[CUIT]],Lista_CUIT[#All],2,0)),"CUIT NO CARGADO")</f>
        <v>-</v>
      </c>
      <c r="H250" s="64">
        <v>2975.21</v>
      </c>
      <c r="I250" s="64">
        <f>ventas_b_mes2[[#This Row],[IMPORTE NETO]]*0.21</f>
        <v>624.79409999999996</v>
      </c>
      <c r="J250" s="64"/>
      <c r="K250" s="64"/>
      <c r="L250" s="64">
        <f>SUM(ventas_b_mes2[[#This Row],[IMPORTE NETO]:[EXENTO]])</f>
        <v>3600.0041000000001</v>
      </c>
      <c r="M250" s="59"/>
    </row>
    <row r="251" spans="2:13" x14ac:dyDescent="0.25">
      <c r="B251" s="40">
        <v>44958</v>
      </c>
      <c r="C251" s="41">
        <v>6</v>
      </c>
      <c r="D251" s="42">
        <v>5</v>
      </c>
      <c r="E251" s="43">
        <v>7283</v>
      </c>
      <c r="F251" s="44"/>
      <c r="G251" s="1" t="str">
        <f>IFERROR(IF(ventas_b_mes2[[#This Row],[CUIT]]="","-",VLOOKUP(ventas_b_mes2[[#This Row],[CUIT]],Lista_CUIT[#All],2,0)),"CUIT NO CARGADO")</f>
        <v>-</v>
      </c>
      <c r="H251" s="64">
        <v>1611.57</v>
      </c>
      <c r="I251" s="64">
        <f>ventas_b_mes2[[#This Row],[IMPORTE NETO]]*0.21</f>
        <v>338.42969999999997</v>
      </c>
      <c r="J251" s="64"/>
      <c r="K251" s="64"/>
      <c r="L251" s="64">
        <f>SUM(ventas_b_mes2[[#This Row],[IMPORTE NETO]:[EXENTO]])</f>
        <v>1949.9996999999998</v>
      </c>
      <c r="M251" s="59"/>
    </row>
    <row r="252" spans="2:13" x14ac:dyDescent="0.25">
      <c r="B252" s="40">
        <v>44958</v>
      </c>
      <c r="C252" s="41">
        <v>6</v>
      </c>
      <c r="D252" s="42">
        <v>7</v>
      </c>
      <c r="E252" s="43">
        <v>4077</v>
      </c>
      <c r="F252" s="44"/>
      <c r="G252" s="1" t="str">
        <f>IFERROR(IF(ventas_b_mes2[[#This Row],[CUIT]]="","-",VLOOKUP(ventas_b_mes2[[#This Row],[CUIT]],Lista_CUIT[#All],2,0)),"CUIT NO CARGADO")</f>
        <v>-</v>
      </c>
      <c r="H252" s="64">
        <v>230134.18</v>
      </c>
      <c r="I252" s="64">
        <f>ventas_b_mes2[[#This Row],[IMPORTE NETO]]*0.21</f>
        <v>48328.177799999998</v>
      </c>
      <c r="J252" s="64"/>
      <c r="K252" s="64"/>
      <c r="L252" s="64">
        <f>SUM(ventas_b_mes2[[#This Row],[IMPORTE NETO]:[EXENTO]])</f>
        <v>278462.3578</v>
      </c>
      <c r="M252" s="59"/>
    </row>
    <row r="253" spans="2:13" x14ac:dyDescent="0.25">
      <c r="B253" s="40">
        <v>44958</v>
      </c>
      <c r="C253" s="41">
        <v>6</v>
      </c>
      <c r="D253" s="42">
        <v>7</v>
      </c>
      <c r="E253" s="43">
        <v>4078</v>
      </c>
      <c r="F253" s="44"/>
      <c r="G253" s="1" t="str">
        <f>IFERROR(IF(ventas_b_mes2[[#This Row],[CUIT]]="","-",VLOOKUP(ventas_b_mes2[[#This Row],[CUIT]],Lista_CUIT[#All],2,0)),"CUIT NO CARGADO")</f>
        <v>-</v>
      </c>
      <c r="H253" s="64">
        <v>38347.11</v>
      </c>
      <c r="I253" s="64">
        <f>ventas_b_mes2[[#This Row],[IMPORTE NETO]]*0.21</f>
        <v>8052.8931000000002</v>
      </c>
      <c r="J253" s="64"/>
      <c r="K253" s="64"/>
      <c r="L253" s="64">
        <f>SUM(ventas_b_mes2[[#This Row],[IMPORTE NETO]:[EXENTO]])</f>
        <v>46400.003100000002</v>
      </c>
      <c r="M253" s="59"/>
    </row>
    <row r="254" spans="2:13" x14ac:dyDescent="0.25">
      <c r="B254" s="186">
        <v>44958</v>
      </c>
      <c r="C254" s="41">
        <v>6</v>
      </c>
      <c r="D254" s="188">
        <v>5</v>
      </c>
      <c r="E254" s="189">
        <v>7282</v>
      </c>
      <c r="F254" s="190"/>
      <c r="G254" s="1" t="str">
        <f>IFERROR(IF(ventas_b_mes2[[#This Row],[CUIT]]="","-",VLOOKUP(ventas_b_mes2[[#This Row],[CUIT]],Lista_CUIT[#All],2,0)),"CUIT NO CARGADO")</f>
        <v>-</v>
      </c>
      <c r="H254" s="64">
        <v>4834.71</v>
      </c>
      <c r="I254" s="191">
        <f>ventas_b_mes2[[#This Row],[IMPORTE NETO]]*0.21</f>
        <v>1015.2891</v>
      </c>
      <c r="J254" s="192"/>
      <c r="K254" s="192"/>
      <c r="L254" s="192">
        <f>SUM(ventas_b_mes2[[#This Row],[IMPORTE NETO]:[EXENTO]])</f>
        <v>5849.9991</v>
      </c>
      <c r="M254" s="59"/>
    </row>
    <row r="255" spans="2:13" x14ac:dyDescent="0.25">
      <c r="B255" s="186">
        <v>44958</v>
      </c>
      <c r="C255" s="41">
        <v>6</v>
      </c>
      <c r="D255" s="188">
        <v>5</v>
      </c>
      <c r="E255" s="189">
        <v>7280</v>
      </c>
      <c r="F255" s="190"/>
      <c r="G255" s="1" t="str">
        <f>IFERROR(IF(ventas_b_mes2[[#This Row],[CUIT]]="","-",VLOOKUP(ventas_b_mes2[[#This Row],[CUIT]],Lista_CUIT[#All],2,0)),"CUIT NO CARGADO")</f>
        <v>-</v>
      </c>
      <c r="H255" s="64">
        <v>4793.3900000000003</v>
      </c>
      <c r="I255" s="191">
        <f>ventas_b_mes2[[#This Row],[IMPORTE NETO]]*0.21</f>
        <v>1006.6119</v>
      </c>
      <c r="J255" s="192"/>
      <c r="K255" s="192"/>
      <c r="L255" s="192">
        <f>SUM(ventas_b_mes2[[#This Row],[IMPORTE NETO]:[EXENTO]])</f>
        <v>5800.0019000000002</v>
      </c>
      <c r="M255" s="59"/>
    </row>
    <row r="256" spans="2:13" x14ac:dyDescent="0.25">
      <c r="B256" s="186">
        <v>44958</v>
      </c>
      <c r="C256" s="41">
        <v>6</v>
      </c>
      <c r="D256" s="188">
        <v>7</v>
      </c>
      <c r="E256" s="189">
        <v>4080</v>
      </c>
      <c r="F256" s="190"/>
      <c r="G256" s="1" t="str">
        <f>IFERROR(IF(ventas_b_mes2[[#This Row],[CUIT]]="","-",VLOOKUP(ventas_b_mes2[[#This Row],[CUIT]],Lista_CUIT[#All],2,0)),"CUIT NO CARGADO")</f>
        <v>-</v>
      </c>
      <c r="H256" s="64">
        <v>6652.89</v>
      </c>
      <c r="I256" s="191">
        <f>ventas_b_mes2[[#This Row],[IMPORTE NETO]]*0.21</f>
        <v>1397.1069</v>
      </c>
      <c r="J256" s="192"/>
      <c r="K256" s="192"/>
      <c r="L256" s="192">
        <f>SUM(ventas_b_mes2[[#This Row],[IMPORTE NETO]:[EXENTO]])</f>
        <v>8049.9969000000001</v>
      </c>
      <c r="M256" s="59"/>
    </row>
    <row r="257" spans="2:13" x14ac:dyDescent="0.25">
      <c r="B257" s="186">
        <v>44958</v>
      </c>
      <c r="C257" s="41">
        <v>6</v>
      </c>
      <c r="D257" s="188">
        <v>5</v>
      </c>
      <c r="E257" s="189">
        <v>7278</v>
      </c>
      <c r="F257" s="190"/>
      <c r="G257" s="1" t="str">
        <f>IFERROR(IF(ventas_b_mes2[[#This Row],[CUIT]]="","-",VLOOKUP(ventas_b_mes2[[#This Row],[CUIT]],Lista_CUIT[#All],2,0)),"CUIT NO CARGADO")</f>
        <v>-</v>
      </c>
      <c r="H257" s="64">
        <v>3867.77</v>
      </c>
      <c r="I257" s="191">
        <f>ventas_b_mes2[[#This Row],[IMPORTE NETO]]*0.21</f>
        <v>812.23169999999993</v>
      </c>
      <c r="J257" s="192"/>
      <c r="K257" s="192"/>
      <c r="L257" s="192">
        <f>SUM(ventas_b_mes2[[#This Row],[IMPORTE NETO]:[EXENTO]])</f>
        <v>4680.0016999999998</v>
      </c>
      <c r="M257" s="59"/>
    </row>
    <row r="258" spans="2:13" x14ac:dyDescent="0.25">
      <c r="B258" s="186">
        <v>44958</v>
      </c>
      <c r="C258" s="41">
        <v>6</v>
      </c>
      <c r="D258" s="188">
        <v>5</v>
      </c>
      <c r="E258" s="189">
        <v>7286</v>
      </c>
      <c r="F258" s="190"/>
      <c r="G258" s="1" t="str">
        <f>IFERROR(IF(ventas_b_mes2[[#This Row],[CUIT]]="","-",VLOOKUP(ventas_b_mes2[[#This Row],[CUIT]],Lista_CUIT[#All],2,0)),"CUIT NO CARGADO")</f>
        <v>-</v>
      </c>
      <c r="H258" s="64">
        <v>3305.79</v>
      </c>
      <c r="I258" s="191">
        <f>ventas_b_mes2[[#This Row],[IMPORTE NETO]]*0.21</f>
        <v>694.21589999999992</v>
      </c>
      <c r="J258" s="192"/>
      <c r="K258" s="192"/>
      <c r="L258" s="192">
        <f>SUM(ventas_b_mes2[[#This Row],[IMPORTE NETO]:[EXENTO]])</f>
        <v>4000.0059000000001</v>
      </c>
      <c r="M258" s="59"/>
    </row>
    <row r="259" spans="2:13" x14ac:dyDescent="0.25">
      <c r="B259" s="186">
        <v>44958</v>
      </c>
      <c r="C259" s="41">
        <v>6</v>
      </c>
      <c r="D259" s="188">
        <v>5</v>
      </c>
      <c r="E259" s="189">
        <v>7279</v>
      </c>
      <c r="F259" s="190"/>
      <c r="G259" s="1" t="str">
        <f>IFERROR(IF(ventas_b_mes2[[#This Row],[CUIT]]="","-",VLOOKUP(ventas_b_mes2[[#This Row],[CUIT]],Lista_CUIT[#All],2,0)),"CUIT NO CARGADO")</f>
        <v>-</v>
      </c>
      <c r="H259" s="64">
        <v>5785.12</v>
      </c>
      <c r="I259" s="191">
        <f>ventas_b_mes2[[#This Row],[IMPORTE NETO]]*0.21</f>
        <v>1214.8751999999999</v>
      </c>
      <c r="J259" s="192"/>
      <c r="K259" s="192"/>
      <c r="L259" s="192">
        <f>SUM(ventas_b_mes2[[#This Row],[IMPORTE NETO]:[EXENTO]])</f>
        <v>6999.9951999999994</v>
      </c>
      <c r="M259" s="59"/>
    </row>
    <row r="260" spans="2:13" x14ac:dyDescent="0.25">
      <c r="B260" s="186">
        <v>44958</v>
      </c>
      <c r="C260" s="41">
        <v>6</v>
      </c>
      <c r="D260" s="188">
        <v>7</v>
      </c>
      <c r="E260" s="189">
        <v>4079</v>
      </c>
      <c r="F260" s="190"/>
      <c r="G260" s="1" t="str">
        <f>IFERROR(IF(ventas_b_mes2[[#This Row],[CUIT]]="","-",VLOOKUP(ventas_b_mes2[[#This Row],[CUIT]],Lista_CUIT[#All],2,0)),"CUIT NO CARGADO")</f>
        <v>-</v>
      </c>
      <c r="H260" s="64">
        <v>17561.98</v>
      </c>
      <c r="I260" s="191">
        <f>ventas_b_mes2[[#This Row],[IMPORTE NETO]]*0.21</f>
        <v>3688.0157999999997</v>
      </c>
      <c r="J260" s="192"/>
      <c r="K260" s="192"/>
      <c r="L260" s="192">
        <f>SUM(ventas_b_mes2[[#This Row],[IMPORTE NETO]:[EXENTO]])</f>
        <v>21249.995800000001</v>
      </c>
      <c r="M260" s="59"/>
    </row>
    <row r="261" spans="2:13" x14ac:dyDescent="0.25">
      <c r="B261" s="186">
        <v>44958</v>
      </c>
      <c r="C261" s="41">
        <v>6</v>
      </c>
      <c r="D261" s="188">
        <v>7</v>
      </c>
      <c r="E261" s="189">
        <v>4081</v>
      </c>
      <c r="F261" s="190"/>
      <c r="G261" s="1" t="str">
        <f>IFERROR(IF(ventas_b_mes2[[#This Row],[CUIT]]="","-",VLOOKUP(ventas_b_mes2[[#This Row],[CUIT]],Lista_CUIT[#All],2,0)),"CUIT NO CARGADO")</f>
        <v>-</v>
      </c>
      <c r="H261" s="64">
        <v>5123.97</v>
      </c>
      <c r="I261" s="191">
        <f>ventas_b_mes2[[#This Row],[IMPORTE NETO]]*0.21</f>
        <v>1076.0337</v>
      </c>
      <c r="J261" s="192"/>
      <c r="K261" s="192"/>
      <c r="L261" s="192">
        <f>SUM(ventas_b_mes2[[#This Row],[IMPORTE NETO]:[EXENTO]])</f>
        <v>6200.0037000000002</v>
      </c>
      <c r="M261" s="59"/>
    </row>
    <row r="262" spans="2:13" x14ac:dyDescent="0.25">
      <c r="B262" s="186">
        <v>44958</v>
      </c>
      <c r="C262" s="41">
        <v>6</v>
      </c>
      <c r="D262" s="188">
        <v>7</v>
      </c>
      <c r="E262" s="189">
        <v>4082</v>
      </c>
      <c r="F262" s="190"/>
      <c r="G262" s="1" t="str">
        <f>IFERROR(IF(ventas_b_mes2[[#This Row],[CUIT]]="","-",VLOOKUP(ventas_b_mes2[[#This Row],[CUIT]],Lista_CUIT[#All],2,0)),"CUIT NO CARGADO")</f>
        <v>-</v>
      </c>
      <c r="H262" s="64">
        <v>3471.07</v>
      </c>
      <c r="I262" s="191">
        <f>ventas_b_mes2[[#This Row],[IMPORTE NETO]]*0.21</f>
        <v>728.92470000000003</v>
      </c>
      <c r="J262" s="192"/>
      <c r="K262" s="192"/>
      <c r="L262" s="192">
        <f>SUM(ventas_b_mes2[[#This Row],[IMPORTE NETO]:[EXENTO]])</f>
        <v>4199.9947000000002</v>
      </c>
      <c r="M262" s="59"/>
    </row>
    <row r="263" spans="2:13" x14ac:dyDescent="0.25">
      <c r="B263" s="186">
        <v>44959</v>
      </c>
      <c r="C263" s="41">
        <v>6</v>
      </c>
      <c r="D263" s="188">
        <v>5</v>
      </c>
      <c r="E263" s="189">
        <v>7293</v>
      </c>
      <c r="F263" s="190"/>
      <c r="G263" s="1" t="str">
        <f>IFERROR(IF(ventas_b_mes2[[#This Row],[CUIT]]="","-",VLOOKUP(ventas_b_mes2[[#This Row],[CUIT]],Lista_CUIT[#All],2,0)),"CUIT NO CARGADO")</f>
        <v>-</v>
      </c>
      <c r="H263" s="64">
        <v>1983.47</v>
      </c>
      <c r="I263" s="191">
        <f>ventas_b_mes2[[#This Row],[IMPORTE NETO]]*0.21</f>
        <v>416.52870000000001</v>
      </c>
      <c r="J263" s="192"/>
      <c r="K263" s="192"/>
      <c r="L263" s="192">
        <f>SUM(ventas_b_mes2[[#This Row],[IMPORTE NETO]:[EXENTO]])</f>
        <v>2399.9987000000001</v>
      </c>
      <c r="M263" s="59"/>
    </row>
    <row r="264" spans="2:13" x14ac:dyDescent="0.25">
      <c r="B264" s="186">
        <v>44959</v>
      </c>
      <c r="C264" s="41">
        <v>6</v>
      </c>
      <c r="D264" s="188">
        <v>5</v>
      </c>
      <c r="E264" s="189">
        <v>7294</v>
      </c>
      <c r="F264" s="190"/>
      <c r="G264" s="1" t="str">
        <f>IFERROR(IF(ventas_b_mes2[[#This Row],[CUIT]]="","-",VLOOKUP(ventas_b_mes2[[#This Row],[CUIT]],Lista_CUIT[#All],2,0)),"CUIT NO CARGADO")</f>
        <v>-</v>
      </c>
      <c r="H264" s="64">
        <v>7024.79</v>
      </c>
      <c r="I264" s="191">
        <f>ventas_b_mes2[[#This Row],[IMPORTE NETO]]*0.21</f>
        <v>1475.2058999999999</v>
      </c>
      <c r="J264" s="192"/>
      <c r="K264" s="192"/>
      <c r="L264" s="192">
        <f>SUM(ventas_b_mes2[[#This Row],[IMPORTE NETO]:[EXENTO]])</f>
        <v>8499.9958999999999</v>
      </c>
      <c r="M264" s="59"/>
    </row>
    <row r="265" spans="2:13" x14ac:dyDescent="0.25">
      <c r="B265" s="186">
        <v>44959</v>
      </c>
      <c r="C265" s="41">
        <v>6</v>
      </c>
      <c r="D265" s="188">
        <v>5</v>
      </c>
      <c r="E265" s="189">
        <v>7287</v>
      </c>
      <c r="F265" s="190"/>
      <c r="G265" s="1" t="str">
        <f>IFERROR(IF(ventas_b_mes2[[#This Row],[CUIT]]="","-",VLOOKUP(ventas_b_mes2[[#This Row],[CUIT]],Lista_CUIT[#All],2,0)),"CUIT NO CARGADO")</f>
        <v>-</v>
      </c>
      <c r="H265" s="64">
        <v>5123.97</v>
      </c>
      <c r="I265" s="191">
        <f>ventas_b_mes2[[#This Row],[IMPORTE NETO]]*0.21</f>
        <v>1076.0337</v>
      </c>
      <c r="J265" s="192"/>
      <c r="K265" s="192"/>
      <c r="L265" s="192">
        <f>SUM(ventas_b_mes2[[#This Row],[IMPORTE NETO]:[EXENTO]])</f>
        <v>6200.0037000000002</v>
      </c>
      <c r="M265" s="59"/>
    </row>
    <row r="266" spans="2:13" x14ac:dyDescent="0.25">
      <c r="B266" s="186">
        <v>44959</v>
      </c>
      <c r="C266" s="41">
        <v>6</v>
      </c>
      <c r="D266" s="188">
        <v>5</v>
      </c>
      <c r="E266" s="189">
        <v>7296</v>
      </c>
      <c r="F266" s="190"/>
      <c r="G266" s="1" t="str">
        <f>IFERROR(IF(ventas_b_mes2[[#This Row],[CUIT]]="","-",VLOOKUP(ventas_b_mes2[[#This Row],[CUIT]],Lista_CUIT[#All],2,0)),"CUIT NO CARGADO")</f>
        <v>-</v>
      </c>
      <c r="H266" s="64">
        <v>8429.75</v>
      </c>
      <c r="I266" s="191">
        <f>ventas_b_mes2[[#This Row],[IMPORTE NETO]]*0.21</f>
        <v>1770.2474999999999</v>
      </c>
      <c r="J266" s="192"/>
      <c r="K266" s="192"/>
      <c r="L266" s="192">
        <f>SUM(ventas_b_mes2[[#This Row],[IMPORTE NETO]:[EXENTO]])</f>
        <v>10199.997499999999</v>
      </c>
      <c r="M266" s="59"/>
    </row>
    <row r="267" spans="2:13" x14ac:dyDescent="0.25">
      <c r="B267" s="186">
        <v>44959</v>
      </c>
      <c r="C267" s="41">
        <v>6</v>
      </c>
      <c r="D267" s="188">
        <v>5</v>
      </c>
      <c r="E267" s="189">
        <v>7295</v>
      </c>
      <c r="F267" s="190"/>
      <c r="G267" s="1" t="str">
        <f>IFERROR(IF(ventas_b_mes2[[#This Row],[CUIT]]="","-",VLOOKUP(ventas_b_mes2[[#This Row],[CUIT]],Lista_CUIT[#All],2,0)),"CUIT NO CARGADO")</f>
        <v>-</v>
      </c>
      <c r="H267" s="64">
        <v>3181.82</v>
      </c>
      <c r="I267" s="191">
        <f>ventas_b_mes2[[#This Row],[IMPORTE NETO]]*0.21</f>
        <v>668.18219999999997</v>
      </c>
      <c r="J267" s="192"/>
      <c r="K267" s="192"/>
      <c r="L267" s="192">
        <f>SUM(ventas_b_mes2[[#This Row],[IMPORTE NETO]:[EXENTO]])</f>
        <v>3850.0021999999999</v>
      </c>
      <c r="M267" s="59"/>
    </row>
    <row r="268" spans="2:13" x14ac:dyDescent="0.25">
      <c r="B268" s="186">
        <v>44959</v>
      </c>
      <c r="C268" s="41">
        <v>6</v>
      </c>
      <c r="D268" s="188">
        <v>5</v>
      </c>
      <c r="E268" s="189">
        <v>7292</v>
      </c>
      <c r="F268" s="190"/>
      <c r="G268" s="1" t="str">
        <f>IFERROR(IF(ventas_b_mes2[[#This Row],[CUIT]]="","-",VLOOKUP(ventas_b_mes2[[#This Row],[CUIT]],Lista_CUIT[#All],2,0)),"CUIT NO CARGADO")</f>
        <v>-</v>
      </c>
      <c r="H268" s="64">
        <v>3388.43</v>
      </c>
      <c r="I268" s="191">
        <f>ventas_b_mes2[[#This Row],[IMPORTE NETO]]*0.21</f>
        <v>711.57029999999997</v>
      </c>
      <c r="J268" s="192"/>
      <c r="K268" s="192"/>
      <c r="L268" s="192">
        <f>SUM(ventas_b_mes2[[#This Row],[IMPORTE NETO]:[EXENTO]])</f>
        <v>4100.0002999999997</v>
      </c>
      <c r="M268" s="59"/>
    </row>
    <row r="269" spans="2:13" x14ac:dyDescent="0.25">
      <c r="B269" s="186">
        <v>44959</v>
      </c>
      <c r="C269" s="41">
        <v>6</v>
      </c>
      <c r="D269" s="188">
        <v>5</v>
      </c>
      <c r="E269" s="189">
        <v>7290</v>
      </c>
      <c r="F269" s="190"/>
      <c r="G269" s="1" t="str">
        <f>IFERROR(IF(ventas_b_mes2[[#This Row],[CUIT]]="","-",VLOOKUP(ventas_b_mes2[[#This Row],[CUIT]],Lista_CUIT[#All],2,0)),"CUIT NO CARGADO")</f>
        <v>-</v>
      </c>
      <c r="H269" s="64">
        <v>3388.43</v>
      </c>
      <c r="I269" s="191">
        <f>ventas_b_mes2[[#This Row],[IMPORTE NETO]]*0.21</f>
        <v>711.57029999999997</v>
      </c>
      <c r="J269" s="192"/>
      <c r="K269" s="192"/>
      <c r="L269" s="192">
        <f>SUM(ventas_b_mes2[[#This Row],[IMPORTE NETO]:[EXENTO]])</f>
        <v>4100.0002999999997</v>
      </c>
      <c r="M269" s="59"/>
    </row>
    <row r="270" spans="2:13" x14ac:dyDescent="0.25">
      <c r="B270" s="186">
        <v>44959</v>
      </c>
      <c r="C270" s="41">
        <v>6</v>
      </c>
      <c r="D270" s="188">
        <v>5</v>
      </c>
      <c r="E270" s="189">
        <v>7291</v>
      </c>
      <c r="F270" s="190"/>
      <c r="G270" s="1" t="str">
        <f>IFERROR(IF(ventas_b_mes2[[#This Row],[CUIT]]="","-",VLOOKUP(ventas_b_mes2[[#This Row],[CUIT]],Lista_CUIT[#All],2,0)),"CUIT NO CARGADO")</f>
        <v>-</v>
      </c>
      <c r="H270" s="64">
        <v>2231.4</v>
      </c>
      <c r="I270" s="191">
        <f>ventas_b_mes2[[#This Row],[IMPORTE NETO]]*0.21</f>
        <v>468.59399999999999</v>
      </c>
      <c r="J270" s="192"/>
      <c r="K270" s="192"/>
      <c r="L270" s="192">
        <f>SUM(ventas_b_mes2[[#This Row],[IMPORTE NETO]:[EXENTO]])</f>
        <v>2699.9940000000001</v>
      </c>
      <c r="M270" s="59"/>
    </row>
    <row r="271" spans="2:13" x14ac:dyDescent="0.25">
      <c r="B271" s="186">
        <v>44959</v>
      </c>
      <c r="C271" s="41">
        <v>6</v>
      </c>
      <c r="D271" s="188">
        <v>5</v>
      </c>
      <c r="E271" s="189">
        <v>7288</v>
      </c>
      <c r="F271" s="190"/>
      <c r="G271" s="1" t="str">
        <f>IFERROR(IF(ventas_b_mes2[[#This Row],[CUIT]]="","-",VLOOKUP(ventas_b_mes2[[#This Row],[CUIT]],Lista_CUIT[#All],2,0)),"CUIT NO CARGADO")</f>
        <v>-</v>
      </c>
      <c r="H271" s="64">
        <v>5867.77</v>
      </c>
      <c r="I271" s="191">
        <f>ventas_b_mes2[[#This Row],[IMPORTE NETO]]*0.21</f>
        <v>1232.2317</v>
      </c>
      <c r="J271" s="192"/>
      <c r="K271" s="192"/>
      <c r="L271" s="192">
        <f>SUM(ventas_b_mes2[[#This Row],[IMPORTE NETO]:[EXENTO]])</f>
        <v>7100.0017000000007</v>
      </c>
      <c r="M271" s="59"/>
    </row>
    <row r="272" spans="2:13" x14ac:dyDescent="0.25">
      <c r="B272" s="186">
        <v>44959</v>
      </c>
      <c r="C272" s="41">
        <v>6</v>
      </c>
      <c r="D272" s="188">
        <v>5</v>
      </c>
      <c r="E272" s="189">
        <v>7289</v>
      </c>
      <c r="F272" s="190"/>
      <c r="G272" s="1" t="str">
        <f>IFERROR(IF(ventas_b_mes2[[#This Row],[CUIT]]="","-",VLOOKUP(ventas_b_mes2[[#This Row],[CUIT]],Lista_CUIT[#All],2,0)),"CUIT NO CARGADO")</f>
        <v>-</v>
      </c>
      <c r="H272" s="64">
        <v>1859.5</v>
      </c>
      <c r="I272" s="191">
        <f>ventas_b_mes2[[#This Row],[IMPORTE NETO]]*0.21</f>
        <v>390.495</v>
      </c>
      <c r="J272" s="192"/>
      <c r="K272" s="192"/>
      <c r="L272" s="192">
        <f>SUM(ventas_b_mes2[[#This Row],[IMPORTE NETO]:[EXENTO]])</f>
        <v>2249.9949999999999</v>
      </c>
      <c r="M272" s="59"/>
    </row>
    <row r="273" spans="2:13" x14ac:dyDescent="0.25">
      <c r="B273" s="186">
        <v>44963</v>
      </c>
      <c r="C273" s="41">
        <v>6</v>
      </c>
      <c r="D273" s="188">
        <v>5</v>
      </c>
      <c r="E273" s="189">
        <v>7299</v>
      </c>
      <c r="F273" s="190"/>
      <c r="G273" s="1" t="str">
        <f>IFERROR(IF(ventas_b_mes2[[#This Row],[CUIT]]="","-",VLOOKUP(ventas_b_mes2[[#This Row],[CUIT]],Lista_CUIT[#All],2,0)),"CUIT NO CARGADO")</f>
        <v>-</v>
      </c>
      <c r="H273" s="64">
        <v>10247.93</v>
      </c>
      <c r="I273" s="191">
        <f>ventas_b_mes2[[#This Row],[IMPORTE NETO]]*0.21</f>
        <v>2152.0653000000002</v>
      </c>
      <c r="J273" s="192"/>
      <c r="K273" s="192"/>
      <c r="L273" s="192">
        <f>SUM(ventas_b_mes2[[#This Row],[IMPORTE NETO]:[EXENTO]])</f>
        <v>12399.9953</v>
      </c>
      <c r="M273" s="59"/>
    </row>
    <row r="274" spans="2:13" x14ac:dyDescent="0.25">
      <c r="B274" s="186">
        <v>44963</v>
      </c>
      <c r="C274" s="41">
        <v>6</v>
      </c>
      <c r="D274" s="188">
        <v>5</v>
      </c>
      <c r="E274" s="189">
        <v>7303</v>
      </c>
      <c r="F274" s="190"/>
      <c r="G274" s="1" t="str">
        <f>IFERROR(IF(ventas_b_mes2[[#This Row],[CUIT]]="","-",VLOOKUP(ventas_b_mes2[[#This Row],[CUIT]],Lista_CUIT[#All],2,0)),"CUIT NO CARGADO")</f>
        <v>-</v>
      </c>
      <c r="H274" s="64">
        <v>8553.7199999999993</v>
      </c>
      <c r="I274" s="191">
        <f>ventas_b_mes2[[#This Row],[IMPORTE NETO]]*0.21</f>
        <v>1796.2811999999999</v>
      </c>
      <c r="J274" s="192"/>
      <c r="K274" s="192"/>
      <c r="L274" s="192">
        <f>SUM(ventas_b_mes2[[#This Row],[IMPORTE NETO]:[EXENTO]])</f>
        <v>10350.001199999999</v>
      </c>
      <c r="M274" s="59"/>
    </row>
    <row r="275" spans="2:13" x14ac:dyDescent="0.25">
      <c r="B275" s="186">
        <v>44963</v>
      </c>
      <c r="C275" s="41">
        <v>6</v>
      </c>
      <c r="D275" s="188">
        <v>5</v>
      </c>
      <c r="E275" s="189">
        <v>7297</v>
      </c>
      <c r="F275" s="190"/>
      <c r="G275" s="1" t="str">
        <f>IFERROR(IF(ventas_b_mes2[[#This Row],[CUIT]]="","-",VLOOKUP(ventas_b_mes2[[#This Row],[CUIT]],Lista_CUIT[#All],2,0)),"CUIT NO CARGADO")</f>
        <v>-</v>
      </c>
      <c r="H275" s="64">
        <v>8429.75</v>
      </c>
      <c r="I275" s="191">
        <f>ventas_b_mes2[[#This Row],[IMPORTE NETO]]*0.21</f>
        <v>1770.2474999999999</v>
      </c>
      <c r="J275" s="192"/>
      <c r="K275" s="192"/>
      <c r="L275" s="192">
        <f>SUM(ventas_b_mes2[[#This Row],[IMPORTE NETO]:[EXENTO]])</f>
        <v>10199.997499999999</v>
      </c>
      <c r="M275" s="59"/>
    </row>
    <row r="276" spans="2:13" x14ac:dyDescent="0.25">
      <c r="B276" s="186">
        <v>44963</v>
      </c>
      <c r="C276" s="41">
        <v>6</v>
      </c>
      <c r="D276" s="188">
        <v>5</v>
      </c>
      <c r="E276" s="189">
        <v>7301</v>
      </c>
      <c r="F276" s="190"/>
      <c r="G276" s="1" t="str">
        <f>IFERROR(IF(ventas_b_mes2[[#This Row],[CUIT]]="","-",VLOOKUP(ventas_b_mes2[[#This Row],[CUIT]],Lista_CUIT[#All],2,0)),"CUIT NO CARGADO")</f>
        <v>-</v>
      </c>
      <c r="H276" s="64">
        <v>4214.88</v>
      </c>
      <c r="I276" s="191">
        <f>ventas_b_mes2[[#This Row],[IMPORTE NETO]]*0.21</f>
        <v>885.12479999999994</v>
      </c>
      <c r="J276" s="192"/>
      <c r="K276" s="192"/>
      <c r="L276" s="192">
        <f>SUM(ventas_b_mes2[[#This Row],[IMPORTE NETO]:[EXENTO]])</f>
        <v>5100.0047999999997</v>
      </c>
      <c r="M276" s="59"/>
    </row>
    <row r="277" spans="2:13" x14ac:dyDescent="0.25">
      <c r="B277" s="186">
        <v>44963</v>
      </c>
      <c r="C277" s="41">
        <v>6</v>
      </c>
      <c r="D277" s="188">
        <v>5</v>
      </c>
      <c r="E277" s="189">
        <v>7298</v>
      </c>
      <c r="F277" s="190"/>
      <c r="G277" s="1" t="str">
        <f>IFERROR(IF(ventas_b_mes2[[#This Row],[CUIT]]="","-",VLOOKUP(ventas_b_mes2[[#This Row],[CUIT]],Lista_CUIT[#All],2,0)),"CUIT NO CARGADO")</f>
        <v>-</v>
      </c>
      <c r="H277" s="64">
        <v>8429.75</v>
      </c>
      <c r="I277" s="191">
        <f>ventas_b_mes2[[#This Row],[IMPORTE NETO]]*0.21</f>
        <v>1770.2474999999999</v>
      </c>
      <c r="J277" s="192"/>
      <c r="K277" s="192"/>
      <c r="L277" s="192">
        <f>SUM(ventas_b_mes2[[#This Row],[IMPORTE NETO]:[EXENTO]])</f>
        <v>10199.997499999999</v>
      </c>
      <c r="M277" s="59"/>
    </row>
    <row r="278" spans="2:13" x14ac:dyDescent="0.25">
      <c r="B278" s="186">
        <v>44963</v>
      </c>
      <c r="C278" s="41">
        <v>6</v>
      </c>
      <c r="D278" s="188">
        <v>5</v>
      </c>
      <c r="E278" s="189">
        <v>7302</v>
      </c>
      <c r="F278" s="190"/>
      <c r="G278" s="1" t="str">
        <f>IFERROR(IF(ventas_b_mes2[[#This Row],[CUIT]]="","-",VLOOKUP(ventas_b_mes2[[#This Row],[CUIT]],Lista_CUIT[#All],2,0)),"CUIT NO CARGADO")</f>
        <v>-</v>
      </c>
      <c r="H278" s="64">
        <v>4049.59</v>
      </c>
      <c r="I278" s="191">
        <f>ventas_b_mes2[[#This Row],[IMPORTE NETO]]*0.21</f>
        <v>850.41390000000001</v>
      </c>
      <c r="J278" s="192"/>
      <c r="K278" s="192"/>
      <c r="L278" s="192">
        <f>SUM(ventas_b_mes2[[#This Row],[IMPORTE NETO]:[EXENTO]])</f>
        <v>4900.0038999999997</v>
      </c>
      <c r="M278" s="59"/>
    </row>
    <row r="279" spans="2:13" x14ac:dyDescent="0.25">
      <c r="B279" s="186">
        <v>44963</v>
      </c>
      <c r="C279" s="41">
        <v>6</v>
      </c>
      <c r="D279" s="188">
        <v>5</v>
      </c>
      <c r="E279" s="189">
        <v>7304</v>
      </c>
      <c r="F279" s="190"/>
      <c r="G279" s="1" t="str">
        <f>IFERROR(IF(ventas_b_mes2[[#This Row],[CUIT]]="","-",VLOOKUP(ventas_b_mes2[[#This Row],[CUIT]],Lista_CUIT[#All],2,0)),"CUIT NO CARGADO")</f>
        <v>-</v>
      </c>
      <c r="H279" s="64">
        <v>5867.77</v>
      </c>
      <c r="I279" s="191">
        <f>ventas_b_mes2[[#This Row],[IMPORTE NETO]]*0.21</f>
        <v>1232.2317</v>
      </c>
      <c r="J279" s="192"/>
      <c r="K279" s="192"/>
      <c r="L279" s="192">
        <f>SUM(ventas_b_mes2[[#This Row],[IMPORTE NETO]:[EXENTO]])</f>
        <v>7100.0017000000007</v>
      </c>
      <c r="M279" s="59"/>
    </row>
    <row r="280" spans="2:13" x14ac:dyDescent="0.25">
      <c r="B280" s="186">
        <v>44963</v>
      </c>
      <c r="C280" s="41">
        <v>6</v>
      </c>
      <c r="D280" s="188">
        <v>7</v>
      </c>
      <c r="E280" s="189">
        <v>4083</v>
      </c>
      <c r="F280" s="190"/>
      <c r="G280" s="1" t="str">
        <f>IFERROR(IF(ventas_b_mes2[[#This Row],[CUIT]]="","-",VLOOKUP(ventas_b_mes2[[#This Row],[CUIT]],Lista_CUIT[#All],2,0)),"CUIT NO CARGADO")</f>
        <v>-</v>
      </c>
      <c r="H280" s="64">
        <v>6446.29</v>
      </c>
      <c r="I280" s="191">
        <f>ventas_b_mes2[[#This Row],[IMPORTE NETO]]*0.21</f>
        <v>1353.7209</v>
      </c>
      <c r="J280" s="192"/>
      <c r="K280" s="192"/>
      <c r="L280" s="192">
        <f>SUM(ventas_b_mes2[[#This Row],[IMPORTE NETO]:[EXENTO]])</f>
        <v>7800.0109000000002</v>
      </c>
      <c r="M280" s="59"/>
    </row>
    <row r="281" spans="2:13" x14ac:dyDescent="0.25">
      <c r="B281" s="186">
        <v>44963</v>
      </c>
      <c r="C281" s="41">
        <v>6</v>
      </c>
      <c r="D281" s="188">
        <v>5</v>
      </c>
      <c r="E281" s="189">
        <v>7300</v>
      </c>
      <c r="F281" s="190"/>
      <c r="G281" s="1" t="str">
        <f>IFERROR(IF(ventas_b_mes2[[#This Row],[CUIT]]="","-",VLOOKUP(ventas_b_mes2[[#This Row],[CUIT]],Lista_CUIT[#All],2,0)),"CUIT NO CARGADO")</f>
        <v>-</v>
      </c>
      <c r="H281" s="64">
        <v>26033.06</v>
      </c>
      <c r="I281" s="191">
        <f>ventas_b_mes2[[#This Row],[IMPORTE NETO]]*0.21</f>
        <v>5466.9426000000003</v>
      </c>
      <c r="J281" s="192"/>
      <c r="K281" s="192"/>
      <c r="L281" s="192">
        <f>SUM(ventas_b_mes2[[#This Row],[IMPORTE NETO]:[EXENTO]])</f>
        <v>31500.0026</v>
      </c>
      <c r="M281" s="59"/>
    </row>
    <row r="282" spans="2:13" x14ac:dyDescent="0.25">
      <c r="B282" s="186">
        <v>44964</v>
      </c>
      <c r="C282" s="41">
        <v>6</v>
      </c>
      <c r="D282" s="188">
        <v>5</v>
      </c>
      <c r="E282" s="189">
        <v>7307</v>
      </c>
      <c r="F282" s="190"/>
      <c r="G282" s="1" t="str">
        <f>IFERROR(IF(ventas_b_mes2[[#This Row],[CUIT]]="","-",VLOOKUP(ventas_b_mes2[[#This Row],[CUIT]],Lista_CUIT[#All],2,0)),"CUIT NO CARGADO")</f>
        <v>-</v>
      </c>
      <c r="H282" s="64">
        <v>5537.19</v>
      </c>
      <c r="I282" s="191">
        <f>ventas_b_mes2[[#This Row],[IMPORTE NETO]]*0.21</f>
        <v>1162.8099</v>
      </c>
      <c r="J282" s="192"/>
      <c r="K282" s="192"/>
      <c r="L282" s="192">
        <f>SUM(ventas_b_mes2[[#This Row],[IMPORTE NETO]:[EXENTO]])</f>
        <v>6699.9998999999998</v>
      </c>
      <c r="M282" s="59"/>
    </row>
    <row r="283" spans="2:13" x14ac:dyDescent="0.25">
      <c r="B283" s="186">
        <v>44964</v>
      </c>
      <c r="C283" s="41">
        <v>6</v>
      </c>
      <c r="D283" s="188">
        <v>7</v>
      </c>
      <c r="E283" s="189">
        <v>4086</v>
      </c>
      <c r="F283" s="190"/>
      <c r="G283" s="1" t="str">
        <f>IFERROR(IF(ventas_b_mes2[[#This Row],[CUIT]]="","-",VLOOKUP(ventas_b_mes2[[#This Row],[CUIT]],Lista_CUIT[#All],2,0)),"CUIT NO CARGADO")</f>
        <v>-</v>
      </c>
      <c r="H283" s="64">
        <v>2066.12</v>
      </c>
      <c r="I283" s="191">
        <f>ventas_b_mes2[[#This Row],[IMPORTE NETO]]*0.21</f>
        <v>433.88519999999994</v>
      </c>
      <c r="J283" s="192"/>
      <c r="K283" s="192"/>
      <c r="L283" s="192">
        <f>SUM(ventas_b_mes2[[#This Row],[IMPORTE NETO]:[EXENTO]])</f>
        <v>2500.0051999999996</v>
      </c>
      <c r="M283" s="59"/>
    </row>
    <row r="284" spans="2:13" x14ac:dyDescent="0.25">
      <c r="B284" s="186">
        <v>44964</v>
      </c>
      <c r="C284" s="41">
        <v>6</v>
      </c>
      <c r="D284" s="188">
        <v>5</v>
      </c>
      <c r="E284" s="189">
        <v>7310</v>
      </c>
      <c r="F284" s="190"/>
      <c r="G284" s="1" t="str">
        <f>IFERROR(IF(ventas_b_mes2[[#This Row],[CUIT]]="","-",VLOOKUP(ventas_b_mes2[[#This Row],[CUIT]],Lista_CUIT[#All],2,0)),"CUIT NO CARGADO")</f>
        <v>-</v>
      </c>
      <c r="H284" s="64">
        <v>2892.56</v>
      </c>
      <c r="I284" s="191">
        <f>ventas_b_mes2[[#This Row],[IMPORTE NETO]]*0.21</f>
        <v>607.43759999999997</v>
      </c>
      <c r="J284" s="192"/>
      <c r="K284" s="192"/>
      <c r="L284" s="192">
        <f>SUM(ventas_b_mes2[[#This Row],[IMPORTE NETO]:[EXENTO]])</f>
        <v>3499.9975999999997</v>
      </c>
      <c r="M284" s="59"/>
    </row>
    <row r="285" spans="2:13" x14ac:dyDescent="0.25">
      <c r="B285" s="186">
        <v>44964</v>
      </c>
      <c r="C285" s="41">
        <v>6</v>
      </c>
      <c r="D285" s="188">
        <v>5</v>
      </c>
      <c r="E285" s="189">
        <v>7314</v>
      </c>
      <c r="F285" s="190"/>
      <c r="G285" s="1" t="str">
        <f>IFERROR(IF(ventas_b_mes2[[#This Row],[CUIT]]="","-",VLOOKUP(ventas_b_mes2[[#This Row],[CUIT]],Lista_CUIT[#All],2,0)),"CUIT NO CARGADO")</f>
        <v>-</v>
      </c>
      <c r="H285" s="64">
        <v>5123.97</v>
      </c>
      <c r="I285" s="191">
        <f>ventas_b_mes2[[#This Row],[IMPORTE NETO]]*0.21</f>
        <v>1076.0337</v>
      </c>
      <c r="J285" s="192"/>
      <c r="K285" s="192"/>
      <c r="L285" s="192">
        <f>SUM(ventas_b_mes2[[#This Row],[IMPORTE NETO]:[EXENTO]])</f>
        <v>6200.0037000000002</v>
      </c>
      <c r="M285" s="59"/>
    </row>
    <row r="286" spans="2:13" x14ac:dyDescent="0.25">
      <c r="B286" s="186">
        <v>44964</v>
      </c>
      <c r="C286" s="41">
        <v>6</v>
      </c>
      <c r="D286" s="188">
        <v>7</v>
      </c>
      <c r="E286" s="189">
        <v>4089</v>
      </c>
      <c r="F286" s="190"/>
      <c r="G286" s="1" t="str">
        <f>IFERROR(IF(ventas_b_mes2[[#This Row],[CUIT]]="","-",VLOOKUP(ventas_b_mes2[[#This Row],[CUIT]],Lista_CUIT[#All],2,0)),"CUIT NO CARGADO")</f>
        <v>-</v>
      </c>
      <c r="H286" s="64">
        <v>8925.6200000000008</v>
      </c>
      <c r="I286" s="191">
        <f>ventas_b_mes2[[#This Row],[IMPORTE NETO]]*0.21</f>
        <v>1874.3802000000001</v>
      </c>
      <c r="J286" s="192"/>
      <c r="K286" s="192"/>
      <c r="L286" s="192">
        <f>SUM(ventas_b_mes2[[#This Row],[IMPORTE NETO]:[EXENTO]])</f>
        <v>10800.0002</v>
      </c>
      <c r="M286" s="59"/>
    </row>
    <row r="287" spans="2:13" x14ac:dyDescent="0.25">
      <c r="B287" s="186">
        <v>44964</v>
      </c>
      <c r="C287" s="41">
        <v>6</v>
      </c>
      <c r="D287" s="188">
        <v>5</v>
      </c>
      <c r="E287" s="189">
        <v>7316</v>
      </c>
      <c r="F287" s="190"/>
      <c r="G287" s="1" t="str">
        <f>IFERROR(IF(ventas_b_mes2[[#This Row],[CUIT]]="","-",VLOOKUP(ventas_b_mes2[[#This Row],[CUIT]],Lista_CUIT[#All],2,0)),"CUIT NO CARGADO")</f>
        <v>-</v>
      </c>
      <c r="H287" s="64">
        <v>5495.87</v>
      </c>
      <c r="I287" s="191">
        <f>ventas_b_mes2[[#This Row],[IMPORTE NETO]]*0.21</f>
        <v>1154.1326999999999</v>
      </c>
      <c r="J287" s="192"/>
      <c r="K287" s="192"/>
      <c r="L287" s="192">
        <f>SUM(ventas_b_mes2[[#This Row],[IMPORTE NETO]:[EXENTO]])</f>
        <v>6650.0027</v>
      </c>
      <c r="M287" s="59"/>
    </row>
    <row r="288" spans="2:13" x14ac:dyDescent="0.25">
      <c r="B288" s="186">
        <v>44964</v>
      </c>
      <c r="C288" s="41">
        <v>6</v>
      </c>
      <c r="D288" s="188">
        <v>7</v>
      </c>
      <c r="E288" s="189">
        <v>4093</v>
      </c>
      <c r="F288" s="190"/>
      <c r="G288" s="1" t="str">
        <f>IFERROR(IF(ventas_b_mes2[[#This Row],[CUIT]]="","-",VLOOKUP(ventas_b_mes2[[#This Row],[CUIT]],Lista_CUIT[#All],2,0)),"CUIT NO CARGADO")</f>
        <v>-</v>
      </c>
      <c r="H288" s="64">
        <v>4049.59</v>
      </c>
      <c r="I288" s="191">
        <f>ventas_b_mes2[[#This Row],[IMPORTE NETO]]*0.21</f>
        <v>850.41390000000001</v>
      </c>
      <c r="J288" s="192"/>
      <c r="K288" s="192"/>
      <c r="L288" s="192">
        <f>SUM(ventas_b_mes2[[#This Row],[IMPORTE NETO]:[EXENTO]])</f>
        <v>4900.0038999999997</v>
      </c>
      <c r="M288" s="59"/>
    </row>
    <row r="289" spans="2:13" x14ac:dyDescent="0.25">
      <c r="B289" s="186">
        <v>44964</v>
      </c>
      <c r="C289" s="41">
        <v>6</v>
      </c>
      <c r="D289" s="188">
        <v>7</v>
      </c>
      <c r="E289" s="189">
        <v>4092</v>
      </c>
      <c r="F289" s="190"/>
      <c r="G289" s="1" t="str">
        <f>IFERROR(IF(ventas_b_mes2[[#This Row],[CUIT]]="","-",VLOOKUP(ventas_b_mes2[[#This Row],[CUIT]],Lista_CUIT[#All],2,0)),"CUIT NO CARGADO")</f>
        <v>-</v>
      </c>
      <c r="H289" s="64">
        <v>7024.79</v>
      </c>
      <c r="I289" s="191">
        <f>ventas_b_mes2[[#This Row],[IMPORTE NETO]]*0.21</f>
        <v>1475.2058999999999</v>
      </c>
      <c r="J289" s="192"/>
      <c r="K289" s="192"/>
      <c r="L289" s="192">
        <f>SUM(ventas_b_mes2[[#This Row],[IMPORTE NETO]:[EXENTO]])</f>
        <v>8499.9958999999999</v>
      </c>
      <c r="M289" s="59"/>
    </row>
    <row r="290" spans="2:13" x14ac:dyDescent="0.25">
      <c r="B290" s="186">
        <v>44964</v>
      </c>
      <c r="C290" s="41">
        <v>6</v>
      </c>
      <c r="D290" s="188">
        <v>5</v>
      </c>
      <c r="E290" s="189">
        <v>7309</v>
      </c>
      <c r="F290" s="190"/>
      <c r="G290" s="1" t="str">
        <f>IFERROR(IF(ventas_b_mes2[[#This Row],[CUIT]]="","-",VLOOKUP(ventas_b_mes2[[#This Row],[CUIT]],Lista_CUIT[#All],2,0)),"CUIT NO CARGADO")</f>
        <v>-</v>
      </c>
      <c r="H290" s="64">
        <v>7851.24</v>
      </c>
      <c r="I290" s="191">
        <f>ventas_b_mes2[[#This Row],[IMPORTE NETO]]*0.21</f>
        <v>1648.7603999999999</v>
      </c>
      <c r="J290" s="192"/>
      <c r="K290" s="192"/>
      <c r="L290" s="192">
        <f>SUM(ventas_b_mes2[[#This Row],[IMPORTE NETO]:[EXENTO]])</f>
        <v>9500.000399999999</v>
      </c>
      <c r="M290" s="59"/>
    </row>
    <row r="291" spans="2:13" x14ac:dyDescent="0.25">
      <c r="B291" s="186">
        <v>44964</v>
      </c>
      <c r="C291" s="41">
        <v>6</v>
      </c>
      <c r="D291" s="188">
        <v>5</v>
      </c>
      <c r="E291" s="189">
        <v>7313</v>
      </c>
      <c r="F291" s="190"/>
      <c r="G291" s="1" t="str">
        <f>IFERROR(IF(ventas_b_mes2[[#This Row],[CUIT]]="","-",VLOOKUP(ventas_b_mes2[[#This Row],[CUIT]],Lista_CUIT[#All],2,0)),"CUIT NO CARGADO")</f>
        <v>-</v>
      </c>
      <c r="H291" s="64">
        <v>1487.6</v>
      </c>
      <c r="I291" s="191">
        <f>ventas_b_mes2[[#This Row],[IMPORTE NETO]]*0.21</f>
        <v>312.39599999999996</v>
      </c>
      <c r="J291" s="192"/>
      <c r="K291" s="192"/>
      <c r="L291" s="192">
        <f>SUM(ventas_b_mes2[[#This Row],[IMPORTE NETO]:[EXENTO]])</f>
        <v>1799.9959999999999</v>
      </c>
      <c r="M291" s="59"/>
    </row>
    <row r="292" spans="2:13" x14ac:dyDescent="0.25">
      <c r="B292" s="186">
        <v>44964</v>
      </c>
      <c r="C292" s="41">
        <v>6</v>
      </c>
      <c r="D292" s="188">
        <v>5</v>
      </c>
      <c r="E292" s="189">
        <v>7305</v>
      </c>
      <c r="F292" s="190"/>
      <c r="G292" s="1" t="str">
        <f>IFERROR(IF(ventas_b_mes2[[#This Row],[CUIT]]="","-",VLOOKUP(ventas_b_mes2[[#This Row],[CUIT]],Lista_CUIT[#All],2,0)),"CUIT NO CARGADO")</f>
        <v>-</v>
      </c>
      <c r="H292" s="64">
        <v>3388.43</v>
      </c>
      <c r="I292" s="191">
        <f>ventas_b_mes2[[#This Row],[IMPORTE NETO]]*0.21</f>
        <v>711.57029999999997</v>
      </c>
      <c r="J292" s="192"/>
      <c r="K292" s="192"/>
      <c r="L292" s="192">
        <f>SUM(ventas_b_mes2[[#This Row],[IMPORTE NETO]:[EXENTO]])</f>
        <v>4100.0002999999997</v>
      </c>
      <c r="M292" s="59"/>
    </row>
    <row r="293" spans="2:13" x14ac:dyDescent="0.25">
      <c r="B293" s="186">
        <v>44964</v>
      </c>
      <c r="C293" s="41">
        <v>6</v>
      </c>
      <c r="D293" s="188">
        <v>7</v>
      </c>
      <c r="E293" s="189">
        <v>4085</v>
      </c>
      <c r="F293" s="190"/>
      <c r="G293" s="1" t="str">
        <f>IFERROR(IF(ventas_b_mes2[[#This Row],[CUIT]]="","-",VLOOKUP(ventas_b_mes2[[#This Row],[CUIT]],Lista_CUIT[#All],2,0)),"CUIT NO CARGADO")</f>
        <v>-</v>
      </c>
      <c r="H293" s="64">
        <v>9008.26</v>
      </c>
      <c r="I293" s="191">
        <f>ventas_b_mes2[[#This Row],[IMPORTE NETO]]*0.21</f>
        <v>1891.7346</v>
      </c>
      <c r="J293" s="192"/>
      <c r="K293" s="192"/>
      <c r="L293" s="192">
        <f>SUM(ventas_b_mes2[[#This Row],[IMPORTE NETO]:[EXENTO]])</f>
        <v>10899.9946</v>
      </c>
      <c r="M293" s="59"/>
    </row>
    <row r="294" spans="2:13" x14ac:dyDescent="0.25">
      <c r="B294" s="186">
        <v>44964</v>
      </c>
      <c r="C294" s="41">
        <v>6</v>
      </c>
      <c r="D294" s="188">
        <v>5</v>
      </c>
      <c r="E294" s="189">
        <v>7308</v>
      </c>
      <c r="F294" s="190"/>
      <c r="G294" s="1" t="str">
        <f>IFERROR(IF(ventas_b_mes2[[#This Row],[CUIT]]="","-",VLOOKUP(ventas_b_mes2[[#This Row],[CUIT]],Lista_CUIT[#All],2,0)),"CUIT NO CARGADO")</f>
        <v>-</v>
      </c>
      <c r="H294" s="64">
        <v>6322.31</v>
      </c>
      <c r="I294" s="191">
        <f>ventas_b_mes2[[#This Row],[IMPORTE NETO]]*0.21</f>
        <v>1327.6851000000001</v>
      </c>
      <c r="J294" s="192"/>
      <c r="K294" s="192"/>
      <c r="L294" s="192">
        <f>SUM(ventas_b_mes2[[#This Row],[IMPORTE NETO]:[EXENTO]])</f>
        <v>7649.9951000000001</v>
      </c>
      <c r="M294" s="59"/>
    </row>
    <row r="295" spans="2:13" x14ac:dyDescent="0.25">
      <c r="B295" s="186">
        <v>44964</v>
      </c>
      <c r="C295" s="41">
        <v>6</v>
      </c>
      <c r="D295" s="188">
        <v>7</v>
      </c>
      <c r="E295" s="189">
        <v>4094</v>
      </c>
      <c r="F295" s="190"/>
      <c r="G295" s="1" t="str">
        <f>IFERROR(IF(ventas_b_mes2[[#This Row],[CUIT]]="","-",VLOOKUP(ventas_b_mes2[[#This Row],[CUIT]],Lista_CUIT[#All],2,0)),"CUIT NO CARGADO")</f>
        <v>-</v>
      </c>
      <c r="H295" s="64">
        <v>7438.02</v>
      </c>
      <c r="I295" s="191">
        <f>ventas_b_mes2[[#This Row],[IMPORTE NETO]]*0.21</f>
        <v>1561.9842000000001</v>
      </c>
      <c r="J295" s="192"/>
      <c r="K295" s="192"/>
      <c r="L295" s="192">
        <f>SUM(ventas_b_mes2[[#This Row],[IMPORTE NETO]:[EXENTO]])</f>
        <v>9000.0042000000012</v>
      </c>
      <c r="M295" s="59"/>
    </row>
    <row r="296" spans="2:13" x14ac:dyDescent="0.25">
      <c r="B296" s="186">
        <v>44964</v>
      </c>
      <c r="C296" s="41">
        <v>6</v>
      </c>
      <c r="D296" s="188">
        <v>5</v>
      </c>
      <c r="E296" s="189">
        <v>7311</v>
      </c>
      <c r="F296" s="190"/>
      <c r="G296" s="1" t="str">
        <f>IFERROR(IF(ventas_b_mes2[[#This Row],[CUIT]]="","-",VLOOKUP(ventas_b_mes2[[#This Row],[CUIT]],Lista_CUIT[#All],2,0)),"CUIT NO CARGADO")</f>
        <v>-</v>
      </c>
      <c r="H296" s="64">
        <v>3347.11</v>
      </c>
      <c r="I296" s="191">
        <f>ventas_b_mes2[[#This Row],[IMPORTE NETO]]*0.21</f>
        <v>702.8931</v>
      </c>
      <c r="J296" s="192"/>
      <c r="K296" s="192"/>
      <c r="L296" s="192">
        <f>SUM(ventas_b_mes2[[#This Row],[IMPORTE NETO]:[EXENTO]])</f>
        <v>4050.0030999999999</v>
      </c>
      <c r="M296" s="59"/>
    </row>
    <row r="297" spans="2:13" x14ac:dyDescent="0.25">
      <c r="B297" s="186">
        <v>44964</v>
      </c>
      <c r="C297" s="41">
        <v>6</v>
      </c>
      <c r="D297" s="188">
        <v>7</v>
      </c>
      <c r="E297" s="189">
        <v>4084</v>
      </c>
      <c r="F297" s="190"/>
      <c r="G297" s="1" t="str">
        <f>IFERROR(IF(ventas_b_mes2[[#This Row],[CUIT]]="","-",VLOOKUP(ventas_b_mes2[[#This Row],[CUIT]],Lista_CUIT[#All],2,0)),"CUIT NO CARGADO")</f>
        <v>-</v>
      </c>
      <c r="H297" s="64">
        <v>3471.07</v>
      </c>
      <c r="I297" s="191">
        <f>ventas_b_mes2[[#This Row],[IMPORTE NETO]]*0.21</f>
        <v>728.92470000000003</v>
      </c>
      <c r="J297" s="192"/>
      <c r="K297" s="192"/>
      <c r="L297" s="192">
        <f>SUM(ventas_b_mes2[[#This Row],[IMPORTE NETO]:[EXENTO]])</f>
        <v>4199.9947000000002</v>
      </c>
      <c r="M297" s="59"/>
    </row>
    <row r="298" spans="2:13" x14ac:dyDescent="0.25">
      <c r="B298" s="186">
        <v>44964</v>
      </c>
      <c r="C298" s="41">
        <v>6</v>
      </c>
      <c r="D298" s="188">
        <v>7</v>
      </c>
      <c r="E298" s="189">
        <v>4088</v>
      </c>
      <c r="F298" s="190"/>
      <c r="G298" s="1" t="str">
        <f>IFERROR(IF(ventas_b_mes2[[#This Row],[CUIT]]="","-",VLOOKUP(ventas_b_mes2[[#This Row],[CUIT]],Lista_CUIT[#All],2,0)),"CUIT NO CARGADO")</f>
        <v>-</v>
      </c>
      <c r="H298" s="64">
        <v>16528.93</v>
      </c>
      <c r="I298" s="191">
        <f>ventas_b_mes2[[#This Row],[IMPORTE NETO]]*0.21</f>
        <v>3471.0753</v>
      </c>
      <c r="J298" s="192"/>
      <c r="K298" s="192"/>
      <c r="L298" s="192">
        <f>SUM(ventas_b_mes2[[#This Row],[IMPORTE NETO]:[EXENTO]])</f>
        <v>20000.005300000001</v>
      </c>
      <c r="M298" s="59"/>
    </row>
    <row r="299" spans="2:13" x14ac:dyDescent="0.25">
      <c r="B299" s="186">
        <v>44964</v>
      </c>
      <c r="C299" s="41">
        <v>6</v>
      </c>
      <c r="D299" s="188">
        <v>5</v>
      </c>
      <c r="E299" s="189">
        <v>7306</v>
      </c>
      <c r="F299" s="190"/>
      <c r="G299" s="1" t="str">
        <f>IFERROR(IF(ventas_b_mes2[[#This Row],[CUIT]]="","-",VLOOKUP(ventas_b_mes2[[#This Row],[CUIT]],Lista_CUIT[#All],2,0)),"CUIT NO CARGADO")</f>
        <v>-</v>
      </c>
      <c r="H299" s="64">
        <v>4876.03</v>
      </c>
      <c r="I299" s="191">
        <f>ventas_b_mes2[[#This Row],[IMPORTE NETO]]*0.21</f>
        <v>1023.9662999999999</v>
      </c>
      <c r="J299" s="192"/>
      <c r="K299" s="192"/>
      <c r="L299" s="192">
        <f>SUM(ventas_b_mes2[[#This Row],[IMPORTE NETO]:[EXENTO]])</f>
        <v>5899.9962999999998</v>
      </c>
      <c r="M299" s="59"/>
    </row>
    <row r="300" spans="2:13" x14ac:dyDescent="0.25">
      <c r="B300" s="186">
        <v>44964</v>
      </c>
      <c r="C300" s="41">
        <v>6</v>
      </c>
      <c r="D300" s="188">
        <v>7</v>
      </c>
      <c r="E300" s="189">
        <v>4087</v>
      </c>
      <c r="F300" s="190"/>
      <c r="G300" s="1" t="str">
        <f>IFERROR(IF(ventas_b_mes2[[#This Row],[CUIT]]="","-",VLOOKUP(ventas_b_mes2[[#This Row],[CUIT]],Lista_CUIT[#All],2,0)),"CUIT NO CARGADO")</f>
        <v>-</v>
      </c>
      <c r="H300" s="64">
        <v>3760.33</v>
      </c>
      <c r="I300" s="191">
        <f>ventas_b_mes2[[#This Row],[IMPORTE NETO]]*0.21</f>
        <v>789.66929999999991</v>
      </c>
      <c r="J300" s="192"/>
      <c r="K300" s="192"/>
      <c r="L300" s="192">
        <f>SUM(ventas_b_mes2[[#This Row],[IMPORTE NETO]:[EXENTO]])</f>
        <v>4549.9992999999995</v>
      </c>
      <c r="M300" s="59"/>
    </row>
    <row r="301" spans="2:13" x14ac:dyDescent="0.25">
      <c r="B301" s="186">
        <v>44964</v>
      </c>
      <c r="C301" s="41">
        <v>6</v>
      </c>
      <c r="D301" s="188">
        <v>5</v>
      </c>
      <c r="E301" s="189">
        <v>7315</v>
      </c>
      <c r="F301" s="190"/>
      <c r="G301" s="1" t="str">
        <f>IFERROR(IF(ventas_b_mes2[[#This Row],[CUIT]]="","-",VLOOKUP(ventas_b_mes2[[#This Row],[CUIT]],Lista_CUIT[#All],2,0)),"CUIT NO CARGADO")</f>
        <v>-</v>
      </c>
      <c r="H301" s="64">
        <v>7024.79</v>
      </c>
      <c r="I301" s="191">
        <f>ventas_b_mes2[[#This Row],[IMPORTE NETO]]*0.21</f>
        <v>1475.2058999999999</v>
      </c>
      <c r="J301" s="192"/>
      <c r="K301" s="192"/>
      <c r="L301" s="192">
        <f>SUM(ventas_b_mes2[[#This Row],[IMPORTE NETO]:[EXENTO]])</f>
        <v>8499.9958999999999</v>
      </c>
      <c r="M301" s="59"/>
    </row>
    <row r="302" spans="2:13" x14ac:dyDescent="0.25">
      <c r="B302" s="186">
        <v>44964</v>
      </c>
      <c r="C302" s="41">
        <v>6</v>
      </c>
      <c r="D302" s="188">
        <v>7</v>
      </c>
      <c r="E302" s="189">
        <v>4090</v>
      </c>
      <c r="F302" s="190"/>
      <c r="G302" s="1" t="str">
        <f>IFERROR(IF(ventas_b_mes2[[#This Row],[CUIT]]="","-",VLOOKUP(ventas_b_mes2[[#This Row],[CUIT]],Lista_CUIT[#All],2,0)),"CUIT NO CARGADO")</f>
        <v>-</v>
      </c>
      <c r="H302" s="64">
        <v>6611.57</v>
      </c>
      <c r="I302" s="191">
        <f>ventas_b_mes2[[#This Row],[IMPORTE NETO]]*0.21</f>
        <v>1388.4296999999999</v>
      </c>
      <c r="J302" s="192"/>
      <c r="K302" s="192"/>
      <c r="L302" s="192">
        <f>SUM(ventas_b_mes2[[#This Row],[IMPORTE NETO]:[EXENTO]])</f>
        <v>7999.9996999999994</v>
      </c>
      <c r="M302" s="59"/>
    </row>
    <row r="303" spans="2:13" x14ac:dyDescent="0.25">
      <c r="B303" s="186">
        <v>44964</v>
      </c>
      <c r="C303" s="41">
        <v>6</v>
      </c>
      <c r="D303" s="188">
        <v>5</v>
      </c>
      <c r="E303" s="189">
        <v>7312</v>
      </c>
      <c r="F303" s="190"/>
      <c r="G303" s="1" t="str">
        <f>IFERROR(IF(ventas_b_mes2[[#This Row],[CUIT]]="","-",VLOOKUP(ventas_b_mes2[[#This Row],[CUIT]],Lista_CUIT[#All],2,0)),"CUIT NO CARGADO")</f>
        <v>-</v>
      </c>
      <c r="H303" s="64">
        <v>6239.67</v>
      </c>
      <c r="I303" s="191">
        <f>ventas_b_mes2[[#This Row],[IMPORTE NETO]]*0.21</f>
        <v>1310.3307</v>
      </c>
      <c r="J303" s="192"/>
      <c r="K303" s="192"/>
      <c r="L303" s="192">
        <f>SUM(ventas_b_mes2[[#This Row],[IMPORTE NETO]:[EXENTO]])</f>
        <v>7550.0007000000005</v>
      </c>
      <c r="M303" s="59"/>
    </row>
    <row r="304" spans="2:13" x14ac:dyDescent="0.25">
      <c r="B304" s="186">
        <v>44964</v>
      </c>
      <c r="C304" s="41">
        <v>6</v>
      </c>
      <c r="D304" s="188">
        <v>7</v>
      </c>
      <c r="E304" s="189">
        <v>4091</v>
      </c>
      <c r="F304" s="190"/>
      <c r="G304" s="1" t="str">
        <f>IFERROR(IF(ventas_b_mes2[[#This Row],[CUIT]]="","-",VLOOKUP(ventas_b_mes2[[#This Row],[CUIT]],Lista_CUIT[#All],2,0)),"CUIT NO CARGADO")</f>
        <v>-</v>
      </c>
      <c r="H304" s="64">
        <v>8264.4599999999991</v>
      </c>
      <c r="I304" s="191">
        <f>ventas_b_mes2[[#This Row],[IMPORTE NETO]]*0.21</f>
        <v>1735.5365999999997</v>
      </c>
      <c r="J304" s="192"/>
      <c r="K304" s="192"/>
      <c r="L304" s="192">
        <f>SUM(ventas_b_mes2[[#This Row],[IMPORTE NETO]:[EXENTO]])</f>
        <v>9999.9965999999986</v>
      </c>
      <c r="M304" s="59"/>
    </row>
    <row r="305" spans="2:13" x14ac:dyDescent="0.25">
      <c r="B305" s="186">
        <v>44965</v>
      </c>
      <c r="C305" s="41">
        <v>6</v>
      </c>
      <c r="D305" s="188">
        <v>5</v>
      </c>
      <c r="E305" s="189">
        <v>7321</v>
      </c>
      <c r="F305" s="190"/>
      <c r="G305" s="1" t="str">
        <f>IFERROR(IF(ventas_b_mes2[[#This Row],[CUIT]]="","-",VLOOKUP(ventas_b_mes2[[#This Row],[CUIT]],Lista_CUIT[#All],2,0)),"CUIT NO CARGADO")</f>
        <v>-</v>
      </c>
      <c r="H305" s="64">
        <v>5743.8</v>
      </c>
      <c r="I305" s="191">
        <f>ventas_b_mes2[[#This Row],[IMPORTE NETO]]*0.21</f>
        <v>1206.1980000000001</v>
      </c>
      <c r="J305" s="192"/>
      <c r="K305" s="192"/>
      <c r="L305" s="192">
        <f>SUM(ventas_b_mes2[[#This Row],[IMPORTE NETO]:[EXENTO]])</f>
        <v>6949.9980000000005</v>
      </c>
      <c r="M305" s="59"/>
    </row>
    <row r="306" spans="2:13" x14ac:dyDescent="0.25">
      <c r="B306" s="186">
        <v>44965</v>
      </c>
      <c r="C306" s="41">
        <v>6</v>
      </c>
      <c r="D306" s="188">
        <v>7</v>
      </c>
      <c r="E306" s="189">
        <v>4097</v>
      </c>
      <c r="F306" s="190"/>
      <c r="G306" s="1" t="str">
        <f>IFERROR(IF(ventas_b_mes2[[#This Row],[CUIT]]="","-",VLOOKUP(ventas_b_mes2[[#This Row],[CUIT]],Lista_CUIT[#All],2,0)),"CUIT NO CARGADO")</f>
        <v>-</v>
      </c>
      <c r="H306" s="64">
        <v>5785.13</v>
      </c>
      <c r="I306" s="191">
        <f>ventas_b_mes2[[#This Row],[IMPORTE NETO]]*0.21</f>
        <v>1214.8772999999999</v>
      </c>
      <c r="J306" s="192"/>
      <c r="K306" s="192"/>
      <c r="L306" s="192">
        <f>SUM(ventas_b_mes2[[#This Row],[IMPORTE NETO]:[EXENTO]])</f>
        <v>7000.0073000000002</v>
      </c>
      <c r="M306" s="59"/>
    </row>
    <row r="307" spans="2:13" x14ac:dyDescent="0.25">
      <c r="B307" s="186">
        <v>44965</v>
      </c>
      <c r="C307" s="41">
        <v>6</v>
      </c>
      <c r="D307" s="188">
        <v>5</v>
      </c>
      <c r="E307" s="189">
        <v>7317</v>
      </c>
      <c r="F307" s="190"/>
      <c r="G307" s="1" t="str">
        <f>IFERROR(IF(ventas_b_mes2[[#This Row],[CUIT]]="","-",VLOOKUP(ventas_b_mes2[[#This Row],[CUIT]],Lista_CUIT[#All],2,0)),"CUIT NO CARGADO")</f>
        <v>-</v>
      </c>
      <c r="H307" s="64">
        <v>5537.19</v>
      </c>
      <c r="I307" s="191">
        <f>ventas_b_mes2[[#This Row],[IMPORTE NETO]]*0.21</f>
        <v>1162.8099</v>
      </c>
      <c r="J307" s="192"/>
      <c r="K307" s="192"/>
      <c r="L307" s="192">
        <f>SUM(ventas_b_mes2[[#This Row],[IMPORTE NETO]:[EXENTO]])</f>
        <v>6699.9998999999998</v>
      </c>
      <c r="M307" s="59"/>
    </row>
    <row r="308" spans="2:13" x14ac:dyDescent="0.25">
      <c r="B308" s="186">
        <v>44965</v>
      </c>
      <c r="C308" s="41">
        <v>6</v>
      </c>
      <c r="D308" s="188">
        <v>7</v>
      </c>
      <c r="E308" s="189">
        <v>4100</v>
      </c>
      <c r="F308" s="190"/>
      <c r="G308" s="1" t="str">
        <f>IFERROR(IF(ventas_b_mes2[[#This Row],[CUIT]]="","-",VLOOKUP(ventas_b_mes2[[#This Row],[CUIT]],Lista_CUIT[#All],2,0)),"CUIT NO CARGADO")</f>
        <v>-</v>
      </c>
      <c r="H308" s="64">
        <v>3719.01</v>
      </c>
      <c r="I308" s="191">
        <f>ventas_b_mes2[[#This Row],[IMPORTE NETO]]*0.21</f>
        <v>780.99210000000005</v>
      </c>
      <c r="J308" s="192"/>
      <c r="K308" s="192"/>
      <c r="L308" s="192">
        <f>SUM(ventas_b_mes2[[#This Row],[IMPORTE NETO]:[EXENTO]])</f>
        <v>4500.0021000000006</v>
      </c>
      <c r="M308" s="59"/>
    </row>
    <row r="309" spans="2:13" x14ac:dyDescent="0.25">
      <c r="B309" s="186">
        <v>44965</v>
      </c>
      <c r="C309" s="41">
        <v>6</v>
      </c>
      <c r="D309" s="188">
        <v>7</v>
      </c>
      <c r="E309" s="189">
        <v>4098</v>
      </c>
      <c r="F309" s="190"/>
      <c r="G309" s="1" t="str">
        <f>IFERROR(IF(ventas_b_mes2[[#This Row],[CUIT]]="","-",VLOOKUP(ventas_b_mes2[[#This Row],[CUIT]],Lista_CUIT[#All],2,0)),"CUIT NO CARGADO")</f>
        <v>-</v>
      </c>
      <c r="H309" s="64">
        <v>9256.19</v>
      </c>
      <c r="I309" s="191">
        <f>ventas_b_mes2[[#This Row],[IMPORTE NETO]]*0.21</f>
        <v>1943.7999</v>
      </c>
      <c r="J309" s="192"/>
      <c r="K309" s="192"/>
      <c r="L309" s="192">
        <f>SUM(ventas_b_mes2[[#This Row],[IMPORTE NETO]:[EXENTO]])</f>
        <v>11199.9899</v>
      </c>
      <c r="M309" s="59"/>
    </row>
    <row r="310" spans="2:13" x14ac:dyDescent="0.25">
      <c r="B310" s="186">
        <v>44965</v>
      </c>
      <c r="C310" s="41">
        <v>6</v>
      </c>
      <c r="D310" s="188">
        <v>7</v>
      </c>
      <c r="E310" s="189">
        <v>4096</v>
      </c>
      <c r="F310" s="190"/>
      <c r="G310" s="1" t="str">
        <f>IFERROR(IF(ventas_b_mes2[[#This Row],[CUIT]]="","-",VLOOKUP(ventas_b_mes2[[#This Row],[CUIT]],Lista_CUIT[#All],2,0)),"CUIT NO CARGADO")</f>
        <v>-</v>
      </c>
      <c r="H310" s="64">
        <v>3223.14</v>
      </c>
      <c r="I310" s="191">
        <f>ventas_b_mes2[[#This Row],[IMPORTE NETO]]*0.21</f>
        <v>676.85939999999994</v>
      </c>
      <c r="J310" s="192"/>
      <c r="K310" s="192"/>
      <c r="L310" s="192">
        <f>SUM(ventas_b_mes2[[#This Row],[IMPORTE NETO]:[EXENTO]])</f>
        <v>3899.9993999999997</v>
      </c>
      <c r="M310" s="59"/>
    </row>
    <row r="311" spans="2:13" x14ac:dyDescent="0.25">
      <c r="B311" s="186">
        <v>44965</v>
      </c>
      <c r="C311" s="41">
        <v>6</v>
      </c>
      <c r="D311" s="188">
        <v>5</v>
      </c>
      <c r="E311" s="189">
        <v>7324</v>
      </c>
      <c r="F311" s="190"/>
      <c r="G311" s="1" t="str">
        <f>IFERROR(IF(ventas_b_mes2[[#This Row],[CUIT]]="","-",VLOOKUP(ventas_b_mes2[[#This Row],[CUIT]],Lista_CUIT[#All],2,0)),"CUIT NO CARGADO")</f>
        <v>-</v>
      </c>
      <c r="H311" s="64">
        <v>3595.04</v>
      </c>
      <c r="I311" s="191">
        <f>ventas_b_mes2[[#This Row],[IMPORTE NETO]]*0.21</f>
        <v>754.95839999999998</v>
      </c>
      <c r="J311" s="192"/>
      <c r="K311" s="192"/>
      <c r="L311" s="192">
        <f>SUM(ventas_b_mes2[[#This Row],[IMPORTE NETO]:[EXENTO]])</f>
        <v>4349.9984000000004</v>
      </c>
      <c r="M311" s="59"/>
    </row>
    <row r="312" spans="2:13" x14ac:dyDescent="0.25">
      <c r="B312" s="186">
        <v>44965</v>
      </c>
      <c r="C312" s="41">
        <v>6</v>
      </c>
      <c r="D312" s="188">
        <v>5</v>
      </c>
      <c r="E312" s="189">
        <v>7326</v>
      </c>
      <c r="F312" s="190"/>
      <c r="G312" s="1" t="str">
        <f>IFERROR(IF(ventas_b_mes2[[#This Row],[CUIT]]="","-",VLOOKUP(ventas_b_mes2[[#This Row],[CUIT]],Lista_CUIT[#All],2,0)),"CUIT NO CARGADO")</f>
        <v>-</v>
      </c>
      <c r="H312" s="64">
        <v>2148.7600000000002</v>
      </c>
      <c r="I312" s="191">
        <f>ventas_b_mes2[[#This Row],[IMPORTE NETO]]*0.21</f>
        <v>451.23960000000005</v>
      </c>
      <c r="J312" s="192"/>
      <c r="K312" s="192"/>
      <c r="L312" s="192">
        <f>SUM(ventas_b_mes2[[#This Row],[IMPORTE NETO]:[EXENTO]])</f>
        <v>2599.9996000000001</v>
      </c>
      <c r="M312" s="59"/>
    </row>
    <row r="313" spans="2:13" x14ac:dyDescent="0.25">
      <c r="B313" s="186">
        <v>44965</v>
      </c>
      <c r="C313" s="41">
        <v>6</v>
      </c>
      <c r="D313" s="188">
        <v>5</v>
      </c>
      <c r="E313" s="189">
        <v>7318</v>
      </c>
      <c r="F313" s="190"/>
      <c r="G313" s="1" t="str">
        <f>IFERROR(IF(ventas_b_mes2[[#This Row],[CUIT]]="","-",VLOOKUP(ventas_b_mes2[[#This Row],[CUIT]],Lista_CUIT[#All],2,0)),"CUIT NO CARGADO")</f>
        <v>-</v>
      </c>
      <c r="H313" s="64">
        <v>6694.21</v>
      </c>
      <c r="I313" s="191">
        <f>ventas_b_mes2[[#This Row],[IMPORTE NETO]]*0.21</f>
        <v>1405.7840999999999</v>
      </c>
      <c r="J313" s="192"/>
      <c r="K313" s="192"/>
      <c r="L313" s="192">
        <f>SUM(ventas_b_mes2[[#This Row],[IMPORTE NETO]:[EXENTO]])</f>
        <v>8099.9940999999999</v>
      </c>
      <c r="M313" s="59"/>
    </row>
    <row r="314" spans="2:13" x14ac:dyDescent="0.25">
      <c r="B314" s="186">
        <v>44965</v>
      </c>
      <c r="C314" s="41">
        <v>6</v>
      </c>
      <c r="D314" s="188">
        <v>5</v>
      </c>
      <c r="E314" s="189">
        <v>7320</v>
      </c>
      <c r="F314" s="190"/>
      <c r="G314" s="1" t="str">
        <f>IFERROR(IF(ventas_b_mes2[[#This Row],[CUIT]]="","-",VLOOKUP(ventas_b_mes2[[#This Row],[CUIT]],Lista_CUIT[#All],2,0)),"CUIT NO CARGADO")</f>
        <v>-</v>
      </c>
      <c r="H314" s="64">
        <v>2231.4</v>
      </c>
      <c r="I314" s="191">
        <f>ventas_b_mes2[[#This Row],[IMPORTE NETO]]*0.21</f>
        <v>468.59399999999999</v>
      </c>
      <c r="J314" s="192"/>
      <c r="K314" s="192"/>
      <c r="L314" s="192">
        <f>SUM(ventas_b_mes2[[#This Row],[IMPORTE NETO]:[EXENTO]])</f>
        <v>2699.9940000000001</v>
      </c>
      <c r="M314" s="59"/>
    </row>
    <row r="315" spans="2:13" x14ac:dyDescent="0.25">
      <c r="B315" s="186">
        <v>44965</v>
      </c>
      <c r="C315" s="41">
        <v>6</v>
      </c>
      <c r="D315" s="188">
        <v>5</v>
      </c>
      <c r="E315" s="189">
        <v>7323</v>
      </c>
      <c r="F315" s="190"/>
      <c r="G315" s="1" t="str">
        <f>IFERROR(IF(ventas_b_mes2[[#This Row],[CUIT]]="","-",VLOOKUP(ventas_b_mes2[[#This Row],[CUIT]],Lista_CUIT[#All],2,0)),"CUIT NO CARGADO")</f>
        <v>-</v>
      </c>
      <c r="H315" s="64">
        <v>1528.93</v>
      </c>
      <c r="I315" s="191">
        <f>ventas_b_mes2[[#This Row],[IMPORTE NETO]]*0.21</f>
        <v>321.07530000000003</v>
      </c>
      <c r="J315" s="192"/>
      <c r="K315" s="192"/>
      <c r="L315" s="192">
        <f>SUM(ventas_b_mes2[[#This Row],[IMPORTE NETO]:[EXENTO]])</f>
        <v>1850.0053</v>
      </c>
      <c r="M315" s="59"/>
    </row>
    <row r="316" spans="2:13" x14ac:dyDescent="0.25">
      <c r="B316" s="186">
        <v>44965</v>
      </c>
      <c r="C316" s="41">
        <v>6</v>
      </c>
      <c r="D316" s="188">
        <v>5</v>
      </c>
      <c r="E316" s="189">
        <v>7325</v>
      </c>
      <c r="F316" s="190"/>
      <c r="G316" s="1" t="str">
        <f>IFERROR(IF(ventas_b_mes2[[#This Row],[CUIT]]="","-",VLOOKUP(ventas_b_mes2[[#This Row],[CUIT]],Lista_CUIT[#All],2,0)),"CUIT NO CARGADO")</f>
        <v>-</v>
      </c>
      <c r="H316" s="64">
        <v>3636.36</v>
      </c>
      <c r="I316" s="191">
        <f>ventas_b_mes2[[#This Row],[IMPORTE NETO]]*0.21</f>
        <v>763.63559999999995</v>
      </c>
      <c r="J316" s="192"/>
      <c r="K316" s="192"/>
      <c r="L316" s="192">
        <f>SUM(ventas_b_mes2[[#This Row],[IMPORTE NETO]:[EXENTO]])</f>
        <v>4399.9956000000002</v>
      </c>
      <c r="M316" s="59"/>
    </row>
    <row r="317" spans="2:13" x14ac:dyDescent="0.25">
      <c r="B317" s="186">
        <v>44965</v>
      </c>
      <c r="C317" s="41">
        <v>6</v>
      </c>
      <c r="D317" s="188">
        <v>7</v>
      </c>
      <c r="E317" s="189">
        <v>4101</v>
      </c>
      <c r="F317" s="190"/>
      <c r="G317" s="1" t="str">
        <f>IFERROR(IF(ventas_b_mes2[[#This Row],[CUIT]]="","-",VLOOKUP(ventas_b_mes2[[#This Row],[CUIT]],Lista_CUIT[#All],2,0)),"CUIT NO CARGADO")</f>
        <v>-</v>
      </c>
      <c r="H317" s="64">
        <v>6198.34</v>
      </c>
      <c r="I317" s="191">
        <f>ventas_b_mes2[[#This Row],[IMPORTE NETO]]*0.21</f>
        <v>1301.6514</v>
      </c>
      <c r="J317" s="192"/>
      <c r="K317" s="192"/>
      <c r="L317" s="192">
        <f>SUM(ventas_b_mes2[[#This Row],[IMPORTE NETO]:[EXENTO]])</f>
        <v>7499.9913999999999</v>
      </c>
      <c r="M317" s="59"/>
    </row>
    <row r="318" spans="2:13" x14ac:dyDescent="0.25">
      <c r="B318" s="186">
        <v>44965</v>
      </c>
      <c r="C318" s="41">
        <v>6</v>
      </c>
      <c r="D318" s="188">
        <v>7</v>
      </c>
      <c r="E318" s="189">
        <v>4095</v>
      </c>
      <c r="F318" s="190"/>
      <c r="G318" s="1" t="str">
        <f>IFERROR(IF(ventas_b_mes2[[#This Row],[CUIT]]="","-",VLOOKUP(ventas_b_mes2[[#This Row],[CUIT]],Lista_CUIT[#All],2,0)),"CUIT NO CARGADO")</f>
        <v>-</v>
      </c>
      <c r="H318" s="64">
        <v>3719.01</v>
      </c>
      <c r="I318" s="191">
        <f>ventas_b_mes2[[#This Row],[IMPORTE NETO]]*0.21</f>
        <v>780.99210000000005</v>
      </c>
      <c r="J318" s="192"/>
      <c r="K318" s="192"/>
      <c r="L318" s="192">
        <f>SUM(ventas_b_mes2[[#This Row],[IMPORTE NETO]:[EXENTO]])</f>
        <v>4500.0021000000006</v>
      </c>
      <c r="M318" s="59"/>
    </row>
    <row r="319" spans="2:13" x14ac:dyDescent="0.25">
      <c r="B319" s="193">
        <v>44965</v>
      </c>
      <c r="C319" s="41">
        <v>6</v>
      </c>
      <c r="D319" s="194">
        <v>5</v>
      </c>
      <c r="E319" s="195">
        <v>7322</v>
      </c>
      <c r="F319" s="196"/>
      <c r="G319" s="197" t="str">
        <f>IFERROR(IF(ventas_b_mes2[[#This Row],[CUIT]]="","-",VLOOKUP(ventas_b_mes2[[#This Row],[CUIT]],Lista_CUIT[#All],2,0)),"CUIT NO CARGADO")</f>
        <v>-</v>
      </c>
      <c r="H319" s="198">
        <v>3388.43</v>
      </c>
      <c r="I319" s="199">
        <f>ventas_b_mes2[[#This Row],[IMPORTE NETO]]*0.21</f>
        <v>711.57029999999997</v>
      </c>
      <c r="J319" s="200"/>
      <c r="K319" s="200"/>
      <c r="L319" s="200">
        <f>SUM(ventas_b_mes2[[#This Row],[IMPORTE NETO]:[EXENTO]])</f>
        <v>4100.0002999999997</v>
      </c>
      <c r="M319" s="63"/>
    </row>
    <row r="320" spans="2:13" x14ac:dyDescent="0.25">
      <c r="B320" s="193">
        <v>44965</v>
      </c>
      <c r="C320" s="41">
        <v>6</v>
      </c>
      <c r="D320" s="194">
        <v>7</v>
      </c>
      <c r="E320" s="195">
        <v>4099</v>
      </c>
      <c r="F320" s="196"/>
      <c r="G320" s="197" t="str">
        <f>IFERROR(IF(ventas_b_mes2[[#This Row],[CUIT]]="","-",VLOOKUP(ventas_b_mes2[[#This Row],[CUIT]],Lista_CUIT[#All],2,0)),"CUIT NO CARGADO")</f>
        <v>-</v>
      </c>
      <c r="H320" s="198">
        <v>4545.45</v>
      </c>
      <c r="I320" s="199">
        <f>ventas_b_mes2[[#This Row],[IMPORTE NETO]]*0.21</f>
        <v>954.54449999999997</v>
      </c>
      <c r="J320" s="200"/>
      <c r="K320" s="200"/>
      <c r="L320" s="200">
        <f>SUM(ventas_b_mes2[[#This Row],[IMPORTE NETO]:[EXENTO]])</f>
        <v>5499.9944999999998</v>
      </c>
      <c r="M320" s="63"/>
    </row>
    <row r="321" spans="2:13" x14ac:dyDescent="0.25">
      <c r="B321" s="193">
        <v>44965</v>
      </c>
      <c r="C321" s="41">
        <v>6</v>
      </c>
      <c r="D321" s="194">
        <v>5</v>
      </c>
      <c r="E321" s="195">
        <v>7319</v>
      </c>
      <c r="F321" s="196"/>
      <c r="G321" s="197" t="str">
        <f>IFERROR(IF(ventas_b_mes2[[#This Row],[CUIT]]="","-",VLOOKUP(ventas_b_mes2[[#This Row],[CUIT]],Lista_CUIT[#All],2,0)),"CUIT NO CARGADO")</f>
        <v>-</v>
      </c>
      <c r="H321" s="198">
        <v>2231.4</v>
      </c>
      <c r="I321" s="199">
        <f>ventas_b_mes2[[#This Row],[IMPORTE NETO]]*0.21</f>
        <v>468.59399999999999</v>
      </c>
      <c r="J321" s="200"/>
      <c r="K321" s="200"/>
      <c r="L321" s="200">
        <f>SUM(ventas_b_mes2[[#This Row],[IMPORTE NETO]:[EXENTO]])</f>
        <v>2699.9940000000001</v>
      </c>
      <c r="M321" s="63"/>
    </row>
    <row r="322" spans="2:13" x14ac:dyDescent="0.25">
      <c r="B322" s="193">
        <v>44966</v>
      </c>
      <c r="C322" s="41">
        <v>6</v>
      </c>
      <c r="D322" s="194">
        <v>5</v>
      </c>
      <c r="E322" s="195">
        <v>7329</v>
      </c>
      <c r="F322" s="196"/>
      <c r="G322" s="197" t="str">
        <f>IFERROR(IF(ventas_b_mes2[[#This Row],[CUIT]]="","-",VLOOKUP(ventas_b_mes2[[#This Row],[CUIT]],Lista_CUIT[#All],2,0)),"CUIT NO CARGADO")</f>
        <v>-</v>
      </c>
      <c r="H322" s="198">
        <v>6446.28</v>
      </c>
      <c r="I322" s="199">
        <f>ventas_b_mes2[[#This Row],[IMPORTE NETO]]*0.21</f>
        <v>1353.7187999999999</v>
      </c>
      <c r="J322" s="200"/>
      <c r="K322" s="200"/>
      <c r="L322" s="200">
        <f>SUM(ventas_b_mes2[[#This Row],[IMPORTE NETO]:[EXENTO]])</f>
        <v>7799.9987999999994</v>
      </c>
      <c r="M322" s="63"/>
    </row>
    <row r="323" spans="2:13" x14ac:dyDescent="0.25">
      <c r="B323" s="193">
        <v>44966</v>
      </c>
      <c r="C323" s="41">
        <v>6</v>
      </c>
      <c r="D323" s="194">
        <v>5</v>
      </c>
      <c r="E323" s="195">
        <v>7332</v>
      </c>
      <c r="F323" s="196"/>
      <c r="G323" s="197" t="str">
        <f>IFERROR(IF(ventas_b_mes2[[#This Row],[CUIT]]="","-",VLOOKUP(ventas_b_mes2[[#This Row],[CUIT]],Lista_CUIT[#All],2,0)),"CUIT NO CARGADO")</f>
        <v>-</v>
      </c>
      <c r="H323" s="198">
        <v>4214.88</v>
      </c>
      <c r="I323" s="199">
        <f>ventas_b_mes2[[#This Row],[IMPORTE NETO]]*0.21</f>
        <v>885.12479999999994</v>
      </c>
      <c r="J323" s="200"/>
      <c r="K323" s="200"/>
      <c r="L323" s="200">
        <f>SUM(ventas_b_mes2[[#This Row],[IMPORTE NETO]:[EXENTO]])</f>
        <v>5100.0047999999997</v>
      </c>
      <c r="M323" s="63"/>
    </row>
    <row r="324" spans="2:13" x14ac:dyDescent="0.25">
      <c r="B324" s="193">
        <v>44966</v>
      </c>
      <c r="C324" s="41">
        <v>6</v>
      </c>
      <c r="D324" s="194">
        <v>5</v>
      </c>
      <c r="E324" s="195">
        <v>7337</v>
      </c>
      <c r="F324" s="196"/>
      <c r="G324" s="197" t="str">
        <f>IFERROR(IF(ventas_b_mes2[[#This Row],[CUIT]]="","-",VLOOKUP(ventas_b_mes2[[#This Row],[CUIT]],Lista_CUIT[#All],2,0)),"CUIT NO CARGADO")</f>
        <v>-</v>
      </c>
      <c r="H324" s="198">
        <v>5950.41</v>
      </c>
      <c r="I324" s="199">
        <f>ventas_b_mes2[[#This Row],[IMPORTE NETO]]*0.21</f>
        <v>1249.5861</v>
      </c>
      <c r="J324" s="200"/>
      <c r="K324" s="200"/>
      <c r="L324" s="200">
        <f>SUM(ventas_b_mes2[[#This Row],[IMPORTE NETO]:[EXENTO]])</f>
        <v>7199.9961000000003</v>
      </c>
      <c r="M324" s="63"/>
    </row>
    <row r="325" spans="2:13" x14ac:dyDescent="0.25">
      <c r="B325" s="193">
        <v>44966</v>
      </c>
      <c r="C325" s="41">
        <v>6</v>
      </c>
      <c r="D325" s="194">
        <v>7</v>
      </c>
      <c r="E325" s="195">
        <v>4102</v>
      </c>
      <c r="F325" s="196"/>
      <c r="G325" s="197" t="str">
        <f>IFERROR(IF(ventas_b_mes2[[#This Row],[CUIT]]="","-",VLOOKUP(ventas_b_mes2[[#This Row],[CUIT]],Lista_CUIT[#All],2,0)),"CUIT NO CARGADO")</f>
        <v>-</v>
      </c>
      <c r="H325" s="198">
        <v>6198.35</v>
      </c>
      <c r="I325" s="199">
        <f>ventas_b_mes2[[#This Row],[IMPORTE NETO]]*0.21</f>
        <v>1301.6535000000001</v>
      </c>
      <c r="J325" s="200"/>
      <c r="K325" s="200"/>
      <c r="L325" s="200">
        <f>SUM(ventas_b_mes2[[#This Row],[IMPORTE NETO]:[EXENTO]])</f>
        <v>7500.0035000000007</v>
      </c>
      <c r="M325" s="63"/>
    </row>
    <row r="326" spans="2:13" x14ac:dyDescent="0.25">
      <c r="B326" s="186">
        <v>44966</v>
      </c>
      <c r="C326" s="41">
        <v>6</v>
      </c>
      <c r="D326" s="188">
        <v>5</v>
      </c>
      <c r="E326" s="189">
        <v>7335</v>
      </c>
      <c r="F326" s="190"/>
      <c r="G326" s="1" t="str">
        <f>IFERROR(IF(ventas_b_mes2[[#This Row],[CUIT]]="","-",VLOOKUP(ventas_b_mes2[[#This Row],[CUIT]],Lista_CUIT[#All],2,0)),"CUIT NO CARGADO")</f>
        <v>-</v>
      </c>
      <c r="H326" s="64">
        <v>2933.88</v>
      </c>
      <c r="I326" s="191">
        <f>ventas_b_mes2[[#This Row],[IMPORTE NETO]]*0.21</f>
        <v>616.11479999999995</v>
      </c>
      <c r="J326" s="192"/>
      <c r="K326" s="192"/>
      <c r="L326" s="192">
        <f>SUM(ventas_b_mes2[[#This Row],[IMPORTE NETO]:[EXENTO]])</f>
        <v>3549.9947999999999</v>
      </c>
      <c r="M326" s="59"/>
    </row>
    <row r="327" spans="2:13" x14ac:dyDescent="0.25">
      <c r="B327" s="186">
        <v>44966</v>
      </c>
      <c r="C327" s="41">
        <v>6</v>
      </c>
      <c r="D327" s="188">
        <v>5</v>
      </c>
      <c r="E327" s="189">
        <v>7327</v>
      </c>
      <c r="F327" s="190"/>
      <c r="G327" s="1" t="str">
        <f>IFERROR(IF(ventas_b_mes2[[#This Row],[CUIT]]="","-",VLOOKUP(ventas_b_mes2[[#This Row],[CUIT]],Lista_CUIT[#All],2,0)),"CUIT NO CARGADO")</f>
        <v>-</v>
      </c>
      <c r="H327" s="64">
        <v>19008.259999999998</v>
      </c>
      <c r="I327" s="191">
        <f>ventas_b_mes2[[#This Row],[IMPORTE NETO]]*0.21</f>
        <v>3991.7345999999993</v>
      </c>
      <c r="J327" s="192"/>
      <c r="K327" s="192"/>
      <c r="L327" s="192">
        <f>SUM(ventas_b_mes2[[#This Row],[IMPORTE NETO]:[EXENTO]])</f>
        <v>22999.994599999998</v>
      </c>
      <c r="M327" s="59"/>
    </row>
    <row r="328" spans="2:13" x14ac:dyDescent="0.25">
      <c r="B328" s="186">
        <v>44966</v>
      </c>
      <c r="C328" s="41">
        <v>6</v>
      </c>
      <c r="D328" s="188">
        <v>7</v>
      </c>
      <c r="E328" s="189">
        <v>4105</v>
      </c>
      <c r="F328" s="190"/>
      <c r="G328" s="1" t="str">
        <f>IFERROR(IF(ventas_b_mes2[[#This Row],[CUIT]]="","-",VLOOKUP(ventas_b_mes2[[#This Row],[CUIT]],Lista_CUIT[#All],2,0)),"CUIT NO CARGADO")</f>
        <v>-</v>
      </c>
      <c r="H328" s="64">
        <v>19834.71</v>
      </c>
      <c r="I328" s="191">
        <f>ventas_b_mes2[[#This Row],[IMPORTE NETO]]*0.21</f>
        <v>4165.2891</v>
      </c>
      <c r="J328" s="192"/>
      <c r="K328" s="192"/>
      <c r="L328" s="192">
        <f>SUM(ventas_b_mes2[[#This Row],[IMPORTE NETO]:[EXENTO]])</f>
        <v>23999.999100000001</v>
      </c>
      <c r="M328" s="59"/>
    </row>
    <row r="329" spans="2:13" x14ac:dyDescent="0.25">
      <c r="B329" s="186">
        <v>44966</v>
      </c>
      <c r="C329" s="41">
        <v>6</v>
      </c>
      <c r="D329" s="188">
        <v>7</v>
      </c>
      <c r="E329" s="189">
        <v>4110</v>
      </c>
      <c r="F329" s="190"/>
      <c r="G329" s="1" t="str">
        <f>IFERROR(IF(ventas_b_mes2[[#This Row],[CUIT]]="","-",VLOOKUP(ventas_b_mes2[[#This Row],[CUIT]],Lista_CUIT[#All],2,0)),"CUIT NO CARGADO")</f>
        <v>-</v>
      </c>
      <c r="H329" s="64">
        <v>4876.04</v>
      </c>
      <c r="I329" s="191">
        <f>ventas_b_mes2[[#This Row],[IMPORTE NETO]]*0.21</f>
        <v>1023.9684</v>
      </c>
      <c r="J329" s="192"/>
      <c r="K329" s="192"/>
      <c r="L329" s="192">
        <f>SUM(ventas_b_mes2[[#This Row],[IMPORTE NETO]:[EXENTO]])</f>
        <v>5900.0083999999997</v>
      </c>
      <c r="M329" s="59"/>
    </row>
    <row r="330" spans="2:13" x14ac:dyDescent="0.25">
      <c r="B330" s="186">
        <v>44966</v>
      </c>
      <c r="C330" s="41">
        <v>6</v>
      </c>
      <c r="D330" s="188">
        <v>7</v>
      </c>
      <c r="E330" s="189">
        <v>4109</v>
      </c>
      <c r="F330" s="190"/>
      <c r="G330" s="1" t="str">
        <f>IFERROR(IF(ventas_b_mes2[[#This Row],[CUIT]]="","-",VLOOKUP(ventas_b_mes2[[#This Row],[CUIT]],Lista_CUIT[#All],2,0)),"CUIT NO CARGADO")</f>
        <v>-</v>
      </c>
      <c r="H330" s="64">
        <v>1884.3</v>
      </c>
      <c r="I330" s="191">
        <f>ventas_b_mes2[[#This Row],[IMPORTE NETO]]*0.21</f>
        <v>395.70299999999997</v>
      </c>
      <c r="J330" s="192"/>
      <c r="K330" s="192"/>
      <c r="L330" s="192">
        <f>SUM(ventas_b_mes2[[#This Row],[IMPORTE NETO]:[EXENTO]])</f>
        <v>2280.0029999999997</v>
      </c>
      <c r="M330" s="59"/>
    </row>
    <row r="331" spans="2:13" x14ac:dyDescent="0.25">
      <c r="B331" s="186">
        <v>44966</v>
      </c>
      <c r="C331" s="41">
        <v>6</v>
      </c>
      <c r="D331" s="188">
        <v>7</v>
      </c>
      <c r="E331" s="189">
        <v>4104</v>
      </c>
      <c r="F331" s="190"/>
      <c r="G331" s="1" t="str">
        <f>IFERROR(IF(ventas_b_mes2[[#This Row],[CUIT]]="","-",VLOOKUP(ventas_b_mes2[[#This Row],[CUIT]],Lista_CUIT[#All],2,0)),"CUIT NO CARGADO")</f>
        <v>-</v>
      </c>
      <c r="H331" s="64">
        <v>5206.6099999999997</v>
      </c>
      <c r="I331" s="191">
        <f>ventas_b_mes2[[#This Row],[IMPORTE NETO]]*0.21</f>
        <v>1093.3880999999999</v>
      </c>
      <c r="J331" s="192"/>
      <c r="K331" s="192"/>
      <c r="L331" s="192">
        <f>SUM(ventas_b_mes2[[#This Row],[IMPORTE NETO]:[EXENTO]])</f>
        <v>6299.9980999999998</v>
      </c>
      <c r="M331" s="59"/>
    </row>
    <row r="332" spans="2:13" x14ac:dyDescent="0.25">
      <c r="B332" s="186">
        <v>44966</v>
      </c>
      <c r="C332" s="41">
        <v>6</v>
      </c>
      <c r="D332" s="188">
        <v>7</v>
      </c>
      <c r="E332" s="189">
        <v>4107</v>
      </c>
      <c r="F332" s="190"/>
      <c r="G332" s="1" t="str">
        <f>IFERROR(IF(ventas_b_mes2[[#This Row],[CUIT]]="","-",VLOOKUP(ventas_b_mes2[[#This Row],[CUIT]],Lista_CUIT[#All],2,0)),"CUIT NO CARGADO")</f>
        <v>-</v>
      </c>
      <c r="H332" s="64">
        <v>6198.34</v>
      </c>
      <c r="I332" s="191">
        <f>ventas_b_mes2[[#This Row],[IMPORTE NETO]]*0.21</f>
        <v>1301.6514</v>
      </c>
      <c r="J332" s="192"/>
      <c r="K332" s="192"/>
      <c r="L332" s="192">
        <f>SUM(ventas_b_mes2[[#This Row],[IMPORTE NETO]:[EXENTO]])</f>
        <v>7499.9913999999999</v>
      </c>
      <c r="M332" s="59"/>
    </row>
    <row r="333" spans="2:13" x14ac:dyDescent="0.25">
      <c r="B333" s="186">
        <v>44966</v>
      </c>
      <c r="C333" s="41">
        <v>6</v>
      </c>
      <c r="D333" s="188">
        <v>5</v>
      </c>
      <c r="E333" s="189">
        <v>7334</v>
      </c>
      <c r="F333" s="190"/>
      <c r="G333" s="1" t="str">
        <f>IFERROR(IF(ventas_b_mes2[[#This Row],[CUIT]]="","-",VLOOKUP(ventas_b_mes2[[#This Row],[CUIT]],Lista_CUIT[#All],2,0)),"CUIT NO CARGADO")</f>
        <v>-</v>
      </c>
      <c r="H333" s="64">
        <v>1280.99</v>
      </c>
      <c r="I333" s="191">
        <f>ventas_b_mes2[[#This Row],[IMPORTE NETO]]*0.21</f>
        <v>269.00790000000001</v>
      </c>
      <c r="J333" s="192"/>
      <c r="K333" s="192"/>
      <c r="L333" s="192">
        <f>SUM(ventas_b_mes2[[#This Row],[IMPORTE NETO]:[EXENTO]])</f>
        <v>1549.9979000000001</v>
      </c>
      <c r="M333" s="59"/>
    </row>
    <row r="334" spans="2:13" x14ac:dyDescent="0.25">
      <c r="B334" s="186">
        <v>44966</v>
      </c>
      <c r="C334" s="41">
        <v>6</v>
      </c>
      <c r="D334" s="188">
        <v>7</v>
      </c>
      <c r="E334" s="189">
        <v>4103</v>
      </c>
      <c r="F334" s="190"/>
      <c r="G334" s="1" t="str">
        <f>IFERROR(IF(ventas_b_mes2[[#This Row],[CUIT]]="","-",VLOOKUP(ventas_b_mes2[[#This Row],[CUIT]],Lista_CUIT[#All],2,0)),"CUIT NO CARGADO")</f>
        <v>-</v>
      </c>
      <c r="H334" s="64">
        <v>2561.98</v>
      </c>
      <c r="I334" s="191">
        <f>ventas_b_mes2[[#This Row],[IMPORTE NETO]]*0.21</f>
        <v>538.01580000000001</v>
      </c>
      <c r="J334" s="192"/>
      <c r="K334" s="192"/>
      <c r="L334" s="192">
        <f>SUM(ventas_b_mes2[[#This Row],[IMPORTE NETO]:[EXENTO]])</f>
        <v>3099.9958000000001</v>
      </c>
      <c r="M334" s="59"/>
    </row>
    <row r="335" spans="2:13" x14ac:dyDescent="0.25">
      <c r="B335" s="186">
        <v>44966</v>
      </c>
      <c r="C335" s="41">
        <v>6</v>
      </c>
      <c r="D335" s="188">
        <v>5</v>
      </c>
      <c r="E335" s="189">
        <v>7328</v>
      </c>
      <c r="F335" s="190"/>
      <c r="G335" s="1" t="str">
        <f>IFERROR(IF(ventas_b_mes2[[#This Row],[CUIT]]="","-",VLOOKUP(ventas_b_mes2[[#This Row],[CUIT]],Lista_CUIT[#All],2,0)),"CUIT NO CARGADO")</f>
        <v>-</v>
      </c>
      <c r="H335" s="64">
        <v>6611.57</v>
      </c>
      <c r="I335" s="191">
        <f>ventas_b_mes2[[#This Row],[IMPORTE NETO]]*0.21</f>
        <v>1388.4296999999999</v>
      </c>
      <c r="J335" s="192"/>
      <c r="K335" s="192"/>
      <c r="L335" s="192">
        <f>SUM(ventas_b_mes2[[#This Row],[IMPORTE NETO]:[EXENTO]])</f>
        <v>7999.9996999999994</v>
      </c>
      <c r="M335" s="59"/>
    </row>
    <row r="336" spans="2:13" x14ac:dyDescent="0.25">
      <c r="B336" s="186">
        <v>44966</v>
      </c>
      <c r="C336" s="41">
        <v>6</v>
      </c>
      <c r="D336" s="188">
        <v>5</v>
      </c>
      <c r="E336" s="189">
        <v>7336</v>
      </c>
      <c r="F336" s="190"/>
      <c r="G336" s="1" t="str">
        <f>IFERROR(IF(ventas_b_mes2[[#This Row],[CUIT]]="","-",VLOOKUP(ventas_b_mes2[[#This Row],[CUIT]],Lista_CUIT[#All],2,0)),"CUIT NO CARGADO")</f>
        <v>-</v>
      </c>
      <c r="H336" s="64">
        <v>4214.88</v>
      </c>
      <c r="I336" s="191">
        <f>ventas_b_mes2[[#This Row],[IMPORTE NETO]]*0.21</f>
        <v>885.12479999999994</v>
      </c>
      <c r="J336" s="192"/>
      <c r="K336" s="192"/>
      <c r="L336" s="192">
        <f>SUM(ventas_b_mes2[[#This Row],[IMPORTE NETO]:[EXENTO]])</f>
        <v>5100.0047999999997</v>
      </c>
      <c r="M336" s="59"/>
    </row>
    <row r="337" spans="2:13" x14ac:dyDescent="0.25">
      <c r="B337" s="186">
        <v>44966</v>
      </c>
      <c r="C337" s="41">
        <v>6</v>
      </c>
      <c r="D337" s="188">
        <v>5</v>
      </c>
      <c r="E337" s="189">
        <v>7331</v>
      </c>
      <c r="F337" s="190"/>
      <c r="G337" s="1" t="str">
        <f>IFERROR(IF(ventas_b_mes2[[#This Row],[CUIT]]="","-",VLOOKUP(ventas_b_mes2[[#This Row],[CUIT]],Lista_CUIT[#All],2,0)),"CUIT NO CARGADO")</f>
        <v>-</v>
      </c>
      <c r="H337" s="64">
        <v>4214.88</v>
      </c>
      <c r="I337" s="191">
        <f>ventas_b_mes2[[#This Row],[IMPORTE NETO]]*0.21</f>
        <v>885.12479999999994</v>
      </c>
      <c r="J337" s="192"/>
      <c r="K337" s="192"/>
      <c r="L337" s="192">
        <f>SUM(ventas_b_mes2[[#This Row],[IMPORTE NETO]:[EXENTO]])</f>
        <v>5100.0047999999997</v>
      </c>
      <c r="M337" s="59"/>
    </row>
    <row r="338" spans="2:13" x14ac:dyDescent="0.25">
      <c r="B338" s="186">
        <v>44966</v>
      </c>
      <c r="C338" s="41">
        <v>6</v>
      </c>
      <c r="D338" s="188">
        <v>7</v>
      </c>
      <c r="E338" s="189">
        <v>4108</v>
      </c>
      <c r="F338" s="190"/>
      <c r="G338" s="1" t="str">
        <f>IFERROR(IF(ventas_b_mes2[[#This Row],[CUIT]]="","-",VLOOKUP(ventas_b_mes2[[#This Row],[CUIT]],Lista_CUIT[#All],2,0)),"CUIT NO CARGADO")</f>
        <v>-</v>
      </c>
      <c r="H338" s="64">
        <v>4333.88</v>
      </c>
      <c r="I338" s="191">
        <f>ventas_b_mes2[[#This Row],[IMPORTE NETO]]*0.21</f>
        <v>910.11479999999995</v>
      </c>
      <c r="J338" s="192"/>
      <c r="K338" s="192"/>
      <c r="L338" s="192">
        <f>SUM(ventas_b_mes2[[#This Row],[IMPORTE NETO]:[EXENTO]])</f>
        <v>5243.9948000000004</v>
      </c>
      <c r="M338" s="59"/>
    </row>
    <row r="339" spans="2:13" x14ac:dyDescent="0.25">
      <c r="B339" s="186">
        <v>44966</v>
      </c>
      <c r="C339" s="41">
        <v>6</v>
      </c>
      <c r="D339" s="188">
        <v>5</v>
      </c>
      <c r="E339" s="189">
        <v>7330</v>
      </c>
      <c r="F339" s="190"/>
      <c r="G339" s="1" t="str">
        <f>IFERROR(IF(ventas_b_mes2[[#This Row],[CUIT]]="","-",VLOOKUP(ventas_b_mes2[[#This Row],[CUIT]],Lista_CUIT[#All],2,0)),"CUIT NO CARGADO")</f>
        <v>-</v>
      </c>
      <c r="H339" s="64">
        <v>7190.08</v>
      </c>
      <c r="I339" s="191">
        <f>ventas_b_mes2[[#This Row],[IMPORTE NETO]]*0.21</f>
        <v>1509.9168</v>
      </c>
      <c r="J339" s="192"/>
      <c r="K339" s="192"/>
      <c r="L339" s="192">
        <f>SUM(ventas_b_mes2[[#This Row],[IMPORTE NETO]:[EXENTO]])</f>
        <v>8699.9968000000008</v>
      </c>
      <c r="M339" s="59"/>
    </row>
    <row r="340" spans="2:13" x14ac:dyDescent="0.25">
      <c r="B340" s="186">
        <v>44966</v>
      </c>
      <c r="C340" s="41">
        <v>6</v>
      </c>
      <c r="D340" s="188">
        <v>5</v>
      </c>
      <c r="E340" s="189">
        <v>7333</v>
      </c>
      <c r="F340" s="190"/>
      <c r="G340" s="1" t="str">
        <f>IFERROR(IF(ventas_b_mes2[[#This Row],[CUIT]]="","-",VLOOKUP(ventas_b_mes2[[#This Row],[CUIT]],Lista_CUIT[#All],2,0)),"CUIT NO CARGADO")</f>
        <v>-</v>
      </c>
      <c r="H340" s="64">
        <v>6198.35</v>
      </c>
      <c r="I340" s="191">
        <f>ventas_b_mes2[[#This Row],[IMPORTE NETO]]*0.21</f>
        <v>1301.6535000000001</v>
      </c>
      <c r="J340" s="192"/>
      <c r="K340" s="192"/>
      <c r="L340" s="192">
        <f>SUM(ventas_b_mes2[[#This Row],[IMPORTE NETO]:[EXENTO]])</f>
        <v>7500.0035000000007</v>
      </c>
      <c r="M340" s="59"/>
    </row>
    <row r="341" spans="2:13" x14ac:dyDescent="0.25">
      <c r="B341" s="186">
        <v>44966</v>
      </c>
      <c r="C341" s="41">
        <v>6</v>
      </c>
      <c r="D341" s="188">
        <v>7</v>
      </c>
      <c r="E341" s="189">
        <v>4111</v>
      </c>
      <c r="F341" s="190"/>
      <c r="G341" s="1" t="str">
        <f>IFERROR(IF(ventas_b_mes2[[#This Row],[CUIT]]="","-",VLOOKUP(ventas_b_mes2[[#This Row],[CUIT]],Lista_CUIT[#All],2,0)),"CUIT NO CARGADO")</f>
        <v>-</v>
      </c>
      <c r="H341" s="64">
        <v>2644.63</v>
      </c>
      <c r="I341" s="191">
        <f>ventas_b_mes2[[#This Row],[IMPORTE NETO]]*0.21</f>
        <v>555.3723</v>
      </c>
      <c r="J341" s="192"/>
      <c r="K341" s="192"/>
      <c r="L341" s="192">
        <f>SUM(ventas_b_mes2[[#This Row],[IMPORTE NETO]:[EXENTO]])</f>
        <v>3200.0023000000001</v>
      </c>
      <c r="M341" s="59"/>
    </row>
    <row r="342" spans="2:13" x14ac:dyDescent="0.25">
      <c r="B342" s="186">
        <v>44966</v>
      </c>
      <c r="C342" s="41">
        <v>6</v>
      </c>
      <c r="D342" s="188">
        <v>7</v>
      </c>
      <c r="E342" s="189">
        <v>4106</v>
      </c>
      <c r="F342" s="190"/>
      <c r="G342" s="1" t="str">
        <f>IFERROR(IF(ventas_b_mes2[[#This Row],[CUIT]]="","-",VLOOKUP(ventas_b_mes2[[#This Row],[CUIT]],Lista_CUIT[#All],2,0)),"CUIT NO CARGADO")</f>
        <v>-</v>
      </c>
      <c r="H342" s="64">
        <v>7685.95</v>
      </c>
      <c r="I342" s="191">
        <f>ventas_b_mes2[[#This Row],[IMPORTE NETO]]*0.21</f>
        <v>1614.0494999999999</v>
      </c>
      <c r="J342" s="192"/>
      <c r="K342" s="192"/>
      <c r="L342" s="192">
        <f>SUM(ventas_b_mes2[[#This Row],[IMPORTE NETO]:[EXENTO]])</f>
        <v>9299.9994999999999</v>
      </c>
      <c r="M342" s="59"/>
    </row>
    <row r="343" spans="2:13" x14ac:dyDescent="0.25">
      <c r="B343" s="186">
        <v>44967</v>
      </c>
      <c r="C343" s="41">
        <v>6</v>
      </c>
      <c r="D343" s="188">
        <v>7</v>
      </c>
      <c r="E343" s="189">
        <v>4113</v>
      </c>
      <c r="F343" s="190"/>
      <c r="G343" s="1" t="str">
        <f>IFERROR(IF(ventas_b_mes2[[#This Row],[CUIT]]="","-",VLOOKUP(ventas_b_mes2[[#This Row],[CUIT]],Lista_CUIT[#All],2,0)),"CUIT NO CARGADO")</f>
        <v>-</v>
      </c>
      <c r="H343" s="64">
        <v>4876.03</v>
      </c>
      <c r="I343" s="191">
        <f>ventas_b_mes2[[#This Row],[IMPORTE NETO]]*0.21</f>
        <v>1023.9662999999999</v>
      </c>
      <c r="J343" s="192"/>
      <c r="K343" s="192"/>
      <c r="L343" s="192">
        <f>SUM(ventas_b_mes2[[#This Row],[IMPORTE NETO]:[EXENTO]])</f>
        <v>5899.9962999999998</v>
      </c>
      <c r="M343" s="59"/>
    </row>
    <row r="344" spans="2:13" x14ac:dyDescent="0.25">
      <c r="B344" s="186">
        <v>44967</v>
      </c>
      <c r="C344" s="41">
        <v>6</v>
      </c>
      <c r="D344" s="188">
        <v>5</v>
      </c>
      <c r="E344" s="189">
        <v>7343</v>
      </c>
      <c r="F344" s="190"/>
      <c r="G344" s="1" t="str">
        <f>IFERROR(IF(ventas_b_mes2[[#This Row],[CUIT]]="","-",VLOOKUP(ventas_b_mes2[[#This Row],[CUIT]],Lista_CUIT[#All],2,0)),"CUIT NO CARGADO")</f>
        <v>-</v>
      </c>
      <c r="H344" s="64">
        <v>5537.19</v>
      </c>
      <c r="I344" s="191">
        <f>ventas_b_mes2[[#This Row],[IMPORTE NETO]]*0.21</f>
        <v>1162.8099</v>
      </c>
      <c r="J344" s="192"/>
      <c r="K344" s="192"/>
      <c r="L344" s="192">
        <f>SUM(ventas_b_mes2[[#This Row],[IMPORTE NETO]:[EXENTO]])</f>
        <v>6699.9998999999998</v>
      </c>
      <c r="M344" s="59"/>
    </row>
    <row r="345" spans="2:13" x14ac:dyDescent="0.25">
      <c r="B345" s="186">
        <v>44967</v>
      </c>
      <c r="C345" s="41">
        <v>6</v>
      </c>
      <c r="D345" s="188">
        <v>5</v>
      </c>
      <c r="E345" s="189">
        <v>7339</v>
      </c>
      <c r="F345" s="190"/>
      <c r="G345" s="1" t="str">
        <f>IFERROR(IF(ventas_b_mes2[[#This Row],[CUIT]]="","-",VLOOKUP(ventas_b_mes2[[#This Row],[CUIT]],Lista_CUIT[#All],2,0)),"CUIT NO CARGADO")</f>
        <v>-</v>
      </c>
      <c r="H345" s="64">
        <v>7727.27</v>
      </c>
      <c r="I345" s="191">
        <f>ventas_b_mes2[[#This Row],[IMPORTE NETO]]*0.21</f>
        <v>1622.7266999999999</v>
      </c>
      <c r="J345" s="192"/>
      <c r="K345" s="192"/>
      <c r="L345" s="192">
        <f>SUM(ventas_b_mes2[[#This Row],[IMPORTE NETO]:[EXENTO]])</f>
        <v>9349.9966999999997</v>
      </c>
      <c r="M345" s="59"/>
    </row>
    <row r="346" spans="2:13" x14ac:dyDescent="0.25">
      <c r="B346" s="186">
        <v>44967</v>
      </c>
      <c r="C346" s="41">
        <v>6</v>
      </c>
      <c r="D346" s="188">
        <v>5</v>
      </c>
      <c r="E346" s="189">
        <v>7341</v>
      </c>
      <c r="F346" s="190"/>
      <c r="G346" s="1" t="str">
        <f>IFERROR(IF(ventas_b_mes2[[#This Row],[CUIT]]="","-",VLOOKUP(ventas_b_mes2[[#This Row],[CUIT]],Lista_CUIT[#All],2,0)),"CUIT NO CARGADO")</f>
        <v>-</v>
      </c>
      <c r="H346" s="64">
        <v>5165.29</v>
      </c>
      <c r="I346" s="191">
        <f>ventas_b_mes2[[#This Row],[IMPORTE NETO]]*0.21</f>
        <v>1084.7109</v>
      </c>
      <c r="J346" s="192"/>
      <c r="K346" s="192"/>
      <c r="L346" s="192">
        <f>SUM(ventas_b_mes2[[#This Row],[IMPORTE NETO]:[EXENTO]])</f>
        <v>6250.0009</v>
      </c>
      <c r="M346" s="59"/>
    </row>
    <row r="347" spans="2:13" x14ac:dyDescent="0.25">
      <c r="B347" s="186">
        <v>44967</v>
      </c>
      <c r="C347" s="41">
        <v>6</v>
      </c>
      <c r="D347" s="188">
        <v>5</v>
      </c>
      <c r="E347" s="189">
        <v>7338</v>
      </c>
      <c r="F347" s="190"/>
      <c r="G347" s="1" t="str">
        <f>IFERROR(IF(ventas_b_mes2[[#This Row],[CUIT]]="","-",VLOOKUP(ventas_b_mes2[[#This Row],[CUIT]],Lista_CUIT[#All],2,0)),"CUIT NO CARGADO")</f>
        <v>-</v>
      </c>
      <c r="H347" s="64">
        <v>3471.07</v>
      </c>
      <c r="I347" s="191">
        <f>ventas_b_mes2[[#This Row],[IMPORTE NETO]]*0.21</f>
        <v>728.92470000000003</v>
      </c>
      <c r="J347" s="192"/>
      <c r="K347" s="192"/>
      <c r="L347" s="192">
        <f>SUM(ventas_b_mes2[[#This Row],[IMPORTE NETO]:[EXENTO]])</f>
        <v>4199.9947000000002</v>
      </c>
      <c r="M347" s="59"/>
    </row>
    <row r="348" spans="2:13" x14ac:dyDescent="0.25">
      <c r="B348" s="186">
        <v>44967</v>
      </c>
      <c r="C348" s="41">
        <v>6</v>
      </c>
      <c r="D348" s="188">
        <v>7</v>
      </c>
      <c r="E348" s="189">
        <v>4114</v>
      </c>
      <c r="F348" s="190"/>
      <c r="G348" s="1" t="str">
        <f>IFERROR(IF(ventas_b_mes2[[#This Row],[CUIT]]="","-",VLOOKUP(ventas_b_mes2[[#This Row],[CUIT]],Lista_CUIT[#All],2,0)),"CUIT NO CARGADO")</f>
        <v>-</v>
      </c>
      <c r="H348" s="64">
        <v>17107.439999999999</v>
      </c>
      <c r="I348" s="191">
        <f>ventas_b_mes2[[#This Row],[IMPORTE NETO]]*0.21</f>
        <v>3592.5623999999998</v>
      </c>
      <c r="J348" s="192"/>
      <c r="K348" s="192"/>
      <c r="L348" s="192">
        <f>SUM(ventas_b_mes2[[#This Row],[IMPORTE NETO]:[EXENTO]])</f>
        <v>20700.002399999998</v>
      </c>
      <c r="M348" s="59"/>
    </row>
    <row r="349" spans="2:13" x14ac:dyDescent="0.25">
      <c r="B349" s="186">
        <v>44967</v>
      </c>
      <c r="C349" s="41">
        <v>6</v>
      </c>
      <c r="D349" s="188">
        <v>5</v>
      </c>
      <c r="E349" s="189">
        <v>7340</v>
      </c>
      <c r="F349" s="190"/>
      <c r="G349" s="1" t="str">
        <f>IFERROR(IF(ventas_b_mes2[[#This Row],[CUIT]]="","-",VLOOKUP(ventas_b_mes2[[#This Row],[CUIT]],Lista_CUIT[#All],2,0)),"CUIT NO CARGADO")</f>
        <v>-</v>
      </c>
      <c r="H349" s="64">
        <v>9132.23</v>
      </c>
      <c r="I349" s="191">
        <f>ventas_b_mes2[[#This Row],[IMPORTE NETO]]*0.21</f>
        <v>1917.7682999999997</v>
      </c>
      <c r="J349" s="192"/>
      <c r="K349" s="192"/>
      <c r="L349" s="192">
        <f>SUM(ventas_b_mes2[[#This Row],[IMPORTE NETO]:[EXENTO]])</f>
        <v>11049.998299999999</v>
      </c>
      <c r="M349" s="59"/>
    </row>
    <row r="350" spans="2:13" x14ac:dyDescent="0.25">
      <c r="B350" s="186">
        <v>44967</v>
      </c>
      <c r="C350" s="41">
        <v>6</v>
      </c>
      <c r="D350" s="188">
        <v>5</v>
      </c>
      <c r="E350" s="189">
        <v>7342</v>
      </c>
      <c r="F350" s="190"/>
      <c r="G350" s="1" t="str">
        <f>IFERROR(IF(ventas_b_mes2[[#This Row],[CUIT]]="","-",VLOOKUP(ventas_b_mes2[[#This Row],[CUIT]],Lista_CUIT[#All],2,0)),"CUIT NO CARGADO")</f>
        <v>-</v>
      </c>
      <c r="H350" s="64">
        <v>8264.4599999999991</v>
      </c>
      <c r="I350" s="191">
        <f>ventas_b_mes2[[#This Row],[IMPORTE NETO]]*0.21</f>
        <v>1735.5365999999997</v>
      </c>
      <c r="J350" s="192"/>
      <c r="K350" s="192"/>
      <c r="L350" s="192">
        <f>SUM(ventas_b_mes2[[#This Row],[IMPORTE NETO]:[EXENTO]])</f>
        <v>9999.9965999999986</v>
      </c>
      <c r="M350" s="59"/>
    </row>
    <row r="351" spans="2:13" x14ac:dyDescent="0.25">
      <c r="B351" s="186">
        <v>44967</v>
      </c>
      <c r="C351" s="41">
        <v>6</v>
      </c>
      <c r="D351" s="188">
        <v>7</v>
      </c>
      <c r="E351" s="189">
        <v>4112</v>
      </c>
      <c r="F351" s="190"/>
      <c r="G351" s="1" t="str">
        <f>IFERROR(IF(ventas_b_mes2[[#This Row],[CUIT]]="","-",VLOOKUP(ventas_b_mes2[[#This Row],[CUIT]],Lista_CUIT[#All],2,0)),"CUIT NO CARGADO")</f>
        <v>-</v>
      </c>
      <c r="H351" s="64">
        <v>3471.07</v>
      </c>
      <c r="I351" s="191">
        <f>ventas_b_mes2[[#This Row],[IMPORTE NETO]]*0.21</f>
        <v>728.92470000000003</v>
      </c>
      <c r="J351" s="192"/>
      <c r="K351" s="192"/>
      <c r="L351" s="192">
        <f>SUM(ventas_b_mes2[[#This Row],[IMPORTE NETO]:[EXENTO]])</f>
        <v>4199.9947000000002</v>
      </c>
      <c r="M351" s="59"/>
    </row>
    <row r="352" spans="2:13" x14ac:dyDescent="0.25">
      <c r="B352" s="186">
        <v>44968</v>
      </c>
      <c r="C352" s="41">
        <v>6</v>
      </c>
      <c r="D352" s="188">
        <v>7</v>
      </c>
      <c r="E352" s="189">
        <v>4115</v>
      </c>
      <c r="F352" s="190"/>
      <c r="G352" s="1" t="str">
        <f>IFERROR(IF(ventas_b_mes2[[#This Row],[CUIT]]="","-",VLOOKUP(ventas_b_mes2[[#This Row],[CUIT]],Lista_CUIT[#All],2,0)),"CUIT NO CARGADO")</f>
        <v>-</v>
      </c>
      <c r="H352" s="64">
        <v>12396.69</v>
      </c>
      <c r="I352" s="191">
        <f>ventas_b_mes2[[#This Row],[IMPORTE NETO]]*0.21</f>
        <v>2603.3049000000001</v>
      </c>
      <c r="J352" s="192"/>
      <c r="K352" s="192"/>
      <c r="L352" s="192">
        <f>SUM(ventas_b_mes2[[#This Row],[IMPORTE NETO]:[EXENTO]])</f>
        <v>14999.994900000002</v>
      </c>
      <c r="M352" s="59"/>
    </row>
    <row r="353" spans="2:13" x14ac:dyDescent="0.25">
      <c r="B353" s="186">
        <v>44970</v>
      </c>
      <c r="C353" s="41">
        <v>6</v>
      </c>
      <c r="D353" s="188">
        <v>5</v>
      </c>
      <c r="E353" s="189">
        <v>7345</v>
      </c>
      <c r="F353" s="190"/>
      <c r="G353" s="1" t="str">
        <f>IFERROR(IF(ventas_b_mes2[[#This Row],[CUIT]]="","-",VLOOKUP(ventas_b_mes2[[#This Row],[CUIT]],Lista_CUIT[#All],2,0)),"CUIT NO CARGADO")</f>
        <v>-</v>
      </c>
      <c r="H353" s="64">
        <v>5247.93</v>
      </c>
      <c r="I353" s="191">
        <f>ventas_b_mes2[[#This Row],[IMPORTE NETO]]*0.21</f>
        <v>1102.0653</v>
      </c>
      <c r="J353" s="192"/>
      <c r="K353" s="192"/>
      <c r="L353" s="192">
        <f>SUM(ventas_b_mes2[[#This Row],[IMPORTE NETO]:[EXENTO]])</f>
        <v>6349.9953000000005</v>
      </c>
      <c r="M353" s="59"/>
    </row>
    <row r="354" spans="2:13" x14ac:dyDescent="0.25">
      <c r="B354" s="186">
        <v>44970</v>
      </c>
      <c r="C354" s="41">
        <v>6</v>
      </c>
      <c r="D354" s="188">
        <v>7</v>
      </c>
      <c r="E354" s="189">
        <v>4116</v>
      </c>
      <c r="F354" s="190"/>
      <c r="G354" s="1" t="str">
        <f>IFERROR(IF(ventas_b_mes2[[#This Row],[CUIT]]="","-",VLOOKUP(ventas_b_mes2[[#This Row],[CUIT]],Lista_CUIT[#All],2,0)),"CUIT NO CARGADO")</f>
        <v>-</v>
      </c>
      <c r="H354" s="64">
        <v>7438.02</v>
      </c>
      <c r="I354" s="191">
        <f>ventas_b_mes2[[#This Row],[IMPORTE NETO]]*0.21</f>
        <v>1561.9842000000001</v>
      </c>
      <c r="J354" s="192"/>
      <c r="K354" s="192"/>
      <c r="L354" s="192">
        <f>SUM(ventas_b_mes2[[#This Row],[IMPORTE NETO]:[EXENTO]])</f>
        <v>9000.0042000000012</v>
      </c>
      <c r="M354" s="59"/>
    </row>
    <row r="355" spans="2:13" x14ac:dyDescent="0.25">
      <c r="B355" s="186">
        <v>44970</v>
      </c>
      <c r="C355" s="41">
        <v>6</v>
      </c>
      <c r="D355" s="188">
        <v>5</v>
      </c>
      <c r="E355" s="189">
        <v>7344</v>
      </c>
      <c r="F355" s="190"/>
      <c r="G355" s="1" t="str">
        <f>IFERROR(IF(ventas_b_mes2[[#This Row],[CUIT]]="","-",VLOOKUP(ventas_b_mes2[[#This Row],[CUIT]],Lista_CUIT[#All],2,0)),"CUIT NO CARGADO")</f>
        <v>-</v>
      </c>
      <c r="H355" s="64">
        <v>4049.59</v>
      </c>
      <c r="I355" s="191">
        <f>ventas_b_mes2[[#This Row],[IMPORTE NETO]]*0.21</f>
        <v>850.41390000000001</v>
      </c>
      <c r="J355" s="192"/>
      <c r="K355" s="192"/>
      <c r="L355" s="192">
        <f>SUM(ventas_b_mes2[[#This Row],[IMPORTE NETO]:[EXENTO]])</f>
        <v>4900.0038999999997</v>
      </c>
      <c r="M355" s="59"/>
    </row>
    <row r="356" spans="2:13" x14ac:dyDescent="0.25">
      <c r="B356" s="186">
        <v>44970</v>
      </c>
      <c r="C356" s="41">
        <v>6</v>
      </c>
      <c r="D356" s="188">
        <v>5</v>
      </c>
      <c r="E356" s="189">
        <v>7346</v>
      </c>
      <c r="F356" s="190"/>
      <c r="G356" s="1" t="str">
        <f>IFERROR(IF(ventas_b_mes2[[#This Row],[CUIT]]="","-",VLOOKUP(ventas_b_mes2[[#This Row],[CUIT]],Lista_CUIT[#All],2,0)),"CUIT NO CARGADO")</f>
        <v>-</v>
      </c>
      <c r="H356" s="64">
        <v>7024.79</v>
      </c>
      <c r="I356" s="191">
        <f>ventas_b_mes2[[#This Row],[IMPORTE NETO]]*0.21</f>
        <v>1475.2058999999999</v>
      </c>
      <c r="J356" s="192"/>
      <c r="K356" s="192"/>
      <c r="L356" s="192">
        <f>SUM(ventas_b_mes2[[#This Row],[IMPORTE NETO]:[EXENTO]])</f>
        <v>8499.9958999999999</v>
      </c>
      <c r="M356" s="59"/>
    </row>
    <row r="357" spans="2:13" x14ac:dyDescent="0.25">
      <c r="B357" s="186">
        <v>44970</v>
      </c>
      <c r="C357" s="41">
        <v>6</v>
      </c>
      <c r="D357" s="188">
        <v>5</v>
      </c>
      <c r="E357" s="189">
        <v>7347</v>
      </c>
      <c r="F357" s="190"/>
      <c r="G357" s="1" t="str">
        <f>IFERROR(IF(ventas_b_mes2[[#This Row],[CUIT]]="","-",VLOOKUP(ventas_b_mes2[[#This Row],[CUIT]],Lista_CUIT[#All],2,0)),"CUIT NO CARGADO")</f>
        <v>-</v>
      </c>
      <c r="H357" s="64">
        <v>2561.98</v>
      </c>
      <c r="I357" s="191">
        <f>ventas_b_mes2[[#This Row],[IMPORTE NETO]]*0.21</f>
        <v>538.01580000000001</v>
      </c>
      <c r="J357" s="192"/>
      <c r="K357" s="192"/>
      <c r="L357" s="192">
        <f>SUM(ventas_b_mes2[[#This Row],[IMPORTE NETO]:[EXENTO]])</f>
        <v>3099.9958000000001</v>
      </c>
      <c r="M357" s="59"/>
    </row>
    <row r="358" spans="2:13" x14ac:dyDescent="0.25">
      <c r="B358" s="186">
        <v>44970</v>
      </c>
      <c r="C358" s="41">
        <v>6</v>
      </c>
      <c r="D358" s="188">
        <v>5</v>
      </c>
      <c r="E358" s="189">
        <v>7348</v>
      </c>
      <c r="F358" s="190"/>
      <c r="G358" s="1" t="str">
        <f>IFERROR(IF(ventas_b_mes2[[#This Row],[CUIT]]="","-",VLOOKUP(ventas_b_mes2[[#This Row],[CUIT]],Lista_CUIT[#All],2,0)),"CUIT NO CARGADO")</f>
        <v>-</v>
      </c>
      <c r="H358" s="64">
        <v>2148.7600000000002</v>
      </c>
      <c r="I358" s="191">
        <f>ventas_b_mes2[[#This Row],[IMPORTE NETO]]*0.21</f>
        <v>451.23960000000005</v>
      </c>
      <c r="J358" s="192"/>
      <c r="K358" s="192"/>
      <c r="L358" s="192">
        <f>SUM(ventas_b_mes2[[#This Row],[IMPORTE NETO]:[EXENTO]])</f>
        <v>2599.9996000000001</v>
      </c>
      <c r="M358" s="59"/>
    </row>
    <row r="359" spans="2:13" x14ac:dyDescent="0.25">
      <c r="B359" s="186">
        <v>44971</v>
      </c>
      <c r="C359" s="41">
        <v>6</v>
      </c>
      <c r="D359" s="188">
        <v>5</v>
      </c>
      <c r="E359" s="189">
        <v>7352</v>
      </c>
      <c r="F359" s="190"/>
      <c r="G359" s="1" t="str">
        <f>IFERROR(IF(ventas_b_mes2[[#This Row],[CUIT]]="","-",VLOOKUP(ventas_b_mes2[[#This Row],[CUIT]],Lista_CUIT[#All],2,0)),"CUIT NO CARGADO")</f>
        <v>-</v>
      </c>
      <c r="H359" s="64">
        <v>1322.31</v>
      </c>
      <c r="I359" s="191">
        <f>ventas_b_mes2[[#This Row],[IMPORTE NETO]]*0.21</f>
        <v>277.68509999999998</v>
      </c>
      <c r="J359" s="192"/>
      <c r="K359" s="192"/>
      <c r="L359" s="192">
        <f>SUM(ventas_b_mes2[[#This Row],[IMPORTE NETO]:[EXENTO]])</f>
        <v>1599.9950999999999</v>
      </c>
      <c r="M359" s="59"/>
    </row>
    <row r="360" spans="2:13" x14ac:dyDescent="0.25">
      <c r="B360" s="186">
        <v>44971</v>
      </c>
      <c r="C360" s="41">
        <v>6</v>
      </c>
      <c r="D360" s="188">
        <v>5</v>
      </c>
      <c r="E360" s="189">
        <v>7354</v>
      </c>
      <c r="F360" s="190"/>
      <c r="G360" s="1" t="str">
        <f>IFERROR(IF(ventas_b_mes2[[#This Row],[CUIT]]="","-",VLOOKUP(ventas_b_mes2[[#This Row],[CUIT]],Lista_CUIT[#All],2,0)),"CUIT NO CARGADO")</f>
        <v>-</v>
      </c>
      <c r="H360" s="64">
        <v>1280.99</v>
      </c>
      <c r="I360" s="191">
        <f>ventas_b_mes2[[#This Row],[IMPORTE NETO]]*0.21</f>
        <v>269.00790000000001</v>
      </c>
      <c r="J360" s="192"/>
      <c r="K360" s="192"/>
      <c r="L360" s="192">
        <f>SUM(ventas_b_mes2[[#This Row],[IMPORTE NETO]:[EXENTO]])</f>
        <v>1549.9979000000001</v>
      </c>
      <c r="M360" s="59"/>
    </row>
    <row r="361" spans="2:13" x14ac:dyDescent="0.25">
      <c r="B361" s="186">
        <v>44971</v>
      </c>
      <c r="C361" s="41">
        <v>6</v>
      </c>
      <c r="D361" s="188">
        <v>5</v>
      </c>
      <c r="E361" s="189">
        <v>7355</v>
      </c>
      <c r="F361" s="190"/>
      <c r="G361" s="1" t="str">
        <f>IFERROR(IF(ventas_b_mes2[[#This Row],[CUIT]]="","-",VLOOKUP(ventas_b_mes2[[#This Row],[CUIT]],Lista_CUIT[#All],2,0)),"CUIT NO CARGADO")</f>
        <v>-</v>
      </c>
      <c r="H361" s="64">
        <v>3553.72</v>
      </c>
      <c r="I361" s="191">
        <f>ventas_b_mes2[[#This Row],[IMPORTE NETO]]*0.21</f>
        <v>746.2811999999999</v>
      </c>
      <c r="J361" s="192"/>
      <c r="K361" s="192"/>
      <c r="L361" s="192">
        <f>SUM(ventas_b_mes2[[#This Row],[IMPORTE NETO]:[EXENTO]])</f>
        <v>4300.0011999999997</v>
      </c>
      <c r="M361" s="59"/>
    </row>
    <row r="362" spans="2:13" x14ac:dyDescent="0.25">
      <c r="B362" s="186">
        <v>44971</v>
      </c>
      <c r="C362" s="41">
        <v>6</v>
      </c>
      <c r="D362" s="188">
        <v>5</v>
      </c>
      <c r="E362" s="189">
        <v>7356</v>
      </c>
      <c r="F362" s="190"/>
      <c r="G362" s="1" t="str">
        <f>IFERROR(IF(ventas_b_mes2[[#This Row],[CUIT]]="","-",VLOOKUP(ventas_b_mes2[[#This Row],[CUIT]],Lista_CUIT[#All],2,0)),"CUIT NO CARGADO")</f>
        <v>-</v>
      </c>
      <c r="H362" s="64">
        <v>3347.11</v>
      </c>
      <c r="I362" s="191">
        <f>ventas_b_mes2[[#This Row],[IMPORTE NETO]]*0.21</f>
        <v>702.8931</v>
      </c>
      <c r="J362" s="192"/>
      <c r="K362" s="192"/>
      <c r="L362" s="192">
        <f>SUM(ventas_b_mes2[[#This Row],[IMPORTE NETO]:[EXENTO]])</f>
        <v>4050.0030999999999</v>
      </c>
      <c r="M362" s="59"/>
    </row>
    <row r="363" spans="2:13" x14ac:dyDescent="0.25">
      <c r="B363" s="186">
        <v>44971</v>
      </c>
      <c r="C363" s="41">
        <v>6</v>
      </c>
      <c r="D363" s="188">
        <v>5</v>
      </c>
      <c r="E363" s="189">
        <v>7349</v>
      </c>
      <c r="F363" s="190"/>
      <c r="G363" s="1" t="str">
        <f>IFERROR(IF(ventas_b_mes2[[#This Row],[CUIT]]="","-",VLOOKUP(ventas_b_mes2[[#This Row],[CUIT]],Lista_CUIT[#All],2,0)),"CUIT NO CARGADO")</f>
        <v>-</v>
      </c>
      <c r="H363" s="64">
        <v>2644.63</v>
      </c>
      <c r="I363" s="191">
        <f>ventas_b_mes2[[#This Row],[IMPORTE NETO]]*0.21</f>
        <v>555.3723</v>
      </c>
      <c r="J363" s="192"/>
      <c r="K363" s="192"/>
      <c r="L363" s="192">
        <f>SUM(ventas_b_mes2[[#This Row],[IMPORTE NETO]:[EXENTO]])</f>
        <v>3200.0023000000001</v>
      </c>
      <c r="M363" s="59"/>
    </row>
    <row r="364" spans="2:13" x14ac:dyDescent="0.25">
      <c r="B364" s="186">
        <v>44971</v>
      </c>
      <c r="C364" s="41">
        <v>6</v>
      </c>
      <c r="D364" s="188">
        <v>5</v>
      </c>
      <c r="E364" s="189">
        <v>7353</v>
      </c>
      <c r="F364" s="190"/>
      <c r="G364" s="1" t="str">
        <f>IFERROR(IF(ventas_b_mes2[[#This Row],[CUIT]]="","-",VLOOKUP(ventas_b_mes2[[#This Row],[CUIT]],Lista_CUIT[#All],2,0)),"CUIT NO CARGADO")</f>
        <v>-</v>
      </c>
      <c r="H364" s="64">
        <v>2231.41</v>
      </c>
      <c r="I364" s="191">
        <f>ventas_b_mes2[[#This Row],[IMPORTE NETO]]*0.21</f>
        <v>468.59609999999998</v>
      </c>
      <c r="J364" s="192"/>
      <c r="K364" s="192"/>
      <c r="L364" s="192">
        <f>SUM(ventas_b_mes2[[#This Row],[IMPORTE NETO]:[EXENTO]])</f>
        <v>2700.0060999999996</v>
      </c>
      <c r="M364" s="59"/>
    </row>
    <row r="365" spans="2:13" x14ac:dyDescent="0.25">
      <c r="B365" s="186">
        <v>44971</v>
      </c>
      <c r="C365" s="41">
        <v>6</v>
      </c>
      <c r="D365" s="188">
        <v>5</v>
      </c>
      <c r="E365" s="189">
        <v>7350</v>
      </c>
      <c r="F365" s="190"/>
      <c r="G365" s="1" t="str">
        <f>IFERROR(IF(ventas_b_mes2[[#This Row],[CUIT]]="","-",VLOOKUP(ventas_b_mes2[[#This Row],[CUIT]],Lista_CUIT[#All],2,0)),"CUIT NO CARGADO")</f>
        <v>-</v>
      </c>
      <c r="H365" s="64">
        <v>3388.43</v>
      </c>
      <c r="I365" s="191">
        <f>ventas_b_mes2[[#This Row],[IMPORTE NETO]]*0.21</f>
        <v>711.57029999999997</v>
      </c>
      <c r="J365" s="192"/>
      <c r="K365" s="192"/>
      <c r="L365" s="192">
        <f>SUM(ventas_b_mes2[[#This Row],[IMPORTE NETO]:[EXENTO]])</f>
        <v>4100.0002999999997</v>
      </c>
      <c r="M365" s="59"/>
    </row>
    <row r="366" spans="2:13" x14ac:dyDescent="0.25">
      <c r="B366" s="186">
        <v>44971</v>
      </c>
      <c r="C366" s="41">
        <v>6</v>
      </c>
      <c r="D366" s="188">
        <v>5</v>
      </c>
      <c r="E366" s="189">
        <v>7358</v>
      </c>
      <c r="F366" s="190"/>
      <c r="G366" s="1" t="str">
        <f>IFERROR(IF(ventas_b_mes2[[#This Row],[CUIT]]="","-",VLOOKUP(ventas_b_mes2[[#This Row],[CUIT]],Lista_CUIT[#All],2,0)),"CUIT NO CARGADO")</f>
        <v>-</v>
      </c>
      <c r="H366" s="64">
        <v>6694.21</v>
      </c>
      <c r="I366" s="191">
        <f>ventas_b_mes2[[#This Row],[IMPORTE NETO]]*0.21</f>
        <v>1405.7840999999999</v>
      </c>
      <c r="J366" s="192"/>
      <c r="K366" s="192"/>
      <c r="L366" s="192">
        <f>SUM(ventas_b_mes2[[#This Row],[IMPORTE NETO]:[EXENTO]])</f>
        <v>8099.9940999999999</v>
      </c>
      <c r="M366" s="59"/>
    </row>
    <row r="367" spans="2:13" x14ac:dyDescent="0.25">
      <c r="B367" s="186">
        <v>44971</v>
      </c>
      <c r="C367" s="41">
        <v>6</v>
      </c>
      <c r="D367" s="188">
        <v>7</v>
      </c>
      <c r="E367" s="189">
        <v>4117</v>
      </c>
      <c r="F367" s="190"/>
      <c r="G367" s="1" t="str">
        <f>IFERROR(IF(ventas_b_mes2[[#This Row],[CUIT]]="","-",VLOOKUP(ventas_b_mes2[[#This Row],[CUIT]],Lista_CUIT[#All],2,0)),"CUIT NO CARGADO")</f>
        <v>-</v>
      </c>
      <c r="H367" s="64">
        <v>5454.55</v>
      </c>
      <c r="I367" s="191">
        <f>ventas_b_mes2[[#This Row],[IMPORTE NETO]]*0.21</f>
        <v>1145.4555</v>
      </c>
      <c r="J367" s="192"/>
      <c r="K367" s="192"/>
      <c r="L367" s="192">
        <f>SUM(ventas_b_mes2[[#This Row],[IMPORTE NETO]:[EXENTO]])</f>
        <v>6600.0055000000002</v>
      </c>
      <c r="M367" s="59"/>
    </row>
    <row r="368" spans="2:13" x14ac:dyDescent="0.25">
      <c r="B368" s="186">
        <v>44971</v>
      </c>
      <c r="C368" s="41">
        <v>6</v>
      </c>
      <c r="D368" s="188">
        <v>7</v>
      </c>
      <c r="E368" s="189">
        <v>4121</v>
      </c>
      <c r="F368" s="190"/>
      <c r="G368" s="1" t="str">
        <f>IFERROR(IF(ventas_b_mes2[[#This Row],[CUIT]]="","-",VLOOKUP(ventas_b_mes2[[#This Row],[CUIT]],Lista_CUIT[#All],2,0)),"CUIT NO CARGADO")</f>
        <v>-</v>
      </c>
      <c r="H368" s="64">
        <v>3140.5</v>
      </c>
      <c r="I368" s="191">
        <f>ventas_b_mes2[[#This Row],[IMPORTE NETO]]*0.21</f>
        <v>659.505</v>
      </c>
      <c r="J368" s="192"/>
      <c r="K368" s="192"/>
      <c r="L368" s="192">
        <f>SUM(ventas_b_mes2[[#This Row],[IMPORTE NETO]:[EXENTO]])</f>
        <v>3800.0050000000001</v>
      </c>
      <c r="M368" s="59"/>
    </row>
    <row r="369" spans="2:13" x14ac:dyDescent="0.25">
      <c r="B369" s="186">
        <v>44971</v>
      </c>
      <c r="C369" s="41">
        <v>6</v>
      </c>
      <c r="D369" s="188">
        <v>7</v>
      </c>
      <c r="E369" s="189">
        <v>4120</v>
      </c>
      <c r="F369" s="190"/>
      <c r="G369" s="1" t="str">
        <f>IFERROR(IF(ventas_b_mes2[[#This Row],[CUIT]]="","-",VLOOKUP(ventas_b_mes2[[#This Row],[CUIT]],Lista_CUIT[#All],2,0)),"CUIT NO CARGADO")</f>
        <v>-</v>
      </c>
      <c r="H369" s="64">
        <v>3388.43</v>
      </c>
      <c r="I369" s="191">
        <f>ventas_b_mes2[[#This Row],[IMPORTE NETO]]*0.21</f>
        <v>711.57029999999997</v>
      </c>
      <c r="J369" s="192"/>
      <c r="K369" s="192"/>
      <c r="L369" s="192">
        <f>SUM(ventas_b_mes2[[#This Row],[IMPORTE NETO]:[EXENTO]])</f>
        <v>4100.0002999999997</v>
      </c>
      <c r="M369" s="59"/>
    </row>
    <row r="370" spans="2:13" x14ac:dyDescent="0.25">
      <c r="B370" s="186">
        <v>44971</v>
      </c>
      <c r="C370" s="41">
        <v>6</v>
      </c>
      <c r="D370" s="188">
        <v>5</v>
      </c>
      <c r="E370" s="189">
        <v>7359</v>
      </c>
      <c r="F370" s="190"/>
      <c r="G370" s="1" t="str">
        <f>IFERROR(IF(ventas_b_mes2[[#This Row],[CUIT]]="","-",VLOOKUP(ventas_b_mes2[[#This Row],[CUIT]],Lista_CUIT[#All],2,0)),"CUIT NO CARGADO")</f>
        <v>-</v>
      </c>
      <c r="H370" s="64">
        <v>4380.17</v>
      </c>
      <c r="I370" s="191">
        <f>ventas_b_mes2[[#This Row],[IMPORTE NETO]]*0.21</f>
        <v>919.83569999999997</v>
      </c>
      <c r="J370" s="192"/>
      <c r="K370" s="192"/>
      <c r="L370" s="192">
        <f>SUM(ventas_b_mes2[[#This Row],[IMPORTE NETO]:[EXENTO]])</f>
        <v>5300.0056999999997</v>
      </c>
      <c r="M370" s="59"/>
    </row>
    <row r="371" spans="2:13" x14ac:dyDescent="0.25">
      <c r="B371" s="186">
        <v>44971</v>
      </c>
      <c r="C371" s="41">
        <v>6</v>
      </c>
      <c r="D371" s="188">
        <v>7</v>
      </c>
      <c r="E371" s="189">
        <v>4118</v>
      </c>
      <c r="F371" s="190"/>
      <c r="G371" s="1" t="str">
        <f>IFERROR(IF(ventas_b_mes2[[#This Row],[CUIT]]="","-",VLOOKUP(ventas_b_mes2[[#This Row],[CUIT]],Lista_CUIT[#All],2,0)),"CUIT NO CARGADO")</f>
        <v>-</v>
      </c>
      <c r="H371" s="64">
        <v>6280.99</v>
      </c>
      <c r="I371" s="191">
        <f>ventas_b_mes2[[#This Row],[IMPORTE NETO]]*0.21</f>
        <v>1319.0078999999998</v>
      </c>
      <c r="J371" s="192"/>
      <c r="K371" s="192"/>
      <c r="L371" s="192">
        <f>SUM(ventas_b_mes2[[#This Row],[IMPORTE NETO]:[EXENTO]])</f>
        <v>7599.9978999999994</v>
      </c>
      <c r="M371" s="59"/>
    </row>
    <row r="372" spans="2:13" x14ac:dyDescent="0.25">
      <c r="B372" s="186">
        <v>44971</v>
      </c>
      <c r="C372" s="41">
        <v>6</v>
      </c>
      <c r="D372" s="188">
        <v>5</v>
      </c>
      <c r="E372" s="189">
        <v>7360</v>
      </c>
      <c r="F372" s="190"/>
      <c r="G372" s="1" t="str">
        <f>IFERROR(IF(ventas_b_mes2[[#This Row],[CUIT]]="","-",VLOOKUP(ventas_b_mes2[[#This Row],[CUIT]],Lista_CUIT[#All],2,0)),"CUIT NO CARGADO")</f>
        <v>-</v>
      </c>
      <c r="H372" s="64">
        <v>7603.31</v>
      </c>
      <c r="I372" s="191">
        <f>ventas_b_mes2[[#This Row],[IMPORTE NETO]]*0.21</f>
        <v>1596.6950999999999</v>
      </c>
      <c r="J372" s="192"/>
      <c r="K372" s="192"/>
      <c r="L372" s="192">
        <f>SUM(ventas_b_mes2[[#This Row],[IMPORTE NETO]:[EXENTO]])</f>
        <v>9200.0051000000003</v>
      </c>
      <c r="M372" s="59"/>
    </row>
    <row r="373" spans="2:13" x14ac:dyDescent="0.25">
      <c r="B373" s="186">
        <v>44971</v>
      </c>
      <c r="C373" s="41">
        <v>6</v>
      </c>
      <c r="D373" s="188">
        <v>5</v>
      </c>
      <c r="E373" s="189">
        <v>7357</v>
      </c>
      <c r="F373" s="190"/>
      <c r="G373" s="1" t="str">
        <f>IFERROR(IF(ventas_b_mes2[[#This Row],[CUIT]]="","-",VLOOKUP(ventas_b_mes2[[#This Row],[CUIT]],Lista_CUIT[#All],2,0)),"CUIT NO CARGADO")</f>
        <v>-</v>
      </c>
      <c r="H373" s="64">
        <v>10578.51</v>
      </c>
      <c r="I373" s="191">
        <f>ventas_b_mes2[[#This Row],[IMPORTE NETO]]*0.21</f>
        <v>2221.4870999999998</v>
      </c>
      <c r="J373" s="192"/>
      <c r="K373" s="192"/>
      <c r="L373" s="192">
        <f>SUM(ventas_b_mes2[[#This Row],[IMPORTE NETO]:[EXENTO]])</f>
        <v>12799.997100000001</v>
      </c>
      <c r="M373" s="59"/>
    </row>
    <row r="374" spans="2:13" x14ac:dyDescent="0.25">
      <c r="B374" s="186">
        <v>44971</v>
      </c>
      <c r="C374" s="41">
        <v>6</v>
      </c>
      <c r="D374" s="188">
        <v>7</v>
      </c>
      <c r="E374" s="189">
        <v>4119</v>
      </c>
      <c r="F374" s="190"/>
      <c r="G374" s="1" t="str">
        <f>IFERROR(IF(ventas_b_mes2[[#This Row],[CUIT]]="","-",VLOOKUP(ventas_b_mes2[[#This Row],[CUIT]],Lista_CUIT[#All],2,0)),"CUIT NO CARGADO")</f>
        <v>-</v>
      </c>
      <c r="H374" s="64">
        <v>8264.4599999999991</v>
      </c>
      <c r="I374" s="191">
        <f>ventas_b_mes2[[#This Row],[IMPORTE NETO]]*0.21</f>
        <v>1735.5365999999997</v>
      </c>
      <c r="J374" s="192"/>
      <c r="K374" s="192"/>
      <c r="L374" s="192">
        <f>SUM(ventas_b_mes2[[#This Row],[IMPORTE NETO]:[EXENTO]])</f>
        <v>9999.9965999999986</v>
      </c>
      <c r="M374" s="59"/>
    </row>
    <row r="375" spans="2:13" x14ac:dyDescent="0.25">
      <c r="B375" s="186">
        <v>44971</v>
      </c>
      <c r="C375" s="41">
        <v>6</v>
      </c>
      <c r="D375" s="188">
        <v>5</v>
      </c>
      <c r="E375" s="189">
        <v>7351</v>
      </c>
      <c r="F375" s="190"/>
      <c r="G375" s="1" t="str">
        <f>IFERROR(IF(ventas_b_mes2[[#This Row],[CUIT]]="","-",VLOOKUP(ventas_b_mes2[[#This Row],[CUIT]],Lista_CUIT[#All],2,0)),"CUIT NO CARGADO")</f>
        <v>-</v>
      </c>
      <c r="H375" s="64">
        <v>9028.93</v>
      </c>
      <c r="I375" s="191">
        <f>ventas_b_mes2[[#This Row],[IMPORTE NETO]]*0.21</f>
        <v>1896.0753</v>
      </c>
      <c r="J375" s="192"/>
      <c r="K375" s="192"/>
      <c r="L375" s="192">
        <f>SUM(ventas_b_mes2[[#This Row],[IMPORTE NETO]:[EXENTO]])</f>
        <v>10925.005300000001</v>
      </c>
      <c r="M375" s="59"/>
    </row>
    <row r="376" spans="2:13" x14ac:dyDescent="0.25">
      <c r="B376" s="186">
        <v>44972</v>
      </c>
      <c r="C376" s="41">
        <v>6</v>
      </c>
      <c r="D376" s="188">
        <v>5</v>
      </c>
      <c r="E376" s="189">
        <v>7366</v>
      </c>
      <c r="F376" s="190"/>
      <c r="G376" s="1" t="str">
        <f>IFERROR(IF(ventas_b_mes2[[#This Row],[CUIT]]="","-",VLOOKUP(ventas_b_mes2[[#This Row],[CUIT]],Lista_CUIT[#All],2,0)),"CUIT NO CARGADO")</f>
        <v>-</v>
      </c>
      <c r="H376" s="64">
        <v>5123.97</v>
      </c>
      <c r="I376" s="191">
        <f>ventas_b_mes2[[#This Row],[IMPORTE NETO]]*0.21</f>
        <v>1076.0337</v>
      </c>
      <c r="J376" s="192"/>
      <c r="K376" s="192"/>
      <c r="L376" s="192">
        <f>SUM(ventas_b_mes2[[#This Row],[IMPORTE NETO]:[EXENTO]])</f>
        <v>6200.0037000000002</v>
      </c>
      <c r="M376" s="59"/>
    </row>
    <row r="377" spans="2:13" x14ac:dyDescent="0.25">
      <c r="B377" s="186">
        <v>44972</v>
      </c>
      <c r="C377" s="41">
        <v>6</v>
      </c>
      <c r="D377" s="188">
        <v>5</v>
      </c>
      <c r="E377" s="189">
        <v>7362</v>
      </c>
      <c r="F377" s="190"/>
      <c r="G377" s="1" t="str">
        <f>IFERROR(IF(ventas_b_mes2[[#This Row],[CUIT]]="","-",VLOOKUP(ventas_b_mes2[[#This Row],[CUIT]],Lista_CUIT[#All],2,0)),"CUIT NO CARGADO")</f>
        <v>-</v>
      </c>
      <c r="H377" s="64">
        <v>3388.43</v>
      </c>
      <c r="I377" s="191">
        <f>ventas_b_mes2[[#This Row],[IMPORTE NETO]]*0.21</f>
        <v>711.57029999999997</v>
      </c>
      <c r="J377" s="192"/>
      <c r="K377" s="192"/>
      <c r="L377" s="192">
        <f>SUM(ventas_b_mes2[[#This Row],[IMPORTE NETO]:[EXENTO]])</f>
        <v>4100.0002999999997</v>
      </c>
      <c r="M377" s="59"/>
    </row>
    <row r="378" spans="2:13" x14ac:dyDescent="0.25">
      <c r="B378" s="186">
        <v>44972</v>
      </c>
      <c r="C378" s="41">
        <v>6</v>
      </c>
      <c r="D378" s="188">
        <v>5</v>
      </c>
      <c r="E378" s="189">
        <v>7363</v>
      </c>
      <c r="F378" s="190"/>
      <c r="G378" s="1" t="str">
        <f>IFERROR(IF(ventas_b_mes2[[#This Row],[CUIT]]="","-",VLOOKUP(ventas_b_mes2[[#This Row],[CUIT]],Lista_CUIT[#All],2,0)),"CUIT NO CARGADO")</f>
        <v>-</v>
      </c>
      <c r="H378" s="64">
        <v>1652.9</v>
      </c>
      <c r="I378" s="191">
        <f>ventas_b_mes2[[#This Row],[IMPORTE NETO]]*0.21</f>
        <v>347.10899999999998</v>
      </c>
      <c r="J378" s="192"/>
      <c r="K378" s="192"/>
      <c r="L378" s="192">
        <f>SUM(ventas_b_mes2[[#This Row],[IMPORTE NETO]:[EXENTO]])</f>
        <v>2000.009</v>
      </c>
      <c r="M378" s="59"/>
    </row>
    <row r="379" spans="2:13" x14ac:dyDescent="0.25">
      <c r="B379" s="186">
        <v>44972</v>
      </c>
      <c r="C379" s="41">
        <v>6</v>
      </c>
      <c r="D379" s="188">
        <v>5</v>
      </c>
      <c r="E379" s="189">
        <v>7368</v>
      </c>
      <c r="F379" s="190"/>
      <c r="G379" s="1" t="str">
        <f>IFERROR(IF(ventas_b_mes2[[#This Row],[CUIT]]="","-",VLOOKUP(ventas_b_mes2[[#This Row],[CUIT]],Lista_CUIT[#All],2,0)),"CUIT NO CARGADO")</f>
        <v>-</v>
      </c>
      <c r="H379" s="64">
        <v>22809.919999999998</v>
      </c>
      <c r="I379" s="191">
        <f>ventas_b_mes2[[#This Row],[IMPORTE NETO]]*0.21</f>
        <v>4790.0831999999991</v>
      </c>
      <c r="J379" s="192"/>
      <c r="K379" s="192"/>
      <c r="L379" s="192">
        <f>SUM(ventas_b_mes2[[#This Row],[IMPORTE NETO]:[EXENTO]])</f>
        <v>27600.003199999999</v>
      </c>
      <c r="M379" s="59"/>
    </row>
    <row r="380" spans="2:13" x14ac:dyDescent="0.25">
      <c r="B380" s="186">
        <v>44972</v>
      </c>
      <c r="C380" s="41">
        <v>6</v>
      </c>
      <c r="D380" s="188">
        <v>5</v>
      </c>
      <c r="E380" s="189">
        <v>7365</v>
      </c>
      <c r="F380" s="190"/>
      <c r="G380" s="1" t="str">
        <f>IFERROR(IF(ventas_b_mes2[[#This Row],[CUIT]]="","-",VLOOKUP(ventas_b_mes2[[#This Row],[CUIT]],Lista_CUIT[#All],2,0)),"CUIT NO CARGADO")</f>
        <v>-</v>
      </c>
      <c r="H380" s="64">
        <v>18595.04</v>
      </c>
      <c r="I380" s="191">
        <f>ventas_b_mes2[[#This Row],[IMPORTE NETO]]*0.21</f>
        <v>3904.9584</v>
      </c>
      <c r="J380" s="192"/>
      <c r="K380" s="192"/>
      <c r="L380" s="192">
        <f>SUM(ventas_b_mes2[[#This Row],[IMPORTE NETO]:[EXENTO]])</f>
        <v>22499.9984</v>
      </c>
      <c r="M380" s="59"/>
    </row>
    <row r="381" spans="2:13" x14ac:dyDescent="0.25">
      <c r="B381" s="186">
        <v>44972</v>
      </c>
      <c r="C381" s="41">
        <v>6</v>
      </c>
      <c r="D381" s="188">
        <v>5</v>
      </c>
      <c r="E381" s="189">
        <v>7361</v>
      </c>
      <c r="F381" s="190"/>
      <c r="G381" s="1" t="str">
        <f>IFERROR(IF(ventas_b_mes2[[#This Row],[CUIT]]="","-",VLOOKUP(ventas_b_mes2[[#This Row],[CUIT]],Lista_CUIT[#All],2,0)),"CUIT NO CARGADO")</f>
        <v>-</v>
      </c>
      <c r="H381" s="64">
        <v>2024.79</v>
      </c>
      <c r="I381" s="191">
        <f>ventas_b_mes2[[#This Row],[IMPORTE NETO]]*0.21</f>
        <v>425.20589999999999</v>
      </c>
      <c r="J381" s="192"/>
      <c r="K381" s="192"/>
      <c r="L381" s="192">
        <f>SUM(ventas_b_mes2[[#This Row],[IMPORTE NETO]:[EXENTO]])</f>
        <v>2449.9958999999999</v>
      </c>
      <c r="M381" s="59"/>
    </row>
    <row r="382" spans="2:13" x14ac:dyDescent="0.25">
      <c r="B382" s="186">
        <v>44972</v>
      </c>
      <c r="C382" s="41">
        <v>6</v>
      </c>
      <c r="D382" s="188">
        <v>5</v>
      </c>
      <c r="E382" s="189">
        <v>7369</v>
      </c>
      <c r="F382" s="190"/>
      <c r="G382" s="1" t="str">
        <f>IFERROR(IF(ventas_b_mes2[[#This Row],[CUIT]]="","-",VLOOKUP(ventas_b_mes2[[#This Row],[CUIT]],Lista_CUIT[#All],2,0)),"CUIT NO CARGADO")</f>
        <v>-</v>
      </c>
      <c r="H382" s="64">
        <v>2892.56</v>
      </c>
      <c r="I382" s="191">
        <f>ventas_b_mes2[[#This Row],[IMPORTE NETO]]*0.21</f>
        <v>607.43759999999997</v>
      </c>
      <c r="J382" s="192"/>
      <c r="K382" s="192"/>
      <c r="L382" s="192">
        <f>SUM(ventas_b_mes2[[#This Row],[IMPORTE NETO]:[EXENTO]])</f>
        <v>3499.9975999999997</v>
      </c>
      <c r="M382" s="59"/>
    </row>
    <row r="383" spans="2:13" x14ac:dyDescent="0.25">
      <c r="B383" s="186">
        <v>44972</v>
      </c>
      <c r="C383" s="41">
        <v>6</v>
      </c>
      <c r="D383" s="188">
        <v>5</v>
      </c>
      <c r="E383" s="189">
        <v>7367</v>
      </c>
      <c r="F383" s="190"/>
      <c r="G383" s="1" t="str">
        <f>IFERROR(IF(ventas_b_mes2[[#This Row],[CUIT]]="","-",VLOOKUP(ventas_b_mes2[[#This Row],[CUIT]],Lista_CUIT[#All],2,0)),"CUIT NO CARGADO")</f>
        <v>-</v>
      </c>
      <c r="H383" s="64">
        <v>8099.17</v>
      </c>
      <c r="I383" s="191">
        <f>ventas_b_mes2[[#This Row],[IMPORTE NETO]]*0.21</f>
        <v>1700.8256999999999</v>
      </c>
      <c r="J383" s="192"/>
      <c r="K383" s="192"/>
      <c r="L383" s="192">
        <f>SUM(ventas_b_mes2[[#This Row],[IMPORTE NETO]:[EXENTO]])</f>
        <v>9799.9956999999995</v>
      </c>
      <c r="M383" s="59"/>
    </row>
    <row r="384" spans="2:13" x14ac:dyDescent="0.25">
      <c r="B384" s="186">
        <v>44972</v>
      </c>
      <c r="C384" s="41">
        <v>6</v>
      </c>
      <c r="D384" s="188">
        <v>5</v>
      </c>
      <c r="E384" s="189">
        <v>7370</v>
      </c>
      <c r="F384" s="190"/>
      <c r="G384" s="1" t="str">
        <f>IFERROR(IF(ventas_b_mes2[[#This Row],[CUIT]]="","-",VLOOKUP(ventas_b_mes2[[#This Row],[CUIT]],Lista_CUIT[#All],2,0)),"CUIT NO CARGADO")</f>
        <v>-</v>
      </c>
      <c r="H384" s="64">
        <v>6776.86</v>
      </c>
      <c r="I384" s="191">
        <f>ventas_b_mes2[[#This Row],[IMPORTE NETO]]*0.21</f>
        <v>1423.1405999999999</v>
      </c>
      <c r="J384" s="192"/>
      <c r="K384" s="192"/>
      <c r="L384" s="192">
        <f>SUM(ventas_b_mes2[[#This Row],[IMPORTE NETO]:[EXENTO]])</f>
        <v>8200.0005999999994</v>
      </c>
      <c r="M384" s="59"/>
    </row>
    <row r="385" spans="2:13" x14ac:dyDescent="0.25">
      <c r="B385" s="186">
        <v>44972</v>
      </c>
      <c r="C385" s="41">
        <v>6</v>
      </c>
      <c r="D385" s="188">
        <v>5</v>
      </c>
      <c r="E385" s="189">
        <v>7371</v>
      </c>
      <c r="F385" s="190"/>
      <c r="G385" s="1" t="str">
        <f>IFERROR(IF(ventas_b_mes2[[#This Row],[CUIT]]="","-",VLOOKUP(ventas_b_mes2[[#This Row],[CUIT]],Lista_CUIT[#All],2,0)),"CUIT NO CARGADO")</f>
        <v>-</v>
      </c>
      <c r="H385" s="64">
        <v>9834.7099999999991</v>
      </c>
      <c r="I385" s="191">
        <f>ventas_b_mes2[[#This Row],[IMPORTE NETO]]*0.21</f>
        <v>2065.2891</v>
      </c>
      <c r="J385" s="192"/>
      <c r="K385" s="192"/>
      <c r="L385" s="192">
        <f>SUM(ventas_b_mes2[[#This Row],[IMPORTE NETO]:[EXENTO]])</f>
        <v>11899.999099999999</v>
      </c>
      <c r="M385" s="59"/>
    </row>
    <row r="386" spans="2:13" x14ac:dyDescent="0.25">
      <c r="B386" s="186">
        <v>44972</v>
      </c>
      <c r="C386" s="41">
        <v>6</v>
      </c>
      <c r="D386" s="188">
        <v>5</v>
      </c>
      <c r="E386" s="189">
        <v>7364</v>
      </c>
      <c r="F386" s="190"/>
      <c r="G386" s="1" t="str">
        <f>IFERROR(IF(ventas_b_mes2[[#This Row],[CUIT]]="","-",VLOOKUP(ventas_b_mes2[[#This Row],[CUIT]],Lista_CUIT[#All],2,0)),"CUIT NO CARGADO")</f>
        <v>-</v>
      </c>
      <c r="H386" s="64">
        <v>2314.0500000000002</v>
      </c>
      <c r="I386" s="191">
        <f>ventas_b_mes2[[#This Row],[IMPORTE NETO]]*0.21</f>
        <v>485.95050000000003</v>
      </c>
      <c r="J386" s="192"/>
      <c r="K386" s="192"/>
      <c r="L386" s="192">
        <f>SUM(ventas_b_mes2[[#This Row],[IMPORTE NETO]:[EXENTO]])</f>
        <v>2800.0005000000001</v>
      </c>
      <c r="M386" s="59"/>
    </row>
    <row r="387" spans="2:13" x14ac:dyDescent="0.25">
      <c r="B387" s="186">
        <v>44973</v>
      </c>
      <c r="C387" s="41">
        <v>6</v>
      </c>
      <c r="D387" s="188">
        <v>5</v>
      </c>
      <c r="E387" s="189">
        <v>7375</v>
      </c>
      <c r="F387" s="190"/>
      <c r="G387" s="1" t="str">
        <f>IFERROR(IF(ventas_b_mes2[[#This Row],[CUIT]]="","-",VLOOKUP(ventas_b_mes2[[#This Row],[CUIT]],Lista_CUIT[#All],2,0)),"CUIT NO CARGADO")</f>
        <v>-</v>
      </c>
      <c r="H387" s="64">
        <v>3388.43</v>
      </c>
      <c r="I387" s="191">
        <f>ventas_b_mes2[[#This Row],[IMPORTE NETO]]*0.21</f>
        <v>711.57029999999997</v>
      </c>
      <c r="J387" s="192"/>
      <c r="K387" s="192"/>
      <c r="L387" s="192">
        <f>SUM(ventas_b_mes2[[#This Row],[IMPORTE NETO]:[EXENTO]])</f>
        <v>4100.0002999999997</v>
      </c>
      <c r="M387" s="59"/>
    </row>
    <row r="388" spans="2:13" x14ac:dyDescent="0.25">
      <c r="B388" s="186">
        <v>44973</v>
      </c>
      <c r="C388" s="41">
        <v>6</v>
      </c>
      <c r="D388" s="188">
        <v>5</v>
      </c>
      <c r="E388" s="189">
        <v>7383</v>
      </c>
      <c r="F388" s="190"/>
      <c r="G388" s="1" t="str">
        <f>IFERROR(IF(ventas_b_mes2[[#This Row],[CUIT]]="","-",VLOOKUP(ventas_b_mes2[[#This Row],[CUIT]],Lista_CUIT[#All],2,0)),"CUIT NO CARGADO")</f>
        <v>-</v>
      </c>
      <c r="H388" s="64">
        <v>2066.12</v>
      </c>
      <c r="I388" s="191">
        <f>ventas_b_mes2[[#This Row],[IMPORTE NETO]]*0.21</f>
        <v>433.88519999999994</v>
      </c>
      <c r="J388" s="192"/>
      <c r="K388" s="192"/>
      <c r="L388" s="192">
        <f>SUM(ventas_b_mes2[[#This Row],[IMPORTE NETO]:[EXENTO]])</f>
        <v>2500.0051999999996</v>
      </c>
      <c r="M388" s="59"/>
    </row>
    <row r="389" spans="2:13" x14ac:dyDescent="0.25">
      <c r="B389" s="186">
        <v>44973</v>
      </c>
      <c r="C389" s="41">
        <v>6</v>
      </c>
      <c r="D389" s="188">
        <v>5</v>
      </c>
      <c r="E389" s="189">
        <v>7374</v>
      </c>
      <c r="F389" s="190"/>
      <c r="G389" s="1" t="str">
        <f>IFERROR(IF(ventas_b_mes2[[#This Row],[CUIT]]="","-",VLOOKUP(ventas_b_mes2[[#This Row],[CUIT]],Lista_CUIT[#All],2,0)),"CUIT NO CARGADO")</f>
        <v>-</v>
      </c>
      <c r="H389" s="64">
        <v>3471.07</v>
      </c>
      <c r="I389" s="191">
        <f>ventas_b_mes2[[#This Row],[IMPORTE NETO]]*0.21</f>
        <v>728.92470000000003</v>
      </c>
      <c r="J389" s="192"/>
      <c r="K389" s="192"/>
      <c r="L389" s="192">
        <f>SUM(ventas_b_mes2[[#This Row],[IMPORTE NETO]:[EXENTO]])</f>
        <v>4199.9947000000002</v>
      </c>
      <c r="M389" s="59"/>
    </row>
    <row r="390" spans="2:13" x14ac:dyDescent="0.25">
      <c r="B390" s="186">
        <v>44973</v>
      </c>
      <c r="C390" s="41">
        <v>6</v>
      </c>
      <c r="D390" s="188">
        <v>5</v>
      </c>
      <c r="E390" s="189">
        <v>7373</v>
      </c>
      <c r="F390" s="190"/>
      <c r="G390" s="1" t="str">
        <f>IFERROR(IF(ventas_b_mes2[[#This Row],[CUIT]]="","-",VLOOKUP(ventas_b_mes2[[#This Row],[CUIT]],Lista_CUIT[#All],2,0)),"CUIT NO CARGADO")</f>
        <v>-</v>
      </c>
      <c r="H390" s="64">
        <v>8347.11</v>
      </c>
      <c r="I390" s="191">
        <f>ventas_b_mes2[[#This Row],[IMPORTE NETO]]*0.21</f>
        <v>1752.8931</v>
      </c>
      <c r="J390" s="192"/>
      <c r="K390" s="192"/>
      <c r="L390" s="192">
        <f>SUM(ventas_b_mes2[[#This Row],[IMPORTE NETO]:[EXENTO]])</f>
        <v>10100.0031</v>
      </c>
      <c r="M390" s="59"/>
    </row>
    <row r="391" spans="2:13" x14ac:dyDescent="0.25">
      <c r="B391" s="186">
        <v>44973</v>
      </c>
      <c r="C391" s="41">
        <v>6</v>
      </c>
      <c r="D391" s="188">
        <v>5</v>
      </c>
      <c r="E391" s="189">
        <v>7379</v>
      </c>
      <c r="F391" s="190"/>
      <c r="G391" s="1" t="str">
        <f>IFERROR(IF(ventas_b_mes2[[#This Row],[CUIT]]="","-",VLOOKUP(ventas_b_mes2[[#This Row],[CUIT]],Lista_CUIT[#All],2,0)),"CUIT NO CARGADO")</f>
        <v>-</v>
      </c>
      <c r="H391" s="64">
        <v>1239.67</v>
      </c>
      <c r="I391" s="191">
        <f>ventas_b_mes2[[#This Row],[IMPORTE NETO]]*0.21</f>
        <v>260.33069999999998</v>
      </c>
      <c r="J391" s="192"/>
      <c r="K391" s="192"/>
      <c r="L391" s="192">
        <f>SUM(ventas_b_mes2[[#This Row],[IMPORTE NETO]:[EXENTO]])</f>
        <v>1500.0007000000001</v>
      </c>
      <c r="M391" s="59"/>
    </row>
    <row r="392" spans="2:13" x14ac:dyDescent="0.25">
      <c r="B392" s="186">
        <v>44973</v>
      </c>
      <c r="C392" s="41">
        <v>6</v>
      </c>
      <c r="D392" s="188">
        <v>5</v>
      </c>
      <c r="E392" s="189">
        <v>7384</v>
      </c>
      <c r="F392" s="190"/>
      <c r="G392" s="1" t="str">
        <f>IFERROR(IF(ventas_b_mes2[[#This Row],[CUIT]]="","-",VLOOKUP(ventas_b_mes2[[#This Row],[CUIT]],Lista_CUIT[#All],2,0)),"CUIT NO CARGADO")</f>
        <v>-</v>
      </c>
      <c r="H392" s="64">
        <v>12520.66</v>
      </c>
      <c r="I392" s="191">
        <f>ventas_b_mes2[[#This Row],[IMPORTE NETO]]*0.21</f>
        <v>2629.3386</v>
      </c>
      <c r="J392" s="192"/>
      <c r="K392" s="192"/>
      <c r="L392" s="192">
        <f>SUM(ventas_b_mes2[[#This Row],[IMPORTE NETO]:[EXENTO]])</f>
        <v>15149.998599999999</v>
      </c>
      <c r="M392" s="59"/>
    </row>
    <row r="393" spans="2:13" x14ac:dyDescent="0.25">
      <c r="B393" s="186">
        <v>44973</v>
      </c>
      <c r="C393" s="41">
        <v>6</v>
      </c>
      <c r="D393" s="188">
        <v>5</v>
      </c>
      <c r="E393" s="189">
        <v>7378</v>
      </c>
      <c r="F393" s="190"/>
      <c r="G393" s="1" t="str">
        <f>IFERROR(IF(ventas_b_mes2[[#This Row],[CUIT]]="","-",VLOOKUP(ventas_b_mes2[[#This Row],[CUIT]],Lista_CUIT[#All],2,0)),"CUIT NO CARGADO")</f>
        <v>-</v>
      </c>
      <c r="H393" s="64">
        <v>2314.0500000000002</v>
      </c>
      <c r="I393" s="191">
        <f>ventas_b_mes2[[#This Row],[IMPORTE NETO]]*0.21</f>
        <v>485.95050000000003</v>
      </c>
      <c r="J393" s="192"/>
      <c r="K393" s="192"/>
      <c r="L393" s="192">
        <f>SUM(ventas_b_mes2[[#This Row],[IMPORTE NETO]:[EXENTO]])</f>
        <v>2800.0005000000001</v>
      </c>
      <c r="M393" s="59"/>
    </row>
    <row r="394" spans="2:13" x14ac:dyDescent="0.25">
      <c r="B394" s="186">
        <v>44973</v>
      </c>
      <c r="C394" s="41">
        <v>6</v>
      </c>
      <c r="D394" s="188">
        <v>5</v>
      </c>
      <c r="E394" s="189">
        <v>7372</v>
      </c>
      <c r="F394" s="190"/>
      <c r="G394" s="1" t="str">
        <f>IFERROR(IF(ventas_b_mes2[[#This Row],[CUIT]]="","-",VLOOKUP(ventas_b_mes2[[#This Row],[CUIT]],Lista_CUIT[#All],2,0)),"CUIT NO CARGADO")</f>
        <v>-</v>
      </c>
      <c r="H394" s="64">
        <v>4132.2299999999996</v>
      </c>
      <c r="I394" s="191">
        <f>ventas_b_mes2[[#This Row],[IMPORTE NETO]]*0.21</f>
        <v>867.76829999999984</v>
      </c>
      <c r="J394" s="192"/>
      <c r="K394" s="192"/>
      <c r="L394" s="192">
        <f>SUM(ventas_b_mes2[[#This Row],[IMPORTE NETO]:[EXENTO]])</f>
        <v>4999.9982999999993</v>
      </c>
      <c r="M394" s="59"/>
    </row>
    <row r="395" spans="2:13" x14ac:dyDescent="0.25">
      <c r="B395" s="186">
        <v>44973</v>
      </c>
      <c r="C395" s="41">
        <v>6</v>
      </c>
      <c r="D395" s="188">
        <v>5</v>
      </c>
      <c r="E395" s="189">
        <v>7380</v>
      </c>
      <c r="F395" s="190"/>
      <c r="G395" s="1" t="str">
        <f>IFERROR(IF(ventas_b_mes2[[#This Row],[CUIT]]="","-",VLOOKUP(ventas_b_mes2[[#This Row],[CUIT]],Lista_CUIT[#All],2,0)),"CUIT NO CARGADO")</f>
        <v>-</v>
      </c>
      <c r="H395" s="64">
        <v>2148.7600000000002</v>
      </c>
      <c r="I395" s="191">
        <f>ventas_b_mes2[[#This Row],[IMPORTE NETO]]*0.21</f>
        <v>451.23960000000005</v>
      </c>
      <c r="J395" s="192"/>
      <c r="K395" s="192"/>
      <c r="L395" s="192">
        <f>SUM(ventas_b_mes2[[#This Row],[IMPORTE NETO]:[EXENTO]])</f>
        <v>2599.9996000000001</v>
      </c>
      <c r="M395" s="59"/>
    </row>
    <row r="396" spans="2:13" x14ac:dyDescent="0.25">
      <c r="B396" s="186">
        <v>44973</v>
      </c>
      <c r="C396" s="41">
        <v>6</v>
      </c>
      <c r="D396" s="188">
        <v>5</v>
      </c>
      <c r="E396" s="189">
        <v>7381</v>
      </c>
      <c r="F396" s="190"/>
      <c r="G396" s="1" t="str">
        <f>IFERROR(IF(ventas_b_mes2[[#This Row],[CUIT]]="","-",VLOOKUP(ventas_b_mes2[[#This Row],[CUIT]],Lista_CUIT[#All],2,0)),"CUIT NO CARGADO")</f>
        <v>-</v>
      </c>
      <c r="H396" s="64">
        <v>6446.28</v>
      </c>
      <c r="I396" s="191">
        <f>ventas_b_mes2[[#This Row],[IMPORTE NETO]]*0.21</f>
        <v>1353.7187999999999</v>
      </c>
      <c r="J396" s="192"/>
      <c r="K396" s="192"/>
      <c r="L396" s="192">
        <f>SUM(ventas_b_mes2[[#This Row],[IMPORTE NETO]:[EXENTO]])</f>
        <v>7799.9987999999994</v>
      </c>
      <c r="M396" s="59"/>
    </row>
    <row r="397" spans="2:13" x14ac:dyDescent="0.25">
      <c r="B397" s="186">
        <v>44973</v>
      </c>
      <c r="C397" s="41">
        <v>6</v>
      </c>
      <c r="D397" s="188">
        <v>5</v>
      </c>
      <c r="E397" s="189">
        <v>7376</v>
      </c>
      <c r="F397" s="190"/>
      <c r="G397" s="1" t="str">
        <f>IFERROR(IF(ventas_b_mes2[[#This Row],[CUIT]]="","-",VLOOKUP(ventas_b_mes2[[#This Row],[CUIT]],Lista_CUIT[#All],2,0)),"CUIT NO CARGADO")</f>
        <v>-</v>
      </c>
      <c r="H397" s="64">
        <v>578.51</v>
      </c>
      <c r="I397" s="191">
        <f>ventas_b_mes2[[#This Row],[IMPORTE NETO]]*0.21</f>
        <v>121.4871</v>
      </c>
      <c r="J397" s="192"/>
      <c r="K397" s="192"/>
      <c r="L397" s="192">
        <f>SUM(ventas_b_mes2[[#This Row],[IMPORTE NETO]:[EXENTO]])</f>
        <v>699.99710000000005</v>
      </c>
      <c r="M397" s="59"/>
    </row>
    <row r="398" spans="2:13" x14ac:dyDescent="0.25">
      <c r="B398" s="186">
        <v>44973</v>
      </c>
      <c r="C398" s="41">
        <v>6</v>
      </c>
      <c r="D398" s="188">
        <v>5</v>
      </c>
      <c r="E398" s="189">
        <v>7382</v>
      </c>
      <c r="F398" s="190"/>
      <c r="G398" s="1" t="str">
        <f>IFERROR(IF(ventas_b_mes2[[#This Row],[CUIT]]="","-",VLOOKUP(ventas_b_mes2[[#This Row],[CUIT]],Lista_CUIT[#All],2,0)),"CUIT NO CARGADO")</f>
        <v>-</v>
      </c>
      <c r="H398" s="64">
        <v>10578.51</v>
      </c>
      <c r="I398" s="191">
        <f>ventas_b_mes2[[#This Row],[IMPORTE NETO]]*0.21</f>
        <v>2221.4870999999998</v>
      </c>
      <c r="J398" s="192"/>
      <c r="K398" s="192"/>
      <c r="L398" s="192">
        <f>SUM(ventas_b_mes2[[#This Row],[IMPORTE NETO]:[EXENTO]])</f>
        <v>12799.997100000001</v>
      </c>
      <c r="M398" s="59"/>
    </row>
    <row r="399" spans="2:13" x14ac:dyDescent="0.25">
      <c r="B399" s="186">
        <v>44973</v>
      </c>
      <c r="C399" s="41">
        <v>6</v>
      </c>
      <c r="D399" s="188">
        <v>5</v>
      </c>
      <c r="E399" s="189">
        <v>7377</v>
      </c>
      <c r="F399" s="190"/>
      <c r="G399" s="1" t="str">
        <f>IFERROR(IF(ventas_b_mes2[[#This Row],[CUIT]]="","-",VLOOKUP(ventas_b_mes2[[#This Row],[CUIT]],Lista_CUIT[#All],2,0)),"CUIT NO CARGADO")</f>
        <v>-</v>
      </c>
      <c r="H399" s="64">
        <v>6446.28</v>
      </c>
      <c r="I399" s="191">
        <f>ventas_b_mes2[[#This Row],[IMPORTE NETO]]*0.21</f>
        <v>1353.7187999999999</v>
      </c>
      <c r="J399" s="192"/>
      <c r="K399" s="192"/>
      <c r="L399" s="192">
        <f>SUM(ventas_b_mes2[[#This Row],[IMPORTE NETO]:[EXENTO]])</f>
        <v>7799.9987999999994</v>
      </c>
      <c r="M399" s="59"/>
    </row>
    <row r="400" spans="2:13" x14ac:dyDescent="0.25">
      <c r="B400" s="186">
        <v>44974</v>
      </c>
      <c r="C400" s="41">
        <v>6</v>
      </c>
      <c r="D400" s="188">
        <v>7</v>
      </c>
      <c r="E400" s="189">
        <v>4123</v>
      </c>
      <c r="F400" s="190"/>
      <c r="G400" s="1" t="str">
        <f>IFERROR(IF(ventas_b_mes2[[#This Row],[CUIT]]="","-",VLOOKUP(ventas_b_mes2[[#This Row],[CUIT]],Lista_CUIT[#All],2,0)),"CUIT NO CARGADO")</f>
        <v>-</v>
      </c>
      <c r="H400" s="64">
        <v>7024.79</v>
      </c>
      <c r="I400" s="191">
        <f>ventas_b_mes2[[#This Row],[IMPORTE NETO]]*0.21</f>
        <v>1475.2058999999999</v>
      </c>
      <c r="J400" s="192"/>
      <c r="K400" s="192"/>
      <c r="L400" s="192">
        <f>SUM(ventas_b_mes2[[#This Row],[IMPORTE NETO]:[EXENTO]])</f>
        <v>8499.9958999999999</v>
      </c>
      <c r="M400" s="59"/>
    </row>
    <row r="401" spans="2:13" x14ac:dyDescent="0.25">
      <c r="B401" s="186">
        <v>44974</v>
      </c>
      <c r="C401" s="41">
        <v>6</v>
      </c>
      <c r="D401" s="188">
        <v>5</v>
      </c>
      <c r="E401" s="189">
        <v>7395</v>
      </c>
      <c r="F401" s="190"/>
      <c r="G401" s="1" t="str">
        <f>IFERROR(IF(ventas_b_mes2[[#This Row],[CUIT]]="","-",VLOOKUP(ventas_b_mes2[[#This Row],[CUIT]],Lista_CUIT[#All],2,0)),"CUIT NO CARGADO")</f>
        <v>-</v>
      </c>
      <c r="H401" s="64">
        <v>4214.88</v>
      </c>
      <c r="I401" s="191">
        <f>ventas_b_mes2[[#This Row],[IMPORTE NETO]]*0.21</f>
        <v>885.12479999999994</v>
      </c>
      <c r="J401" s="192"/>
      <c r="K401" s="192"/>
      <c r="L401" s="192">
        <f>SUM(ventas_b_mes2[[#This Row],[IMPORTE NETO]:[EXENTO]])</f>
        <v>5100.0047999999997</v>
      </c>
      <c r="M401" s="59"/>
    </row>
    <row r="402" spans="2:13" x14ac:dyDescent="0.25">
      <c r="B402" s="186">
        <v>44974</v>
      </c>
      <c r="C402" s="41">
        <v>6</v>
      </c>
      <c r="D402" s="188">
        <v>7</v>
      </c>
      <c r="E402" s="189">
        <v>4122</v>
      </c>
      <c r="F402" s="190"/>
      <c r="G402" s="1" t="str">
        <f>IFERROR(IF(ventas_b_mes2[[#This Row],[CUIT]]="","-",VLOOKUP(ventas_b_mes2[[#This Row],[CUIT]],Lista_CUIT[#All],2,0)),"CUIT NO CARGADO")</f>
        <v>-</v>
      </c>
      <c r="H402" s="64">
        <v>9338.84</v>
      </c>
      <c r="I402" s="191">
        <f>ventas_b_mes2[[#This Row],[IMPORTE NETO]]*0.21</f>
        <v>1961.1563999999998</v>
      </c>
      <c r="J402" s="192"/>
      <c r="K402" s="192"/>
      <c r="L402" s="192">
        <f>SUM(ventas_b_mes2[[#This Row],[IMPORTE NETO]:[EXENTO]])</f>
        <v>11299.9964</v>
      </c>
      <c r="M402" s="59"/>
    </row>
    <row r="403" spans="2:13" x14ac:dyDescent="0.25">
      <c r="B403" s="186">
        <v>44974</v>
      </c>
      <c r="C403" s="41">
        <v>6</v>
      </c>
      <c r="D403" s="188">
        <v>7</v>
      </c>
      <c r="E403" s="189">
        <v>4124</v>
      </c>
      <c r="F403" s="190"/>
      <c r="G403" s="1" t="str">
        <f>IFERROR(IF(ventas_b_mes2[[#This Row],[CUIT]]="","-",VLOOKUP(ventas_b_mes2[[#This Row],[CUIT]],Lista_CUIT[#All],2,0)),"CUIT NO CARGADO")</f>
        <v>-</v>
      </c>
      <c r="H403" s="64">
        <v>2975.2</v>
      </c>
      <c r="I403" s="191">
        <f>ventas_b_mes2[[#This Row],[IMPORTE NETO]]*0.21</f>
        <v>624.79199999999992</v>
      </c>
      <c r="J403" s="192"/>
      <c r="K403" s="192"/>
      <c r="L403" s="192">
        <f>SUM(ventas_b_mes2[[#This Row],[IMPORTE NETO]:[EXENTO]])</f>
        <v>3599.9919999999997</v>
      </c>
      <c r="M403" s="59"/>
    </row>
    <row r="404" spans="2:13" x14ac:dyDescent="0.25">
      <c r="B404" s="186">
        <v>44974</v>
      </c>
      <c r="C404" s="41">
        <v>6</v>
      </c>
      <c r="D404" s="188">
        <v>5</v>
      </c>
      <c r="E404" s="189">
        <v>7397</v>
      </c>
      <c r="F404" s="190"/>
      <c r="G404" s="1" t="str">
        <f>IFERROR(IF(ventas_b_mes2[[#This Row],[CUIT]]="","-",VLOOKUP(ventas_b_mes2[[#This Row],[CUIT]],Lista_CUIT[#All],2,0)),"CUIT NO CARGADO")</f>
        <v>-</v>
      </c>
      <c r="H404" s="64">
        <v>7024.79</v>
      </c>
      <c r="I404" s="191">
        <f>ventas_b_mes2[[#This Row],[IMPORTE NETO]]*0.21</f>
        <v>1475.2058999999999</v>
      </c>
      <c r="J404" s="192"/>
      <c r="K404" s="192"/>
      <c r="L404" s="192">
        <f>SUM(ventas_b_mes2[[#This Row],[IMPORTE NETO]:[EXENTO]])</f>
        <v>8499.9958999999999</v>
      </c>
      <c r="M404" s="59"/>
    </row>
    <row r="405" spans="2:13" x14ac:dyDescent="0.25">
      <c r="B405" s="186">
        <v>44974</v>
      </c>
      <c r="C405" s="41">
        <v>6</v>
      </c>
      <c r="D405" s="188">
        <v>5</v>
      </c>
      <c r="E405" s="189">
        <v>7389</v>
      </c>
      <c r="F405" s="190"/>
      <c r="G405" s="1" t="str">
        <f>IFERROR(IF(ventas_b_mes2[[#This Row],[CUIT]]="","-",VLOOKUP(ventas_b_mes2[[#This Row],[CUIT]],Lista_CUIT[#All],2,0)),"CUIT NO CARGADO")</f>
        <v>-</v>
      </c>
      <c r="H405" s="64">
        <v>2066.12</v>
      </c>
      <c r="I405" s="191">
        <f>ventas_b_mes2[[#This Row],[IMPORTE NETO]]*0.21</f>
        <v>433.88519999999994</v>
      </c>
      <c r="J405" s="192"/>
      <c r="K405" s="192"/>
      <c r="L405" s="192">
        <f>SUM(ventas_b_mes2[[#This Row],[IMPORTE NETO]:[EXENTO]])</f>
        <v>2500.0051999999996</v>
      </c>
      <c r="M405" s="59"/>
    </row>
    <row r="406" spans="2:13" x14ac:dyDescent="0.25">
      <c r="B406" s="186">
        <v>44974</v>
      </c>
      <c r="C406" s="41">
        <v>6</v>
      </c>
      <c r="D406" s="188">
        <v>5</v>
      </c>
      <c r="E406" s="189">
        <v>7386</v>
      </c>
      <c r="F406" s="190"/>
      <c r="G406" s="1" t="str">
        <f>IFERROR(IF(ventas_b_mes2[[#This Row],[CUIT]]="","-",VLOOKUP(ventas_b_mes2[[#This Row],[CUIT]],Lista_CUIT[#All],2,0)),"CUIT NO CARGADO")</f>
        <v>-</v>
      </c>
      <c r="H406" s="64">
        <v>4214.88</v>
      </c>
      <c r="I406" s="191">
        <f>ventas_b_mes2[[#This Row],[IMPORTE NETO]]*0.21</f>
        <v>885.12479999999994</v>
      </c>
      <c r="J406" s="192"/>
      <c r="K406" s="192"/>
      <c r="L406" s="192">
        <f>SUM(ventas_b_mes2[[#This Row],[IMPORTE NETO]:[EXENTO]])</f>
        <v>5100.0047999999997</v>
      </c>
      <c r="M406" s="59"/>
    </row>
    <row r="407" spans="2:13" x14ac:dyDescent="0.25">
      <c r="B407" s="186">
        <v>44974</v>
      </c>
      <c r="C407" s="41">
        <v>6</v>
      </c>
      <c r="D407" s="188">
        <v>5</v>
      </c>
      <c r="E407" s="189">
        <v>7388</v>
      </c>
      <c r="F407" s="190"/>
      <c r="G407" s="1" t="str">
        <f>IFERROR(IF(ventas_b_mes2[[#This Row],[CUIT]]="","-",VLOOKUP(ventas_b_mes2[[#This Row],[CUIT]],Lista_CUIT[#All],2,0)),"CUIT NO CARGADO")</f>
        <v>-</v>
      </c>
      <c r="H407" s="64">
        <v>4214.88</v>
      </c>
      <c r="I407" s="191">
        <f>ventas_b_mes2[[#This Row],[IMPORTE NETO]]*0.21</f>
        <v>885.12479999999994</v>
      </c>
      <c r="J407" s="192"/>
      <c r="K407" s="192"/>
      <c r="L407" s="192">
        <f>SUM(ventas_b_mes2[[#This Row],[IMPORTE NETO]:[EXENTO]])</f>
        <v>5100.0047999999997</v>
      </c>
      <c r="M407" s="59"/>
    </row>
    <row r="408" spans="2:13" x14ac:dyDescent="0.25">
      <c r="B408" s="186">
        <v>44974</v>
      </c>
      <c r="C408" s="41">
        <v>6</v>
      </c>
      <c r="D408" s="188">
        <v>5</v>
      </c>
      <c r="E408" s="189">
        <v>7391</v>
      </c>
      <c r="F408" s="190"/>
      <c r="G408" s="1" t="str">
        <f>IFERROR(IF(ventas_b_mes2[[#This Row],[CUIT]]="","-",VLOOKUP(ventas_b_mes2[[#This Row],[CUIT]],Lista_CUIT[#All],2,0)),"CUIT NO CARGADO")</f>
        <v>-</v>
      </c>
      <c r="H408" s="64">
        <v>3388.43</v>
      </c>
      <c r="I408" s="191">
        <f>ventas_b_mes2[[#This Row],[IMPORTE NETO]]*0.21</f>
        <v>711.57029999999997</v>
      </c>
      <c r="J408" s="192"/>
      <c r="K408" s="192"/>
      <c r="L408" s="192">
        <f>SUM(ventas_b_mes2[[#This Row],[IMPORTE NETO]:[EXENTO]])</f>
        <v>4100.0002999999997</v>
      </c>
      <c r="M408" s="59"/>
    </row>
    <row r="409" spans="2:13" x14ac:dyDescent="0.25">
      <c r="B409" s="186">
        <v>44974</v>
      </c>
      <c r="C409" s="41">
        <v>6</v>
      </c>
      <c r="D409" s="188">
        <v>5</v>
      </c>
      <c r="E409" s="189">
        <v>7390</v>
      </c>
      <c r="F409" s="190"/>
      <c r="G409" s="1" t="str">
        <f>IFERROR(IF(ventas_b_mes2[[#This Row],[CUIT]]="","-",VLOOKUP(ventas_b_mes2[[#This Row],[CUIT]],Lista_CUIT[#All],2,0)),"CUIT NO CARGADO")</f>
        <v>-</v>
      </c>
      <c r="H409" s="64">
        <v>4214.88</v>
      </c>
      <c r="I409" s="191">
        <f>ventas_b_mes2[[#This Row],[IMPORTE NETO]]*0.21</f>
        <v>885.12479999999994</v>
      </c>
      <c r="J409" s="192"/>
      <c r="K409" s="192"/>
      <c r="L409" s="192">
        <f>SUM(ventas_b_mes2[[#This Row],[IMPORTE NETO]:[EXENTO]])</f>
        <v>5100.0047999999997</v>
      </c>
      <c r="M409" s="59"/>
    </row>
    <row r="410" spans="2:13" x14ac:dyDescent="0.25">
      <c r="B410" s="186">
        <v>44974</v>
      </c>
      <c r="C410" s="41">
        <v>6</v>
      </c>
      <c r="D410" s="188">
        <v>5</v>
      </c>
      <c r="E410" s="189">
        <v>7394</v>
      </c>
      <c r="F410" s="190"/>
      <c r="G410" s="1" t="str">
        <f>IFERROR(IF(ventas_b_mes2[[#This Row],[CUIT]]="","-",VLOOKUP(ventas_b_mes2[[#This Row],[CUIT]],Lista_CUIT[#All],2,0)),"CUIT NO CARGADO")</f>
        <v>-</v>
      </c>
      <c r="H410" s="64">
        <v>2892.56</v>
      </c>
      <c r="I410" s="191">
        <f>ventas_b_mes2[[#This Row],[IMPORTE NETO]]*0.21</f>
        <v>607.43759999999997</v>
      </c>
      <c r="J410" s="192"/>
      <c r="K410" s="192"/>
      <c r="L410" s="192">
        <f>SUM(ventas_b_mes2[[#This Row],[IMPORTE NETO]:[EXENTO]])</f>
        <v>3499.9975999999997</v>
      </c>
      <c r="M410" s="59"/>
    </row>
    <row r="411" spans="2:13" x14ac:dyDescent="0.25">
      <c r="B411" s="186">
        <v>44974</v>
      </c>
      <c r="C411" s="41">
        <v>6</v>
      </c>
      <c r="D411" s="188">
        <v>5</v>
      </c>
      <c r="E411" s="189">
        <v>7387</v>
      </c>
      <c r="F411" s="190"/>
      <c r="G411" s="1" t="str">
        <f>IFERROR(IF(ventas_b_mes2[[#This Row],[CUIT]]="","-",VLOOKUP(ventas_b_mes2[[#This Row],[CUIT]],Lista_CUIT[#All],2,0)),"CUIT NO CARGADO")</f>
        <v>-</v>
      </c>
      <c r="H411" s="64">
        <v>5330.58</v>
      </c>
      <c r="I411" s="191">
        <f>ventas_b_mes2[[#This Row],[IMPORTE NETO]]*0.21</f>
        <v>1119.4217999999998</v>
      </c>
      <c r="J411" s="192"/>
      <c r="K411" s="192"/>
      <c r="L411" s="192">
        <f>SUM(ventas_b_mes2[[#This Row],[IMPORTE NETO]:[EXENTO]])</f>
        <v>6450.0018</v>
      </c>
      <c r="M411" s="59"/>
    </row>
    <row r="412" spans="2:13" x14ac:dyDescent="0.25">
      <c r="B412" s="186">
        <v>44974</v>
      </c>
      <c r="C412" s="41">
        <v>6</v>
      </c>
      <c r="D412" s="188">
        <v>5</v>
      </c>
      <c r="E412" s="189">
        <v>7392</v>
      </c>
      <c r="F412" s="190"/>
      <c r="G412" s="1" t="str">
        <f>IFERROR(IF(ventas_b_mes2[[#This Row],[CUIT]]="","-",VLOOKUP(ventas_b_mes2[[#This Row],[CUIT]],Lista_CUIT[#All],2,0)),"CUIT NO CARGADO")</f>
        <v>-</v>
      </c>
      <c r="H412" s="64">
        <v>2314.0500000000002</v>
      </c>
      <c r="I412" s="191">
        <f>ventas_b_mes2[[#This Row],[IMPORTE NETO]]*0.21</f>
        <v>485.95050000000003</v>
      </c>
      <c r="J412" s="192"/>
      <c r="K412" s="192"/>
      <c r="L412" s="192">
        <f>SUM(ventas_b_mes2[[#This Row],[IMPORTE NETO]:[EXENTO]])</f>
        <v>2800.0005000000001</v>
      </c>
      <c r="M412" s="59"/>
    </row>
    <row r="413" spans="2:13" x14ac:dyDescent="0.25">
      <c r="B413" s="186">
        <v>44974</v>
      </c>
      <c r="C413" s="41">
        <v>6</v>
      </c>
      <c r="D413" s="188">
        <v>5</v>
      </c>
      <c r="E413" s="189">
        <v>7396</v>
      </c>
      <c r="F413" s="190"/>
      <c r="G413" s="1" t="str">
        <f>IFERROR(IF(ventas_b_mes2[[#This Row],[CUIT]]="","-",VLOOKUP(ventas_b_mes2[[#This Row],[CUIT]],Lista_CUIT[#All],2,0)),"CUIT NO CARGADO")</f>
        <v>-</v>
      </c>
      <c r="H413" s="64">
        <v>6363.64</v>
      </c>
      <c r="I413" s="191">
        <f>ventas_b_mes2[[#This Row],[IMPORTE NETO]]*0.21</f>
        <v>1336.3643999999999</v>
      </c>
      <c r="J413" s="192"/>
      <c r="K413" s="192"/>
      <c r="L413" s="192">
        <f>SUM(ventas_b_mes2[[#This Row],[IMPORTE NETO]:[EXENTO]])</f>
        <v>7700.0043999999998</v>
      </c>
      <c r="M413" s="59"/>
    </row>
    <row r="414" spans="2:13" x14ac:dyDescent="0.25">
      <c r="B414" s="186">
        <v>44974</v>
      </c>
      <c r="C414" s="41">
        <v>6</v>
      </c>
      <c r="D414" s="188">
        <v>5</v>
      </c>
      <c r="E414" s="189">
        <v>7393</v>
      </c>
      <c r="F414" s="190"/>
      <c r="G414" s="1" t="str">
        <f>IFERROR(IF(ventas_b_mes2[[#This Row],[CUIT]]="","-",VLOOKUP(ventas_b_mes2[[#This Row],[CUIT]],Lista_CUIT[#All],2,0)),"CUIT NO CARGADO")</f>
        <v>-</v>
      </c>
      <c r="H414" s="64">
        <v>10578.51</v>
      </c>
      <c r="I414" s="191">
        <f>ventas_b_mes2[[#This Row],[IMPORTE NETO]]*0.21</f>
        <v>2221.4870999999998</v>
      </c>
      <c r="J414" s="192"/>
      <c r="K414" s="192"/>
      <c r="L414" s="192">
        <f>SUM(ventas_b_mes2[[#This Row],[IMPORTE NETO]:[EXENTO]])</f>
        <v>12799.997100000001</v>
      </c>
      <c r="M414" s="59"/>
    </row>
    <row r="415" spans="2:13" x14ac:dyDescent="0.25">
      <c r="B415" s="186">
        <v>44974</v>
      </c>
      <c r="C415" s="41">
        <v>6</v>
      </c>
      <c r="D415" s="188">
        <v>5</v>
      </c>
      <c r="E415" s="189">
        <v>7385</v>
      </c>
      <c r="F415" s="190"/>
      <c r="G415" s="1" t="str">
        <f>IFERROR(IF(ventas_b_mes2[[#This Row],[CUIT]]="","-",VLOOKUP(ventas_b_mes2[[#This Row],[CUIT]],Lista_CUIT[#All],2,0)),"CUIT NO CARGADO")</f>
        <v>-</v>
      </c>
      <c r="H415" s="64">
        <v>2479.34</v>
      </c>
      <c r="I415" s="191">
        <f>ventas_b_mes2[[#This Row],[IMPORTE NETO]]*0.21</f>
        <v>520.66139999999996</v>
      </c>
      <c r="J415" s="192"/>
      <c r="K415" s="192"/>
      <c r="L415" s="192">
        <f>SUM(ventas_b_mes2[[#This Row],[IMPORTE NETO]:[EXENTO]])</f>
        <v>3000.0014000000001</v>
      </c>
      <c r="M415" s="59"/>
    </row>
    <row r="416" spans="2:13" x14ac:dyDescent="0.25">
      <c r="B416" s="186">
        <v>44979</v>
      </c>
      <c r="C416" s="41">
        <v>6</v>
      </c>
      <c r="D416" s="188">
        <v>5</v>
      </c>
      <c r="E416" s="189">
        <v>7401</v>
      </c>
      <c r="F416" s="190"/>
      <c r="G416" s="1" t="str">
        <f>IFERROR(IF(ventas_b_mes2[[#This Row],[CUIT]]="","-",VLOOKUP(ventas_b_mes2[[#This Row],[CUIT]],Lista_CUIT[#All],2,0)),"CUIT NO CARGADO")</f>
        <v>-</v>
      </c>
      <c r="H416" s="64">
        <v>2975.21</v>
      </c>
      <c r="I416" s="191">
        <f>ventas_b_mes2[[#This Row],[IMPORTE NETO]]*0.21</f>
        <v>624.79409999999996</v>
      </c>
      <c r="J416" s="192"/>
      <c r="K416" s="192"/>
      <c r="L416" s="192">
        <f>SUM(ventas_b_mes2[[#This Row],[IMPORTE NETO]:[EXENTO]])</f>
        <v>3600.0041000000001</v>
      </c>
      <c r="M416" s="59"/>
    </row>
    <row r="417" spans="2:13" x14ac:dyDescent="0.25">
      <c r="B417" s="186">
        <v>44979</v>
      </c>
      <c r="C417" s="41">
        <v>6</v>
      </c>
      <c r="D417" s="188">
        <v>5</v>
      </c>
      <c r="E417" s="189">
        <v>7400</v>
      </c>
      <c r="F417" s="190"/>
      <c r="G417" s="1" t="str">
        <f>IFERROR(IF(ventas_b_mes2[[#This Row],[CUIT]]="","-",VLOOKUP(ventas_b_mes2[[#This Row],[CUIT]],Lista_CUIT[#All],2,0)),"CUIT NO CARGADO")</f>
        <v>-</v>
      </c>
      <c r="H417" s="64">
        <v>4090.91</v>
      </c>
      <c r="I417" s="191">
        <f>ventas_b_mes2[[#This Row],[IMPORTE NETO]]*0.21</f>
        <v>859.09109999999998</v>
      </c>
      <c r="J417" s="192"/>
      <c r="K417" s="192"/>
      <c r="L417" s="192">
        <f>SUM(ventas_b_mes2[[#This Row],[IMPORTE NETO]:[EXENTO]])</f>
        <v>4950.0010999999995</v>
      </c>
      <c r="M417" s="59"/>
    </row>
    <row r="418" spans="2:13" x14ac:dyDescent="0.25">
      <c r="B418" s="186">
        <v>44979</v>
      </c>
      <c r="C418" s="41">
        <v>6</v>
      </c>
      <c r="D418" s="188">
        <v>5</v>
      </c>
      <c r="E418" s="189">
        <v>7408</v>
      </c>
      <c r="F418" s="190"/>
      <c r="G418" s="1" t="str">
        <f>IFERROR(IF(ventas_b_mes2[[#This Row],[CUIT]]="","-",VLOOKUP(ventas_b_mes2[[#This Row],[CUIT]],Lista_CUIT[#All],2,0)),"CUIT NO CARGADO")</f>
        <v>-</v>
      </c>
      <c r="H418" s="64">
        <v>8099.17</v>
      </c>
      <c r="I418" s="191">
        <f>ventas_b_mes2[[#This Row],[IMPORTE NETO]]*0.21</f>
        <v>1700.8256999999999</v>
      </c>
      <c r="J418" s="192"/>
      <c r="K418" s="192"/>
      <c r="L418" s="192">
        <f>SUM(ventas_b_mes2[[#This Row],[IMPORTE NETO]:[EXENTO]])</f>
        <v>9799.9956999999995</v>
      </c>
      <c r="M418" s="59"/>
    </row>
    <row r="419" spans="2:13" x14ac:dyDescent="0.25">
      <c r="B419" s="186">
        <v>44979</v>
      </c>
      <c r="C419" s="41">
        <v>6</v>
      </c>
      <c r="D419" s="188">
        <v>5</v>
      </c>
      <c r="E419" s="189">
        <v>7411</v>
      </c>
      <c r="F419" s="190"/>
      <c r="G419" s="1" t="str">
        <f>IFERROR(IF(ventas_b_mes2[[#This Row],[CUIT]]="","-",VLOOKUP(ventas_b_mes2[[#This Row],[CUIT]],Lista_CUIT[#All],2,0)),"CUIT NO CARGADO")</f>
        <v>-</v>
      </c>
      <c r="H419" s="64">
        <v>4173.5600000000004</v>
      </c>
      <c r="I419" s="191">
        <f>ventas_b_mes2[[#This Row],[IMPORTE NETO]]*0.21</f>
        <v>876.44760000000008</v>
      </c>
      <c r="J419" s="192"/>
      <c r="K419" s="192"/>
      <c r="L419" s="192">
        <f>SUM(ventas_b_mes2[[#This Row],[IMPORTE NETO]:[EXENTO]])</f>
        <v>5050.0076000000008</v>
      </c>
      <c r="M419" s="59"/>
    </row>
    <row r="420" spans="2:13" x14ac:dyDescent="0.25">
      <c r="B420" s="186">
        <v>44979</v>
      </c>
      <c r="C420" s="41">
        <v>6</v>
      </c>
      <c r="D420" s="188">
        <v>5</v>
      </c>
      <c r="E420" s="189">
        <v>7403</v>
      </c>
      <c r="F420" s="190"/>
      <c r="G420" s="1" t="str">
        <f>IFERROR(IF(ventas_b_mes2[[#This Row],[CUIT]]="","-",VLOOKUP(ventas_b_mes2[[#This Row],[CUIT]],Lista_CUIT[#All],2,0)),"CUIT NO CARGADO")</f>
        <v>-</v>
      </c>
      <c r="H420" s="64">
        <v>6446.28</v>
      </c>
      <c r="I420" s="191">
        <f>ventas_b_mes2[[#This Row],[IMPORTE NETO]]*0.21</f>
        <v>1353.7187999999999</v>
      </c>
      <c r="J420" s="192"/>
      <c r="K420" s="192"/>
      <c r="L420" s="192">
        <f>SUM(ventas_b_mes2[[#This Row],[IMPORTE NETO]:[EXENTO]])</f>
        <v>7799.9987999999994</v>
      </c>
      <c r="M420" s="59"/>
    </row>
    <row r="421" spans="2:13" x14ac:dyDescent="0.25">
      <c r="B421" s="186">
        <v>44979</v>
      </c>
      <c r="C421" s="41">
        <v>6</v>
      </c>
      <c r="D421" s="188">
        <v>5</v>
      </c>
      <c r="E421" s="189">
        <v>7402</v>
      </c>
      <c r="F421" s="190"/>
      <c r="G421" s="1" t="str">
        <f>IFERROR(IF(ventas_b_mes2[[#This Row],[CUIT]]="","-",VLOOKUP(ventas_b_mes2[[#This Row],[CUIT]],Lista_CUIT[#All],2,0)),"CUIT NO CARGADO")</f>
        <v>-</v>
      </c>
      <c r="H421" s="64">
        <v>9586.7800000000007</v>
      </c>
      <c r="I421" s="191">
        <f>ventas_b_mes2[[#This Row],[IMPORTE NETO]]*0.21</f>
        <v>2013.2238</v>
      </c>
      <c r="J421" s="192"/>
      <c r="K421" s="192"/>
      <c r="L421" s="192">
        <f>SUM(ventas_b_mes2[[#This Row],[IMPORTE NETO]:[EXENTO]])</f>
        <v>11600.0038</v>
      </c>
      <c r="M421" s="59"/>
    </row>
    <row r="422" spans="2:13" x14ac:dyDescent="0.25">
      <c r="B422" s="186">
        <v>44979</v>
      </c>
      <c r="C422" s="41">
        <v>6</v>
      </c>
      <c r="D422" s="188">
        <v>5</v>
      </c>
      <c r="E422" s="189">
        <v>7407</v>
      </c>
      <c r="F422" s="190"/>
      <c r="G422" s="1" t="str">
        <f>IFERROR(IF(ventas_b_mes2[[#This Row],[CUIT]]="","-",VLOOKUP(ventas_b_mes2[[#This Row],[CUIT]],Lista_CUIT[#All],2,0)),"CUIT NO CARGADO")</f>
        <v>-</v>
      </c>
      <c r="H422" s="64">
        <v>14049.58</v>
      </c>
      <c r="I422" s="191">
        <f>ventas_b_mes2[[#This Row],[IMPORTE NETO]]*0.21</f>
        <v>2950.4117999999999</v>
      </c>
      <c r="J422" s="192"/>
      <c r="K422" s="192"/>
      <c r="L422" s="192">
        <f>SUM(ventas_b_mes2[[#This Row],[IMPORTE NETO]:[EXENTO]])</f>
        <v>16999.9918</v>
      </c>
      <c r="M422" s="59"/>
    </row>
    <row r="423" spans="2:13" x14ac:dyDescent="0.25">
      <c r="B423" s="186">
        <v>44979</v>
      </c>
      <c r="C423" s="41">
        <v>6</v>
      </c>
      <c r="D423" s="188">
        <v>5</v>
      </c>
      <c r="E423" s="189">
        <v>7410</v>
      </c>
      <c r="F423" s="190"/>
      <c r="G423" s="1" t="str">
        <f>IFERROR(IF(ventas_b_mes2[[#This Row],[CUIT]]="","-",VLOOKUP(ventas_b_mes2[[#This Row],[CUIT]],Lista_CUIT[#All],2,0)),"CUIT NO CARGADO")</f>
        <v>-</v>
      </c>
      <c r="H423" s="64">
        <v>4752.07</v>
      </c>
      <c r="I423" s="191">
        <f>ventas_b_mes2[[#This Row],[IMPORTE NETO]]*0.21</f>
        <v>997.93469999999991</v>
      </c>
      <c r="J423" s="192"/>
      <c r="K423" s="192"/>
      <c r="L423" s="192">
        <f>SUM(ventas_b_mes2[[#This Row],[IMPORTE NETO]:[EXENTO]])</f>
        <v>5750.0046999999995</v>
      </c>
      <c r="M423" s="59"/>
    </row>
    <row r="424" spans="2:13" x14ac:dyDescent="0.25">
      <c r="B424" s="186">
        <v>44979</v>
      </c>
      <c r="C424" s="41">
        <v>6</v>
      </c>
      <c r="D424" s="188">
        <v>5</v>
      </c>
      <c r="E424" s="189">
        <v>7406</v>
      </c>
      <c r="F424" s="190"/>
      <c r="G424" s="1" t="str">
        <f>IFERROR(IF(ventas_b_mes2[[#This Row],[CUIT]]="","-",VLOOKUP(ventas_b_mes2[[#This Row],[CUIT]],Lista_CUIT[#All],2,0)),"CUIT NO CARGADO")</f>
        <v>-</v>
      </c>
      <c r="H424" s="64">
        <v>826.45</v>
      </c>
      <c r="I424" s="191">
        <f>ventas_b_mes2[[#This Row],[IMPORTE NETO]]*0.21</f>
        <v>173.55449999999999</v>
      </c>
      <c r="J424" s="192"/>
      <c r="K424" s="192"/>
      <c r="L424" s="192">
        <f>SUM(ventas_b_mes2[[#This Row],[IMPORTE NETO]:[EXENTO]])</f>
        <v>1000.0045</v>
      </c>
      <c r="M424" s="59"/>
    </row>
    <row r="425" spans="2:13" x14ac:dyDescent="0.25">
      <c r="B425" s="186">
        <v>44979</v>
      </c>
      <c r="C425" s="41">
        <v>6</v>
      </c>
      <c r="D425" s="188">
        <v>7</v>
      </c>
      <c r="E425" s="189">
        <v>4125</v>
      </c>
      <c r="F425" s="190"/>
      <c r="G425" s="1" t="str">
        <f>IFERROR(IF(ventas_b_mes2[[#This Row],[CUIT]]="","-",VLOOKUP(ventas_b_mes2[[#This Row],[CUIT]],Lista_CUIT[#All],2,0)),"CUIT NO CARGADO")</f>
        <v>-</v>
      </c>
      <c r="H425" s="64">
        <v>76033.06</v>
      </c>
      <c r="I425" s="191">
        <f>ventas_b_mes2[[#This Row],[IMPORTE NETO]]*0.21</f>
        <v>15966.942599999998</v>
      </c>
      <c r="J425" s="192"/>
      <c r="K425" s="192"/>
      <c r="L425" s="192">
        <f>SUM(ventas_b_mes2[[#This Row],[IMPORTE NETO]:[EXENTO]])</f>
        <v>92000.002599999993</v>
      </c>
      <c r="M425" s="59"/>
    </row>
    <row r="426" spans="2:13" x14ac:dyDescent="0.25">
      <c r="B426" s="186">
        <v>44979</v>
      </c>
      <c r="C426" s="41">
        <v>6</v>
      </c>
      <c r="D426" s="188">
        <v>5</v>
      </c>
      <c r="E426" s="189">
        <v>7409</v>
      </c>
      <c r="F426" s="190"/>
      <c r="G426" s="1" t="str">
        <f>IFERROR(IF(ventas_b_mes2[[#This Row],[CUIT]]="","-",VLOOKUP(ventas_b_mes2[[#This Row],[CUIT]],Lista_CUIT[#All],2,0)),"CUIT NO CARGADO")</f>
        <v>-</v>
      </c>
      <c r="H426" s="64">
        <v>6776.86</v>
      </c>
      <c r="I426" s="191">
        <f>ventas_b_mes2[[#This Row],[IMPORTE NETO]]*0.21</f>
        <v>1423.1405999999999</v>
      </c>
      <c r="J426" s="192"/>
      <c r="K426" s="192"/>
      <c r="L426" s="192">
        <f>SUM(ventas_b_mes2[[#This Row],[IMPORTE NETO]:[EXENTO]])</f>
        <v>8200.0005999999994</v>
      </c>
      <c r="M426" s="59"/>
    </row>
    <row r="427" spans="2:13" x14ac:dyDescent="0.25">
      <c r="B427" s="186">
        <v>44979</v>
      </c>
      <c r="C427" s="41">
        <v>6</v>
      </c>
      <c r="D427" s="188">
        <v>5</v>
      </c>
      <c r="E427" s="189">
        <v>7405</v>
      </c>
      <c r="F427" s="190"/>
      <c r="G427" s="1" t="str">
        <f>IFERROR(IF(ventas_b_mes2[[#This Row],[CUIT]]="","-",VLOOKUP(ventas_b_mes2[[#This Row],[CUIT]],Lista_CUIT[#All],2,0)),"CUIT NO CARGADO")</f>
        <v>-</v>
      </c>
      <c r="H427" s="64">
        <v>4132.2299999999996</v>
      </c>
      <c r="I427" s="191">
        <f>ventas_b_mes2[[#This Row],[IMPORTE NETO]]*0.21</f>
        <v>867.76829999999984</v>
      </c>
      <c r="J427" s="192"/>
      <c r="K427" s="192"/>
      <c r="L427" s="192">
        <f>SUM(ventas_b_mes2[[#This Row],[IMPORTE NETO]:[EXENTO]])</f>
        <v>4999.9982999999993</v>
      </c>
      <c r="M427" s="59"/>
    </row>
    <row r="428" spans="2:13" x14ac:dyDescent="0.25">
      <c r="B428" s="186">
        <v>44979</v>
      </c>
      <c r="C428" s="41">
        <v>6</v>
      </c>
      <c r="D428" s="188">
        <v>5</v>
      </c>
      <c r="E428" s="189">
        <v>7399</v>
      </c>
      <c r="F428" s="190"/>
      <c r="G428" s="1" t="str">
        <f>IFERROR(IF(ventas_b_mes2[[#This Row],[CUIT]]="","-",VLOOKUP(ventas_b_mes2[[#This Row],[CUIT]],Lista_CUIT[#All],2,0)),"CUIT NO CARGADO")</f>
        <v>-</v>
      </c>
      <c r="H428" s="64">
        <v>3471.07</v>
      </c>
      <c r="I428" s="191">
        <f>ventas_b_mes2[[#This Row],[IMPORTE NETO]]*0.21</f>
        <v>728.92470000000003</v>
      </c>
      <c r="J428" s="192"/>
      <c r="K428" s="192"/>
      <c r="L428" s="192">
        <f>SUM(ventas_b_mes2[[#This Row],[IMPORTE NETO]:[EXENTO]])</f>
        <v>4199.9947000000002</v>
      </c>
      <c r="M428" s="59"/>
    </row>
    <row r="429" spans="2:13" x14ac:dyDescent="0.25">
      <c r="B429" s="186">
        <v>44979</v>
      </c>
      <c r="C429" s="41">
        <v>6</v>
      </c>
      <c r="D429" s="188">
        <v>5</v>
      </c>
      <c r="E429" s="189">
        <v>7398</v>
      </c>
      <c r="F429" s="190"/>
      <c r="G429" s="1" t="str">
        <f>IFERROR(IF(ventas_b_mes2[[#This Row],[CUIT]]="","-",VLOOKUP(ventas_b_mes2[[#This Row],[CUIT]],Lista_CUIT[#All],2,0)),"CUIT NO CARGADO")</f>
        <v>-</v>
      </c>
      <c r="H429" s="64">
        <v>3305.79</v>
      </c>
      <c r="I429" s="191">
        <f>ventas_b_mes2[[#This Row],[IMPORTE NETO]]*0.21</f>
        <v>694.21589999999992</v>
      </c>
      <c r="J429" s="192"/>
      <c r="K429" s="192"/>
      <c r="L429" s="192">
        <f>SUM(ventas_b_mes2[[#This Row],[IMPORTE NETO]:[EXENTO]])</f>
        <v>4000.0059000000001</v>
      </c>
      <c r="M429" s="59"/>
    </row>
    <row r="430" spans="2:13" x14ac:dyDescent="0.25">
      <c r="B430" s="186">
        <v>44979</v>
      </c>
      <c r="C430" s="41">
        <v>6</v>
      </c>
      <c r="D430" s="188">
        <v>5</v>
      </c>
      <c r="E430" s="189">
        <v>7404</v>
      </c>
      <c r="F430" s="190"/>
      <c r="G430" s="1" t="str">
        <f>IFERROR(IF(ventas_b_mes2[[#This Row],[CUIT]]="","-",VLOOKUP(ventas_b_mes2[[#This Row],[CUIT]],Lista_CUIT[#All],2,0)),"CUIT NO CARGADO")</f>
        <v>-</v>
      </c>
      <c r="H430" s="64">
        <v>1735.54</v>
      </c>
      <c r="I430" s="191">
        <f>ventas_b_mes2[[#This Row],[IMPORTE NETO]]*0.21</f>
        <v>364.46339999999998</v>
      </c>
      <c r="J430" s="192"/>
      <c r="K430" s="192"/>
      <c r="L430" s="192">
        <f>SUM(ventas_b_mes2[[#This Row],[IMPORTE NETO]:[EXENTO]])</f>
        <v>2100.0034000000001</v>
      </c>
      <c r="M430" s="59"/>
    </row>
    <row r="431" spans="2:13" x14ac:dyDescent="0.25">
      <c r="B431" s="186">
        <v>44980</v>
      </c>
      <c r="C431" s="41">
        <v>6</v>
      </c>
      <c r="D431" s="188">
        <v>5</v>
      </c>
      <c r="E431" s="189">
        <v>7418</v>
      </c>
      <c r="F431" s="190"/>
      <c r="G431" s="1" t="str">
        <f>IFERROR(IF(ventas_b_mes2[[#This Row],[CUIT]]="","-",VLOOKUP(ventas_b_mes2[[#This Row],[CUIT]],Lista_CUIT[#All],2,0)),"CUIT NO CARGADO")</f>
        <v>-</v>
      </c>
      <c r="H431" s="64">
        <v>2975.21</v>
      </c>
      <c r="I431" s="191">
        <f>ventas_b_mes2[[#This Row],[IMPORTE NETO]]*0.21</f>
        <v>624.79409999999996</v>
      </c>
      <c r="J431" s="192"/>
      <c r="K431" s="192"/>
      <c r="L431" s="192">
        <f>SUM(ventas_b_mes2[[#This Row],[IMPORTE NETO]:[EXENTO]])</f>
        <v>3600.0041000000001</v>
      </c>
      <c r="M431" s="59"/>
    </row>
    <row r="432" spans="2:13" x14ac:dyDescent="0.25">
      <c r="B432" s="186">
        <v>44980</v>
      </c>
      <c r="C432" s="41">
        <v>6</v>
      </c>
      <c r="D432" s="188">
        <v>7</v>
      </c>
      <c r="E432" s="189">
        <v>4127</v>
      </c>
      <c r="F432" s="190"/>
      <c r="G432" s="1" t="str">
        <f>IFERROR(IF(ventas_b_mes2[[#This Row],[CUIT]]="","-",VLOOKUP(ventas_b_mes2[[#This Row],[CUIT]],Lista_CUIT[#All],2,0)),"CUIT NO CARGADO")</f>
        <v>-</v>
      </c>
      <c r="H432" s="64">
        <v>7438.02</v>
      </c>
      <c r="I432" s="191">
        <f>ventas_b_mes2[[#This Row],[IMPORTE NETO]]*0.21</f>
        <v>1561.9842000000001</v>
      </c>
      <c r="J432" s="192"/>
      <c r="K432" s="192"/>
      <c r="L432" s="192">
        <f>SUM(ventas_b_mes2[[#This Row],[IMPORTE NETO]:[EXENTO]])</f>
        <v>9000.0042000000012</v>
      </c>
      <c r="M432" s="59"/>
    </row>
    <row r="433" spans="2:13" x14ac:dyDescent="0.25">
      <c r="B433" s="186">
        <v>44980</v>
      </c>
      <c r="C433" s="41">
        <v>6</v>
      </c>
      <c r="D433" s="188">
        <v>7</v>
      </c>
      <c r="E433" s="189">
        <v>4126</v>
      </c>
      <c r="F433" s="190"/>
      <c r="G433" s="1" t="str">
        <f>IFERROR(IF(ventas_b_mes2[[#This Row],[CUIT]]="","-",VLOOKUP(ventas_b_mes2[[#This Row],[CUIT]],Lista_CUIT[#All],2,0)),"CUIT NO CARGADO")</f>
        <v>-</v>
      </c>
      <c r="H433" s="64">
        <v>3719.01</v>
      </c>
      <c r="I433" s="191">
        <f>ventas_b_mes2[[#This Row],[IMPORTE NETO]]*0.21</f>
        <v>780.99210000000005</v>
      </c>
      <c r="J433" s="192"/>
      <c r="K433" s="192"/>
      <c r="L433" s="192">
        <f>SUM(ventas_b_mes2[[#This Row],[IMPORTE NETO]:[EXENTO]])</f>
        <v>4500.0021000000006</v>
      </c>
      <c r="M433" s="59"/>
    </row>
    <row r="434" spans="2:13" x14ac:dyDescent="0.25">
      <c r="B434" s="186">
        <v>44980</v>
      </c>
      <c r="C434" s="41">
        <v>6</v>
      </c>
      <c r="D434" s="188">
        <v>5</v>
      </c>
      <c r="E434" s="189">
        <v>7417</v>
      </c>
      <c r="F434" s="190"/>
      <c r="G434" s="1" t="str">
        <f>IFERROR(IF(ventas_b_mes2[[#This Row],[CUIT]]="","-",VLOOKUP(ventas_b_mes2[[#This Row],[CUIT]],Lista_CUIT[#All],2,0)),"CUIT NO CARGADO")</f>
        <v>-</v>
      </c>
      <c r="H434" s="64">
        <v>2066.12</v>
      </c>
      <c r="I434" s="191">
        <f>ventas_b_mes2[[#This Row],[IMPORTE NETO]]*0.21</f>
        <v>433.88519999999994</v>
      </c>
      <c r="J434" s="192"/>
      <c r="K434" s="192"/>
      <c r="L434" s="192">
        <f>SUM(ventas_b_mes2[[#This Row],[IMPORTE NETO]:[EXENTO]])</f>
        <v>2500.0051999999996</v>
      </c>
      <c r="M434" s="59"/>
    </row>
    <row r="435" spans="2:13" x14ac:dyDescent="0.25">
      <c r="B435" s="186">
        <v>44980</v>
      </c>
      <c r="C435" s="41">
        <v>6</v>
      </c>
      <c r="D435" s="188">
        <v>5</v>
      </c>
      <c r="E435" s="189">
        <v>7419</v>
      </c>
      <c r="F435" s="190"/>
      <c r="G435" s="1" t="str">
        <f>IFERROR(IF(ventas_b_mes2[[#This Row],[CUIT]]="","-",VLOOKUP(ventas_b_mes2[[#This Row],[CUIT]],Lista_CUIT[#All],2,0)),"CUIT NO CARGADO")</f>
        <v>-</v>
      </c>
      <c r="H435" s="64">
        <v>4669.42</v>
      </c>
      <c r="I435" s="191">
        <f>ventas_b_mes2[[#This Row],[IMPORTE NETO]]*0.21</f>
        <v>980.57819999999992</v>
      </c>
      <c r="J435" s="192"/>
      <c r="K435" s="192"/>
      <c r="L435" s="192">
        <f>SUM(ventas_b_mes2[[#This Row],[IMPORTE NETO]:[EXENTO]])</f>
        <v>5649.9982</v>
      </c>
      <c r="M435" s="59"/>
    </row>
    <row r="436" spans="2:13" x14ac:dyDescent="0.25">
      <c r="B436" s="186">
        <v>44980</v>
      </c>
      <c r="C436" s="41">
        <v>6</v>
      </c>
      <c r="D436" s="188">
        <v>5</v>
      </c>
      <c r="E436" s="189">
        <v>7415</v>
      </c>
      <c r="F436" s="190"/>
      <c r="G436" s="1" t="str">
        <f>IFERROR(IF(ventas_b_mes2[[#This Row],[CUIT]]="","-",VLOOKUP(ventas_b_mes2[[#This Row],[CUIT]],Lista_CUIT[#All],2,0)),"CUIT NO CARGADO")</f>
        <v>-</v>
      </c>
      <c r="H436" s="64">
        <v>4132.2299999999996</v>
      </c>
      <c r="I436" s="191">
        <f>ventas_b_mes2[[#This Row],[IMPORTE NETO]]*0.21</f>
        <v>867.76829999999984</v>
      </c>
      <c r="J436" s="192"/>
      <c r="K436" s="192"/>
      <c r="L436" s="192">
        <f>SUM(ventas_b_mes2[[#This Row],[IMPORTE NETO]:[EXENTO]])</f>
        <v>4999.9982999999993</v>
      </c>
      <c r="M436" s="59"/>
    </row>
    <row r="437" spans="2:13" x14ac:dyDescent="0.25">
      <c r="B437" s="186">
        <v>44980</v>
      </c>
      <c r="C437" s="41">
        <v>6</v>
      </c>
      <c r="D437" s="188">
        <v>7</v>
      </c>
      <c r="E437" s="189">
        <v>4128</v>
      </c>
      <c r="F437" s="190"/>
      <c r="G437" s="1" t="str">
        <f>IFERROR(IF(ventas_b_mes2[[#This Row],[CUIT]]="","-",VLOOKUP(ventas_b_mes2[[#This Row],[CUIT]],Lista_CUIT[#All],2,0)),"CUIT NO CARGADO")</f>
        <v>-</v>
      </c>
      <c r="H437" s="64">
        <v>3057.86</v>
      </c>
      <c r="I437" s="191">
        <f>ventas_b_mes2[[#This Row],[IMPORTE NETO]]*0.21</f>
        <v>642.15060000000005</v>
      </c>
      <c r="J437" s="192"/>
      <c r="K437" s="192"/>
      <c r="L437" s="192">
        <f>SUM(ventas_b_mes2[[#This Row],[IMPORTE NETO]:[EXENTO]])</f>
        <v>3700.0106000000001</v>
      </c>
      <c r="M437" s="59"/>
    </row>
    <row r="438" spans="2:13" x14ac:dyDescent="0.25">
      <c r="B438" s="186">
        <v>44980</v>
      </c>
      <c r="C438" s="41">
        <v>6</v>
      </c>
      <c r="D438" s="188">
        <v>5</v>
      </c>
      <c r="E438" s="189">
        <v>7412</v>
      </c>
      <c r="F438" s="190"/>
      <c r="G438" s="1" t="str">
        <f>IFERROR(IF(ventas_b_mes2[[#This Row],[CUIT]]="","-",VLOOKUP(ventas_b_mes2[[#This Row],[CUIT]],Lista_CUIT[#All],2,0)),"CUIT NO CARGADO")</f>
        <v>-</v>
      </c>
      <c r="H438" s="64">
        <v>5495.87</v>
      </c>
      <c r="I438" s="191">
        <f>ventas_b_mes2[[#This Row],[IMPORTE NETO]]*0.21</f>
        <v>1154.1326999999999</v>
      </c>
      <c r="J438" s="192"/>
      <c r="K438" s="192"/>
      <c r="L438" s="192">
        <f>SUM(ventas_b_mes2[[#This Row],[IMPORTE NETO]:[EXENTO]])</f>
        <v>6650.0027</v>
      </c>
      <c r="M438" s="59"/>
    </row>
    <row r="439" spans="2:13" x14ac:dyDescent="0.25">
      <c r="B439" s="186">
        <v>44980</v>
      </c>
      <c r="C439" s="41">
        <v>6</v>
      </c>
      <c r="D439" s="188">
        <v>5</v>
      </c>
      <c r="E439" s="189">
        <v>7416</v>
      </c>
      <c r="F439" s="190"/>
      <c r="G439" s="1" t="str">
        <f>IFERROR(IF(ventas_b_mes2[[#This Row],[CUIT]]="","-",VLOOKUP(ventas_b_mes2[[#This Row],[CUIT]],Lista_CUIT[#All],2,0)),"CUIT NO CARGADO")</f>
        <v>-</v>
      </c>
      <c r="H439" s="64">
        <v>9504.1299999999992</v>
      </c>
      <c r="I439" s="191">
        <f>ventas_b_mes2[[#This Row],[IMPORTE NETO]]*0.21</f>
        <v>1995.8672999999997</v>
      </c>
      <c r="J439" s="192"/>
      <c r="K439" s="192"/>
      <c r="L439" s="192">
        <f>SUM(ventas_b_mes2[[#This Row],[IMPORTE NETO]:[EXENTO]])</f>
        <v>11499.997299999999</v>
      </c>
      <c r="M439" s="59"/>
    </row>
    <row r="440" spans="2:13" x14ac:dyDescent="0.25">
      <c r="B440" s="186">
        <v>44980</v>
      </c>
      <c r="C440" s="41">
        <v>6</v>
      </c>
      <c r="D440" s="188">
        <v>5</v>
      </c>
      <c r="E440" s="189">
        <v>7414</v>
      </c>
      <c r="F440" s="190"/>
      <c r="G440" s="1" t="str">
        <f>IFERROR(IF(ventas_b_mes2[[#This Row],[CUIT]]="","-",VLOOKUP(ventas_b_mes2[[#This Row],[CUIT]],Lista_CUIT[#All],2,0)),"CUIT NO CARGADO")</f>
        <v>-</v>
      </c>
      <c r="H440" s="64">
        <v>3140.5</v>
      </c>
      <c r="I440" s="191">
        <f>ventas_b_mes2[[#This Row],[IMPORTE NETO]]*0.21</f>
        <v>659.505</v>
      </c>
      <c r="J440" s="192"/>
      <c r="K440" s="192"/>
      <c r="L440" s="192">
        <f>SUM(ventas_b_mes2[[#This Row],[IMPORTE NETO]:[EXENTO]])</f>
        <v>3800.0050000000001</v>
      </c>
      <c r="M440" s="59"/>
    </row>
    <row r="441" spans="2:13" x14ac:dyDescent="0.25">
      <c r="B441" s="186">
        <v>44980</v>
      </c>
      <c r="C441" s="41">
        <v>6</v>
      </c>
      <c r="D441" s="188">
        <v>5</v>
      </c>
      <c r="E441" s="189">
        <v>7413</v>
      </c>
      <c r="F441" s="190"/>
      <c r="G441" s="1" t="str">
        <f>IFERROR(IF(ventas_b_mes2[[#This Row],[CUIT]]="","-",VLOOKUP(ventas_b_mes2[[#This Row],[CUIT]],Lista_CUIT[#All],2,0)),"CUIT NO CARGADO")</f>
        <v>-</v>
      </c>
      <c r="H441" s="64">
        <v>18016.53</v>
      </c>
      <c r="I441" s="191">
        <f>ventas_b_mes2[[#This Row],[IMPORTE NETO]]*0.21</f>
        <v>3783.4712999999997</v>
      </c>
      <c r="J441" s="192"/>
      <c r="K441" s="192"/>
      <c r="L441" s="192">
        <f>SUM(ventas_b_mes2[[#This Row],[IMPORTE NETO]:[EXENTO]])</f>
        <v>21800.0013</v>
      </c>
      <c r="M441" s="59"/>
    </row>
    <row r="442" spans="2:13" x14ac:dyDescent="0.25">
      <c r="B442" s="186">
        <v>44981</v>
      </c>
      <c r="C442" s="41">
        <v>6</v>
      </c>
      <c r="D442" s="188">
        <v>5</v>
      </c>
      <c r="E442" s="189">
        <v>7423</v>
      </c>
      <c r="F442" s="190"/>
      <c r="G442" s="1" t="str">
        <f>IFERROR(IF(ventas_b_mes2[[#This Row],[CUIT]]="","-",VLOOKUP(ventas_b_mes2[[#This Row],[CUIT]],Lista_CUIT[#All],2,0)),"CUIT NO CARGADO")</f>
        <v>-</v>
      </c>
      <c r="H442" s="64">
        <v>1239.67</v>
      </c>
      <c r="I442" s="191">
        <f>ventas_b_mes2[[#This Row],[IMPORTE NETO]]*0.21</f>
        <v>260.33069999999998</v>
      </c>
      <c r="J442" s="192"/>
      <c r="K442" s="192"/>
      <c r="L442" s="192">
        <f>SUM(ventas_b_mes2[[#This Row],[IMPORTE NETO]:[EXENTO]])</f>
        <v>1500.0007000000001</v>
      </c>
      <c r="M442" s="59"/>
    </row>
    <row r="443" spans="2:13" x14ac:dyDescent="0.25">
      <c r="B443" s="186">
        <v>44981</v>
      </c>
      <c r="C443" s="41">
        <v>6</v>
      </c>
      <c r="D443" s="188">
        <v>7</v>
      </c>
      <c r="E443" s="189">
        <v>4129</v>
      </c>
      <c r="F443" s="190"/>
      <c r="G443" s="1" t="str">
        <f>IFERROR(IF(ventas_b_mes2[[#This Row],[CUIT]]="","-",VLOOKUP(ventas_b_mes2[[#This Row],[CUIT]],Lista_CUIT[#All],2,0)),"CUIT NO CARGADO")</f>
        <v>-</v>
      </c>
      <c r="H443" s="64">
        <v>991.73</v>
      </c>
      <c r="I443" s="191">
        <f>ventas_b_mes2[[#This Row],[IMPORTE NETO]]*0.21</f>
        <v>208.26329999999999</v>
      </c>
      <c r="J443" s="192"/>
      <c r="K443" s="192"/>
      <c r="L443" s="192">
        <f>SUM(ventas_b_mes2[[#This Row],[IMPORTE NETO]:[EXENTO]])</f>
        <v>1199.9933000000001</v>
      </c>
      <c r="M443" s="59"/>
    </row>
    <row r="444" spans="2:13" x14ac:dyDescent="0.25">
      <c r="B444" s="186">
        <v>44981</v>
      </c>
      <c r="C444" s="41">
        <v>6</v>
      </c>
      <c r="D444" s="188">
        <v>5</v>
      </c>
      <c r="E444" s="189">
        <v>7424</v>
      </c>
      <c r="F444" s="190"/>
      <c r="G444" s="1" t="str">
        <f>IFERROR(IF(ventas_b_mes2[[#This Row],[CUIT]]="","-",VLOOKUP(ventas_b_mes2[[#This Row],[CUIT]],Lista_CUIT[#All],2,0)),"CUIT NO CARGADO")</f>
        <v>-</v>
      </c>
      <c r="H444" s="64">
        <v>6239.67</v>
      </c>
      <c r="I444" s="191">
        <f>ventas_b_mes2[[#This Row],[IMPORTE NETO]]*0.21</f>
        <v>1310.3307</v>
      </c>
      <c r="J444" s="192"/>
      <c r="K444" s="192"/>
      <c r="L444" s="192">
        <f>SUM(ventas_b_mes2[[#This Row],[IMPORTE NETO]:[EXENTO]])</f>
        <v>7550.0007000000005</v>
      </c>
      <c r="M444" s="59"/>
    </row>
    <row r="445" spans="2:13" x14ac:dyDescent="0.25">
      <c r="B445" s="186">
        <v>44981</v>
      </c>
      <c r="C445" s="41">
        <v>6</v>
      </c>
      <c r="D445" s="188">
        <v>7</v>
      </c>
      <c r="E445" s="189">
        <v>4130</v>
      </c>
      <c r="F445" s="190"/>
      <c r="G445" s="1" t="str">
        <f>IFERROR(IF(ventas_b_mes2[[#This Row],[CUIT]]="","-",VLOOKUP(ventas_b_mes2[[#This Row],[CUIT]],Lista_CUIT[#All],2,0)),"CUIT NO CARGADO")</f>
        <v>-</v>
      </c>
      <c r="H445" s="64">
        <v>5950.41</v>
      </c>
      <c r="I445" s="191">
        <f>ventas_b_mes2[[#This Row],[IMPORTE NETO]]*0.21</f>
        <v>1249.5861</v>
      </c>
      <c r="J445" s="192"/>
      <c r="K445" s="192"/>
      <c r="L445" s="192">
        <f>SUM(ventas_b_mes2[[#This Row],[IMPORTE NETO]:[EXENTO]])</f>
        <v>7199.9961000000003</v>
      </c>
      <c r="M445" s="59"/>
    </row>
    <row r="446" spans="2:13" x14ac:dyDescent="0.25">
      <c r="B446" s="186">
        <v>44981</v>
      </c>
      <c r="C446" s="41">
        <v>6</v>
      </c>
      <c r="D446" s="188">
        <v>5</v>
      </c>
      <c r="E446" s="189">
        <v>7422</v>
      </c>
      <c r="F446" s="190"/>
      <c r="G446" s="1" t="str">
        <f>IFERROR(IF(ventas_b_mes2[[#This Row],[CUIT]]="","-",VLOOKUP(ventas_b_mes2[[#This Row],[CUIT]],Lista_CUIT[#All],2,0)),"CUIT NO CARGADO")</f>
        <v>-</v>
      </c>
      <c r="H446" s="64">
        <v>8842.98</v>
      </c>
      <c r="I446" s="191">
        <f>ventas_b_mes2[[#This Row],[IMPORTE NETO]]*0.21</f>
        <v>1857.0257999999999</v>
      </c>
      <c r="J446" s="192"/>
      <c r="K446" s="192"/>
      <c r="L446" s="192">
        <f>SUM(ventas_b_mes2[[#This Row],[IMPORTE NETO]:[EXENTO]])</f>
        <v>10700.005799999999</v>
      </c>
      <c r="M446" s="59"/>
    </row>
    <row r="447" spans="2:13" x14ac:dyDescent="0.25">
      <c r="B447" s="186">
        <v>44981</v>
      </c>
      <c r="C447" s="41">
        <v>6</v>
      </c>
      <c r="D447" s="188">
        <v>5</v>
      </c>
      <c r="E447" s="189">
        <v>7425</v>
      </c>
      <c r="F447" s="190"/>
      <c r="G447" s="1" t="str">
        <f>IFERROR(IF(ventas_b_mes2[[#This Row],[CUIT]]="","-",VLOOKUP(ventas_b_mes2[[#This Row],[CUIT]],Lista_CUIT[#All],2,0)),"CUIT NO CARGADO")</f>
        <v>-</v>
      </c>
      <c r="H447" s="64">
        <v>4214.88</v>
      </c>
      <c r="I447" s="191">
        <f>ventas_b_mes2[[#This Row],[IMPORTE NETO]]*0.21</f>
        <v>885.12479999999994</v>
      </c>
      <c r="J447" s="192"/>
      <c r="K447" s="192"/>
      <c r="L447" s="192">
        <f>SUM(ventas_b_mes2[[#This Row],[IMPORTE NETO]:[EXENTO]])</f>
        <v>5100.0047999999997</v>
      </c>
      <c r="M447" s="59"/>
    </row>
    <row r="448" spans="2:13" x14ac:dyDescent="0.25">
      <c r="B448" s="186">
        <v>44981</v>
      </c>
      <c r="C448" s="41">
        <v>6</v>
      </c>
      <c r="D448" s="188">
        <v>7</v>
      </c>
      <c r="E448" s="189">
        <v>4132</v>
      </c>
      <c r="F448" s="190"/>
      <c r="G448" s="1" t="str">
        <f>IFERROR(IF(ventas_b_mes2[[#This Row],[CUIT]]="","-",VLOOKUP(ventas_b_mes2[[#This Row],[CUIT]],Lista_CUIT[#All],2,0)),"CUIT NO CARGADO")</f>
        <v>-</v>
      </c>
      <c r="H448" s="64">
        <v>5785.12</v>
      </c>
      <c r="I448" s="191">
        <f>ventas_b_mes2[[#This Row],[IMPORTE NETO]]*0.21</f>
        <v>1214.8751999999999</v>
      </c>
      <c r="J448" s="192"/>
      <c r="K448" s="192"/>
      <c r="L448" s="192">
        <f>SUM(ventas_b_mes2[[#This Row],[IMPORTE NETO]:[EXENTO]])</f>
        <v>6999.9951999999994</v>
      </c>
      <c r="M448" s="59"/>
    </row>
    <row r="449" spans="2:13" x14ac:dyDescent="0.25">
      <c r="B449" s="186">
        <v>44981</v>
      </c>
      <c r="C449" s="41">
        <v>6</v>
      </c>
      <c r="D449" s="188">
        <v>5</v>
      </c>
      <c r="E449" s="189">
        <v>7420</v>
      </c>
      <c r="F449" s="190"/>
      <c r="G449" s="1" t="str">
        <f>IFERROR(IF(ventas_b_mes2[[#This Row],[CUIT]]="","-",VLOOKUP(ventas_b_mes2[[#This Row],[CUIT]],Lista_CUIT[#All],2,0)),"CUIT NO CARGADO")</f>
        <v>-</v>
      </c>
      <c r="H449" s="64">
        <v>4214.88</v>
      </c>
      <c r="I449" s="191">
        <f>ventas_b_mes2[[#This Row],[IMPORTE NETO]]*0.21</f>
        <v>885.12479999999994</v>
      </c>
      <c r="J449" s="192"/>
      <c r="K449" s="192"/>
      <c r="L449" s="192">
        <f>SUM(ventas_b_mes2[[#This Row],[IMPORTE NETO]:[EXENTO]])</f>
        <v>5100.0047999999997</v>
      </c>
      <c r="M449" s="59"/>
    </row>
    <row r="450" spans="2:13" x14ac:dyDescent="0.25">
      <c r="B450" s="186">
        <v>44981</v>
      </c>
      <c r="C450" s="41">
        <v>6</v>
      </c>
      <c r="D450" s="188">
        <v>5</v>
      </c>
      <c r="E450" s="189">
        <v>7426</v>
      </c>
      <c r="F450" s="190"/>
      <c r="G450" s="1" t="str">
        <f>IFERROR(IF(ventas_b_mes2[[#This Row],[CUIT]]="","-",VLOOKUP(ventas_b_mes2[[#This Row],[CUIT]],Lista_CUIT[#All],2,0)),"CUIT NO CARGADO")</f>
        <v>-</v>
      </c>
      <c r="H450" s="64">
        <v>8842.98</v>
      </c>
      <c r="I450" s="191">
        <f>ventas_b_mes2[[#This Row],[IMPORTE NETO]]*0.21</f>
        <v>1857.0257999999999</v>
      </c>
      <c r="J450" s="192"/>
      <c r="K450" s="192"/>
      <c r="L450" s="192">
        <f>SUM(ventas_b_mes2[[#This Row],[IMPORTE NETO]:[EXENTO]])</f>
        <v>10700.005799999999</v>
      </c>
      <c r="M450" s="59"/>
    </row>
    <row r="451" spans="2:13" x14ac:dyDescent="0.25">
      <c r="B451" s="186">
        <v>44981</v>
      </c>
      <c r="C451" s="41">
        <v>6</v>
      </c>
      <c r="D451" s="188">
        <v>5</v>
      </c>
      <c r="E451" s="189">
        <v>7421</v>
      </c>
      <c r="F451" s="190"/>
      <c r="G451" s="1" t="str">
        <f>IFERROR(IF(ventas_b_mes2[[#This Row],[CUIT]]="","-",VLOOKUP(ventas_b_mes2[[#This Row],[CUIT]],Lista_CUIT[#All],2,0)),"CUIT NO CARGADO")</f>
        <v>-</v>
      </c>
      <c r="H451" s="64">
        <v>6611.57</v>
      </c>
      <c r="I451" s="191">
        <f>ventas_b_mes2[[#This Row],[IMPORTE NETO]]*0.21</f>
        <v>1388.4296999999999</v>
      </c>
      <c r="J451" s="192"/>
      <c r="K451" s="192"/>
      <c r="L451" s="192">
        <f>SUM(ventas_b_mes2[[#This Row],[IMPORTE NETO]:[EXENTO]])</f>
        <v>7999.9996999999994</v>
      </c>
      <c r="M451" s="59"/>
    </row>
    <row r="452" spans="2:13" x14ac:dyDescent="0.25">
      <c r="B452" s="186">
        <v>44981</v>
      </c>
      <c r="C452" s="41">
        <v>6</v>
      </c>
      <c r="D452" s="188">
        <v>7</v>
      </c>
      <c r="E452" s="189">
        <v>4131</v>
      </c>
      <c r="F452" s="190"/>
      <c r="G452" s="1" t="str">
        <f>IFERROR(IF(ventas_b_mes2[[#This Row],[CUIT]]="","-",VLOOKUP(ventas_b_mes2[[#This Row],[CUIT]],Lista_CUIT[#All],2,0)),"CUIT NO CARGADO")</f>
        <v>-</v>
      </c>
      <c r="H452" s="64">
        <v>5785.12</v>
      </c>
      <c r="I452" s="191">
        <f>ventas_b_mes2[[#This Row],[IMPORTE NETO]]*0.21</f>
        <v>1214.8751999999999</v>
      </c>
      <c r="J452" s="192"/>
      <c r="K452" s="192"/>
      <c r="L452" s="192">
        <f>SUM(ventas_b_mes2[[#This Row],[IMPORTE NETO]:[EXENTO]])</f>
        <v>6999.9951999999994</v>
      </c>
      <c r="M452" s="59"/>
    </row>
    <row r="453" spans="2:13" x14ac:dyDescent="0.25">
      <c r="B453" s="186">
        <v>44984</v>
      </c>
      <c r="C453" s="41">
        <v>6</v>
      </c>
      <c r="D453" s="188">
        <v>7</v>
      </c>
      <c r="E453" s="189">
        <v>4135</v>
      </c>
      <c r="F453" s="190"/>
      <c r="G453" s="1" t="str">
        <f>IFERROR(IF(ventas_b_mes2[[#This Row],[CUIT]]="","-",VLOOKUP(ventas_b_mes2[[#This Row],[CUIT]],Lista_CUIT[#All],2,0)),"CUIT NO CARGADO")</f>
        <v>-</v>
      </c>
      <c r="H453" s="64">
        <v>3719.01</v>
      </c>
      <c r="I453" s="191">
        <f>ventas_b_mes2[[#This Row],[IMPORTE NETO]]*0.21</f>
        <v>780.99210000000005</v>
      </c>
      <c r="J453" s="192"/>
      <c r="K453" s="192"/>
      <c r="L453" s="192">
        <f>SUM(ventas_b_mes2[[#This Row],[IMPORTE NETO]:[EXENTO]])</f>
        <v>4500.0021000000006</v>
      </c>
      <c r="M453" s="59"/>
    </row>
    <row r="454" spans="2:13" x14ac:dyDescent="0.25">
      <c r="B454" s="186">
        <v>44984</v>
      </c>
      <c r="C454" s="41">
        <v>6</v>
      </c>
      <c r="D454" s="188">
        <v>5</v>
      </c>
      <c r="E454" s="189">
        <v>7431</v>
      </c>
      <c r="F454" s="190"/>
      <c r="G454" s="1" t="str">
        <f>IFERROR(IF(ventas_b_mes2[[#This Row],[CUIT]]="","-",VLOOKUP(ventas_b_mes2[[#This Row],[CUIT]],Lista_CUIT[#All],2,0)),"CUIT NO CARGADO")</f>
        <v>-</v>
      </c>
      <c r="H454" s="64">
        <v>2561.98</v>
      </c>
      <c r="I454" s="191">
        <f>ventas_b_mes2[[#This Row],[IMPORTE NETO]]*0.21</f>
        <v>538.01580000000001</v>
      </c>
      <c r="J454" s="192"/>
      <c r="K454" s="192"/>
      <c r="L454" s="192">
        <f>SUM(ventas_b_mes2[[#This Row],[IMPORTE NETO]:[EXENTO]])</f>
        <v>3099.9958000000001</v>
      </c>
      <c r="M454" s="59"/>
    </row>
    <row r="455" spans="2:13" x14ac:dyDescent="0.25">
      <c r="B455" s="186">
        <v>44984</v>
      </c>
      <c r="C455" s="41">
        <v>6</v>
      </c>
      <c r="D455" s="188">
        <v>5</v>
      </c>
      <c r="E455" s="189">
        <v>7429</v>
      </c>
      <c r="F455" s="190"/>
      <c r="G455" s="1" t="str">
        <f>IFERROR(IF(ventas_b_mes2[[#This Row],[CUIT]]="","-",VLOOKUP(ventas_b_mes2[[#This Row],[CUIT]],Lista_CUIT[#All],2,0)),"CUIT NO CARGADO")</f>
        <v>-</v>
      </c>
      <c r="H455" s="64">
        <v>4214.88</v>
      </c>
      <c r="I455" s="191">
        <f>ventas_b_mes2[[#This Row],[IMPORTE NETO]]*0.21</f>
        <v>885.12479999999994</v>
      </c>
      <c r="J455" s="192"/>
      <c r="K455" s="192"/>
      <c r="L455" s="192">
        <f>SUM(ventas_b_mes2[[#This Row],[IMPORTE NETO]:[EXENTO]])</f>
        <v>5100.0047999999997</v>
      </c>
      <c r="M455" s="59"/>
    </row>
    <row r="456" spans="2:13" x14ac:dyDescent="0.25">
      <c r="B456" s="186">
        <v>44984</v>
      </c>
      <c r="C456" s="41">
        <v>6</v>
      </c>
      <c r="D456" s="188">
        <v>5</v>
      </c>
      <c r="E456" s="189">
        <v>7430</v>
      </c>
      <c r="F456" s="190"/>
      <c r="G456" s="1" t="str">
        <f>IFERROR(IF(ventas_b_mes2[[#This Row],[CUIT]]="","-",VLOOKUP(ventas_b_mes2[[#This Row],[CUIT]],Lista_CUIT[#All],2,0)),"CUIT NO CARGADO")</f>
        <v>-</v>
      </c>
      <c r="H456" s="64">
        <v>2975.21</v>
      </c>
      <c r="I456" s="191">
        <f>ventas_b_mes2[[#This Row],[IMPORTE NETO]]*0.21</f>
        <v>624.79409999999996</v>
      </c>
      <c r="J456" s="192"/>
      <c r="K456" s="192"/>
      <c r="L456" s="192">
        <f>SUM(ventas_b_mes2[[#This Row],[IMPORTE NETO]:[EXENTO]])</f>
        <v>3600.0041000000001</v>
      </c>
      <c r="M456" s="59"/>
    </row>
    <row r="457" spans="2:13" x14ac:dyDescent="0.25">
      <c r="B457" s="186">
        <v>44984</v>
      </c>
      <c r="C457" s="41">
        <v>6</v>
      </c>
      <c r="D457" s="188">
        <v>5</v>
      </c>
      <c r="E457" s="189">
        <v>7428</v>
      </c>
      <c r="F457" s="190"/>
      <c r="G457" s="1" t="str">
        <f>IFERROR(IF(ventas_b_mes2[[#This Row],[CUIT]]="","-",VLOOKUP(ventas_b_mes2[[#This Row],[CUIT]],Lista_CUIT[#All],2,0)),"CUIT NO CARGADO")</f>
        <v>-</v>
      </c>
      <c r="H457" s="64">
        <v>2066.12</v>
      </c>
      <c r="I457" s="191">
        <f>ventas_b_mes2[[#This Row],[IMPORTE NETO]]*0.21</f>
        <v>433.88519999999994</v>
      </c>
      <c r="J457" s="192"/>
      <c r="K457" s="192"/>
      <c r="L457" s="192">
        <f>SUM(ventas_b_mes2[[#This Row],[IMPORTE NETO]:[EXENTO]])</f>
        <v>2500.0051999999996</v>
      </c>
      <c r="M457" s="59"/>
    </row>
    <row r="458" spans="2:13" x14ac:dyDescent="0.25">
      <c r="B458" s="186">
        <v>44984</v>
      </c>
      <c r="C458" s="41">
        <v>6</v>
      </c>
      <c r="D458" s="188">
        <v>7</v>
      </c>
      <c r="E458" s="189">
        <v>4134</v>
      </c>
      <c r="F458" s="190"/>
      <c r="G458" s="1" t="str">
        <f>IFERROR(IF(ventas_b_mes2[[#This Row],[CUIT]]="","-",VLOOKUP(ventas_b_mes2[[#This Row],[CUIT]],Lista_CUIT[#All],2,0)),"CUIT NO CARGADO")</f>
        <v>-</v>
      </c>
      <c r="H458" s="64">
        <v>5206.6099999999997</v>
      </c>
      <c r="I458" s="191">
        <f>ventas_b_mes2[[#This Row],[IMPORTE NETO]]*0.21</f>
        <v>1093.3880999999999</v>
      </c>
      <c r="J458" s="192"/>
      <c r="K458" s="192"/>
      <c r="L458" s="192">
        <f>SUM(ventas_b_mes2[[#This Row],[IMPORTE NETO]:[EXENTO]])</f>
        <v>6299.9980999999998</v>
      </c>
      <c r="M458" s="59"/>
    </row>
    <row r="459" spans="2:13" x14ac:dyDescent="0.25">
      <c r="B459" s="186">
        <v>44984</v>
      </c>
      <c r="C459" s="41">
        <v>6</v>
      </c>
      <c r="D459" s="188">
        <v>7</v>
      </c>
      <c r="E459" s="189">
        <v>4133</v>
      </c>
      <c r="F459" s="190"/>
      <c r="G459" s="1" t="str">
        <f>IFERROR(IF(ventas_b_mes2[[#This Row],[CUIT]]="","-",VLOOKUP(ventas_b_mes2[[#This Row],[CUIT]],Lista_CUIT[#All],2,0)),"CUIT NO CARGADO")</f>
        <v>-</v>
      </c>
      <c r="H459" s="64">
        <v>9669.42</v>
      </c>
      <c r="I459" s="191">
        <f>ventas_b_mes2[[#This Row],[IMPORTE NETO]]*0.21</f>
        <v>2030.5781999999999</v>
      </c>
      <c r="J459" s="192"/>
      <c r="K459" s="192"/>
      <c r="L459" s="192">
        <f>SUM(ventas_b_mes2[[#This Row],[IMPORTE NETO]:[EXENTO]])</f>
        <v>11699.9982</v>
      </c>
      <c r="M459" s="59"/>
    </row>
    <row r="460" spans="2:13" x14ac:dyDescent="0.25">
      <c r="B460" s="186">
        <v>44984</v>
      </c>
      <c r="C460" s="41">
        <v>6</v>
      </c>
      <c r="D460" s="188">
        <v>5</v>
      </c>
      <c r="E460" s="189">
        <v>7427</v>
      </c>
      <c r="F460" s="190"/>
      <c r="G460" s="1" t="str">
        <f>IFERROR(IF(ventas_b_mes2[[#This Row],[CUIT]]="","-",VLOOKUP(ventas_b_mes2[[#This Row],[CUIT]],Lista_CUIT[#All],2,0)),"CUIT NO CARGADO")</f>
        <v>-</v>
      </c>
      <c r="H460" s="64">
        <v>9917.36</v>
      </c>
      <c r="I460" s="191">
        <f>ventas_b_mes2[[#This Row],[IMPORTE NETO]]*0.21</f>
        <v>2082.6455999999998</v>
      </c>
      <c r="J460" s="192"/>
      <c r="K460" s="192"/>
      <c r="L460" s="192">
        <f>SUM(ventas_b_mes2[[#This Row],[IMPORTE NETO]:[EXENTO]])</f>
        <v>12000.0056</v>
      </c>
      <c r="M460" s="59"/>
    </row>
    <row r="461" spans="2:13" x14ac:dyDescent="0.25">
      <c r="B461" s="186">
        <v>44984</v>
      </c>
      <c r="C461" s="41">
        <v>6</v>
      </c>
      <c r="D461" s="188">
        <v>7</v>
      </c>
      <c r="E461" s="189">
        <v>4136</v>
      </c>
      <c r="F461" s="190"/>
      <c r="G461" s="1" t="str">
        <f>IFERROR(IF(ventas_b_mes2[[#This Row],[CUIT]]="","-",VLOOKUP(ventas_b_mes2[[#This Row],[CUIT]],Lista_CUIT[#All],2,0)),"CUIT NO CARGADO")</f>
        <v>-</v>
      </c>
      <c r="H461" s="64">
        <v>2892.56</v>
      </c>
      <c r="I461" s="191">
        <f>ventas_b_mes2[[#This Row],[IMPORTE NETO]]*0.21</f>
        <v>607.43759999999997</v>
      </c>
      <c r="J461" s="192"/>
      <c r="K461" s="192"/>
      <c r="L461" s="192">
        <f>SUM(ventas_b_mes2[[#This Row],[IMPORTE NETO]:[EXENTO]])</f>
        <v>3499.9975999999997</v>
      </c>
      <c r="M461" s="59"/>
    </row>
    <row r="462" spans="2:13" x14ac:dyDescent="0.25">
      <c r="B462" s="186">
        <v>44985</v>
      </c>
      <c r="C462" s="41">
        <v>6</v>
      </c>
      <c r="D462" s="188">
        <v>5</v>
      </c>
      <c r="E462" s="189">
        <v>7438</v>
      </c>
      <c r="F462" s="190"/>
      <c r="G462" s="1" t="str">
        <f>IFERROR(IF(ventas_b_mes2[[#This Row],[CUIT]]="","-",VLOOKUP(ventas_b_mes2[[#This Row],[CUIT]],Lista_CUIT[#All],2,0)),"CUIT NO CARGADO")</f>
        <v>-</v>
      </c>
      <c r="H462" s="64">
        <v>6446.28</v>
      </c>
      <c r="I462" s="191">
        <f>ventas_b_mes2[[#This Row],[IMPORTE NETO]]*0.21</f>
        <v>1353.7187999999999</v>
      </c>
      <c r="J462" s="192"/>
      <c r="K462" s="192"/>
      <c r="L462" s="192">
        <f>SUM(ventas_b_mes2[[#This Row],[IMPORTE NETO]:[EXENTO]])</f>
        <v>7799.9987999999994</v>
      </c>
      <c r="M462" s="59"/>
    </row>
    <row r="463" spans="2:13" x14ac:dyDescent="0.25">
      <c r="B463" s="186">
        <v>44985</v>
      </c>
      <c r="C463" s="41">
        <v>6</v>
      </c>
      <c r="D463" s="188">
        <v>7</v>
      </c>
      <c r="E463" s="189">
        <v>4137</v>
      </c>
      <c r="F463" s="190"/>
      <c r="G463" s="1" t="str">
        <f>IFERROR(IF(ventas_b_mes2[[#This Row],[CUIT]]="","-",VLOOKUP(ventas_b_mes2[[#This Row],[CUIT]],Lista_CUIT[#All],2,0)),"CUIT NO CARGADO")</f>
        <v>-</v>
      </c>
      <c r="H463" s="64">
        <v>2727.27</v>
      </c>
      <c r="I463" s="191">
        <f>ventas_b_mes2[[#This Row],[IMPORTE NETO]]*0.21</f>
        <v>572.72669999999994</v>
      </c>
      <c r="J463" s="192"/>
      <c r="K463" s="192"/>
      <c r="L463" s="192">
        <f>SUM(ventas_b_mes2[[#This Row],[IMPORTE NETO]:[EXENTO]])</f>
        <v>3299.9966999999997</v>
      </c>
      <c r="M463" s="59"/>
    </row>
    <row r="464" spans="2:13" x14ac:dyDescent="0.25">
      <c r="B464" s="186">
        <v>44985</v>
      </c>
      <c r="C464" s="41">
        <v>6</v>
      </c>
      <c r="D464" s="188">
        <v>7</v>
      </c>
      <c r="E464" s="189">
        <v>4138</v>
      </c>
      <c r="F464" s="190"/>
      <c r="G464" s="1" t="str">
        <f>IFERROR(IF(ventas_b_mes2[[#This Row],[CUIT]]="","-",VLOOKUP(ventas_b_mes2[[#This Row],[CUIT]],Lista_CUIT[#All],2,0)),"CUIT NO CARGADO")</f>
        <v>-</v>
      </c>
      <c r="H464" s="64">
        <v>7603.31</v>
      </c>
      <c r="I464" s="191">
        <f>ventas_b_mes2[[#This Row],[IMPORTE NETO]]*0.21</f>
        <v>1596.6950999999999</v>
      </c>
      <c r="J464" s="192"/>
      <c r="K464" s="192"/>
      <c r="L464" s="192">
        <f>SUM(ventas_b_mes2[[#This Row],[IMPORTE NETO]:[EXENTO]])</f>
        <v>9200.0051000000003</v>
      </c>
      <c r="M464" s="59"/>
    </row>
    <row r="465" spans="2:13" x14ac:dyDescent="0.25">
      <c r="B465" s="186">
        <v>44985</v>
      </c>
      <c r="C465" s="41">
        <v>6</v>
      </c>
      <c r="D465" s="188">
        <v>5</v>
      </c>
      <c r="E465" s="189">
        <v>7433</v>
      </c>
      <c r="F465" s="190"/>
      <c r="G465" s="1" t="str">
        <f>IFERROR(IF(ventas_b_mes2[[#This Row],[CUIT]]="","-",VLOOKUP(ventas_b_mes2[[#This Row],[CUIT]],Lista_CUIT[#All],2,0)),"CUIT NO CARGADO")</f>
        <v>-</v>
      </c>
      <c r="H465" s="64">
        <v>3305.79</v>
      </c>
      <c r="I465" s="191">
        <f>ventas_b_mes2[[#This Row],[IMPORTE NETO]]*0.21</f>
        <v>694.21589999999992</v>
      </c>
      <c r="J465" s="192"/>
      <c r="K465" s="192"/>
      <c r="L465" s="192">
        <f>SUM(ventas_b_mes2[[#This Row],[IMPORTE NETO]:[EXENTO]])</f>
        <v>4000.0059000000001</v>
      </c>
      <c r="M465" s="59"/>
    </row>
    <row r="466" spans="2:13" x14ac:dyDescent="0.25">
      <c r="B466" s="186">
        <v>44985</v>
      </c>
      <c r="C466" s="41">
        <v>6</v>
      </c>
      <c r="D466" s="188">
        <v>5</v>
      </c>
      <c r="E466" s="189">
        <v>7435</v>
      </c>
      <c r="F466" s="190"/>
      <c r="G466" s="1" t="str">
        <f>IFERROR(IF(ventas_b_mes2[[#This Row],[CUIT]]="","-",VLOOKUP(ventas_b_mes2[[#This Row],[CUIT]],Lista_CUIT[#All],2,0)),"CUIT NO CARGADO")</f>
        <v>-</v>
      </c>
      <c r="H466" s="64">
        <v>4132.2299999999996</v>
      </c>
      <c r="I466" s="191">
        <f>ventas_b_mes2[[#This Row],[IMPORTE NETO]]*0.21</f>
        <v>867.76829999999984</v>
      </c>
      <c r="J466" s="192"/>
      <c r="K466" s="192"/>
      <c r="L466" s="192">
        <f>SUM(ventas_b_mes2[[#This Row],[IMPORTE NETO]:[EXENTO]])</f>
        <v>4999.9982999999993</v>
      </c>
      <c r="M466" s="59"/>
    </row>
    <row r="467" spans="2:13" x14ac:dyDescent="0.25">
      <c r="B467" s="186">
        <v>44985</v>
      </c>
      <c r="C467" s="41">
        <v>6</v>
      </c>
      <c r="D467" s="188">
        <v>5</v>
      </c>
      <c r="E467" s="189">
        <v>7436</v>
      </c>
      <c r="F467" s="190"/>
      <c r="G467" s="1" t="str">
        <f>IFERROR(IF(ventas_b_mes2[[#This Row],[CUIT]]="","-",VLOOKUP(ventas_b_mes2[[#This Row],[CUIT]],Lista_CUIT[#All],2,0)),"CUIT NO CARGADO")</f>
        <v>-</v>
      </c>
      <c r="H467" s="64">
        <v>4214.88</v>
      </c>
      <c r="I467" s="191">
        <f>ventas_b_mes2[[#This Row],[IMPORTE NETO]]*0.21</f>
        <v>885.12479999999994</v>
      </c>
      <c r="J467" s="192"/>
      <c r="K467" s="192"/>
      <c r="L467" s="192">
        <f>SUM(ventas_b_mes2[[#This Row],[IMPORTE NETO]:[EXENTO]])</f>
        <v>5100.0047999999997</v>
      </c>
      <c r="M467" s="59"/>
    </row>
    <row r="468" spans="2:13" x14ac:dyDescent="0.25">
      <c r="B468" s="186">
        <v>44985</v>
      </c>
      <c r="C468" s="41">
        <v>6</v>
      </c>
      <c r="D468" s="188">
        <v>5</v>
      </c>
      <c r="E468" s="189">
        <v>7434</v>
      </c>
      <c r="F468" s="190"/>
      <c r="G468" s="1" t="str">
        <f>IFERROR(IF(ventas_b_mes2[[#This Row],[CUIT]]="","-",VLOOKUP(ventas_b_mes2[[#This Row],[CUIT]],Lista_CUIT[#All],2,0)),"CUIT NO CARGADO")</f>
        <v>-</v>
      </c>
      <c r="H468" s="64">
        <v>1404.96</v>
      </c>
      <c r="I468" s="191">
        <f>ventas_b_mes2[[#This Row],[IMPORTE NETO]]*0.21</f>
        <v>295.04160000000002</v>
      </c>
      <c r="J468" s="192"/>
      <c r="K468" s="192"/>
      <c r="L468" s="192">
        <f>SUM(ventas_b_mes2[[#This Row],[IMPORTE NETO]:[EXENTO]])</f>
        <v>1700.0016000000001</v>
      </c>
      <c r="M468" s="59"/>
    </row>
    <row r="469" spans="2:13" x14ac:dyDescent="0.25">
      <c r="B469" s="186">
        <v>44985</v>
      </c>
      <c r="C469" s="41">
        <v>6</v>
      </c>
      <c r="D469" s="188">
        <v>5</v>
      </c>
      <c r="E469" s="189">
        <v>7432</v>
      </c>
      <c r="F469" s="190"/>
      <c r="G469" s="1" t="str">
        <f>IFERROR(IF(ventas_b_mes2[[#This Row],[CUIT]]="","-",VLOOKUP(ventas_b_mes2[[#This Row],[CUIT]],Lista_CUIT[#All],2,0)),"CUIT NO CARGADO")</f>
        <v>-</v>
      </c>
      <c r="H469" s="64">
        <v>2066.12</v>
      </c>
      <c r="I469" s="191">
        <f>ventas_b_mes2[[#This Row],[IMPORTE NETO]]*0.21</f>
        <v>433.88519999999994</v>
      </c>
      <c r="J469" s="192"/>
      <c r="K469" s="192"/>
      <c r="L469" s="192">
        <f>SUM(ventas_b_mes2[[#This Row],[IMPORTE NETO]:[EXENTO]])</f>
        <v>2500.0051999999996</v>
      </c>
      <c r="M469" s="59"/>
    </row>
    <row r="470" spans="2:13" x14ac:dyDescent="0.25">
      <c r="B470" s="186">
        <v>44985</v>
      </c>
      <c r="C470" s="41">
        <v>6</v>
      </c>
      <c r="D470" s="188">
        <v>7</v>
      </c>
      <c r="E470" s="189">
        <v>4140</v>
      </c>
      <c r="F470" s="190"/>
      <c r="G470" s="1" t="str">
        <f>IFERROR(IF(ventas_b_mes2[[#This Row],[CUIT]]="","-",VLOOKUP(ventas_b_mes2[[#This Row],[CUIT]],Lista_CUIT[#All],2,0)),"CUIT NO CARGADO")</f>
        <v>-</v>
      </c>
      <c r="H470" s="64">
        <v>10909.09</v>
      </c>
      <c r="I470" s="191">
        <f>ventas_b_mes2[[#This Row],[IMPORTE NETO]]*0.21</f>
        <v>2290.9088999999999</v>
      </c>
      <c r="J470" s="192"/>
      <c r="K470" s="192"/>
      <c r="L470" s="192">
        <f>SUM(ventas_b_mes2[[#This Row],[IMPORTE NETO]:[EXENTO]])</f>
        <v>13199.998900000001</v>
      </c>
      <c r="M470" s="59"/>
    </row>
    <row r="471" spans="2:13" x14ac:dyDescent="0.25">
      <c r="B471" s="186">
        <v>44985</v>
      </c>
      <c r="C471" s="41">
        <v>6</v>
      </c>
      <c r="D471" s="188">
        <v>5</v>
      </c>
      <c r="E471" s="189">
        <v>7437</v>
      </c>
      <c r="F471" s="190"/>
      <c r="G471" s="1" t="str">
        <f>IFERROR(IF(ventas_b_mes2[[#This Row],[CUIT]]="","-",VLOOKUP(ventas_b_mes2[[#This Row],[CUIT]],Lista_CUIT[#All],2,0)),"CUIT NO CARGADO")</f>
        <v>-</v>
      </c>
      <c r="H471" s="64">
        <v>4214.88</v>
      </c>
      <c r="I471" s="191">
        <f>ventas_b_mes2[[#This Row],[IMPORTE NETO]]*0.21</f>
        <v>885.12479999999994</v>
      </c>
      <c r="J471" s="192"/>
      <c r="K471" s="192"/>
      <c r="L471" s="192">
        <f>SUM(ventas_b_mes2[[#This Row],[IMPORTE NETO]:[EXENTO]])</f>
        <v>5100.0047999999997</v>
      </c>
      <c r="M471" s="59"/>
    </row>
    <row r="472" spans="2:13" x14ac:dyDescent="0.25">
      <c r="B472" s="186">
        <v>44985</v>
      </c>
      <c r="C472" s="41">
        <v>6</v>
      </c>
      <c r="D472" s="188">
        <v>7</v>
      </c>
      <c r="E472" s="189">
        <v>4139</v>
      </c>
      <c r="F472" s="190"/>
      <c r="G472" s="1" t="str">
        <f>IFERROR(IF(ventas_b_mes2[[#This Row],[CUIT]]="","-",VLOOKUP(ventas_b_mes2[[#This Row],[CUIT]],Lista_CUIT[#All],2,0)),"CUIT NO CARGADO")</f>
        <v>-</v>
      </c>
      <c r="H472" s="64">
        <v>3553.72</v>
      </c>
      <c r="I472" s="191">
        <f>ventas_b_mes2[[#This Row],[IMPORTE NETO]]*0.21</f>
        <v>746.2811999999999</v>
      </c>
      <c r="J472" s="192"/>
      <c r="K472" s="192"/>
      <c r="L472" s="192">
        <f>SUM(ventas_b_mes2[[#This Row],[IMPORTE NETO]:[EXENTO]])</f>
        <v>4300.0011999999997</v>
      </c>
      <c r="M472" s="59"/>
    </row>
    <row r="473" spans="2:13" x14ac:dyDescent="0.25">
      <c r="B473" s="186">
        <v>44964</v>
      </c>
      <c r="C473" s="187">
        <v>8</v>
      </c>
      <c r="D473" s="188">
        <v>5</v>
      </c>
      <c r="E473" s="189">
        <v>109</v>
      </c>
      <c r="F473" s="190"/>
      <c r="G473" s="1" t="str">
        <f>IFERROR(IF(ventas_b_mes2[[#This Row],[CUIT]]="","-",VLOOKUP(ventas_b_mes2[[#This Row],[CUIT]],Lista_CUIT[#All],2,0)),"CUIT NO CARGADO")</f>
        <v>-</v>
      </c>
      <c r="H473" s="64">
        <v>-3760.33</v>
      </c>
      <c r="I473" s="191">
        <f>ventas_b_mes2[[#This Row],[IMPORTE NETO]]*0.21</f>
        <v>-789.66929999999991</v>
      </c>
      <c r="J473" s="192"/>
      <c r="K473" s="192"/>
      <c r="L473" s="192">
        <f>SUM(ventas_b_mes2[[#This Row],[IMPORTE NETO]:[EXENTO]])</f>
        <v>-4549.9992999999995</v>
      </c>
      <c r="M473" s="59"/>
    </row>
    <row r="474" spans="2:13" x14ac:dyDescent="0.25">
      <c r="B474" s="186">
        <v>44985</v>
      </c>
      <c r="C474" s="187">
        <v>8</v>
      </c>
      <c r="D474" s="188">
        <v>5</v>
      </c>
      <c r="E474" s="189">
        <v>110</v>
      </c>
      <c r="F474" s="190"/>
      <c r="G474" s="1" t="str">
        <f>IFERROR(IF(ventas_b_mes2[[#This Row],[CUIT]]="","-",VLOOKUP(ventas_b_mes2[[#This Row],[CUIT]],Lista_CUIT[#All],2,0)),"CUIT NO CARGADO")</f>
        <v>-</v>
      </c>
      <c r="H474" s="64">
        <v>-10909.09</v>
      </c>
      <c r="I474" s="191">
        <f>ventas_b_mes2[[#This Row],[IMPORTE NETO]]*0.21</f>
        <v>-2290.9088999999999</v>
      </c>
      <c r="J474" s="192"/>
      <c r="K474" s="192"/>
      <c r="L474" s="192">
        <f>SUM(ventas_b_mes2[[#This Row],[IMPORTE NETO]:[EXENTO]])</f>
        <v>-13199.998900000001</v>
      </c>
      <c r="M474" s="59"/>
    </row>
    <row r="475" spans="2:13" ht="15.75" thickBot="1" x14ac:dyDescent="0.3">
      <c r="B475" s="66" t="s">
        <v>110</v>
      </c>
      <c r="C475" s="67"/>
      <c r="D475" s="67"/>
      <c r="E475" s="67"/>
      <c r="F475" s="67"/>
      <c r="G475" s="67"/>
      <c r="H475" s="77">
        <f>SUBTOTAL(109,ventas_b_mes2[IMPORTE NETO])</f>
        <v>1573877.1800000004</v>
      </c>
      <c r="I475" s="77">
        <f>SUBTOTAL(109,ventas_b_mes2[IVA 21%])</f>
        <v>330514.20779999968</v>
      </c>
      <c r="J475" s="78">
        <f>SUBTOTAL(109,ventas_b_mes2[IVA 10,5%])</f>
        <v>0</v>
      </c>
      <c r="K475" s="78">
        <f>SUBTOTAL(109,ventas_b_mes2[EXENTO])</f>
        <v>0</v>
      </c>
      <c r="L475" s="78">
        <f>SUBTOTAL(109,ventas_b_mes2[TOTAL])</f>
        <v>1904391.3877999997</v>
      </c>
      <c r="M475" s="68">
        <f>SUBTOTAL(103,ventas_b_mes2[Provincia])</f>
        <v>0</v>
      </c>
    </row>
    <row r="476" spans="2:13" ht="15.75" thickTop="1" x14ac:dyDescent="0.25">
      <c r="C476" s="522" t="s">
        <v>66</v>
      </c>
      <c r="D476" s="522"/>
      <c r="E476" s="522"/>
      <c r="F476" s="522"/>
      <c r="G476" s="522"/>
      <c r="H476" s="32"/>
      <c r="I476" s="32"/>
      <c r="J476" s="32"/>
    </row>
    <row r="477" spans="2:13" ht="15.75" x14ac:dyDescent="0.25">
      <c r="C477" s="114" t="s">
        <v>67</v>
      </c>
      <c r="D477" s="115" t="s">
        <v>68</v>
      </c>
      <c r="E477" s="115" t="s">
        <v>112</v>
      </c>
      <c r="F477" s="115" t="s">
        <v>3</v>
      </c>
      <c r="G477" s="115" t="s">
        <v>4</v>
      </c>
      <c r="H477" s="116" t="s">
        <v>69</v>
      </c>
      <c r="I477" s="116" t="s">
        <v>70</v>
      </c>
      <c r="J477" s="116" t="s">
        <v>71</v>
      </c>
      <c r="K477" s="116" t="s">
        <v>72</v>
      </c>
      <c r="L477" s="116" t="s">
        <v>73</v>
      </c>
    </row>
    <row r="478" spans="2:13" x14ac:dyDescent="0.25">
      <c r="C478" s="117">
        <v>44951</v>
      </c>
      <c r="D478" s="118">
        <v>5989</v>
      </c>
      <c r="E478" s="118"/>
      <c r="F478" s="119">
        <v>30522428163</v>
      </c>
      <c r="G478" s="53" t="str">
        <f>IFERROR(IF(Retenciones_mes2[[#This Row],[CUIT]]="","-",VLOOKUP(Retenciones_mes2[[#This Row],[CUIT]],Lista_CUIT[#All],2,0)),"CUIT NO CARGADO")</f>
        <v>GALENO ARGENTINA SA</v>
      </c>
      <c r="H478" s="120">
        <v>18367.169999999998</v>
      </c>
      <c r="I478" s="120">
        <v>137922.65</v>
      </c>
      <c r="J478" s="120">
        <v>9267.7199999999993</v>
      </c>
      <c r="K478" s="120"/>
      <c r="L478" s="120">
        <v>2737.31</v>
      </c>
    </row>
    <row r="479" spans="2:13" x14ac:dyDescent="0.25">
      <c r="C479" s="117">
        <v>44983</v>
      </c>
      <c r="D479" s="118">
        <v>6155</v>
      </c>
      <c r="E479" s="118"/>
      <c r="F479" s="119">
        <v>30522428163</v>
      </c>
      <c r="G479" s="53" t="str">
        <f>IFERROR(IF(Retenciones_mes2[[#This Row],[CUIT]]="","-",VLOOKUP(Retenciones_mes2[[#This Row],[CUIT]],Lista_CUIT[#All],2,0)),"CUIT NO CARGADO")</f>
        <v>GALENO ARGENTINA SA</v>
      </c>
      <c r="H479" s="120">
        <v>39628.519999999997</v>
      </c>
      <c r="I479" s="120">
        <v>336442.26</v>
      </c>
      <c r="J479" s="120">
        <v>20026.32</v>
      </c>
      <c r="K479" s="120"/>
      <c r="L479" s="120"/>
    </row>
    <row r="480" spans="2:13" x14ac:dyDescent="0.25">
      <c r="C480" s="117">
        <v>44973</v>
      </c>
      <c r="D480" s="118">
        <v>20230210857469</v>
      </c>
      <c r="E480" s="118"/>
      <c r="F480" s="119">
        <v>30710538014</v>
      </c>
      <c r="G480" s="53" t="str">
        <f>IFERROR(IF(Retenciones_mes2[[#This Row],[CUIT]]="","-",VLOOKUP(Retenciones_mes2[[#This Row],[CUIT]],Lista_CUIT[#All],2,0)),"CUIT NO CARGADO")</f>
        <v>Hc Homecare Internacion Domiciliaria S.A.</v>
      </c>
      <c r="H480" s="120"/>
      <c r="I480" s="120"/>
      <c r="J480" s="120"/>
      <c r="K480" s="120"/>
      <c r="L480" s="120">
        <v>24548.76</v>
      </c>
    </row>
    <row r="481" spans="3:12" x14ac:dyDescent="0.25">
      <c r="C481" s="117">
        <v>44984</v>
      </c>
      <c r="D481" s="118">
        <v>2265</v>
      </c>
      <c r="E481" s="118"/>
      <c r="F481" s="119">
        <v>30683032227</v>
      </c>
      <c r="G481" s="53" t="str">
        <f>IFERROR(IF(Retenciones_mes2[[#This Row],[CUIT]]="","-",VLOOKUP(Retenciones_mes2[[#This Row],[CUIT]],Lista_CUIT[#All],2,0)),"CUIT NO CARGADO")</f>
        <v>OBRA SOCIAL UNION PERSONAL DE LA UNION DEL PERSONAL CIVIL D</v>
      </c>
      <c r="H481" s="120"/>
      <c r="I481" s="120"/>
      <c r="J481" s="120"/>
      <c r="K481" s="120"/>
      <c r="L481" s="120">
        <v>12654.67</v>
      </c>
    </row>
    <row r="482" spans="3:12" x14ac:dyDescent="0.25">
      <c r="C482" s="117">
        <v>44971</v>
      </c>
      <c r="D482" s="118">
        <v>2254</v>
      </c>
      <c r="E482" s="118"/>
      <c r="F482" s="119">
        <v>30683032227</v>
      </c>
      <c r="G482" s="53" t="str">
        <f>IFERROR(IF(Retenciones_mes2[[#This Row],[CUIT]]="","-",VLOOKUP(Retenciones_mes2[[#This Row],[CUIT]],Lista_CUIT[#All],2,0)),"CUIT NO CARGADO")</f>
        <v>OBRA SOCIAL UNION PERSONAL DE LA UNION DEL PERSONAL CIVIL D</v>
      </c>
      <c r="L482">
        <v>20110.54</v>
      </c>
    </row>
    <row r="483" spans="3:12" x14ac:dyDescent="0.25">
      <c r="C483" s="117">
        <v>44963</v>
      </c>
      <c r="D483" s="203">
        <v>2239</v>
      </c>
      <c r="E483" s="203"/>
      <c r="F483" s="119">
        <v>30683032227</v>
      </c>
      <c r="G483" s="205" t="str">
        <f>IFERROR(IF(Retenciones_mes2[[#This Row],[CUIT]]="","-",VLOOKUP(Retenciones_mes2[[#This Row],[CUIT]],Lista_CUIT[#All],2,0)),"CUIT NO CARGADO")</f>
        <v>OBRA SOCIAL UNION PERSONAL DE LA UNION DEL PERSONAL CIVIL D</v>
      </c>
      <c r="H483" s="206"/>
      <c r="I483" s="206"/>
      <c r="J483" s="206"/>
      <c r="K483" s="206"/>
      <c r="L483" s="206">
        <v>5333.88</v>
      </c>
    </row>
    <row r="484" spans="3:12" x14ac:dyDescent="0.25">
      <c r="C484" s="117">
        <v>44979</v>
      </c>
      <c r="D484" s="203">
        <v>18381</v>
      </c>
      <c r="E484" s="203"/>
      <c r="F484" s="119">
        <v>30608716390</v>
      </c>
      <c r="G484" s="205" t="str">
        <f>IFERROR(IF(Retenciones_mes2[[#This Row],[CUIT]]="","-",VLOOKUP(Retenciones_mes2[[#This Row],[CUIT]],Lista_CUIT[#All],2,0)),"CUIT NO CARGADO")</f>
        <v>OBRA SOCIAL DEL PERSONAL DE LAS TELECOMUNICACIONES DE LA REP. ARGENTINA</v>
      </c>
      <c r="H484" s="206"/>
      <c r="I484" s="206"/>
      <c r="J484" s="206"/>
      <c r="K484" s="206"/>
      <c r="L484" s="206">
        <v>260.66000000000003</v>
      </c>
    </row>
    <row r="485" spans="3:12" x14ac:dyDescent="0.25">
      <c r="C485" s="117">
        <v>44945</v>
      </c>
      <c r="D485" s="203">
        <v>2202300194237</v>
      </c>
      <c r="E485" s="203"/>
      <c r="F485" s="119">
        <v>30546771314</v>
      </c>
      <c r="G485" s="205" t="str">
        <f>IFERROR(IF(Retenciones_mes2[[#This Row],[CUIT]]="","-",VLOOKUP(Retenciones_mes2[[#This Row],[CUIT]],Lista_CUIT[#All],2,0)),"CUIT NO CARGADO")</f>
        <v>MEDICUS S.A DE ASIST. MEDICA</v>
      </c>
      <c r="H485" s="206"/>
      <c r="I485" s="206"/>
      <c r="J485" s="206"/>
      <c r="K485" s="206"/>
      <c r="L485" s="206">
        <v>651.4</v>
      </c>
    </row>
    <row r="486" spans="3:12" x14ac:dyDescent="0.25">
      <c r="C486" s="117">
        <v>44945</v>
      </c>
      <c r="D486" s="203">
        <v>241381</v>
      </c>
      <c r="E486" s="203"/>
      <c r="F486" s="119">
        <v>30546771314</v>
      </c>
      <c r="G486" s="205" t="str">
        <f>IFERROR(IF(Retenciones_mes2[[#This Row],[CUIT]]="","-",VLOOKUP(Retenciones_mes2[[#This Row],[CUIT]],Lista_CUIT[#All],2,0)),"CUIT NO CARGADO")</f>
        <v>MEDICUS S.A DE ASIST. MEDICA</v>
      </c>
      <c r="H486" s="206"/>
      <c r="I486" s="206">
        <v>1563.37</v>
      </c>
      <c r="J486" s="206"/>
      <c r="K486" s="206"/>
      <c r="L486" s="206"/>
    </row>
    <row r="487" spans="3:12" x14ac:dyDescent="0.25">
      <c r="C487" s="202">
        <v>44957</v>
      </c>
      <c r="D487" s="203">
        <v>241976</v>
      </c>
      <c r="E487" s="203"/>
      <c r="F487" s="204">
        <v>30546771314</v>
      </c>
      <c r="G487" s="205" t="str">
        <f>IFERROR(IF(Retenciones_mes2[[#This Row],[CUIT]]="","-",VLOOKUP(Retenciones_mes2[[#This Row],[CUIT]],Lista_CUIT[#All],2,0)),"CUIT NO CARGADO")</f>
        <v>MEDICUS S.A DE ASIST. MEDICA</v>
      </c>
      <c r="H487" s="206"/>
      <c r="I487" s="206">
        <v>1349.55</v>
      </c>
      <c r="J487" s="206"/>
      <c r="K487" s="206"/>
      <c r="L487" s="206"/>
    </row>
    <row r="488" spans="3:12" x14ac:dyDescent="0.25">
      <c r="C488" s="202">
        <v>44974</v>
      </c>
      <c r="D488" s="203">
        <v>314</v>
      </c>
      <c r="E488" s="203"/>
      <c r="F488" s="204">
        <v>30522428163</v>
      </c>
      <c r="G488" s="205" t="str">
        <f>IFERROR(IF(Retenciones_mes2[[#This Row],[CUIT]]="","-",VLOOKUP(Retenciones_mes2[[#This Row],[CUIT]],Lista_CUIT[#All],2,0)),"CUIT NO CARGADO")</f>
        <v>GALENO ARGENTINA SA</v>
      </c>
      <c r="H488" s="206">
        <v>131570.25</v>
      </c>
      <c r="I488" s="206">
        <v>690743.8</v>
      </c>
      <c r="J488" s="206"/>
      <c r="K488" s="206"/>
      <c r="L488" s="206"/>
    </row>
    <row r="489" spans="3:12" x14ac:dyDescent="0.25">
      <c r="C489" s="202">
        <v>44974</v>
      </c>
      <c r="D489" s="203">
        <v>403818</v>
      </c>
      <c r="E489" s="203"/>
      <c r="F489" s="204">
        <v>30522428163</v>
      </c>
      <c r="G489" s="205" t="str">
        <f>IFERROR(IF(Retenciones_mes2[[#This Row],[CUIT]]="","-",VLOOKUP(Retenciones_mes2[[#This Row],[CUIT]],Lista_CUIT[#All],2,0)),"CUIT NO CARGADO")</f>
        <v>GALENO ARGENTINA SA</v>
      </c>
      <c r="H489" s="206"/>
      <c r="I489" s="206"/>
      <c r="J489" s="206"/>
      <c r="K489" s="206"/>
      <c r="L489" s="206">
        <v>65785.119999999995</v>
      </c>
    </row>
    <row r="490" spans="3:12" x14ac:dyDescent="0.25">
      <c r="C490" s="202">
        <v>44974</v>
      </c>
      <c r="D490" s="203">
        <v>238224</v>
      </c>
      <c r="E490" s="203"/>
      <c r="F490" s="204">
        <v>30522428163</v>
      </c>
      <c r="G490" s="205" t="str">
        <f>IFERROR(IF(Retenciones_mes2[[#This Row],[CUIT]]="","-",VLOOKUP(Retenciones_mes2[[#This Row],[CUIT]],Lista_CUIT[#All],2,0)),"CUIT NO CARGADO")</f>
        <v>GALENO ARGENTINA SA</v>
      </c>
      <c r="H490" s="206"/>
      <c r="I490" s="206"/>
      <c r="J490" s="206">
        <v>65785.119999999995</v>
      </c>
      <c r="K490" s="206"/>
      <c r="L490" s="206"/>
    </row>
    <row r="491" spans="3:12" x14ac:dyDescent="0.25">
      <c r="C491" s="202">
        <v>44971</v>
      </c>
      <c r="D491" s="203">
        <v>85980</v>
      </c>
      <c r="E491" s="203"/>
      <c r="F491" s="204">
        <v>30500053522</v>
      </c>
      <c r="G491" s="205" t="str">
        <f>IFERROR(IF(Retenciones_mes2[[#This Row],[CUIT]]="","-",VLOOKUP(Retenciones_mes2[[#This Row],[CUIT]],Lista_CUIT[#All],2,0)),"CUIT NO CARGADO")</f>
        <v>O.SOC ACT.CARLOS PELEGRINI 575</v>
      </c>
      <c r="H491" s="206"/>
      <c r="I491" s="206"/>
      <c r="J491" s="206"/>
      <c r="K491" s="206"/>
      <c r="L491" s="206">
        <v>420.66</v>
      </c>
    </row>
    <row r="492" spans="3:12" x14ac:dyDescent="0.25">
      <c r="C492" s="202">
        <v>44981</v>
      </c>
      <c r="D492" s="203">
        <v>31283</v>
      </c>
      <c r="E492" s="203"/>
      <c r="F492" s="204">
        <v>30707118454</v>
      </c>
      <c r="G492" s="205" t="str">
        <f>IFERROR(IF(Retenciones_mes2[[#This Row],[CUIT]]="","-",VLOOKUP(Retenciones_mes2[[#This Row],[CUIT]],Lista_CUIT[#All],2,0)),"CUIT NO CARGADO")</f>
        <v>Ensalud S.A</v>
      </c>
      <c r="H492" s="206"/>
      <c r="I492" s="206"/>
      <c r="J492" s="206"/>
      <c r="K492" s="206"/>
      <c r="L492" s="206">
        <v>962.69</v>
      </c>
    </row>
    <row r="493" spans="3:12" x14ac:dyDescent="0.25">
      <c r="C493" s="202">
        <v>44950</v>
      </c>
      <c r="D493" s="203">
        <v>5662</v>
      </c>
      <c r="E493" s="203"/>
      <c r="F493" s="204">
        <v>30522428163</v>
      </c>
      <c r="G493" s="205" t="str">
        <f>IFERROR(IF(Retenciones_mes2[[#This Row],[CUIT]]="","-",VLOOKUP(Retenciones_mes2[[#This Row],[CUIT]],Lista_CUIT[#All],2,0)),"CUIT NO CARGADO")</f>
        <v>GALENO ARGENTINA SA</v>
      </c>
      <c r="H493" s="206"/>
      <c r="I493" s="206">
        <v>546668.17000000004</v>
      </c>
      <c r="J493" s="206"/>
      <c r="K493" s="206"/>
      <c r="L493" s="206"/>
    </row>
    <row r="494" spans="3:12" x14ac:dyDescent="0.25">
      <c r="C494" s="202">
        <v>44950</v>
      </c>
      <c r="D494" s="203">
        <v>5663</v>
      </c>
      <c r="E494" s="203"/>
      <c r="F494" s="204">
        <v>30522428163</v>
      </c>
      <c r="G494" s="205" t="str">
        <f>IFERROR(IF(Retenciones_mes2[[#This Row],[CUIT]]="","-",VLOOKUP(Retenciones_mes2[[#This Row],[CUIT]],Lista_CUIT[#All],2,0)),"CUIT NO CARGADO")</f>
        <v>GALENO ARGENTINA SA</v>
      </c>
      <c r="H494" s="206">
        <v>104130.41</v>
      </c>
      <c r="I494" s="206"/>
      <c r="J494" s="206"/>
      <c r="K494" s="206"/>
      <c r="L494" s="206"/>
    </row>
    <row r="495" spans="3:12" x14ac:dyDescent="0.25">
      <c r="C495" s="202">
        <v>44950</v>
      </c>
      <c r="D495" s="203">
        <v>402409</v>
      </c>
      <c r="E495" s="203"/>
      <c r="F495" s="204">
        <v>30522428163</v>
      </c>
      <c r="G495" s="205" t="str">
        <f>IFERROR(IF(Retenciones_mes2[[#This Row],[CUIT]]="","-",VLOOKUP(Retenciones_mes2[[#This Row],[CUIT]],Lista_CUIT[#All],2,0)),"CUIT NO CARGADO")</f>
        <v>GALENO ARGENTINA SA</v>
      </c>
      <c r="H495" s="206"/>
      <c r="I495" s="206"/>
      <c r="J495" s="206"/>
      <c r="K495" s="206"/>
      <c r="L495" s="206">
        <v>52063.64</v>
      </c>
    </row>
    <row r="496" spans="3:12" x14ac:dyDescent="0.25">
      <c r="C496" s="202">
        <v>44950</v>
      </c>
      <c r="D496" s="203">
        <v>298</v>
      </c>
      <c r="E496" s="203"/>
      <c r="F496" s="204">
        <v>30522428163</v>
      </c>
      <c r="G496" s="205" t="str">
        <f>IFERROR(IF(Retenciones_mes2[[#This Row],[CUIT]]="","-",VLOOKUP(Retenciones_mes2[[#This Row],[CUIT]],Lista_CUIT[#All],2,0)),"CUIT NO CARGADO")</f>
        <v>GALENO ARGENTINA SA</v>
      </c>
      <c r="H496" s="206"/>
      <c r="I496" s="206"/>
      <c r="J496" s="206">
        <v>52063.64</v>
      </c>
      <c r="K496" s="206"/>
      <c r="L496" s="206"/>
    </row>
    <row r="497" spans="3:12" x14ac:dyDescent="0.25">
      <c r="C497" s="202">
        <v>44953</v>
      </c>
      <c r="D497" s="203">
        <v>6558</v>
      </c>
      <c r="E497" s="203"/>
      <c r="F497" s="204">
        <v>30522428163</v>
      </c>
      <c r="G497" s="205" t="str">
        <f>IFERROR(IF(Retenciones_mes2[[#This Row],[CUIT]]="","-",VLOOKUP(Retenciones_mes2[[#This Row],[CUIT]],Lista_CUIT[#All],2,0)),"CUIT NO CARGADO")</f>
        <v>GALENO ARGENTINA SA</v>
      </c>
      <c r="H497" s="206"/>
      <c r="I497" s="206">
        <v>390385.31</v>
      </c>
      <c r="J497" s="206"/>
      <c r="K497" s="206"/>
      <c r="L497" s="206"/>
    </row>
    <row r="498" spans="3:12" x14ac:dyDescent="0.25">
      <c r="C498" s="202">
        <v>44953</v>
      </c>
      <c r="D498" s="203">
        <v>6559</v>
      </c>
      <c r="E498" s="203"/>
      <c r="F498" s="204">
        <v>30522428163</v>
      </c>
      <c r="G498" s="205" t="str">
        <f>IFERROR(IF(Retenciones_mes2[[#This Row],[CUIT]]="","-",VLOOKUP(Retenciones_mes2[[#This Row],[CUIT]],Lista_CUIT[#All],2,0)),"CUIT NO CARGADO")</f>
        <v>GALENO ARGENTINA SA</v>
      </c>
      <c r="H498" s="206">
        <v>69416.639999999999</v>
      </c>
      <c r="I498" s="206"/>
      <c r="J498" s="206"/>
      <c r="K498" s="206"/>
      <c r="L498" s="206"/>
    </row>
    <row r="499" spans="3:12" x14ac:dyDescent="0.25">
      <c r="C499" s="202">
        <v>44953</v>
      </c>
      <c r="D499" s="203">
        <v>402538</v>
      </c>
      <c r="E499" s="203"/>
      <c r="F499" s="204">
        <v>30522428163</v>
      </c>
      <c r="G499" s="205" t="str">
        <f>IFERROR(IF(Retenciones_mes2[[#This Row],[CUIT]]="","-",VLOOKUP(Retenciones_mes2[[#This Row],[CUIT]],Lista_CUIT[#All],2,0)),"CUIT NO CARGADO")</f>
        <v>GALENO ARGENTINA SA</v>
      </c>
      <c r="H499" s="206"/>
      <c r="I499" s="206"/>
      <c r="J499" s="206"/>
      <c r="K499" s="206"/>
      <c r="L499" s="206">
        <v>34708.480000000003</v>
      </c>
    </row>
    <row r="500" spans="3:12" x14ac:dyDescent="0.25">
      <c r="C500" s="202">
        <v>44953</v>
      </c>
      <c r="D500" s="203">
        <v>236646</v>
      </c>
      <c r="E500" s="203"/>
      <c r="F500" s="204">
        <v>30522428163</v>
      </c>
      <c r="G500" s="205" t="str">
        <f>IFERROR(IF(Retenciones_mes2[[#This Row],[CUIT]]="","-",VLOOKUP(Retenciones_mes2[[#This Row],[CUIT]],Lista_CUIT[#All],2,0)),"CUIT NO CARGADO")</f>
        <v>GALENO ARGENTINA SA</v>
      </c>
      <c r="H500" s="206"/>
      <c r="I500" s="206"/>
      <c r="J500" s="206">
        <v>37179.550000000003</v>
      </c>
      <c r="K500" s="206"/>
      <c r="L500" s="206"/>
    </row>
    <row r="501" spans="3:12" x14ac:dyDescent="0.25">
      <c r="C501" s="202">
        <v>44957</v>
      </c>
      <c r="D501" s="203">
        <v>7305</v>
      </c>
      <c r="E501" s="203"/>
      <c r="F501" s="204">
        <v>30522428163</v>
      </c>
      <c r="G501" s="205" t="str">
        <f>IFERROR(IF(Retenciones_mes2[[#This Row],[CUIT]]="","-",VLOOKUP(Retenciones_mes2[[#This Row],[CUIT]],Lista_CUIT[#All],2,0)),"CUIT NO CARGADO")</f>
        <v>GALENO ARGENTINA SA</v>
      </c>
      <c r="H501" s="206"/>
      <c r="I501" s="206">
        <v>22688.18</v>
      </c>
      <c r="J501" s="206"/>
      <c r="K501" s="206"/>
      <c r="L501" s="206"/>
    </row>
    <row r="502" spans="3:12" x14ac:dyDescent="0.25">
      <c r="C502" s="202">
        <v>44957</v>
      </c>
      <c r="D502" s="203">
        <v>7306</v>
      </c>
      <c r="E502" s="203"/>
      <c r="F502" s="204">
        <v>30522428163</v>
      </c>
      <c r="G502" s="205" t="str">
        <f>IFERROR(IF(Retenciones_mes2[[#This Row],[CUIT]]="","-",VLOOKUP(Retenciones_mes2[[#This Row],[CUIT]],Lista_CUIT[#All],2,0)),"CUIT NO CARGADO")</f>
        <v>GALENO ARGENTINA SA</v>
      </c>
      <c r="H502" s="206">
        <v>4110.09</v>
      </c>
      <c r="I502" s="206"/>
      <c r="J502" s="206"/>
      <c r="K502" s="206"/>
      <c r="L502" s="206"/>
    </row>
    <row r="503" spans="3:12" x14ac:dyDescent="0.25">
      <c r="C503" s="202">
        <v>44957</v>
      </c>
      <c r="D503" s="203">
        <v>402685</v>
      </c>
      <c r="E503" s="203"/>
      <c r="F503" s="204">
        <v>30522428163</v>
      </c>
      <c r="G503" s="205" t="str">
        <f>IFERROR(IF(Retenciones_mes2[[#This Row],[CUIT]]="","-",VLOOKUP(Retenciones_mes2[[#This Row],[CUIT]],Lista_CUIT[#All],2,0)),"CUIT NO CARGADO")</f>
        <v>GALENO ARGENTINA SA</v>
      </c>
      <c r="H503" s="206"/>
      <c r="I503" s="206"/>
      <c r="J503" s="206"/>
      <c r="K503" s="206"/>
      <c r="L503" s="206">
        <v>2056.41</v>
      </c>
    </row>
    <row r="504" spans="3:12" x14ac:dyDescent="0.25">
      <c r="C504" s="202">
        <v>44957</v>
      </c>
      <c r="D504" s="203">
        <v>236893</v>
      </c>
      <c r="E504" s="203"/>
      <c r="F504" s="204">
        <v>30522428163</v>
      </c>
      <c r="G504" s="205" t="str">
        <f>IFERROR(IF(Retenciones_mes2[[#This Row],[CUIT]]="","-",VLOOKUP(Retenciones_mes2[[#This Row],[CUIT]],Lista_CUIT[#All],2,0)),"CUIT NO CARGADO")</f>
        <v>GALENO ARGENTINA SA</v>
      </c>
      <c r="H504" s="206"/>
      <c r="I504" s="206"/>
      <c r="J504" s="206">
        <v>2160.7800000000002</v>
      </c>
      <c r="K504" s="206"/>
      <c r="L504" s="206"/>
    </row>
  </sheetData>
  <mergeCells count="20">
    <mergeCell ref="C476:G476"/>
    <mergeCell ref="B4:E4"/>
    <mergeCell ref="G4:H4"/>
    <mergeCell ref="J4:K4"/>
    <mergeCell ref="M4:N4"/>
    <mergeCell ref="D136:K136"/>
    <mergeCell ref="B189:J189"/>
    <mergeCell ref="K189:M189"/>
    <mergeCell ref="B191:C191"/>
    <mergeCell ref="B246:C246"/>
    <mergeCell ref="P4:R4"/>
    <mergeCell ref="D127:L12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48:L474" xr:uid="{00000000-0002-0000-0200-000000000000}">
      <formula1>IF($C248=8,H248&lt;0,H248&gt;=0)</formula1>
    </dataValidation>
    <dataValidation type="custom" allowBlank="1" showInputMessage="1" showErrorMessage="1" sqref="L198:L199" xr:uid="{00000000-0002-0000-0200-000001000000}">
      <formula1>IF($C122=3,L122&lt;0,L122&gt;=0)</formula1>
    </dataValidation>
    <dataValidation type="custom" allowBlank="1" showInputMessage="1" showErrorMessage="1" sqref="L195:L197" xr:uid="{00000000-0002-0000-0200-000002000000}">
      <formula1>IF($C94=3,L94&lt;0,L94&gt;=0)</formula1>
    </dataValidation>
    <dataValidation type="custom" allowBlank="1" showInputMessage="1" showErrorMessage="1" sqref="L193:L194" xr:uid="{00000000-0002-0000-0200-000003000000}">
      <formula1>IF($C9=3,L9&lt;0,L9&gt;=0)</formula1>
    </dataValidation>
    <dataValidation type="whole" allowBlank="1" showInputMessage="1" showErrorMessage="1" sqref="C248:C474" xr:uid="{00000000-0002-0000-0200-000004000000}">
      <formula1>6</formula1>
      <formula2>8</formula2>
    </dataValidation>
    <dataValidation type="custom" allowBlank="1" showInputMessage="1" showErrorMessage="1" sqref="H193:K193 H195:K195 H197:K197 H199:K199" xr:uid="{00000000-0002-0000-0200-000005000000}">
      <formula1>IF($C193=3,H193&lt;0,H193&gt;=0)</formula1>
    </dataValidation>
    <dataValidation type="whole" allowBlank="1" showInputMessage="1" showErrorMessage="1" sqref="C123:C126 C9:C121 C193:C244" xr:uid="{00000000-0002-0000-0200-000006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53 M54:O54 H54:K54 H55:O121" xr:uid="{00000000-0002-0000-0200-000007000000}">
      <formula1>IF($C9=3,H9&lt;0,H9&gt;=0)</formula1>
    </dataValidation>
    <dataValidation type="date" allowBlank="1" showInputMessage="1" showErrorMessage="1" sqref="B9:B121 D129:D131 B193:B244 B123:B126 B248:B474 D138:D182" xr:uid="{00000000-0002-0000-0200-000008000000}">
      <formula1>40179</formula1>
      <formula2>TODAY()</formula2>
    </dataValidation>
    <dataValidation type="whole" allowBlank="1" showInputMessage="1" showErrorMessage="1" sqref="F9:F121 F193:F244 F248:F474 G138:G182" xr:uid="{00000000-0002-0000-0200-000009000000}">
      <formula1>20000000000</formula1>
      <formula2>33999999999</formula2>
    </dataValidation>
    <dataValidation type="whole" allowBlank="1" showInputMessage="1" showErrorMessage="1" sqref="E9:E121 E193:E244 E248:E474 F138:F182" xr:uid="{00000000-0002-0000-0200-00000A000000}">
      <formula1>1</formula1>
      <formula2>99999999</formula2>
    </dataValidation>
    <dataValidation type="whole" allowBlank="1" showInputMessage="1" showErrorMessage="1" sqref="D9:D121 D193:D244 D248:D474 E138:E182" xr:uid="{00000000-0002-0000-0200-00000B000000}">
      <formula1>1</formula1>
      <formula2>9999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</sheetPr>
  <dimension ref="A1:Z225"/>
  <sheetViews>
    <sheetView showGridLines="0" topLeftCell="G127" zoomScale="80" zoomScaleNormal="80" workbookViewId="0">
      <selection activeCell="I140" sqref="I140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EDATE('Ene-23'!N1,2)</f>
        <v>44986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SUM(compras_mes3[[#Totals],[NETO GRAVADO]])+extracto_banco_mes3[[#Totals],[NETO]]</f>
        <v>15944821.219999999</v>
      </c>
      <c r="C4" s="530"/>
      <c r="D4" s="530"/>
      <c r="E4" s="530"/>
      <c r="F4" s="39"/>
      <c r="G4" s="531">
        <f>compras_mes3[[#Totals],[IVA 21 %]]+compras_mes3[[#Totals],[IVA 27%]]+compras_mes3[[#Totals],[IVA 10,5%]]+extracto_banco_mes3[[#Totals],[IVA 21%]]+extracto_banco_mes3[[#Totals],[IVA 10,5%]]</f>
        <v>3010242.9785999991</v>
      </c>
      <c r="H4" s="531"/>
      <c r="I4" s="39"/>
      <c r="J4" s="537">
        <f>venta_a_mes3[[#Totals],[IMPORTE NETO]]+ventas_b_mes3[[#Totals],[IMPORTE NETO]]</f>
        <v>0</v>
      </c>
      <c r="K4" s="537"/>
      <c r="L4" s="39"/>
      <c r="M4" s="537">
        <f>venta_a_mes3[[#Totals],[IVA 21%]]+venta_a_mes3[[#Totals],[IVA 10,5%]]+ventas_b_mes3[[#Totals],[IVA 21%]]+ventas_b_mes3[[#Totals],[IVA 10,5%]]</f>
        <v>0</v>
      </c>
      <c r="N4" s="537"/>
      <c r="O4" s="39"/>
      <c r="P4" s="533">
        <f>G4-M4</f>
        <v>3010242.9785999991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44985</v>
      </c>
      <c r="C9" s="41">
        <v>1</v>
      </c>
      <c r="D9" s="42">
        <v>6</v>
      </c>
      <c r="E9" s="43">
        <v>3</v>
      </c>
      <c r="F9" s="44">
        <v>30715048066</v>
      </c>
      <c r="G9" s="45" t="str">
        <f>IFERROR(IF(compras_mes3[[#This Row],[CUIT]]="","-",VLOOKUP(compras_mes3[[#This Row],[CUIT]],Lista_CUIT[#All],2,0)),"CUIT NO CARGADO")</f>
        <v>ROLLS Y EMPANADAS SA</v>
      </c>
      <c r="H9" s="46">
        <v>273160</v>
      </c>
      <c r="I9" s="85">
        <f>IF(compras_mes3[[#This Row],[NETO GRAVADO]]="","",compras_mes3[[#This Row],[NETO GRAVADO]]*0.21)</f>
        <v>57363.6</v>
      </c>
      <c r="J9" s="85"/>
      <c r="K9" s="85"/>
      <c r="L9" s="85"/>
      <c r="M9" s="85"/>
      <c r="N9" s="85"/>
      <c r="O9" s="85"/>
      <c r="P9" s="48">
        <f>SUM(compras_mes3[[#This Row],[NETO GRAVADO]:[Otros / No Grav.]])</f>
        <v>330523.59999999998</v>
      </c>
      <c r="Q9" s="49" t="str">
        <f>IFERROR(IF(compras_mes3[[#This Row],[CUIT]]="","-",VLOOKUP(compras_mes3[[#This Row],[CUIT]],Lista_CUIT[#All],3,0)),"CUIT NO CARGADO")</f>
        <v>Catering</v>
      </c>
      <c r="R9" s="49">
        <f>IFERROR(IF(compras_mes3[[#This Row],[CUIT]]="","-",VLOOKUP(compras_mes3[[#This Row],[CUIT]],Lista_CUIT[#All],4,0)),"CUIT NO CARGADO")</f>
        <v>0</v>
      </c>
    </row>
    <row r="10" spans="1:26" x14ac:dyDescent="0.25">
      <c r="B10" s="254">
        <v>44986</v>
      </c>
      <c r="C10" s="209">
        <v>1</v>
      </c>
      <c r="D10" s="255">
        <v>10</v>
      </c>
      <c r="E10" s="256">
        <v>5002</v>
      </c>
      <c r="F10" s="257">
        <v>30714696153</v>
      </c>
      <c r="G10" s="258" t="str">
        <f>IFERROR(IF(compras_mes3[[#This Row],[CUIT]]="","-",VLOOKUP(compras_mes3[[#This Row],[CUIT]],Lista_CUIT[#All],2,0)),"CUIT NO CARGADO")</f>
        <v>HOSPIMED SA</v>
      </c>
      <c r="H10" s="259">
        <v>4876.03</v>
      </c>
      <c r="I10" s="260">
        <f>IF(compras_mes3[[#This Row],[NETO GRAVADO]]="","",compras_mes3[[#This Row],[NETO GRAVADO]]*0.21)</f>
        <v>1023.9662999999999</v>
      </c>
      <c r="J10" s="260"/>
      <c r="K10" s="260"/>
      <c r="L10" s="260"/>
      <c r="M10" s="260"/>
      <c r="N10" s="260"/>
      <c r="O10" s="260"/>
      <c r="P10" s="261">
        <f>SUM(compras_mes3[[#This Row],[NETO GRAVADO]:[Otros / No Grav.]])</f>
        <v>5899.9962999999998</v>
      </c>
      <c r="Q10" s="262" t="str">
        <f>IFERROR(IF(compras_mes3[[#This Row],[CUIT]]="","-",VLOOKUP(compras_mes3[[#This Row],[CUIT]],Lista_CUIT[#All],3,0)),"CUIT NO CARGADO")</f>
        <v>Productos Ortopedicos</v>
      </c>
      <c r="R10" s="262">
        <f>IFERROR(IF(compras_mes3[[#This Row],[CUIT]]="","-",VLOOKUP(compras_mes3[[#This Row],[CUIT]],Lista_CUIT[#All],4,0)),"CUIT NO CARGADO")</f>
        <v>0</v>
      </c>
    </row>
    <row r="11" spans="1:26" x14ac:dyDescent="0.25">
      <c r="B11" s="40">
        <v>44986</v>
      </c>
      <c r="C11" s="41">
        <v>1</v>
      </c>
      <c r="D11" s="42">
        <v>7</v>
      </c>
      <c r="E11" s="43">
        <v>14825</v>
      </c>
      <c r="F11" s="44">
        <v>30709214078</v>
      </c>
      <c r="G11" s="45" t="str">
        <f>IFERROR(IF(compras_mes3[[#This Row],[CUIT]]="","-",VLOOKUP(compras_mes3[[#This Row],[CUIT]],Lista_CUIT[#All],2,0)),"CUIT NO CARGADO")</f>
        <v>REHAVITA S.A</v>
      </c>
      <c r="H11" s="46">
        <v>708034</v>
      </c>
      <c r="I11" s="85">
        <f>IF(compras_mes3[[#This Row],[NETO GRAVADO]]="","",compras_mes3[[#This Row],[NETO GRAVADO]]*0.21)</f>
        <v>148687.13999999998</v>
      </c>
      <c r="J11" s="85"/>
      <c r="K11" s="85"/>
      <c r="L11" s="85"/>
      <c r="M11" s="85"/>
      <c r="N11" s="85"/>
      <c r="O11" s="85"/>
      <c r="P11" s="48">
        <f>SUM(compras_mes3[[#This Row],[NETO GRAVADO]:[Otros / No Grav.]])</f>
        <v>856721.14</v>
      </c>
      <c r="Q11" s="49" t="str">
        <f>IFERROR(IF(compras_mes3[[#This Row],[CUIT]]="","-",VLOOKUP(compras_mes3[[#This Row],[CUIT]],Lista_CUIT[#All],3,0)),"CUIT NO CARGADO")</f>
        <v>Productos Ortopedicos</v>
      </c>
      <c r="R11" s="49">
        <f>IFERROR(IF(compras_mes3[[#This Row],[CUIT]]="","-",VLOOKUP(compras_mes3[[#This Row],[CUIT]],Lista_CUIT[#All],4,0)),"CUIT NO CARGADO")</f>
        <v>0</v>
      </c>
    </row>
    <row r="12" spans="1:26" x14ac:dyDescent="0.25">
      <c r="B12" s="254">
        <v>44986</v>
      </c>
      <c r="C12" s="209">
        <v>1</v>
      </c>
      <c r="D12" s="255">
        <v>1305</v>
      </c>
      <c r="E12" s="256">
        <v>880302</v>
      </c>
      <c r="F12" s="257">
        <v>30663288497</v>
      </c>
      <c r="G12" s="258" t="str">
        <f>IFERROR(IF(compras_mes3[[#This Row],[CUIT]]="","-",VLOOKUP(compras_mes3[[#This Row],[CUIT]],Lista_CUIT[#All],2,0)),"CUIT NO CARGADO")</f>
        <v>AMX ARG SA</v>
      </c>
      <c r="H12" s="259">
        <v>6090</v>
      </c>
      <c r="I12" s="260">
        <v>517.86</v>
      </c>
      <c r="J12" s="260">
        <v>978.48</v>
      </c>
      <c r="K12" s="260"/>
      <c r="L12" s="260"/>
      <c r="M12" s="260"/>
      <c r="N12" s="260">
        <v>213.15</v>
      </c>
      <c r="O12" s="260">
        <v>373.44</v>
      </c>
      <c r="P12" s="261">
        <f>SUM(compras_mes3[[#This Row],[NETO GRAVADO]:[Otros / No Grav.]])</f>
        <v>8172.9299999999994</v>
      </c>
      <c r="Q12" s="262" t="str">
        <f>IFERROR(IF(compras_mes3[[#This Row],[CUIT]]="","-",VLOOKUP(compras_mes3[[#This Row],[CUIT]],Lista_CUIT[#All],3,0)),"CUIT NO CARGADO")</f>
        <v>SERVICIOS DE INTERNET</v>
      </c>
      <c r="R12" s="262">
        <f>IFERROR(IF(compras_mes3[[#This Row],[CUIT]]="","-",VLOOKUP(compras_mes3[[#This Row],[CUIT]],Lista_CUIT[#All],4,0)),"CUIT NO CARGADO")</f>
        <v>0</v>
      </c>
    </row>
    <row r="13" spans="1:26" x14ac:dyDescent="0.25">
      <c r="B13" s="245">
        <v>44986</v>
      </c>
      <c r="C13" s="209">
        <v>1</v>
      </c>
      <c r="D13" s="246">
        <v>500</v>
      </c>
      <c r="E13" s="247">
        <v>1228875</v>
      </c>
      <c r="F13" s="248">
        <v>30654118767</v>
      </c>
      <c r="G13" s="249" t="str">
        <f>IFERROR(IF(compras_mes3[[#This Row],[CUIT]]="","-",VLOOKUP(compras_mes3[[#This Row],[CUIT]],Lista_CUIT[#All],2,0)),"CUIT NO CARGADO")</f>
        <v>SOLUCIONES MULTIMEDIA SA</v>
      </c>
      <c r="H13" s="250">
        <v>8300.4599999999991</v>
      </c>
      <c r="I13" s="251">
        <f>IF(compras_mes3[[#This Row],[NETO GRAVADO]]="","",compras_mes3[[#This Row],[NETO GRAVADO]]*0.21)</f>
        <v>1743.0965999999999</v>
      </c>
      <c r="J13" s="251"/>
      <c r="K13" s="251"/>
      <c r="L13" s="251"/>
      <c r="M13" s="251"/>
      <c r="N13" s="251"/>
      <c r="O13" s="251"/>
      <c r="P13" s="252">
        <f>SUM(compras_mes3[[#This Row],[NETO GRAVADO]:[Otros / No Grav.]])</f>
        <v>10043.5566</v>
      </c>
      <c r="Q13" s="253" t="str">
        <f>IFERROR(IF(compras_mes3[[#This Row],[CUIT]]="","-",VLOOKUP(compras_mes3[[#This Row],[CUIT]],Lista_CUIT[#All],3,0)),"CUIT NO CARGADO")</f>
        <v>GASTOS ADMINISTRATIVOS</v>
      </c>
      <c r="R13" s="253">
        <f>IFERROR(IF(compras_mes3[[#This Row],[CUIT]]="","-",VLOOKUP(compras_mes3[[#This Row],[CUIT]],Lista_CUIT[#All],4,0)),"CUIT NO CARGADO")</f>
        <v>0</v>
      </c>
    </row>
    <row r="14" spans="1:26" x14ac:dyDescent="0.25">
      <c r="B14" s="89">
        <v>44987</v>
      </c>
      <c r="C14" s="41">
        <v>1</v>
      </c>
      <c r="D14" s="91">
        <v>2</v>
      </c>
      <c r="E14" s="92">
        <v>180</v>
      </c>
      <c r="F14" s="93">
        <v>30605344352</v>
      </c>
      <c r="G14" s="94" t="str">
        <f>IFERROR(IF(compras_mes3[[#This Row],[CUIT]]="","-",VLOOKUP(compras_mes3[[#This Row],[CUIT]],Lista_CUIT[#All],2,0)),"CUIT NO CARGADO")</f>
        <v>CONSORCIO BARTOLME MITRE 2466</v>
      </c>
      <c r="H14" s="95">
        <v>187880</v>
      </c>
      <c r="I14" s="86">
        <f>IF(compras_mes3[[#This Row],[NETO GRAVADO]]="","",compras_mes3[[#This Row],[NETO GRAVADO]]*0.21)</f>
        <v>39454.799999999996</v>
      </c>
      <c r="J14" s="86"/>
      <c r="K14" s="86"/>
      <c r="L14" s="86"/>
      <c r="M14" s="86"/>
      <c r="N14" s="86"/>
      <c r="O14" s="86"/>
      <c r="P14" s="87">
        <f>SUM(compras_mes3[[#This Row],[NETO GRAVADO]:[Otros / No Grav.]])</f>
        <v>227334.8</v>
      </c>
      <c r="Q14" s="88" t="str">
        <f>IFERROR(IF(compras_mes3[[#This Row],[CUIT]]="","-",VLOOKUP(compras_mes3[[#This Row],[CUIT]],Lista_CUIT[#All],3,0)),"CUIT NO CARGADO")</f>
        <v>Gastos Varios</v>
      </c>
      <c r="R14" s="88">
        <f>IFERROR(IF(compras_mes3[[#This Row],[CUIT]]="","-",VLOOKUP(compras_mes3[[#This Row],[CUIT]],Lista_CUIT[#All],4,0)),"CUIT NO CARGADO")</f>
        <v>0</v>
      </c>
    </row>
    <row r="15" spans="1:26" x14ac:dyDescent="0.25">
      <c r="B15" s="89">
        <v>44987</v>
      </c>
      <c r="C15" s="41">
        <v>1</v>
      </c>
      <c r="D15" s="91">
        <v>2</v>
      </c>
      <c r="E15" s="92">
        <v>649</v>
      </c>
      <c r="F15" s="93">
        <v>20140958213</v>
      </c>
      <c r="G15" s="94" t="str">
        <f>IFERROR(IF(compras_mes3[[#This Row],[CUIT]]="","-",VLOOKUP(compras_mes3[[#This Row],[CUIT]],Lista_CUIT[#All],2,0)),"CUIT NO CARGADO")</f>
        <v>ESPAÑA ALEJANDRO JORGE</v>
      </c>
      <c r="H15" s="95">
        <v>266115.7</v>
      </c>
      <c r="I15" s="86">
        <f>IF(compras_mes3[[#This Row],[NETO GRAVADO]]="","",compras_mes3[[#This Row],[NETO GRAVADO]]*0.21)</f>
        <v>55884.296999999999</v>
      </c>
      <c r="J15" s="86"/>
      <c r="K15" s="86"/>
      <c r="L15" s="86"/>
      <c r="M15" s="86"/>
      <c r="N15" s="86"/>
      <c r="O15" s="86"/>
      <c r="P15" s="87">
        <f>SUM(compras_mes3[[#This Row],[NETO GRAVADO]:[Otros / No Grav.]])</f>
        <v>321999.99700000003</v>
      </c>
      <c r="Q15" s="88" t="str">
        <f>IFERROR(IF(compras_mes3[[#This Row],[CUIT]]="","-",VLOOKUP(compras_mes3[[#This Row],[CUIT]],Lista_CUIT[#All],3,0)),"CUIT NO CARGADO")</f>
        <v>Productos Ortopedicos</v>
      </c>
      <c r="R15" s="88">
        <f>IFERROR(IF(compras_mes3[[#This Row],[CUIT]]="","-",VLOOKUP(compras_mes3[[#This Row],[CUIT]],Lista_CUIT[#All],4,0)),"CUIT NO CARGADO")</f>
        <v>0</v>
      </c>
    </row>
    <row r="16" spans="1:26" x14ac:dyDescent="0.25">
      <c r="B16" s="228">
        <v>44987</v>
      </c>
      <c r="C16" s="41">
        <v>1</v>
      </c>
      <c r="D16" s="229">
        <v>5</v>
      </c>
      <c r="E16" s="230">
        <v>1122</v>
      </c>
      <c r="F16" s="231">
        <v>30712187316</v>
      </c>
      <c r="G16" s="232" t="str">
        <f>IFERROR(IF(compras_mes3[[#This Row],[CUIT]]="","-",VLOOKUP(compras_mes3[[#This Row],[CUIT]],Lista_CUIT[#All],2,0)),"CUIT NO CARGADO")</f>
        <v>ITALOMED PRODUCTOS SRL</v>
      </c>
      <c r="H16" s="233">
        <v>45822.29</v>
      </c>
      <c r="I16" s="234">
        <f>IF(compras_mes3[[#This Row],[NETO GRAVADO]]="","",compras_mes3[[#This Row],[NETO GRAVADO]]*0.21)</f>
        <v>9622.6808999999994</v>
      </c>
      <c r="J16" s="234"/>
      <c r="K16" s="234"/>
      <c r="L16" s="234"/>
      <c r="M16" s="234"/>
      <c r="N16" s="234"/>
      <c r="O16" s="234"/>
      <c r="P16" s="235">
        <f>SUM(compras_mes3[[#This Row],[NETO GRAVADO]:[Otros / No Grav.]])</f>
        <v>55444.9709</v>
      </c>
      <c r="Q16" s="236" t="str">
        <f>IFERROR(IF(compras_mes3[[#This Row],[CUIT]]="","-",VLOOKUP(compras_mes3[[#This Row],[CUIT]],Lista_CUIT[#All],3,0)),"CUIT NO CARGADO")</f>
        <v>Productos Ortopedicos</v>
      </c>
      <c r="R16" s="236">
        <f>IFERROR(IF(compras_mes3[[#This Row],[CUIT]]="","-",VLOOKUP(compras_mes3[[#This Row],[CUIT]],Lista_CUIT[#All],4,0)),"CUIT NO CARGADO")</f>
        <v>0</v>
      </c>
    </row>
    <row r="17" spans="2:18" x14ac:dyDescent="0.25">
      <c r="B17" s="254">
        <v>44987</v>
      </c>
      <c r="C17" s="209">
        <v>1</v>
      </c>
      <c r="D17" s="255">
        <v>3</v>
      </c>
      <c r="E17" s="256">
        <v>7605</v>
      </c>
      <c r="F17" s="257">
        <v>20045615473</v>
      </c>
      <c r="G17" s="258" t="str">
        <f>IFERROR(IF(compras_mes3[[#This Row],[CUIT]]="","-",VLOOKUP(compras_mes3[[#This Row],[CUIT]],Lista_CUIT[#All],2,0)),"CUIT NO CARGADO")</f>
        <v xml:space="preserve">DI FEO HUGO PASCUAL </v>
      </c>
      <c r="H17" s="259">
        <v>11415</v>
      </c>
      <c r="I17" s="260">
        <f>IF(compras_mes3[[#This Row],[NETO GRAVADO]]="","",compras_mes3[[#This Row],[NETO GRAVADO]]*0.21)</f>
        <v>2397.15</v>
      </c>
      <c r="J17" s="260"/>
      <c r="K17" s="260"/>
      <c r="L17" s="260"/>
      <c r="M17" s="260"/>
      <c r="N17" s="260"/>
      <c r="O17" s="260"/>
      <c r="P17" s="261">
        <f>SUM(compras_mes3[[#This Row],[NETO GRAVADO]:[Otros / No Grav.]])</f>
        <v>13812.15</v>
      </c>
      <c r="Q17" s="262" t="str">
        <f>IFERROR(IF(compras_mes3[[#This Row],[CUIT]]="","-",VLOOKUP(compras_mes3[[#This Row],[CUIT]],Lista_CUIT[#All],3,0)),"CUIT NO CARGADO")</f>
        <v>Productos Ortopedicos</v>
      </c>
      <c r="R17" s="262">
        <f>IFERROR(IF(compras_mes3[[#This Row],[CUIT]]="","-",VLOOKUP(compras_mes3[[#This Row],[CUIT]],Lista_CUIT[#All],4,0)),"CUIT NO CARGADO")</f>
        <v>0</v>
      </c>
    </row>
    <row r="18" spans="2:18" x14ac:dyDescent="0.25">
      <c r="B18" s="228">
        <v>44987</v>
      </c>
      <c r="C18" s="41">
        <v>1</v>
      </c>
      <c r="D18" s="229">
        <v>7</v>
      </c>
      <c r="E18" s="230">
        <v>56679</v>
      </c>
      <c r="F18" s="231">
        <v>20181426846</v>
      </c>
      <c r="G18" s="232" t="str">
        <f>IFERROR(IF(compras_mes3[[#This Row],[CUIT]]="","-",VLOOKUP(compras_mes3[[#This Row],[CUIT]],Lista_CUIT[#All],2,0)),"CUIT NO CARGADO")</f>
        <v>GRIDEL WALTER DIEGO</v>
      </c>
      <c r="H18" s="233">
        <v>4860.33</v>
      </c>
      <c r="I18" s="234">
        <f>IF(compras_mes3[[#This Row],[NETO GRAVADO]]="","",compras_mes3[[#This Row],[NETO GRAVADO]]*0.21)</f>
        <v>1020.6692999999999</v>
      </c>
      <c r="J18" s="234"/>
      <c r="K18" s="234"/>
      <c r="L18" s="234"/>
      <c r="M18" s="234"/>
      <c r="N18" s="234"/>
      <c r="O18" s="234"/>
      <c r="P18" s="235">
        <f>SUM(compras_mes3[[#This Row],[NETO GRAVADO]:[Otros / No Grav.]])</f>
        <v>5880.9992999999995</v>
      </c>
      <c r="Q18" s="236" t="str">
        <f>IFERROR(IF(compras_mes3[[#This Row],[CUIT]]="","-",VLOOKUP(compras_mes3[[#This Row],[CUIT]],Lista_CUIT[#All],3,0)),"CUIT NO CARGADO")</f>
        <v>GASTOS ADMINISTRATIVOS</v>
      </c>
      <c r="R18" s="236">
        <f>IFERROR(IF(compras_mes3[[#This Row],[CUIT]]="","-",VLOOKUP(compras_mes3[[#This Row],[CUIT]],Lista_CUIT[#All],4,0)),"CUIT NO CARGADO")</f>
        <v>0</v>
      </c>
    </row>
    <row r="19" spans="2:18" x14ac:dyDescent="0.25">
      <c r="B19" s="254">
        <v>44988</v>
      </c>
      <c r="C19" s="209">
        <v>1</v>
      </c>
      <c r="D19" s="255">
        <v>5</v>
      </c>
      <c r="E19" s="256">
        <v>1273</v>
      </c>
      <c r="F19" s="257">
        <v>30715010808</v>
      </c>
      <c r="G19" s="258" t="str">
        <f>IFERROR(IF(compras_mes3[[#This Row],[CUIT]]="","-",VLOOKUP(compras_mes3[[#This Row],[CUIT]],Lista_CUIT[#All],2,0)),"CUIT NO CARGADO")</f>
        <v>DISTRIBUIDORA DGO S.R.L.</v>
      </c>
      <c r="H19" s="259">
        <v>6609.92</v>
      </c>
      <c r="I19" s="260">
        <f>IF(compras_mes3[[#This Row],[NETO GRAVADO]]="","",compras_mes3[[#This Row],[NETO GRAVADO]]*0.21)</f>
        <v>1388.0832</v>
      </c>
      <c r="J19" s="260"/>
      <c r="K19" s="260"/>
      <c r="L19" s="260"/>
      <c r="M19" s="260"/>
      <c r="N19" s="260"/>
      <c r="O19" s="260"/>
      <c r="P19" s="261">
        <f>SUM(compras_mes3[[#This Row],[NETO GRAVADO]:[Otros / No Grav.]])</f>
        <v>7998.0032000000001</v>
      </c>
      <c r="Q19" s="262" t="str">
        <f>IFERROR(IF(compras_mes3[[#This Row],[CUIT]]="","-",VLOOKUP(compras_mes3[[#This Row],[CUIT]],Lista_CUIT[#All],3,0)),"CUIT NO CARGADO")</f>
        <v>GASTOS MANTENIMIENTO</v>
      </c>
      <c r="R19" s="262">
        <f>IFERROR(IF(compras_mes3[[#This Row],[CUIT]]="","-",VLOOKUP(compras_mes3[[#This Row],[CUIT]],Lista_CUIT[#All],4,0)),"CUIT NO CARGADO")</f>
        <v>0</v>
      </c>
    </row>
    <row r="20" spans="2:18" x14ac:dyDescent="0.25">
      <c r="B20" s="254">
        <v>44988</v>
      </c>
      <c r="C20" s="209">
        <v>1</v>
      </c>
      <c r="D20" s="255">
        <v>5</v>
      </c>
      <c r="E20" s="256">
        <v>6430</v>
      </c>
      <c r="F20" s="257">
        <v>30716313367</v>
      </c>
      <c r="G20" s="258" t="str">
        <f>IFERROR(IF(compras_mes3[[#This Row],[CUIT]]="","-",VLOOKUP(compras_mes3[[#This Row],[CUIT]],Lista_CUIT[#All],2,0)),"CUIT NO CARGADO")</f>
        <v>DISDEC</v>
      </c>
      <c r="H20" s="259">
        <v>13053.93</v>
      </c>
      <c r="I20" s="260">
        <f>IF(compras_mes3[[#This Row],[NETO GRAVADO]]="","",compras_mes3[[#This Row],[NETO GRAVADO]]*0.21)</f>
        <v>2741.3253</v>
      </c>
      <c r="J20" s="260"/>
      <c r="K20" s="260"/>
      <c r="L20" s="260"/>
      <c r="M20" s="260"/>
      <c r="N20" s="260"/>
      <c r="O20" s="260"/>
      <c r="P20" s="261">
        <f>SUM(compras_mes3[[#This Row],[NETO GRAVADO]:[Otros / No Grav.]])</f>
        <v>15795.255300000001</v>
      </c>
      <c r="Q20" s="262" t="str">
        <f>IFERROR(IF(compras_mes3[[#This Row],[CUIT]]="","-",VLOOKUP(compras_mes3[[#This Row],[CUIT]],Lista_CUIT[#All],3,0)),"CUIT NO CARGADO")</f>
        <v>GASTOS MANTENIMIENTO</v>
      </c>
      <c r="R20" s="262">
        <f>IFERROR(IF(compras_mes3[[#This Row],[CUIT]]="","-",VLOOKUP(compras_mes3[[#This Row],[CUIT]],Lista_CUIT[#All],4,0)),"CUIT NO CARGADO")</f>
        <v>0</v>
      </c>
    </row>
    <row r="21" spans="2:18" x14ac:dyDescent="0.25">
      <c r="B21" s="228">
        <v>44988</v>
      </c>
      <c r="C21" s="41">
        <v>1</v>
      </c>
      <c r="D21" s="229">
        <v>9038</v>
      </c>
      <c r="E21" s="230">
        <v>10760</v>
      </c>
      <c r="F21" s="231">
        <v>30678774495</v>
      </c>
      <c r="G21" s="232" t="str">
        <f>IFERROR(IF(compras_mes3[[#This Row],[CUIT]]="","-",VLOOKUP(compras_mes3[[#This Row],[CUIT]],Lista_CUIT[#All],2,0)),"CUIT NO CARGADO")</f>
        <v>OPER. DE EST. DE SERV. SA</v>
      </c>
      <c r="H21" s="233">
        <v>8285.1</v>
      </c>
      <c r="I21" s="234">
        <f>IF(compras_mes3[[#This Row],[NETO GRAVADO]]="","",compras_mes3[[#This Row],[NETO GRAVADO]]*0.21)</f>
        <v>1739.8710000000001</v>
      </c>
      <c r="J21" s="234"/>
      <c r="K21" s="234"/>
      <c r="L21" s="234"/>
      <c r="M21" s="234"/>
      <c r="N21" s="234"/>
      <c r="O21" s="234">
        <v>676.84</v>
      </c>
      <c r="P21" s="235">
        <f>SUM(compras_mes3[[#This Row],[NETO GRAVADO]:[Otros / No Grav.]])</f>
        <v>10701.811000000002</v>
      </c>
      <c r="Q21" s="236" t="str">
        <f>IFERROR(IF(compras_mes3[[#This Row],[CUIT]]="","-",VLOOKUP(compras_mes3[[#This Row],[CUIT]],Lista_CUIT[#All],3,0)),"CUIT NO CARGADO")</f>
        <v>COMBUSTIBLE</v>
      </c>
      <c r="R21" s="236">
        <f>IFERROR(IF(compras_mes3[[#This Row],[CUIT]]="","-",VLOOKUP(compras_mes3[[#This Row],[CUIT]],Lista_CUIT[#All],4,0)),"CUIT NO CARGADO")</f>
        <v>0</v>
      </c>
    </row>
    <row r="22" spans="2:18" x14ac:dyDescent="0.25">
      <c r="B22" s="254">
        <v>44988</v>
      </c>
      <c r="C22" s="209">
        <v>1</v>
      </c>
      <c r="D22" s="255">
        <v>5011</v>
      </c>
      <c r="E22" s="256">
        <v>445228</v>
      </c>
      <c r="F22" s="257">
        <v>30574876474</v>
      </c>
      <c r="G22" s="258" t="str">
        <f>IFERROR(IF(compras_mes3[[#This Row],[CUIT]]="","-",VLOOKUP(compras_mes3[[#This Row],[CUIT]],Lista_CUIT[#All],2,0)),"CUIT NO CARGADO")</f>
        <v>AUTOP. URBANAS SA</v>
      </c>
      <c r="H22" s="259">
        <v>1848.04</v>
      </c>
      <c r="I22" s="260">
        <f>IF(compras_mes3[[#This Row],[NETO GRAVADO]]="","",compras_mes3[[#This Row],[NETO GRAVADO]]*0.21)</f>
        <v>388.08839999999998</v>
      </c>
      <c r="J22" s="260"/>
      <c r="K22" s="260"/>
      <c r="L22" s="260"/>
      <c r="M22" s="260"/>
      <c r="N22" s="260"/>
      <c r="O22" s="260">
        <v>183.78</v>
      </c>
      <c r="P22" s="261">
        <f>SUM(compras_mes3[[#This Row],[NETO GRAVADO]:[Otros / No Grav.]])</f>
        <v>2419.9084000000003</v>
      </c>
      <c r="Q22" s="262" t="str">
        <f>IFERROR(IF(compras_mes3[[#This Row],[CUIT]]="","-",VLOOKUP(compras_mes3[[#This Row],[CUIT]],Lista_CUIT[#All],3,0)),"CUIT NO CARGADO")</f>
        <v>PEAJE</v>
      </c>
      <c r="R22" s="262">
        <f>IFERROR(IF(compras_mes3[[#This Row],[CUIT]]="","-",VLOOKUP(compras_mes3[[#This Row],[CUIT]],Lista_CUIT[#All],4,0)),"CUIT NO CARGADO")</f>
        <v>0</v>
      </c>
    </row>
    <row r="23" spans="2:18" x14ac:dyDescent="0.25">
      <c r="B23" s="254">
        <v>44988</v>
      </c>
      <c r="C23" s="209">
        <v>1</v>
      </c>
      <c r="D23" s="255">
        <v>5009</v>
      </c>
      <c r="E23" s="256">
        <v>618012</v>
      </c>
      <c r="F23" s="257">
        <v>30574876474</v>
      </c>
      <c r="G23" s="258" t="str">
        <f>IFERROR(IF(compras_mes3[[#This Row],[CUIT]]="","-",VLOOKUP(compras_mes3[[#This Row],[CUIT]],Lista_CUIT[#All],2,0)),"CUIT NO CARGADO")</f>
        <v>AUTOP. URBANAS SA</v>
      </c>
      <c r="H23" s="259">
        <v>648.54</v>
      </c>
      <c r="I23" s="260">
        <f>IF(compras_mes3[[#This Row],[NETO GRAVADO]]="","",compras_mes3[[#This Row],[NETO GRAVADO]]*0.21)</f>
        <v>136.1934</v>
      </c>
      <c r="J23" s="260"/>
      <c r="K23" s="260"/>
      <c r="L23" s="260"/>
      <c r="M23" s="260"/>
      <c r="N23" s="260"/>
      <c r="O23" s="260">
        <v>64.84</v>
      </c>
      <c r="P23" s="261">
        <f>SUM(compras_mes3[[#This Row],[NETO GRAVADO]:[Otros / No Grav.]])</f>
        <v>849.57339999999999</v>
      </c>
      <c r="Q23" s="262" t="str">
        <f>IFERROR(IF(compras_mes3[[#This Row],[CUIT]]="","-",VLOOKUP(compras_mes3[[#This Row],[CUIT]],Lista_CUIT[#All],3,0)),"CUIT NO CARGADO")</f>
        <v>PEAJE</v>
      </c>
      <c r="R23" s="262">
        <f>IFERROR(IF(compras_mes3[[#This Row],[CUIT]]="","-",VLOOKUP(compras_mes3[[#This Row],[CUIT]],Lista_CUIT[#All],4,0)),"CUIT NO CARGADO")</f>
        <v>0</v>
      </c>
    </row>
    <row r="24" spans="2:18" x14ac:dyDescent="0.25">
      <c r="B24" s="254">
        <v>44989</v>
      </c>
      <c r="C24" s="209">
        <v>1</v>
      </c>
      <c r="D24" s="255">
        <v>50</v>
      </c>
      <c r="E24" s="256">
        <v>2981625</v>
      </c>
      <c r="F24" s="257">
        <v>30714112836</v>
      </c>
      <c r="G24" s="258" t="str">
        <f>IFERROR(IF(compras_mes3[[#This Row],[CUIT]]="","-",VLOOKUP(compras_mes3[[#This Row],[CUIT]],Lista_CUIT[#All],2,0)),"CUIT NO CARGADO")</f>
        <v>AUTOPISTAS DE BUENOS AIRES (AUBASA) SA</v>
      </c>
      <c r="H24" s="259">
        <v>165.29</v>
      </c>
      <c r="I24" s="260">
        <f>IF(compras_mes3[[#This Row],[NETO GRAVADO]]="","",compras_mes3[[#This Row],[NETO GRAVADO]]*0.21)</f>
        <v>34.710899999999995</v>
      </c>
      <c r="J24" s="260"/>
      <c r="K24" s="260"/>
      <c r="L24" s="260"/>
      <c r="M24" s="260"/>
      <c r="N24" s="260"/>
      <c r="O24" s="260"/>
      <c r="P24" s="261">
        <f>SUM(compras_mes3[[#This Row],[NETO GRAVADO]:[Otros / No Grav.]])</f>
        <v>200.0009</v>
      </c>
      <c r="Q24" s="262" t="str">
        <f>IFERROR(IF(compras_mes3[[#This Row],[CUIT]]="","-",VLOOKUP(compras_mes3[[#This Row],[CUIT]],Lista_CUIT[#All],3,0)),"CUIT NO CARGADO")</f>
        <v>Autopista</v>
      </c>
      <c r="R24" s="262">
        <f>IFERROR(IF(compras_mes3[[#This Row],[CUIT]]="","-",VLOOKUP(compras_mes3[[#This Row],[CUIT]],Lista_CUIT[#All],4,0)),"CUIT NO CARGADO")</f>
        <v>0</v>
      </c>
    </row>
    <row r="25" spans="2:18" x14ac:dyDescent="0.25">
      <c r="B25" s="228">
        <v>44991</v>
      </c>
      <c r="C25" s="41">
        <v>1</v>
      </c>
      <c r="D25" s="229">
        <v>3</v>
      </c>
      <c r="E25" s="230">
        <v>50</v>
      </c>
      <c r="F25" s="231">
        <v>20334976433</v>
      </c>
      <c r="G25" s="232" t="str">
        <f>IFERROR(IF(compras_mes3[[#This Row],[CUIT]]="","-",VLOOKUP(compras_mes3[[#This Row],[CUIT]],Lista_CUIT[#All],2,0)),"CUIT NO CARGADO")</f>
        <v>NARDOMARINO EZEQUIEL EDUARDO</v>
      </c>
      <c r="H25" s="233">
        <v>115971.07</v>
      </c>
      <c r="I25" s="234">
        <f>IF(compras_mes3[[#This Row],[NETO GRAVADO]]="","",compras_mes3[[#This Row],[NETO GRAVADO]]*0.21)</f>
        <v>24353.9247</v>
      </c>
      <c r="J25" s="234"/>
      <c r="K25" s="234"/>
      <c r="L25" s="234"/>
      <c r="M25" s="234"/>
      <c r="N25" s="234"/>
      <c r="O25" s="234"/>
      <c r="P25" s="235">
        <f>SUM(compras_mes3[[#This Row],[NETO GRAVADO]:[Otros / No Grav.]])</f>
        <v>140324.99470000001</v>
      </c>
      <c r="Q25" s="236" t="str">
        <f>IFERROR(IF(compras_mes3[[#This Row],[CUIT]]="","-",VLOOKUP(compras_mes3[[#This Row],[CUIT]],Lista_CUIT[#All],3,0)),"CUIT NO CARGADO")</f>
        <v>FLETE</v>
      </c>
      <c r="R25" s="236">
        <f>IFERROR(IF(compras_mes3[[#This Row],[CUIT]]="","-",VLOOKUP(compras_mes3[[#This Row],[CUIT]],Lista_CUIT[#All],4,0)),"CUIT NO CARGADO")</f>
        <v>0</v>
      </c>
    </row>
    <row r="26" spans="2:18" x14ac:dyDescent="0.25">
      <c r="B26" s="228">
        <v>44991</v>
      </c>
      <c r="C26" s="41">
        <v>1</v>
      </c>
      <c r="D26" s="229">
        <v>17</v>
      </c>
      <c r="E26" s="230">
        <v>812</v>
      </c>
      <c r="F26" s="231">
        <v>30711764921</v>
      </c>
      <c r="G26" s="232" t="str">
        <f>IFERROR(IF(compras_mes3[[#This Row],[CUIT]]="","-",VLOOKUP(compras_mes3[[#This Row],[CUIT]],Lista_CUIT[#All],2,0)),"CUIT NO CARGADO")</f>
        <v>RELIEF CENTER SRL</v>
      </c>
      <c r="H26" s="233">
        <v>19393</v>
      </c>
      <c r="I26" s="234">
        <f>IF(compras_mes3[[#This Row],[NETO GRAVADO]]="","",compras_mes3[[#This Row],[NETO GRAVADO]]*0.21)</f>
        <v>4072.5299999999997</v>
      </c>
      <c r="J26" s="234"/>
      <c r="K26" s="234"/>
      <c r="L26" s="234"/>
      <c r="M26" s="234"/>
      <c r="N26" s="234"/>
      <c r="O26" s="234"/>
      <c r="P26" s="235">
        <f>SUM(compras_mes3[[#This Row],[NETO GRAVADO]:[Otros / No Grav.]])</f>
        <v>23465.53</v>
      </c>
      <c r="Q26" s="236" t="str">
        <f>IFERROR(IF(compras_mes3[[#This Row],[CUIT]]="","-",VLOOKUP(compras_mes3[[#This Row],[CUIT]],Lista_CUIT[#All],3,0)),"CUIT NO CARGADO")</f>
        <v>Productos Ortopedicos</v>
      </c>
      <c r="R26" s="236">
        <f>IFERROR(IF(compras_mes3[[#This Row],[CUIT]]="","-",VLOOKUP(compras_mes3[[#This Row],[CUIT]],Lista_CUIT[#All],4,0)),"CUIT NO CARGADO")</f>
        <v>0</v>
      </c>
    </row>
    <row r="27" spans="2:18" x14ac:dyDescent="0.25">
      <c r="B27" s="228">
        <v>44991</v>
      </c>
      <c r="C27" s="41">
        <v>1</v>
      </c>
      <c r="D27" s="229">
        <v>4</v>
      </c>
      <c r="E27" s="230">
        <v>2160</v>
      </c>
      <c r="F27" s="231">
        <v>30715668994</v>
      </c>
      <c r="G27" s="232" t="str">
        <f>IFERROR(IF(compras_mes3[[#This Row],[CUIT]]="","-",VLOOKUP(compras_mes3[[#This Row],[CUIT]],Lista_CUIT[#All],2,0)),"CUIT NO CARGADO")</f>
        <v>SS METAL MECANICA SRL</v>
      </c>
      <c r="H27" s="233">
        <v>2750000</v>
      </c>
      <c r="I27" s="234"/>
      <c r="J27" s="234"/>
      <c r="K27" s="234">
        <f>compras_mes3[[#This Row],[NETO GRAVADO]]*0.105</f>
        <v>288750</v>
      </c>
      <c r="L27" s="234"/>
      <c r="M27" s="234"/>
      <c r="N27" s="234"/>
      <c r="O27" s="234"/>
      <c r="P27" s="235">
        <f>SUM(compras_mes3[[#This Row],[NETO GRAVADO]:[Otros / No Grav.]])</f>
        <v>3038750</v>
      </c>
      <c r="Q27" s="236" t="str">
        <f>IFERROR(IF(compras_mes3[[#This Row],[CUIT]]="","-",VLOOKUP(compras_mes3[[#This Row],[CUIT]],Lista_CUIT[#All],3,0)),"CUIT NO CARGADO")</f>
        <v>Productos Ortopedicos</v>
      </c>
      <c r="R27" s="236">
        <f>IFERROR(IF(compras_mes3[[#This Row],[CUIT]]="","-",VLOOKUP(compras_mes3[[#This Row],[CUIT]],Lista_CUIT[#All],4,0)),"CUIT NO CARGADO")</f>
        <v>0</v>
      </c>
    </row>
    <row r="28" spans="2:18" x14ac:dyDescent="0.25">
      <c r="B28" s="228">
        <v>44992</v>
      </c>
      <c r="C28" s="41">
        <v>1</v>
      </c>
      <c r="D28" s="229">
        <v>4</v>
      </c>
      <c r="E28" s="230">
        <v>184</v>
      </c>
      <c r="F28" s="231">
        <v>27211511023</v>
      </c>
      <c r="G28" s="232" t="str">
        <f>IFERROR(IF(compras_mes3[[#This Row],[CUIT]]="","-",VLOOKUP(compras_mes3[[#This Row],[CUIT]],Lista_CUIT[#All],2,0)),"CUIT NO CARGADO")</f>
        <v>BRIÑON DANIELA</v>
      </c>
      <c r="H28" s="233">
        <v>25578.51</v>
      </c>
      <c r="I28" s="234">
        <f>IF(compras_mes3[[#This Row],[NETO GRAVADO]]="","",compras_mes3[[#This Row],[NETO GRAVADO]]*0.21)</f>
        <v>5371.4870999999994</v>
      </c>
      <c r="J28" s="234"/>
      <c r="K28" s="234"/>
      <c r="L28" s="234"/>
      <c r="M28" s="234"/>
      <c r="N28" s="234"/>
      <c r="O28" s="234"/>
      <c r="P28" s="235">
        <f>SUM(compras_mes3[[#This Row],[NETO GRAVADO]:[Otros / No Grav.]])</f>
        <v>30949.997099999997</v>
      </c>
      <c r="Q28" s="236" t="str">
        <f>IFERROR(IF(compras_mes3[[#This Row],[CUIT]]="","-",VLOOKUP(compras_mes3[[#This Row],[CUIT]],Lista_CUIT[#All],3,0)),"CUIT NO CARGADO")</f>
        <v>Gastos Varios</v>
      </c>
      <c r="R28" s="236">
        <f>IFERROR(IF(compras_mes3[[#This Row],[CUIT]]="","-",VLOOKUP(compras_mes3[[#This Row],[CUIT]],Lista_CUIT[#All],4,0)),"CUIT NO CARGADO")</f>
        <v>0</v>
      </c>
    </row>
    <row r="29" spans="2:18" x14ac:dyDescent="0.25">
      <c r="B29" s="228">
        <v>44992</v>
      </c>
      <c r="C29" s="41">
        <v>1</v>
      </c>
      <c r="D29" s="229">
        <v>1</v>
      </c>
      <c r="E29" s="230">
        <v>414</v>
      </c>
      <c r="F29" s="231">
        <v>33716711469</v>
      </c>
      <c r="G29" s="232" t="str">
        <f>IFERROR(IF(compras_mes3[[#This Row],[CUIT]]="","-",VLOOKUP(compras_mes3[[#This Row],[CUIT]],Lista_CUIT[#All],2,0)),"CUIT NO CARGADO")</f>
        <v>ORTOPEDIA SOLER SRL</v>
      </c>
      <c r="H29" s="233">
        <v>75000</v>
      </c>
      <c r="I29" s="234">
        <f>IF(compras_mes3[[#This Row],[NETO GRAVADO]]="","",compras_mes3[[#This Row],[NETO GRAVADO]]*0.21)</f>
        <v>15750</v>
      </c>
      <c r="J29" s="234"/>
      <c r="K29" s="234"/>
      <c r="L29" s="234"/>
      <c r="M29" s="234"/>
      <c r="N29" s="234"/>
      <c r="O29" s="234"/>
      <c r="P29" s="235">
        <f>SUM(compras_mes3[[#This Row],[NETO GRAVADO]:[Otros / No Grav.]])</f>
        <v>90750</v>
      </c>
      <c r="Q29" s="236" t="str">
        <f>IFERROR(IF(compras_mes3[[#This Row],[CUIT]]="","-",VLOOKUP(compras_mes3[[#This Row],[CUIT]],Lista_CUIT[#All],3,0)),"CUIT NO CARGADO")</f>
        <v>Productos Ortopedicos</v>
      </c>
      <c r="R29" s="236">
        <f>IFERROR(IF(compras_mes3[[#This Row],[CUIT]]="","-",VLOOKUP(compras_mes3[[#This Row],[CUIT]],Lista_CUIT[#All],4,0)),"CUIT NO CARGADO")</f>
        <v>0</v>
      </c>
    </row>
    <row r="30" spans="2:18" x14ac:dyDescent="0.25">
      <c r="B30" s="254">
        <v>44992</v>
      </c>
      <c r="C30" s="209">
        <v>1</v>
      </c>
      <c r="D30" s="255">
        <v>12</v>
      </c>
      <c r="E30" s="256">
        <v>1584245</v>
      </c>
      <c r="F30" s="257">
        <v>30709776564</v>
      </c>
      <c r="G30" s="258" t="str">
        <f>IFERROR(IF(compras_mes3[[#This Row],[CUIT]]="","-",VLOOKUP(compras_mes3[[#This Row],[CUIT]],Lista_CUIT[#All],2,0)),"CUIT NO CARGADO")</f>
        <v>PROSEGUR ACTIVA ARG SA</v>
      </c>
      <c r="H30" s="259">
        <v>13629.9</v>
      </c>
      <c r="I30" s="260">
        <f>IF(compras_mes3[[#This Row],[NETO GRAVADO]]="","",compras_mes3[[#This Row],[NETO GRAVADO]]*0.21)</f>
        <v>2862.279</v>
      </c>
      <c r="J30" s="260"/>
      <c r="K30" s="260"/>
      <c r="L30" s="260"/>
      <c r="M30" s="260"/>
      <c r="N30" s="260">
        <v>477.05</v>
      </c>
      <c r="O30" s="260"/>
      <c r="P30" s="261">
        <f>SUM(compras_mes3[[#This Row],[NETO GRAVADO]:[Otros / No Grav.]])</f>
        <v>16969.228999999999</v>
      </c>
      <c r="Q30" s="262" t="str">
        <f>IFERROR(IF(compras_mes3[[#This Row],[CUIT]]="","-",VLOOKUP(compras_mes3[[#This Row],[CUIT]],Lista_CUIT[#All],3,0)),"CUIT NO CARGADO")</f>
        <v>SEGURIDAD</v>
      </c>
      <c r="R30" s="262">
        <f>IFERROR(IF(compras_mes3[[#This Row],[CUIT]]="","-",VLOOKUP(compras_mes3[[#This Row],[CUIT]],Lista_CUIT[#All],4,0)),"CUIT NO CARGADO")</f>
        <v>0</v>
      </c>
    </row>
    <row r="31" spans="2:18" x14ac:dyDescent="0.25">
      <c r="B31" s="228">
        <v>44993</v>
      </c>
      <c r="C31" s="41">
        <v>1</v>
      </c>
      <c r="D31" s="229">
        <v>1001</v>
      </c>
      <c r="E31" s="230">
        <v>219</v>
      </c>
      <c r="F31" s="231">
        <v>30707370552</v>
      </c>
      <c r="G31" s="232" t="str">
        <f>IFERROR(IF(compras_mes3[[#This Row],[CUIT]]="","-",VLOOKUP(compras_mes3[[#This Row],[CUIT]],Lista_CUIT[#All],2,0)),"CUIT NO CARGADO")</f>
        <v>RAKE SA</v>
      </c>
      <c r="H31" s="233">
        <v>235537.19</v>
      </c>
      <c r="I31" s="234">
        <f>IF(compras_mes3[[#This Row],[NETO GRAVADO]]="","",compras_mes3[[#This Row],[NETO GRAVADO]]*0.21)</f>
        <v>49462.8099</v>
      </c>
      <c r="J31" s="234"/>
      <c r="K31" s="234"/>
      <c r="L31" s="234"/>
      <c r="M31" s="234"/>
      <c r="N31" s="234"/>
      <c r="O31" s="234"/>
      <c r="P31" s="235">
        <f>SUM(compras_mes3[[#This Row],[NETO GRAVADO]:[Otros / No Grav.]])</f>
        <v>284999.9999</v>
      </c>
      <c r="Q31" s="236" t="str">
        <f>IFERROR(IF(compras_mes3[[#This Row],[CUIT]]="","-",VLOOKUP(compras_mes3[[#This Row],[CUIT]],Lista_CUIT[#All],3,0)),"CUIT NO CARGADO")</f>
        <v>Alquileres</v>
      </c>
      <c r="R31" s="236">
        <f>IFERROR(IF(compras_mes3[[#This Row],[CUIT]]="","-",VLOOKUP(compras_mes3[[#This Row],[CUIT]],Lista_CUIT[#All],4,0)),"CUIT NO CARGADO")</f>
        <v>0</v>
      </c>
    </row>
    <row r="32" spans="2:18" x14ac:dyDescent="0.25">
      <c r="B32" s="228">
        <v>44993</v>
      </c>
      <c r="C32" s="41">
        <v>1</v>
      </c>
      <c r="D32" s="229">
        <v>1001</v>
      </c>
      <c r="E32" s="230">
        <v>220</v>
      </c>
      <c r="F32" s="231">
        <v>30707370552</v>
      </c>
      <c r="G32" s="232" t="str">
        <f>IFERROR(IF(compras_mes3[[#This Row],[CUIT]]="","-",VLOOKUP(compras_mes3[[#This Row],[CUIT]],Lista_CUIT[#All],2,0)),"CUIT NO CARGADO")</f>
        <v>RAKE SA</v>
      </c>
      <c r="H32" s="233">
        <v>289570.24</v>
      </c>
      <c r="I32" s="234">
        <f>IF(compras_mes3[[#This Row],[NETO GRAVADO]]="","",compras_mes3[[#This Row],[NETO GRAVADO]]*0.21)</f>
        <v>60809.750399999997</v>
      </c>
      <c r="J32" s="234"/>
      <c r="K32" s="234"/>
      <c r="L32" s="234"/>
      <c r="M32" s="234"/>
      <c r="N32" s="234"/>
      <c r="O32" s="234"/>
      <c r="P32" s="235">
        <f>SUM(compras_mes3[[#This Row],[NETO GRAVADO]:[Otros / No Grav.]])</f>
        <v>350379.99040000001</v>
      </c>
      <c r="Q32" s="236" t="str">
        <f>IFERROR(IF(compras_mes3[[#This Row],[CUIT]]="","-",VLOOKUP(compras_mes3[[#This Row],[CUIT]],Lista_CUIT[#All],3,0)),"CUIT NO CARGADO")</f>
        <v>Alquileres</v>
      </c>
      <c r="R32" s="236">
        <f>IFERROR(IF(compras_mes3[[#This Row],[CUIT]]="","-",VLOOKUP(compras_mes3[[#This Row],[CUIT]],Lista_CUIT[#All],4,0)),"CUIT NO CARGADO")</f>
        <v>0</v>
      </c>
    </row>
    <row r="33" spans="2:18" x14ac:dyDescent="0.25">
      <c r="B33" s="228">
        <v>44993</v>
      </c>
      <c r="C33" s="41">
        <v>1</v>
      </c>
      <c r="D33" s="229">
        <v>6</v>
      </c>
      <c r="E33" s="230">
        <v>458</v>
      </c>
      <c r="F33" s="231">
        <v>20247225243</v>
      </c>
      <c r="G33" s="232" t="str">
        <f>IFERROR(IF(compras_mes3[[#This Row],[CUIT]]="","-",VLOOKUP(compras_mes3[[#This Row],[CUIT]],Lista_CUIT[#All],2,0)),"CUIT NO CARGADO")</f>
        <v>VENTO HUGO GABRIEL</v>
      </c>
      <c r="H33" s="233">
        <v>10626</v>
      </c>
      <c r="I33" s="234">
        <f>IF(compras_mes3[[#This Row],[NETO GRAVADO]]="","",compras_mes3[[#This Row],[NETO GRAVADO]]*0.21)</f>
        <v>2231.46</v>
      </c>
      <c r="J33" s="234"/>
      <c r="K33" s="234"/>
      <c r="L33" s="234"/>
      <c r="M33" s="234"/>
      <c r="N33" s="234"/>
      <c r="O33" s="234"/>
      <c r="P33" s="235">
        <f>SUM(compras_mes3[[#This Row],[NETO GRAVADO]:[Otros / No Grav.]])</f>
        <v>12857.46</v>
      </c>
      <c r="Q33" s="236" t="str">
        <f>IFERROR(IF(compras_mes3[[#This Row],[CUIT]]="","-",VLOOKUP(compras_mes3[[#This Row],[CUIT]],Lista_CUIT[#All],3,0)),"CUIT NO CARGADO")</f>
        <v>Productos Ortopedicos</v>
      </c>
      <c r="R33" s="236">
        <f>IFERROR(IF(compras_mes3[[#This Row],[CUIT]]="","-",VLOOKUP(compras_mes3[[#This Row],[CUIT]],Lista_CUIT[#All],4,0)),"CUIT NO CARGADO")</f>
        <v>0</v>
      </c>
    </row>
    <row r="34" spans="2:18" x14ac:dyDescent="0.25">
      <c r="B34" s="228">
        <v>44993</v>
      </c>
      <c r="C34" s="41">
        <v>1</v>
      </c>
      <c r="D34" s="229">
        <v>7</v>
      </c>
      <c r="E34" s="230">
        <v>26393</v>
      </c>
      <c r="F34" s="231">
        <v>20271532483</v>
      </c>
      <c r="G34" s="232" t="str">
        <f>IFERROR(IF(compras_mes3[[#This Row],[CUIT]]="","-",VLOOKUP(compras_mes3[[#This Row],[CUIT]],Lista_CUIT[#All],2,0)),"CUIT NO CARGADO")</f>
        <v>DIEGO MARTIN RIOS</v>
      </c>
      <c r="H34" s="233">
        <v>1473623.93</v>
      </c>
      <c r="I34" s="234">
        <f>IF(compras_mes3[[#This Row],[NETO GRAVADO]]="","",compras_mes3[[#This Row],[NETO GRAVADO]]*0.21)</f>
        <v>309461.02529999998</v>
      </c>
      <c r="J34" s="234"/>
      <c r="K34" s="234"/>
      <c r="L34" s="234"/>
      <c r="M34" s="234"/>
      <c r="N34" s="234">
        <v>51576.84</v>
      </c>
      <c r="O34" s="234"/>
      <c r="P34" s="235">
        <f>SUM(compras_mes3[[#This Row],[NETO GRAVADO]:[Otros / No Grav.]])</f>
        <v>1834661.7953000001</v>
      </c>
      <c r="Q34" s="236" t="str">
        <f>IFERROR(IF(compras_mes3[[#This Row],[CUIT]]="","-",VLOOKUP(compras_mes3[[#This Row],[CUIT]],Lista_CUIT[#All],3,0)),"CUIT NO CARGADO")</f>
        <v>Productos Ortopedicos</v>
      </c>
      <c r="R34" s="236">
        <f>IFERROR(IF(compras_mes3[[#This Row],[CUIT]]="","-",VLOOKUP(compras_mes3[[#This Row],[CUIT]],Lista_CUIT[#All],4,0)),"CUIT NO CARGADO")</f>
        <v>0</v>
      </c>
    </row>
    <row r="35" spans="2:18" x14ac:dyDescent="0.25">
      <c r="B35" s="228">
        <v>44993</v>
      </c>
      <c r="C35" s="41">
        <v>1</v>
      </c>
      <c r="D35" s="229">
        <v>7</v>
      </c>
      <c r="E35" s="230">
        <v>26394</v>
      </c>
      <c r="F35" s="231">
        <v>20271532483</v>
      </c>
      <c r="G35" s="232" t="str">
        <f>IFERROR(IF(compras_mes3[[#This Row],[CUIT]]="","-",VLOOKUP(compras_mes3[[#This Row],[CUIT]],Lista_CUIT[#All],2,0)),"CUIT NO CARGADO")</f>
        <v>DIEGO MARTIN RIOS</v>
      </c>
      <c r="H35" s="233">
        <v>1323143.06</v>
      </c>
      <c r="I35" s="234">
        <f>IF(compras_mes3[[#This Row],[NETO GRAVADO]]="","",compras_mes3[[#This Row],[NETO GRAVADO]]*0.21)</f>
        <v>277860.04259999999</v>
      </c>
      <c r="J35" s="234"/>
      <c r="K35" s="234"/>
      <c r="L35" s="234"/>
      <c r="M35" s="234"/>
      <c r="N35" s="234">
        <v>46310.01</v>
      </c>
      <c r="O35" s="234"/>
      <c r="P35" s="235">
        <f>SUM(compras_mes3[[#This Row],[NETO GRAVADO]:[Otros / No Grav.]])</f>
        <v>1647313.1126000001</v>
      </c>
      <c r="Q35" s="236" t="str">
        <f>IFERROR(IF(compras_mes3[[#This Row],[CUIT]]="","-",VLOOKUP(compras_mes3[[#This Row],[CUIT]],Lista_CUIT[#All],3,0)),"CUIT NO CARGADO")</f>
        <v>Productos Ortopedicos</v>
      </c>
      <c r="R35" s="236">
        <f>IFERROR(IF(compras_mes3[[#This Row],[CUIT]]="","-",VLOOKUP(compras_mes3[[#This Row],[CUIT]],Lista_CUIT[#All],4,0)),"CUIT NO CARGADO")</f>
        <v>0</v>
      </c>
    </row>
    <row r="36" spans="2:18" x14ac:dyDescent="0.25">
      <c r="B36" s="228">
        <v>44994</v>
      </c>
      <c r="C36" s="41">
        <v>3</v>
      </c>
      <c r="D36" s="229">
        <v>3</v>
      </c>
      <c r="E36" s="230">
        <v>212</v>
      </c>
      <c r="F36" s="231">
        <v>20045615473</v>
      </c>
      <c r="G36" s="232" t="str">
        <f>IFERROR(IF(compras_mes3[[#This Row],[CUIT]]="","-",VLOOKUP(compras_mes3[[#This Row],[CUIT]],Lista_CUIT[#All],2,0)),"CUIT NO CARGADO")</f>
        <v xml:space="preserve">DI FEO HUGO PASCUAL </v>
      </c>
      <c r="H36" s="233">
        <v>-3890</v>
      </c>
      <c r="I36" s="234">
        <f>IF(compras_mes3[[#This Row],[NETO GRAVADO]]="","",compras_mes3[[#This Row],[NETO GRAVADO]]*0.21)</f>
        <v>-816.9</v>
      </c>
      <c r="J36" s="234"/>
      <c r="K36" s="234"/>
      <c r="L36" s="234"/>
      <c r="M36" s="234"/>
      <c r="N36" s="234"/>
      <c r="O36" s="234"/>
      <c r="P36" s="235">
        <f>SUM(compras_mes3[[#This Row],[NETO GRAVADO]:[Otros / No Grav.]])</f>
        <v>-4706.8999999999996</v>
      </c>
      <c r="Q36" s="236" t="str">
        <f>IFERROR(IF(compras_mes3[[#This Row],[CUIT]]="","-",VLOOKUP(compras_mes3[[#This Row],[CUIT]],Lista_CUIT[#All],3,0)),"CUIT NO CARGADO")</f>
        <v>Productos Ortopedicos</v>
      </c>
      <c r="R36" s="236">
        <f>IFERROR(IF(compras_mes3[[#This Row],[CUIT]]="","-",VLOOKUP(compras_mes3[[#This Row],[CUIT]],Lista_CUIT[#All],4,0)),"CUIT NO CARGADO")</f>
        <v>0</v>
      </c>
    </row>
    <row r="37" spans="2:18" x14ac:dyDescent="0.25">
      <c r="B37" s="228">
        <v>44994</v>
      </c>
      <c r="C37" s="41">
        <v>1</v>
      </c>
      <c r="D37" s="229">
        <v>3</v>
      </c>
      <c r="E37" s="230">
        <v>7616</v>
      </c>
      <c r="F37" s="231">
        <v>20045615473</v>
      </c>
      <c r="G37" s="232" t="str">
        <f>IFERROR(IF(compras_mes3[[#This Row],[CUIT]]="","-",VLOOKUP(compras_mes3[[#This Row],[CUIT]],Lista_CUIT[#All],2,0)),"CUIT NO CARGADO")</f>
        <v xml:space="preserve">DI FEO HUGO PASCUAL </v>
      </c>
      <c r="H37" s="233">
        <v>28990</v>
      </c>
      <c r="I37" s="234">
        <f>IF(compras_mes3[[#This Row],[NETO GRAVADO]]="","",compras_mes3[[#This Row],[NETO GRAVADO]]*0.21)</f>
        <v>6087.9</v>
      </c>
      <c r="J37" s="234"/>
      <c r="K37" s="234"/>
      <c r="L37" s="234"/>
      <c r="M37" s="234"/>
      <c r="N37" s="234"/>
      <c r="O37" s="234"/>
      <c r="P37" s="235">
        <f>SUM(compras_mes3[[#This Row],[NETO GRAVADO]:[Otros / No Grav.]])</f>
        <v>35077.9</v>
      </c>
      <c r="Q37" s="236" t="str">
        <f>IFERROR(IF(compras_mes3[[#This Row],[CUIT]]="","-",VLOOKUP(compras_mes3[[#This Row],[CUIT]],Lista_CUIT[#All],3,0)),"CUIT NO CARGADO")</f>
        <v>Productos Ortopedicos</v>
      </c>
      <c r="R37" s="236">
        <f>IFERROR(IF(compras_mes3[[#This Row],[CUIT]]="","-",VLOOKUP(compras_mes3[[#This Row],[CUIT]],Lista_CUIT[#All],4,0)),"CUIT NO CARGADO")</f>
        <v>0</v>
      </c>
    </row>
    <row r="38" spans="2:18" x14ac:dyDescent="0.25">
      <c r="B38" s="228">
        <v>44994</v>
      </c>
      <c r="C38" s="41">
        <v>1</v>
      </c>
      <c r="D38" s="229">
        <v>3</v>
      </c>
      <c r="E38" s="230">
        <v>7622</v>
      </c>
      <c r="F38" s="231">
        <v>20045615473</v>
      </c>
      <c r="G38" s="232" t="str">
        <f>IFERROR(IF(compras_mes3[[#This Row],[CUIT]]="","-",VLOOKUP(compras_mes3[[#This Row],[CUIT]],Lista_CUIT[#All],2,0)),"CUIT NO CARGADO")</f>
        <v xml:space="preserve">DI FEO HUGO PASCUAL </v>
      </c>
      <c r="H38" s="233">
        <v>11290</v>
      </c>
      <c r="I38" s="234">
        <f>IF(compras_mes3[[#This Row],[NETO GRAVADO]]="","",compras_mes3[[#This Row],[NETO GRAVADO]]*0.21)</f>
        <v>2370.9</v>
      </c>
      <c r="J38" s="234"/>
      <c r="K38" s="234"/>
      <c r="L38" s="234"/>
      <c r="M38" s="234"/>
      <c r="N38" s="234"/>
      <c r="O38" s="234"/>
      <c r="P38" s="235">
        <f>SUM(compras_mes3[[#This Row],[NETO GRAVADO]:[Otros / No Grav.]])</f>
        <v>13660.9</v>
      </c>
      <c r="Q38" s="236" t="str">
        <f>IFERROR(IF(compras_mes3[[#This Row],[CUIT]]="","-",VLOOKUP(compras_mes3[[#This Row],[CUIT]],Lista_CUIT[#All],3,0)),"CUIT NO CARGADO")</f>
        <v>Productos Ortopedicos</v>
      </c>
      <c r="R38" s="236">
        <f>IFERROR(IF(compras_mes3[[#This Row],[CUIT]]="","-",VLOOKUP(compras_mes3[[#This Row],[CUIT]],Lista_CUIT[#All],4,0)),"CUIT NO CARGADO")</f>
        <v>0</v>
      </c>
    </row>
    <row r="39" spans="2:18" x14ac:dyDescent="0.25">
      <c r="B39" s="228">
        <v>44994</v>
      </c>
      <c r="C39" s="41">
        <v>1</v>
      </c>
      <c r="D39" s="229">
        <v>6</v>
      </c>
      <c r="E39" s="230">
        <v>22719</v>
      </c>
      <c r="F39" s="231">
        <v>33712276539</v>
      </c>
      <c r="G39" s="232" t="str">
        <f>IFERROR(IF(compras_mes3[[#This Row],[CUIT]]="","-",VLOOKUP(compras_mes3[[#This Row],[CUIT]],Lista_CUIT[#All],2,0)),"CUIT NO CARGADO")</f>
        <v>CASTAÑO AUTOVOX SRL</v>
      </c>
      <c r="H39" s="233">
        <v>7878.96</v>
      </c>
      <c r="I39" s="234">
        <f>IF(compras_mes3[[#This Row],[NETO GRAVADO]]="","",compras_mes3[[#This Row],[NETO GRAVADO]]*0.21)</f>
        <v>1654.5816</v>
      </c>
      <c r="J39" s="234"/>
      <c r="K39" s="234"/>
      <c r="L39" s="234"/>
      <c r="M39" s="234"/>
      <c r="N39" s="234">
        <v>275.76</v>
      </c>
      <c r="O39" s="234">
        <v>504.01</v>
      </c>
      <c r="P39" s="235">
        <f>SUM(compras_mes3[[#This Row],[NETO GRAVADO]:[Otros / No Grav.]])</f>
        <v>10313.311600000001</v>
      </c>
      <c r="Q39" s="236" t="str">
        <f>IFERROR(IF(compras_mes3[[#This Row],[CUIT]]="","-",VLOOKUP(compras_mes3[[#This Row],[CUIT]],Lista_CUIT[#All],3,0)),"CUIT NO CARGADO")</f>
        <v>COMBUSTIBLE</v>
      </c>
      <c r="R39" s="236">
        <f>IFERROR(IF(compras_mes3[[#This Row],[CUIT]]="","-",VLOOKUP(compras_mes3[[#This Row],[CUIT]],Lista_CUIT[#All],4,0)),"CUIT NO CARGADO")</f>
        <v>0</v>
      </c>
    </row>
    <row r="40" spans="2:18" x14ac:dyDescent="0.25">
      <c r="B40" s="228">
        <v>44994</v>
      </c>
      <c r="C40" s="41">
        <v>1</v>
      </c>
      <c r="D40" s="229">
        <v>948</v>
      </c>
      <c r="E40" s="230">
        <v>919024</v>
      </c>
      <c r="F40" s="231">
        <v>30639453975</v>
      </c>
      <c r="G40" s="232" t="str">
        <f>IFERROR(IF(compras_mes3[[#This Row],[CUIT]]="","-",VLOOKUP(compras_mes3[[#This Row],[CUIT]],Lista_CUIT[#All],2,0)),"CUIT NO CARGADO")</f>
        <v>TELEFONICA ARG SA</v>
      </c>
      <c r="H40" s="233">
        <v>8051.81</v>
      </c>
      <c r="I40" s="234"/>
      <c r="J40" s="234">
        <f>compras_mes3[[#This Row],[NETO GRAVADO]]*0.27</f>
        <v>2173.9887000000003</v>
      </c>
      <c r="K40" s="234"/>
      <c r="L40" s="234">
        <v>241.55</v>
      </c>
      <c r="M40" s="234"/>
      <c r="N40" s="234">
        <v>281.81</v>
      </c>
      <c r="O40" s="234"/>
      <c r="P40" s="235">
        <f>SUM(compras_mes3[[#This Row],[NETO GRAVADO]:[Otros / No Grav.]])</f>
        <v>10749.1587</v>
      </c>
      <c r="Q40" s="236" t="str">
        <f>IFERROR(IF(compras_mes3[[#This Row],[CUIT]]="","-",VLOOKUP(compras_mes3[[#This Row],[CUIT]],Lista_CUIT[#All],3,0)),"CUIT NO CARGADO")</f>
        <v>TELEFONIA</v>
      </c>
      <c r="R40" s="236">
        <f>IFERROR(IF(compras_mes3[[#This Row],[CUIT]]="","-",VLOOKUP(compras_mes3[[#This Row],[CUIT]],Lista_CUIT[#All],4,0)),"CUIT NO CARGADO")</f>
        <v>0</v>
      </c>
    </row>
    <row r="41" spans="2:18" x14ac:dyDescent="0.25">
      <c r="B41" s="228">
        <v>44995</v>
      </c>
      <c r="C41" s="41">
        <v>1</v>
      </c>
      <c r="D41" s="229">
        <v>1</v>
      </c>
      <c r="E41" s="230">
        <v>803</v>
      </c>
      <c r="F41" s="231">
        <v>30715224468</v>
      </c>
      <c r="G41" s="232" t="str">
        <f>IFERROR(IF(compras_mes3[[#This Row],[CUIT]]="","-",VLOOKUP(compras_mes3[[#This Row],[CUIT]],Lista_CUIT[#All],2,0)),"CUIT NO CARGADO")</f>
        <v>MLND SRL</v>
      </c>
      <c r="H41" s="233">
        <v>23140.49</v>
      </c>
      <c r="I41" s="234">
        <f>IF(compras_mes3[[#This Row],[NETO GRAVADO]]="","",compras_mes3[[#This Row],[NETO GRAVADO]]*0.21)</f>
        <v>4859.5029000000004</v>
      </c>
      <c r="J41" s="234"/>
      <c r="K41" s="234"/>
      <c r="L41" s="234"/>
      <c r="M41" s="234"/>
      <c r="N41" s="234"/>
      <c r="O41" s="234"/>
      <c r="P41" s="235">
        <f>SUM(compras_mes3[[#This Row],[NETO GRAVADO]:[Otros / No Grav.]])</f>
        <v>27999.992900000001</v>
      </c>
      <c r="Q41" s="236" t="str">
        <f>IFERROR(IF(compras_mes3[[#This Row],[CUIT]]="","-",VLOOKUP(compras_mes3[[#This Row],[CUIT]],Lista_CUIT[#All],3,0)),"CUIT NO CARGADO")</f>
        <v>Productos Ortopedicos</v>
      </c>
      <c r="R41" s="236">
        <f>IFERROR(IF(compras_mes3[[#This Row],[CUIT]]="","-",VLOOKUP(compras_mes3[[#This Row],[CUIT]],Lista_CUIT[#All],4,0)),"CUIT NO CARGADO")</f>
        <v>0</v>
      </c>
    </row>
    <row r="42" spans="2:18" x14ac:dyDescent="0.25">
      <c r="B42" s="254">
        <v>44995</v>
      </c>
      <c r="C42" s="209">
        <v>1</v>
      </c>
      <c r="D42" s="255">
        <v>2</v>
      </c>
      <c r="E42" s="256">
        <v>7933</v>
      </c>
      <c r="F42" s="257">
        <v>30714331082</v>
      </c>
      <c r="G42" s="258" t="str">
        <f>IFERROR(IF(compras_mes3[[#This Row],[CUIT]]="","-",VLOOKUP(compras_mes3[[#This Row],[CUIT]],Lista_CUIT[#All],2,0)),"CUIT NO CARGADO")</f>
        <v>ORTOPEDIA CASA ESCALADA SRL</v>
      </c>
      <c r="H42" s="259">
        <v>28299.18</v>
      </c>
      <c r="I42" s="260">
        <f>IF(compras_mes3[[#This Row],[NETO GRAVADO]]="","",compras_mes3[[#This Row],[NETO GRAVADO]]*0.21)</f>
        <v>5942.8278</v>
      </c>
      <c r="J42" s="260"/>
      <c r="K42" s="260"/>
      <c r="L42" s="260"/>
      <c r="M42" s="260"/>
      <c r="N42" s="260"/>
      <c r="O42" s="260"/>
      <c r="P42" s="261">
        <f>SUM(compras_mes3[[#This Row],[NETO GRAVADO]:[Otros / No Grav.]])</f>
        <v>34242.007799999999</v>
      </c>
      <c r="Q42" s="262" t="str">
        <f>IFERROR(IF(compras_mes3[[#This Row],[CUIT]]="","-",VLOOKUP(compras_mes3[[#This Row],[CUIT]],Lista_CUIT[#All],3,0)),"CUIT NO CARGADO")</f>
        <v>Productos Ortopedicos</v>
      </c>
      <c r="R42" s="262">
        <f>IFERROR(IF(compras_mes3[[#This Row],[CUIT]]="","-",VLOOKUP(compras_mes3[[#This Row],[CUIT]],Lista_CUIT[#All],4,0)),"CUIT NO CARGADO")</f>
        <v>0</v>
      </c>
    </row>
    <row r="43" spans="2:18" x14ac:dyDescent="0.25">
      <c r="B43" s="228">
        <v>44996</v>
      </c>
      <c r="C43" s="41">
        <v>1</v>
      </c>
      <c r="D43" s="229">
        <v>1</v>
      </c>
      <c r="E43" s="230">
        <v>4</v>
      </c>
      <c r="F43" s="231">
        <v>30715224468</v>
      </c>
      <c r="G43" s="232" t="str">
        <f>IFERROR(IF(compras_mes3[[#This Row],[CUIT]]="","-",VLOOKUP(compras_mes3[[#This Row],[CUIT]],Lista_CUIT[#All],2,0)),"CUIT NO CARGADO")</f>
        <v>MLND SRL</v>
      </c>
      <c r="H43" s="233">
        <v>5785.12</v>
      </c>
      <c r="I43" s="234">
        <f>IF(compras_mes3[[#This Row],[NETO GRAVADO]]="","",compras_mes3[[#This Row],[NETO GRAVADO]]*0.21)</f>
        <v>1214.8751999999999</v>
      </c>
      <c r="J43" s="234"/>
      <c r="K43" s="234"/>
      <c r="L43" s="234"/>
      <c r="M43" s="234"/>
      <c r="N43" s="234"/>
      <c r="O43" s="234"/>
      <c r="P43" s="235">
        <f>SUM(compras_mes3[[#This Row],[NETO GRAVADO]:[Otros / No Grav.]])</f>
        <v>6999.9951999999994</v>
      </c>
      <c r="Q43" s="236" t="str">
        <f>IFERROR(IF(compras_mes3[[#This Row],[CUIT]]="","-",VLOOKUP(compras_mes3[[#This Row],[CUIT]],Lista_CUIT[#All],3,0)),"CUIT NO CARGADO")</f>
        <v>Productos Ortopedicos</v>
      </c>
      <c r="R43" s="236">
        <f>IFERROR(IF(compras_mes3[[#This Row],[CUIT]]="","-",VLOOKUP(compras_mes3[[#This Row],[CUIT]],Lista_CUIT[#All],4,0)),"CUIT NO CARGADO")</f>
        <v>0</v>
      </c>
    </row>
    <row r="44" spans="2:18" x14ac:dyDescent="0.25">
      <c r="B44" s="228">
        <v>44996</v>
      </c>
      <c r="C44" s="41">
        <v>1</v>
      </c>
      <c r="D44" s="229">
        <v>6</v>
      </c>
      <c r="E44" s="230">
        <v>22742</v>
      </c>
      <c r="F44" s="231">
        <v>33712276539</v>
      </c>
      <c r="G44" s="232" t="str">
        <f>IFERROR(IF(compras_mes3[[#This Row],[CUIT]]="","-",VLOOKUP(compras_mes3[[#This Row],[CUIT]],Lista_CUIT[#All],2,0)),"CUIT NO CARGADO")</f>
        <v>CASTAÑO AUTOVOX SRL</v>
      </c>
      <c r="H44" s="233">
        <v>3384.48</v>
      </c>
      <c r="I44" s="234">
        <f>IF(compras_mes3[[#This Row],[NETO GRAVADO]]="","",compras_mes3[[#This Row],[NETO GRAVADO]]*0.21)</f>
        <v>710.74079999999992</v>
      </c>
      <c r="J44" s="234"/>
      <c r="K44" s="234"/>
      <c r="L44" s="234"/>
      <c r="M44" s="234"/>
      <c r="N44" s="234">
        <v>118.46</v>
      </c>
      <c r="O44" s="234">
        <v>216.5</v>
      </c>
      <c r="P44" s="235">
        <f>SUM(compras_mes3[[#This Row],[NETO GRAVADO]:[Otros / No Grav.]])</f>
        <v>4430.1808000000001</v>
      </c>
      <c r="Q44" s="236" t="str">
        <f>IFERROR(IF(compras_mes3[[#This Row],[CUIT]]="","-",VLOOKUP(compras_mes3[[#This Row],[CUIT]],Lista_CUIT[#All],3,0)),"CUIT NO CARGADO")</f>
        <v>COMBUSTIBLE</v>
      </c>
      <c r="R44" s="236">
        <f>IFERROR(IF(compras_mes3[[#This Row],[CUIT]]="","-",VLOOKUP(compras_mes3[[#This Row],[CUIT]],Lista_CUIT[#All],4,0)),"CUIT NO CARGADO")</f>
        <v>0</v>
      </c>
    </row>
    <row r="45" spans="2:18" x14ac:dyDescent="0.25">
      <c r="B45" s="254">
        <v>44998</v>
      </c>
      <c r="C45" s="209">
        <v>1</v>
      </c>
      <c r="D45" s="255">
        <v>3</v>
      </c>
      <c r="E45" s="256">
        <v>52</v>
      </c>
      <c r="F45" s="257">
        <v>20334976433</v>
      </c>
      <c r="G45" s="258" t="str">
        <f>IFERROR(IF(compras_mes3[[#This Row],[CUIT]]="","-",VLOOKUP(compras_mes3[[#This Row],[CUIT]],Lista_CUIT[#All],2,0)),"CUIT NO CARGADO")</f>
        <v>NARDOMARINO EZEQUIEL EDUARDO</v>
      </c>
      <c r="H45" s="259">
        <v>93318.19</v>
      </c>
      <c r="I45" s="260">
        <f>IF(compras_mes3[[#This Row],[NETO GRAVADO]]="","",compras_mes3[[#This Row],[NETO GRAVADO]]*0.21)</f>
        <v>19596.819899999999</v>
      </c>
      <c r="J45" s="260"/>
      <c r="K45" s="260"/>
      <c r="L45" s="260"/>
      <c r="M45" s="260"/>
      <c r="N45" s="260"/>
      <c r="O45" s="260"/>
      <c r="P45" s="261">
        <f>SUM(compras_mes3[[#This Row],[NETO GRAVADO]:[Otros / No Grav.]])</f>
        <v>112915.0099</v>
      </c>
      <c r="Q45" s="262" t="str">
        <f>IFERROR(IF(compras_mes3[[#This Row],[CUIT]]="","-",VLOOKUP(compras_mes3[[#This Row],[CUIT]],Lista_CUIT[#All],3,0)),"CUIT NO CARGADO")</f>
        <v>FLETE</v>
      </c>
      <c r="R45" s="262">
        <f>IFERROR(IF(compras_mes3[[#This Row],[CUIT]]="","-",VLOOKUP(compras_mes3[[#This Row],[CUIT]],Lista_CUIT[#All],4,0)),"CUIT NO CARGADO")</f>
        <v>0</v>
      </c>
    </row>
    <row r="46" spans="2:18" x14ac:dyDescent="0.25">
      <c r="B46" s="228">
        <v>44998</v>
      </c>
      <c r="C46" s="41">
        <v>1</v>
      </c>
      <c r="D46" s="229">
        <v>1</v>
      </c>
      <c r="E46" s="230">
        <v>804</v>
      </c>
      <c r="F46" s="231">
        <v>30715224468</v>
      </c>
      <c r="G46" s="232" t="str">
        <f>IFERROR(IF(compras_mes3[[#This Row],[CUIT]]="","-",VLOOKUP(compras_mes3[[#This Row],[CUIT]],Lista_CUIT[#All],2,0)),"CUIT NO CARGADO")</f>
        <v>MLND SRL</v>
      </c>
      <c r="H46" s="233">
        <v>5785.14</v>
      </c>
      <c r="I46" s="234">
        <f>IF(compras_mes3[[#This Row],[NETO GRAVADO]]="","",compras_mes3[[#This Row],[NETO GRAVADO]]*0.21)</f>
        <v>1214.8794</v>
      </c>
      <c r="J46" s="234"/>
      <c r="K46" s="234"/>
      <c r="L46" s="234"/>
      <c r="M46" s="234"/>
      <c r="N46" s="234"/>
      <c r="O46" s="234"/>
      <c r="P46" s="235">
        <f>SUM(compras_mes3[[#This Row],[NETO GRAVADO]:[Otros / No Grav.]])</f>
        <v>7000.0194000000001</v>
      </c>
      <c r="Q46" s="236" t="str">
        <f>IFERROR(IF(compras_mes3[[#This Row],[CUIT]]="","-",VLOOKUP(compras_mes3[[#This Row],[CUIT]],Lista_CUIT[#All],3,0)),"CUIT NO CARGADO")</f>
        <v>Productos Ortopedicos</v>
      </c>
      <c r="R46" s="236">
        <f>IFERROR(IF(compras_mes3[[#This Row],[CUIT]]="","-",VLOOKUP(compras_mes3[[#This Row],[CUIT]],Lista_CUIT[#All],4,0)),"CUIT NO CARGADO")</f>
        <v>0</v>
      </c>
    </row>
    <row r="47" spans="2:18" x14ac:dyDescent="0.25">
      <c r="B47" s="286">
        <v>44998</v>
      </c>
      <c r="C47" s="268">
        <v>1</v>
      </c>
      <c r="D47" s="287">
        <v>17</v>
      </c>
      <c r="E47" s="288">
        <v>826</v>
      </c>
      <c r="F47" s="289">
        <v>30711764921</v>
      </c>
      <c r="G47" s="290" t="str">
        <f>IFERROR(IF(compras_mes3[[#This Row],[CUIT]]="","-",VLOOKUP(compras_mes3[[#This Row],[CUIT]],Lista_CUIT[#All],2,0)),"CUIT NO CARGADO")</f>
        <v>RELIEF CENTER SRL</v>
      </c>
      <c r="H47" s="291">
        <v>34652</v>
      </c>
      <c r="I47" s="292">
        <f>IF(compras_mes3[[#This Row],[NETO GRAVADO]]="","",compras_mes3[[#This Row],[NETO GRAVADO]]*0.21)</f>
        <v>7276.92</v>
      </c>
      <c r="J47" s="292"/>
      <c r="K47" s="292"/>
      <c r="L47" s="292"/>
      <c r="M47" s="292"/>
      <c r="N47" s="292"/>
      <c r="O47" s="292"/>
      <c r="P47" s="293">
        <f>SUM(compras_mes3[[#This Row],[NETO GRAVADO]:[Otros / No Grav.]])</f>
        <v>41928.92</v>
      </c>
      <c r="Q47" s="294" t="str">
        <f>IFERROR(IF(compras_mes3[[#This Row],[CUIT]]="","-",VLOOKUP(compras_mes3[[#This Row],[CUIT]],Lista_CUIT[#All],3,0)),"CUIT NO CARGADO")</f>
        <v>Productos Ortopedicos</v>
      </c>
      <c r="R47" s="294">
        <f>IFERROR(IF(compras_mes3[[#This Row],[CUIT]]="","-",VLOOKUP(compras_mes3[[#This Row],[CUIT]],Lista_CUIT[#All],4,0)),"CUIT NO CARGADO")</f>
        <v>0</v>
      </c>
    </row>
    <row r="48" spans="2:18" x14ac:dyDescent="0.25">
      <c r="B48" s="228">
        <v>44998</v>
      </c>
      <c r="C48" s="41">
        <v>1</v>
      </c>
      <c r="D48" s="229">
        <v>1</v>
      </c>
      <c r="E48" s="230">
        <v>854</v>
      </c>
      <c r="F48" s="231">
        <v>20160503336</v>
      </c>
      <c r="G48" s="232" t="str">
        <f>IFERROR(IF(compras_mes3[[#This Row],[CUIT]]="","-",VLOOKUP(compras_mes3[[#This Row],[CUIT]],Lista_CUIT[#All],2,0)),"CUIT NO CARGADO")</f>
        <v>LIROLA FABIAN ALEJANDRO</v>
      </c>
      <c r="H48" s="233">
        <v>5801.6</v>
      </c>
      <c r="I48" s="234">
        <f>IF(compras_mes3[[#This Row],[NETO GRAVADO]]="","",compras_mes3[[#This Row],[NETO GRAVADO]]*0.21)</f>
        <v>1218.336</v>
      </c>
      <c r="J48" s="234"/>
      <c r="K48" s="234"/>
      <c r="L48" s="234"/>
      <c r="M48" s="234"/>
      <c r="N48" s="234"/>
      <c r="O48" s="234"/>
      <c r="P48" s="235">
        <f>SUM(compras_mes3[[#This Row],[NETO GRAVADO]:[Otros / No Grav.]])</f>
        <v>7019.9360000000006</v>
      </c>
      <c r="Q48" s="236" t="str">
        <f>IFERROR(IF(compras_mes3[[#This Row],[CUIT]]="","-",VLOOKUP(compras_mes3[[#This Row],[CUIT]],Lista_CUIT[#All],3,0)),"CUIT NO CARGADO")</f>
        <v>Gastos Varios</v>
      </c>
      <c r="R48" s="236">
        <f>IFERROR(IF(compras_mes3[[#This Row],[CUIT]]="","-",VLOOKUP(compras_mes3[[#This Row],[CUIT]],Lista_CUIT[#All],4,0)),"CUIT NO CARGADO")</f>
        <v>0</v>
      </c>
    </row>
    <row r="49" spans="2:18" x14ac:dyDescent="0.25">
      <c r="B49" s="228">
        <v>44998</v>
      </c>
      <c r="C49" s="41">
        <v>1</v>
      </c>
      <c r="D49" s="229">
        <v>1</v>
      </c>
      <c r="E49" s="230">
        <v>855</v>
      </c>
      <c r="F49" s="231">
        <v>20160503336</v>
      </c>
      <c r="G49" s="232" t="str">
        <f>IFERROR(IF(compras_mes3[[#This Row],[CUIT]]="","-",VLOOKUP(compras_mes3[[#This Row],[CUIT]],Lista_CUIT[#All],2,0)),"CUIT NO CARGADO")</f>
        <v>LIROLA FABIAN ALEJANDRO</v>
      </c>
      <c r="H49" s="233">
        <v>5801.6</v>
      </c>
      <c r="I49" s="234">
        <f>IF(compras_mes3[[#This Row],[NETO GRAVADO]]="","",compras_mes3[[#This Row],[NETO GRAVADO]]*0.21)</f>
        <v>1218.336</v>
      </c>
      <c r="J49" s="234"/>
      <c r="K49" s="234"/>
      <c r="L49" s="234"/>
      <c r="M49" s="234"/>
      <c r="N49" s="234"/>
      <c r="O49" s="234"/>
      <c r="P49" s="235">
        <f>SUM(compras_mes3[[#This Row],[NETO GRAVADO]:[Otros / No Grav.]])</f>
        <v>7019.9360000000006</v>
      </c>
      <c r="Q49" s="236" t="str">
        <f>IFERROR(IF(compras_mes3[[#This Row],[CUIT]]="","-",VLOOKUP(compras_mes3[[#This Row],[CUIT]],Lista_CUIT[#All],3,0)),"CUIT NO CARGADO")</f>
        <v>Gastos Varios</v>
      </c>
      <c r="R49" s="236">
        <f>IFERROR(IF(compras_mes3[[#This Row],[CUIT]]="","-",VLOOKUP(compras_mes3[[#This Row],[CUIT]],Lista_CUIT[#All],4,0)),"CUIT NO CARGADO")</f>
        <v>0</v>
      </c>
    </row>
    <row r="50" spans="2:18" x14ac:dyDescent="0.25">
      <c r="B50" s="228">
        <v>44998</v>
      </c>
      <c r="C50" s="41">
        <v>1</v>
      </c>
      <c r="D50" s="229">
        <v>2</v>
      </c>
      <c r="E50" s="230">
        <v>7939</v>
      </c>
      <c r="F50" s="231">
        <v>30714331082</v>
      </c>
      <c r="G50" s="232" t="str">
        <f>IFERROR(IF(compras_mes3[[#This Row],[CUIT]]="","-",VLOOKUP(compras_mes3[[#This Row],[CUIT]],Lista_CUIT[#All],2,0)),"CUIT NO CARGADO")</f>
        <v>ORTOPEDIA CASA ESCALADA SRL</v>
      </c>
      <c r="H50" s="233">
        <v>339575.72</v>
      </c>
      <c r="I50" s="234"/>
      <c r="J50" s="234"/>
      <c r="K50" s="234">
        <f>compras_mes3[[#This Row],[NETO GRAVADO]]*0.105</f>
        <v>35655.450599999996</v>
      </c>
      <c r="L50" s="234"/>
      <c r="M50" s="234"/>
      <c r="N50" s="234"/>
      <c r="O50" s="234"/>
      <c r="P50" s="235">
        <f>SUM(compras_mes3[[#This Row],[NETO GRAVADO]:[Otros / No Grav.]])</f>
        <v>375231.17059999995</v>
      </c>
      <c r="Q50" s="236" t="str">
        <f>IFERROR(IF(compras_mes3[[#This Row],[CUIT]]="","-",VLOOKUP(compras_mes3[[#This Row],[CUIT]],Lista_CUIT[#All],3,0)),"CUIT NO CARGADO")</f>
        <v>Productos Ortopedicos</v>
      </c>
      <c r="R50" s="236">
        <f>IFERROR(IF(compras_mes3[[#This Row],[CUIT]]="","-",VLOOKUP(compras_mes3[[#This Row],[CUIT]],Lista_CUIT[#All],4,0)),"CUIT NO CARGADO")</f>
        <v>0</v>
      </c>
    </row>
    <row r="51" spans="2:18" x14ac:dyDescent="0.25">
      <c r="B51" s="254">
        <v>44998</v>
      </c>
      <c r="C51" s="209">
        <v>1</v>
      </c>
      <c r="D51" s="255">
        <v>3</v>
      </c>
      <c r="E51" s="256">
        <v>16236</v>
      </c>
      <c r="F51" s="257">
        <v>30715979213</v>
      </c>
      <c r="G51" s="258" t="str">
        <f>IFERROR(IF(compras_mes3[[#This Row],[CUIT]]="","-",VLOOKUP(compras_mes3[[#This Row],[CUIT]],Lista_CUIT[#All],2,0)),"CUIT NO CARGADO")</f>
        <v>PORTAL INSUMOS S R L</v>
      </c>
      <c r="H51" s="259">
        <v>15867.77</v>
      </c>
      <c r="I51" s="260">
        <f>IF(compras_mes3[[#This Row],[NETO GRAVADO]]="","",compras_mes3[[#This Row],[NETO GRAVADO]]*0.21)</f>
        <v>3332.2316999999998</v>
      </c>
      <c r="J51" s="260"/>
      <c r="K51" s="260"/>
      <c r="L51" s="260"/>
      <c r="M51" s="260"/>
      <c r="N51" s="260"/>
      <c r="O51" s="260"/>
      <c r="P51" s="261">
        <f>SUM(compras_mes3[[#This Row],[NETO GRAVADO]:[Otros / No Grav.]])</f>
        <v>19200.001700000001</v>
      </c>
      <c r="Q51" s="262" t="str">
        <f>IFERROR(IF(compras_mes3[[#This Row],[CUIT]]="","-",VLOOKUP(compras_mes3[[#This Row],[CUIT]],Lista_CUIT[#All],3,0)),"CUIT NO CARGADO")</f>
        <v>GASTOS ADMINISTRATIVOS</v>
      </c>
      <c r="R51" s="262">
        <f>IFERROR(IF(compras_mes3[[#This Row],[CUIT]]="","-",VLOOKUP(compras_mes3[[#This Row],[CUIT]],Lista_CUIT[#All],4,0)),"CUIT NO CARGADO")</f>
        <v>0</v>
      </c>
    </row>
    <row r="52" spans="2:18" x14ac:dyDescent="0.25">
      <c r="B52" s="228">
        <v>44999</v>
      </c>
      <c r="C52" s="41">
        <v>1</v>
      </c>
      <c r="D52" s="229">
        <v>7</v>
      </c>
      <c r="E52" s="230">
        <v>26432</v>
      </c>
      <c r="F52" s="231">
        <v>20271532483</v>
      </c>
      <c r="G52" s="232" t="str">
        <f>IFERROR(IF(compras_mes3[[#This Row],[CUIT]]="","-",VLOOKUP(compras_mes3[[#This Row],[CUIT]],Lista_CUIT[#All],2,0)),"CUIT NO CARGADO")</f>
        <v>DIEGO MARTIN RIOS</v>
      </c>
      <c r="H52" s="233">
        <v>1150668.31</v>
      </c>
      <c r="I52" s="234">
        <f>IF(compras_mes3[[#This Row],[NETO GRAVADO]]="","",compras_mes3[[#This Row],[NETO GRAVADO]]*0.21)</f>
        <v>241640.34510000001</v>
      </c>
      <c r="J52" s="234"/>
      <c r="K52" s="234"/>
      <c r="L52" s="234"/>
      <c r="M52" s="234"/>
      <c r="N52" s="234">
        <v>40273.39</v>
      </c>
      <c r="O52" s="234"/>
      <c r="P52" s="235">
        <f>SUM(compras_mes3[[#This Row],[NETO GRAVADO]:[Otros / No Grav.]])</f>
        <v>1432582.0451</v>
      </c>
      <c r="Q52" s="236" t="str">
        <f>IFERROR(IF(compras_mes3[[#This Row],[CUIT]]="","-",VLOOKUP(compras_mes3[[#This Row],[CUIT]],Lista_CUIT[#All],3,0)),"CUIT NO CARGADO")</f>
        <v>Productos Ortopedicos</v>
      </c>
      <c r="R52" s="236">
        <f>IFERROR(IF(compras_mes3[[#This Row],[CUIT]]="","-",VLOOKUP(compras_mes3[[#This Row],[CUIT]],Lista_CUIT[#All],4,0)),"CUIT NO CARGADO")</f>
        <v>0</v>
      </c>
    </row>
    <row r="53" spans="2:18" x14ac:dyDescent="0.25">
      <c r="B53" s="228">
        <v>45000</v>
      </c>
      <c r="C53" s="41">
        <v>1</v>
      </c>
      <c r="D53" s="229">
        <v>4</v>
      </c>
      <c r="E53" s="230">
        <v>642</v>
      </c>
      <c r="F53" s="231">
        <v>30711645884</v>
      </c>
      <c r="G53" s="232" t="str">
        <f>IFERROR(IF(compras_mes3[[#This Row],[CUIT]]="","-",VLOOKUP(compras_mes3[[#This Row],[CUIT]],Lista_CUIT[#All],2,0)),"CUIT NO CARGADO")</f>
        <v>LABORATORIOS SLR</v>
      </c>
      <c r="H53" s="233">
        <v>15289.26</v>
      </c>
      <c r="I53" s="234">
        <f>IF(compras_mes3[[#This Row],[NETO GRAVADO]]="","",compras_mes3[[#This Row],[NETO GRAVADO]]*0.21)</f>
        <v>3210.7446</v>
      </c>
      <c r="J53" s="234"/>
      <c r="K53" s="234"/>
      <c r="L53" s="234"/>
      <c r="M53" s="234"/>
      <c r="N53" s="234"/>
      <c r="O53" s="234"/>
      <c r="P53" s="235">
        <f>SUM(compras_mes3[[#This Row],[NETO GRAVADO]:[Otros / No Grav.]])</f>
        <v>18500.0046</v>
      </c>
      <c r="Q53" s="236" t="str">
        <f>IFERROR(IF(compras_mes3[[#This Row],[CUIT]]="","-",VLOOKUP(compras_mes3[[#This Row],[CUIT]],Lista_CUIT[#All],3,0)),"CUIT NO CARGADO")</f>
        <v>Productos Ortopedicos</v>
      </c>
      <c r="R53" s="236">
        <f>IFERROR(IF(compras_mes3[[#This Row],[CUIT]]="","-",VLOOKUP(compras_mes3[[#This Row],[CUIT]],Lista_CUIT[#All],4,0)),"CUIT NO CARGADO")</f>
        <v>0</v>
      </c>
    </row>
    <row r="54" spans="2:18" x14ac:dyDescent="0.25">
      <c r="B54" s="254">
        <v>45000</v>
      </c>
      <c r="C54" s="209">
        <v>1</v>
      </c>
      <c r="D54" s="255">
        <v>17</v>
      </c>
      <c r="E54" s="256">
        <v>833</v>
      </c>
      <c r="F54" s="257">
        <v>30711764921</v>
      </c>
      <c r="G54" s="258" t="str">
        <f>IFERROR(IF(compras_mes3[[#This Row],[CUIT]]="","-",VLOOKUP(compras_mes3[[#This Row],[CUIT]],Lista_CUIT[#All],2,0)),"CUIT NO CARGADO")</f>
        <v>RELIEF CENTER SRL</v>
      </c>
      <c r="H54" s="259">
        <v>35335</v>
      </c>
      <c r="I54" s="260">
        <f>IF(compras_mes3[[#This Row],[NETO GRAVADO]]="","",compras_mes3[[#This Row],[NETO GRAVADO]]*0.21)</f>
        <v>7420.3499999999995</v>
      </c>
      <c r="J54" s="260"/>
      <c r="K54" s="260"/>
      <c r="L54" s="260"/>
      <c r="M54" s="260"/>
      <c r="N54" s="260"/>
      <c r="O54" s="260"/>
      <c r="P54" s="261">
        <f>SUM(compras_mes3[[#This Row],[NETO GRAVADO]:[Otros / No Grav.]])</f>
        <v>42755.35</v>
      </c>
      <c r="Q54" s="262" t="str">
        <f>IFERROR(IF(compras_mes3[[#This Row],[CUIT]]="","-",VLOOKUP(compras_mes3[[#This Row],[CUIT]],Lista_CUIT[#All],3,0)),"CUIT NO CARGADO")</f>
        <v>Productos Ortopedicos</v>
      </c>
      <c r="R54" s="262">
        <f>IFERROR(IF(compras_mes3[[#This Row],[CUIT]]="","-",VLOOKUP(compras_mes3[[#This Row],[CUIT]],Lista_CUIT[#All],4,0)),"CUIT NO CARGADO")</f>
        <v>0</v>
      </c>
    </row>
    <row r="55" spans="2:18" x14ac:dyDescent="0.25">
      <c r="B55" s="228">
        <v>45000</v>
      </c>
      <c r="C55" s="41">
        <v>1</v>
      </c>
      <c r="D55" s="229">
        <v>7</v>
      </c>
      <c r="E55" s="230">
        <v>26452</v>
      </c>
      <c r="F55" s="231">
        <v>20271532483</v>
      </c>
      <c r="G55" s="232" t="str">
        <f>IFERROR(IF(compras_mes3[[#This Row],[CUIT]]="","-",VLOOKUP(compras_mes3[[#This Row],[CUIT]],Lista_CUIT[#All],2,0)),"CUIT NO CARGADO")</f>
        <v>DIEGO MARTIN RIOS</v>
      </c>
      <c r="H55" s="233">
        <v>71151.73</v>
      </c>
      <c r="I55" s="234">
        <f>IF(compras_mes3[[#This Row],[NETO GRAVADO]]="","",compras_mes3[[#This Row],[NETO GRAVADO]]*0.21)</f>
        <v>14941.863299999999</v>
      </c>
      <c r="J55" s="234"/>
      <c r="K55" s="234"/>
      <c r="L55" s="234"/>
      <c r="M55" s="234"/>
      <c r="N55" s="234">
        <v>2490.31</v>
      </c>
      <c r="O55" s="234"/>
      <c r="P55" s="235">
        <f>SUM(compras_mes3[[#This Row],[NETO GRAVADO]:[Otros / No Grav.]])</f>
        <v>88583.903299999991</v>
      </c>
      <c r="Q55" s="236" t="str">
        <f>IFERROR(IF(compras_mes3[[#This Row],[CUIT]]="","-",VLOOKUP(compras_mes3[[#This Row],[CUIT]],Lista_CUIT[#All],3,0)),"CUIT NO CARGADO")</f>
        <v>Productos Ortopedicos</v>
      </c>
      <c r="R55" s="236">
        <f>IFERROR(IF(compras_mes3[[#This Row],[CUIT]]="","-",VLOOKUP(compras_mes3[[#This Row],[CUIT]],Lista_CUIT[#All],4,0)),"CUIT NO CARGADO")</f>
        <v>0</v>
      </c>
    </row>
    <row r="56" spans="2:18" x14ac:dyDescent="0.25">
      <c r="B56" s="254">
        <v>45000</v>
      </c>
      <c r="C56" s="209">
        <v>1</v>
      </c>
      <c r="D56" s="255">
        <v>105</v>
      </c>
      <c r="E56" s="256">
        <v>1207720</v>
      </c>
      <c r="F56" s="257">
        <v>30537882871</v>
      </c>
      <c r="G56" s="258" t="str">
        <f>IFERROR(IF(compras_mes3[[#This Row],[CUIT]]="","-",VLOOKUP(compras_mes3[[#This Row],[CUIT]],Lista_CUIT[#All],2,0)),"CUIT NO CARGADO")</f>
        <v>EL JUMILIANO SA</v>
      </c>
      <c r="H56" s="259">
        <v>1933.88</v>
      </c>
      <c r="I56" s="260">
        <f>IF(compras_mes3[[#This Row],[NETO GRAVADO]]="","",compras_mes3[[#This Row],[NETO GRAVADO]]*0.21)</f>
        <v>406.1148</v>
      </c>
      <c r="J56" s="260"/>
      <c r="K56" s="260"/>
      <c r="L56" s="260"/>
      <c r="M56" s="260"/>
      <c r="N56" s="260"/>
      <c r="O56" s="260"/>
      <c r="P56" s="261">
        <f>SUM(compras_mes3[[#This Row],[NETO GRAVADO]:[Otros / No Grav.]])</f>
        <v>2339.9947999999999</v>
      </c>
      <c r="Q56" s="262" t="str">
        <f>IFERROR(IF(compras_mes3[[#This Row],[CUIT]]="","-",VLOOKUP(compras_mes3[[#This Row],[CUIT]],Lista_CUIT[#All],3,0)),"CUIT NO CARGADO")</f>
        <v>SERVICIOS</v>
      </c>
      <c r="R56" s="262">
        <f>IFERROR(IF(compras_mes3[[#This Row],[CUIT]]="","-",VLOOKUP(compras_mes3[[#This Row],[CUIT]],Lista_CUIT[#All],4,0)),"CUIT NO CARGADO")</f>
        <v>0</v>
      </c>
    </row>
    <row r="57" spans="2:18" x14ac:dyDescent="0.25">
      <c r="B57" s="228">
        <v>45001</v>
      </c>
      <c r="C57" s="41">
        <v>1</v>
      </c>
      <c r="D57" s="229">
        <v>3</v>
      </c>
      <c r="E57" s="230">
        <v>7642</v>
      </c>
      <c r="F57" s="231">
        <v>20045615473</v>
      </c>
      <c r="G57" s="232" t="str">
        <f>IFERROR(IF(compras_mes3[[#This Row],[CUIT]]="","-",VLOOKUP(compras_mes3[[#This Row],[CUIT]],Lista_CUIT[#All],2,0)),"CUIT NO CARGADO")</f>
        <v xml:space="preserve">DI FEO HUGO PASCUAL </v>
      </c>
      <c r="H57" s="233">
        <v>33100</v>
      </c>
      <c r="I57" s="234">
        <f>IF(compras_mes3[[#This Row],[NETO GRAVADO]]="","",compras_mes3[[#This Row],[NETO GRAVADO]]*0.21)</f>
        <v>6951</v>
      </c>
      <c r="J57" s="234"/>
      <c r="K57" s="234"/>
      <c r="L57" s="234"/>
      <c r="M57" s="234"/>
      <c r="N57" s="234"/>
      <c r="O57" s="234"/>
      <c r="P57" s="235">
        <f>SUM(compras_mes3[[#This Row],[NETO GRAVADO]:[Otros / No Grav.]])</f>
        <v>40051</v>
      </c>
      <c r="Q57" s="236" t="str">
        <f>IFERROR(IF(compras_mes3[[#This Row],[CUIT]]="","-",VLOOKUP(compras_mes3[[#This Row],[CUIT]],Lista_CUIT[#All],3,0)),"CUIT NO CARGADO")</f>
        <v>Productos Ortopedicos</v>
      </c>
      <c r="R57" s="236">
        <f>IFERROR(IF(compras_mes3[[#This Row],[CUIT]]="","-",VLOOKUP(compras_mes3[[#This Row],[CUIT]],Lista_CUIT[#All],4,0)),"CUIT NO CARGADO")</f>
        <v>0</v>
      </c>
    </row>
    <row r="58" spans="2:18" x14ac:dyDescent="0.25">
      <c r="B58" s="228">
        <v>45001</v>
      </c>
      <c r="C58" s="41">
        <v>1</v>
      </c>
      <c r="D58" s="229">
        <v>3</v>
      </c>
      <c r="E58" s="230">
        <v>7646</v>
      </c>
      <c r="F58" s="231">
        <v>20045615473</v>
      </c>
      <c r="G58" s="232" t="str">
        <f>IFERROR(IF(compras_mes3[[#This Row],[CUIT]]="","-",VLOOKUP(compras_mes3[[#This Row],[CUIT]],Lista_CUIT[#All],2,0)),"CUIT NO CARGADO")</f>
        <v xml:space="preserve">DI FEO HUGO PASCUAL </v>
      </c>
      <c r="H58" s="233">
        <v>4710</v>
      </c>
      <c r="I58" s="234">
        <f>IF(compras_mes3[[#This Row],[NETO GRAVADO]]="","",compras_mes3[[#This Row],[NETO GRAVADO]]*0.21)</f>
        <v>989.09999999999991</v>
      </c>
      <c r="J58" s="234"/>
      <c r="K58" s="234"/>
      <c r="L58" s="234"/>
      <c r="M58" s="234"/>
      <c r="N58" s="234"/>
      <c r="O58" s="234"/>
      <c r="P58" s="235">
        <f>SUM(compras_mes3[[#This Row],[NETO GRAVADO]:[Otros / No Grav.]])</f>
        <v>5699.1</v>
      </c>
      <c r="Q58" s="236" t="str">
        <f>IFERROR(IF(compras_mes3[[#This Row],[CUIT]]="","-",VLOOKUP(compras_mes3[[#This Row],[CUIT]],Lista_CUIT[#All],3,0)),"CUIT NO CARGADO")</f>
        <v>Productos Ortopedicos</v>
      </c>
      <c r="R58" s="236">
        <f>IFERROR(IF(compras_mes3[[#This Row],[CUIT]]="","-",VLOOKUP(compras_mes3[[#This Row],[CUIT]],Lista_CUIT[#All],4,0)),"CUIT NO CARGADO")</f>
        <v>0</v>
      </c>
    </row>
    <row r="59" spans="2:18" x14ac:dyDescent="0.25">
      <c r="B59" s="228">
        <v>45001</v>
      </c>
      <c r="C59" s="41">
        <v>1</v>
      </c>
      <c r="D59" s="229">
        <v>12</v>
      </c>
      <c r="E59" s="230">
        <v>34564</v>
      </c>
      <c r="F59" s="231">
        <v>30526582884</v>
      </c>
      <c r="G59" s="232" t="str">
        <f>IFERROR(IF(compras_mes3[[#This Row],[CUIT]]="","-",VLOOKUP(compras_mes3[[#This Row],[CUIT]],Lista_CUIT[#All],2,0)),"CUIT NO CARGADO")</f>
        <v>EXPRESO MAR DEL PLATA S.A.</v>
      </c>
      <c r="H59" s="233">
        <v>4570.25</v>
      </c>
      <c r="I59" s="234">
        <f>IF(compras_mes3[[#This Row],[NETO GRAVADO]]="","",compras_mes3[[#This Row],[NETO GRAVADO]]*0.21)</f>
        <v>959.75249999999994</v>
      </c>
      <c r="J59" s="234"/>
      <c r="K59" s="234"/>
      <c r="L59" s="234"/>
      <c r="M59" s="234"/>
      <c r="N59" s="234"/>
      <c r="O59" s="234"/>
      <c r="P59" s="235">
        <f>SUM(compras_mes3[[#This Row],[NETO GRAVADO]:[Otros / No Grav.]])</f>
        <v>5530.0024999999996</v>
      </c>
      <c r="Q59" s="236" t="str">
        <f>IFERROR(IF(compras_mes3[[#This Row],[CUIT]]="","-",VLOOKUP(compras_mes3[[#This Row],[CUIT]],Lista_CUIT[#All],3,0)),"CUIT NO CARGADO")</f>
        <v>FLETE</v>
      </c>
      <c r="R59" s="236">
        <f>IFERROR(IF(compras_mes3[[#This Row],[CUIT]]="","-",VLOOKUP(compras_mes3[[#This Row],[CUIT]],Lista_CUIT[#All],4,0)),"CUIT NO CARGADO")</f>
        <v>0</v>
      </c>
    </row>
    <row r="60" spans="2:18" x14ac:dyDescent="0.25">
      <c r="B60" s="228">
        <v>45002</v>
      </c>
      <c r="C60" s="41">
        <v>1</v>
      </c>
      <c r="D60" s="229">
        <v>8</v>
      </c>
      <c r="E60" s="230">
        <v>126</v>
      </c>
      <c r="F60" s="231">
        <v>30643518364</v>
      </c>
      <c r="G60" s="232" t="str">
        <f>IFERROR(IF(compras_mes3[[#This Row],[CUIT]]="","-",VLOOKUP(compras_mes3[[#This Row],[CUIT]],Lista_CUIT[#All],2,0)),"CUIT NO CARGADO")</f>
        <v>FARMACIA DE MEDRANO SCS</v>
      </c>
      <c r="H60" s="233">
        <v>88690</v>
      </c>
      <c r="I60" s="234">
        <f>IF(compras_mes3[[#This Row],[NETO GRAVADO]]="","",compras_mes3[[#This Row],[NETO GRAVADO]]*0.21)</f>
        <v>18624.899999999998</v>
      </c>
      <c r="J60" s="234"/>
      <c r="K60" s="234"/>
      <c r="L60" s="234"/>
      <c r="M60" s="234"/>
      <c r="N60" s="234"/>
      <c r="O60" s="234"/>
      <c r="P60" s="235">
        <f>SUM(compras_mes3[[#This Row],[NETO GRAVADO]:[Otros / No Grav.]])</f>
        <v>107314.9</v>
      </c>
      <c r="Q60" s="236" t="str">
        <f>IFERROR(IF(compras_mes3[[#This Row],[CUIT]]="","-",VLOOKUP(compras_mes3[[#This Row],[CUIT]],Lista_CUIT[#All],3,0)),"CUIT NO CARGADO")</f>
        <v>Productos Ortopedicos</v>
      </c>
      <c r="R60" s="236">
        <f>IFERROR(IF(compras_mes3[[#This Row],[CUIT]]="","-",VLOOKUP(compras_mes3[[#This Row],[CUIT]],Lista_CUIT[#All],4,0)),"CUIT NO CARGADO")</f>
        <v>0</v>
      </c>
    </row>
    <row r="61" spans="2:18" x14ac:dyDescent="0.25">
      <c r="B61" s="228">
        <v>45002</v>
      </c>
      <c r="C61" s="41">
        <v>1</v>
      </c>
      <c r="D61" s="229">
        <v>30</v>
      </c>
      <c r="E61" s="230">
        <v>149</v>
      </c>
      <c r="F61" s="231">
        <v>33712276539</v>
      </c>
      <c r="G61" s="232" t="str">
        <f>IFERROR(IF(compras_mes3[[#This Row],[CUIT]]="","-",VLOOKUP(compras_mes3[[#This Row],[CUIT]],Lista_CUIT[#All],2,0)),"CUIT NO CARGADO")</f>
        <v>CASTAÑO AUTOVOX SRL</v>
      </c>
      <c r="H61" s="233">
        <v>13882.12</v>
      </c>
      <c r="I61" s="234">
        <f>IF(compras_mes3[[#This Row],[NETO GRAVADO]]="","",compras_mes3[[#This Row],[NETO GRAVADO]]*0.21)</f>
        <v>2915.2451999999998</v>
      </c>
      <c r="J61" s="234"/>
      <c r="K61" s="234"/>
      <c r="L61" s="234"/>
      <c r="M61" s="234"/>
      <c r="N61" s="234">
        <v>485.87</v>
      </c>
      <c r="O61" s="234">
        <v>853.66</v>
      </c>
      <c r="P61" s="235">
        <f>SUM(compras_mes3[[#This Row],[NETO GRAVADO]:[Otros / No Grav.]])</f>
        <v>18136.895199999999</v>
      </c>
      <c r="Q61" s="236" t="str">
        <f>IFERROR(IF(compras_mes3[[#This Row],[CUIT]]="","-",VLOOKUP(compras_mes3[[#This Row],[CUIT]],Lista_CUIT[#All],3,0)),"CUIT NO CARGADO")</f>
        <v>COMBUSTIBLE</v>
      </c>
      <c r="R61" s="236">
        <f>IFERROR(IF(compras_mes3[[#This Row],[CUIT]]="","-",VLOOKUP(compras_mes3[[#This Row],[CUIT]],Lista_CUIT[#All],4,0)),"CUIT NO CARGADO")</f>
        <v>0</v>
      </c>
    </row>
    <row r="62" spans="2:18" x14ac:dyDescent="0.25">
      <c r="B62" s="228">
        <v>45002</v>
      </c>
      <c r="C62" s="41">
        <v>1</v>
      </c>
      <c r="D62" s="229">
        <v>7</v>
      </c>
      <c r="E62" s="230">
        <v>26502</v>
      </c>
      <c r="F62" s="231">
        <v>20271532483</v>
      </c>
      <c r="G62" s="232" t="str">
        <f>IFERROR(IF(compras_mes3[[#This Row],[CUIT]]="","-",VLOOKUP(compras_mes3[[#This Row],[CUIT]],Lista_CUIT[#All],2,0)),"CUIT NO CARGADO")</f>
        <v>DIEGO MARTIN RIOS</v>
      </c>
      <c r="H62" s="233">
        <v>795786.76</v>
      </c>
      <c r="I62" s="234">
        <f>IF(compras_mes3[[#This Row],[NETO GRAVADO]]="","",compras_mes3[[#This Row],[NETO GRAVADO]]*0.21)</f>
        <v>167115.21959999998</v>
      </c>
      <c r="J62" s="234"/>
      <c r="K62" s="234"/>
      <c r="L62" s="234"/>
      <c r="M62" s="234"/>
      <c r="N62" s="234">
        <v>27852.54</v>
      </c>
      <c r="O62" s="234"/>
      <c r="P62" s="235">
        <f>SUM(compras_mes3[[#This Row],[NETO GRAVADO]:[Otros / No Grav.]])</f>
        <v>990754.5196</v>
      </c>
      <c r="Q62" s="236" t="str">
        <f>IFERROR(IF(compras_mes3[[#This Row],[CUIT]]="","-",VLOOKUP(compras_mes3[[#This Row],[CUIT]],Lista_CUIT[#All],3,0)),"CUIT NO CARGADO")</f>
        <v>Productos Ortopedicos</v>
      </c>
      <c r="R62" s="236">
        <f>IFERROR(IF(compras_mes3[[#This Row],[CUIT]]="","-",VLOOKUP(compras_mes3[[#This Row],[CUIT]],Lista_CUIT[#All],4,0)),"CUIT NO CARGADO")</f>
        <v>0</v>
      </c>
    </row>
    <row r="63" spans="2:18" x14ac:dyDescent="0.25">
      <c r="B63" s="254">
        <v>45002</v>
      </c>
      <c r="C63" s="209">
        <v>1</v>
      </c>
      <c r="D63" s="255">
        <v>711</v>
      </c>
      <c r="E63" s="256">
        <v>4078226</v>
      </c>
      <c r="F63" s="257">
        <v>30677237119</v>
      </c>
      <c r="G63" s="258" t="str">
        <f>IFERROR(IF(compras_mes3[[#This Row],[CUIT]]="","-",VLOOKUP(compras_mes3[[#This Row],[CUIT]],Lista_CUIT[#All],2,0)),"CUIT NO CARGADO")</f>
        <v>AUTOPISTAS DEL SOL SA</v>
      </c>
      <c r="H63" s="259">
        <v>269.42</v>
      </c>
      <c r="I63" s="260">
        <f>IF(compras_mes3[[#This Row],[NETO GRAVADO]]="","",compras_mes3[[#This Row],[NETO GRAVADO]]*0.21)</f>
        <v>56.578200000000002</v>
      </c>
      <c r="J63" s="260"/>
      <c r="K63" s="260"/>
      <c r="L63" s="260"/>
      <c r="M63" s="260"/>
      <c r="N63" s="260"/>
      <c r="O63" s="260"/>
      <c r="P63" s="261">
        <f>SUM(compras_mes3[[#This Row],[NETO GRAVADO]:[Otros / No Grav.]])</f>
        <v>325.9982</v>
      </c>
      <c r="Q63" s="262" t="str">
        <f>IFERROR(IF(compras_mes3[[#This Row],[CUIT]]="","-",VLOOKUP(compras_mes3[[#This Row],[CUIT]],Lista_CUIT[#All],3,0)),"CUIT NO CARGADO")</f>
        <v>Autopista</v>
      </c>
      <c r="R63" s="262">
        <f>IFERROR(IF(compras_mes3[[#This Row],[CUIT]]="","-",VLOOKUP(compras_mes3[[#This Row],[CUIT]],Lista_CUIT[#All],4,0)),"CUIT NO CARGADO")</f>
        <v>0</v>
      </c>
    </row>
    <row r="64" spans="2:18" x14ac:dyDescent="0.25">
      <c r="B64" s="228">
        <v>45003</v>
      </c>
      <c r="C64" s="41">
        <v>1</v>
      </c>
      <c r="D64" s="229">
        <v>15</v>
      </c>
      <c r="E64" s="230">
        <v>4192</v>
      </c>
      <c r="F64" s="231">
        <v>33712276539</v>
      </c>
      <c r="G64" s="232" t="str">
        <f>IFERROR(IF(compras_mes3[[#This Row],[CUIT]]="","-",VLOOKUP(compras_mes3[[#This Row],[CUIT]],Lista_CUIT[#All],2,0)),"CUIT NO CARGADO")</f>
        <v>CASTAÑO AUTOVOX SRL</v>
      </c>
      <c r="H64" s="233">
        <v>3966.23</v>
      </c>
      <c r="I64" s="234">
        <f>IF(compras_mes3[[#This Row],[NETO GRAVADO]]="","",compras_mes3[[#This Row],[NETO GRAVADO]]*0.21)</f>
        <v>832.90829999999994</v>
      </c>
      <c r="J64" s="234"/>
      <c r="K64" s="234"/>
      <c r="L64" s="234"/>
      <c r="M64" s="234"/>
      <c r="N64" s="234">
        <v>138.82</v>
      </c>
      <c r="O64" s="234">
        <v>243.9</v>
      </c>
      <c r="P64" s="235">
        <f>SUM(compras_mes3[[#This Row],[NETO GRAVADO]:[Otros / No Grav.]])</f>
        <v>5181.858299999999</v>
      </c>
      <c r="Q64" s="236" t="str">
        <f>IFERROR(IF(compras_mes3[[#This Row],[CUIT]]="","-",VLOOKUP(compras_mes3[[#This Row],[CUIT]],Lista_CUIT[#All],3,0)),"CUIT NO CARGADO")</f>
        <v>COMBUSTIBLE</v>
      </c>
      <c r="R64" s="236">
        <f>IFERROR(IF(compras_mes3[[#This Row],[CUIT]]="","-",VLOOKUP(compras_mes3[[#This Row],[CUIT]],Lista_CUIT[#All],4,0)),"CUIT NO CARGADO")</f>
        <v>0</v>
      </c>
    </row>
    <row r="65" spans="2:18" x14ac:dyDescent="0.25">
      <c r="B65" s="254">
        <v>45003</v>
      </c>
      <c r="C65" s="209">
        <v>1</v>
      </c>
      <c r="D65" s="255">
        <v>5011</v>
      </c>
      <c r="E65" s="256">
        <v>453065</v>
      </c>
      <c r="F65" s="257">
        <v>30574876474</v>
      </c>
      <c r="G65" s="258" t="str">
        <f>IFERROR(IF(compras_mes3[[#This Row],[CUIT]]="","-",VLOOKUP(compras_mes3[[#This Row],[CUIT]],Lista_CUIT[#All],2,0)),"CUIT NO CARGADO")</f>
        <v>AUTOP. URBANAS SA</v>
      </c>
      <c r="H65" s="259">
        <v>4101.96</v>
      </c>
      <c r="I65" s="260">
        <f>IF(compras_mes3[[#This Row],[NETO GRAVADO]]="","",compras_mes3[[#This Row],[NETO GRAVADO]]*0.21)</f>
        <v>861.41160000000002</v>
      </c>
      <c r="J65" s="260"/>
      <c r="K65" s="260"/>
      <c r="L65" s="260"/>
      <c r="M65" s="260"/>
      <c r="N65" s="260"/>
      <c r="O65" s="260">
        <v>532.19000000000005</v>
      </c>
      <c r="P65" s="261">
        <f>SUM(compras_mes3[[#This Row],[NETO GRAVADO]:[Otros / No Grav.]])</f>
        <v>5495.5616000000009</v>
      </c>
      <c r="Q65" s="262" t="str">
        <f>IFERROR(IF(compras_mes3[[#This Row],[CUIT]]="","-",VLOOKUP(compras_mes3[[#This Row],[CUIT]],Lista_CUIT[#All],3,0)),"CUIT NO CARGADO")</f>
        <v>PEAJE</v>
      </c>
      <c r="R65" s="262">
        <f>IFERROR(IF(compras_mes3[[#This Row],[CUIT]]="","-",VLOOKUP(compras_mes3[[#This Row],[CUIT]],Lista_CUIT[#All],4,0)),"CUIT NO CARGADO")</f>
        <v>0</v>
      </c>
    </row>
    <row r="66" spans="2:18" x14ac:dyDescent="0.25">
      <c r="B66" s="254">
        <v>45003</v>
      </c>
      <c r="C66" s="209">
        <v>1</v>
      </c>
      <c r="D66" s="255">
        <v>5009</v>
      </c>
      <c r="E66" s="256">
        <v>631943</v>
      </c>
      <c r="F66" s="257">
        <v>30574876474</v>
      </c>
      <c r="G66" s="258" t="str">
        <f>IFERROR(IF(compras_mes3[[#This Row],[CUIT]]="","-",VLOOKUP(compras_mes3[[#This Row],[CUIT]],Lista_CUIT[#All],2,0)),"CUIT NO CARGADO")</f>
        <v>AUTOP. URBANAS SA</v>
      </c>
      <c r="H66" s="259">
        <v>568.28</v>
      </c>
      <c r="I66" s="260">
        <f>IF(compras_mes3[[#This Row],[NETO GRAVADO]]="","",compras_mes3[[#This Row],[NETO GRAVADO]]*0.21)</f>
        <v>119.33879999999999</v>
      </c>
      <c r="J66" s="260"/>
      <c r="K66" s="260"/>
      <c r="L66" s="260"/>
      <c r="M66" s="260"/>
      <c r="N66" s="260"/>
      <c r="O66" s="260">
        <v>56.81</v>
      </c>
      <c r="P66" s="261">
        <f>SUM(compras_mes3[[#This Row],[NETO GRAVADO]:[Otros / No Grav.]])</f>
        <v>744.42879999999991</v>
      </c>
      <c r="Q66" s="262" t="str">
        <f>IFERROR(IF(compras_mes3[[#This Row],[CUIT]]="","-",VLOOKUP(compras_mes3[[#This Row],[CUIT]],Lista_CUIT[#All],3,0)),"CUIT NO CARGADO")</f>
        <v>PEAJE</v>
      </c>
      <c r="R66" s="262">
        <f>IFERROR(IF(compras_mes3[[#This Row],[CUIT]]="","-",VLOOKUP(compras_mes3[[#This Row],[CUIT]],Lista_CUIT[#All],4,0)),"CUIT NO CARGADO")</f>
        <v>0</v>
      </c>
    </row>
    <row r="67" spans="2:18" x14ac:dyDescent="0.25">
      <c r="B67" s="228">
        <v>45004</v>
      </c>
      <c r="C67" s="41">
        <v>1</v>
      </c>
      <c r="D67" s="229">
        <v>4264</v>
      </c>
      <c r="E67" s="230">
        <v>1661203</v>
      </c>
      <c r="F67" s="231">
        <v>30639453738</v>
      </c>
      <c r="G67" s="232" t="str">
        <f>IFERROR(IF(compras_mes3[[#This Row],[CUIT]]="","-",VLOOKUP(compras_mes3[[#This Row],[CUIT]],Lista_CUIT[#All],2,0)),"CUIT NO CARGADO")</f>
        <v>TELECOM ARGENTINA SA</v>
      </c>
      <c r="H67" s="233">
        <v>11685.939999999999</v>
      </c>
      <c r="I67" s="234">
        <f>IF(compras_mes3[[#This Row],[NETO GRAVADO]]="","",compras_mes3[[#This Row],[NETO GRAVADO]]*0.21)</f>
        <v>2454.0473999999995</v>
      </c>
      <c r="J67" s="234"/>
      <c r="K67" s="234"/>
      <c r="L67" s="234">
        <v>350.58</v>
      </c>
      <c r="M67" s="234"/>
      <c r="N67" s="234">
        <v>409.01</v>
      </c>
      <c r="O67" s="234"/>
      <c r="P67" s="235">
        <f>SUM(compras_mes3[[#This Row],[NETO GRAVADO]:[Otros / No Grav.]])</f>
        <v>14899.577399999998</v>
      </c>
      <c r="Q67" s="236" t="str">
        <f>IFERROR(IF(compras_mes3[[#This Row],[CUIT]]="","-",VLOOKUP(compras_mes3[[#This Row],[CUIT]],Lista_CUIT[#All],3,0)),"CUIT NO CARGADO")</f>
        <v>TELEFONIA</v>
      </c>
      <c r="R67" s="236">
        <f>IFERROR(IF(compras_mes3[[#This Row],[CUIT]]="","-",VLOOKUP(compras_mes3[[#This Row],[CUIT]],Lista_CUIT[#All],4,0)),"CUIT NO CARGADO")</f>
        <v>0</v>
      </c>
    </row>
    <row r="68" spans="2:18" x14ac:dyDescent="0.25">
      <c r="B68" s="254">
        <v>45005</v>
      </c>
      <c r="C68" s="209">
        <v>1</v>
      </c>
      <c r="D68" s="255">
        <v>10</v>
      </c>
      <c r="E68" s="256">
        <v>90</v>
      </c>
      <c r="F68" s="257">
        <v>30716229552</v>
      </c>
      <c r="G68" s="258" t="str">
        <f>IFERROR(IF(compras_mes3[[#This Row],[CUIT]]="","-",VLOOKUP(compras_mes3[[#This Row],[CUIT]],Lista_CUIT[#All],2,0)),"CUIT NO CARGADO")</f>
        <v>LUBRICANTES RUTA DE P e H SRL</v>
      </c>
      <c r="H68" s="259">
        <v>1719.01</v>
      </c>
      <c r="I68" s="260">
        <f>IF(compras_mes3[[#This Row],[NETO GRAVADO]]="","",compras_mes3[[#This Row],[NETO GRAVADO]]*0.21)</f>
        <v>360.99209999999999</v>
      </c>
      <c r="J68" s="260"/>
      <c r="K68" s="260"/>
      <c r="L68" s="260"/>
      <c r="M68" s="260"/>
      <c r="N68" s="260"/>
      <c r="O68" s="260"/>
      <c r="P68" s="261">
        <f>SUM(compras_mes3[[#This Row],[NETO GRAVADO]:[Otros / No Grav.]])</f>
        <v>2080.0021000000002</v>
      </c>
      <c r="Q68" s="262" t="str">
        <f>IFERROR(IF(compras_mes3[[#This Row],[CUIT]]="","-",VLOOKUP(compras_mes3[[#This Row],[CUIT]],Lista_CUIT[#All],3,0)),"CUIT NO CARGADO")</f>
        <v>COMBUSTIBLE</v>
      </c>
      <c r="R68" s="262">
        <f>IFERROR(IF(compras_mes3[[#This Row],[CUIT]]="","-",VLOOKUP(compras_mes3[[#This Row],[CUIT]],Lista_CUIT[#All],4,0)),"CUIT NO CARGADO")</f>
        <v>0</v>
      </c>
    </row>
    <row r="69" spans="2:18" x14ac:dyDescent="0.25">
      <c r="B69" s="254">
        <v>45005</v>
      </c>
      <c r="C69" s="209">
        <v>1</v>
      </c>
      <c r="D69" s="255">
        <v>10</v>
      </c>
      <c r="E69" s="256">
        <v>91</v>
      </c>
      <c r="F69" s="257">
        <v>30716229552</v>
      </c>
      <c r="G69" s="258" t="str">
        <f>IFERROR(IF(compras_mes3[[#This Row],[CUIT]]="","-",VLOOKUP(compras_mes3[[#This Row],[CUIT]],Lista_CUIT[#All],2,0)),"CUIT NO CARGADO")</f>
        <v>LUBRICANTES RUTA DE P e H SRL</v>
      </c>
      <c r="H69" s="259">
        <v>1892.56</v>
      </c>
      <c r="I69" s="260">
        <f>IF(compras_mes3[[#This Row],[NETO GRAVADO]]="","",compras_mes3[[#This Row],[NETO GRAVADO]]*0.21)</f>
        <v>397.43759999999997</v>
      </c>
      <c r="J69" s="260"/>
      <c r="K69" s="260"/>
      <c r="L69" s="260"/>
      <c r="M69" s="260"/>
      <c r="N69" s="260"/>
      <c r="O69" s="260"/>
      <c r="P69" s="261">
        <f>SUM(compras_mes3[[#This Row],[NETO GRAVADO]:[Otros / No Grav.]])</f>
        <v>2289.9975999999997</v>
      </c>
      <c r="Q69" s="262" t="str">
        <f>IFERROR(IF(compras_mes3[[#This Row],[CUIT]]="","-",VLOOKUP(compras_mes3[[#This Row],[CUIT]],Lista_CUIT[#All],3,0)),"CUIT NO CARGADO")</f>
        <v>COMBUSTIBLE</v>
      </c>
      <c r="R69" s="262">
        <f>IFERROR(IF(compras_mes3[[#This Row],[CUIT]]="","-",VLOOKUP(compras_mes3[[#This Row],[CUIT]],Lista_CUIT[#All],4,0)),"CUIT NO CARGADO")</f>
        <v>0</v>
      </c>
    </row>
    <row r="70" spans="2:18" x14ac:dyDescent="0.25">
      <c r="B70" s="228">
        <v>45005</v>
      </c>
      <c r="C70" s="41">
        <v>1</v>
      </c>
      <c r="D70" s="229">
        <v>6</v>
      </c>
      <c r="E70" s="230">
        <v>471</v>
      </c>
      <c r="F70" s="231">
        <v>20247225243</v>
      </c>
      <c r="G70" s="232" t="str">
        <f>IFERROR(IF(compras_mes3[[#This Row],[CUIT]]="","-",VLOOKUP(compras_mes3[[#This Row],[CUIT]],Lista_CUIT[#All],2,0)),"CUIT NO CARGADO")</f>
        <v>VENTO HUGO GABRIEL</v>
      </c>
      <c r="H70" s="233">
        <v>51020</v>
      </c>
      <c r="I70" s="234">
        <f>IF(compras_mes3[[#This Row],[NETO GRAVADO]]="","",compras_mes3[[#This Row],[NETO GRAVADO]]*0.21)</f>
        <v>10714.199999999999</v>
      </c>
      <c r="J70" s="234"/>
      <c r="K70" s="234"/>
      <c r="L70" s="234"/>
      <c r="M70" s="234"/>
      <c r="N70" s="234"/>
      <c r="O70" s="234"/>
      <c r="P70" s="235">
        <f>SUM(compras_mes3[[#This Row],[NETO GRAVADO]:[Otros / No Grav.]])</f>
        <v>61734.2</v>
      </c>
      <c r="Q70" s="236" t="str">
        <f>IFERROR(IF(compras_mes3[[#This Row],[CUIT]]="","-",VLOOKUP(compras_mes3[[#This Row],[CUIT]],Lista_CUIT[#All],3,0)),"CUIT NO CARGADO")</f>
        <v>Productos Ortopedicos</v>
      </c>
      <c r="R70" s="236">
        <f>IFERROR(IF(compras_mes3[[#This Row],[CUIT]]="","-",VLOOKUP(compras_mes3[[#This Row],[CUIT]],Lista_CUIT[#All],4,0)),"CUIT NO CARGADO")</f>
        <v>0</v>
      </c>
    </row>
    <row r="71" spans="2:18" x14ac:dyDescent="0.25">
      <c r="B71" s="228">
        <v>45005</v>
      </c>
      <c r="C71" s="41">
        <v>1</v>
      </c>
      <c r="D71" s="229">
        <v>7</v>
      </c>
      <c r="E71" s="230">
        <v>1640</v>
      </c>
      <c r="F71" s="231">
        <v>20284183534</v>
      </c>
      <c r="G71" s="232" t="str">
        <f>IFERROR(IF(compras_mes3[[#This Row],[CUIT]]="","-",VLOOKUP(compras_mes3[[#This Row],[CUIT]],Lista_CUIT[#All],2,0)),"CUIT NO CARGADO")</f>
        <v>FURLANETTO MARTIN</v>
      </c>
      <c r="H71" s="233">
        <v>2669.43</v>
      </c>
      <c r="I71" s="234">
        <f>IF(compras_mes3[[#This Row],[NETO GRAVADO]]="","",compras_mes3[[#This Row],[NETO GRAVADO]]*0.21)</f>
        <v>560.58029999999997</v>
      </c>
      <c r="J71" s="234"/>
      <c r="K71" s="234"/>
      <c r="L71" s="234"/>
      <c r="M71" s="234"/>
      <c r="N71" s="234"/>
      <c r="O71" s="234"/>
      <c r="P71" s="235">
        <f>SUM(compras_mes3[[#This Row],[NETO GRAVADO]:[Otros / No Grav.]])</f>
        <v>3230.0102999999999</v>
      </c>
      <c r="Q71" s="236" t="str">
        <f>IFERROR(IF(compras_mes3[[#This Row],[CUIT]]="","-",VLOOKUP(compras_mes3[[#This Row],[CUIT]],Lista_CUIT[#All],3,0)),"CUIT NO CARGADO")</f>
        <v>PAPELERIA</v>
      </c>
      <c r="R71" s="236">
        <f>IFERROR(IF(compras_mes3[[#This Row],[CUIT]]="","-",VLOOKUP(compras_mes3[[#This Row],[CUIT]],Lista_CUIT[#All],4,0)),"CUIT NO CARGADO")</f>
        <v>0</v>
      </c>
    </row>
    <row r="72" spans="2:18" x14ac:dyDescent="0.25">
      <c r="B72" s="228">
        <v>45005</v>
      </c>
      <c r="C72" s="41">
        <v>1</v>
      </c>
      <c r="D72" s="229">
        <v>20</v>
      </c>
      <c r="E72" s="230">
        <v>2281</v>
      </c>
      <c r="F72" s="231">
        <v>30587197215</v>
      </c>
      <c r="G72" s="232" t="str">
        <f>IFERROR(IF(compras_mes3[[#This Row],[CUIT]]="","-",VLOOKUP(compras_mes3[[#This Row],[CUIT]],Lista_CUIT[#All],2,0)),"CUIT NO CARGADO")</f>
        <v>PANATEL SOCIEDAD ANONIMA</v>
      </c>
      <c r="H72" s="233">
        <v>9504.130000000001</v>
      </c>
      <c r="I72" s="234">
        <f>IF(compras_mes3[[#This Row],[NETO GRAVADO]]="","",compras_mes3[[#This Row],[NETO GRAVADO]]*0.21)</f>
        <v>1995.8673000000001</v>
      </c>
      <c r="J72" s="234"/>
      <c r="K72" s="234"/>
      <c r="L72" s="234"/>
      <c r="M72" s="234"/>
      <c r="N72" s="234"/>
      <c r="O72" s="234"/>
      <c r="P72" s="235">
        <f>SUM(compras_mes3[[#This Row],[NETO GRAVADO]:[Otros / No Grav.]])</f>
        <v>11499.997300000001</v>
      </c>
      <c r="Q72" s="236" t="str">
        <f>IFERROR(IF(compras_mes3[[#This Row],[CUIT]]="","-",VLOOKUP(compras_mes3[[#This Row],[CUIT]],Lista_CUIT[#All],3,0)),"CUIT NO CARGADO")</f>
        <v>Gastos Varios</v>
      </c>
      <c r="R72" s="236">
        <f>IFERROR(IF(compras_mes3[[#This Row],[CUIT]]="","-",VLOOKUP(compras_mes3[[#This Row],[CUIT]],Lista_CUIT[#All],4,0)),"CUIT NO CARGADO")</f>
        <v>0</v>
      </c>
    </row>
    <row r="73" spans="2:18" x14ac:dyDescent="0.25">
      <c r="B73" s="254">
        <v>45005</v>
      </c>
      <c r="C73" s="209">
        <v>1</v>
      </c>
      <c r="D73" s="255">
        <v>113</v>
      </c>
      <c r="E73" s="256">
        <v>3121046</v>
      </c>
      <c r="F73" s="257">
        <v>30577207190</v>
      </c>
      <c r="G73" s="258" t="str">
        <f>IFERROR(IF(compras_mes3[[#This Row],[CUIT]]="","-",VLOOKUP(compras_mes3[[#This Row],[CUIT]],Lista_CUIT[#All],2,0)),"CUIT NO CARGADO")</f>
        <v>COORDINACION ECOLOGICA AREA METROPOLITANA SOCIEDAD DEL ESTADO</v>
      </c>
      <c r="H73" s="259">
        <v>206.61</v>
      </c>
      <c r="I73" s="260">
        <f>IF(compras_mes3[[#This Row],[NETO GRAVADO]]="","",compras_mes3[[#This Row],[NETO GRAVADO]]*0.21)</f>
        <v>43.388100000000001</v>
      </c>
      <c r="J73" s="260"/>
      <c r="K73" s="260"/>
      <c r="L73" s="260"/>
      <c r="M73" s="260"/>
      <c r="N73" s="260"/>
      <c r="O73" s="260"/>
      <c r="P73" s="261">
        <f>SUM(compras_mes3[[#This Row],[NETO GRAVADO]:[Otros / No Grav.]])</f>
        <v>249.99810000000002</v>
      </c>
      <c r="Q73" s="262" t="str">
        <f>IFERROR(IF(compras_mes3[[#This Row],[CUIT]]="","-",VLOOKUP(compras_mes3[[#This Row],[CUIT]],Lista_CUIT[#All],3,0)),"CUIT NO CARGADO")</f>
        <v>gastos varios</v>
      </c>
      <c r="R73" s="262">
        <f>IFERROR(IF(compras_mes3[[#This Row],[CUIT]]="","-",VLOOKUP(compras_mes3[[#This Row],[CUIT]],Lista_CUIT[#All],4,0)),"CUIT NO CARGADO")</f>
        <v>0</v>
      </c>
    </row>
    <row r="74" spans="2:18" x14ac:dyDescent="0.25">
      <c r="B74" s="228">
        <v>45005</v>
      </c>
      <c r="C74" s="263">
        <v>3</v>
      </c>
      <c r="D74" s="229">
        <v>6</v>
      </c>
      <c r="E74" s="230">
        <v>20</v>
      </c>
      <c r="F74" s="231">
        <v>30522428163</v>
      </c>
      <c r="G74" s="232" t="str">
        <f>IFERROR(IF(compras_mes3[[#This Row],[CUIT]]="","-",VLOOKUP(compras_mes3[[#This Row],[CUIT]],Lista_CUIT[#All],2,0)),"CUIT NO CARGADO")</f>
        <v>GALENO ARGENTINA SA</v>
      </c>
      <c r="H74" s="233">
        <v>-717768.59</v>
      </c>
      <c r="I74" s="234">
        <f>IF(compras_mes3[[#This Row],[NETO GRAVADO]]="","",compras_mes3[[#This Row],[NETO GRAVADO]]*0.21)</f>
        <v>-150731.40389999998</v>
      </c>
      <c r="J74" s="234"/>
      <c r="K74" s="234"/>
      <c r="L74" s="234"/>
      <c r="M74" s="234"/>
      <c r="N74" s="234"/>
      <c r="O74" s="234"/>
      <c r="P74" s="235">
        <f>SUM(compras_mes3[[#This Row],[NETO GRAVADO]:[Otros / No Grav.]])</f>
        <v>-868499.99389999988</v>
      </c>
      <c r="Q74" s="236" t="str">
        <f>IFERROR(IF(compras_mes3[[#This Row],[CUIT]]="","-",VLOOKUP(compras_mes3[[#This Row],[CUIT]],Lista_CUIT[#All],3,0)),"CUIT NO CARGADO")</f>
        <v>SALUD</v>
      </c>
      <c r="R74" s="236">
        <f>IFERROR(IF(compras_mes3[[#This Row],[CUIT]]="","-",VLOOKUP(compras_mes3[[#This Row],[CUIT]],Lista_CUIT[#All],4,0)),"CUIT NO CARGADO")</f>
        <v>0</v>
      </c>
    </row>
    <row r="75" spans="2:18" x14ac:dyDescent="0.25">
      <c r="B75" s="228">
        <v>45005</v>
      </c>
      <c r="C75" s="263">
        <v>3</v>
      </c>
      <c r="D75" s="229">
        <v>3</v>
      </c>
      <c r="E75" s="230">
        <v>18</v>
      </c>
      <c r="F75" s="231">
        <v>30522428163</v>
      </c>
      <c r="G75" s="232" t="str">
        <f>IFERROR(IF(compras_mes3[[#This Row],[CUIT]]="","-",VLOOKUP(compras_mes3[[#This Row],[CUIT]],Lista_CUIT[#All],2,0)),"CUIT NO CARGADO")</f>
        <v>GALENO ARGENTINA SA</v>
      </c>
      <c r="H75" s="233">
        <v>-283057.84999999998</v>
      </c>
      <c r="I75" s="234">
        <f>IF(compras_mes3[[#This Row],[NETO GRAVADO]]="","",compras_mes3[[#This Row],[NETO GRAVADO]]*0.21)</f>
        <v>-59442.148499999996</v>
      </c>
      <c r="J75" s="234"/>
      <c r="K75" s="234"/>
      <c r="L75" s="234"/>
      <c r="M75" s="234"/>
      <c r="N75" s="234"/>
      <c r="O75" s="234"/>
      <c r="P75" s="235">
        <f>SUM(compras_mes3[[#This Row],[NETO GRAVADO]:[Otros / No Grav.]])</f>
        <v>-342499.99849999999</v>
      </c>
      <c r="Q75" s="236" t="str">
        <f>IFERROR(IF(compras_mes3[[#This Row],[CUIT]]="","-",VLOOKUP(compras_mes3[[#This Row],[CUIT]],Lista_CUIT[#All],3,0)),"CUIT NO CARGADO")</f>
        <v>SALUD</v>
      </c>
      <c r="R75" s="236">
        <f>IFERROR(IF(compras_mes3[[#This Row],[CUIT]]="","-",VLOOKUP(compras_mes3[[#This Row],[CUIT]],Lista_CUIT[#All],4,0)),"CUIT NO CARGADO")</f>
        <v>0</v>
      </c>
    </row>
    <row r="76" spans="2:18" x14ac:dyDescent="0.25">
      <c r="B76" s="228">
        <v>45005</v>
      </c>
      <c r="C76" s="263">
        <v>3</v>
      </c>
      <c r="D76" s="229">
        <v>3</v>
      </c>
      <c r="E76" s="230">
        <v>19</v>
      </c>
      <c r="F76" s="231">
        <v>30522428163</v>
      </c>
      <c r="G76" s="232" t="str">
        <f>IFERROR(IF(compras_mes3[[#This Row],[CUIT]]="","-",VLOOKUP(compras_mes3[[#This Row],[CUIT]],Lista_CUIT[#All],2,0)),"CUIT NO CARGADO")</f>
        <v>GALENO ARGENTINA SA</v>
      </c>
      <c r="H76" s="233">
        <v>-380165.29</v>
      </c>
      <c r="I76" s="234">
        <f>IF(compras_mes3[[#This Row],[NETO GRAVADO]]="","",compras_mes3[[#This Row],[NETO GRAVADO]]*0.21)</f>
        <v>-79834.710899999991</v>
      </c>
      <c r="J76" s="234"/>
      <c r="K76" s="234"/>
      <c r="L76" s="234"/>
      <c r="M76" s="234"/>
      <c r="N76" s="234"/>
      <c r="O76" s="234"/>
      <c r="P76" s="235">
        <f>SUM(compras_mes3[[#This Row],[NETO GRAVADO]:[Otros / No Grav.]])</f>
        <v>-460000.00089999998</v>
      </c>
      <c r="Q76" s="236" t="str">
        <f>IFERROR(IF(compras_mes3[[#This Row],[CUIT]]="","-",VLOOKUP(compras_mes3[[#This Row],[CUIT]],Lista_CUIT[#All],3,0)),"CUIT NO CARGADO")</f>
        <v>SALUD</v>
      </c>
      <c r="R76" s="236">
        <f>IFERROR(IF(compras_mes3[[#This Row],[CUIT]]="","-",VLOOKUP(compras_mes3[[#This Row],[CUIT]],Lista_CUIT[#All],4,0)),"CUIT NO CARGADO")</f>
        <v>0</v>
      </c>
    </row>
    <row r="77" spans="2:18" x14ac:dyDescent="0.25">
      <c r="B77" s="228">
        <v>45006</v>
      </c>
      <c r="C77" s="41">
        <v>1</v>
      </c>
      <c r="D77" s="229">
        <v>3</v>
      </c>
      <c r="E77" s="230">
        <v>55</v>
      </c>
      <c r="F77" s="231">
        <v>20334976433</v>
      </c>
      <c r="G77" s="232" t="str">
        <f>IFERROR(IF(compras_mes3[[#This Row],[CUIT]]="","-",VLOOKUP(compras_mes3[[#This Row],[CUIT]],Lista_CUIT[#All],2,0)),"CUIT NO CARGADO")</f>
        <v>NARDOMARINO EZEQUIEL EDUARDO</v>
      </c>
      <c r="H77" s="233">
        <v>60330.58</v>
      </c>
      <c r="I77" s="234">
        <f>IF(compras_mes3[[#This Row],[NETO GRAVADO]]="","",compras_mes3[[#This Row],[NETO GRAVADO]]*0.21)</f>
        <v>12669.4218</v>
      </c>
      <c r="J77" s="234"/>
      <c r="K77" s="234"/>
      <c r="L77" s="234"/>
      <c r="M77" s="234"/>
      <c r="N77" s="234"/>
      <c r="O77" s="234"/>
      <c r="P77" s="235">
        <f>SUM(compras_mes3[[#This Row],[NETO GRAVADO]:[Otros / No Grav.]])</f>
        <v>73000.001799999998</v>
      </c>
      <c r="Q77" s="236" t="str">
        <f>IFERROR(IF(compras_mes3[[#This Row],[CUIT]]="","-",VLOOKUP(compras_mes3[[#This Row],[CUIT]],Lista_CUIT[#All],3,0)),"CUIT NO CARGADO")</f>
        <v>FLETE</v>
      </c>
      <c r="R77" s="236">
        <f>IFERROR(IF(compras_mes3[[#This Row],[CUIT]]="","-",VLOOKUP(compras_mes3[[#This Row],[CUIT]],Lista_CUIT[#All],4,0)),"CUIT NO CARGADO")</f>
        <v>0</v>
      </c>
    </row>
    <row r="78" spans="2:18" x14ac:dyDescent="0.25">
      <c r="B78" s="254">
        <v>45006</v>
      </c>
      <c r="C78" s="209">
        <v>1</v>
      </c>
      <c r="D78" s="255">
        <v>4</v>
      </c>
      <c r="E78" s="256">
        <v>6878</v>
      </c>
      <c r="F78" s="257">
        <v>20229905199</v>
      </c>
      <c r="G78" s="258" t="str">
        <f>IFERROR(IF(compras_mes3[[#This Row],[CUIT]]="","-",VLOOKUP(compras_mes3[[#This Row],[CUIT]],Lista_CUIT[#All],2,0)),"CUIT NO CARGADO")</f>
        <v>SURDO HERNAN OMAR</v>
      </c>
      <c r="H78" s="259">
        <v>917.38</v>
      </c>
      <c r="I78" s="260">
        <f>IF(compras_mes3[[#This Row],[NETO GRAVADO]]="","",compras_mes3[[#This Row],[NETO GRAVADO]]*0.21)</f>
        <v>192.6498</v>
      </c>
      <c r="J78" s="260"/>
      <c r="K78" s="260"/>
      <c r="L78" s="260"/>
      <c r="M78" s="260"/>
      <c r="N78" s="260"/>
      <c r="O78" s="260"/>
      <c r="P78" s="261">
        <f>SUM(compras_mes3[[#This Row],[NETO GRAVADO]:[Otros / No Grav.]])</f>
        <v>1110.0298</v>
      </c>
      <c r="Q78" s="262" t="str">
        <f>IFERROR(IF(compras_mes3[[#This Row],[CUIT]]="","-",VLOOKUP(compras_mes3[[#This Row],[CUIT]],Lista_CUIT[#All],3,0)),"CUIT NO CARGADO")</f>
        <v>GASTOS MANTENIMIENTO</v>
      </c>
      <c r="R78" s="262">
        <f>IFERROR(IF(compras_mes3[[#This Row],[CUIT]]="","-",VLOOKUP(compras_mes3[[#This Row],[CUIT]],Lista_CUIT[#All],4,0)),"CUIT NO CARGADO")</f>
        <v>0</v>
      </c>
    </row>
    <row r="79" spans="2:18" x14ac:dyDescent="0.25">
      <c r="B79" s="228">
        <v>45006</v>
      </c>
      <c r="C79" s="41">
        <v>1</v>
      </c>
      <c r="D79" s="229">
        <v>2</v>
      </c>
      <c r="E79" s="230">
        <v>21118</v>
      </c>
      <c r="F79" s="231">
        <v>23233422029</v>
      </c>
      <c r="G79" s="232" t="str">
        <f>IFERROR(IF(compras_mes3[[#This Row],[CUIT]]="","-",VLOOKUP(compras_mes3[[#This Row],[CUIT]],Lista_CUIT[#All],2,0)),"CUIT NO CARGADO")</f>
        <v>RODOLFO SCHULZE</v>
      </c>
      <c r="H79" s="233">
        <v>8732.9</v>
      </c>
      <c r="I79" s="234">
        <f>IF(compras_mes3[[#This Row],[NETO GRAVADO]]="","",compras_mes3[[#This Row],[NETO GRAVADO]]*0.21)</f>
        <v>1833.9089999999999</v>
      </c>
      <c r="J79" s="234"/>
      <c r="K79" s="234"/>
      <c r="L79" s="234"/>
      <c r="M79" s="234"/>
      <c r="N79" s="234"/>
      <c r="O79" s="234"/>
      <c r="P79" s="235">
        <f>SUM(compras_mes3[[#This Row],[NETO GRAVADO]:[Otros / No Grav.]])</f>
        <v>10566.808999999999</v>
      </c>
      <c r="Q79" s="236" t="str">
        <f>IFERROR(IF(compras_mes3[[#This Row],[CUIT]]="","-",VLOOKUP(compras_mes3[[#This Row],[CUIT]],Lista_CUIT[#All],3,0)),"CUIT NO CARGADO")</f>
        <v>Productos Ortopedicos</v>
      </c>
      <c r="R79" s="236">
        <f>IFERROR(IF(compras_mes3[[#This Row],[CUIT]]="","-",VLOOKUP(compras_mes3[[#This Row],[CUIT]],Lista_CUIT[#All],4,0)),"CUIT NO CARGADO")</f>
        <v>0</v>
      </c>
    </row>
    <row r="80" spans="2:18" s="56" customFormat="1" ht="18.600000000000001" customHeight="1" x14ac:dyDescent="0.25">
      <c r="B80" s="228">
        <v>45006</v>
      </c>
      <c r="C80" s="41">
        <v>1</v>
      </c>
      <c r="D80" s="229">
        <v>2</v>
      </c>
      <c r="E80" s="230">
        <v>21122</v>
      </c>
      <c r="F80" s="231">
        <v>23233422029</v>
      </c>
      <c r="G80" s="232" t="str">
        <f>IFERROR(IF(compras_mes3[[#This Row],[CUIT]]="","-",VLOOKUP(compras_mes3[[#This Row],[CUIT]],Lista_CUIT[#All],2,0)),"CUIT NO CARGADO")</f>
        <v>RODOLFO SCHULZE</v>
      </c>
      <c r="H80" s="233">
        <v>42454.95</v>
      </c>
      <c r="I80" s="234">
        <f>IF(compras_mes3[[#This Row],[NETO GRAVADO]]="","",compras_mes3[[#This Row],[NETO GRAVADO]]*0.21)</f>
        <v>8915.539499999999</v>
      </c>
      <c r="J80" s="234"/>
      <c r="K80" s="234"/>
      <c r="L80" s="234"/>
      <c r="M80" s="234"/>
      <c r="N80" s="234"/>
      <c r="O80" s="234"/>
      <c r="P80" s="235">
        <f>SUM(compras_mes3[[#This Row],[NETO GRAVADO]:[Otros / No Grav.]])</f>
        <v>51370.489499999996</v>
      </c>
      <c r="Q80" s="236" t="str">
        <f>IFERROR(IF(compras_mes3[[#This Row],[CUIT]]="","-",VLOOKUP(compras_mes3[[#This Row],[CUIT]],Lista_CUIT[#All],3,0)),"CUIT NO CARGADO")</f>
        <v>Productos Ortopedicos</v>
      </c>
      <c r="R80" s="236">
        <f>IFERROR(IF(compras_mes3[[#This Row],[CUIT]]="","-",VLOOKUP(compras_mes3[[#This Row],[CUIT]],Lista_CUIT[#All],4,0)),"CUIT NO CARGADO")</f>
        <v>0</v>
      </c>
    </row>
    <row r="81" spans="2:18" x14ac:dyDescent="0.25">
      <c r="B81" s="228">
        <v>45006</v>
      </c>
      <c r="C81" s="41">
        <v>1</v>
      </c>
      <c r="D81" s="229">
        <v>7</v>
      </c>
      <c r="E81" s="230">
        <v>26519</v>
      </c>
      <c r="F81" s="231">
        <v>20271532483</v>
      </c>
      <c r="G81" s="232" t="str">
        <f>IFERROR(IF(compras_mes3[[#This Row],[CUIT]]="","-",VLOOKUP(compras_mes3[[#This Row],[CUIT]],Lista_CUIT[#All],2,0)),"CUIT NO CARGADO")</f>
        <v>DIEGO MARTIN RIOS</v>
      </c>
      <c r="H81" s="233">
        <v>1713872.2</v>
      </c>
      <c r="I81" s="234">
        <f>IF(compras_mes3[[#This Row],[NETO GRAVADO]]="","",compras_mes3[[#This Row],[NETO GRAVADO]]*0.21)</f>
        <v>359913.16199999995</v>
      </c>
      <c r="J81" s="234"/>
      <c r="K81" s="234"/>
      <c r="L81" s="234"/>
      <c r="M81" s="234"/>
      <c r="N81" s="234">
        <v>59985.53</v>
      </c>
      <c r="O81" s="234"/>
      <c r="P81" s="235">
        <f>SUM(compras_mes3[[#This Row],[NETO GRAVADO]:[Otros / No Grav.]])</f>
        <v>2133770.892</v>
      </c>
      <c r="Q81" s="236" t="str">
        <f>IFERROR(IF(compras_mes3[[#This Row],[CUIT]]="","-",VLOOKUP(compras_mes3[[#This Row],[CUIT]],Lista_CUIT[#All],3,0)),"CUIT NO CARGADO")</f>
        <v>Productos Ortopedicos</v>
      </c>
      <c r="R81" s="236">
        <f>IFERROR(IF(compras_mes3[[#This Row],[CUIT]]="","-",VLOOKUP(compras_mes3[[#This Row],[CUIT]],Lista_CUIT[#All],4,0)),"CUIT NO CARGADO")</f>
        <v>0</v>
      </c>
    </row>
    <row r="82" spans="2:18" x14ac:dyDescent="0.25">
      <c r="B82" s="228">
        <v>45006</v>
      </c>
      <c r="C82" s="41">
        <v>1</v>
      </c>
      <c r="D82" s="229">
        <v>5</v>
      </c>
      <c r="E82" s="230">
        <v>2734900</v>
      </c>
      <c r="F82" s="231">
        <v>30702652975</v>
      </c>
      <c r="G82" s="232" t="str">
        <f>IFERROR(IF(compras_mes3[[#This Row],[CUIT]]="","-",VLOOKUP(compras_mes3[[#This Row],[CUIT]],Lista_CUIT[#All],2,0)),"CUIT NO CARGADO")</f>
        <v>NSS SA</v>
      </c>
      <c r="H82" s="233">
        <v>5151.18</v>
      </c>
      <c r="I82" s="234">
        <f>IF(compras_mes3[[#This Row],[NETO GRAVADO]]="","",compras_mes3[[#This Row],[NETO GRAVADO]]*0.21)</f>
        <v>1081.7478000000001</v>
      </c>
      <c r="J82" s="234"/>
      <c r="K82" s="234"/>
      <c r="L82" s="234"/>
      <c r="M82" s="234"/>
      <c r="N82" s="234">
        <v>180.29</v>
      </c>
      <c r="O82" s="234"/>
      <c r="P82" s="235">
        <f>SUM(compras_mes3[[#This Row],[NETO GRAVADO]:[Otros / No Grav.]])</f>
        <v>6413.2178000000004</v>
      </c>
      <c r="Q82" s="236" t="str">
        <f>IFERROR(IF(compras_mes3[[#This Row],[CUIT]]="","-",VLOOKUP(compras_mes3[[#This Row],[CUIT]],Lista_CUIT[#All],3,0)),"CUIT NO CARGADO")</f>
        <v>TELEFONIA</v>
      </c>
      <c r="R82" s="236">
        <f>IFERROR(IF(compras_mes3[[#This Row],[CUIT]]="","-",VLOOKUP(compras_mes3[[#This Row],[CUIT]],Lista_CUIT[#All],4,0)),"CUIT NO CARGADO")</f>
        <v>0</v>
      </c>
    </row>
    <row r="83" spans="2:18" x14ac:dyDescent="0.25">
      <c r="B83" s="228">
        <v>45006</v>
      </c>
      <c r="C83" s="41">
        <v>3</v>
      </c>
      <c r="D83" s="229">
        <v>7</v>
      </c>
      <c r="E83" s="230">
        <v>84</v>
      </c>
      <c r="F83" s="231">
        <v>30707118454</v>
      </c>
      <c r="G83" s="232" t="str">
        <f>IFERROR(IF(compras_mes3[[#This Row],[CUIT]]="","-",VLOOKUP(compras_mes3[[#This Row],[CUIT]],Lista_CUIT[#All],2,0)),"CUIT NO CARGADO")</f>
        <v>Ensalud S.A</v>
      </c>
      <c r="H83" s="233">
        <v>-2127.2800000000002</v>
      </c>
      <c r="I83" s="234">
        <f>IF(compras_mes3[[#This Row],[NETO GRAVADO]]="","",compras_mes3[[#This Row],[NETO GRAVADO]]*0.21)</f>
        <v>-446.72880000000004</v>
      </c>
      <c r="J83" s="234"/>
      <c r="K83" s="234"/>
      <c r="L83" s="234"/>
      <c r="M83" s="234"/>
      <c r="N83" s="234"/>
      <c r="O83" s="234"/>
      <c r="P83" s="235">
        <f>SUM(compras_mes3[[#This Row],[NETO GRAVADO]:[Otros / No Grav.]])</f>
        <v>-2574.0088000000001</v>
      </c>
      <c r="Q83" s="236" t="str">
        <f>IFERROR(IF(compras_mes3[[#This Row],[CUIT]]="","-",VLOOKUP(compras_mes3[[#This Row],[CUIT]],Lista_CUIT[#All],3,0)),"CUIT NO CARGADO")</f>
        <v>SALUD</v>
      </c>
      <c r="R83" s="236">
        <f>IFERROR(IF(compras_mes3[[#This Row],[CUIT]]="","-",VLOOKUP(compras_mes3[[#This Row],[CUIT]],Lista_CUIT[#All],4,0)),"CUIT NO CARGADO")</f>
        <v>0</v>
      </c>
    </row>
    <row r="84" spans="2:18" ht="14.45" customHeight="1" x14ac:dyDescent="0.25">
      <c r="B84" s="228">
        <v>45006</v>
      </c>
      <c r="C84" s="263">
        <v>3</v>
      </c>
      <c r="D84" s="229">
        <v>7</v>
      </c>
      <c r="E84" s="230">
        <v>83</v>
      </c>
      <c r="F84" s="231">
        <v>30707118454</v>
      </c>
      <c r="G84" s="232" t="str">
        <f>IFERROR(IF(compras_mes3[[#This Row],[CUIT]]="","-",VLOOKUP(compras_mes3[[#This Row],[CUIT]],Lista_CUIT[#All],2,0)),"CUIT NO CARGADO")</f>
        <v>Ensalud S.A</v>
      </c>
      <c r="H84" s="233">
        <v>-1421.49</v>
      </c>
      <c r="I84" s="234">
        <f>IF(compras_mes3[[#This Row],[NETO GRAVADO]]="","",compras_mes3[[#This Row],[NETO GRAVADO]]*0.21)</f>
        <v>-298.5129</v>
      </c>
      <c r="J84" s="234"/>
      <c r="K84" s="234"/>
      <c r="L84" s="234"/>
      <c r="M84" s="234"/>
      <c r="N84" s="234"/>
      <c r="O84" s="234"/>
      <c r="P84" s="235">
        <f>SUM(compras_mes3[[#This Row],[NETO GRAVADO]:[Otros / No Grav.]])</f>
        <v>-1720.0029</v>
      </c>
      <c r="Q84" s="236" t="str">
        <f>IFERROR(IF(compras_mes3[[#This Row],[CUIT]]="","-",VLOOKUP(compras_mes3[[#This Row],[CUIT]],Lista_CUIT[#All],3,0)),"CUIT NO CARGADO")</f>
        <v>SALUD</v>
      </c>
      <c r="R84" s="236">
        <f>IFERROR(IF(compras_mes3[[#This Row],[CUIT]]="","-",VLOOKUP(compras_mes3[[#This Row],[CUIT]],Lista_CUIT[#All],4,0)),"CUIT NO CARGADO")</f>
        <v>0</v>
      </c>
    </row>
    <row r="85" spans="2:18" x14ac:dyDescent="0.25">
      <c r="B85" s="228">
        <v>45006</v>
      </c>
      <c r="C85" s="263">
        <v>3</v>
      </c>
      <c r="D85" s="229">
        <v>7</v>
      </c>
      <c r="E85" s="230">
        <v>82</v>
      </c>
      <c r="F85" s="231">
        <v>30707118454</v>
      </c>
      <c r="G85" s="232" t="str">
        <f>IFERROR(IF(compras_mes3[[#This Row],[CUIT]]="","-",VLOOKUP(compras_mes3[[#This Row],[CUIT]],Lista_CUIT[#All],2,0)),"CUIT NO CARGADO")</f>
        <v>Ensalud S.A</v>
      </c>
      <c r="H85" s="233">
        <v>-1421.49</v>
      </c>
      <c r="I85" s="234">
        <f>IF(compras_mes3[[#This Row],[NETO GRAVADO]]="","",compras_mes3[[#This Row],[NETO GRAVADO]]*0.21)</f>
        <v>-298.5129</v>
      </c>
      <c r="J85" s="234"/>
      <c r="K85" s="234"/>
      <c r="L85" s="234"/>
      <c r="M85" s="234"/>
      <c r="N85" s="234"/>
      <c r="O85" s="234"/>
      <c r="P85" s="235">
        <f>SUM(compras_mes3[[#This Row],[NETO GRAVADO]:[Otros / No Grav.]])</f>
        <v>-1720.0029</v>
      </c>
      <c r="Q85" s="236" t="str">
        <f>IFERROR(IF(compras_mes3[[#This Row],[CUIT]]="","-",VLOOKUP(compras_mes3[[#This Row],[CUIT]],Lista_CUIT[#All],3,0)),"CUIT NO CARGADO")</f>
        <v>SALUD</v>
      </c>
      <c r="R85" s="236">
        <f>IFERROR(IF(compras_mes3[[#This Row],[CUIT]]="","-",VLOOKUP(compras_mes3[[#This Row],[CUIT]],Lista_CUIT[#All],4,0)),"CUIT NO CARGADO")</f>
        <v>0</v>
      </c>
    </row>
    <row r="86" spans="2:18" x14ac:dyDescent="0.25">
      <c r="B86" s="228">
        <v>45006</v>
      </c>
      <c r="C86" s="263">
        <v>3</v>
      </c>
      <c r="D86" s="229">
        <v>7</v>
      </c>
      <c r="E86" s="230">
        <v>81</v>
      </c>
      <c r="F86" s="231">
        <v>30707118454</v>
      </c>
      <c r="G86" s="232" t="str">
        <f>IFERROR(IF(compras_mes3[[#This Row],[CUIT]]="","-",VLOOKUP(compras_mes3[[#This Row],[CUIT]],Lista_CUIT[#All],2,0)),"CUIT NO CARGADO")</f>
        <v>Ensalud S.A</v>
      </c>
      <c r="H86" s="233">
        <v>-1132.23</v>
      </c>
      <c r="I86" s="234">
        <f>IF(compras_mes3[[#This Row],[NETO GRAVADO]]="","",compras_mes3[[#This Row],[NETO GRAVADO]]*0.21)</f>
        <v>-237.76829999999998</v>
      </c>
      <c r="J86" s="234"/>
      <c r="K86" s="234"/>
      <c r="L86" s="234"/>
      <c r="M86" s="234"/>
      <c r="N86" s="234"/>
      <c r="O86" s="234"/>
      <c r="P86" s="235">
        <f>SUM(compras_mes3[[#This Row],[NETO GRAVADO]:[Otros / No Grav.]])</f>
        <v>-1369.9983</v>
      </c>
      <c r="Q86" s="236" t="str">
        <f>IFERROR(IF(compras_mes3[[#This Row],[CUIT]]="","-",VLOOKUP(compras_mes3[[#This Row],[CUIT]],Lista_CUIT[#All],3,0)),"CUIT NO CARGADO")</f>
        <v>SALUD</v>
      </c>
      <c r="R86" s="236">
        <f>IFERROR(IF(compras_mes3[[#This Row],[CUIT]]="","-",VLOOKUP(compras_mes3[[#This Row],[CUIT]],Lista_CUIT[#All],4,0)),"CUIT NO CARGADO")</f>
        <v>0</v>
      </c>
    </row>
    <row r="87" spans="2:18" ht="14.45" customHeight="1" x14ac:dyDescent="0.25">
      <c r="B87" s="228">
        <v>45006</v>
      </c>
      <c r="C87" s="263">
        <v>3</v>
      </c>
      <c r="D87" s="229">
        <v>7</v>
      </c>
      <c r="E87" s="230">
        <v>80</v>
      </c>
      <c r="F87" s="231">
        <v>30707118454</v>
      </c>
      <c r="G87" s="232" t="str">
        <f>IFERROR(IF(compras_mes3[[#This Row],[CUIT]]="","-",VLOOKUP(compras_mes3[[#This Row],[CUIT]],Lista_CUIT[#All],2,0)),"CUIT NO CARGADO")</f>
        <v>Ensalud S.A</v>
      </c>
      <c r="H87" s="233">
        <v>-1273.56</v>
      </c>
      <c r="I87" s="234">
        <f>IF(compras_mes3[[#This Row],[NETO GRAVADO]]="","",compras_mes3[[#This Row],[NETO GRAVADO]]*0.21)</f>
        <v>-267.44759999999997</v>
      </c>
      <c r="J87" s="234"/>
      <c r="K87" s="234"/>
      <c r="L87" s="234"/>
      <c r="M87" s="234"/>
      <c r="N87" s="234"/>
      <c r="O87" s="234"/>
      <c r="P87" s="235">
        <f>SUM(compras_mes3[[#This Row],[NETO GRAVADO]:[Otros / No Grav.]])</f>
        <v>-1541.0075999999999</v>
      </c>
      <c r="Q87" s="236" t="str">
        <f>IFERROR(IF(compras_mes3[[#This Row],[CUIT]]="","-",VLOOKUP(compras_mes3[[#This Row],[CUIT]],Lista_CUIT[#All],3,0)),"CUIT NO CARGADO")</f>
        <v>SALUD</v>
      </c>
      <c r="R87" s="236">
        <f>IFERROR(IF(compras_mes3[[#This Row],[CUIT]]="","-",VLOOKUP(compras_mes3[[#This Row],[CUIT]],Lista_CUIT[#All],4,0)),"CUIT NO CARGADO")</f>
        <v>0</v>
      </c>
    </row>
    <row r="88" spans="2:18" ht="14.45" customHeight="1" x14ac:dyDescent="0.25">
      <c r="B88" s="228">
        <v>45006</v>
      </c>
      <c r="C88" s="263">
        <v>3</v>
      </c>
      <c r="D88" s="229">
        <v>7</v>
      </c>
      <c r="E88" s="230">
        <v>79</v>
      </c>
      <c r="F88" s="231">
        <v>30707118454</v>
      </c>
      <c r="G88" s="232" t="str">
        <f>IFERROR(IF(compras_mes3[[#This Row],[CUIT]]="","-",VLOOKUP(compras_mes3[[#This Row],[CUIT]],Lista_CUIT[#All],2,0)),"CUIT NO CARGADO")</f>
        <v>Ensalud S.A</v>
      </c>
      <c r="H88" s="233">
        <v>-311.57</v>
      </c>
      <c r="I88" s="234">
        <f>IF(compras_mes3[[#This Row],[NETO GRAVADO]]="","",compras_mes3[[#This Row],[NETO GRAVADO]]*0.21)</f>
        <v>-65.429699999999997</v>
      </c>
      <c r="J88" s="234"/>
      <c r="K88" s="234"/>
      <c r="L88" s="234"/>
      <c r="M88" s="234"/>
      <c r="N88" s="234"/>
      <c r="O88" s="234"/>
      <c r="P88" s="235">
        <f>SUM(compras_mes3[[#This Row],[NETO GRAVADO]:[Otros / No Grav.]])</f>
        <v>-376.99969999999996</v>
      </c>
      <c r="Q88" s="236" t="str">
        <f>IFERROR(IF(compras_mes3[[#This Row],[CUIT]]="","-",VLOOKUP(compras_mes3[[#This Row],[CUIT]],Lista_CUIT[#All],3,0)),"CUIT NO CARGADO")</f>
        <v>SALUD</v>
      </c>
      <c r="R88" s="236">
        <f>IFERROR(IF(compras_mes3[[#This Row],[CUIT]]="","-",VLOOKUP(compras_mes3[[#This Row],[CUIT]],Lista_CUIT[#All],4,0)),"CUIT NO CARGADO")</f>
        <v>0</v>
      </c>
    </row>
    <row r="89" spans="2:18" ht="15" customHeight="1" x14ac:dyDescent="0.25">
      <c r="B89" s="228">
        <v>45007</v>
      </c>
      <c r="C89" s="41">
        <v>1</v>
      </c>
      <c r="D89" s="229">
        <v>5</v>
      </c>
      <c r="E89" s="230">
        <v>14</v>
      </c>
      <c r="F89" s="231">
        <v>20929183143</v>
      </c>
      <c r="G89" s="232" t="str">
        <f>IFERROR(IF(compras_mes3[[#This Row],[CUIT]]="","-",VLOOKUP(compras_mes3[[#This Row],[CUIT]],Lista_CUIT[#All],2,0)),"CUIT NO CARGADO")</f>
        <v>MA JUN</v>
      </c>
      <c r="H89" s="233">
        <v>10500</v>
      </c>
      <c r="I89" s="234">
        <f>IF(compras_mes3[[#This Row],[NETO GRAVADO]]="","",compras_mes3[[#This Row],[NETO GRAVADO]]*0.21)</f>
        <v>2205</v>
      </c>
      <c r="J89" s="234"/>
      <c r="K89" s="234"/>
      <c r="L89" s="234"/>
      <c r="M89" s="234"/>
      <c r="N89" s="234"/>
      <c r="O89" s="234"/>
      <c r="P89" s="235">
        <f>SUM(compras_mes3[[#This Row],[NETO GRAVADO]:[Otros / No Grav.]])</f>
        <v>12705</v>
      </c>
      <c r="Q89" s="236" t="str">
        <f>IFERROR(IF(compras_mes3[[#This Row],[CUIT]]="","-",VLOOKUP(compras_mes3[[#This Row],[CUIT]],Lista_CUIT[#All],3,0)),"CUIT NO CARGADO")</f>
        <v>Gastos Varios</v>
      </c>
      <c r="R89" s="236">
        <f>IFERROR(IF(compras_mes3[[#This Row],[CUIT]]="","-",VLOOKUP(compras_mes3[[#This Row],[CUIT]],Lista_CUIT[#All],4,0)),"CUIT NO CARGADO")</f>
        <v>0</v>
      </c>
    </row>
    <row r="90" spans="2:18" ht="15" customHeight="1" x14ac:dyDescent="0.25">
      <c r="B90" s="254">
        <v>45007</v>
      </c>
      <c r="C90" s="209">
        <v>1</v>
      </c>
      <c r="D90" s="255">
        <v>17</v>
      </c>
      <c r="E90" s="256">
        <v>842</v>
      </c>
      <c r="F90" s="257">
        <v>30711764921</v>
      </c>
      <c r="G90" s="258" t="str">
        <f>IFERROR(IF(compras_mes3[[#This Row],[CUIT]]="","-",VLOOKUP(compras_mes3[[#This Row],[CUIT]],Lista_CUIT[#All],2,0)),"CUIT NO CARGADO")</f>
        <v>RELIEF CENTER SRL</v>
      </c>
      <c r="H90" s="259">
        <v>21194</v>
      </c>
      <c r="I90" s="260">
        <f>IF(compras_mes3[[#This Row],[NETO GRAVADO]]="","",compras_mes3[[#This Row],[NETO GRAVADO]]*0.21)</f>
        <v>4450.74</v>
      </c>
      <c r="J90" s="260"/>
      <c r="K90" s="260"/>
      <c r="L90" s="260"/>
      <c r="M90" s="260"/>
      <c r="N90" s="260"/>
      <c r="O90" s="260"/>
      <c r="P90" s="261">
        <f>SUM(compras_mes3[[#This Row],[NETO GRAVADO]:[Otros / No Grav.]])</f>
        <v>25644.739999999998</v>
      </c>
      <c r="Q90" s="262" t="str">
        <f>IFERROR(IF(compras_mes3[[#This Row],[CUIT]]="","-",VLOOKUP(compras_mes3[[#This Row],[CUIT]],Lista_CUIT[#All],3,0)),"CUIT NO CARGADO")</f>
        <v>Productos Ortopedicos</v>
      </c>
      <c r="R90" s="262">
        <f>IFERROR(IF(compras_mes3[[#This Row],[CUIT]]="","-",VLOOKUP(compras_mes3[[#This Row],[CUIT]],Lista_CUIT[#All],4,0)),"CUIT NO CARGADO")</f>
        <v>0</v>
      </c>
    </row>
    <row r="91" spans="2:18" ht="15" customHeight="1" x14ac:dyDescent="0.25">
      <c r="B91" s="228">
        <v>45007</v>
      </c>
      <c r="C91" s="41">
        <v>1</v>
      </c>
      <c r="D91" s="229">
        <v>3</v>
      </c>
      <c r="E91" s="230">
        <v>7660</v>
      </c>
      <c r="F91" s="231">
        <v>20045615473</v>
      </c>
      <c r="G91" s="232" t="str">
        <f>IFERROR(IF(compras_mes3[[#This Row],[CUIT]]="","-",VLOOKUP(compras_mes3[[#This Row],[CUIT]],Lista_CUIT[#All],2,0)),"CUIT NO CARGADO")</f>
        <v xml:space="preserve">DI FEO HUGO PASCUAL </v>
      </c>
      <c r="H91" s="233">
        <v>32110</v>
      </c>
      <c r="I91" s="234">
        <f>IF(compras_mes3[[#This Row],[NETO GRAVADO]]="","",compras_mes3[[#This Row],[NETO GRAVADO]]*0.21)</f>
        <v>6743.0999999999995</v>
      </c>
      <c r="J91" s="234"/>
      <c r="K91" s="234"/>
      <c r="L91" s="234"/>
      <c r="M91" s="234"/>
      <c r="N91" s="234"/>
      <c r="O91" s="234"/>
      <c r="P91" s="235">
        <f>SUM(compras_mes3[[#This Row],[NETO GRAVADO]:[Otros / No Grav.]])</f>
        <v>38853.1</v>
      </c>
      <c r="Q91" s="236" t="str">
        <f>IFERROR(IF(compras_mes3[[#This Row],[CUIT]]="","-",VLOOKUP(compras_mes3[[#This Row],[CUIT]],Lista_CUIT[#All],3,0)),"CUIT NO CARGADO")</f>
        <v>Productos Ortopedicos</v>
      </c>
      <c r="R91" s="236">
        <f>IFERROR(IF(compras_mes3[[#This Row],[CUIT]]="","-",VLOOKUP(compras_mes3[[#This Row],[CUIT]],Lista_CUIT[#All],4,0)),"CUIT NO CARGADO")</f>
        <v>0</v>
      </c>
    </row>
    <row r="92" spans="2:18" ht="15" customHeight="1" x14ac:dyDescent="0.25">
      <c r="B92" s="228">
        <v>45007</v>
      </c>
      <c r="C92" s="41">
        <v>1</v>
      </c>
      <c r="D92" s="229">
        <v>7</v>
      </c>
      <c r="E92" s="230">
        <v>14999</v>
      </c>
      <c r="F92" s="231">
        <v>30709214078</v>
      </c>
      <c r="G92" s="232" t="str">
        <f>IFERROR(IF(compras_mes3[[#This Row],[CUIT]]="","-",VLOOKUP(compras_mes3[[#This Row],[CUIT]],Lista_CUIT[#All],2,0)),"CUIT NO CARGADO")</f>
        <v>REHAVITA S.A</v>
      </c>
      <c r="H92" s="233">
        <v>98652</v>
      </c>
      <c r="I92" s="234"/>
      <c r="J92" s="234"/>
      <c r="K92" s="234">
        <f>compras_mes3[[#This Row],[NETO GRAVADO]]*0.105</f>
        <v>10358.459999999999</v>
      </c>
      <c r="L92" s="234"/>
      <c r="M92" s="234"/>
      <c r="N92" s="234"/>
      <c r="O92" s="234"/>
      <c r="P92" s="235">
        <f>SUM(compras_mes3[[#This Row],[NETO GRAVADO]:[Otros / No Grav.]])</f>
        <v>109010.45999999999</v>
      </c>
      <c r="Q92" s="236" t="str">
        <f>IFERROR(IF(compras_mes3[[#This Row],[CUIT]]="","-",VLOOKUP(compras_mes3[[#This Row],[CUIT]],Lista_CUIT[#All],3,0)),"CUIT NO CARGADO")</f>
        <v>Productos Ortopedicos</v>
      </c>
      <c r="R92" s="236">
        <f>IFERROR(IF(compras_mes3[[#This Row],[CUIT]]="","-",VLOOKUP(compras_mes3[[#This Row],[CUIT]],Lista_CUIT[#All],4,0)),"CUIT NO CARGADO")</f>
        <v>0</v>
      </c>
    </row>
    <row r="93" spans="2:18" ht="15" customHeight="1" x14ac:dyDescent="0.25">
      <c r="B93" s="254">
        <v>45008</v>
      </c>
      <c r="C93" s="209">
        <v>1</v>
      </c>
      <c r="D93" s="255">
        <v>4</v>
      </c>
      <c r="E93" s="256">
        <v>4082</v>
      </c>
      <c r="F93" s="257">
        <v>20113613646</v>
      </c>
      <c r="G93" s="258" t="str">
        <f>IFERROR(IF(compras_mes3[[#This Row],[CUIT]]="","-",VLOOKUP(compras_mes3[[#This Row],[CUIT]],Lista_CUIT[#All],2,0)),"CUIT NO CARGADO")</f>
        <v>PIETRUSZKA ALBERTO</v>
      </c>
      <c r="H93" s="259">
        <v>3438.02</v>
      </c>
      <c r="I93" s="260">
        <f>IF(compras_mes3[[#This Row],[NETO GRAVADO]]="","",compras_mes3[[#This Row],[NETO GRAVADO]]*0.21)</f>
        <v>721.98419999999999</v>
      </c>
      <c r="J93" s="260"/>
      <c r="K93" s="260"/>
      <c r="L93" s="260"/>
      <c r="M93" s="260"/>
      <c r="N93" s="260"/>
      <c r="O93" s="260"/>
      <c r="P93" s="261">
        <f>SUM(compras_mes3[[#This Row],[NETO GRAVADO]:[Otros / No Grav.]])</f>
        <v>4160.0042000000003</v>
      </c>
      <c r="Q93" s="262" t="str">
        <f>IFERROR(IF(compras_mes3[[#This Row],[CUIT]]="","-",VLOOKUP(compras_mes3[[#This Row],[CUIT]],Lista_CUIT[#All],3,0)),"CUIT NO CARGADO")</f>
        <v>PAPELERIA</v>
      </c>
      <c r="R93" s="262">
        <f>IFERROR(IF(compras_mes3[[#This Row],[CUIT]]="","-",VLOOKUP(compras_mes3[[#This Row],[CUIT]],Lista_CUIT[#All],4,0)),"CUIT NO CARGADO")</f>
        <v>0</v>
      </c>
    </row>
    <row r="94" spans="2:18" x14ac:dyDescent="0.25">
      <c r="B94" s="254">
        <v>45008</v>
      </c>
      <c r="C94" s="209">
        <v>1</v>
      </c>
      <c r="D94" s="255">
        <v>3</v>
      </c>
      <c r="E94" s="256">
        <v>5478</v>
      </c>
      <c r="F94" s="257">
        <v>33708218699</v>
      </c>
      <c r="G94" s="258" t="str">
        <f>IFERROR(IF(compras_mes3[[#This Row],[CUIT]]="","-",VLOOKUP(compras_mes3[[#This Row],[CUIT]],Lista_CUIT[#All],2,0)),"CUIT NO CARGADO")</f>
        <v>MANGGINI PABLO Y MANGGINI ULISES SOC. DE HECHO.</v>
      </c>
      <c r="H94" s="259">
        <v>3500</v>
      </c>
      <c r="I94" s="260">
        <f>IF(compras_mes3[[#This Row],[NETO GRAVADO]]="","",compras_mes3[[#This Row],[NETO GRAVADO]]*0.21)</f>
        <v>735</v>
      </c>
      <c r="J94" s="260"/>
      <c r="K94" s="260"/>
      <c r="L94" s="260"/>
      <c r="M94" s="260"/>
      <c r="N94" s="260"/>
      <c r="O94" s="260"/>
      <c r="P94" s="261">
        <f>SUM(compras_mes3[[#This Row],[NETO GRAVADO]:[Otros / No Grav.]])</f>
        <v>4235</v>
      </c>
      <c r="Q94" s="262" t="str">
        <f>IFERROR(IF(compras_mes3[[#This Row],[CUIT]]="","-",VLOOKUP(compras_mes3[[#This Row],[CUIT]],Lista_CUIT[#All],3,0)),"CUIT NO CARGADO")</f>
        <v>Gastos Varios</v>
      </c>
      <c r="R94" s="262">
        <f>IFERROR(IF(compras_mes3[[#This Row],[CUIT]]="","-",VLOOKUP(compras_mes3[[#This Row],[CUIT]],Lista_CUIT[#All],4,0)),"CUIT NO CARGADO")</f>
        <v>0</v>
      </c>
    </row>
    <row r="95" spans="2:18" x14ac:dyDescent="0.25">
      <c r="B95" s="228">
        <v>45008</v>
      </c>
      <c r="C95" s="41">
        <v>1</v>
      </c>
      <c r="D95" s="229">
        <v>2</v>
      </c>
      <c r="E95" s="230">
        <v>8048</v>
      </c>
      <c r="F95" s="231">
        <v>30714331082</v>
      </c>
      <c r="G95" s="232" t="str">
        <f>IFERROR(IF(compras_mes3[[#This Row],[CUIT]]="","-",VLOOKUP(compras_mes3[[#This Row],[CUIT]],Lista_CUIT[#All],2,0)),"CUIT NO CARGADO")</f>
        <v>ORTOPEDIA CASA ESCALADA SRL</v>
      </c>
      <c r="H95" s="233">
        <v>121764.94</v>
      </c>
      <c r="I95" s="234">
        <f>IF(compras_mes3[[#This Row],[NETO GRAVADO]]="","",compras_mes3[[#This Row],[NETO GRAVADO]]*0.21)</f>
        <v>25570.6374</v>
      </c>
      <c r="J95" s="234"/>
      <c r="K95" s="234"/>
      <c r="L95" s="234"/>
      <c r="M95" s="234"/>
      <c r="N95" s="234"/>
      <c r="O95" s="234"/>
      <c r="P95" s="235">
        <f>SUM(compras_mes3[[#This Row],[NETO GRAVADO]:[Otros / No Grav.]])</f>
        <v>147335.57740000001</v>
      </c>
      <c r="Q95" s="236" t="str">
        <f>IFERROR(IF(compras_mes3[[#This Row],[CUIT]]="","-",VLOOKUP(compras_mes3[[#This Row],[CUIT]],Lista_CUIT[#All],3,0)),"CUIT NO CARGADO")</f>
        <v>Productos Ortopedicos</v>
      </c>
      <c r="R95" s="236">
        <f>IFERROR(IF(compras_mes3[[#This Row],[CUIT]]="","-",VLOOKUP(compras_mes3[[#This Row],[CUIT]],Lista_CUIT[#All],4,0)),"CUIT NO CARGADO")</f>
        <v>0</v>
      </c>
    </row>
    <row r="96" spans="2:18" x14ac:dyDescent="0.25">
      <c r="B96" s="228">
        <v>45008</v>
      </c>
      <c r="C96" s="41">
        <v>1</v>
      </c>
      <c r="D96" s="229">
        <v>7</v>
      </c>
      <c r="E96" s="230">
        <v>26553</v>
      </c>
      <c r="F96" s="231">
        <v>20271532483</v>
      </c>
      <c r="G96" s="232" t="str">
        <f>IFERROR(IF(compras_mes3[[#This Row],[CUIT]]="","-",VLOOKUP(compras_mes3[[#This Row],[CUIT]],Lista_CUIT[#All],2,0)),"CUIT NO CARGADO")</f>
        <v>DIEGO MARTIN RIOS</v>
      </c>
      <c r="H96" s="233">
        <v>1642596.97</v>
      </c>
      <c r="I96" s="234">
        <f>IF(compras_mes3[[#This Row],[NETO GRAVADO]]="","",compras_mes3[[#This Row],[NETO GRAVADO]]*0.21)</f>
        <v>344945.36369999999</v>
      </c>
      <c r="J96" s="234"/>
      <c r="K96" s="234"/>
      <c r="L96" s="234"/>
      <c r="M96" s="234"/>
      <c r="N96" s="234">
        <v>57490.89</v>
      </c>
      <c r="O96" s="234"/>
      <c r="P96" s="235">
        <f>SUM(compras_mes3[[#This Row],[NETO GRAVADO]:[Otros / No Grav.]])</f>
        <v>2045033.2236999997</v>
      </c>
      <c r="Q96" s="236" t="str">
        <f>IFERROR(IF(compras_mes3[[#This Row],[CUIT]]="","-",VLOOKUP(compras_mes3[[#This Row],[CUIT]],Lista_CUIT[#All],3,0)),"CUIT NO CARGADO")</f>
        <v>Productos Ortopedicos</v>
      </c>
      <c r="R96" s="236">
        <f>IFERROR(IF(compras_mes3[[#This Row],[CUIT]]="","-",VLOOKUP(compras_mes3[[#This Row],[CUIT]],Lista_CUIT[#All],4,0)),"CUIT NO CARGADO")</f>
        <v>0</v>
      </c>
    </row>
    <row r="97" spans="2:18" x14ac:dyDescent="0.25">
      <c r="B97" s="228">
        <v>45009</v>
      </c>
      <c r="C97" s="41">
        <v>1</v>
      </c>
      <c r="D97" s="229">
        <v>14</v>
      </c>
      <c r="E97" s="230">
        <v>2128</v>
      </c>
      <c r="F97" s="231">
        <v>30708736186</v>
      </c>
      <c r="G97" s="232" t="str">
        <f>IFERROR(IF(compras_mes3[[#This Row],[CUIT]]="","-",VLOOKUP(compras_mes3[[#This Row],[CUIT]],Lista_CUIT[#All],2,0)),"CUIT NO CARGADO")</f>
        <v>COMERCIALIZADORA MORRES SA</v>
      </c>
      <c r="H97" s="233">
        <v>44653.86</v>
      </c>
      <c r="I97" s="234">
        <v>780.81</v>
      </c>
      <c r="J97" s="234"/>
      <c r="K97" s="234">
        <v>4298.25</v>
      </c>
      <c r="L97" s="234"/>
      <c r="M97" s="234"/>
      <c r="N97" s="234">
        <v>1562.89</v>
      </c>
      <c r="O97" s="234"/>
      <c r="P97" s="235">
        <f>SUM(compras_mes3[[#This Row],[NETO GRAVADO]:[Otros / No Grav.]])</f>
        <v>51295.81</v>
      </c>
      <c r="Q97" s="236" t="str">
        <f>IFERROR(IF(compras_mes3[[#This Row],[CUIT]]="","-",VLOOKUP(compras_mes3[[#This Row],[CUIT]],Lista_CUIT[#All],3,0)),"CUIT NO CARGADO")</f>
        <v>Gastos Varios</v>
      </c>
      <c r="R97" s="236">
        <f>IFERROR(IF(compras_mes3[[#This Row],[CUIT]]="","-",VLOOKUP(compras_mes3[[#This Row],[CUIT]],Lista_CUIT[#All],4,0)),"CUIT NO CARGADO")</f>
        <v>0</v>
      </c>
    </row>
    <row r="98" spans="2:18" x14ac:dyDescent="0.25">
      <c r="B98" s="228">
        <v>45009</v>
      </c>
      <c r="C98" s="41">
        <v>1</v>
      </c>
      <c r="D98" s="229">
        <v>4</v>
      </c>
      <c r="E98" s="230">
        <v>280667</v>
      </c>
      <c r="F98" s="231">
        <v>30716620634</v>
      </c>
      <c r="G98" s="232" t="str">
        <f>IFERROR(IF(compras_mes3[[#This Row],[CUIT]]="","-",VLOOKUP(compras_mes3[[#This Row],[CUIT]],Lista_CUIT[#All],2,0)),"CUIT NO CARGADO")</f>
        <v>FIRST LABEL S.R.L.</v>
      </c>
      <c r="H98" s="233">
        <v>56197.52</v>
      </c>
      <c r="I98" s="234">
        <f>IF(compras_mes3[[#This Row],[NETO GRAVADO]]="","",compras_mes3[[#This Row],[NETO GRAVADO]]*0.21)</f>
        <v>11801.4792</v>
      </c>
      <c r="J98" s="234"/>
      <c r="K98" s="234"/>
      <c r="L98" s="234"/>
      <c r="M98" s="234"/>
      <c r="N98" s="234">
        <v>1966.91</v>
      </c>
      <c r="O98" s="234"/>
      <c r="P98" s="235">
        <f>SUM(compras_mes3[[#This Row],[NETO GRAVADO]:[Otros / No Grav.]])</f>
        <v>69965.909199999995</v>
      </c>
      <c r="Q98" s="236" t="str">
        <f>IFERROR(IF(compras_mes3[[#This Row],[CUIT]]="","-",VLOOKUP(compras_mes3[[#This Row],[CUIT]],Lista_CUIT[#All],3,0)),"CUIT NO CARGADO")</f>
        <v>Gastos Varios</v>
      </c>
      <c r="R98" s="236">
        <f>IFERROR(IF(compras_mes3[[#This Row],[CUIT]]="","-",VLOOKUP(compras_mes3[[#This Row],[CUIT]],Lista_CUIT[#All],4,0)),"CUIT NO CARGADO")</f>
        <v>0</v>
      </c>
    </row>
    <row r="99" spans="2:18" x14ac:dyDescent="0.25">
      <c r="B99" s="228">
        <v>45012</v>
      </c>
      <c r="C99" s="41">
        <v>1</v>
      </c>
      <c r="D99" s="229">
        <v>3</v>
      </c>
      <c r="E99" s="230">
        <v>58</v>
      </c>
      <c r="F99" s="231">
        <v>20334976433</v>
      </c>
      <c r="G99" s="232" t="str">
        <f>IFERROR(IF(compras_mes3[[#This Row],[CUIT]]="","-",VLOOKUP(compras_mes3[[#This Row],[CUIT]],Lista_CUIT[#All],2,0)),"CUIT NO CARGADO")</f>
        <v>NARDOMARINO EZEQUIEL EDUARDO</v>
      </c>
      <c r="H99" s="233">
        <v>91057.85</v>
      </c>
      <c r="I99" s="234">
        <f>IF(compras_mes3[[#This Row],[NETO GRAVADO]]="","",compras_mes3[[#This Row],[NETO GRAVADO]]*0.21)</f>
        <v>19122.148499999999</v>
      </c>
      <c r="J99" s="234"/>
      <c r="K99" s="234"/>
      <c r="L99" s="234"/>
      <c r="M99" s="234"/>
      <c r="N99" s="234"/>
      <c r="O99" s="234"/>
      <c r="P99" s="235">
        <f>SUM(compras_mes3[[#This Row],[NETO GRAVADO]:[Otros / No Grav.]])</f>
        <v>110179.9985</v>
      </c>
      <c r="Q99" s="236" t="str">
        <f>IFERROR(IF(compras_mes3[[#This Row],[CUIT]]="","-",VLOOKUP(compras_mes3[[#This Row],[CUIT]],Lista_CUIT[#All],3,0)),"CUIT NO CARGADO")</f>
        <v>FLETE</v>
      </c>
      <c r="R99" s="236">
        <f>IFERROR(IF(compras_mes3[[#This Row],[CUIT]]="","-",VLOOKUP(compras_mes3[[#This Row],[CUIT]],Lista_CUIT[#All],4,0)),"CUIT NO CARGADO")</f>
        <v>0</v>
      </c>
    </row>
    <row r="100" spans="2:18" x14ac:dyDescent="0.25">
      <c r="B100" s="228">
        <v>45012</v>
      </c>
      <c r="C100" s="41">
        <v>1</v>
      </c>
      <c r="D100" s="229">
        <v>6</v>
      </c>
      <c r="E100" s="230">
        <v>47541</v>
      </c>
      <c r="F100" s="231">
        <v>30710177658</v>
      </c>
      <c r="G100" s="232" t="str">
        <f>IFERROR(IF(compras_mes3[[#This Row],[CUIT]]="","-",VLOOKUP(compras_mes3[[#This Row],[CUIT]],Lista_CUIT[#All],2,0)),"CUIT NO CARGADO")</f>
        <v>TARGET MEDICAL SA</v>
      </c>
      <c r="H100" s="233">
        <v>91100</v>
      </c>
      <c r="I100" s="234">
        <f>IF(compras_mes3[[#This Row],[NETO GRAVADO]]="","",compras_mes3[[#This Row],[NETO GRAVADO]]*0.21)</f>
        <v>19131</v>
      </c>
      <c r="J100" s="234"/>
      <c r="K100" s="234"/>
      <c r="L100" s="234"/>
      <c r="M100" s="234"/>
      <c r="N100" s="234"/>
      <c r="O100" s="234"/>
      <c r="P100" s="235">
        <f>SUM(compras_mes3[[#This Row],[NETO GRAVADO]:[Otros / No Grav.]])</f>
        <v>110231</v>
      </c>
      <c r="Q100" s="236" t="str">
        <f>IFERROR(IF(compras_mes3[[#This Row],[CUIT]]="","-",VLOOKUP(compras_mes3[[#This Row],[CUIT]],Lista_CUIT[#All],3,0)),"CUIT NO CARGADO")</f>
        <v>Productos Ortopedicos</v>
      </c>
      <c r="R100" s="236">
        <f>IFERROR(IF(compras_mes3[[#This Row],[CUIT]]="","-",VLOOKUP(compras_mes3[[#This Row],[CUIT]],Lista_CUIT[#All],4,0)),"CUIT NO CARGADO")</f>
        <v>0</v>
      </c>
    </row>
    <row r="101" spans="2:18" s="56" customFormat="1" ht="18.600000000000001" customHeight="1" x14ac:dyDescent="0.25">
      <c r="B101" s="254">
        <v>45012</v>
      </c>
      <c r="C101" s="209">
        <v>1</v>
      </c>
      <c r="D101" s="255">
        <v>700</v>
      </c>
      <c r="E101" s="256">
        <v>871596</v>
      </c>
      <c r="F101" s="257">
        <v>30715804812</v>
      </c>
      <c r="G101" s="258" t="str">
        <f>IFERROR(IF(compras_mes3[[#This Row],[CUIT]]="","-",VLOOKUP(compras_mes3[[#This Row],[CUIT]],Lista_CUIT[#All],2,0)),"CUIT NO CARGADO")</f>
        <v>CORREDORES VIALES SOCIEDAD ANONIMA</v>
      </c>
      <c r="H101" s="259">
        <v>3297.52</v>
      </c>
      <c r="I101" s="260">
        <f>IF(compras_mes3[[#This Row],[NETO GRAVADO]]="","",compras_mes3[[#This Row],[NETO GRAVADO]]*0.21)</f>
        <v>692.47919999999999</v>
      </c>
      <c r="J101" s="260"/>
      <c r="K101" s="260"/>
      <c r="L101" s="260"/>
      <c r="M101" s="260"/>
      <c r="N101" s="260">
        <v>115.41</v>
      </c>
      <c r="O101" s="260"/>
      <c r="P101" s="261">
        <f>SUM(compras_mes3[[#This Row],[NETO GRAVADO]:[Otros / No Grav.]])</f>
        <v>4105.4092000000001</v>
      </c>
      <c r="Q101" s="262" t="str">
        <f>IFERROR(IF(compras_mes3[[#This Row],[CUIT]]="","-",VLOOKUP(compras_mes3[[#This Row],[CUIT]],Lista_CUIT[#All],3,0)),"CUIT NO CARGADO")</f>
        <v>Autopista</v>
      </c>
      <c r="R101" s="262">
        <f>IFERROR(IF(compras_mes3[[#This Row],[CUIT]]="","-",VLOOKUP(compras_mes3[[#This Row],[CUIT]],Lista_CUIT[#All],4,0)),"CUIT NO CARGADO")</f>
        <v>0</v>
      </c>
    </row>
    <row r="102" spans="2:18" x14ac:dyDescent="0.25">
      <c r="B102" s="254">
        <v>45012</v>
      </c>
      <c r="C102" s="209">
        <v>1</v>
      </c>
      <c r="D102" s="255">
        <v>700</v>
      </c>
      <c r="E102" s="256">
        <v>871597</v>
      </c>
      <c r="F102" s="257">
        <v>30715804812</v>
      </c>
      <c r="G102" s="258" t="str">
        <f>IFERROR(IF(compras_mes3[[#This Row],[CUIT]]="","-",VLOOKUP(compras_mes3[[#This Row],[CUIT]],Lista_CUIT[#All],2,0)),"CUIT NO CARGADO")</f>
        <v>CORREDORES VIALES SOCIEDAD ANONIMA</v>
      </c>
      <c r="H102" s="259">
        <v>743.8</v>
      </c>
      <c r="I102" s="260">
        <f>IF(compras_mes3[[#This Row],[NETO GRAVADO]]="","",compras_mes3[[#This Row],[NETO GRAVADO]]*0.21)</f>
        <v>156.19799999999998</v>
      </c>
      <c r="J102" s="260"/>
      <c r="K102" s="260"/>
      <c r="L102" s="260"/>
      <c r="M102" s="260"/>
      <c r="N102" s="260">
        <v>26.03</v>
      </c>
      <c r="O102" s="260"/>
      <c r="P102" s="261">
        <f>SUM(compras_mes3[[#This Row],[NETO GRAVADO]:[Otros / No Grav.]])</f>
        <v>926.02799999999991</v>
      </c>
      <c r="Q102" s="262" t="str">
        <f>IFERROR(IF(compras_mes3[[#This Row],[CUIT]]="","-",VLOOKUP(compras_mes3[[#This Row],[CUIT]],Lista_CUIT[#All],3,0)),"CUIT NO CARGADO")</f>
        <v>Autopista</v>
      </c>
      <c r="R102" s="262">
        <f>IFERROR(IF(compras_mes3[[#This Row],[CUIT]]="","-",VLOOKUP(compras_mes3[[#This Row],[CUIT]],Lista_CUIT[#All],4,0)),"CUIT NO CARGADO")</f>
        <v>0</v>
      </c>
    </row>
    <row r="103" spans="2:18" x14ac:dyDescent="0.25">
      <c r="B103" s="228">
        <v>45013</v>
      </c>
      <c r="C103" s="41">
        <v>1</v>
      </c>
      <c r="D103" s="229">
        <v>2</v>
      </c>
      <c r="E103" s="230">
        <v>618</v>
      </c>
      <c r="F103" s="231">
        <v>20268417762</v>
      </c>
      <c r="G103" s="232" t="str">
        <f>IFERROR(IF(compras_mes3[[#This Row],[CUIT]]="","-",VLOOKUP(compras_mes3[[#This Row],[CUIT]],Lista_CUIT[#All],2,0)),"CUIT NO CARGADO")</f>
        <v>SCHIANO MORIELLO LUIS ANDRES</v>
      </c>
      <c r="H103" s="233">
        <v>90704.65</v>
      </c>
      <c r="I103" s="234">
        <f>IF(compras_mes3[[#This Row],[NETO GRAVADO]]="","",compras_mes3[[#This Row],[NETO GRAVADO]]*0.21)</f>
        <v>19047.976499999997</v>
      </c>
      <c r="J103" s="234"/>
      <c r="K103" s="234"/>
      <c r="L103" s="234"/>
      <c r="M103" s="234"/>
      <c r="N103" s="234"/>
      <c r="O103" s="234"/>
      <c r="P103" s="235">
        <f>SUM(compras_mes3[[#This Row],[NETO GRAVADO]:[Otros / No Grav.]])</f>
        <v>109752.62649999998</v>
      </c>
      <c r="Q103" s="236" t="str">
        <f>IFERROR(IF(compras_mes3[[#This Row],[CUIT]]="","-",VLOOKUP(compras_mes3[[#This Row],[CUIT]],Lista_CUIT[#All],3,0)),"CUIT NO CARGADO")</f>
        <v>Gastos Varios</v>
      </c>
      <c r="R103" s="236">
        <f>IFERROR(IF(compras_mes3[[#This Row],[CUIT]]="","-",VLOOKUP(compras_mes3[[#This Row],[CUIT]],Lista_CUIT[#All],4,0)),"CUIT NO CARGADO")</f>
        <v>0</v>
      </c>
    </row>
    <row r="104" spans="2:18" x14ac:dyDescent="0.25">
      <c r="B104" s="254">
        <v>45013</v>
      </c>
      <c r="C104" s="209">
        <v>1</v>
      </c>
      <c r="D104" s="255">
        <v>7</v>
      </c>
      <c r="E104" s="256">
        <v>767</v>
      </c>
      <c r="F104" s="257">
        <v>30712187316</v>
      </c>
      <c r="G104" s="258" t="str">
        <f>IFERROR(IF(compras_mes3[[#This Row],[CUIT]]="","-",VLOOKUP(compras_mes3[[#This Row],[CUIT]],Lista_CUIT[#All],2,0)),"CUIT NO CARGADO")</f>
        <v>ITALOMED PRODUCTOS SRL</v>
      </c>
      <c r="H104" s="259">
        <v>39239.64</v>
      </c>
      <c r="I104" s="260">
        <f>IF(compras_mes3[[#This Row],[NETO GRAVADO]]="","",compras_mes3[[#This Row],[NETO GRAVADO]]*0.21)</f>
        <v>8240.3243999999995</v>
      </c>
      <c r="J104" s="260"/>
      <c r="K104" s="260"/>
      <c r="L104" s="260"/>
      <c r="M104" s="260"/>
      <c r="N104" s="260"/>
      <c r="O104" s="260"/>
      <c r="P104" s="261">
        <f>SUM(compras_mes3[[#This Row],[NETO GRAVADO]:[Otros / No Grav.]])</f>
        <v>47479.964399999997</v>
      </c>
      <c r="Q104" s="262" t="str">
        <f>IFERROR(IF(compras_mes3[[#This Row],[CUIT]]="","-",VLOOKUP(compras_mes3[[#This Row],[CUIT]],Lista_CUIT[#All],3,0)),"CUIT NO CARGADO")</f>
        <v>Productos Ortopedicos</v>
      </c>
      <c r="R104" s="262">
        <f>IFERROR(IF(compras_mes3[[#This Row],[CUIT]]="","-",VLOOKUP(compras_mes3[[#This Row],[CUIT]],Lista_CUIT[#All],4,0)),"CUIT NO CARGADO")</f>
        <v>0</v>
      </c>
    </row>
    <row r="105" spans="2:18" x14ac:dyDescent="0.25">
      <c r="B105" s="228">
        <v>45013</v>
      </c>
      <c r="C105" s="41">
        <v>1</v>
      </c>
      <c r="D105" s="229">
        <v>5</v>
      </c>
      <c r="E105" s="230">
        <v>790</v>
      </c>
      <c r="F105" s="231">
        <v>20243132852</v>
      </c>
      <c r="G105" s="232" t="str">
        <f>IFERROR(IF(compras_mes3[[#This Row],[CUIT]]="","-",VLOOKUP(compras_mes3[[#This Row],[CUIT]],Lista_CUIT[#All],2,0)),"CUIT NO CARGADO")</f>
        <v>DIMEO LUCIANO</v>
      </c>
      <c r="H105" s="233">
        <v>35000</v>
      </c>
      <c r="I105" s="234">
        <f>IF(compras_mes3[[#This Row],[NETO GRAVADO]]="","",compras_mes3[[#This Row],[NETO GRAVADO]]*0.21)</f>
        <v>7350</v>
      </c>
      <c r="J105" s="234"/>
      <c r="K105" s="234"/>
      <c r="L105" s="234"/>
      <c r="M105" s="234"/>
      <c r="N105" s="234"/>
      <c r="O105" s="234"/>
      <c r="P105" s="235">
        <f>SUM(compras_mes3[[#This Row],[NETO GRAVADO]:[Otros / No Grav.]])</f>
        <v>42350</v>
      </c>
      <c r="Q105" s="236" t="str">
        <f>IFERROR(IF(compras_mes3[[#This Row],[CUIT]]="","-",VLOOKUP(compras_mes3[[#This Row],[CUIT]],Lista_CUIT[#All],3,0)),"CUIT NO CARGADO")</f>
        <v>GASTOS MANTENIMIENTO</v>
      </c>
      <c r="R105" s="236">
        <f>IFERROR(IF(compras_mes3[[#This Row],[CUIT]]="","-",VLOOKUP(compras_mes3[[#This Row],[CUIT]],Lista_CUIT[#All],4,0)),"CUIT NO CARGADO")</f>
        <v>0</v>
      </c>
    </row>
    <row r="106" spans="2:18" x14ac:dyDescent="0.25">
      <c r="B106" s="228">
        <v>45013</v>
      </c>
      <c r="C106" s="41">
        <v>1</v>
      </c>
      <c r="D106" s="229">
        <v>6</v>
      </c>
      <c r="E106" s="230">
        <v>876</v>
      </c>
      <c r="F106" s="231">
        <v>30716815710</v>
      </c>
      <c r="G106" s="232" t="str">
        <f>IFERROR(IF(compras_mes3[[#This Row],[CUIT]]="","-",VLOOKUP(compras_mes3[[#This Row],[CUIT]],Lista_CUIT[#All],2,0)),"CUIT NO CARGADO")</f>
        <v>PAPELERA GEOPEL SRL</v>
      </c>
      <c r="H106" s="233">
        <v>4260</v>
      </c>
      <c r="I106" s="234">
        <f>IF(compras_mes3[[#This Row],[NETO GRAVADO]]="","",compras_mes3[[#This Row],[NETO GRAVADO]]*0.21)</f>
        <v>894.6</v>
      </c>
      <c r="J106" s="234"/>
      <c r="K106" s="234"/>
      <c r="L106" s="234"/>
      <c r="M106" s="234"/>
      <c r="N106" s="234"/>
      <c r="O106" s="234"/>
      <c r="P106" s="235">
        <f>SUM(compras_mes3[[#This Row],[NETO GRAVADO]:[Otros / No Grav.]])</f>
        <v>5154.6000000000004</v>
      </c>
      <c r="Q106" s="236" t="str">
        <f>IFERROR(IF(compras_mes3[[#This Row],[CUIT]]="","-",VLOOKUP(compras_mes3[[#This Row],[CUIT]],Lista_CUIT[#All],3,0)),"CUIT NO CARGADO")</f>
        <v>PAPELERIA</v>
      </c>
      <c r="R106" s="236">
        <f>IFERROR(IF(compras_mes3[[#This Row],[CUIT]]="","-",VLOOKUP(compras_mes3[[#This Row],[CUIT]],Lista_CUIT[#All],4,0)),"CUIT NO CARGADO")</f>
        <v>0</v>
      </c>
    </row>
    <row r="107" spans="2:18" x14ac:dyDescent="0.25">
      <c r="B107" s="228">
        <v>45013</v>
      </c>
      <c r="C107" s="41">
        <v>1</v>
      </c>
      <c r="D107" s="229">
        <v>24</v>
      </c>
      <c r="E107" s="230">
        <v>8094</v>
      </c>
      <c r="F107" s="231">
        <v>30708552808</v>
      </c>
      <c r="G107" s="232" t="str">
        <f>IFERROR(IF(compras_mes3[[#This Row],[CUIT]]="","-",VLOOKUP(compras_mes3[[#This Row],[CUIT]],Lista_CUIT[#All],2,0)),"CUIT NO CARGADO")</f>
        <v>ROJO Y AMARILLO SRL</v>
      </c>
      <c r="H107" s="233">
        <v>7313.69</v>
      </c>
      <c r="I107" s="234">
        <f>IF(compras_mes3[[#This Row],[NETO GRAVADO]]="","",compras_mes3[[#This Row],[NETO GRAVADO]]*0.21)</f>
        <v>1535.8748999999998</v>
      </c>
      <c r="J107" s="234"/>
      <c r="K107" s="234"/>
      <c r="L107" s="234"/>
      <c r="M107" s="234"/>
      <c r="N107" s="234">
        <v>255.8</v>
      </c>
      <c r="O107" s="234">
        <v>650.41</v>
      </c>
      <c r="P107" s="235">
        <f>SUM(compras_mes3[[#This Row],[NETO GRAVADO]:[Otros / No Grav.]])</f>
        <v>9755.7748999999985</v>
      </c>
      <c r="Q107" s="236" t="str">
        <f>IFERROR(IF(compras_mes3[[#This Row],[CUIT]]="","-",VLOOKUP(compras_mes3[[#This Row],[CUIT]],Lista_CUIT[#All],3,0)),"CUIT NO CARGADO")</f>
        <v>COMBUSTIBLE</v>
      </c>
      <c r="R107" s="236">
        <f>IFERROR(IF(compras_mes3[[#This Row],[CUIT]]="","-",VLOOKUP(compras_mes3[[#This Row],[CUIT]],Lista_CUIT[#All],4,0)),"CUIT NO CARGADO")</f>
        <v>0</v>
      </c>
    </row>
    <row r="108" spans="2:18" x14ac:dyDescent="0.25">
      <c r="B108" s="228">
        <v>45013</v>
      </c>
      <c r="C108" s="41">
        <v>1</v>
      </c>
      <c r="D108" s="229">
        <v>6</v>
      </c>
      <c r="E108" s="230">
        <v>47572</v>
      </c>
      <c r="F108" s="231">
        <v>30710177658</v>
      </c>
      <c r="G108" s="232" t="str">
        <f>IFERROR(IF(compras_mes3[[#This Row],[CUIT]]="","-",VLOOKUP(compras_mes3[[#This Row],[CUIT]],Lista_CUIT[#All],2,0)),"CUIT NO CARGADO")</f>
        <v>TARGET MEDICAL SA</v>
      </c>
      <c r="H108" s="233">
        <v>51855</v>
      </c>
      <c r="I108" s="234">
        <f>IF(compras_mes3[[#This Row],[NETO GRAVADO]]="","",compras_mes3[[#This Row],[NETO GRAVADO]]*0.21)</f>
        <v>10889.55</v>
      </c>
      <c r="J108" s="234"/>
      <c r="K108" s="234"/>
      <c r="L108" s="234"/>
      <c r="M108" s="234"/>
      <c r="N108" s="234"/>
      <c r="O108" s="234"/>
      <c r="P108" s="235">
        <f>SUM(compras_mes3[[#This Row],[NETO GRAVADO]:[Otros / No Grav.]])</f>
        <v>62744.55</v>
      </c>
      <c r="Q108" s="236" t="str">
        <f>IFERROR(IF(compras_mes3[[#This Row],[CUIT]]="","-",VLOOKUP(compras_mes3[[#This Row],[CUIT]],Lista_CUIT[#All],3,0)),"CUIT NO CARGADO")</f>
        <v>Productos Ortopedicos</v>
      </c>
      <c r="R108" s="236">
        <f>IFERROR(IF(compras_mes3[[#This Row],[CUIT]]="","-",VLOOKUP(compras_mes3[[#This Row],[CUIT]],Lista_CUIT[#All],4,0)),"CUIT NO CARGADO")</f>
        <v>0</v>
      </c>
    </row>
    <row r="109" spans="2:18" x14ac:dyDescent="0.25">
      <c r="B109" s="254">
        <v>45013</v>
      </c>
      <c r="C109" s="264">
        <v>1</v>
      </c>
      <c r="D109" s="255">
        <v>7</v>
      </c>
      <c r="E109" s="256">
        <v>768</v>
      </c>
      <c r="F109" s="257">
        <v>30712187316</v>
      </c>
      <c r="G109" s="258" t="str">
        <f>IFERROR(IF(compras_mes3[[#This Row],[CUIT]]="","-",VLOOKUP(compras_mes3[[#This Row],[CUIT]],Lista_CUIT[#All],2,0)),"CUIT NO CARGADO")</f>
        <v>ITALOMED PRODUCTOS SRL</v>
      </c>
      <c r="H109" s="259">
        <v>39239.64</v>
      </c>
      <c r="I109" s="260">
        <f>IF(compras_mes3[[#This Row],[NETO GRAVADO]]="","",compras_mes3[[#This Row],[NETO GRAVADO]]*0.21)</f>
        <v>8240.3243999999995</v>
      </c>
      <c r="J109" s="260"/>
      <c r="K109" s="260"/>
      <c r="L109" s="260"/>
      <c r="M109" s="260"/>
      <c r="N109" s="260"/>
      <c r="O109" s="260"/>
      <c r="P109" s="261">
        <f>SUM(compras_mes3[[#This Row],[NETO GRAVADO]:[Otros / No Grav.]])</f>
        <v>47479.964399999997</v>
      </c>
      <c r="Q109" s="262" t="str">
        <f>IFERROR(IF(compras_mes3[[#This Row],[CUIT]]="","-",VLOOKUP(compras_mes3[[#This Row],[CUIT]],Lista_CUIT[#All],3,0)),"CUIT NO CARGADO")</f>
        <v>Productos Ortopedicos</v>
      </c>
      <c r="R109" s="262">
        <f>IFERROR(IF(compras_mes3[[#This Row],[CUIT]]="","-",VLOOKUP(compras_mes3[[#This Row],[CUIT]],Lista_CUIT[#All],4,0)),"CUIT NO CARGADO")</f>
        <v>0</v>
      </c>
    </row>
    <row r="110" spans="2:18" x14ac:dyDescent="0.25">
      <c r="B110" s="228">
        <v>45014</v>
      </c>
      <c r="C110" s="41">
        <v>1</v>
      </c>
      <c r="D110" s="229">
        <v>1001</v>
      </c>
      <c r="E110" s="230">
        <v>227</v>
      </c>
      <c r="F110" s="231">
        <v>30707370552</v>
      </c>
      <c r="G110" s="232" t="str">
        <f>IFERROR(IF(compras_mes3[[#This Row],[CUIT]]="","-",VLOOKUP(compras_mes3[[#This Row],[CUIT]],Lista_CUIT[#All],2,0)),"CUIT NO CARGADO")</f>
        <v>RAKE SA</v>
      </c>
      <c r="H110" s="233">
        <v>393388.42</v>
      </c>
      <c r="I110" s="234">
        <f>IF(compras_mes3[[#This Row],[NETO GRAVADO]]="","",compras_mes3[[#This Row],[NETO GRAVADO]]*0.21)</f>
        <v>82611.568199999994</v>
      </c>
      <c r="J110" s="234"/>
      <c r="K110" s="234"/>
      <c r="L110" s="234"/>
      <c r="M110" s="234"/>
      <c r="N110" s="234"/>
      <c r="O110" s="234"/>
      <c r="P110" s="235">
        <f>SUM(compras_mes3[[#This Row],[NETO GRAVADO]:[Otros / No Grav.]])</f>
        <v>475999.98819999996</v>
      </c>
      <c r="Q110" s="236" t="str">
        <f>IFERROR(IF(compras_mes3[[#This Row],[CUIT]]="","-",VLOOKUP(compras_mes3[[#This Row],[CUIT]],Lista_CUIT[#All],3,0)),"CUIT NO CARGADO")</f>
        <v>Alquileres</v>
      </c>
      <c r="R110" s="236">
        <f>IFERROR(IF(compras_mes3[[#This Row],[CUIT]]="","-",VLOOKUP(compras_mes3[[#This Row],[CUIT]],Lista_CUIT[#All],4,0)),"CUIT NO CARGADO")</f>
        <v>0</v>
      </c>
    </row>
    <row r="111" spans="2:18" x14ac:dyDescent="0.25">
      <c r="B111" s="228">
        <v>45014</v>
      </c>
      <c r="C111" s="41">
        <v>1</v>
      </c>
      <c r="D111" s="229">
        <v>2</v>
      </c>
      <c r="E111" s="230">
        <v>7222</v>
      </c>
      <c r="F111" s="231">
        <v>30694549817</v>
      </c>
      <c r="G111" s="232" t="str">
        <f>IFERROR(IF(compras_mes3[[#This Row],[CUIT]]="","-",VLOOKUP(compras_mes3[[#This Row],[CUIT]],Lista_CUIT[#All],2,0)),"CUIT NO CARGADO")</f>
        <v>DISEÑOS JERY SRL</v>
      </c>
      <c r="H111" s="233">
        <v>346100</v>
      </c>
      <c r="I111" s="234">
        <f>IF(compras_mes3[[#This Row],[NETO GRAVADO]]="","",compras_mes3[[#This Row],[NETO GRAVADO]]*0.21)</f>
        <v>72681</v>
      </c>
      <c r="J111" s="234"/>
      <c r="K111" s="234"/>
      <c r="L111" s="234"/>
      <c r="M111" s="234"/>
      <c r="N111" s="234"/>
      <c r="O111" s="234"/>
      <c r="P111" s="235">
        <f>SUM(compras_mes3[[#This Row],[NETO GRAVADO]:[Otros / No Grav.]])</f>
        <v>418781</v>
      </c>
      <c r="Q111" s="236" t="str">
        <f>IFERROR(IF(compras_mes3[[#This Row],[CUIT]]="","-",VLOOKUP(compras_mes3[[#This Row],[CUIT]],Lista_CUIT[#All],3,0)),"CUIT NO CARGADO")</f>
        <v>Productos Ortopedicos</v>
      </c>
      <c r="R111" s="236">
        <f>IFERROR(IF(compras_mes3[[#This Row],[CUIT]]="","-",VLOOKUP(compras_mes3[[#This Row],[CUIT]],Lista_CUIT[#All],4,0)),"CUIT NO CARGADO")</f>
        <v>0</v>
      </c>
    </row>
    <row r="112" spans="2:18" x14ac:dyDescent="0.25">
      <c r="B112" s="228">
        <v>45014</v>
      </c>
      <c r="C112" s="41">
        <v>1</v>
      </c>
      <c r="D112" s="229">
        <v>16</v>
      </c>
      <c r="E112" s="230">
        <v>18780</v>
      </c>
      <c r="F112" s="231">
        <v>30657715383</v>
      </c>
      <c r="G112" s="232" t="str">
        <f>IFERROR(IF(compras_mes3[[#This Row],[CUIT]]="","-",VLOOKUP(compras_mes3[[#This Row],[CUIT]],Lista_CUIT[#All],2,0)),"CUIT NO CARGADO")</f>
        <v>MADERERA LLAVALLOL SA</v>
      </c>
      <c r="H112" s="233">
        <v>109131.24</v>
      </c>
      <c r="I112" s="234">
        <f>IF(compras_mes3[[#This Row],[NETO GRAVADO]]="","",compras_mes3[[#This Row],[NETO GRAVADO]]*0.21)</f>
        <v>22917.560399999998</v>
      </c>
      <c r="J112" s="234"/>
      <c r="K112" s="234"/>
      <c r="L112" s="234"/>
      <c r="M112" s="234"/>
      <c r="N112" s="234">
        <v>3819.59</v>
      </c>
      <c r="O112" s="234"/>
      <c r="P112" s="235">
        <f>SUM(compras_mes3[[#This Row],[NETO GRAVADO]:[Otros / No Grav.]])</f>
        <v>135868.3904</v>
      </c>
      <c r="Q112" s="236" t="str">
        <f>IFERROR(IF(compras_mes3[[#This Row],[CUIT]]="","-",VLOOKUP(compras_mes3[[#This Row],[CUIT]],Lista_CUIT[#All],3,0)),"CUIT NO CARGADO")</f>
        <v>GASTOS ADMINISTRATIVOS</v>
      </c>
      <c r="R112" s="236">
        <f>IFERROR(IF(compras_mes3[[#This Row],[CUIT]]="","-",VLOOKUP(compras_mes3[[#This Row],[CUIT]],Lista_CUIT[#All],4,0)),"CUIT NO CARGADO")</f>
        <v>0</v>
      </c>
    </row>
    <row r="113" spans="2:18" x14ac:dyDescent="0.25">
      <c r="B113" s="254">
        <v>45014</v>
      </c>
      <c r="C113" s="209">
        <v>1</v>
      </c>
      <c r="D113" s="255">
        <v>23</v>
      </c>
      <c r="E113" s="256">
        <v>1080356</v>
      </c>
      <c r="F113" s="257">
        <v>30703088534</v>
      </c>
      <c r="G113" s="258" t="str">
        <f>IFERROR(IF(compras_mes3[[#This Row],[CUIT]]="","-",VLOOKUP(compras_mes3[[#This Row],[CUIT]],Lista_CUIT[#All],2,0)),"CUIT NO CARGADO")</f>
        <v>MERCADO LIBRE SRL</v>
      </c>
      <c r="H113" s="259">
        <v>9679.69</v>
      </c>
      <c r="I113" s="260">
        <f>IF(compras_mes3[[#This Row],[NETO GRAVADO]]="","",compras_mes3[[#This Row],[NETO GRAVADO]]*0.21)</f>
        <v>2032.7348999999999</v>
      </c>
      <c r="J113" s="260"/>
      <c r="K113" s="260"/>
      <c r="L113" s="260"/>
      <c r="M113" s="260"/>
      <c r="N113" s="260"/>
      <c r="O113" s="260">
        <v>629.17999999999995</v>
      </c>
      <c r="P113" s="261">
        <f>SUM(compras_mes3[[#This Row],[NETO GRAVADO]:[Otros / No Grav.]])</f>
        <v>12341.6049</v>
      </c>
      <c r="Q113" s="262" t="str">
        <f>IFERROR(IF(compras_mes3[[#This Row],[CUIT]]="","-",VLOOKUP(compras_mes3[[#This Row],[CUIT]],Lista_CUIT[#All],3,0)),"CUIT NO CARGADO")</f>
        <v>GASTOS COMERCIALIZACION</v>
      </c>
      <c r="R113" s="262">
        <f>IFERROR(IF(compras_mes3[[#This Row],[CUIT]]="","-",VLOOKUP(compras_mes3[[#This Row],[CUIT]],Lista_CUIT[#All],4,0)),"CUIT NO CARGADO")</f>
        <v>0</v>
      </c>
    </row>
    <row r="114" spans="2:18" x14ac:dyDescent="0.25">
      <c r="B114" s="228">
        <v>45015</v>
      </c>
      <c r="C114" s="41">
        <v>1</v>
      </c>
      <c r="D114" s="229">
        <v>3</v>
      </c>
      <c r="E114" s="230">
        <v>7677</v>
      </c>
      <c r="F114" s="231">
        <v>20045615473</v>
      </c>
      <c r="G114" s="232" t="str">
        <f>IFERROR(IF(compras_mes3[[#This Row],[CUIT]]="","-",VLOOKUP(compras_mes3[[#This Row],[CUIT]],Lista_CUIT[#All],2,0)),"CUIT NO CARGADO")</f>
        <v xml:space="preserve">DI FEO HUGO PASCUAL </v>
      </c>
      <c r="H114" s="233">
        <v>7660</v>
      </c>
      <c r="I114" s="234">
        <f>IF(compras_mes3[[#This Row],[NETO GRAVADO]]="","",compras_mes3[[#This Row],[NETO GRAVADO]]*0.21)</f>
        <v>1608.6</v>
      </c>
      <c r="J114" s="234"/>
      <c r="K114" s="234"/>
      <c r="L114" s="234"/>
      <c r="M114" s="234"/>
      <c r="N114" s="234"/>
      <c r="O114" s="234"/>
      <c r="P114" s="235">
        <f>SUM(compras_mes3[[#This Row],[NETO GRAVADO]:[Otros / No Grav.]])</f>
        <v>9268.6</v>
      </c>
      <c r="Q114" s="236" t="str">
        <f>IFERROR(IF(compras_mes3[[#This Row],[CUIT]]="","-",VLOOKUP(compras_mes3[[#This Row],[CUIT]],Lista_CUIT[#All],3,0)),"CUIT NO CARGADO")</f>
        <v>Productos Ortopedicos</v>
      </c>
      <c r="R114" s="236">
        <f>IFERROR(IF(compras_mes3[[#This Row],[CUIT]]="","-",VLOOKUP(compras_mes3[[#This Row],[CUIT]],Lista_CUIT[#All],4,0)),"CUIT NO CARGADO")</f>
        <v>0</v>
      </c>
    </row>
    <row r="115" spans="2:18" x14ac:dyDescent="0.25">
      <c r="B115" s="228">
        <v>45015</v>
      </c>
      <c r="C115" s="41">
        <v>1</v>
      </c>
      <c r="D115" s="229">
        <v>3</v>
      </c>
      <c r="E115" s="230">
        <v>7680</v>
      </c>
      <c r="F115" s="231">
        <v>20045615473</v>
      </c>
      <c r="G115" s="232" t="str">
        <f>IFERROR(IF(compras_mes3[[#This Row],[CUIT]]="","-",VLOOKUP(compras_mes3[[#This Row],[CUIT]],Lista_CUIT[#All],2,0)),"CUIT NO CARGADO")</f>
        <v xml:space="preserve">DI FEO HUGO PASCUAL </v>
      </c>
      <c r="H115" s="233">
        <v>22530</v>
      </c>
      <c r="I115" s="234">
        <f>IF(compras_mes3[[#This Row],[NETO GRAVADO]]="","",compras_mes3[[#This Row],[NETO GRAVADO]]*0.21)</f>
        <v>4731.3</v>
      </c>
      <c r="J115" s="234"/>
      <c r="K115" s="234"/>
      <c r="L115" s="234"/>
      <c r="M115" s="234"/>
      <c r="N115" s="234"/>
      <c r="O115" s="234"/>
      <c r="P115" s="235">
        <f>SUM(compras_mes3[[#This Row],[NETO GRAVADO]:[Otros / No Grav.]])</f>
        <v>27261.3</v>
      </c>
      <c r="Q115" s="236" t="str">
        <f>IFERROR(IF(compras_mes3[[#This Row],[CUIT]]="","-",VLOOKUP(compras_mes3[[#This Row],[CUIT]],Lista_CUIT[#All],3,0)),"CUIT NO CARGADO")</f>
        <v>Productos Ortopedicos</v>
      </c>
      <c r="R115" s="236">
        <f>IFERROR(IF(compras_mes3[[#This Row],[CUIT]]="","-",VLOOKUP(compras_mes3[[#This Row],[CUIT]],Lista_CUIT[#All],4,0)),"CUIT NO CARGADO")</f>
        <v>0</v>
      </c>
    </row>
    <row r="116" spans="2:18" x14ac:dyDescent="0.25">
      <c r="B116" s="228">
        <v>45015</v>
      </c>
      <c r="C116" s="41">
        <v>1</v>
      </c>
      <c r="D116" s="229">
        <v>7</v>
      </c>
      <c r="E116" s="230">
        <v>26612</v>
      </c>
      <c r="F116" s="231">
        <v>20271532483</v>
      </c>
      <c r="G116" s="232" t="str">
        <f>IFERROR(IF(compras_mes3[[#This Row],[CUIT]]="","-",VLOOKUP(compras_mes3[[#This Row],[CUIT]],Lista_CUIT[#All],2,0)),"CUIT NO CARGADO")</f>
        <v>DIEGO MARTIN RIOS</v>
      </c>
      <c r="H116" s="233">
        <v>794300.68</v>
      </c>
      <c r="I116" s="234">
        <f>IF(compras_mes3[[#This Row],[NETO GRAVADO]]="","",compras_mes3[[#This Row],[NETO GRAVADO]]*0.21)</f>
        <v>166803.1428</v>
      </c>
      <c r="J116" s="234"/>
      <c r="K116" s="234"/>
      <c r="L116" s="234"/>
      <c r="M116" s="234"/>
      <c r="N116" s="234">
        <v>27800.52</v>
      </c>
      <c r="O116" s="234"/>
      <c r="P116" s="235">
        <f>SUM(compras_mes3[[#This Row],[NETO GRAVADO]:[Otros / No Grav.]])</f>
        <v>988904.3428000001</v>
      </c>
      <c r="Q116" s="236" t="str">
        <f>IFERROR(IF(compras_mes3[[#This Row],[CUIT]]="","-",VLOOKUP(compras_mes3[[#This Row],[CUIT]],Lista_CUIT[#All],3,0)),"CUIT NO CARGADO")</f>
        <v>Productos Ortopedicos</v>
      </c>
      <c r="R116" s="236">
        <f>IFERROR(IF(compras_mes3[[#This Row],[CUIT]]="","-",VLOOKUP(compras_mes3[[#This Row],[CUIT]],Lista_CUIT[#All],4,0)),"CUIT NO CARGADO")</f>
        <v>0</v>
      </c>
    </row>
    <row r="117" spans="2:18" x14ac:dyDescent="0.25">
      <c r="B117" s="228">
        <v>45015</v>
      </c>
      <c r="C117" s="41">
        <v>1</v>
      </c>
      <c r="D117" s="229">
        <v>6</v>
      </c>
      <c r="E117" s="230">
        <v>47631</v>
      </c>
      <c r="F117" s="231">
        <v>30710177658</v>
      </c>
      <c r="G117" s="232" t="str">
        <f>IFERROR(IF(compras_mes3[[#This Row],[CUIT]]="","-",VLOOKUP(compras_mes3[[#This Row],[CUIT]],Lista_CUIT[#All],2,0)),"CUIT NO CARGADO")</f>
        <v>TARGET MEDICAL SA</v>
      </c>
      <c r="H117" s="233">
        <v>74350</v>
      </c>
      <c r="I117" s="234">
        <f>IF(compras_mes3[[#This Row],[NETO GRAVADO]]="","",compras_mes3[[#This Row],[NETO GRAVADO]]*0.21)</f>
        <v>15613.5</v>
      </c>
      <c r="J117" s="234"/>
      <c r="K117" s="234"/>
      <c r="L117" s="234"/>
      <c r="M117" s="234"/>
      <c r="N117" s="234"/>
      <c r="O117" s="234"/>
      <c r="P117" s="235">
        <f>SUM(compras_mes3[[#This Row],[NETO GRAVADO]:[Otros / No Grav.]])</f>
        <v>89963.5</v>
      </c>
      <c r="Q117" s="236" t="str">
        <f>IFERROR(IF(compras_mes3[[#This Row],[CUIT]]="","-",VLOOKUP(compras_mes3[[#This Row],[CUIT]],Lista_CUIT[#All],3,0)),"CUIT NO CARGADO")</f>
        <v>Productos Ortopedicos</v>
      </c>
      <c r="R117" s="236">
        <f>IFERROR(IF(compras_mes3[[#This Row],[CUIT]]="","-",VLOOKUP(compras_mes3[[#This Row],[CUIT]],Lista_CUIT[#All],4,0)),"CUIT NO CARGADO")</f>
        <v>0</v>
      </c>
    </row>
    <row r="118" spans="2:18" x14ac:dyDescent="0.25">
      <c r="B118" s="228">
        <v>45015</v>
      </c>
      <c r="C118" s="41">
        <v>1</v>
      </c>
      <c r="D118" s="229">
        <v>5</v>
      </c>
      <c r="E118" s="230">
        <v>140691</v>
      </c>
      <c r="F118" s="231">
        <v>30598960093</v>
      </c>
      <c r="G118" s="232" t="str">
        <f>IFERROR(IF(compras_mes3[[#This Row],[CUIT]]="","-",VLOOKUP(compras_mes3[[#This Row],[CUIT]],Lista_CUIT[#All],2,0)),"CUIT NO CARGADO")</f>
        <v>SILVESTRIN FABRIS SRL</v>
      </c>
      <c r="H118" s="233">
        <v>37315.85</v>
      </c>
      <c r="I118" s="234">
        <f>IF(compras_mes3[[#This Row],[NETO GRAVADO]]="","",compras_mes3[[#This Row],[NETO GRAVADO]]*0.21)</f>
        <v>7836.3284999999996</v>
      </c>
      <c r="J118" s="234"/>
      <c r="K118" s="234"/>
      <c r="L118" s="234"/>
      <c r="M118" s="234"/>
      <c r="N118" s="234">
        <v>1306.05</v>
      </c>
      <c r="O118" s="234"/>
      <c r="P118" s="235">
        <f>SUM(compras_mes3[[#This Row],[NETO GRAVADO]:[Otros / No Grav.]])</f>
        <v>46458.228499999997</v>
      </c>
      <c r="Q118" s="236" t="str">
        <f>IFERROR(IF(compras_mes3[[#This Row],[CUIT]]="","-",VLOOKUP(compras_mes3[[#This Row],[CUIT]],Lista_CUIT[#All],3,0)),"CUIT NO CARGADO")</f>
        <v>Productos Ortopedicos</v>
      </c>
      <c r="R118" s="236">
        <f>IFERROR(IF(compras_mes3[[#This Row],[CUIT]]="","-",VLOOKUP(compras_mes3[[#This Row],[CUIT]],Lista_CUIT[#All],4,0)),"CUIT NO CARGADO")</f>
        <v>0</v>
      </c>
    </row>
    <row r="119" spans="2:18" x14ac:dyDescent="0.25">
      <c r="B119" s="40">
        <v>45016</v>
      </c>
      <c r="C119" s="41">
        <v>1</v>
      </c>
      <c r="D119" s="42">
        <v>7</v>
      </c>
      <c r="E119" s="43">
        <v>373</v>
      </c>
      <c r="F119" s="44">
        <v>30711328498</v>
      </c>
      <c r="G119" s="45" t="str">
        <f>IFERROR(IF(compras_mes3[[#This Row],[CUIT]]="","-",VLOOKUP(compras_mes3[[#This Row],[CUIT]],Lista_CUIT[#All],2,0)),"CUIT NO CARGADO")</f>
        <v>ESPOSITO FRANCISCO ANT Y OT SH</v>
      </c>
      <c r="H119" s="46">
        <v>25400</v>
      </c>
      <c r="I119" s="85">
        <f>IF(compras_mes3[[#This Row],[NETO GRAVADO]]="","",compras_mes3[[#This Row],[NETO GRAVADO]]*0.21)</f>
        <v>5334</v>
      </c>
      <c r="J119" s="85"/>
      <c r="K119" s="85"/>
      <c r="L119" s="85"/>
      <c r="M119" s="85"/>
      <c r="N119" s="85"/>
      <c r="O119" s="85"/>
      <c r="P119" s="48">
        <f>SUM(compras_mes3[[#This Row],[NETO GRAVADO]:[Otros / No Grav.]])</f>
        <v>30734</v>
      </c>
      <c r="Q119" s="49" t="str">
        <f>IFERROR(IF(compras_mes3[[#This Row],[CUIT]]="","-",VLOOKUP(compras_mes3[[#This Row],[CUIT]],Lista_CUIT[#All],3,0)),"CUIT NO CARGADO")</f>
        <v>GASTOS MANTENIMIENTO</v>
      </c>
      <c r="R119" s="49">
        <f>IFERROR(IF(compras_mes3[[#This Row],[CUIT]]="","-",VLOOKUP(compras_mes3[[#This Row],[CUIT]],Lista_CUIT[#All],4,0)),"CUIT NO CARGADO")</f>
        <v>0</v>
      </c>
    </row>
    <row r="120" spans="2:18" x14ac:dyDescent="0.25">
      <c r="B120" s="254">
        <v>45016</v>
      </c>
      <c r="C120" s="209">
        <v>1</v>
      </c>
      <c r="D120" s="255">
        <v>1</v>
      </c>
      <c r="E120" s="256">
        <v>577</v>
      </c>
      <c r="F120" s="257">
        <v>30715048066</v>
      </c>
      <c r="G120" s="258" t="str">
        <f>IFERROR(IF(compras_mes3[[#This Row],[CUIT]]="","-",VLOOKUP(compras_mes3[[#This Row],[CUIT]],Lista_CUIT[#All],2,0)),"CUIT NO CARGADO")</f>
        <v>ROLLS Y EMPANADAS SA</v>
      </c>
      <c r="H120" s="259">
        <v>300340</v>
      </c>
      <c r="I120" s="260">
        <f>IF(compras_mes3[[#This Row],[NETO GRAVADO]]="","",compras_mes3[[#This Row],[NETO GRAVADO]]*0.21)</f>
        <v>63071.399999999994</v>
      </c>
      <c r="J120" s="260"/>
      <c r="K120" s="260"/>
      <c r="L120" s="260"/>
      <c r="M120" s="260"/>
      <c r="N120" s="260"/>
      <c r="O120" s="260"/>
      <c r="P120" s="261">
        <f>SUM(compras_mes3[[#This Row],[NETO GRAVADO]:[Otros / No Grav.]])</f>
        <v>363411.4</v>
      </c>
      <c r="Q120" s="262" t="str">
        <f>IFERROR(IF(compras_mes3[[#This Row],[CUIT]]="","-",VLOOKUP(compras_mes3[[#This Row],[CUIT]],Lista_CUIT[#All],3,0)),"CUIT NO CARGADO")</f>
        <v>Catering</v>
      </c>
      <c r="R120" s="262">
        <f>IFERROR(IF(compras_mes3[[#This Row],[CUIT]]="","-",VLOOKUP(compras_mes3[[#This Row],[CUIT]],Lista_CUIT[#All],4,0)),"CUIT NO CARGADO")</f>
        <v>0</v>
      </c>
    </row>
    <row r="121" spans="2:18" x14ac:dyDescent="0.25">
      <c r="B121" s="254">
        <v>45016</v>
      </c>
      <c r="C121" s="209">
        <v>1</v>
      </c>
      <c r="D121" s="255">
        <v>3</v>
      </c>
      <c r="E121" s="256">
        <v>2886</v>
      </c>
      <c r="F121" s="257">
        <v>27944827345</v>
      </c>
      <c r="G121" s="258" t="str">
        <f>IFERROR(IF(compras_mes3[[#This Row],[CUIT]]="","-",VLOOKUP(compras_mes3[[#This Row],[CUIT]],Lista_CUIT[#All],2,0)),"CUIT NO CARGADO")</f>
        <v>ALONZO SANTANDER MARLENE</v>
      </c>
      <c r="H121" s="259">
        <v>1652.89</v>
      </c>
      <c r="I121" s="260">
        <f>IF(compras_mes3[[#This Row],[NETO GRAVADO]]="","",compras_mes3[[#This Row],[NETO GRAVADO]]*0.21)</f>
        <v>347.1069</v>
      </c>
      <c r="J121" s="260"/>
      <c r="K121" s="260"/>
      <c r="L121" s="260"/>
      <c r="M121" s="260"/>
      <c r="N121" s="260"/>
      <c r="O121" s="260"/>
      <c r="P121" s="261">
        <f>SUM(compras_mes3[[#This Row],[NETO GRAVADO]:[Otros / No Grav.]])</f>
        <v>1999.9969000000001</v>
      </c>
      <c r="Q121" s="262" t="str">
        <f>IFERROR(IF(compras_mes3[[#This Row],[CUIT]]="","-",VLOOKUP(compras_mes3[[#This Row],[CUIT]],Lista_CUIT[#All],3,0)),"CUIT NO CARGADO")</f>
        <v>GASTOS MANTENIMIENTO</v>
      </c>
      <c r="R121" s="262">
        <f>IFERROR(IF(compras_mes3[[#This Row],[CUIT]]="","-",VLOOKUP(compras_mes3[[#This Row],[CUIT]],Lista_CUIT[#All],4,0)),"CUIT NO CARGADO")</f>
        <v>0</v>
      </c>
    </row>
    <row r="122" spans="2:18" x14ac:dyDescent="0.25">
      <c r="B122" s="40">
        <v>45016</v>
      </c>
      <c r="C122" s="41">
        <v>1</v>
      </c>
      <c r="D122" s="42">
        <v>2</v>
      </c>
      <c r="E122" s="43">
        <v>8102</v>
      </c>
      <c r="F122" s="44">
        <v>30714331082</v>
      </c>
      <c r="G122" s="45" t="str">
        <f>IFERROR(IF(compras_mes3[[#This Row],[CUIT]]="","-",VLOOKUP(compras_mes3[[#This Row],[CUIT]],Lista_CUIT[#All],2,0)),"CUIT NO CARGADO")</f>
        <v>ORTOPEDIA CASA ESCALADA SRL</v>
      </c>
      <c r="H122" s="46">
        <v>84913.01</v>
      </c>
      <c r="I122" s="85">
        <f>IF(compras_mes3[[#This Row],[NETO GRAVADO]]="","",compras_mes3[[#This Row],[NETO GRAVADO]]*0.21)</f>
        <v>17831.732099999997</v>
      </c>
      <c r="J122" s="85"/>
      <c r="K122" s="85"/>
      <c r="L122" s="85"/>
      <c r="M122" s="85"/>
      <c r="N122" s="85"/>
      <c r="O122" s="85"/>
      <c r="P122" s="48">
        <f>SUM(compras_mes3[[#This Row],[NETO GRAVADO]:[Otros / No Grav.]])</f>
        <v>102744.74209999999</v>
      </c>
      <c r="Q122" s="49" t="str">
        <f>IFERROR(IF(compras_mes3[[#This Row],[CUIT]]="","-",VLOOKUP(compras_mes3[[#This Row],[CUIT]],Lista_CUIT[#All],3,0)),"CUIT NO CARGADO")</f>
        <v>Productos Ortopedicos</v>
      </c>
      <c r="R122" s="49">
        <f>IFERROR(IF(compras_mes3[[#This Row],[CUIT]]="","-",VLOOKUP(compras_mes3[[#This Row],[CUIT]],Lista_CUIT[#All],4,0)),"CUIT NO CARGADO")</f>
        <v>0</v>
      </c>
    </row>
    <row r="123" spans="2:18" x14ac:dyDescent="0.25">
      <c r="B123" s="254">
        <v>45016</v>
      </c>
      <c r="C123" s="209">
        <v>1</v>
      </c>
      <c r="D123" s="255">
        <v>3</v>
      </c>
      <c r="E123" s="256">
        <v>94836</v>
      </c>
      <c r="F123" s="257">
        <v>30710657250</v>
      </c>
      <c r="G123" s="258" t="str">
        <f>IFERROR(IF(compras_mes3[[#This Row],[CUIT]]="","-",VLOOKUP(compras_mes3[[#This Row],[CUIT]],Lista_CUIT[#All],2,0)),"CUIT NO CARGADO")</f>
        <v>FRATERNA COOPERRATIVA DE PROVISION DE SERVICIOS LIMITADA</v>
      </c>
      <c r="H123" s="259">
        <v>2450</v>
      </c>
      <c r="I123" s="260">
        <f>IF(compras_mes3[[#This Row],[NETO GRAVADO]]="","",compras_mes3[[#This Row],[NETO GRAVADO]]*0.21)</f>
        <v>514.5</v>
      </c>
      <c r="J123" s="260"/>
      <c r="K123" s="260"/>
      <c r="L123" s="260"/>
      <c r="M123" s="260"/>
      <c r="N123" s="260"/>
      <c r="O123" s="260"/>
      <c r="P123" s="261">
        <f>SUM(compras_mes3[[#This Row],[NETO GRAVADO]:[Otros / No Grav.]])</f>
        <v>2964.5</v>
      </c>
      <c r="Q123" s="262" t="str">
        <f>IFERROR(IF(compras_mes3[[#This Row],[CUIT]]="","-",VLOOKUP(compras_mes3[[#This Row],[CUIT]],Lista_CUIT[#All],3,0)),"CUIT NO CARGADO")</f>
        <v>GASTOS ADMINISTRATIVOS</v>
      </c>
      <c r="R123" s="262">
        <f>IFERROR(IF(compras_mes3[[#This Row],[CUIT]]="","-",VLOOKUP(compras_mes3[[#This Row],[CUIT]],Lista_CUIT[#All],4,0)),"CUIT NO CARGADO")</f>
        <v>0</v>
      </c>
    </row>
    <row r="124" spans="2:18" x14ac:dyDescent="0.25">
      <c r="B124" s="40">
        <v>45016</v>
      </c>
      <c r="C124" s="41">
        <v>1</v>
      </c>
      <c r="D124" s="42">
        <v>20</v>
      </c>
      <c r="E124" s="43">
        <v>143564</v>
      </c>
      <c r="F124" s="44">
        <v>30696850972</v>
      </c>
      <c r="G124" s="45" t="str">
        <f>IFERROR(IF(compras_mes3[[#This Row],[CUIT]]="","-",VLOOKUP(compras_mes3[[#This Row],[CUIT]],Lista_CUIT[#All],2,0)),"CUIT NO CARGADO")</f>
        <v>CPS COMUNICACIONES SA</v>
      </c>
      <c r="H124" s="46">
        <v>3202.25</v>
      </c>
      <c r="I124" s="85"/>
      <c r="J124" s="85">
        <f>compras_mes3[[#This Row],[NETO GRAVADO]]*0.27</f>
        <v>864.60750000000007</v>
      </c>
      <c r="K124" s="85"/>
      <c r="L124" s="85"/>
      <c r="M124" s="85"/>
      <c r="N124" s="85">
        <v>112.08</v>
      </c>
      <c r="O124" s="85"/>
      <c r="P124" s="48">
        <f>SUM(compras_mes3[[#This Row],[NETO GRAVADO]:[Otros / No Grav.]])</f>
        <v>4178.9375</v>
      </c>
      <c r="Q124" s="49" t="str">
        <f>IFERROR(IF(compras_mes3[[#This Row],[CUIT]]="","-",VLOOKUP(compras_mes3[[#This Row],[CUIT]],Lista_CUIT[#All],3,0)),"CUIT NO CARGADO")</f>
        <v>SERVICIO DE TELEFONIA</v>
      </c>
      <c r="R124" s="49">
        <f>IFERROR(IF(compras_mes3[[#This Row],[CUIT]]="","-",VLOOKUP(compras_mes3[[#This Row],[CUIT]],Lista_CUIT[#All],4,0)),"CUIT NO CARGADO")</f>
        <v>0</v>
      </c>
    </row>
    <row r="125" spans="2:18" x14ac:dyDescent="0.25">
      <c r="B125" s="254">
        <v>45016</v>
      </c>
      <c r="C125" s="209">
        <v>1</v>
      </c>
      <c r="D125" s="255">
        <v>600</v>
      </c>
      <c r="E125" s="256">
        <v>478525</v>
      </c>
      <c r="F125" s="257">
        <v>30692975533</v>
      </c>
      <c r="G125" s="258" t="str">
        <f>IFERROR(IF(compras_mes3[[#This Row],[CUIT]]="","-",VLOOKUP(compras_mes3[[#This Row],[CUIT]],Lista_CUIT[#All],2,0)),"CUIT NO CARGADO")</f>
        <v>NARDOMARINO EZEQUIEL EDUARDO</v>
      </c>
      <c r="H125" s="259">
        <v>330.58</v>
      </c>
      <c r="I125" s="260">
        <f>IF(compras_mes3[[#This Row],[NETO GRAVADO]]="","",compras_mes3[[#This Row],[NETO GRAVADO]]*0.21)</f>
        <v>69.42179999999999</v>
      </c>
      <c r="J125" s="260"/>
      <c r="K125" s="260"/>
      <c r="L125" s="260"/>
      <c r="M125" s="260"/>
      <c r="N125" s="260"/>
      <c r="O125" s="260"/>
      <c r="P125" s="261">
        <f>SUM(compras_mes3[[#This Row],[NETO GRAVADO]:[Otros / No Grav.]])</f>
        <v>400.0018</v>
      </c>
      <c r="Q125" s="262" t="str">
        <f>IFERROR(IF(compras_mes3[[#This Row],[CUIT]]="","-",VLOOKUP(compras_mes3[[#This Row],[CUIT]],Lista_CUIT[#All],3,0)),"CUIT NO CARGADO")</f>
        <v>FLETE</v>
      </c>
      <c r="R125" s="262">
        <f>IFERROR(IF(compras_mes3[[#This Row],[CUIT]]="","-",VLOOKUP(compras_mes3[[#This Row],[CUIT]],Lista_CUIT[#All],4,0)),"CUIT NO CARGADO")</f>
        <v>0</v>
      </c>
    </row>
    <row r="126" spans="2:18" x14ac:dyDescent="0.25">
      <c r="B126" s="254">
        <v>45016</v>
      </c>
      <c r="C126" s="209">
        <v>1</v>
      </c>
      <c r="D126" s="255">
        <v>6</v>
      </c>
      <c r="E126" s="256">
        <v>13897668</v>
      </c>
      <c r="F126" s="257">
        <v>30620177497</v>
      </c>
      <c r="G126" s="258" t="str">
        <f>IFERROR(IF(compras_mes3[[#This Row],[CUIT]]="","-",VLOOKUP(compras_mes3[[#This Row],[CUIT]],Lista_CUIT[#All],2,0)),"CUIT NO CARGADO")</f>
        <v>POSNET SOCIEDAD DE RESPONSABILIDAD LIMITADA</v>
      </c>
      <c r="H126" s="259">
        <v>3968</v>
      </c>
      <c r="I126" s="260">
        <f>IF(compras_mes3[[#This Row],[NETO GRAVADO]]="","",compras_mes3[[#This Row],[NETO GRAVADO]]*0.21)</f>
        <v>833.28</v>
      </c>
      <c r="J126" s="260"/>
      <c r="K126" s="260"/>
      <c r="L126" s="260"/>
      <c r="M126" s="260"/>
      <c r="N126" s="260">
        <v>257.92</v>
      </c>
      <c r="O126" s="260"/>
      <c r="P126" s="261">
        <f>SUM(compras_mes3[[#This Row],[NETO GRAVADO]:[Otros / No Grav.]])</f>
        <v>5059.2</v>
      </c>
      <c r="Q126" s="262" t="str">
        <f>IFERROR(IF(compras_mes3[[#This Row],[CUIT]]="","-",VLOOKUP(compras_mes3[[#This Row],[CUIT]],Lista_CUIT[#All],3,0)),"CUIT NO CARGADO")</f>
        <v>GASTOS VARIOS</v>
      </c>
      <c r="R126" s="262">
        <f>IFERROR(IF(compras_mes3[[#This Row],[CUIT]]="","-",VLOOKUP(compras_mes3[[#This Row],[CUIT]],Lista_CUIT[#All],4,0)),"CUIT NO CARGADO")</f>
        <v>0</v>
      </c>
    </row>
    <row r="127" spans="2:18" ht="18" customHeight="1" x14ac:dyDescent="0.25">
      <c r="B127" s="96" t="s">
        <v>110</v>
      </c>
      <c r="C127" s="96"/>
      <c r="D127" s="96"/>
      <c r="E127" s="96"/>
      <c r="F127" s="96"/>
      <c r="G127" s="97"/>
      <c r="H127" s="98">
        <f>SUBTOTAL(109,compras_mes3[NETO GRAVADO])</f>
        <v>15943602.02</v>
      </c>
      <c r="I127" s="98">
        <f>SUBTOTAL(109,compras_mes3[IVA 21 %])</f>
        <v>2666907.7097999989</v>
      </c>
      <c r="J127" s="98">
        <f>SUBTOTAL(109,compras_mes3[IVA 27%])</f>
        <v>4017.0762000000004</v>
      </c>
      <c r="K127" s="98">
        <f>SUBTOTAL(109,compras_mes3[IVA 10,5%])</f>
        <v>339062.1606</v>
      </c>
      <c r="L127" s="98">
        <f>SUBTOTAL(109,compras_mes3[PERC. IVA])</f>
        <v>592.13</v>
      </c>
      <c r="M127" s="98">
        <f>SUBTOTAL(109,compras_mes3[PERC IIBB 
BS AS])</f>
        <v>0</v>
      </c>
      <c r="N127" s="98">
        <f>SUBTOTAL(109,compras_mes3[PERC. IIBB CABA])</f>
        <v>325782.93</v>
      </c>
      <c r="O127" s="98">
        <f>SUBTOTAL(109,compras_mes3[Otros / No Grav.])</f>
        <v>4985.5600000000004</v>
      </c>
      <c r="P127" s="98">
        <f>SUBTOTAL(109,compras_mes3[TOTAL])</f>
        <v>19284949.586600009</v>
      </c>
      <c r="Q127" s="96"/>
      <c r="R127" s="96"/>
    </row>
    <row r="128" spans="2:18" x14ac:dyDescent="0.25">
      <c r="B128" s="40"/>
      <c r="C128" s="41"/>
      <c r="D128" s="42"/>
      <c r="E128" s="43"/>
      <c r="F128" s="44"/>
      <c r="G128" s="45"/>
      <c r="H128" s="46"/>
      <c r="I128" s="47"/>
      <c r="J128" s="47"/>
      <c r="K128" s="47"/>
      <c r="L128" s="47"/>
      <c r="M128" s="47"/>
      <c r="N128" s="47"/>
      <c r="O128" s="47"/>
      <c r="P128" s="48"/>
      <c r="Q128" s="49"/>
      <c r="R128" s="49"/>
    </row>
    <row r="129" spans="2:18" x14ac:dyDescent="0.25">
      <c r="B129" s="40"/>
      <c r="C129" s="41"/>
      <c r="D129" s="42"/>
      <c r="E129" s="43"/>
      <c r="F129" s="44"/>
      <c r="G129" s="45"/>
      <c r="H129" s="46"/>
      <c r="I129" s="47"/>
      <c r="J129" s="47"/>
      <c r="K129" s="47"/>
      <c r="L129" s="47"/>
      <c r="M129" s="47"/>
      <c r="N129" s="47"/>
      <c r="O129" s="47"/>
      <c r="P129" s="48"/>
      <c r="Q129" s="49"/>
      <c r="R129" s="49"/>
    </row>
    <row r="130" spans="2:18" x14ac:dyDescent="0.25">
      <c r="B130" s="40"/>
      <c r="C130" s="41"/>
      <c r="D130" s="42"/>
      <c r="E130" s="43"/>
      <c r="F130" s="44"/>
      <c r="G130" s="45"/>
      <c r="H130" s="46"/>
      <c r="I130" s="47"/>
      <c r="J130" s="47"/>
      <c r="K130" s="47"/>
      <c r="L130" s="47"/>
      <c r="M130" s="47"/>
      <c r="N130" s="47"/>
      <c r="O130" s="47"/>
      <c r="P130" s="48"/>
      <c r="Q130" s="49"/>
      <c r="R130" s="49"/>
    </row>
    <row r="131" spans="2:18" x14ac:dyDescent="0.25">
      <c r="B131" s="40"/>
      <c r="C131" s="41"/>
      <c r="D131" s="42"/>
      <c r="E131" s="43"/>
      <c r="F131" s="44"/>
      <c r="G131" s="45"/>
      <c r="H131" s="46"/>
      <c r="I131" s="47"/>
      <c r="J131" s="47"/>
      <c r="K131" s="47"/>
      <c r="L131" s="47"/>
    </row>
    <row r="132" spans="2:18" ht="21" x14ac:dyDescent="0.25">
      <c r="D132" s="524" t="s">
        <v>15</v>
      </c>
      <c r="E132" s="524"/>
      <c r="F132" s="524"/>
      <c r="G132" s="524"/>
      <c r="H132" s="524"/>
      <c r="I132" s="524"/>
      <c r="J132" s="524"/>
      <c r="K132" s="524"/>
      <c r="L132" s="524"/>
    </row>
    <row r="133" spans="2:18" ht="15.75" x14ac:dyDescent="0.25">
      <c r="D133" s="73" t="s">
        <v>0</v>
      </c>
      <c r="E133" s="74" t="s">
        <v>26</v>
      </c>
      <c r="F133" s="74" t="s">
        <v>16</v>
      </c>
      <c r="G133" s="74" t="s">
        <v>5</v>
      </c>
      <c r="H133" s="74" t="s">
        <v>17</v>
      </c>
      <c r="I133" s="74" t="s">
        <v>7</v>
      </c>
      <c r="J133" s="75" t="s">
        <v>18</v>
      </c>
      <c r="K133" s="75" t="s">
        <v>19</v>
      </c>
      <c r="L133" s="76" t="s">
        <v>20</v>
      </c>
    </row>
    <row r="134" spans="2:18" x14ac:dyDescent="0.25">
      <c r="D134" s="50">
        <v>45016</v>
      </c>
      <c r="E134" s="230">
        <v>31032023</v>
      </c>
      <c r="F134" s="80" t="s">
        <v>2271</v>
      </c>
      <c r="G134" s="81">
        <v>70</v>
      </c>
      <c r="H134" s="81">
        <f>extracto_banco_mes3[[#This Row],[NETO]]*0.21</f>
        <v>14.7</v>
      </c>
      <c r="I134" s="81"/>
      <c r="J134" s="81">
        <v>85.38</v>
      </c>
      <c r="K134" s="81"/>
      <c r="L134" s="81"/>
    </row>
    <row r="135" spans="2:18" x14ac:dyDescent="0.25">
      <c r="D135" s="50">
        <v>45016</v>
      </c>
      <c r="E135" s="230">
        <v>3312023</v>
      </c>
      <c r="F135" s="80" t="s">
        <v>2272</v>
      </c>
      <c r="G135" s="81">
        <v>424.79999999999995</v>
      </c>
      <c r="H135" s="81">
        <f>extracto_banco_mes3[[#This Row],[NETO]]*0.21</f>
        <v>89.207999999999984</v>
      </c>
      <c r="I135" s="81"/>
      <c r="J135" s="81"/>
      <c r="K135" s="81"/>
      <c r="L135" s="81"/>
    </row>
    <row r="136" spans="2:18" x14ac:dyDescent="0.25">
      <c r="D136" s="50">
        <v>45016</v>
      </c>
      <c r="E136" s="230">
        <v>20233103</v>
      </c>
      <c r="F136" s="80" t="s">
        <v>2273</v>
      </c>
      <c r="G136" s="81">
        <v>724.4</v>
      </c>
      <c r="H136" s="81">
        <f>extracto_banco_mes3[[#This Row],[NETO]]*0.21</f>
        <v>152.124</v>
      </c>
      <c r="I136" s="81"/>
      <c r="J136" s="81"/>
      <c r="K136" s="81"/>
      <c r="L136" s="81"/>
    </row>
    <row r="137" spans="2:18" x14ac:dyDescent="0.25">
      <c r="D137" s="82" t="s">
        <v>110</v>
      </c>
      <c r="E137" s="80"/>
      <c r="F137" s="80"/>
      <c r="G137" s="83">
        <f>SUBTOTAL(109,extracto_banco_mes3[NETO])</f>
        <v>1219.1999999999998</v>
      </c>
      <c r="H137" s="83">
        <f>SUBTOTAL(109,extracto_banco_mes3[IVA 21%])</f>
        <v>256.03199999999998</v>
      </c>
      <c r="I137" s="83">
        <f>SUBTOTAL(109,extracto_banco_mes3[IVA 10,5%])</f>
        <v>0</v>
      </c>
      <c r="J137" s="83">
        <f>SUBTOTAL(109,extracto_banco_mes3[RET IIBB CABA])</f>
        <v>85.38</v>
      </c>
      <c r="K137" s="83">
        <f>SUBTOTAL(109,extracto_banco_mes3[PERC IVA])</f>
        <v>0</v>
      </c>
      <c r="L137" s="83">
        <f>SUBTOTAL(109,extracto_banco_mes3[PERC IIBB])</f>
        <v>0</v>
      </c>
    </row>
    <row r="139" spans="2:18" ht="17.25" customHeight="1" x14ac:dyDescent="0.25"/>
    <row r="141" spans="2:18" ht="21" x14ac:dyDescent="0.25">
      <c r="D141" s="524" t="s">
        <v>25</v>
      </c>
      <c r="E141" s="524"/>
      <c r="F141" s="524"/>
      <c r="G141" s="524"/>
      <c r="H141" s="524"/>
      <c r="I141" s="524"/>
      <c r="J141" s="524"/>
      <c r="K141" s="524"/>
    </row>
    <row r="142" spans="2:18" x14ac:dyDescent="0.25">
      <c r="D142" s="51" t="s">
        <v>0</v>
      </c>
      <c r="E142" s="51" t="s">
        <v>2</v>
      </c>
      <c r="F142" s="51" t="s">
        <v>74</v>
      </c>
      <c r="G142" s="51" t="s">
        <v>3</v>
      </c>
      <c r="H142" s="51" t="s">
        <v>4</v>
      </c>
      <c r="I142" s="52" t="s">
        <v>10</v>
      </c>
      <c r="J142" s="51" t="s">
        <v>13</v>
      </c>
      <c r="K142" s="51" t="s">
        <v>38</v>
      </c>
    </row>
    <row r="143" spans="2:18" hidden="1" x14ac:dyDescent="0.25">
      <c r="D143" s="237" t="s">
        <v>2244</v>
      </c>
      <c r="E143" s="237">
        <v>3</v>
      </c>
      <c r="F143" s="237">
        <v>693</v>
      </c>
      <c r="G143" s="204">
        <v>20086277523</v>
      </c>
      <c r="H143" s="205" t="str">
        <f>IFERROR(IF(factura_c_mes3[[#This Row],[CUIT]]="","-",VLOOKUP(factura_c_mes3[[#This Row],[CUIT]],Lista_CUIT[#All],2,0)),"CUIT NO CARGADO")</f>
        <v>BOTINDARI JUAN CARLOS</v>
      </c>
      <c r="I143" s="238">
        <v>98500</v>
      </c>
      <c r="J143" s="239" t="str">
        <f>IFERROR(IF(factura_c_mes3[[#This Row],[CUIT]]="","-",VLOOKUP(factura_c_mes3[[#This Row],[CUIT]],Lista_CUIT[#All],3,0)),"CUIT NO CARGADO")</f>
        <v>HONORARIOS CONTABLES</v>
      </c>
      <c r="K143" s="239">
        <f>IFERROR(IF(factura_c_mes3[[#This Row],[CUIT]]="","-",VLOOKUP(factura_c_mes3[[#This Row],[CUIT]],Lista_CUIT[#All],4,0)),"CUIT NO CARGADO")</f>
        <v>0</v>
      </c>
    </row>
    <row r="144" spans="2:18" hidden="1" x14ac:dyDescent="0.25">
      <c r="D144" s="240" t="s">
        <v>2244</v>
      </c>
      <c r="E144" s="240">
        <v>3</v>
      </c>
      <c r="F144" s="240">
        <v>218</v>
      </c>
      <c r="G144" s="241">
        <v>23306035444</v>
      </c>
      <c r="H144" s="242" t="str">
        <f>IFERROR(IF(factura_c_mes3[[#This Row],[CUIT]]="","-",VLOOKUP(factura_c_mes3[[#This Row],[CUIT]],Lista_CUIT[#All],2,0)),"CUIT NO CARGADO")</f>
        <v>NADIA TARANTINO</v>
      </c>
      <c r="I144" s="243">
        <v>25615</v>
      </c>
      <c r="J144" s="244" t="str">
        <f>IFERROR(IF(factura_c_mes3[[#This Row],[CUIT]]="","-",VLOOKUP(factura_c_mes3[[#This Row],[CUIT]],Lista_CUIT[#All],3,0)),"CUIT NO CARGADO")</f>
        <v>GASTOS CONTABLES</v>
      </c>
      <c r="K144" s="244">
        <f>IFERROR(IF(factura_c_mes3[[#This Row],[CUIT]]="","-",VLOOKUP(factura_c_mes3[[#This Row],[CUIT]],Lista_CUIT[#All],4,0)),"CUIT NO CARGADO")</f>
        <v>0</v>
      </c>
    </row>
    <row r="145" spans="4:11" hidden="1" x14ac:dyDescent="0.25">
      <c r="D145" s="237" t="s">
        <v>2245</v>
      </c>
      <c r="E145" s="237">
        <v>2</v>
      </c>
      <c r="F145" s="237">
        <v>171</v>
      </c>
      <c r="G145" s="204">
        <v>27265832178</v>
      </c>
      <c r="H145" s="205" t="str">
        <f>IFERROR(IF(factura_c_mes3[[#This Row],[CUIT]]="","-",VLOOKUP(factura_c_mes3[[#This Row],[CUIT]],Lista_CUIT[#All],2,0)),"CUIT NO CARGADO")</f>
        <v>BLASCO MARIA GUADALUPE</v>
      </c>
      <c r="I145" s="238">
        <v>60000</v>
      </c>
      <c r="J145" s="239" t="str">
        <f>IFERROR(IF(factura_c_mes3[[#This Row],[CUIT]]="","-",VLOOKUP(factura_c_mes3[[#This Row],[CUIT]],Lista_CUIT[#All],3,0)),"CUIT NO CARGADO")</f>
        <v>Gastos Varios</v>
      </c>
      <c r="K145" s="239">
        <f>IFERROR(IF(factura_c_mes3[[#This Row],[CUIT]]="","-",VLOOKUP(factura_c_mes3[[#This Row],[CUIT]],Lista_CUIT[#All],4,0)),"CUIT NO CARGADO")</f>
        <v>0</v>
      </c>
    </row>
    <row r="146" spans="4:11" hidden="1" x14ac:dyDescent="0.25">
      <c r="D146" s="237" t="s">
        <v>2245</v>
      </c>
      <c r="E146" s="237">
        <v>2</v>
      </c>
      <c r="F146" s="237">
        <v>34</v>
      </c>
      <c r="G146" s="204">
        <v>20314536852</v>
      </c>
      <c r="H146" s="205" t="str">
        <f>IFERROR(IF(factura_c_mes3[[#This Row],[CUIT]]="","-",VLOOKUP(factura_c_mes3[[#This Row],[CUIT]],Lista_CUIT[#All],2,0)),"CUIT NO CARGADO")</f>
        <v>FRANCESE GONZALO ROMAN</v>
      </c>
      <c r="I146" s="238">
        <v>24800</v>
      </c>
      <c r="J146" s="239" t="str">
        <f>IFERROR(IF(factura_c_mes3[[#This Row],[CUIT]]="","-",VLOOKUP(factura_c_mes3[[#This Row],[CUIT]],Lista_CUIT[#All],3,0)),"CUIT NO CARGADO")</f>
        <v>FLETE</v>
      </c>
      <c r="K146" s="239">
        <f>IFERROR(IF(factura_c_mes3[[#This Row],[CUIT]]="","-",VLOOKUP(factura_c_mes3[[#This Row],[CUIT]],Lista_CUIT[#All],4,0)),"CUIT NO CARGADO")</f>
        <v>0</v>
      </c>
    </row>
    <row r="147" spans="4:11" hidden="1" x14ac:dyDescent="0.25">
      <c r="D147" s="240" t="s">
        <v>2245</v>
      </c>
      <c r="E147" s="240">
        <v>1</v>
      </c>
      <c r="F147" s="240">
        <v>126</v>
      </c>
      <c r="G147" s="241">
        <v>27217606255</v>
      </c>
      <c r="H147" s="242" t="str">
        <f>IFERROR(IF(factura_c_mes3[[#This Row],[CUIT]]="","-",VLOOKUP(factura_c_mes3[[#This Row],[CUIT]],Lista_CUIT[#All],2,0)),"CUIT NO CARGADO")</f>
        <v>SAPUNA MARIAN KARINA</v>
      </c>
      <c r="I147" s="243">
        <v>35700</v>
      </c>
      <c r="J147" s="244" t="str">
        <f>IFERROR(IF(factura_c_mes3[[#This Row],[CUIT]]="","-",VLOOKUP(factura_c_mes3[[#This Row],[CUIT]],Lista_CUIT[#All],3,0)),"CUIT NO CARGADO")</f>
        <v>GASTOS MANTENIMIENTO</v>
      </c>
      <c r="K147" s="244">
        <f>IFERROR(IF(factura_c_mes3[[#This Row],[CUIT]]="","-",VLOOKUP(factura_c_mes3[[#This Row],[CUIT]],Lista_CUIT[#All],4,0)),"CUIT NO CARGADO")</f>
        <v>0</v>
      </c>
    </row>
    <row r="148" spans="4:11" hidden="1" x14ac:dyDescent="0.25">
      <c r="D148" s="240" t="s">
        <v>2245</v>
      </c>
      <c r="E148" s="240">
        <v>1</v>
      </c>
      <c r="F148" s="240">
        <v>125</v>
      </c>
      <c r="G148" s="241">
        <v>27217606255</v>
      </c>
      <c r="H148" s="242" t="str">
        <f>IFERROR(IF(factura_c_mes3[[#This Row],[CUIT]]="","-",VLOOKUP(factura_c_mes3[[#This Row],[CUIT]],Lista_CUIT[#All],2,0)),"CUIT NO CARGADO")</f>
        <v>SAPUNA MARIAN KARINA</v>
      </c>
      <c r="I148" s="243">
        <v>41950</v>
      </c>
      <c r="J148" s="244" t="str">
        <f>IFERROR(IF(factura_c_mes3[[#This Row],[CUIT]]="","-",VLOOKUP(factura_c_mes3[[#This Row],[CUIT]],Lista_CUIT[#All],3,0)),"CUIT NO CARGADO")</f>
        <v>GASTOS MANTENIMIENTO</v>
      </c>
      <c r="K148" s="244">
        <f>IFERROR(IF(factura_c_mes3[[#This Row],[CUIT]]="","-",VLOOKUP(factura_c_mes3[[#This Row],[CUIT]],Lista_CUIT[#All],4,0)),"CUIT NO CARGADO")</f>
        <v>0</v>
      </c>
    </row>
    <row r="149" spans="4:11" hidden="1" x14ac:dyDescent="0.25">
      <c r="D149" s="237" t="s">
        <v>2246</v>
      </c>
      <c r="E149" s="237">
        <v>3</v>
      </c>
      <c r="F149" s="237">
        <v>2021</v>
      </c>
      <c r="G149" s="204">
        <v>20182999661</v>
      </c>
      <c r="H149" s="205" t="str">
        <f>IFERROR(IF(factura_c_mes3[[#This Row],[CUIT]]="","-",VLOOKUP(factura_c_mes3[[#This Row],[CUIT]],Lista_CUIT[#All],2,0)),"CUIT NO CARGADO")</f>
        <v>KLAINER ABEL JAVIER</v>
      </c>
      <c r="I149" s="238">
        <v>900</v>
      </c>
      <c r="J149" s="239" t="str">
        <f>IFERROR(IF(factura_c_mes3[[#This Row],[CUIT]]="","-",VLOOKUP(factura_c_mes3[[#This Row],[CUIT]],Lista_CUIT[#All],3,0)),"CUIT NO CARGADO")</f>
        <v>Gastos Varios</v>
      </c>
      <c r="K149" s="239">
        <f>IFERROR(IF(factura_c_mes3[[#This Row],[CUIT]]="","-",VLOOKUP(factura_c_mes3[[#This Row],[CUIT]],Lista_CUIT[#All],4,0)),"CUIT NO CARGADO")</f>
        <v>0</v>
      </c>
    </row>
    <row r="150" spans="4:11" hidden="1" x14ac:dyDescent="0.25">
      <c r="D150" s="237" t="s">
        <v>2246</v>
      </c>
      <c r="E150" s="237">
        <v>2</v>
      </c>
      <c r="F150" s="237">
        <v>365</v>
      </c>
      <c r="G150" s="204">
        <v>27178792178</v>
      </c>
      <c r="H150" s="205" t="str">
        <f>IFERROR(IF(factura_c_mes3[[#This Row],[CUIT]]="","-",VLOOKUP(factura_c_mes3[[#This Row],[CUIT]],Lista_CUIT[#All],2,0)),"CUIT NO CARGADO")</f>
        <v>SAMPEDRO SILVIA HERMINIA</v>
      </c>
      <c r="I150" s="238">
        <v>61186</v>
      </c>
      <c r="J150" s="239" t="str">
        <f>IFERROR(IF(factura_c_mes3[[#This Row],[CUIT]]="","-",VLOOKUP(factura_c_mes3[[#This Row],[CUIT]],Lista_CUIT[#All],3,0)),"CUIT NO CARGADO")</f>
        <v>GASTOS ADMINISTRATIVOS</v>
      </c>
      <c r="K150" s="239">
        <f>IFERROR(IF(factura_c_mes3[[#This Row],[CUIT]]="","-",VLOOKUP(factura_c_mes3[[#This Row],[CUIT]],Lista_CUIT[#All],4,0)),"CUIT NO CARGADO")</f>
        <v>0</v>
      </c>
    </row>
    <row r="151" spans="4:11" hidden="1" x14ac:dyDescent="0.25">
      <c r="D151" s="240" t="s">
        <v>2247</v>
      </c>
      <c r="E151" s="240">
        <v>1</v>
      </c>
      <c r="F151" s="240">
        <v>127</v>
      </c>
      <c r="G151" s="241">
        <v>27217606255</v>
      </c>
      <c r="H151" s="242" t="str">
        <f>IFERROR(IF(factura_c_mes3[[#This Row],[CUIT]]="","-",VLOOKUP(factura_c_mes3[[#This Row],[CUIT]],Lista_CUIT[#All],2,0)),"CUIT NO CARGADO")</f>
        <v>SAPUNA MARIAN KARINA</v>
      </c>
      <c r="I151" s="243">
        <v>45980</v>
      </c>
      <c r="J151" s="244" t="str">
        <f>IFERROR(IF(factura_c_mes3[[#This Row],[CUIT]]="","-",VLOOKUP(factura_c_mes3[[#This Row],[CUIT]],Lista_CUIT[#All],3,0)),"CUIT NO CARGADO")</f>
        <v>GASTOS MANTENIMIENTO</v>
      </c>
      <c r="K151" s="244">
        <f>IFERROR(IF(factura_c_mes3[[#This Row],[CUIT]]="","-",VLOOKUP(factura_c_mes3[[#This Row],[CUIT]],Lista_CUIT[#All],4,0)),"CUIT NO CARGADO")</f>
        <v>0</v>
      </c>
    </row>
    <row r="152" spans="4:11" hidden="1" x14ac:dyDescent="0.25">
      <c r="D152" s="240" t="s">
        <v>2247</v>
      </c>
      <c r="E152" s="240">
        <v>1</v>
      </c>
      <c r="F152" s="240">
        <v>128</v>
      </c>
      <c r="G152" s="241">
        <v>27217606255</v>
      </c>
      <c r="H152" s="242" t="str">
        <f>IFERROR(IF(factura_c_mes3[[#This Row],[CUIT]]="","-",VLOOKUP(factura_c_mes3[[#This Row],[CUIT]],Lista_CUIT[#All],2,0)),"CUIT NO CARGADO")</f>
        <v>SAPUNA MARIAN KARINA</v>
      </c>
      <c r="I152" s="243">
        <v>48258</v>
      </c>
      <c r="J152" s="244" t="str">
        <f>IFERROR(IF(factura_c_mes3[[#This Row],[CUIT]]="","-",VLOOKUP(factura_c_mes3[[#This Row],[CUIT]],Lista_CUIT[#All],3,0)),"CUIT NO CARGADO")</f>
        <v>GASTOS MANTENIMIENTO</v>
      </c>
      <c r="K152" s="244">
        <f>IFERROR(IF(factura_c_mes3[[#This Row],[CUIT]]="","-",VLOOKUP(factura_c_mes3[[#This Row],[CUIT]],Lista_CUIT[#All],4,0)),"CUIT NO CARGADO")</f>
        <v>0</v>
      </c>
    </row>
    <row r="153" spans="4:11" hidden="1" x14ac:dyDescent="0.25">
      <c r="D153" s="237" t="s">
        <v>2248</v>
      </c>
      <c r="E153" s="237">
        <v>1</v>
      </c>
      <c r="F153" s="237">
        <v>217</v>
      </c>
      <c r="G153" s="204">
        <v>27368203829</v>
      </c>
      <c r="H153" s="205" t="str">
        <f>IFERROR(IF(factura_c_mes3[[#This Row],[CUIT]]="","-",VLOOKUP(factura_c_mes3[[#This Row],[CUIT]],Lista_CUIT[#All],2,0)),"CUIT NO CARGADO")</f>
        <v>PROFETI NOEMI GISELE</v>
      </c>
      <c r="I153" s="238">
        <v>163220</v>
      </c>
      <c r="J153" s="239" t="str">
        <f>IFERROR(IF(factura_c_mes3[[#This Row],[CUIT]]="","-",VLOOKUP(factura_c_mes3[[#This Row],[CUIT]],Lista_CUIT[#All],3,0)),"CUIT NO CARGADO")</f>
        <v>GASTOS MANTENIMIENTO</v>
      </c>
      <c r="K153" s="239" t="str">
        <f>IFERROR(IF(factura_c_mes3[[#This Row],[CUIT]]="","-",VLOOKUP(factura_c_mes3[[#This Row],[CUIT]],Lista_CUIT[#All],4,0)),"CUIT NO CARGADO")</f>
        <v>BUENOS AIRES</v>
      </c>
    </row>
    <row r="154" spans="4:11" hidden="1" x14ac:dyDescent="0.25">
      <c r="D154" s="237" t="s">
        <v>2249</v>
      </c>
      <c r="E154" s="237">
        <v>2</v>
      </c>
      <c r="F154" s="237">
        <v>442</v>
      </c>
      <c r="G154" s="204">
        <v>27299725761</v>
      </c>
      <c r="H154" s="205" t="str">
        <f>IFERROR(IF(factura_c_mes3[[#This Row],[CUIT]]="","-",VLOOKUP(factura_c_mes3[[#This Row],[CUIT]],Lista_CUIT[#All],2,0)),"CUIT NO CARGADO")</f>
        <v>TURSARKISIAN MISISIAN VERONICA GEMA</v>
      </c>
      <c r="I154" s="238">
        <v>42000</v>
      </c>
      <c r="J154" s="239" t="str">
        <f>IFERROR(IF(factura_c_mes3[[#This Row],[CUIT]]="","-",VLOOKUP(factura_c_mes3[[#This Row],[CUIT]],Lista_CUIT[#All],3,0)),"CUIT NO CARGADO")</f>
        <v>Productos Ortopedicos</v>
      </c>
      <c r="K154" s="239">
        <f>IFERROR(IF(factura_c_mes3[[#This Row],[CUIT]]="","-",VLOOKUP(factura_c_mes3[[#This Row],[CUIT]],Lista_CUIT[#All],4,0)),"CUIT NO CARGADO")</f>
        <v>0</v>
      </c>
    </row>
    <row r="155" spans="4:11" hidden="1" x14ac:dyDescent="0.25">
      <c r="D155" s="237" t="s">
        <v>2249</v>
      </c>
      <c r="E155" s="237">
        <v>2</v>
      </c>
      <c r="F155" s="237">
        <v>443</v>
      </c>
      <c r="G155" s="204">
        <v>27299725761</v>
      </c>
      <c r="H155" s="205" t="str">
        <f>IFERROR(IF(factura_c_mes3[[#This Row],[CUIT]]="","-",VLOOKUP(factura_c_mes3[[#This Row],[CUIT]],Lista_CUIT[#All],2,0)),"CUIT NO CARGADO")</f>
        <v>TURSARKISIAN MISISIAN VERONICA GEMA</v>
      </c>
      <c r="I155" s="238">
        <v>32000</v>
      </c>
      <c r="J155" s="239" t="str">
        <f>IFERROR(IF(factura_c_mes3[[#This Row],[CUIT]]="","-",VLOOKUP(factura_c_mes3[[#This Row],[CUIT]],Lista_CUIT[#All],3,0)),"CUIT NO CARGADO")</f>
        <v>Productos Ortopedicos</v>
      </c>
      <c r="K155" s="239">
        <f>IFERROR(IF(factura_c_mes3[[#This Row],[CUIT]]="","-",VLOOKUP(factura_c_mes3[[#This Row],[CUIT]],Lista_CUIT[#All],4,0)),"CUIT NO CARGADO")</f>
        <v>0</v>
      </c>
    </row>
    <row r="156" spans="4:11" hidden="1" x14ac:dyDescent="0.25">
      <c r="D156" s="237" t="s">
        <v>2249</v>
      </c>
      <c r="E156" s="237">
        <v>2</v>
      </c>
      <c r="F156" s="237">
        <v>444</v>
      </c>
      <c r="G156" s="204">
        <v>27299725761</v>
      </c>
      <c r="H156" s="205" t="str">
        <f>IFERROR(IF(factura_c_mes3[[#This Row],[CUIT]]="","-",VLOOKUP(factura_c_mes3[[#This Row],[CUIT]],Lista_CUIT[#All],2,0)),"CUIT NO CARGADO")</f>
        <v>TURSARKISIAN MISISIAN VERONICA GEMA</v>
      </c>
      <c r="I156" s="238">
        <v>56000</v>
      </c>
      <c r="J156" s="239" t="str">
        <f>IFERROR(IF(factura_c_mes3[[#This Row],[CUIT]]="","-",VLOOKUP(factura_c_mes3[[#This Row],[CUIT]],Lista_CUIT[#All],3,0)),"CUIT NO CARGADO")</f>
        <v>Productos Ortopedicos</v>
      </c>
      <c r="K156" s="239">
        <f>IFERROR(IF(factura_c_mes3[[#This Row],[CUIT]]="","-",VLOOKUP(factura_c_mes3[[#This Row],[CUIT]],Lista_CUIT[#All],4,0)),"CUIT NO CARGADO")</f>
        <v>0</v>
      </c>
    </row>
    <row r="157" spans="4:11" hidden="1" x14ac:dyDescent="0.25">
      <c r="D157" s="237" t="s">
        <v>2249</v>
      </c>
      <c r="E157" s="237">
        <v>2</v>
      </c>
      <c r="F157" s="237">
        <v>445</v>
      </c>
      <c r="G157" s="204">
        <v>27299725761</v>
      </c>
      <c r="H157" s="205" t="str">
        <f>IFERROR(IF(factura_c_mes3[[#This Row],[CUIT]]="","-",VLOOKUP(factura_c_mes3[[#This Row],[CUIT]],Lista_CUIT[#All],2,0)),"CUIT NO CARGADO")</f>
        <v>TURSARKISIAN MISISIAN VERONICA GEMA</v>
      </c>
      <c r="I157" s="238">
        <v>44000</v>
      </c>
      <c r="J157" s="239" t="str">
        <f>IFERROR(IF(factura_c_mes3[[#This Row],[CUIT]]="","-",VLOOKUP(factura_c_mes3[[#This Row],[CUIT]],Lista_CUIT[#All],3,0)),"CUIT NO CARGADO")</f>
        <v>Productos Ortopedicos</v>
      </c>
      <c r="K157" s="239">
        <f>IFERROR(IF(factura_c_mes3[[#This Row],[CUIT]]="","-",VLOOKUP(factura_c_mes3[[#This Row],[CUIT]],Lista_CUIT[#All],4,0)),"CUIT NO CARGADO")</f>
        <v>0</v>
      </c>
    </row>
    <row r="158" spans="4:11" hidden="1" x14ac:dyDescent="0.25">
      <c r="D158" s="240" t="s">
        <v>2250</v>
      </c>
      <c r="E158" s="240">
        <v>2</v>
      </c>
      <c r="F158" s="240">
        <v>36</v>
      </c>
      <c r="G158" s="241">
        <v>20314536852</v>
      </c>
      <c r="H158" s="242" t="str">
        <f>IFERROR(IF(factura_c_mes3[[#This Row],[CUIT]]="","-",VLOOKUP(factura_c_mes3[[#This Row],[CUIT]],Lista_CUIT[#All],2,0)),"CUIT NO CARGADO")</f>
        <v>FRANCESE GONZALO ROMAN</v>
      </c>
      <c r="I158" s="243">
        <v>26300</v>
      </c>
      <c r="J158" s="244" t="str">
        <f>IFERROR(IF(factura_c_mes3[[#This Row],[CUIT]]="","-",VLOOKUP(factura_c_mes3[[#This Row],[CUIT]],Lista_CUIT[#All],3,0)),"CUIT NO CARGADO")</f>
        <v>FLETE</v>
      </c>
      <c r="K158" s="244">
        <f>IFERROR(IF(factura_c_mes3[[#This Row],[CUIT]]="","-",VLOOKUP(factura_c_mes3[[#This Row],[CUIT]],Lista_CUIT[#All],4,0)),"CUIT NO CARGADO")</f>
        <v>0</v>
      </c>
    </row>
    <row r="159" spans="4:11" hidden="1" x14ac:dyDescent="0.25">
      <c r="D159" s="240" t="s">
        <v>2251</v>
      </c>
      <c r="E159" s="240">
        <v>1</v>
      </c>
      <c r="F159" s="240">
        <v>129</v>
      </c>
      <c r="G159" s="241">
        <v>27217606255</v>
      </c>
      <c r="H159" s="242" t="str">
        <f>IFERROR(IF(factura_c_mes3[[#This Row],[CUIT]]="","-",VLOOKUP(factura_c_mes3[[#This Row],[CUIT]],Lista_CUIT[#All],2,0)),"CUIT NO CARGADO")</f>
        <v>SAPUNA MARIAN KARINA</v>
      </c>
      <c r="I159" s="243">
        <v>43785</v>
      </c>
      <c r="J159" s="244" t="str">
        <f>IFERROR(IF(factura_c_mes3[[#This Row],[CUIT]]="","-",VLOOKUP(factura_c_mes3[[#This Row],[CUIT]],Lista_CUIT[#All],3,0)),"CUIT NO CARGADO")</f>
        <v>GASTOS MANTENIMIENTO</v>
      </c>
      <c r="K159" s="244">
        <f>IFERROR(IF(factura_c_mes3[[#This Row],[CUIT]]="","-",VLOOKUP(factura_c_mes3[[#This Row],[CUIT]],Lista_CUIT[#All],4,0)),"CUIT NO CARGADO")</f>
        <v>0</v>
      </c>
    </row>
    <row r="160" spans="4:11" hidden="1" x14ac:dyDescent="0.25">
      <c r="D160" s="237" t="s">
        <v>2251</v>
      </c>
      <c r="E160" s="237">
        <v>2</v>
      </c>
      <c r="F160" s="237">
        <v>366</v>
      </c>
      <c r="G160" s="204">
        <v>27178792178</v>
      </c>
      <c r="H160" s="205" t="str">
        <f>IFERROR(IF(factura_c_mes3[[#This Row],[CUIT]]="","-",VLOOKUP(factura_c_mes3[[#This Row],[CUIT]],Lista_CUIT[#All],2,0)),"CUIT NO CARGADO")</f>
        <v>SAMPEDRO SILVIA HERMINIA</v>
      </c>
      <c r="I160" s="238">
        <v>150000</v>
      </c>
      <c r="J160" s="239" t="str">
        <f>IFERROR(IF(factura_c_mes3[[#This Row],[CUIT]]="","-",VLOOKUP(factura_c_mes3[[#This Row],[CUIT]],Lista_CUIT[#All],3,0)),"CUIT NO CARGADO")</f>
        <v>GASTOS ADMINISTRATIVOS</v>
      </c>
      <c r="K160" s="239">
        <f>IFERROR(IF(factura_c_mes3[[#This Row],[CUIT]]="","-",VLOOKUP(factura_c_mes3[[#This Row],[CUIT]],Lista_CUIT[#All],4,0)),"CUIT NO CARGADO")</f>
        <v>0</v>
      </c>
    </row>
    <row r="161" spans="4:11" hidden="1" x14ac:dyDescent="0.25">
      <c r="D161" s="237" t="s">
        <v>2252</v>
      </c>
      <c r="E161" s="237">
        <v>6</v>
      </c>
      <c r="F161" s="237">
        <v>7</v>
      </c>
      <c r="G161" s="204">
        <v>27318630157</v>
      </c>
      <c r="H161" s="205" t="str">
        <f>IFERROR(IF(factura_c_mes3[[#This Row],[CUIT]]="","-",VLOOKUP(factura_c_mes3[[#This Row],[CUIT]],Lista_CUIT[#All],2,0)),"CUIT NO CARGADO")</f>
        <v>CENTURION JACQUELINE ESTEFANIA</v>
      </c>
      <c r="I161" s="238">
        <v>80000</v>
      </c>
      <c r="J161" s="239" t="str">
        <f>IFERROR(IF(factura_c_mes3[[#This Row],[CUIT]]="","-",VLOOKUP(factura_c_mes3[[#This Row],[CUIT]],Lista_CUIT[#All],3,0)),"CUIT NO CARGADO")</f>
        <v>GASTOS ADMINISTRATIVOS</v>
      </c>
      <c r="K161" s="239">
        <f>IFERROR(IF(factura_c_mes3[[#This Row],[CUIT]]="","-",VLOOKUP(factura_c_mes3[[#This Row],[CUIT]],Lista_CUIT[#All],4,0)),"CUIT NO CARGADO")</f>
        <v>0</v>
      </c>
    </row>
    <row r="162" spans="4:11" hidden="1" x14ac:dyDescent="0.25">
      <c r="D162" s="237" t="s">
        <v>2253</v>
      </c>
      <c r="E162" s="237">
        <v>1</v>
      </c>
      <c r="F162" s="237">
        <v>88</v>
      </c>
      <c r="G162" s="204">
        <v>27338342840</v>
      </c>
      <c r="H162" s="205" t="str">
        <f>IFERROR(IF(factura_c_mes3[[#This Row],[CUIT]]="","-",VLOOKUP(factura_c_mes3[[#This Row],[CUIT]],Lista_CUIT[#All],2,0)),"CUIT NO CARGADO")</f>
        <v>CANCINO PAMELA RITA</v>
      </c>
      <c r="I162" s="238">
        <v>36000</v>
      </c>
      <c r="J162" s="239" t="str">
        <f>IFERROR(IF(factura_c_mes3[[#This Row],[CUIT]]="","-",VLOOKUP(factura_c_mes3[[#This Row],[CUIT]],Lista_CUIT[#All],3,0)),"CUIT NO CARGADO")</f>
        <v>Productos Ortopedicos</v>
      </c>
      <c r="K162" s="239">
        <f>IFERROR(IF(factura_c_mes3[[#This Row],[CUIT]]="","-",VLOOKUP(factura_c_mes3[[#This Row],[CUIT]],Lista_CUIT[#All],4,0)),"CUIT NO CARGADO")</f>
        <v>0</v>
      </c>
    </row>
    <row r="163" spans="4:11" hidden="1" x14ac:dyDescent="0.25">
      <c r="D163" s="237" t="s">
        <v>2253</v>
      </c>
      <c r="E163" s="237">
        <v>1</v>
      </c>
      <c r="F163" s="237">
        <v>89</v>
      </c>
      <c r="G163" s="204">
        <v>27338342840</v>
      </c>
      <c r="H163" s="205" t="str">
        <f>IFERROR(IF(factura_c_mes3[[#This Row],[CUIT]]="","-",VLOOKUP(factura_c_mes3[[#This Row],[CUIT]],Lista_CUIT[#All],2,0)),"CUIT NO CARGADO")</f>
        <v>CANCINO PAMELA RITA</v>
      </c>
      <c r="I163" s="238">
        <v>40000</v>
      </c>
      <c r="J163" s="239" t="str">
        <f>IFERROR(IF(factura_c_mes3[[#This Row],[CUIT]]="","-",VLOOKUP(factura_c_mes3[[#This Row],[CUIT]],Lista_CUIT[#All],3,0)),"CUIT NO CARGADO")</f>
        <v>Productos Ortopedicos</v>
      </c>
      <c r="K163" s="239">
        <f>IFERROR(IF(factura_c_mes3[[#This Row],[CUIT]]="","-",VLOOKUP(factura_c_mes3[[#This Row],[CUIT]],Lista_CUIT[#All],4,0)),"CUIT NO CARGADO")</f>
        <v>0</v>
      </c>
    </row>
    <row r="164" spans="4:11" hidden="1" x14ac:dyDescent="0.25">
      <c r="D164" s="237" t="s">
        <v>2253</v>
      </c>
      <c r="E164" s="237">
        <v>1</v>
      </c>
      <c r="F164" s="237">
        <v>90</v>
      </c>
      <c r="G164" s="204">
        <v>27338342840</v>
      </c>
      <c r="H164" s="205" t="str">
        <f>IFERROR(IF(factura_c_mes3[[#This Row],[CUIT]]="","-",VLOOKUP(factura_c_mes3[[#This Row],[CUIT]],Lista_CUIT[#All],2,0)),"CUIT NO CARGADO")</f>
        <v>CANCINO PAMELA RITA</v>
      </c>
      <c r="I164" s="238">
        <v>82000</v>
      </c>
      <c r="J164" s="239" t="str">
        <f>IFERROR(IF(factura_c_mes3[[#This Row],[CUIT]]="","-",VLOOKUP(factura_c_mes3[[#This Row],[CUIT]],Lista_CUIT[#All],3,0)),"CUIT NO CARGADO")</f>
        <v>Productos Ortopedicos</v>
      </c>
      <c r="K164" s="239">
        <f>IFERROR(IF(factura_c_mes3[[#This Row],[CUIT]]="","-",VLOOKUP(factura_c_mes3[[#This Row],[CUIT]],Lista_CUIT[#All],4,0)),"CUIT NO CARGADO")</f>
        <v>0</v>
      </c>
    </row>
    <row r="165" spans="4:11" hidden="1" x14ac:dyDescent="0.25">
      <c r="D165" s="237" t="s">
        <v>2253</v>
      </c>
      <c r="E165" s="237">
        <v>1</v>
      </c>
      <c r="F165" s="237">
        <v>52</v>
      </c>
      <c r="G165" s="204">
        <v>23281233084</v>
      </c>
      <c r="H165" s="205" t="str">
        <f>IFERROR(IF(factura_c_mes3[[#This Row],[CUIT]]="","-",VLOOKUP(factura_c_mes3[[#This Row],[CUIT]],Lista_CUIT[#All],2,0)),"CUIT NO CARGADO")</f>
        <v>DRUETTA ANDREA MARIEL</v>
      </c>
      <c r="I165" s="238">
        <v>39900</v>
      </c>
      <c r="J165" s="239" t="str">
        <f>IFERROR(IF(factura_c_mes3[[#This Row],[CUIT]]="","-",VLOOKUP(factura_c_mes3[[#This Row],[CUIT]],Lista_CUIT[#All],3,0)),"CUIT NO CARGADO")</f>
        <v>HONORARIOS TECNICOS</v>
      </c>
      <c r="K165" s="239">
        <f>IFERROR(IF(factura_c_mes3[[#This Row],[CUIT]]="","-",VLOOKUP(factura_c_mes3[[#This Row],[CUIT]],Lista_CUIT[#All],4,0)),"CUIT NO CARGADO")</f>
        <v>0</v>
      </c>
    </row>
    <row r="166" spans="4:11" hidden="1" x14ac:dyDescent="0.25">
      <c r="D166" s="237" t="s">
        <v>2254</v>
      </c>
      <c r="E166" s="237">
        <v>2</v>
      </c>
      <c r="F166" s="237">
        <v>37</v>
      </c>
      <c r="G166" s="204">
        <v>20314536852</v>
      </c>
      <c r="H166" s="205" t="str">
        <f>IFERROR(IF(factura_c_mes3[[#This Row],[CUIT]]="","-",VLOOKUP(factura_c_mes3[[#This Row],[CUIT]],Lista_CUIT[#All],2,0)),"CUIT NO CARGADO")</f>
        <v>FRANCESE GONZALO ROMAN</v>
      </c>
      <c r="I166" s="238">
        <v>21000</v>
      </c>
      <c r="J166" s="239" t="str">
        <f>IFERROR(IF(factura_c_mes3[[#This Row],[CUIT]]="","-",VLOOKUP(factura_c_mes3[[#This Row],[CUIT]],Lista_CUIT[#All],3,0)),"CUIT NO CARGADO")</f>
        <v>FLETE</v>
      </c>
      <c r="K166" s="239">
        <f>IFERROR(IF(factura_c_mes3[[#This Row],[CUIT]]="","-",VLOOKUP(factura_c_mes3[[#This Row],[CUIT]],Lista_CUIT[#All],4,0)),"CUIT NO CARGADO")</f>
        <v>0</v>
      </c>
    </row>
    <row r="167" spans="4:11" hidden="1" x14ac:dyDescent="0.25">
      <c r="D167" s="237" t="s">
        <v>2255</v>
      </c>
      <c r="E167" s="237">
        <v>3</v>
      </c>
      <c r="F167" s="237">
        <v>630</v>
      </c>
      <c r="G167" s="204">
        <v>20216451679</v>
      </c>
      <c r="H167" s="205" t="str">
        <f>IFERROR(IF(factura_c_mes3[[#This Row],[CUIT]]="","-",VLOOKUP(factura_c_mes3[[#This Row],[CUIT]],Lista_CUIT[#All],2,0)),"CUIT NO CARGADO")</f>
        <v>VAZQUEZ RICARDO OSCAR</v>
      </c>
      <c r="I167" s="238">
        <v>140000</v>
      </c>
      <c r="J167" s="239" t="str">
        <f>IFERROR(IF(factura_c_mes3[[#This Row],[CUIT]]="","-",VLOOKUP(factura_c_mes3[[#This Row],[CUIT]],Lista_CUIT[#All],3,0)),"CUIT NO CARGADO")</f>
        <v>Productos Ortopedicos</v>
      </c>
      <c r="K167" s="239">
        <f>IFERROR(IF(factura_c_mes3[[#This Row],[CUIT]]="","-",VLOOKUP(factura_c_mes3[[#This Row],[CUIT]],Lista_CUIT[#All],4,0)),"CUIT NO CARGADO")</f>
        <v>0</v>
      </c>
    </row>
    <row r="168" spans="4:11" hidden="1" x14ac:dyDescent="0.25">
      <c r="D168" s="237" t="s">
        <v>2255</v>
      </c>
      <c r="E168" s="237">
        <v>3</v>
      </c>
      <c r="F168" s="237">
        <v>631</v>
      </c>
      <c r="G168" s="204">
        <v>20216451679</v>
      </c>
      <c r="H168" s="205" t="str">
        <f>IFERROR(IF(factura_c_mes3[[#This Row],[CUIT]]="","-",VLOOKUP(factura_c_mes3[[#This Row],[CUIT]],Lista_CUIT[#All],2,0)),"CUIT NO CARGADO")</f>
        <v>VAZQUEZ RICARDO OSCAR</v>
      </c>
      <c r="I168" s="238">
        <v>46000</v>
      </c>
      <c r="J168" s="239" t="str">
        <f>IFERROR(IF(factura_c_mes3[[#This Row],[CUIT]]="","-",VLOOKUP(factura_c_mes3[[#This Row],[CUIT]],Lista_CUIT[#All],3,0)),"CUIT NO CARGADO")</f>
        <v>Productos Ortopedicos</v>
      </c>
      <c r="K168" s="239">
        <f>IFERROR(IF(factura_c_mes3[[#This Row],[CUIT]]="","-",VLOOKUP(factura_c_mes3[[#This Row],[CUIT]],Lista_CUIT[#All],4,0)),"CUIT NO CARGADO")</f>
        <v>0</v>
      </c>
    </row>
    <row r="169" spans="4:11" hidden="1" x14ac:dyDescent="0.25">
      <c r="D169" s="237" t="s">
        <v>2256</v>
      </c>
      <c r="E169" s="237">
        <v>2019</v>
      </c>
      <c r="F169" s="237">
        <v>2049</v>
      </c>
      <c r="G169" s="204">
        <v>20277164192</v>
      </c>
      <c r="H169" s="205" t="str">
        <f>IFERROR(IF(factura_c_mes3[[#This Row],[CUIT]]="","-",VLOOKUP(factura_c_mes3[[#This Row],[CUIT]],Lista_CUIT[#All],2,0)),"CUIT NO CARGADO")</f>
        <v>PABLO ROBERTO MURUA POU</v>
      </c>
      <c r="I169" s="238">
        <v>690</v>
      </c>
      <c r="J169" s="239" t="str">
        <f>IFERROR(IF(factura_c_mes3[[#This Row],[CUIT]]="","-",VLOOKUP(factura_c_mes3[[#This Row],[CUIT]],Lista_CUIT[#All],3,0)),"CUIT NO CARGADO")</f>
        <v>GASTOS VARIOS</v>
      </c>
      <c r="K169" s="239">
        <f>IFERROR(IF(factura_c_mes3[[#This Row],[CUIT]]="","-",VLOOKUP(factura_c_mes3[[#This Row],[CUIT]],Lista_CUIT[#All],4,0)),"CUIT NO CARGADO")</f>
        <v>0</v>
      </c>
    </row>
    <row r="170" spans="4:11" hidden="1" x14ac:dyDescent="0.25">
      <c r="D170" s="237" t="s">
        <v>2256</v>
      </c>
      <c r="E170" s="237">
        <v>2</v>
      </c>
      <c r="F170" s="237">
        <v>446</v>
      </c>
      <c r="G170" s="204">
        <v>27299725761</v>
      </c>
      <c r="H170" s="205" t="str">
        <f>IFERROR(IF(factura_c_mes3[[#This Row],[CUIT]]="","-",VLOOKUP(factura_c_mes3[[#This Row],[CUIT]],Lista_CUIT[#All],2,0)),"CUIT NO CARGADO")</f>
        <v>TURSARKISIAN MISISIAN VERONICA GEMA</v>
      </c>
      <c r="I170" s="238">
        <v>40000</v>
      </c>
      <c r="J170" s="239" t="str">
        <f>IFERROR(IF(factura_c_mes3[[#This Row],[CUIT]]="","-",VLOOKUP(factura_c_mes3[[#This Row],[CUIT]],Lista_CUIT[#All],3,0)),"CUIT NO CARGADO")</f>
        <v>Productos Ortopedicos</v>
      </c>
      <c r="K170" s="239">
        <f>IFERROR(IF(factura_c_mes3[[#This Row],[CUIT]]="","-",VLOOKUP(factura_c_mes3[[#This Row],[CUIT]],Lista_CUIT[#All],4,0)),"CUIT NO CARGADO")</f>
        <v>0</v>
      </c>
    </row>
    <row r="171" spans="4:11" hidden="1" x14ac:dyDescent="0.25">
      <c r="D171" s="237" t="s">
        <v>2256</v>
      </c>
      <c r="E171" s="237">
        <v>2</v>
      </c>
      <c r="F171" s="237">
        <v>447</v>
      </c>
      <c r="G171" s="204">
        <v>27299725761</v>
      </c>
      <c r="H171" s="205" t="str">
        <f>IFERROR(IF(factura_c_mes3[[#This Row],[CUIT]]="","-",VLOOKUP(factura_c_mes3[[#This Row],[CUIT]],Lista_CUIT[#All],2,0)),"CUIT NO CARGADO")</f>
        <v>TURSARKISIAN MISISIAN VERONICA GEMA</v>
      </c>
      <c r="I171" s="238">
        <v>56000</v>
      </c>
      <c r="J171" s="239" t="str">
        <f>IFERROR(IF(factura_c_mes3[[#This Row],[CUIT]]="","-",VLOOKUP(factura_c_mes3[[#This Row],[CUIT]],Lista_CUIT[#All],3,0)),"CUIT NO CARGADO")</f>
        <v>Productos Ortopedicos</v>
      </c>
      <c r="K171" s="239">
        <f>IFERROR(IF(factura_c_mes3[[#This Row],[CUIT]]="","-",VLOOKUP(factura_c_mes3[[#This Row],[CUIT]],Lista_CUIT[#All],4,0)),"CUIT NO CARGADO")</f>
        <v>0</v>
      </c>
    </row>
    <row r="172" spans="4:11" hidden="1" x14ac:dyDescent="0.25">
      <c r="D172" s="240" t="s">
        <v>2256</v>
      </c>
      <c r="E172" s="240">
        <v>1</v>
      </c>
      <c r="F172" s="240">
        <v>33</v>
      </c>
      <c r="G172" s="241">
        <v>20403969886</v>
      </c>
      <c r="H172" s="242" t="str">
        <f>IFERROR(IF(factura_c_mes3[[#This Row],[CUIT]]="","-",VLOOKUP(factura_c_mes3[[#This Row],[CUIT]],Lista_CUIT[#All],2,0)),"CUIT NO CARGADO")</f>
        <v>DEL GESSO FRANCO JESUS</v>
      </c>
      <c r="I172" s="243">
        <v>248830</v>
      </c>
      <c r="J172" s="244" t="str">
        <f>IFERROR(IF(factura_c_mes3[[#This Row],[CUIT]]="","-",VLOOKUP(factura_c_mes3[[#This Row],[CUIT]],Lista_CUIT[#All],3,0)),"CUIT NO CARGADO")</f>
        <v>GASTOS ADMINISTRATIVOS</v>
      </c>
      <c r="K172" s="244">
        <f>IFERROR(IF(factura_c_mes3[[#This Row],[CUIT]]="","-",VLOOKUP(factura_c_mes3[[#This Row],[CUIT]],Lista_CUIT[#All],4,0)),"CUIT NO CARGADO")</f>
        <v>0</v>
      </c>
    </row>
    <row r="173" spans="4:11" hidden="1" x14ac:dyDescent="0.25">
      <c r="D173" s="240" t="s">
        <v>2256</v>
      </c>
      <c r="E173" s="240">
        <v>2</v>
      </c>
      <c r="F173" s="240">
        <v>88</v>
      </c>
      <c r="G173" s="241">
        <v>20220423655</v>
      </c>
      <c r="H173" s="242" t="str">
        <f>IFERROR(IF(factura_c_mes3[[#This Row],[CUIT]]="","-",VLOOKUP(factura_c_mes3[[#This Row],[CUIT]],Lista_CUIT[#All],2,0)),"CUIT NO CARGADO")</f>
        <v>LANDRO FERNANDO GABRIEL</v>
      </c>
      <c r="I173" s="243">
        <v>188485</v>
      </c>
      <c r="J173" s="244" t="str">
        <f>IFERROR(IF(factura_c_mes3[[#This Row],[CUIT]]="","-",VLOOKUP(factura_c_mes3[[#This Row],[CUIT]],Lista_CUIT[#All],3,0)),"CUIT NO CARGADO")</f>
        <v>GESTION COBRANZAS</v>
      </c>
      <c r="K173" s="244">
        <f>IFERROR(IF(factura_c_mes3[[#This Row],[CUIT]]="","-",VLOOKUP(factura_c_mes3[[#This Row],[CUIT]],Lista_CUIT[#All],4,0)),"CUIT NO CARGADO")</f>
        <v>0</v>
      </c>
    </row>
    <row r="174" spans="4:11" x14ac:dyDescent="0.25">
      <c r="D174" s="240" t="s">
        <v>2256</v>
      </c>
      <c r="E174" s="240">
        <v>2</v>
      </c>
      <c r="F174" s="240">
        <v>87</v>
      </c>
      <c r="G174" s="241">
        <v>20220423655</v>
      </c>
      <c r="H174" s="242" t="str">
        <f>IFERROR(IF(factura_c_mes3[[#This Row],[CUIT]]="","-",VLOOKUP(factura_c_mes3[[#This Row],[CUIT]],Lista_CUIT[#All],2,0)),"CUIT NO CARGADO")</f>
        <v>LANDRO FERNANDO GABRIEL</v>
      </c>
      <c r="I174" s="243">
        <v>196420</v>
      </c>
      <c r="J174" s="244" t="str">
        <f>IFERROR(IF(factura_c_mes3[[#This Row],[CUIT]]="","-",VLOOKUP(factura_c_mes3[[#This Row],[CUIT]],Lista_CUIT[#All],3,0)),"CUIT NO CARGADO")</f>
        <v>GESTION COBRANZAS</v>
      </c>
      <c r="K174" s="244">
        <f>IFERROR(IF(factura_c_mes3[[#This Row],[CUIT]]="","-",VLOOKUP(factura_c_mes3[[#This Row],[CUIT]],Lista_CUIT[#All],4,0)),"CUIT NO CARGADO")</f>
        <v>0</v>
      </c>
    </row>
    <row r="175" spans="4:11" hidden="1" x14ac:dyDescent="0.25">
      <c r="D175" s="237">
        <v>45016</v>
      </c>
      <c r="E175" s="237">
        <v>1</v>
      </c>
      <c r="F175" s="237">
        <v>226</v>
      </c>
      <c r="G175" s="204">
        <v>27368203829</v>
      </c>
      <c r="H175" s="205" t="str">
        <f>IFERROR(IF(factura_c_mes3[[#This Row],[CUIT]]="","-",VLOOKUP(factura_c_mes3[[#This Row],[CUIT]],Lista_CUIT[#All],2,0)),"CUIT NO CARGADO")</f>
        <v>PROFETI NOEMI GISELE</v>
      </c>
      <c r="I175" s="238">
        <v>70200</v>
      </c>
      <c r="J175" s="239" t="str">
        <f>IFERROR(IF(factura_c_mes3[[#This Row],[CUIT]]="","-",VLOOKUP(factura_c_mes3[[#This Row],[CUIT]],Lista_CUIT[#All],3,0)),"CUIT NO CARGADO")</f>
        <v>GASTOS MANTENIMIENTO</v>
      </c>
      <c r="K175" s="239" t="str">
        <f>IFERROR(IF(factura_c_mes3[[#This Row],[CUIT]]="","-",VLOOKUP(factura_c_mes3[[#This Row],[CUIT]],Lista_CUIT[#All],4,0)),"CUIT NO CARGADO")</f>
        <v>BUENOS AIRES</v>
      </c>
    </row>
    <row r="176" spans="4:11" hidden="1" x14ac:dyDescent="0.25">
      <c r="D176" s="240" t="s">
        <v>2265</v>
      </c>
      <c r="E176" s="240">
        <v>1</v>
      </c>
      <c r="F176" s="240">
        <v>130</v>
      </c>
      <c r="G176" s="241">
        <v>27217606255</v>
      </c>
      <c r="H176" s="242" t="str">
        <f>IFERROR(IF(factura_c_mes3[[#This Row],[CUIT]]="","-",VLOOKUP(factura_c_mes3[[#This Row],[CUIT]],Lista_CUIT[#All],2,0)),"CUIT NO CARGADO")</f>
        <v>SAPUNA MARIAN KARINA</v>
      </c>
      <c r="I176" s="243">
        <v>44327</v>
      </c>
      <c r="J176" s="244" t="str">
        <f>IFERROR(IF(factura_c_mes3[[#This Row],[CUIT]]="","-",VLOOKUP(factura_c_mes3[[#This Row],[CUIT]],Lista_CUIT[#All],3,0)),"CUIT NO CARGADO")</f>
        <v>GASTOS MANTENIMIENTO</v>
      </c>
      <c r="K176" s="244">
        <f>IFERROR(IF(factura_c_mes3[[#This Row],[CUIT]]="","-",VLOOKUP(factura_c_mes3[[#This Row],[CUIT]],Lista_CUIT[#All],4,0)),"CUIT NO CARGADO")</f>
        <v>0</v>
      </c>
    </row>
    <row r="177" spans="2:18" hidden="1" x14ac:dyDescent="0.25">
      <c r="D177" s="237"/>
      <c r="E177" s="237"/>
      <c r="F177" s="237"/>
      <c r="G177" s="204"/>
      <c r="H177" s="205" t="str">
        <f>IFERROR(IF(factura_c_mes3[[#This Row],[CUIT]]="","-",VLOOKUP(factura_c_mes3[[#This Row],[CUIT]],Lista_CUIT[#All],2,0)),"CUIT NO CARGADO")</f>
        <v>-</v>
      </c>
      <c r="I177" s="238"/>
      <c r="J177" s="239" t="str">
        <f>IFERROR(IF(factura_c_mes3[[#This Row],[CUIT]]="","-",VLOOKUP(factura_c_mes3[[#This Row],[CUIT]],Lista_CUIT[#All],3,0)),"CUIT NO CARGADO")</f>
        <v>-</v>
      </c>
      <c r="K177" s="239" t="str">
        <f>IFERROR(IF(factura_c_mes3[[#This Row],[CUIT]]="","-",VLOOKUP(factura_c_mes3[[#This Row],[CUIT]],Lista_CUIT[#All],4,0)),"CUIT NO CARGADO")</f>
        <v>-</v>
      </c>
    </row>
    <row r="178" spans="2:18" hidden="1" x14ac:dyDescent="0.25">
      <c r="D178" s="237"/>
      <c r="E178" s="237"/>
      <c r="F178" s="237"/>
      <c r="G178" s="204"/>
      <c r="H178" s="205" t="str">
        <f>IFERROR(IF(factura_c_mes3[[#This Row],[CUIT]]="","-",VLOOKUP(factura_c_mes3[[#This Row],[CUIT]],Lista_CUIT[#All],2,0)),"CUIT NO CARGADO")</f>
        <v>-</v>
      </c>
      <c r="I178" s="238"/>
      <c r="J178" s="239" t="str">
        <f>IFERROR(IF(factura_c_mes3[[#This Row],[CUIT]]="","-",VLOOKUP(factura_c_mes3[[#This Row],[CUIT]],Lista_CUIT[#All],3,0)),"CUIT NO CARGADO")</f>
        <v>-</v>
      </c>
      <c r="K178" s="239" t="str">
        <f>IFERROR(IF(factura_c_mes3[[#This Row],[CUIT]]="","-",VLOOKUP(factura_c_mes3[[#This Row],[CUIT]],Lista_CUIT[#All],4,0)),"CUIT NO CARGADO")</f>
        <v>-</v>
      </c>
    </row>
    <row r="179" spans="2:18" hidden="1" x14ac:dyDescent="0.25">
      <c r="D179" s="50"/>
      <c r="E179" s="42"/>
      <c r="F179" s="43"/>
      <c r="G179" s="44"/>
      <c r="H179" s="53" t="str">
        <f>IFERROR(IF(factura_c_mes3[[#This Row],[CUIT]]="","-",VLOOKUP(factura_c_mes3[[#This Row],[CUIT]],Lista_CUIT[#All],2,0)),"CUIT NO CARGADO")</f>
        <v>-</v>
      </c>
      <c r="I179" s="81"/>
      <c r="J179" s="54" t="str">
        <f>IFERROR(IF(factura_c_mes3[[#This Row],[CUIT]]="","-",VLOOKUP(factura_c_mes3[[#This Row],[CUIT]],Lista_CUIT[#All],3,0)),"CUIT NO CARGADO")</f>
        <v>-</v>
      </c>
      <c r="K179" s="54" t="str">
        <f>IFERROR(IF(factura_c_mes3[[#This Row],[CUIT]]="","-",VLOOKUP(factura_c_mes3[[#This Row],[CUIT]],Lista_CUIT[#All],4,0)),"CUIT NO CARGADO")</f>
        <v>-</v>
      </c>
    </row>
    <row r="180" spans="2:18" x14ac:dyDescent="0.25">
      <c r="D180" s="55" t="s">
        <v>110</v>
      </c>
      <c r="E180" s="55"/>
      <c r="F180" s="55"/>
      <c r="G180" s="55"/>
      <c r="H180" s="57"/>
      <c r="I180" s="58">
        <f>SUBTOTAL(109,factura_c_mes3[TOTAL])</f>
        <v>196420</v>
      </c>
      <c r="J180" s="55"/>
      <c r="K180" s="55"/>
    </row>
    <row r="181" spans="2:18" x14ac:dyDescent="0.25">
      <c r="B181" s="56"/>
      <c r="C181" s="56"/>
      <c r="L181" s="56"/>
      <c r="M181" s="56"/>
      <c r="N181" s="56"/>
      <c r="O181" s="56"/>
      <c r="P181" s="56"/>
      <c r="Q181" s="56"/>
      <c r="R181" s="56"/>
    </row>
    <row r="186" spans="2:18" ht="26.25" x14ac:dyDescent="0.25">
      <c r="B186" s="532" t="s">
        <v>29</v>
      </c>
      <c r="C186" s="532"/>
      <c r="D186" s="532"/>
      <c r="E186" s="532"/>
      <c r="F186" s="532"/>
      <c r="G186" s="532"/>
      <c r="H186" s="532"/>
      <c r="I186" s="532"/>
      <c r="J186" s="532"/>
      <c r="K186" s="528">
        <f>N1</f>
        <v>44986</v>
      </c>
      <c r="L186" s="528"/>
      <c r="M186" s="528"/>
    </row>
    <row r="188" spans="2:18" ht="21" x14ac:dyDescent="0.25">
      <c r="B188" s="525" t="s">
        <v>30</v>
      </c>
      <c r="C188" s="525"/>
    </row>
    <row r="189" spans="2:18" ht="15.75" x14ac:dyDescent="0.25">
      <c r="B189" s="60" t="s">
        <v>0</v>
      </c>
      <c r="C189" s="61" t="s">
        <v>1</v>
      </c>
      <c r="D189" s="61" t="s">
        <v>21</v>
      </c>
      <c r="E189" s="61" t="s">
        <v>22</v>
      </c>
      <c r="F189" s="61" t="s">
        <v>3</v>
      </c>
      <c r="G189" s="61" t="s">
        <v>4</v>
      </c>
      <c r="H189" s="61" t="s">
        <v>23</v>
      </c>
      <c r="I189" s="61" t="s">
        <v>17</v>
      </c>
      <c r="J189" s="61" t="s">
        <v>7</v>
      </c>
      <c r="K189" s="61" t="s">
        <v>24</v>
      </c>
      <c r="L189" s="61" t="s">
        <v>10</v>
      </c>
      <c r="M189" s="62" t="s">
        <v>38</v>
      </c>
    </row>
    <row r="190" spans="2:18" x14ac:dyDescent="0.25">
      <c r="B190" s="40"/>
      <c r="C190" s="41"/>
      <c r="D190" s="42"/>
      <c r="E190" s="43"/>
      <c r="F190" s="44"/>
      <c r="G190" s="99" t="str">
        <f>IFERROR(IF(venta_a_mes3[[#This Row],[CUIT]]="","-",VLOOKUP(venta_a_mes3[[#This Row],[CUIT]],Lista_CUIT[#All],2,0)),"CUIT NO CARGADO")</f>
        <v>-</v>
      </c>
      <c r="H190" s="100"/>
      <c r="I190" s="101">
        <f>venta_a_mes3[[#This Row],[IMPORTE NETO]]*0.21</f>
        <v>0</v>
      </c>
      <c r="J190" s="65"/>
      <c r="K190" s="65"/>
      <c r="L190" s="65">
        <f>SUM(venta_a_mes3[[#This Row],[IMPORTE NETO]:[EXENTO]])</f>
        <v>0</v>
      </c>
      <c r="M190" s="59"/>
    </row>
    <row r="191" spans="2:18" x14ac:dyDescent="0.25">
      <c r="B191" s="40"/>
      <c r="C191" s="41"/>
      <c r="D191" s="42"/>
      <c r="E191" s="43"/>
      <c r="F191" s="44"/>
      <c r="G191" s="99" t="str">
        <f>IFERROR(IF(venta_a_mes3[[#This Row],[CUIT]]="","-",VLOOKUP(venta_a_mes3[[#This Row],[CUIT]],Lista_CUIT[#All],2,0)),"CUIT NO CARGADO")</f>
        <v>-</v>
      </c>
      <c r="H191" s="100"/>
      <c r="I191" s="101">
        <f>venta_a_mes3[[#This Row],[IMPORTE NETO]]*0.21</f>
        <v>0</v>
      </c>
      <c r="J191" s="65"/>
      <c r="K191" s="65"/>
      <c r="L191" s="65">
        <f>SUM(venta_a_mes3[[#This Row],[IMPORTE NETO]:[EXENTO]])</f>
        <v>0</v>
      </c>
      <c r="M191" s="59"/>
    </row>
    <row r="192" spans="2:18" x14ac:dyDescent="0.25">
      <c r="B192" s="40"/>
      <c r="C192" s="41"/>
      <c r="D192" s="42"/>
      <c r="E192" s="43"/>
      <c r="F192" s="44"/>
      <c r="G192" s="99" t="str">
        <f>IFERROR(IF(venta_a_mes3[[#This Row],[CUIT]]="","-",VLOOKUP(venta_a_mes3[[#This Row],[CUIT]],Lista_CUIT[#All],2,0)),"CUIT NO CARGADO")</f>
        <v>-</v>
      </c>
      <c r="H192" s="100"/>
      <c r="I192" s="101">
        <f>venta_a_mes3[[#This Row],[IMPORTE NETO]]*0.21</f>
        <v>0</v>
      </c>
      <c r="J192" s="65"/>
      <c r="K192" s="65"/>
      <c r="L192" s="65">
        <f>SUM(venta_a_mes3[[#This Row],[IMPORTE NETO]:[EXENTO]])</f>
        <v>0</v>
      </c>
      <c r="M192" s="59"/>
    </row>
    <row r="193" spans="2:13" x14ac:dyDescent="0.25">
      <c r="B193" s="40"/>
      <c r="C193" s="41"/>
      <c r="D193" s="42"/>
      <c r="E193" s="43"/>
      <c r="F193" s="44"/>
      <c r="G193" s="99" t="str">
        <f>IFERROR(IF(venta_a_mes3[[#This Row],[CUIT]]="","-",VLOOKUP(venta_a_mes3[[#This Row],[CUIT]],Lista_CUIT[#All],2,0)),"CUIT NO CARGADO")</f>
        <v>-</v>
      </c>
      <c r="H193" s="100"/>
      <c r="I193" s="101">
        <f>venta_a_mes3[[#This Row],[IMPORTE NETO]]*0.21</f>
        <v>0</v>
      </c>
      <c r="J193" s="65"/>
      <c r="K193" s="65"/>
      <c r="L193" s="65">
        <f>SUM(venta_a_mes3[[#This Row],[IMPORTE NETO]:[EXENTO]])</f>
        <v>0</v>
      </c>
      <c r="M193" s="59"/>
    </row>
    <row r="194" spans="2:13" x14ac:dyDescent="0.25">
      <c r="B194" s="40"/>
      <c r="C194" s="41"/>
      <c r="D194" s="42"/>
      <c r="E194" s="43"/>
      <c r="F194" s="44"/>
      <c r="G194" s="99" t="str">
        <f>IFERROR(IF(venta_a_mes3[[#This Row],[CUIT]]="","-",VLOOKUP(venta_a_mes3[[#This Row],[CUIT]],Lista_CUIT[#All],2,0)),"CUIT NO CARGADO")</f>
        <v>-</v>
      </c>
      <c r="H194" s="100"/>
      <c r="I194" s="101">
        <f>venta_a_mes3[[#This Row],[IMPORTE NETO]]*0.21</f>
        <v>0</v>
      </c>
      <c r="J194" s="65"/>
      <c r="K194" s="65"/>
      <c r="L194" s="65">
        <f>SUM(venta_a_mes3[[#This Row],[IMPORTE NETO]:[EXENTO]])</f>
        <v>0</v>
      </c>
      <c r="M194" s="59"/>
    </row>
    <row r="195" spans="2:13" x14ac:dyDescent="0.25">
      <c r="B195" s="40"/>
      <c r="C195" s="41"/>
      <c r="D195" s="42"/>
      <c r="E195" s="43"/>
      <c r="F195" s="44"/>
      <c r="G195" s="99" t="str">
        <f>IFERROR(IF(venta_a_mes3[[#This Row],[CUIT]]="","-",VLOOKUP(venta_a_mes3[[#This Row],[CUIT]],Lista_CUIT[#All],2,0)),"CUIT NO CARGADO")</f>
        <v>-</v>
      </c>
      <c r="H195" s="100"/>
      <c r="I195" s="101">
        <f>venta_a_mes3[[#This Row],[IMPORTE NETO]]*0.21</f>
        <v>0</v>
      </c>
      <c r="J195" s="65"/>
      <c r="K195" s="65"/>
      <c r="L195" s="65">
        <f>SUM(venta_a_mes3[[#This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99" t="str">
        <f>IFERROR(IF(venta_a_mes3[[#This Row],[CUIT]]="","-",VLOOKUP(venta_a_mes3[[#This Row],[CUIT]],Lista_CUIT[#All],2,0)),"CUIT NO CARGADO")</f>
        <v>-</v>
      </c>
      <c r="H196" s="100"/>
      <c r="I196" s="101">
        <f>venta_a_mes3[[#This Row],[IMPORTE NETO]]*0.21</f>
        <v>0</v>
      </c>
      <c r="J196" s="65"/>
      <c r="K196" s="65"/>
      <c r="L196" s="65">
        <f>SUM(venta_a_mes3[[#This Row],[IMPORTE NETO]:[EXENTO]])</f>
        <v>0</v>
      </c>
      <c r="M196" s="63"/>
    </row>
    <row r="197" spans="2:13" x14ac:dyDescent="0.25">
      <c r="B197" s="102"/>
      <c r="C197" s="103"/>
      <c r="D197" s="104"/>
      <c r="E197" s="105"/>
      <c r="F197" s="106"/>
      <c r="G197" s="99" t="str">
        <f>IFERROR(IF(venta_a_mes3[[#This Row],[CUIT]]="","-",VLOOKUP(venta_a_mes3[[#This Row],[CUIT]],Lista_CUIT[#All],2,0)),"CUIT NO CARGADO")</f>
        <v>-</v>
      </c>
      <c r="H197" s="107"/>
      <c r="I197" s="108">
        <f>venta_a_mes3[[#This Row],[IMPORTE NETO]]*0.21</f>
        <v>0</v>
      </c>
      <c r="J197" s="72"/>
      <c r="K197" s="72"/>
      <c r="L197" s="72">
        <f>SUM(venta_a_mes3[[#This Row],[IMPORTE NETO]:[EXENTO]])</f>
        <v>0</v>
      </c>
      <c r="M197" s="63"/>
    </row>
    <row r="198" spans="2:13" x14ac:dyDescent="0.25">
      <c r="B198" s="109"/>
      <c r="C198" s="110"/>
      <c r="D198" s="111"/>
      <c r="E198" s="112"/>
      <c r="F198" s="113"/>
      <c r="G198" s="99" t="str">
        <f>IFERROR(IF(venta_a_mes3[[#This Row],[CUIT]]="","-",VLOOKUP(venta_a_mes3[[#This Row],[CUIT]],Lista_CUIT[#All],2,0)),"CUIT NO CARGADO")</f>
        <v>-</v>
      </c>
      <c r="H198" s="100"/>
      <c r="I198" s="101">
        <f>venta_a_mes3[[#This Row],[IMPORTE NETO]]*0.21</f>
        <v>0</v>
      </c>
      <c r="J198" s="65"/>
      <c r="K198" s="65"/>
      <c r="L198" s="65">
        <f>SUM(venta_a_mes3[[#This Row],[IMPORTE NETO]:[EXENTO]])</f>
        <v>0</v>
      </c>
      <c r="M198" s="59"/>
    </row>
    <row r="199" spans="2:13" x14ac:dyDescent="0.25">
      <c r="B199" s="66" t="s">
        <v>110</v>
      </c>
      <c r="C199" s="67"/>
      <c r="D199" s="67"/>
      <c r="E199" s="67"/>
      <c r="F199" s="67"/>
      <c r="G199" s="67"/>
      <c r="H199" s="69">
        <f>SUBTOTAL(109,venta_a_mes3[IMPORTE NETO])</f>
        <v>0</v>
      </c>
      <c r="I199" s="70">
        <f>SUBTOTAL(109,venta_a_mes3[IVA 21%])</f>
        <v>0</v>
      </c>
      <c r="J199" s="71">
        <f>SUBTOTAL(109,venta_a_mes3[IVA 10,5%])</f>
        <v>0</v>
      </c>
      <c r="K199" s="71">
        <f>SUBTOTAL(109,venta_a_mes3[EXENTO])</f>
        <v>0</v>
      </c>
      <c r="L199" s="71">
        <f>SUBTOTAL(109,venta_a_mes3[TOTAL])</f>
        <v>0</v>
      </c>
      <c r="M199" s="68">
        <f>SUBTOTAL(103,venta_a_mes3[Provincia])</f>
        <v>0</v>
      </c>
    </row>
    <row r="202" spans="2:13" ht="21" x14ac:dyDescent="0.25">
      <c r="B202" s="525" t="s">
        <v>31</v>
      </c>
      <c r="C202" s="525"/>
    </row>
    <row r="203" spans="2:13" ht="15.75" x14ac:dyDescent="0.25">
      <c r="B203" s="60" t="s">
        <v>0</v>
      </c>
      <c r="C203" s="61" t="s">
        <v>1</v>
      </c>
      <c r="D203" s="61" t="s">
        <v>21</v>
      </c>
      <c r="E203" s="61" t="s">
        <v>22</v>
      </c>
      <c r="F203" s="61" t="s">
        <v>3</v>
      </c>
      <c r="G203" s="61" t="s">
        <v>4</v>
      </c>
      <c r="H203" s="61" t="s">
        <v>23</v>
      </c>
      <c r="I203" s="61" t="s">
        <v>17</v>
      </c>
      <c r="J203" s="61" t="s">
        <v>7</v>
      </c>
      <c r="K203" s="61" t="s">
        <v>24</v>
      </c>
      <c r="L203" s="61" t="s">
        <v>10</v>
      </c>
      <c r="M203" s="62" t="s">
        <v>38</v>
      </c>
    </row>
    <row r="204" spans="2:13" x14ac:dyDescent="0.25">
      <c r="B204" s="40"/>
      <c r="C204" s="41"/>
      <c r="D204" s="42"/>
      <c r="E204" s="43"/>
      <c r="F204" s="44"/>
      <c r="G204" s="1" t="str">
        <f>IFERROR(IF(ventas_b_mes3[[#This Row],[CUIT]]="","-",VLOOKUP(ventas_b_mes3[[#This Row],[CUIT]],Lista_CUIT[#All],2,0)),"CUIT NO CARGADO")</f>
        <v>-</v>
      </c>
      <c r="H204" s="64"/>
      <c r="I204" s="64"/>
      <c r="J204" s="64"/>
      <c r="K204" s="64"/>
      <c r="L204" s="64">
        <f>SUM(ventas_b_mes3[[#This Row],[IMPORTE NETO]:[EXENTO]])</f>
        <v>0</v>
      </c>
      <c r="M204" s="59"/>
    </row>
    <row r="205" spans="2:13" x14ac:dyDescent="0.25">
      <c r="B205" s="40"/>
      <c r="C205" s="41"/>
      <c r="D205" s="42"/>
      <c r="E205" s="43"/>
      <c r="F205" s="44"/>
      <c r="G205" s="1"/>
      <c r="H205" s="64"/>
      <c r="I205" s="64"/>
      <c r="J205" s="64"/>
      <c r="K205" s="64"/>
      <c r="L205" s="64">
        <f>SUM(ventas_b_mes3[[#This Row],[IMPORTE NETO]:[EXENTO]])</f>
        <v>0</v>
      </c>
      <c r="M205" s="59"/>
    </row>
    <row r="206" spans="2:13" x14ac:dyDescent="0.25">
      <c r="B206" s="40"/>
      <c r="C206" s="41"/>
      <c r="D206" s="42"/>
      <c r="E206" s="43"/>
      <c r="F206" s="44"/>
      <c r="G206" s="1"/>
      <c r="H206" s="64"/>
      <c r="I206" s="64"/>
      <c r="J206" s="64"/>
      <c r="K206" s="64"/>
      <c r="L206" s="64">
        <f>SUM(ventas_b_mes3[[#This Row],[IMPORTE NETO]:[EXENTO]])</f>
        <v>0</v>
      </c>
      <c r="M206" s="59"/>
    </row>
    <row r="207" spans="2:13" x14ac:dyDescent="0.25">
      <c r="B207" s="40"/>
      <c r="C207" s="41"/>
      <c r="D207" s="42"/>
      <c r="E207" s="43"/>
      <c r="F207" s="44"/>
      <c r="G207" s="1"/>
      <c r="H207" s="64"/>
      <c r="I207" s="64"/>
      <c r="J207" s="64"/>
      <c r="K207" s="64"/>
      <c r="L207" s="64">
        <f>SUM(ventas_b_mes3[[#This Row],[IMPORTE NETO]:[EXENTO]])</f>
        <v>0</v>
      </c>
      <c r="M207" s="59"/>
    </row>
    <row r="208" spans="2:13" x14ac:dyDescent="0.25">
      <c r="B208" s="40"/>
      <c r="C208" s="41"/>
      <c r="D208" s="42"/>
      <c r="E208" s="43"/>
      <c r="F208" s="44"/>
      <c r="G208" s="1"/>
      <c r="H208" s="64"/>
      <c r="I208" s="64"/>
      <c r="J208" s="64"/>
      <c r="K208" s="64"/>
      <c r="L208" s="64">
        <f>SUM(ventas_b_mes3[[#This Row],[IMPORTE NETO]:[EXENTO]])</f>
        <v>0</v>
      </c>
      <c r="M208" s="59"/>
    </row>
    <row r="209" spans="2:13" x14ac:dyDescent="0.25">
      <c r="B209" s="40"/>
      <c r="C209" s="41"/>
      <c r="D209" s="42"/>
      <c r="E209" s="43"/>
      <c r="F209" s="44"/>
      <c r="G209" s="1"/>
      <c r="H209" s="64"/>
      <c r="I209" s="64"/>
      <c r="J209" s="64"/>
      <c r="K209" s="64"/>
      <c r="L209" s="64">
        <f>SUM(ventas_b_mes3[[#This Row],[IMPORTE NETO]:[EXENTO]])</f>
        <v>0</v>
      </c>
      <c r="M209" s="59"/>
    </row>
    <row r="210" spans="2:13" x14ac:dyDescent="0.25">
      <c r="B210" s="66" t="s">
        <v>110</v>
      </c>
      <c r="C210" s="67"/>
      <c r="D210" s="67"/>
      <c r="E210" s="67"/>
      <c r="F210" s="67"/>
      <c r="G210" s="67"/>
      <c r="H210" s="77">
        <f>SUBTOTAL(109,ventas_b_mes3[IMPORTE NETO])</f>
        <v>0</v>
      </c>
      <c r="I210" s="77">
        <f>SUBTOTAL(109,ventas_b_mes3[IVA 21%])</f>
        <v>0</v>
      </c>
      <c r="J210" s="78">
        <f>SUBTOTAL(109,ventas_b_mes3[IVA 10,5%])</f>
        <v>0</v>
      </c>
      <c r="K210" s="78">
        <f>SUBTOTAL(109,ventas_b_mes3[EXENTO])</f>
        <v>0</v>
      </c>
      <c r="L210" s="78">
        <f>SUBTOTAL(109,ventas_b_mes3[TOTAL])</f>
        <v>0</v>
      </c>
      <c r="M210" s="68">
        <f>SUBTOTAL(103,ventas_b_mes3[Provincia])</f>
        <v>0</v>
      </c>
    </row>
    <row r="217" spans="2:13" ht="15.75" thickBot="1" x14ac:dyDescent="0.3"/>
    <row r="218" spans="2:13" ht="15.75" thickTop="1" x14ac:dyDescent="0.25">
      <c r="C218" s="522" t="s">
        <v>66</v>
      </c>
      <c r="D218" s="522"/>
      <c r="E218" s="522"/>
      <c r="F218" s="522"/>
      <c r="G218" s="522"/>
      <c r="H218" s="32"/>
      <c r="I218" s="32"/>
      <c r="J218" s="32"/>
    </row>
    <row r="219" spans="2:13" ht="15.75" x14ac:dyDescent="0.25">
      <c r="C219" s="114" t="s">
        <v>67</v>
      </c>
      <c r="D219" s="115" t="s">
        <v>68</v>
      </c>
      <c r="E219" s="115" t="s">
        <v>112</v>
      </c>
      <c r="F219" s="115" t="s">
        <v>3</v>
      </c>
      <c r="G219" s="115" t="s">
        <v>4</v>
      </c>
      <c r="H219" s="116" t="s">
        <v>69</v>
      </c>
      <c r="I219" s="116" t="s">
        <v>70</v>
      </c>
      <c r="J219" s="116" t="s">
        <v>71</v>
      </c>
      <c r="K219" s="116" t="s">
        <v>72</v>
      </c>
      <c r="L219" s="116" t="s">
        <v>73</v>
      </c>
    </row>
    <row r="220" spans="2:13" x14ac:dyDescent="0.25">
      <c r="C220" s="117"/>
      <c r="D220" s="118"/>
      <c r="E220" s="118"/>
      <c r="F220" s="119"/>
      <c r="G220" s="53" t="str">
        <f>IFERROR(IF(Retenciones_mes3[[#This Row],[CUIT]]="","-",VLOOKUP(Retenciones_mes3[[#This Row],[CUIT]],Lista_CUIT[#All],2,0)),"CUIT NO CARGADO")</f>
        <v>-</v>
      </c>
      <c r="H220" s="120"/>
      <c r="I220" s="120">
        <v>9597.94</v>
      </c>
      <c r="J220" s="120">
        <v>914.09</v>
      </c>
      <c r="K220" s="120"/>
      <c r="L220" s="120"/>
    </row>
    <row r="221" spans="2:13" x14ac:dyDescent="0.25">
      <c r="C221" s="117"/>
      <c r="D221" s="118"/>
      <c r="E221" s="118"/>
      <c r="F221" s="119"/>
      <c r="G221" s="53" t="str">
        <f>IFERROR(IF(Retenciones_mes3[[#This Row],[CUIT]]="","-",VLOOKUP(Retenciones_mes3[[#This Row],[CUIT]],Lista_CUIT[#All],2,0)),"CUIT NO CARGADO")</f>
        <v>-</v>
      </c>
      <c r="H221" s="120"/>
      <c r="I221" s="120"/>
      <c r="J221" s="120"/>
      <c r="K221" s="120"/>
      <c r="L221" s="120"/>
    </row>
    <row r="222" spans="2:13" x14ac:dyDescent="0.25">
      <c r="C222" s="117"/>
      <c r="D222" s="118"/>
      <c r="E222" s="118"/>
      <c r="F222" s="119"/>
      <c r="G222" s="53" t="str">
        <f>IFERROR(IF(Retenciones_mes3[[#This Row],[CUIT]]="","-",VLOOKUP(Retenciones_mes3[[#This Row],[CUIT]],Lista_CUIT[#All],2,0)),"CUIT NO CARGADO")</f>
        <v>-</v>
      </c>
      <c r="H222" s="120"/>
      <c r="I222" s="120"/>
      <c r="J222" s="120"/>
      <c r="K222" s="120"/>
      <c r="L222" s="120"/>
    </row>
    <row r="223" spans="2:13" x14ac:dyDescent="0.25">
      <c r="C223" s="117"/>
      <c r="D223" s="118"/>
      <c r="E223" s="118"/>
      <c r="F223" s="119"/>
      <c r="G223" s="53" t="str">
        <f>IFERROR(IF(Retenciones_mes3[[#This Row],[CUIT]]="","-",VLOOKUP(Retenciones_mes3[[#This Row],[CUIT]],Lista_CUIT[#All],2,0)),"CUIT NO CARGADO")</f>
        <v>-</v>
      </c>
      <c r="H223" s="120"/>
      <c r="I223" s="120"/>
      <c r="J223" s="120"/>
      <c r="K223" s="120"/>
      <c r="L223" s="120"/>
    </row>
    <row r="224" spans="2:13" x14ac:dyDescent="0.25">
      <c r="D224" s="118"/>
      <c r="E224" s="118"/>
      <c r="G224" s="53" t="str">
        <f>IFERROR(IF(Retenciones_mes3[[#This Row],[CUIT]]="","-",VLOOKUP(Retenciones_mes3[[#This Row],[CUIT]],Lista_CUIT[#All],2,0)),"CUIT NO CARGADO")</f>
        <v>-</v>
      </c>
    </row>
    <row r="225" spans="3:3" x14ac:dyDescent="0.25">
      <c r="C225" s="33"/>
    </row>
  </sheetData>
  <mergeCells count="20">
    <mergeCell ref="C218:G218"/>
    <mergeCell ref="B4:E4"/>
    <mergeCell ref="G4:H4"/>
    <mergeCell ref="J4:K4"/>
    <mergeCell ref="M4:N4"/>
    <mergeCell ref="D141:K141"/>
    <mergeCell ref="B186:J186"/>
    <mergeCell ref="K186:M186"/>
    <mergeCell ref="B188:C188"/>
    <mergeCell ref="B202:C202"/>
    <mergeCell ref="P4:R4"/>
    <mergeCell ref="D132:L132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D190:D198 D204:D209 E143:E179 D9:D126" xr:uid="{00000000-0002-0000-0300-000000000000}">
      <formula1>1</formula1>
      <formula2>9999</formula2>
    </dataValidation>
    <dataValidation type="whole" allowBlank="1" showInputMessage="1" showErrorMessage="1" sqref="E190:E198 E204:E209 F143:F179 E9:E126" xr:uid="{00000000-0002-0000-0300-000001000000}">
      <formula1>1</formula1>
      <formula2>99999999</formula2>
    </dataValidation>
    <dataValidation type="whole" allowBlank="1" showInputMessage="1" showErrorMessage="1" sqref="F190:F198 F204:F209 G143:G179 F9:F126" xr:uid="{00000000-0002-0000-0300-000002000000}">
      <formula1>20000000000</formula1>
      <formula2>33999999999</formula2>
    </dataValidation>
    <dataValidation type="date" allowBlank="1" showInputMessage="1" showErrorMessage="1" sqref="D134:D136 B190:B198 B128:B131 B204:B209 D143:D179 B9:B126" xr:uid="{00000000-0002-0000-0300-000003000000}">
      <formula1>40179</formula1>
      <formula2>TODAY()</formula2>
    </dataValidation>
    <dataValidation type="whole" allowBlank="1" showInputMessage="1" showErrorMessage="1" sqref="C128:C131 C190:C198 C9:C126" xr:uid="{00000000-0002-0000-0300-000004000000}">
      <formula1>1</formula1>
      <formula2>3</formula2>
    </dataValidation>
    <dataValidation type="custom" allowBlank="1" showInputMessage="1" showErrorMessage="1" sqref="H190:K190 H192:K192 H194:K194 H196:K196" xr:uid="{00000000-0002-0000-0300-000005000000}">
      <formula1>IF($C190=3,H190&lt;0,H190&gt;=0)</formula1>
    </dataValidation>
    <dataValidation type="whole" allowBlank="1" showInputMessage="1" showErrorMessage="1" sqref="C204:C209" xr:uid="{00000000-0002-0000-0300-000006000000}">
      <formula1>6</formula1>
      <formula2>8</formula2>
    </dataValidation>
    <dataValidation type="custom" allowBlank="1" showInputMessage="1" showErrorMessage="1" sqref="L190:L191" xr:uid="{00000000-0002-0000-0300-000007000000}">
      <formula1>IF($C9=3,L9&lt;0,L9&gt;=0)</formula1>
    </dataValidation>
    <dataValidation type="custom" allowBlank="1" showInputMessage="1" showErrorMessage="1" sqref="L192:L194" xr:uid="{00000000-0002-0000-0300-000008000000}">
      <formula1>IF($C77=3,L77&lt;0,L77&gt;=0)</formula1>
    </dataValidation>
    <dataValidation type="custom" allowBlank="1" showInputMessage="1" showErrorMessage="1" sqref="H204:L209" xr:uid="{00000000-0002-0000-0300-000009000000}">
      <formula1>IF($C204=8,H204&lt;0,H204&gt;=0)</formula1>
    </dataValidation>
    <dataValidation type="custom" allowBlank="1" showInputMessage="1" showErrorMessage="1" sqref="L195:L196" xr:uid="{00000000-0002-0000-0300-00000A000000}">
      <formula1>IF($C127=3,L127&lt;0,L127&gt;=0)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26" xr:uid="{00000000-0002-0000-03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</sheetPr>
  <dimension ref="A1:Z528"/>
  <sheetViews>
    <sheetView showGridLines="0" topLeftCell="C106" zoomScale="80" zoomScaleNormal="80" workbookViewId="0">
      <selection activeCell="K174" sqref="K174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47.28515625" customWidth="1"/>
    <col min="8" max="8" width="33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EDATE('Ene-23'!N1,3)</f>
        <v>45017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SUM(compras_mes4[[#Totals],[NETO GRAVADO]])+extracto_banco_mes4[[#Totals],[NETO]]</f>
        <v>11531323.49</v>
      </c>
      <c r="C4" s="530"/>
      <c r="D4" s="530"/>
      <c r="E4" s="530"/>
      <c r="F4" s="39"/>
      <c r="G4" s="531">
        <f>compras_mes4[[#Totals],[IVA 21 %]]+compras_mes4[[#Totals],[IVA 27%]]+compras_mes4[[#Totals],[IVA 10,5%]]+extracto_banco_mes4[[#Totals],[IVA 21%]]+extracto_banco_mes4[[#Totals],[IVA 10,5%]]</f>
        <v>2380377.1456000013</v>
      </c>
      <c r="H4" s="531"/>
      <c r="I4" s="39"/>
      <c r="J4" s="537">
        <f>venta_a_mes4[[#Totals],[IMPORTE NETO]]+ventas_b_mes4[[#Totals],[IMPORTE NETO]]</f>
        <v>30156054.629999992</v>
      </c>
      <c r="K4" s="537"/>
      <c r="L4" s="39"/>
      <c r="M4" s="537">
        <f>venta_a_mes4[[#Totals],[IVA 21%]]+venta_a_mes4[[#Totals],[IVA 10,5%]]+ventas_b_mes4[[#Totals],[IVA 21%]]+ventas_b_mes4[[#Totals],[IVA 10,5%]]</f>
        <v>6332771.4722999986</v>
      </c>
      <c r="N4" s="537"/>
      <c r="O4" s="39"/>
      <c r="P4" s="533">
        <f>G4-M4</f>
        <v>-3952394.3266999973</v>
      </c>
      <c r="Q4" s="534"/>
      <c r="R4" s="534"/>
    </row>
    <row r="5" spans="1:26" ht="13.15" customHeight="1" x14ac:dyDescent="0.25"/>
    <row r="6" spans="1:26" ht="33" customHeight="1" x14ac:dyDescent="0.25"/>
    <row r="7" spans="1:26" s="2" customFormat="1" ht="28.5" customHeight="1" x14ac:dyDescent="0.25">
      <c r="B7" s="40"/>
      <c r="C7" s="41"/>
      <c r="D7" s="42"/>
      <c r="E7" s="43"/>
      <c r="F7" s="44"/>
      <c r="G7" s="272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19">
        <v>44939</v>
      </c>
      <c r="C9" s="209">
        <v>1</v>
      </c>
      <c r="D9" s="220">
        <v>6</v>
      </c>
      <c r="E9" s="221">
        <v>788</v>
      </c>
      <c r="F9" s="222">
        <v>30716815710</v>
      </c>
      <c r="G9" s="223" t="str">
        <f>IFERROR(IF(compras_mes4[[#This Row],[CUIT]]="","-",VLOOKUP(compras_mes4[[#This Row],[CUIT]],Lista_CUIT[#All],2,0)),"CUIT NO CARGADO")</f>
        <v>PAPELERA GEOPEL SRL</v>
      </c>
      <c r="H9" s="224">
        <v>930</v>
      </c>
      <c r="I9" s="225">
        <f>IF(compras_mes4[[#This Row],[NETO GRAVADO]]="","",compras_mes4[[#This Row],[NETO GRAVADO]]*0.21)</f>
        <v>195.29999999999998</v>
      </c>
      <c r="J9" s="225"/>
      <c r="K9" s="225"/>
      <c r="L9" s="225"/>
      <c r="M9" s="225"/>
      <c r="N9" s="225"/>
      <c r="O9" s="225"/>
      <c r="P9" s="226">
        <f>SUM(compras_mes4[[#This Row],[NETO GRAVADO]:[Otros / No Grav.]])</f>
        <v>1125.3</v>
      </c>
      <c r="Q9" s="227" t="str">
        <f>IFERROR(IF(compras_mes4[[#This Row],[CUIT]]="","-",VLOOKUP(compras_mes4[[#This Row],[CUIT]],Lista_CUIT[#All],3,0)),"CUIT NO CARGADO")</f>
        <v>PAPELERIA</v>
      </c>
      <c r="R9" s="227">
        <f>IFERROR(IF(compras_mes4[[#This Row],[CUIT]]="","-",VLOOKUP(compras_mes4[[#This Row],[CUIT]],Lista_CUIT[#All],4,0)),"CUIT NO CARGADO")</f>
        <v>0</v>
      </c>
    </row>
    <row r="10" spans="1:26" x14ac:dyDescent="0.25">
      <c r="B10" s="219">
        <v>44966</v>
      </c>
      <c r="C10" s="209">
        <v>1</v>
      </c>
      <c r="D10" s="220">
        <v>6</v>
      </c>
      <c r="E10" s="221">
        <v>827</v>
      </c>
      <c r="F10" s="222">
        <v>30716815710</v>
      </c>
      <c r="G10" s="223" t="str">
        <f>IFERROR(IF(compras_mes4[[#This Row],[CUIT]]="","-",VLOOKUP(compras_mes4[[#This Row],[CUIT]],Lista_CUIT[#All],2,0)),"CUIT NO CARGADO")</f>
        <v>PAPELERA GEOPEL SRL</v>
      </c>
      <c r="H10" s="224">
        <v>1360</v>
      </c>
      <c r="I10" s="225">
        <f>IF(compras_mes4[[#This Row],[NETO GRAVADO]]="","",compras_mes4[[#This Row],[NETO GRAVADO]]*0.21)</f>
        <v>285.59999999999997</v>
      </c>
      <c r="J10" s="225"/>
      <c r="K10" s="225"/>
      <c r="L10" s="225"/>
      <c r="M10" s="225"/>
      <c r="N10" s="225"/>
      <c r="O10" s="225"/>
      <c r="P10" s="226">
        <f>SUM(compras_mes4[[#This Row],[NETO GRAVADO]:[Otros / No Grav.]])</f>
        <v>1645.6</v>
      </c>
      <c r="Q10" s="227" t="str">
        <f>IFERROR(IF(compras_mes4[[#This Row],[CUIT]]="","-",VLOOKUP(compras_mes4[[#This Row],[CUIT]],Lista_CUIT[#All],3,0)),"CUIT NO CARGADO")</f>
        <v>PAPELERIA</v>
      </c>
      <c r="R10" s="227">
        <f>IFERROR(IF(compras_mes4[[#This Row],[CUIT]]="","-",VLOOKUP(compras_mes4[[#This Row],[CUIT]],Lista_CUIT[#All],4,0)),"CUIT NO CARGADO")</f>
        <v>0</v>
      </c>
    </row>
    <row r="11" spans="1:26" x14ac:dyDescent="0.25">
      <c r="B11" s="40">
        <v>44971</v>
      </c>
      <c r="C11" s="41">
        <v>1</v>
      </c>
      <c r="D11" s="42">
        <v>2398</v>
      </c>
      <c r="E11" s="43">
        <v>669</v>
      </c>
      <c r="F11" s="44">
        <v>30692138747</v>
      </c>
      <c r="G11" s="45" t="str">
        <f>IFERROR(IF(compras_mes4[[#This Row],[CUIT]]="","-",VLOOKUP(compras_mes4[[#This Row],[CUIT]],Lista_CUIT[#All],2,0)),"CUIT NO CARGADO")</f>
        <v>FARMACITY SA</v>
      </c>
      <c r="H11" s="46">
        <v>2295.0500000000002</v>
      </c>
      <c r="I11" s="85">
        <f>IF(compras_mes4[[#This Row],[NETO GRAVADO]]="","",compras_mes4[[#This Row],[NETO GRAVADO]]*0.21)</f>
        <v>481.96050000000002</v>
      </c>
      <c r="J11" s="85"/>
      <c r="K11" s="85"/>
      <c r="L11" s="85"/>
      <c r="M11" s="85"/>
      <c r="N11" s="85">
        <v>68.849999999999994</v>
      </c>
      <c r="O11" s="85"/>
      <c r="P11" s="48">
        <f>SUM(compras_mes4[[#This Row],[NETO GRAVADO]:[Otros / No Grav.]])</f>
        <v>2845.8605000000002</v>
      </c>
      <c r="Q11" s="49" t="str">
        <f>IFERROR(IF(compras_mes4[[#This Row],[CUIT]]="","-",VLOOKUP(compras_mes4[[#This Row],[CUIT]],Lista_CUIT[#All],3,0)),"CUIT NO CARGADO")</f>
        <v>GASTOS ADMINISTRATIVOS</v>
      </c>
      <c r="R11" s="49">
        <f>IFERROR(IF(compras_mes4[[#This Row],[CUIT]]="","-",VLOOKUP(compras_mes4[[#This Row],[CUIT]],Lista_CUIT[#All],4,0)),"CUIT NO CARGADO")</f>
        <v>0</v>
      </c>
    </row>
    <row r="12" spans="1:26" x14ac:dyDescent="0.25">
      <c r="B12" s="350">
        <v>44973</v>
      </c>
      <c r="C12" s="351">
        <v>1</v>
      </c>
      <c r="D12" s="352">
        <v>13</v>
      </c>
      <c r="E12" s="353">
        <v>1095</v>
      </c>
      <c r="F12" s="354">
        <v>33709914109</v>
      </c>
      <c r="G12" s="355" t="str">
        <f>IFERROR(IF(compras_mes4[[#This Row],[CUIT]]="","-",VLOOKUP(compras_mes4[[#This Row],[CUIT]],Lista_CUIT[#All],2,0)),"CUIT NO CARGADO")</f>
        <v xml:space="preserve">ALAN COLLECTION SA </v>
      </c>
      <c r="H12" s="356">
        <v>1322.31</v>
      </c>
      <c r="I12" s="357">
        <f>IF(compras_mes4[[#This Row],[NETO GRAVADO]]="","",compras_mes4[[#This Row],[NETO GRAVADO]]*0.21)</f>
        <v>277.68509999999998</v>
      </c>
      <c r="J12" s="357"/>
      <c r="K12" s="357"/>
      <c r="L12" s="357"/>
      <c r="M12" s="357"/>
      <c r="N12" s="357"/>
      <c r="O12" s="357"/>
      <c r="P12" s="358">
        <f>SUM(compras_mes4[[#This Row],[NETO GRAVADO]:[Otros / No Grav.]])</f>
        <v>1599.9950999999999</v>
      </c>
      <c r="Q12" s="359" t="str">
        <f>IFERROR(IF(compras_mes4[[#This Row],[CUIT]]="","-",VLOOKUP(compras_mes4[[#This Row],[CUIT]],Lista_CUIT[#All],3,0)),"CUIT NO CARGADO")</f>
        <v>MERCADERIA</v>
      </c>
      <c r="R12" s="359">
        <f>IFERROR(IF(compras_mes4[[#This Row],[CUIT]]="","-",VLOOKUP(compras_mes4[[#This Row],[CUIT]],Lista_CUIT[#All],4,0)),"CUIT NO CARGADO")</f>
        <v>0</v>
      </c>
    </row>
    <row r="13" spans="1:26" x14ac:dyDescent="0.25">
      <c r="B13" s="350">
        <v>44998</v>
      </c>
      <c r="C13" s="351">
        <v>1</v>
      </c>
      <c r="D13" s="352">
        <v>13</v>
      </c>
      <c r="E13" s="353">
        <v>1119</v>
      </c>
      <c r="F13" s="354">
        <v>33709914109</v>
      </c>
      <c r="G13" s="355" t="str">
        <f>IFERROR(IF(compras_mes4[[#This Row],[CUIT]]="","-",VLOOKUP(compras_mes4[[#This Row],[CUIT]],Lista_CUIT[#All],2,0)),"CUIT NO CARGADO")</f>
        <v xml:space="preserve">ALAN COLLECTION SA </v>
      </c>
      <c r="H13" s="356">
        <v>5289.26</v>
      </c>
      <c r="I13" s="357">
        <f>IF(compras_mes4[[#This Row],[NETO GRAVADO]]="","",compras_mes4[[#This Row],[NETO GRAVADO]]*0.21)</f>
        <v>1110.7446</v>
      </c>
      <c r="J13" s="357"/>
      <c r="K13" s="357"/>
      <c r="L13" s="357"/>
      <c r="M13" s="357"/>
      <c r="N13" s="357"/>
      <c r="O13" s="357"/>
      <c r="P13" s="358">
        <f>SUM(compras_mes4[[#This Row],[NETO GRAVADO]:[Otros / No Grav.]])</f>
        <v>6400.0046000000002</v>
      </c>
      <c r="Q13" s="359" t="str">
        <f>IFERROR(IF(compras_mes4[[#This Row],[CUIT]]="","-",VLOOKUP(compras_mes4[[#This Row],[CUIT]],Lista_CUIT[#All],3,0)),"CUIT NO CARGADO")</f>
        <v>MERCADERIA</v>
      </c>
      <c r="R13" s="359">
        <f>IFERROR(IF(compras_mes4[[#This Row],[CUIT]]="","-",VLOOKUP(compras_mes4[[#This Row],[CUIT]],Lista_CUIT[#All],4,0)),"CUIT NO CARGADO")</f>
        <v>0</v>
      </c>
    </row>
    <row r="14" spans="1:26" x14ac:dyDescent="0.25">
      <c r="B14" s="340">
        <v>44998</v>
      </c>
      <c r="C14" s="341">
        <v>1</v>
      </c>
      <c r="D14" s="342">
        <v>13</v>
      </c>
      <c r="E14" s="343">
        <v>52</v>
      </c>
      <c r="F14" s="344">
        <v>20334976433</v>
      </c>
      <c r="G14" s="345" t="str">
        <f>IFERROR(IF(compras_mes4[[#This Row],[CUIT]]="","-",VLOOKUP(compras_mes4[[#This Row],[CUIT]],Lista_CUIT[#All],2,0)),"CUIT NO CARGADO")</f>
        <v>NARDOMARINO EZEQUIEL EDUARDO</v>
      </c>
      <c r="H14" s="346">
        <v>93318.18</v>
      </c>
      <c r="I14" s="347">
        <f>IF(compras_mes4[[#This Row],[NETO GRAVADO]]="","",compras_mes4[[#This Row],[NETO GRAVADO]]*0.21)</f>
        <v>19596.817799999997</v>
      </c>
      <c r="J14" s="347"/>
      <c r="K14" s="347"/>
      <c r="L14" s="347"/>
      <c r="M14" s="347"/>
      <c r="N14" s="347"/>
      <c r="O14" s="347"/>
      <c r="P14" s="348">
        <f>SUM(compras_mes4[[#This Row],[NETO GRAVADO]:[Otros / No Grav.]])</f>
        <v>112914.99779999998</v>
      </c>
      <c r="Q14" s="349" t="str">
        <f>IFERROR(IF(compras_mes4[[#This Row],[CUIT]]="","-",VLOOKUP(compras_mes4[[#This Row],[CUIT]],Lista_CUIT[#All],3,0)),"CUIT NO CARGADO")</f>
        <v>FLETE</v>
      </c>
      <c r="R14" s="349">
        <f>IFERROR(IF(compras_mes4[[#This Row],[CUIT]]="","-",VLOOKUP(compras_mes4[[#This Row],[CUIT]],Lista_CUIT[#All],4,0)),"CUIT NO CARGADO")</f>
        <v>0</v>
      </c>
    </row>
    <row r="15" spans="1:26" x14ac:dyDescent="0.25">
      <c r="B15" s="219">
        <v>45000</v>
      </c>
      <c r="C15" s="209">
        <v>1</v>
      </c>
      <c r="D15" s="220">
        <v>17</v>
      </c>
      <c r="E15" s="221">
        <v>833</v>
      </c>
      <c r="F15" s="222">
        <v>30711764921</v>
      </c>
      <c r="G15" s="223" t="str">
        <f>IFERROR(IF(compras_mes4[[#This Row],[CUIT]]="","-",VLOOKUP(compras_mes4[[#This Row],[CUIT]],Lista_CUIT[#All],2,0)),"CUIT NO CARGADO")</f>
        <v>RELIEF CENTER SRL</v>
      </c>
      <c r="H15" s="224">
        <v>35335</v>
      </c>
      <c r="I15" s="225">
        <f>IF(compras_mes4[[#This Row],[NETO GRAVADO]]="","",compras_mes4[[#This Row],[NETO GRAVADO]]*0.21)</f>
        <v>7420.3499999999995</v>
      </c>
      <c r="J15" s="225"/>
      <c r="K15" s="225"/>
      <c r="L15" s="225"/>
      <c r="M15" s="225"/>
      <c r="N15" s="225"/>
      <c r="O15" s="225"/>
      <c r="P15" s="226">
        <f>SUM(compras_mes4[[#This Row],[NETO GRAVADO]:[Otros / No Grav.]])</f>
        <v>42755.35</v>
      </c>
      <c r="Q15" s="227" t="str">
        <f>IFERROR(IF(compras_mes4[[#This Row],[CUIT]]="","-",VLOOKUP(compras_mes4[[#This Row],[CUIT]],Lista_CUIT[#All],3,0)),"CUIT NO CARGADO")</f>
        <v>Productos Ortopedicos</v>
      </c>
      <c r="R15" s="227">
        <f>IFERROR(IF(compras_mes4[[#This Row],[CUIT]]="","-",VLOOKUP(compras_mes4[[#This Row],[CUIT]],Lista_CUIT[#All],4,0)),"CUIT NO CARGADO")</f>
        <v>0</v>
      </c>
    </row>
    <row r="16" spans="1:26" x14ac:dyDescent="0.25">
      <c r="B16" s="219">
        <v>45005</v>
      </c>
      <c r="C16" s="209">
        <v>1</v>
      </c>
      <c r="D16" s="220">
        <v>10</v>
      </c>
      <c r="E16" s="221">
        <v>91</v>
      </c>
      <c r="F16" s="222">
        <v>30716229552</v>
      </c>
      <c r="G16" s="223" t="str">
        <f>IFERROR(IF(compras_mes4[[#This Row],[CUIT]]="","-",VLOOKUP(compras_mes4[[#This Row],[CUIT]],Lista_CUIT[#All],2,0)),"CUIT NO CARGADO")</f>
        <v>LUBRICANTES RUTA DE P e H SRL</v>
      </c>
      <c r="H16" s="224">
        <v>1892.56</v>
      </c>
      <c r="I16" s="225">
        <f>IF(compras_mes4[[#This Row],[NETO GRAVADO]]="","",compras_mes4[[#This Row],[NETO GRAVADO]]*0.21)</f>
        <v>397.43759999999997</v>
      </c>
      <c r="J16" s="225"/>
      <c r="K16" s="225"/>
      <c r="L16" s="225"/>
      <c r="M16" s="225"/>
      <c r="N16" s="225"/>
      <c r="O16" s="225"/>
      <c r="P16" s="226">
        <f>SUM(compras_mes4[[#This Row],[NETO GRAVADO]:[Otros / No Grav.]])</f>
        <v>2289.9975999999997</v>
      </c>
      <c r="Q16" s="227" t="str">
        <f>IFERROR(IF(compras_mes4[[#This Row],[CUIT]]="","-",VLOOKUP(compras_mes4[[#This Row],[CUIT]],Lista_CUIT[#All],3,0)),"CUIT NO CARGADO")</f>
        <v>COMBUSTIBLE</v>
      </c>
      <c r="R16" s="227">
        <f>IFERROR(IF(compras_mes4[[#This Row],[CUIT]]="","-",VLOOKUP(compras_mes4[[#This Row],[CUIT]],Lista_CUIT[#All],4,0)),"CUIT NO CARGADO")</f>
        <v>0</v>
      </c>
    </row>
    <row r="17" spans="2:18" x14ac:dyDescent="0.25">
      <c r="B17" s="40">
        <v>45005</v>
      </c>
      <c r="C17" s="41">
        <v>1</v>
      </c>
      <c r="D17" s="42">
        <v>6442</v>
      </c>
      <c r="E17" s="43">
        <v>2066</v>
      </c>
      <c r="F17" s="44">
        <v>30643922157</v>
      </c>
      <c r="G17" s="45" t="str">
        <f>IFERROR(IF(compras_mes4[[#This Row],[CUIT]]="","-",VLOOKUP(compras_mes4[[#This Row],[CUIT]],Lista_CUIT[#All],2,0)),"CUIT NO CARGADO")</f>
        <v>VIA BARILOCHE SA</v>
      </c>
      <c r="H17" s="46">
        <v>1685.95</v>
      </c>
      <c r="I17" s="85">
        <f>IF(compras_mes4[[#This Row],[NETO GRAVADO]]="","",compras_mes4[[#This Row],[NETO GRAVADO]]*0.21)</f>
        <v>354.04950000000002</v>
      </c>
      <c r="J17" s="85"/>
      <c r="K17" s="85"/>
      <c r="L17" s="85"/>
      <c r="M17" s="85"/>
      <c r="N17" s="85"/>
      <c r="O17" s="85"/>
      <c r="P17" s="48">
        <f>SUM(compras_mes4[[#This Row],[NETO GRAVADO]:[Otros / No Grav.]])</f>
        <v>2039.9995000000001</v>
      </c>
      <c r="Q17" s="49" t="str">
        <f>IFERROR(IF(compras_mes4[[#This Row],[CUIT]]="","-",VLOOKUP(compras_mes4[[#This Row],[CUIT]],Lista_CUIT[#All],3,0)),"CUIT NO CARGADO")</f>
        <v>FLETE</v>
      </c>
      <c r="R17" s="49">
        <f>IFERROR(IF(compras_mes4[[#This Row],[CUIT]]="","-",VLOOKUP(compras_mes4[[#This Row],[CUIT]],Lista_CUIT[#All],4,0)),"CUIT NO CARGADO")</f>
        <v>0</v>
      </c>
    </row>
    <row r="18" spans="2:18" x14ac:dyDescent="0.25">
      <c r="B18" s="219">
        <v>45007</v>
      </c>
      <c r="C18" s="209">
        <v>1</v>
      </c>
      <c r="D18" s="220">
        <v>17</v>
      </c>
      <c r="E18" s="221">
        <v>842</v>
      </c>
      <c r="F18" s="222">
        <v>30711764921</v>
      </c>
      <c r="G18" s="223" t="str">
        <f>IFERROR(IF(compras_mes4[[#This Row],[CUIT]]="","-",VLOOKUP(compras_mes4[[#This Row],[CUIT]],Lista_CUIT[#All],2,0)),"CUIT NO CARGADO")</f>
        <v>RELIEF CENTER SRL</v>
      </c>
      <c r="H18" s="224">
        <v>21194</v>
      </c>
      <c r="I18" s="225">
        <f>IF(compras_mes4[[#This Row],[NETO GRAVADO]]="","",compras_mes4[[#This Row],[NETO GRAVADO]]*0.21)</f>
        <v>4450.74</v>
      </c>
      <c r="J18" s="225"/>
      <c r="K18" s="225"/>
      <c r="L18" s="225"/>
      <c r="M18" s="225"/>
      <c r="N18" s="225"/>
      <c r="O18" s="225"/>
      <c r="P18" s="226">
        <f>SUM(compras_mes4[[#This Row],[NETO GRAVADO]:[Otros / No Grav.]])</f>
        <v>25644.739999999998</v>
      </c>
      <c r="Q18" s="227" t="str">
        <f>IFERROR(IF(compras_mes4[[#This Row],[CUIT]]="","-",VLOOKUP(compras_mes4[[#This Row],[CUIT]],Lista_CUIT[#All],3,0)),"CUIT NO CARGADO")</f>
        <v>Productos Ortopedicos</v>
      </c>
      <c r="R18" s="227">
        <f>IFERROR(IF(compras_mes4[[#This Row],[CUIT]]="","-",VLOOKUP(compras_mes4[[#This Row],[CUIT]],Lista_CUIT[#All],4,0)),"CUIT NO CARGADO")</f>
        <v>0</v>
      </c>
    </row>
    <row r="19" spans="2:18" x14ac:dyDescent="0.25">
      <c r="B19" s="219">
        <v>45017</v>
      </c>
      <c r="C19" s="209">
        <v>1</v>
      </c>
      <c r="D19" s="220">
        <v>1305</v>
      </c>
      <c r="E19" s="221">
        <v>1014728</v>
      </c>
      <c r="F19" s="222">
        <v>30663288497</v>
      </c>
      <c r="G19" s="223" t="str">
        <f>IFERROR(IF(compras_mes4[[#This Row],[CUIT]]="","-",VLOOKUP(compras_mes4[[#This Row],[CUIT]],Lista_CUIT[#All],2,0)),"CUIT NO CARGADO")</f>
        <v>AMX ARG SA</v>
      </c>
      <c r="H19" s="224">
        <v>7200</v>
      </c>
      <c r="I19" s="225">
        <v>598.5</v>
      </c>
      <c r="J19" s="225">
        <v>1174.5</v>
      </c>
      <c r="K19" s="225"/>
      <c r="L19" s="225"/>
      <c r="M19" s="225"/>
      <c r="N19" s="225"/>
      <c r="O19" s="225"/>
      <c r="P19" s="226">
        <f>SUM(compras_mes4[[#This Row],[NETO GRAVADO]:[Otros / No Grav.]])</f>
        <v>8973</v>
      </c>
      <c r="Q19" s="227" t="str">
        <f>IFERROR(IF(compras_mes4[[#This Row],[CUIT]]="","-",VLOOKUP(compras_mes4[[#This Row],[CUIT]],Lista_CUIT[#All],3,0)),"CUIT NO CARGADO")</f>
        <v>SERVICIOS DE INTERNET</v>
      </c>
      <c r="R19" s="227">
        <f>IFERROR(IF(compras_mes4[[#This Row],[CUIT]]="","-",VLOOKUP(compras_mes4[[#This Row],[CUIT]],Lista_CUIT[#All],4,0)),"CUIT NO CARGADO")</f>
        <v>0</v>
      </c>
    </row>
    <row r="20" spans="2:18" x14ac:dyDescent="0.25">
      <c r="B20" s="219">
        <v>45018</v>
      </c>
      <c r="C20" s="209">
        <v>1</v>
      </c>
      <c r="D20" s="220">
        <v>50</v>
      </c>
      <c r="E20" s="221">
        <v>3027932</v>
      </c>
      <c r="F20" s="222">
        <v>30714112836</v>
      </c>
      <c r="G20" s="223" t="str">
        <f>IFERROR(IF(compras_mes4[[#This Row],[CUIT]]="","-",VLOOKUP(compras_mes4[[#This Row],[CUIT]],Lista_CUIT[#All],2,0)),"CUIT NO CARGADO")</f>
        <v>AUTOPISTAS DE BUENOS AIRES (AUBASA) SA</v>
      </c>
      <c r="H20" s="224">
        <v>173.55</v>
      </c>
      <c r="I20" s="225">
        <f>IF(compras_mes4[[#This Row],[NETO GRAVADO]]="","",compras_mes4[[#This Row],[NETO GRAVADO]]*0.21)</f>
        <v>36.445500000000003</v>
      </c>
      <c r="J20" s="225"/>
      <c r="K20" s="225"/>
      <c r="L20" s="225"/>
      <c r="M20" s="225"/>
      <c r="N20" s="225"/>
      <c r="O20" s="225"/>
      <c r="P20" s="226">
        <f>SUM(compras_mes4[[#This Row],[NETO GRAVADO]:[Otros / No Grav.]])</f>
        <v>209.99550000000002</v>
      </c>
      <c r="Q20" s="227" t="str">
        <f>IFERROR(IF(compras_mes4[[#This Row],[CUIT]]="","-",VLOOKUP(compras_mes4[[#This Row],[CUIT]],Lista_CUIT[#All],3,0)),"CUIT NO CARGADO")</f>
        <v>Autopista</v>
      </c>
      <c r="R20" s="227">
        <f>IFERROR(IF(compras_mes4[[#This Row],[CUIT]]="","-",VLOOKUP(compras_mes4[[#This Row],[CUIT]],Lista_CUIT[#All],4,0)),"CUIT NO CARGADO")</f>
        <v>0</v>
      </c>
    </row>
    <row r="21" spans="2:18" x14ac:dyDescent="0.25">
      <c r="B21" s="40">
        <v>45019</v>
      </c>
      <c r="C21" s="41">
        <v>1</v>
      </c>
      <c r="D21" s="42">
        <v>3</v>
      </c>
      <c r="E21" s="43">
        <v>61</v>
      </c>
      <c r="F21" s="44">
        <v>20334976433</v>
      </c>
      <c r="G21" s="45" t="str">
        <f>IFERROR(IF(compras_mes4[[#This Row],[CUIT]]="","-",VLOOKUP(compras_mes4[[#This Row],[CUIT]],Lista_CUIT[#All],2,0)),"CUIT NO CARGADO")</f>
        <v>NARDOMARINO EZEQUIEL EDUARDO</v>
      </c>
      <c r="H21" s="46">
        <v>119574.38</v>
      </c>
      <c r="I21" s="85">
        <f>IF(compras_mes4[[#This Row],[NETO GRAVADO]]="","",compras_mes4[[#This Row],[NETO GRAVADO]]*0.21)</f>
        <v>25110.6198</v>
      </c>
      <c r="J21" s="85"/>
      <c r="K21" s="85"/>
      <c r="L21" s="85"/>
      <c r="M21" s="85"/>
      <c r="N21" s="85"/>
      <c r="O21" s="85"/>
      <c r="P21" s="48">
        <f>SUM(compras_mes4[[#This Row],[NETO GRAVADO]:[Otros / No Grav.]])</f>
        <v>144684.99979999999</v>
      </c>
      <c r="Q21" s="49" t="str">
        <f>IFERROR(IF(compras_mes4[[#This Row],[CUIT]]="","-",VLOOKUP(compras_mes4[[#This Row],[CUIT]],Lista_CUIT[#All],3,0)),"CUIT NO CARGADO")</f>
        <v>FLETE</v>
      </c>
      <c r="R21" s="49">
        <f>IFERROR(IF(compras_mes4[[#This Row],[CUIT]]="","-",VLOOKUP(compras_mes4[[#This Row],[CUIT]],Lista_CUIT[#All],4,0)),"CUIT NO CARGADO")</f>
        <v>0</v>
      </c>
    </row>
    <row r="22" spans="2:18" x14ac:dyDescent="0.25">
      <c r="B22" s="40">
        <v>45019</v>
      </c>
      <c r="C22" s="41">
        <v>1</v>
      </c>
      <c r="D22" s="42">
        <v>2</v>
      </c>
      <c r="E22" s="43">
        <v>182</v>
      </c>
      <c r="F22" s="44">
        <v>30605344352</v>
      </c>
      <c r="G22" s="45" t="str">
        <f>IFERROR(IF(compras_mes4[[#This Row],[CUIT]]="","-",VLOOKUP(compras_mes4[[#This Row],[CUIT]],Lista_CUIT[#All],2,0)),"CUIT NO CARGADO")</f>
        <v>CONSORCIO BARTOLME MITRE 2466</v>
      </c>
      <c r="H22" s="46">
        <v>187880</v>
      </c>
      <c r="I22" s="85">
        <f>IF(compras_mes4[[#This Row],[NETO GRAVADO]]="","",compras_mes4[[#This Row],[NETO GRAVADO]]*0.21)</f>
        <v>39454.799999999996</v>
      </c>
      <c r="J22" s="85"/>
      <c r="K22" s="85"/>
      <c r="L22" s="85"/>
      <c r="M22" s="85"/>
      <c r="N22" s="85"/>
      <c r="O22" s="85"/>
      <c r="P22" s="48">
        <f>SUM(compras_mes4[[#This Row],[NETO GRAVADO]:[Otros / No Grav.]])</f>
        <v>227334.8</v>
      </c>
      <c r="Q22" s="49" t="str">
        <f>IFERROR(IF(compras_mes4[[#This Row],[CUIT]]="","-",VLOOKUP(compras_mes4[[#This Row],[CUIT]],Lista_CUIT[#All],3,0)),"CUIT NO CARGADO")</f>
        <v>Gastos Varios</v>
      </c>
      <c r="R22" s="49">
        <f>IFERROR(IF(compras_mes4[[#This Row],[CUIT]]="","-",VLOOKUP(compras_mes4[[#This Row],[CUIT]],Lista_CUIT[#All],4,0)),"CUIT NO CARGADO")</f>
        <v>0</v>
      </c>
    </row>
    <row r="23" spans="2:18" x14ac:dyDescent="0.25">
      <c r="B23" s="40">
        <v>45019</v>
      </c>
      <c r="C23" s="41">
        <v>1</v>
      </c>
      <c r="D23" s="42">
        <v>1001</v>
      </c>
      <c r="E23" s="43">
        <v>234</v>
      </c>
      <c r="F23" s="44">
        <v>30707370552</v>
      </c>
      <c r="G23" s="45" t="str">
        <f>IFERROR(IF(compras_mes4[[#This Row],[CUIT]]="","-",VLOOKUP(compras_mes4[[#This Row],[CUIT]],Lista_CUIT[#All],2,0)),"CUIT NO CARGADO")</f>
        <v>RAKE SA</v>
      </c>
      <c r="H23" s="46">
        <v>257396.7</v>
      </c>
      <c r="I23" s="85">
        <f>IF(compras_mes4[[#This Row],[NETO GRAVADO]]="","",compras_mes4[[#This Row],[NETO GRAVADO]]*0.21)</f>
        <v>54053.307000000001</v>
      </c>
      <c r="J23" s="85"/>
      <c r="K23" s="85"/>
      <c r="L23" s="85"/>
      <c r="M23" s="85"/>
      <c r="N23" s="85"/>
      <c r="O23" s="85"/>
      <c r="P23" s="48">
        <f>SUM(compras_mes4[[#This Row],[NETO GRAVADO]:[Otros / No Grav.]])</f>
        <v>311450.00699999998</v>
      </c>
      <c r="Q23" s="49" t="str">
        <f>IFERROR(IF(compras_mes4[[#This Row],[CUIT]]="","-",VLOOKUP(compras_mes4[[#This Row],[CUIT]],Lista_CUIT[#All],3,0)),"CUIT NO CARGADO")</f>
        <v>Alquileres</v>
      </c>
      <c r="R23" s="49">
        <f>IFERROR(IF(compras_mes4[[#This Row],[CUIT]]="","-",VLOOKUP(compras_mes4[[#This Row],[CUIT]],Lista_CUIT[#All],4,0)),"CUIT NO CARGADO")</f>
        <v>0</v>
      </c>
    </row>
    <row r="24" spans="2:18" x14ac:dyDescent="0.25">
      <c r="B24" s="40">
        <v>45019</v>
      </c>
      <c r="C24" s="41">
        <v>1</v>
      </c>
      <c r="D24" s="42">
        <v>1001</v>
      </c>
      <c r="E24" s="43">
        <v>235</v>
      </c>
      <c r="F24" s="44">
        <v>30707370552</v>
      </c>
      <c r="G24" s="45" t="str">
        <f>IFERROR(IF(compras_mes4[[#This Row],[CUIT]]="","-",VLOOKUP(compras_mes4[[#This Row],[CUIT]],Lista_CUIT[#All],2,0)),"CUIT NO CARGADO")</f>
        <v>RAKE SA</v>
      </c>
      <c r="H24" s="46">
        <v>80991.740000000005</v>
      </c>
      <c r="I24" s="85">
        <f>IF(compras_mes4[[#This Row],[NETO GRAVADO]]="","",compras_mes4[[#This Row],[NETO GRAVADO]]*0.21)</f>
        <v>17008.2654</v>
      </c>
      <c r="J24" s="85"/>
      <c r="K24" s="85"/>
      <c r="L24" s="85"/>
      <c r="M24" s="85"/>
      <c r="N24" s="85"/>
      <c r="O24" s="85"/>
      <c r="P24" s="48">
        <f>SUM(compras_mes4[[#This Row],[NETO GRAVADO]:[Otros / No Grav.]])</f>
        <v>98000.005400000009</v>
      </c>
      <c r="Q24" s="49" t="str">
        <f>IFERROR(IF(compras_mes4[[#This Row],[CUIT]]="","-",VLOOKUP(compras_mes4[[#This Row],[CUIT]],Lista_CUIT[#All],3,0)),"CUIT NO CARGADO")</f>
        <v>Alquileres</v>
      </c>
      <c r="R24" s="49">
        <f>IFERROR(IF(compras_mes4[[#This Row],[CUIT]]="","-",VLOOKUP(compras_mes4[[#This Row],[CUIT]],Lista_CUIT[#All],4,0)),"CUIT NO CARGADO")</f>
        <v>0</v>
      </c>
    </row>
    <row r="25" spans="2:18" x14ac:dyDescent="0.25">
      <c r="B25" s="40">
        <v>45019</v>
      </c>
      <c r="C25" s="41">
        <v>1</v>
      </c>
      <c r="D25" s="42">
        <v>1001</v>
      </c>
      <c r="E25" s="43">
        <v>236</v>
      </c>
      <c r="F25" s="44">
        <v>30707370552</v>
      </c>
      <c r="G25" s="45" t="str">
        <f>IFERROR(IF(compras_mes4[[#This Row],[CUIT]]="","-",VLOOKUP(compras_mes4[[#This Row],[CUIT]],Lista_CUIT[#All],2,0)),"CUIT NO CARGADO")</f>
        <v>RAKE SA</v>
      </c>
      <c r="H25" s="46">
        <v>260330.58</v>
      </c>
      <c r="I25" s="85">
        <f>IF(compras_mes4[[#This Row],[NETO GRAVADO]]="","",compras_mes4[[#This Row],[NETO GRAVADO]]*0.21)</f>
        <v>54669.421799999996</v>
      </c>
      <c r="J25" s="85"/>
      <c r="K25" s="85"/>
      <c r="L25" s="85"/>
      <c r="M25" s="85"/>
      <c r="N25" s="85"/>
      <c r="O25" s="85"/>
      <c r="P25" s="48">
        <f>SUM(compras_mes4[[#This Row],[NETO GRAVADO]:[Otros / No Grav.]])</f>
        <v>315000.00179999997</v>
      </c>
      <c r="Q25" s="49" t="str">
        <f>IFERROR(IF(compras_mes4[[#This Row],[CUIT]]="","-",VLOOKUP(compras_mes4[[#This Row],[CUIT]],Lista_CUIT[#All],3,0)),"CUIT NO CARGADO")</f>
        <v>Alquileres</v>
      </c>
      <c r="R25" s="49">
        <f>IFERROR(IF(compras_mes4[[#This Row],[CUIT]]="","-",VLOOKUP(compras_mes4[[#This Row],[CUIT]],Lista_CUIT[#All],4,0)),"CUIT NO CARGADO")</f>
        <v>0</v>
      </c>
    </row>
    <row r="26" spans="2:18" x14ac:dyDescent="0.25">
      <c r="B26" s="40">
        <v>45019</v>
      </c>
      <c r="C26" s="41">
        <v>1</v>
      </c>
      <c r="D26" s="42">
        <v>17</v>
      </c>
      <c r="E26" s="43">
        <v>876</v>
      </c>
      <c r="F26" s="44">
        <v>30711764921</v>
      </c>
      <c r="G26" s="45" t="str">
        <f>IFERROR(IF(compras_mes4[[#This Row],[CUIT]]="","-",VLOOKUP(compras_mes4[[#This Row],[CUIT]],Lista_CUIT[#All],2,0)),"CUIT NO CARGADO")</f>
        <v>RELIEF CENTER SRL</v>
      </c>
      <c r="H26" s="46">
        <v>10550</v>
      </c>
      <c r="I26" s="85">
        <f>IF(compras_mes4[[#This Row],[NETO GRAVADO]]="","",compras_mes4[[#This Row],[NETO GRAVADO]]*0.21)</f>
        <v>2215.5</v>
      </c>
      <c r="J26" s="85"/>
      <c r="K26" s="85"/>
      <c r="L26" s="85"/>
      <c r="M26" s="85"/>
      <c r="N26" s="85"/>
      <c r="O26" s="85"/>
      <c r="P26" s="48">
        <f>SUM(compras_mes4[[#This Row],[NETO GRAVADO]:[Otros / No Grav.]])</f>
        <v>12765.5</v>
      </c>
      <c r="Q26" s="49" t="str">
        <f>IFERROR(IF(compras_mes4[[#This Row],[CUIT]]="","-",VLOOKUP(compras_mes4[[#This Row],[CUIT]],Lista_CUIT[#All],3,0)),"CUIT NO CARGADO")</f>
        <v>Productos Ortopedicos</v>
      </c>
      <c r="R26" s="49">
        <f>IFERROR(IF(compras_mes4[[#This Row],[CUIT]]="","-",VLOOKUP(compras_mes4[[#This Row],[CUIT]],Lista_CUIT[#All],4,0)),"CUIT NO CARGADO")</f>
        <v>0</v>
      </c>
    </row>
    <row r="27" spans="2:18" x14ac:dyDescent="0.25">
      <c r="B27" s="40">
        <v>45019</v>
      </c>
      <c r="C27" s="41">
        <v>1</v>
      </c>
      <c r="D27" s="42">
        <v>15</v>
      </c>
      <c r="E27" s="43">
        <v>4280</v>
      </c>
      <c r="F27" s="44">
        <v>33712276539</v>
      </c>
      <c r="G27" s="45" t="str">
        <f>IFERROR(IF(compras_mes4[[#This Row],[CUIT]]="","-",VLOOKUP(compras_mes4[[#This Row],[CUIT]],Lista_CUIT[#All],2,0)),"CUIT NO CARGADO")</f>
        <v>CASTAÑO AUTOVOX SRL</v>
      </c>
      <c r="H27" s="46">
        <v>10155.9</v>
      </c>
      <c r="I27" s="85">
        <f>IF(compras_mes4[[#This Row],[NETO GRAVADO]]="","",compras_mes4[[#This Row],[NETO GRAVADO]]*0.21)</f>
        <v>2132.739</v>
      </c>
      <c r="J27" s="85"/>
      <c r="K27" s="85"/>
      <c r="L27" s="85"/>
      <c r="M27" s="85"/>
      <c r="N27" s="85">
        <v>355.46</v>
      </c>
      <c r="O27" s="85">
        <v>612.54999999999995</v>
      </c>
      <c r="P27" s="48">
        <f>SUM(compras_mes4[[#This Row],[NETO GRAVADO]:[Otros / No Grav.]])</f>
        <v>13256.648999999998</v>
      </c>
      <c r="Q27" s="49" t="str">
        <f>IFERROR(IF(compras_mes4[[#This Row],[CUIT]]="","-",VLOOKUP(compras_mes4[[#This Row],[CUIT]],Lista_CUIT[#All],3,0)),"CUIT NO CARGADO")</f>
        <v>COMBUSTIBLE</v>
      </c>
      <c r="R27" s="49">
        <f>IFERROR(IF(compras_mes4[[#This Row],[CUIT]]="","-",VLOOKUP(compras_mes4[[#This Row],[CUIT]],Lista_CUIT[#All],4,0)),"CUIT NO CARGADO")</f>
        <v>0</v>
      </c>
    </row>
    <row r="28" spans="2:18" x14ac:dyDescent="0.25">
      <c r="B28" s="40">
        <v>45019</v>
      </c>
      <c r="C28" s="41">
        <v>1</v>
      </c>
      <c r="D28" s="42">
        <v>3</v>
      </c>
      <c r="E28" s="43">
        <v>7688</v>
      </c>
      <c r="F28" s="44">
        <v>20045615473</v>
      </c>
      <c r="G28" s="45" t="str">
        <f>IFERROR(IF(compras_mes4[[#This Row],[CUIT]]="","-",VLOOKUP(compras_mes4[[#This Row],[CUIT]],Lista_CUIT[#All],2,0)),"CUIT NO CARGADO")</f>
        <v xml:space="preserve">DI FEO HUGO PASCUAL </v>
      </c>
      <c r="H28" s="46">
        <v>28600</v>
      </c>
      <c r="I28" s="85">
        <f>IF(compras_mes4[[#This Row],[NETO GRAVADO]]="","",compras_mes4[[#This Row],[NETO GRAVADO]]*0.21)</f>
        <v>6006</v>
      </c>
      <c r="J28" s="85"/>
      <c r="K28" s="85"/>
      <c r="L28" s="85"/>
      <c r="M28" s="85"/>
      <c r="N28" s="85"/>
      <c r="O28" s="85"/>
      <c r="P28" s="48">
        <f>SUM(compras_mes4[[#This Row],[NETO GRAVADO]:[Otros / No Grav.]])</f>
        <v>34606</v>
      </c>
      <c r="Q28" s="49" t="str">
        <f>IFERROR(IF(compras_mes4[[#This Row],[CUIT]]="","-",VLOOKUP(compras_mes4[[#This Row],[CUIT]],Lista_CUIT[#All],3,0)),"CUIT NO CARGADO")</f>
        <v>Productos Ortopedicos</v>
      </c>
      <c r="R28" s="49">
        <f>IFERROR(IF(compras_mes4[[#This Row],[CUIT]]="","-",VLOOKUP(compras_mes4[[#This Row],[CUIT]],Lista_CUIT[#All],4,0)),"CUIT NO CARGADO")</f>
        <v>0</v>
      </c>
    </row>
    <row r="29" spans="2:18" x14ac:dyDescent="0.25">
      <c r="B29" s="40">
        <v>45019</v>
      </c>
      <c r="C29" s="41">
        <v>1</v>
      </c>
      <c r="D29" s="42">
        <v>7</v>
      </c>
      <c r="E29" s="43">
        <v>15022</v>
      </c>
      <c r="F29" s="44">
        <v>30709214078</v>
      </c>
      <c r="G29" s="45" t="str">
        <f>IFERROR(IF(compras_mes4[[#This Row],[CUIT]]="","-",VLOOKUP(compras_mes4[[#This Row],[CUIT]],Lista_CUIT[#All],2,0)),"CUIT NO CARGADO")</f>
        <v>REHAVITA S.A</v>
      </c>
      <c r="H29" s="46">
        <v>98652</v>
      </c>
      <c r="I29" s="85"/>
      <c r="J29" s="85"/>
      <c r="K29" s="85">
        <v>10358.459999999999</v>
      </c>
      <c r="L29" s="85"/>
      <c r="M29" s="85"/>
      <c r="N29" s="85"/>
      <c r="O29" s="85"/>
      <c r="P29" s="48">
        <f>SUM(compras_mes4[[#This Row],[NETO GRAVADO]:[Otros / No Grav.]])</f>
        <v>109010.45999999999</v>
      </c>
      <c r="Q29" s="49" t="str">
        <f>IFERROR(IF(compras_mes4[[#This Row],[CUIT]]="","-",VLOOKUP(compras_mes4[[#This Row],[CUIT]],Lista_CUIT[#All],3,0)),"CUIT NO CARGADO")</f>
        <v>Productos Ortopedicos</v>
      </c>
      <c r="R29" s="49">
        <f>IFERROR(IF(compras_mes4[[#This Row],[CUIT]]="","-",VLOOKUP(compras_mes4[[#This Row],[CUIT]],Lista_CUIT[#All],4,0)),"CUIT NO CARGADO")</f>
        <v>0</v>
      </c>
    </row>
    <row r="30" spans="2:18" x14ac:dyDescent="0.25">
      <c r="B30" s="40">
        <v>45019</v>
      </c>
      <c r="C30" s="41">
        <v>1</v>
      </c>
      <c r="D30" s="42">
        <v>7</v>
      </c>
      <c r="E30" s="43">
        <v>15023</v>
      </c>
      <c r="F30" s="44">
        <v>30709214078</v>
      </c>
      <c r="G30" s="45" t="str">
        <f>IFERROR(IF(compras_mes4[[#This Row],[CUIT]]="","-",VLOOKUP(compras_mes4[[#This Row],[CUIT]],Lista_CUIT[#All],2,0)),"CUIT NO CARGADO")</f>
        <v>REHAVITA S.A</v>
      </c>
      <c r="H30" s="46">
        <v>98652</v>
      </c>
      <c r="I30" s="85"/>
      <c r="J30" s="85"/>
      <c r="K30" s="85">
        <v>10358.459999999999</v>
      </c>
      <c r="L30" s="85"/>
      <c r="M30" s="85"/>
      <c r="N30" s="85"/>
      <c r="O30" s="85"/>
      <c r="P30" s="48">
        <f>SUM(compras_mes4[[#This Row],[NETO GRAVADO]:[Otros / No Grav.]])</f>
        <v>109010.45999999999</v>
      </c>
      <c r="Q30" s="49" t="str">
        <f>IFERROR(IF(compras_mes4[[#This Row],[CUIT]]="","-",VLOOKUP(compras_mes4[[#This Row],[CUIT]],Lista_CUIT[#All],3,0)),"CUIT NO CARGADO")</f>
        <v>Productos Ortopedicos</v>
      </c>
      <c r="R30" s="49">
        <f>IFERROR(IF(compras_mes4[[#This Row],[CUIT]]="","-",VLOOKUP(compras_mes4[[#This Row],[CUIT]],Lista_CUIT[#All],4,0)),"CUIT NO CARGADO")</f>
        <v>0</v>
      </c>
    </row>
    <row r="31" spans="2:18" x14ac:dyDescent="0.25">
      <c r="B31" s="40">
        <v>45019</v>
      </c>
      <c r="C31" s="41">
        <v>1</v>
      </c>
      <c r="D31" s="42">
        <v>44</v>
      </c>
      <c r="E31" s="43">
        <v>20505</v>
      </c>
      <c r="F31" s="44">
        <v>30626009618</v>
      </c>
      <c r="G31" s="45" t="str">
        <f>IFERROR(IF(compras_mes4[[#This Row],[CUIT]]="","-",VLOOKUP(compras_mes4[[#This Row],[CUIT]],Lista_CUIT[#All],2,0)),"CUIT NO CARGADO")</f>
        <v>EXPRESO RIVADAVIA S R L</v>
      </c>
      <c r="H31" s="46">
        <v>1499.07</v>
      </c>
      <c r="I31" s="85">
        <f>IF(compras_mes4[[#This Row],[NETO GRAVADO]]="","",compras_mes4[[#This Row],[NETO GRAVADO]]*0.21)</f>
        <v>314.80469999999997</v>
      </c>
      <c r="J31" s="85"/>
      <c r="K31" s="85"/>
      <c r="L31" s="85"/>
      <c r="M31" s="85"/>
      <c r="N31" s="85"/>
      <c r="O31" s="85"/>
      <c r="P31" s="48">
        <f>SUM(compras_mes4[[#This Row],[NETO GRAVADO]:[Otros / No Grav.]])</f>
        <v>1813.8746999999998</v>
      </c>
      <c r="Q31" s="49" t="str">
        <f>IFERROR(IF(compras_mes4[[#This Row],[CUIT]]="","-",VLOOKUP(compras_mes4[[#This Row],[CUIT]],Lista_CUIT[#All],3,0)),"CUIT NO CARGADO")</f>
        <v>FLETE</v>
      </c>
      <c r="R31" s="49">
        <f>IFERROR(IF(compras_mes4[[#This Row],[CUIT]]="","-",VLOOKUP(compras_mes4[[#This Row],[CUIT]],Lista_CUIT[#All],4,0)),"CUIT NO CARGADO")</f>
        <v>0</v>
      </c>
    </row>
    <row r="32" spans="2:18" x14ac:dyDescent="0.25">
      <c r="B32" s="219">
        <v>45019</v>
      </c>
      <c r="C32" s="209">
        <v>1</v>
      </c>
      <c r="D32" s="220">
        <v>8</v>
      </c>
      <c r="E32" s="221">
        <v>133543</v>
      </c>
      <c r="F32" s="222">
        <v>30707927409</v>
      </c>
      <c r="G32" s="223" t="str">
        <f>IFERROR(IF(compras_mes4[[#This Row],[CUIT]]="","-",VLOOKUP(compras_mes4[[#This Row],[CUIT]],Lista_CUIT[#All],2,0)),"CUIT NO CARGADO")</f>
        <v>ROSARIO LOGISTICA S.A.</v>
      </c>
      <c r="H32" s="224">
        <v>4245</v>
      </c>
      <c r="I32" s="225">
        <f>IF(compras_mes4[[#This Row],[NETO GRAVADO]]="","",compras_mes4[[#This Row],[NETO GRAVADO]]*0.21)</f>
        <v>891.44999999999993</v>
      </c>
      <c r="J32" s="225"/>
      <c r="K32" s="225"/>
      <c r="L32" s="225"/>
      <c r="M32" s="225"/>
      <c r="N32" s="225"/>
      <c r="O32" s="225"/>
      <c r="P32" s="226">
        <f>SUM(compras_mes4[[#This Row],[NETO GRAVADO]:[Otros / No Grav.]])</f>
        <v>5136.45</v>
      </c>
      <c r="Q32" s="227" t="str">
        <f>IFERROR(IF(compras_mes4[[#This Row],[CUIT]]="","-",VLOOKUP(compras_mes4[[#This Row],[CUIT]],Lista_CUIT[#All],3,0)),"CUIT NO CARGADO")</f>
        <v>FLETE</v>
      </c>
      <c r="R32" s="227">
        <f>IFERROR(IF(compras_mes4[[#This Row],[CUIT]]="","-",VLOOKUP(compras_mes4[[#This Row],[CUIT]],Lista_CUIT[#All],4,0)),"CUIT NO CARGADO")</f>
        <v>0</v>
      </c>
    </row>
    <row r="33" spans="2:18" x14ac:dyDescent="0.25">
      <c r="B33" s="40">
        <v>45019</v>
      </c>
      <c r="C33" s="41">
        <v>1</v>
      </c>
      <c r="D33" s="42">
        <v>48</v>
      </c>
      <c r="E33" s="43">
        <v>368332</v>
      </c>
      <c r="F33" s="44">
        <v>30626009618</v>
      </c>
      <c r="G33" s="45" t="str">
        <f>IFERROR(IF(compras_mes4[[#This Row],[CUIT]]="","-",VLOOKUP(compras_mes4[[#This Row],[CUIT]],Lista_CUIT[#All],2,0)),"CUIT NO CARGADO")</f>
        <v>EXPRESO RIVADAVIA S R L</v>
      </c>
      <c r="H33" s="46">
        <v>5646.21</v>
      </c>
      <c r="I33" s="85">
        <f>IF(compras_mes4[[#This Row],[NETO GRAVADO]]="","",compras_mes4[[#This Row],[NETO GRAVADO]]*0.21)</f>
        <v>1185.7040999999999</v>
      </c>
      <c r="J33" s="85"/>
      <c r="K33" s="85"/>
      <c r="L33" s="85"/>
      <c r="M33" s="85"/>
      <c r="N33" s="85"/>
      <c r="O33" s="85"/>
      <c r="P33" s="48">
        <f>SUM(compras_mes4[[#This Row],[NETO GRAVADO]:[Otros / No Grav.]])</f>
        <v>6831.9141</v>
      </c>
      <c r="Q33" s="49" t="str">
        <f>IFERROR(IF(compras_mes4[[#This Row],[CUIT]]="","-",VLOOKUP(compras_mes4[[#This Row],[CUIT]],Lista_CUIT[#All],3,0)),"CUIT NO CARGADO")</f>
        <v>FLETE</v>
      </c>
      <c r="R33" s="49">
        <f>IFERROR(IF(compras_mes4[[#This Row],[CUIT]]="","-",VLOOKUP(compras_mes4[[#This Row],[CUIT]],Lista_CUIT[#All],4,0)),"CUIT NO CARGADO")</f>
        <v>0</v>
      </c>
    </row>
    <row r="34" spans="2:18" x14ac:dyDescent="0.25">
      <c r="B34" s="219">
        <v>45019</v>
      </c>
      <c r="C34" s="209">
        <v>1</v>
      </c>
      <c r="D34" s="220">
        <v>5011</v>
      </c>
      <c r="E34" s="221">
        <v>457137</v>
      </c>
      <c r="F34" s="222">
        <v>30574876474</v>
      </c>
      <c r="G34" s="223" t="str">
        <f>IFERROR(IF(compras_mes4[[#This Row],[CUIT]]="","-",VLOOKUP(compras_mes4[[#This Row],[CUIT]],Lista_CUIT[#All],2,0)),"CUIT NO CARGADO")</f>
        <v>AUTOP. URBANAS SA</v>
      </c>
      <c r="H34" s="224">
        <v>4168.12</v>
      </c>
      <c r="I34" s="225">
        <f>IF(compras_mes4[[#This Row],[NETO GRAVADO]]="","",compras_mes4[[#This Row],[NETO GRAVADO]]*0.21)</f>
        <v>875.3051999999999</v>
      </c>
      <c r="J34" s="225"/>
      <c r="K34" s="225"/>
      <c r="L34" s="225"/>
      <c r="M34" s="225"/>
      <c r="N34" s="225">
        <v>415.76</v>
      </c>
      <c r="O34" s="225">
        <v>125.04</v>
      </c>
      <c r="P34" s="226">
        <f>SUM(compras_mes4[[#This Row],[NETO GRAVADO]:[Otros / No Grav.]])</f>
        <v>5584.2251999999999</v>
      </c>
      <c r="Q34" s="227" t="str">
        <f>IFERROR(IF(compras_mes4[[#This Row],[CUIT]]="","-",VLOOKUP(compras_mes4[[#This Row],[CUIT]],Lista_CUIT[#All],3,0)),"CUIT NO CARGADO")</f>
        <v>PEAJE</v>
      </c>
      <c r="R34" s="227">
        <f>IFERROR(IF(compras_mes4[[#This Row],[CUIT]]="","-",VLOOKUP(compras_mes4[[#This Row],[CUIT]],Lista_CUIT[#All],4,0)),"CUIT NO CARGADO")</f>
        <v>0</v>
      </c>
    </row>
    <row r="35" spans="2:18" x14ac:dyDescent="0.25">
      <c r="B35" s="219">
        <v>45019</v>
      </c>
      <c r="C35" s="209">
        <v>1</v>
      </c>
      <c r="D35" s="220">
        <v>5009</v>
      </c>
      <c r="E35" s="221">
        <v>637274</v>
      </c>
      <c r="F35" s="222">
        <v>30574876474</v>
      </c>
      <c r="G35" s="223" t="str">
        <f>IFERROR(IF(compras_mes4[[#This Row],[CUIT]]="","-",VLOOKUP(compras_mes4[[#This Row],[CUIT]],Lista_CUIT[#All],2,0)),"CUIT NO CARGADO")</f>
        <v>AUTOP. URBANAS SA</v>
      </c>
      <c r="H35" s="224">
        <v>235.1</v>
      </c>
      <c r="I35" s="225">
        <f>IF(compras_mes4[[#This Row],[NETO GRAVADO]]="","",compras_mes4[[#This Row],[NETO GRAVADO]]*0.21)</f>
        <v>49.370999999999995</v>
      </c>
      <c r="J35" s="225"/>
      <c r="K35" s="225"/>
      <c r="L35" s="225"/>
      <c r="M35" s="225"/>
      <c r="N35" s="225"/>
      <c r="O35" s="225">
        <v>23.5</v>
      </c>
      <c r="P35" s="226">
        <f>SUM(compras_mes4[[#This Row],[NETO GRAVADO]:[Otros / No Grav.]])</f>
        <v>307.971</v>
      </c>
      <c r="Q35" s="227" t="str">
        <f>IFERROR(IF(compras_mes4[[#This Row],[CUIT]]="","-",VLOOKUP(compras_mes4[[#This Row],[CUIT]],Lista_CUIT[#All],3,0)),"CUIT NO CARGADO")</f>
        <v>PEAJE</v>
      </c>
      <c r="R35" s="227">
        <f>IFERROR(IF(compras_mes4[[#This Row],[CUIT]]="","-",VLOOKUP(compras_mes4[[#This Row],[CUIT]],Lista_CUIT[#All],4,0)),"CUIT NO CARGADO")</f>
        <v>0</v>
      </c>
    </row>
    <row r="36" spans="2:18" x14ac:dyDescent="0.25">
      <c r="B36" s="245">
        <v>45019</v>
      </c>
      <c r="C36" s="209">
        <v>1</v>
      </c>
      <c r="D36" s="246">
        <v>500</v>
      </c>
      <c r="E36" s="247">
        <v>1257780</v>
      </c>
      <c r="F36" s="248">
        <v>30654118767</v>
      </c>
      <c r="G36" s="249" t="str">
        <f>IFERROR(IF(compras_mes4[[#This Row],[CUIT]]="","-",VLOOKUP(compras_mes4[[#This Row],[CUIT]],Lista_CUIT[#All],2,0)),"CUIT NO CARGADO")</f>
        <v>SOLUCIONES MULTIMEDIA SA</v>
      </c>
      <c r="H36" s="250">
        <v>8300.4599999999991</v>
      </c>
      <c r="I36" s="251">
        <f>IF(compras_mes4[[#This Row],[NETO GRAVADO]]="","",compras_mes4[[#This Row],[NETO GRAVADO]]*0.21)</f>
        <v>1743.0965999999999</v>
      </c>
      <c r="J36" s="251"/>
      <c r="K36" s="251"/>
      <c r="L36" s="251"/>
      <c r="M36" s="251"/>
      <c r="N36" s="251"/>
      <c r="O36" s="251"/>
      <c r="P36" s="252">
        <f>SUM(compras_mes4[[#This Row],[NETO GRAVADO]:[Otros / No Grav.]])</f>
        <v>10043.5566</v>
      </c>
      <c r="Q36" s="253" t="str">
        <f>IFERROR(IF(compras_mes4[[#This Row],[CUIT]]="","-",VLOOKUP(compras_mes4[[#This Row],[CUIT]],Lista_CUIT[#All],3,0)),"CUIT NO CARGADO")</f>
        <v>GASTOS ADMINISTRATIVOS</v>
      </c>
      <c r="R36" s="253">
        <f>IFERROR(IF(compras_mes4[[#This Row],[CUIT]]="","-",VLOOKUP(compras_mes4[[#This Row],[CUIT]],Lista_CUIT[#All],4,0)),"CUIT NO CARGADO")</f>
        <v>0</v>
      </c>
    </row>
    <row r="37" spans="2:18" x14ac:dyDescent="0.25">
      <c r="B37" s="40">
        <v>45019</v>
      </c>
      <c r="C37" s="41">
        <v>1</v>
      </c>
      <c r="D37" s="42">
        <v>4</v>
      </c>
      <c r="E37" s="43">
        <v>24600</v>
      </c>
      <c r="F37" s="44">
        <v>30646150406</v>
      </c>
      <c r="G37" s="45" t="str">
        <f>IFERROR(IF(compras_mes4[[#This Row],[CUIT]]="","-",VLOOKUP(compras_mes4[[#This Row],[CUIT]],Lista_CUIT[#All],2,0)),"CUIT NO CARGADO")</f>
        <v>TRUST S.R.L.</v>
      </c>
      <c r="H37" s="46">
        <v>7449</v>
      </c>
      <c r="I37" s="85">
        <f>IF(compras_mes4[[#This Row],[NETO GRAVADO]]="","",compras_mes4[[#This Row],[NETO GRAVADO]]*0.21)</f>
        <v>1564.29</v>
      </c>
      <c r="J37" s="85"/>
      <c r="K37" s="85"/>
      <c r="L37" s="85"/>
      <c r="M37" s="85"/>
      <c r="N37" s="85"/>
      <c r="O37" s="85"/>
      <c r="P37" s="48">
        <f>SUM(compras_mes4[[#This Row],[NETO GRAVADO]:[Otros / No Grav.]])</f>
        <v>9013.2900000000009</v>
      </c>
      <c r="Q37" s="49" t="str">
        <f>IFERROR(IF(compras_mes4[[#This Row],[CUIT]]="","-",VLOOKUP(compras_mes4[[#This Row],[CUIT]],Lista_CUIT[#All],3,0)),"CUIT NO CARGADO")</f>
        <v>Productos Ortopedicos</v>
      </c>
      <c r="R37" s="49">
        <f>IFERROR(IF(compras_mes4[[#This Row],[CUIT]]="","-",VLOOKUP(compras_mes4[[#This Row],[CUIT]],Lista_CUIT[#All],4,0)),"CUIT NO CARGADO")</f>
        <v>0</v>
      </c>
    </row>
    <row r="38" spans="2:18" x14ac:dyDescent="0.25">
      <c r="B38" s="40">
        <v>45019</v>
      </c>
      <c r="C38" s="41">
        <v>1</v>
      </c>
      <c r="D38" s="42">
        <v>8</v>
      </c>
      <c r="E38" s="43">
        <v>133545</v>
      </c>
      <c r="F38" s="44">
        <v>30707927409</v>
      </c>
      <c r="G38" s="45" t="str">
        <f>IFERROR(IF(compras_mes4[[#This Row],[CUIT]]="","-",VLOOKUP(compras_mes4[[#This Row],[CUIT]],Lista_CUIT[#All],2,0)),"CUIT NO CARGADO")</f>
        <v>ROSARIO LOGISTICA S.A.</v>
      </c>
      <c r="H38" s="46">
        <v>4245</v>
      </c>
      <c r="I38" s="85">
        <f>IF(compras_mes4[[#This Row],[NETO GRAVADO]]="","",compras_mes4[[#This Row],[NETO GRAVADO]]*0.21)</f>
        <v>891.44999999999993</v>
      </c>
      <c r="J38" s="85"/>
      <c r="K38" s="85"/>
      <c r="L38" s="85"/>
      <c r="M38" s="85"/>
      <c r="N38" s="85"/>
      <c r="O38" s="85"/>
      <c r="P38" s="48">
        <f>SUM(compras_mes4[[#This Row],[NETO GRAVADO]:[Otros / No Grav.]])</f>
        <v>5136.45</v>
      </c>
      <c r="Q38" s="49" t="str">
        <f>IFERROR(IF(compras_mes4[[#This Row],[CUIT]]="","-",VLOOKUP(compras_mes4[[#This Row],[CUIT]],Lista_CUIT[#All],3,0)),"CUIT NO CARGADO")</f>
        <v>FLETE</v>
      </c>
      <c r="R38" s="49">
        <f>IFERROR(IF(compras_mes4[[#This Row],[CUIT]]="","-",VLOOKUP(compras_mes4[[#This Row],[CUIT]],Lista_CUIT[#All],4,0)),"CUIT NO CARGADO")</f>
        <v>0</v>
      </c>
    </row>
    <row r="39" spans="2:18" x14ac:dyDescent="0.25">
      <c r="B39" s="40">
        <v>45020</v>
      </c>
      <c r="C39" s="41">
        <v>1</v>
      </c>
      <c r="D39" s="42">
        <v>6</v>
      </c>
      <c r="E39" s="43">
        <v>167</v>
      </c>
      <c r="F39" s="44">
        <v>33717383139</v>
      </c>
      <c r="G39" s="45" t="str">
        <f>IFERROR(IF(compras_mes4[[#This Row],[CUIT]]="","-",VLOOKUP(compras_mes4[[#This Row],[CUIT]],Lista_CUIT[#All],2,0)),"CUIT NO CARGADO")</f>
        <v>BALINERO SRL</v>
      </c>
      <c r="H39" s="46">
        <v>9330.58</v>
      </c>
      <c r="I39" s="85">
        <f>IF(compras_mes4[[#This Row],[NETO GRAVADO]]="","",compras_mes4[[#This Row],[NETO GRAVADO]]*0.21)</f>
        <v>1959.4217999999998</v>
      </c>
      <c r="J39" s="85"/>
      <c r="K39" s="85"/>
      <c r="L39" s="85"/>
      <c r="M39" s="85"/>
      <c r="N39" s="85"/>
      <c r="O39" s="85"/>
      <c r="P39" s="48">
        <f>SUM(compras_mes4[[#This Row],[NETO GRAVADO]:[Otros / No Grav.]])</f>
        <v>11290.0018</v>
      </c>
      <c r="Q39" s="49" t="str">
        <f>IFERROR(IF(compras_mes4[[#This Row],[CUIT]]="","-",VLOOKUP(compras_mes4[[#This Row],[CUIT]],Lista_CUIT[#All],3,0)),"CUIT NO CARGADO")</f>
        <v>ROPA TRABAJO</v>
      </c>
      <c r="R39" s="49">
        <f>IFERROR(IF(compras_mes4[[#This Row],[CUIT]]="","-",VLOOKUP(compras_mes4[[#This Row],[CUIT]],Lista_CUIT[#All],4,0)),"CUIT NO CARGADO")</f>
        <v>0</v>
      </c>
    </row>
    <row r="40" spans="2:18" x14ac:dyDescent="0.25">
      <c r="B40" s="40">
        <v>45020</v>
      </c>
      <c r="C40" s="41">
        <v>1</v>
      </c>
      <c r="D40" s="42">
        <v>17</v>
      </c>
      <c r="E40" s="43">
        <v>878</v>
      </c>
      <c r="F40" s="44">
        <v>30711764921</v>
      </c>
      <c r="G40" s="45" t="str">
        <f>IFERROR(IF(compras_mes4[[#This Row],[CUIT]]="","-",VLOOKUP(compras_mes4[[#This Row],[CUIT]],Lista_CUIT[#All],2,0)),"CUIT NO CARGADO")</f>
        <v>RELIEF CENTER SRL</v>
      </c>
      <c r="H40" s="46">
        <v>58680</v>
      </c>
      <c r="I40" s="85">
        <f>IF(compras_mes4[[#This Row],[NETO GRAVADO]]="","",compras_mes4[[#This Row],[NETO GRAVADO]]*0.21)</f>
        <v>12322.8</v>
      </c>
      <c r="J40" s="85"/>
      <c r="K40" s="85"/>
      <c r="L40" s="85"/>
      <c r="M40" s="85"/>
      <c r="N40" s="85"/>
      <c r="O40" s="85"/>
      <c r="P40" s="48">
        <f>SUM(compras_mes4[[#This Row],[NETO GRAVADO]:[Otros / No Grav.]])</f>
        <v>71002.8</v>
      </c>
      <c r="Q40" s="49" t="str">
        <f>IFERROR(IF(compras_mes4[[#This Row],[CUIT]]="","-",VLOOKUP(compras_mes4[[#This Row],[CUIT]],Lista_CUIT[#All],3,0)),"CUIT NO CARGADO")</f>
        <v>Productos Ortopedicos</v>
      </c>
      <c r="R40" s="49">
        <f>IFERROR(IF(compras_mes4[[#This Row],[CUIT]]="","-",VLOOKUP(compras_mes4[[#This Row],[CUIT]],Lista_CUIT[#All],4,0)),"CUIT NO CARGADO")</f>
        <v>0</v>
      </c>
    </row>
    <row r="41" spans="2:18" x14ac:dyDescent="0.25">
      <c r="B41" s="40">
        <v>45020</v>
      </c>
      <c r="C41" s="41">
        <v>1</v>
      </c>
      <c r="D41" s="42">
        <v>5</v>
      </c>
      <c r="E41" s="43">
        <v>2458</v>
      </c>
      <c r="F41" s="44">
        <v>33714662819</v>
      </c>
      <c r="G41" s="45" t="str">
        <f>IFERROR(IF(compras_mes4[[#This Row],[CUIT]]="","-",VLOOKUP(compras_mes4[[#This Row],[CUIT]],Lista_CUIT[#All],2,0)),"CUIT NO CARGADO")</f>
        <v>AYUDAS TECNICAS SRL</v>
      </c>
      <c r="H41" s="46">
        <v>510444</v>
      </c>
      <c r="I41" s="85">
        <f>IF(compras_mes4[[#This Row],[NETO GRAVADO]]="","",compras_mes4[[#This Row],[NETO GRAVADO]]*0.21)</f>
        <v>107193.23999999999</v>
      </c>
      <c r="J41" s="85"/>
      <c r="K41" s="85"/>
      <c r="L41" s="85"/>
      <c r="M41" s="85"/>
      <c r="N41" s="85"/>
      <c r="O41" s="85"/>
      <c r="P41" s="48">
        <f>SUM(compras_mes4[[#This Row],[NETO GRAVADO]:[Otros / No Grav.]])</f>
        <v>617637.24</v>
      </c>
      <c r="Q41" s="49" t="str">
        <f>IFERROR(IF(compras_mes4[[#This Row],[CUIT]]="","-",VLOOKUP(compras_mes4[[#This Row],[CUIT]],Lista_CUIT[#All],3,0)),"CUIT NO CARGADO")</f>
        <v>Productos Ortopedicos</v>
      </c>
      <c r="R41" s="49">
        <f>IFERROR(IF(compras_mes4[[#This Row],[CUIT]]="","-",VLOOKUP(compras_mes4[[#This Row],[CUIT]],Lista_CUIT[#All],4,0)),"CUIT NO CARGADO")</f>
        <v>0</v>
      </c>
    </row>
    <row r="42" spans="2:18" x14ac:dyDescent="0.25">
      <c r="B42" s="219">
        <v>45020</v>
      </c>
      <c r="C42" s="209">
        <v>1</v>
      </c>
      <c r="D42" s="220">
        <v>711</v>
      </c>
      <c r="E42" s="221">
        <v>4136613</v>
      </c>
      <c r="F42" s="222">
        <v>30677237119</v>
      </c>
      <c r="G42" s="223" t="str">
        <f>IFERROR(IF(compras_mes4[[#This Row],[CUIT]]="","-",VLOOKUP(compras_mes4[[#This Row],[CUIT]],Lista_CUIT[#All],2,0)),"CUIT NO CARGADO")</f>
        <v>AUTOPISTAS DEL SOL SA</v>
      </c>
      <c r="H42" s="224">
        <v>438.02</v>
      </c>
      <c r="I42" s="225">
        <f>IF(compras_mes4[[#This Row],[NETO GRAVADO]]="","",compras_mes4[[#This Row],[NETO GRAVADO]]*0.21)</f>
        <v>91.984199999999987</v>
      </c>
      <c r="J42" s="225"/>
      <c r="K42" s="225"/>
      <c r="L42" s="225"/>
      <c r="M42" s="225"/>
      <c r="N42" s="225"/>
      <c r="O42" s="225"/>
      <c r="P42" s="226">
        <f>SUM(compras_mes4[[#This Row],[NETO GRAVADO]:[Otros / No Grav.]])</f>
        <v>530.00419999999997</v>
      </c>
      <c r="Q42" s="227" t="str">
        <f>IFERROR(IF(compras_mes4[[#This Row],[CUIT]]="","-",VLOOKUP(compras_mes4[[#This Row],[CUIT]],Lista_CUIT[#All],3,0)),"CUIT NO CARGADO")</f>
        <v>Autopista</v>
      </c>
      <c r="R42" s="227">
        <f>IFERROR(IF(compras_mes4[[#This Row],[CUIT]]="","-",VLOOKUP(compras_mes4[[#This Row],[CUIT]],Lista_CUIT[#All],4,0)),"CUIT NO CARGADO")</f>
        <v>0</v>
      </c>
    </row>
    <row r="43" spans="2:18" x14ac:dyDescent="0.25">
      <c r="B43" s="40">
        <v>45021</v>
      </c>
      <c r="C43" s="41">
        <v>1</v>
      </c>
      <c r="D43" s="42">
        <v>12</v>
      </c>
      <c r="E43" s="43">
        <v>14</v>
      </c>
      <c r="F43" s="44">
        <v>27202892936</v>
      </c>
      <c r="G43" s="45" t="str">
        <f>IFERROR(IF(compras_mes4[[#This Row],[CUIT]]="","-",VLOOKUP(compras_mes4[[#This Row],[CUIT]],Lista_CUIT[#All],2,0)),"CUIT NO CARGADO")</f>
        <v>Moriondo, Adriana Ines</v>
      </c>
      <c r="H43" s="46">
        <v>894121.76</v>
      </c>
      <c r="I43" s="85">
        <f>IF(compras_mes4[[#This Row],[NETO GRAVADO]]="","",compras_mes4[[#This Row],[NETO GRAVADO]]*0.21)</f>
        <v>187765.56959999999</v>
      </c>
      <c r="J43" s="85"/>
      <c r="K43" s="85"/>
      <c r="L43" s="85"/>
      <c r="M43" s="85"/>
      <c r="N43" s="85"/>
      <c r="O43" s="85"/>
      <c r="P43" s="48">
        <f>SUM(compras_mes4[[#This Row],[NETO GRAVADO]:[Otros / No Grav.]])</f>
        <v>1081887.3296000001</v>
      </c>
      <c r="Q43" s="49" t="str">
        <f>IFERROR(IF(compras_mes4[[#This Row],[CUIT]]="","-",VLOOKUP(compras_mes4[[#This Row],[CUIT]],Lista_CUIT[#All],3,0)),"CUIT NO CARGADO")</f>
        <v>PATENTES</v>
      </c>
      <c r="R43" s="49">
        <f>IFERROR(IF(compras_mes4[[#This Row],[CUIT]]="","-",VLOOKUP(compras_mes4[[#This Row],[CUIT]],Lista_CUIT[#All],4,0)),"CUIT NO CARGADO")</f>
        <v>0</v>
      </c>
    </row>
    <row r="44" spans="2:18" x14ac:dyDescent="0.25">
      <c r="B44" s="40">
        <v>45021</v>
      </c>
      <c r="C44" s="41">
        <v>1</v>
      </c>
      <c r="D44" s="42">
        <v>7</v>
      </c>
      <c r="E44" s="43">
        <v>15122</v>
      </c>
      <c r="F44" s="44">
        <v>30709214078</v>
      </c>
      <c r="G44" s="45" t="str">
        <f>IFERROR(IF(compras_mes4[[#This Row],[CUIT]]="","-",VLOOKUP(compras_mes4[[#This Row],[CUIT]],Lista_CUIT[#All],2,0)),"CUIT NO CARGADO")</f>
        <v>REHAVITA S.A</v>
      </c>
      <c r="H44" s="46">
        <v>106144</v>
      </c>
      <c r="I44" s="85"/>
      <c r="J44" s="85"/>
      <c r="K44" s="85">
        <v>11145.12</v>
      </c>
      <c r="L44" s="85"/>
      <c r="M44" s="85"/>
      <c r="N44" s="85"/>
      <c r="O44" s="85"/>
      <c r="P44" s="48">
        <f>SUM(compras_mes4[[#This Row],[NETO GRAVADO]:[Otros / No Grav.]])</f>
        <v>117289.12</v>
      </c>
      <c r="Q44" s="49" t="str">
        <f>IFERROR(IF(compras_mes4[[#This Row],[CUIT]]="","-",VLOOKUP(compras_mes4[[#This Row],[CUIT]],Lista_CUIT[#All],3,0)),"CUIT NO CARGADO")</f>
        <v>Productos Ortopedicos</v>
      </c>
      <c r="R44" s="49">
        <f>IFERROR(IF(compras_mes4[[#This Row],[CUIT]]="","-",VLOOKUP(compras_mes4[[#This Row],[CUIT]],Lista_CUIT[#All],4,0)),"CUIT NO CARGADO")</f>
        <v>0</v>
      </c>
    </row>
    <row r="45" spans="2:18" x14ac:dyDescent="0.25">
      <c r="B45" s="40">
        <v>45021</v>
      </c>
      <c r="C45" s="41">
        <v>1</v>
      </c>
      <c r="D45" s="42">
        <v>7</v>
      </c>
      <c r="E45" s="43">
        <v>15134</v>
      </c>
      <c r="F45" s="44">
        <v>30709214078</v>
      </c>
      <c r="G45" s="45" t="str">
        <f>IFERROR(IF(compras_mes4[[#This Row],[CUIT]]="","-",VLOOKUP(compras_mes4[[#This Row],[CUIT]],Lista_CUIT[#All],2,0)),"CUIT NO CARGADO")</f>
        <v>REHAVITA S.A</v>
      </c>
      <c r="H45" s="46">
        <v>98652</v>
      </c>
      <c r="I45" s="85"/>
      <c r="J45" s="85"/>
      <c r="K45" s="85">
        <v>10358.459999999999</v>
      </c>
      <c r="L45" s="85"/>
      <c r="M45" s="85"/>
      <c r="N45" s="85"/>
      <c r="O45" s="85"/>
      <c r="P45" s="48">
        <f>SUM(compras_mes4[[#This Row],[NETO GRAVADO]:[Otros / No Grav.]])</f>
        <v>109010.45999999999</v>
      </c>
      <c r="Q45" s="49" t="str">
        <f>IFERROR(IF(compras_mes4[[#This Row],[CUIT]]="","-",VLOOKUP(compras_mes4[[#This Row],[CUIT]],Lista_CUIT[#All],3,0)),"CUIT NO CARGADO")</f>
        <v>Productos Ortopedicos</v>
      </c>
      <c r="R45" s="49">
        <f>IFERROR(IF(compras_mes4[[#This Row],[CUIT]]="","-",VLOOKUP(compras_mes4[[#This Row],[CUIT]],Lista_CUIT[#All],4,0)),"CUIT NO CARGADO")</f>
        <v>0</v>
      </c>
    </row>
    <row r="46" spans="2:18" x14ac:dyDescent="0.25">
      <c r="B46" s="219">
        <v>45021</v>
      </c>
      <c r="C46" s="209">
        <v>1</v>
      </c>
      <c r="D46" s="220">
        <v>105</v>
      </c>
      <c r="E46" s="221">
        <v>1222228</v>
      </c>
      <c r="F46" s="222">
        <v>30537882871</v>
      </c>
      <c r="G46" s="223" t="str">
        <f>IFERROR(IF(compras_mes4[[#This Row],[CUIT]]="","-",VLOOKUP(compras_mes4[[#This Row],[CUIT]],Lista_CUIT[#All],2,0)),"CUIT NO CARGADO")</f>
        <v>EL JUMILIANO SA</v>
      </c>
      <c r="H46" s="224">
        <v>1933.88</v>
      </c>
      <c r="I46" s="225">
        <f>IF(compras_mes4[[#This Row],[NETO GRAVADO]]="","",compras_mes4[[#This Row],[NETO GRAVADO]]*0.21)</f>
        <v>406.1148</v>
      </c>
      <c r="J46" s="225"/>
      <c r="K46" s="225"/>
      <c r="L46" s="225"/>
      <c r="M46" s="225"/>
      <c r="N46" s="225"/>
      <c r="O46" s="225"/>
      <c r="P46" s="226">
        <f>SUM(compras_mes4[[#This Row],[NETO GRAVADO]:[Otros / No Grav.]])</f>
        <v>2339.9947999999999</v>
      </c>
      <c r="Q46" s="227" t="str">
        <f>IFERROR(IF(compras_mes4[[#This Row],[CUIT]]="","-",VLOOKUP(compras_mes4[[#This Row],[CUIT]],Lista_CUIT[#All],3,0)),"CUIT NO CARGADO")</f>
        <v>SERVICIOS</v>
      </c>
      <c r="R46" s="227">
        <f>IFERROR(IF(compras_mes4[[#This Row],[CUIT]]="","-",VLOOKUP(compras_mes4[[#This Row],[CUIT]],Lista_CUIT[#All],4,0)),"CUIT NO CARGADO")</f>
        <v>0</v>
      </c>
    </row>
    <row r="47" spans="2:18" x14ac:dyDescent="0.25">
      <c r="B47" s="219">
        <v>45022</v>
      </c>
      <c r="C47" s="209">
        <v>1</v>
      </c>
      <c r="D47" s="220">
        <v>5</v>
      </c>
      <c r="E47" s="221">
        <v>140960</v>
      </c>
      <c r="F47" s="222">
        <v>30598960093</v>
      </c>
      <c r="G47" s="223" t="str">
        <f>IFERROR(IF(compras_mes4[[#This Row],[CUIT]]="","-",VLOOKUP(compras_mes4[[#This Row],[CUIT]],Lista_CUIT[#All],2,0)),"CUIT NO CARGADO")</f>
        <v>SILVESTRIN FABRIS SRL</v>
      </c>
      <c r="H47" s="224">
        <v>128857.60000000001</v>
      </c>
      <c r="I47" s="225">
        <f>IF(compras_mes4[[#This Row],[NETO GRAVADO]]="","",compras_mes4[[#This Row],[NETO GRAVADO]]*0.21)</f>
        <v>27060.096000000001</v>
      </c>
      <c r="J47" s="225"/>
      <c r="K47" s="225"/>
      <c r="L47" s="225"/>
      <c r="M47" s="225"/>
      <c r="N47" s="225">
        <v>4510.0200000000004</v>
      </c>
      <c r="O47" s="225"/>
      <c r="P47" s="226">
        <f>SUM(compras_mes4[[#This Row],[NETO GRAVADO]:[Otros / No Grav.]])</f>
        <v>160427.71599999999</v>
      </c>
      <c r="Q47" s="227" t="str">
        <f>IFERROR(IF(compras_mes4[[#This Row],[CUIT]]="","-",VLOOKUP(compras_mes4[[#This Row],[CUIT]],Lista_CUIT[#All],3,0)),"CUIT NO CARGADO")</f>
        <v>Productos Ortopedicos</v>
      </c>
      <c r="R47" s="227">
        <f>IFERROR(IF(compras_mes4[[#This Row],[CUIT]]="","-",VLOOKUP(compras_mes4[[#This Row],[CUIT]],Lista_CUIT[#All],4,0)),"CUIT NO CARGADO")</f>
        <v>0</v>
      </c>
    </row>
    <row r="48" spans="2:18" x14ac:dyDescent="0.25">
      <c r="B48" s="40">
        <v>45025</v>
      </c>
      <c r="C48" s="41">
        <v>1</v>
      </c>
      <c r="D48" s="42">
        <v>948</v>
      </c>
      <c r="E48" s="43">
        <v>942368</v>
      </c>
      <c r="F48" s="44">
        <v>30639453975</v>
      </c>
      <c r="G48" s="45" t="str">
        <f>IFERROR(IF(compras_mes4[[#This Row],[CUIT]]="","-",VLOOKUP(compras_mes4[[#This Row],[CUIT]],Lista_CUIT[#All],2,0)),"CUIT NO CARGADO")</f>
        <v>TELEFONICA ARG SA</v>
      </c>
      <c r="H48" s="46">
        <v>9354.2199999999993</v>
      </c>
      <c r="I48" s="85"/>
      <c r="J48" s="85">
        <v>2525.64</v>
      </c>
      <c r="K48" s="85"/>
      <c r="L48" s="85">
        <v>280.63</v>
      </c>
      <c r="M48" s="85"/>
      <c r="N48" s="85">
        <v>327.39999999999998</v>
      </c>
      <c r="O48" s="85"/>
      <c r="P48" s="48">
        <f>SUM(compras_mes4[[#This Row],[NETO GRAVADO]:[Otros / No Grav.]])</f>
        <v>12487.889999999998</v>
      </c>
      <c r="Q48" s="49" t="str">
        <f>IFERROR(IF(compras_mes4[[#This Row],[CUIT]]="","-",VLOOKUP(compras_mes4[[#This Row],[CUIT]],Lista_CUIT[#All],3,0)),"CUIT NO CARGADO")</f>
        <v>TELEFONIA</v>
      </c>
      <c r="R48" s="49">
        <f>IFERROR(IF(compras_mes4[[#This Row],[CUIT]]="","-",VLOOKUP(compras_mes4[[#This Row],[CUIT]],Lista_CUIT[#All],4,0)),"CUIT NO CARGADO")</f>
        <v>0</v>
      </c>
    </row>
    <row r="49" spans="2:18" x14ac:dyDescent="0.25">
      <c r="B49" s="219">
        <v>45025</v>
      </c>
      <c r="C49" s="209">
        <v>1</v>
      </c>
      <c r="D49" s="220">
        <v>11</v>
      </c>
      <c r="E49" s="221">
        <v>1535829</v>
      </c>
      <c r="F49" s="222">
        <v>30709776564</v>
      </c>
      <c r="G49" s="223" t="str">
        <f>IFERROR(IF(compras_mes4[[#This Row],[CUIT]]="","-",VLOOKUP(compras_mes4[[#This Row],[CUIT]],Lista_CUIT[#All],2,0)),"CUIT NO CARGADO")</f>
        <v>PROSEGUR ACTIVA ARG SA</v>
      </c>
      <c r="H49" s="224">
        <v>14992.9</v>
      </c>
      <c r="I49" s="225">
        <f>IF(compras_mes4[[#This Row],[NETO GRAVADO]]="","",compras_mes4[[#This Row],[NETO GRAVADO]]*0.21)</f>
        <v>3148.509</v>
      </c>
      <c r="J49" s="225"/>
      <c r="K49" s="225"/>
      <c r="L49" s="225"/>
      <c r="M49" s="225"/>
      <c r="N49" s="225"/>
      <c r="O49" s="225">
        <v>524.75</v>
      </c>
      <c r="P49" s="226">
        <f>SUM(compras_mes4[[#This Row],[NETO GRAVADO]:[Otros / No Grav.]])</f>
        <v>18666.159</v>
      </c>
      <c r="Q49" s="227" t="str">
        <f>IFERROR(IF(compras_mes4[[#This Row],[CUIT]]="","-",VLOOKUP(compras_mes4[[#This Row],[CUIT]],Lista_CUIT[#All],3,0)),"CUIT NO CARGADO")</f>
        <v>SEGURIDAD</v>
      </c>
      <c r="R49" s="227">
        <f>IFERROR(IF(compras_mes4[[#This Row],[CUIT]]="","-",VLOOKUP(compras_mes4[[#This Row],[CUIT]],Lista_CUIT[#All],4,0)),"CUIT NO CARGADO")</f>
        <v>0</v>
      </c>
    </row>
    <row r="50" spans="2:18" x14ac:dyDescent="0.25">
      <c r="B50" s="40">
        <v>45026</v>
      </c>
      <c r="C50" s="41">
        <v>1</v>
      </c>
      <c r="D50" s="42">
        <v>3</v>
      </c>
      <c r="E50" s="43">
        <v>63</v>
      </c>
      <c r="F50" s="44">
        <v>20334976433</v>
      </c>
      <c r="G50" s="45" t="str">
        <f>IFERROR(IF(compras_mes4[[#This Row],[CUIT]]="","-",VLOOKUP(compras_mes4[[#This Row],[CUIT]],Lista_CUIT[#All],2,0)),"CUIT NO CARGADO")</f>
        <v>NARDOMARINO EZEQUIEL EDUARDO</v>
      </c>
      <c r="H50" s="46">
        <v>54749.57</v>
      </c>
      <c r="I50" s="85">
        <f>IF(compras_mes4[[#This Row],[NETO GRAVADO]]="","",compras_mes4[[#This Row],[NETO GRAVADO]]*0.21)</f>
        <v>11497.4097</v>
      </c>
      <c r="J50" s="85"/>
      <c r="K50" s="85"/>
      <c r="L50" s="85"/>
      <c r="M50" s="85"/>
      <c r="N50" s="85"/>
      <c r="O50" s="85"/>
      <c r="P50" s="48">
        <f>SUM(compras_mes4[[#This Row],[NETO GRAVADO]:[Otros / No Grav.]])</f>
        <v>66246.979699999996</v>
      </c>
      <c r="Q50" s="49" t="str">
        <f>IFERROR(IF(compras_mes4[[#This Row],[CUIT]]="","-",VLOOKUP(compras_mes4[[#This Row],[CUIT]],Lista_CUIT[#All],3,0)),"CUIT NO CARGADO")</f>
        <v>FLETE</v>
      </c>
      <c r="R50" s="49">
        <f>IFERROR(IF(compras_mes4[[#This Row],[CUIT]]="","-",VLOOKUP(compras_mes4[[#This Row],[CUIT]],Lista_CUIT[#All],4,0)),"CUIT NO CARGADO")</f>
        <v>0</v>
      </c>
    </row>
    <row r="51" spans="2:18" x14ac:dyDescent="0.25">
      <c r="B51" s="40">
        <v>45026</v>
      </c>
      <c r="C51" s="41">
        <v>1</v>
      </c>
      <c r="D51" s="42">
        <v>4</v>
      </c>
      <c r="E51" s="43">
        <v>376</v>
      </c>
      <c r="F51" s="44">
        <v>20379223185</v>
      </c>
      <c r="G51" s="45" t="str">
        <f>IFERROR(IF(compras_mes4[[#This Row],[CUIT]]="","-",VLOOKUP(compras_mes4[[#This Row],[CUIT]],Lista_CUIT[#All],2,0)),"CUIT NO CARGADO")</f>
        <v>AYALA MAURICIO JUAN JOSE</v>
      </c>
      <c r="H51" s="46">
        <v>47380</v>
      </c>
      <c r="I51" s="85">
        <f>IF(compras_mes4[[#This Row],[NETO GRAVADO]]="","",compras_mes4[[#This Row],[NETO GRAVADO]]*0.21)</f>
        <v>9949.7999999999993</v>
      </c>
      <c r="J51" s="85"/>
      <c r="K51" s="85"/>
      <c r="L51" s="85"/>
      <c r="M51" s="85"/>
      <c r="N51" s="85"/>
      <c r="O51" s="85"/>
      <c r="P51" s="48">
        <f>SUM(compras_mes4[[#This Row],[NETO GRAVADO]:[Otros / No Grav.]])</f>
        <v>57329.8</v>
      </c>
      <c r="Q51" s="49" t="str">
        <f>IFERROR(IF(compras_mes4[[#This Row],[CUIT]]="","-",VLOOKUP(compras_mes4[[#This Row],[CUIT]],Lista_CUIT[#All],3,0)),"CUIT NO CARGADO")</f>
        <v>SERVICIOS</v>
      </c>
      <c r="R51" s="49">
        <f>IFERROR(IF(compras_mes4[[#This Row],[CUIT]]="","-",VLOOKUP(compras_mes4[[#This Row],[CUIT]],Lista_CUIT[#All],4,0)),"CUIT NO CARGADO")</f>
        <v>0</v>
      </c>
    </row>
    <row r="52" spans="2:18" x14ac:dyDescent="0.25">
      <c r="B52" s="40">
        <v>45026</v>
      </c>
      <c r="C52" s="41">
        <v>1</v>
      </c>
      <c r="D52" s="42">
        <v>2</v>
      </c>
      <c r="E52" s="43">
        <v>671</v>
      </c>
      <c r="F52" s="44">
        <v>20140958213</v>
      </c>
      <c r="G52" s="45" t="str">
        <f>IFERROR(IF(compras_mes4[[#This Row],[CUIT]]="","-",VLOOKUP(compras_mes4[[#This Row],[CUIT]],Lista_CUIT[#All],2,0)),"CUIT NO CARGADO")</f>
        <v>ESPAÑA ALEJANDRO JORGE</v>
      </c>
      <c r="H52" s="46">
        <v>97107.43</v>
      </c>
      <c r="I52" s="85">
        <f>IF(compras_mes4[[#This Row],[NETO GRAVADO]]="","",compras_mes4[[#This Row],[NETO GRAVADO]]*0.21)</f>
        <v>20392.560299999997</v>
      </c>
      <c r="J52" s="85"/>
      <c r="K52" s="85"/>
      <c r="L52" s="85"/>
      <c r="M52" s="85"/>
      <c r="N52" s="85"/>
      <c r="O52" s="85"/>
      <c r="P52" s="48">
        <f>SUM(compras_mes4[[#This Row],[NETO GRAVADO]:[Otros / No Grav.]])</f>
        <v>117499.99029999999</v>
      </c>
      <c r="Q52" s="49" t="str">
        <f>IFERROR(IF(compras_mes4[[#This Row],[CUIT]]="","-",VLOOKUP(compras_mes4[[#This Row],[CUIT]],Lista_CUIT[#All],3,0)),"CUIT NO CARGADO")</f>
        <v>Productos Ortopedicos</v>
      </c>
      <c r="R52" s="49">
        <f>IFERROR(IF(compras_mes4[[#This Row],[CUIT]]="","-",VLOOKUP(compras_mes4[[#This Row],[CUIT]],Lista_CUIT[#All],4,0)),"CUIT NO CARGADO")</f>
        <v>0</v>
      </c>
    </row>
    <row r="53" spans="2:18" x14ac:dyDescent="0.25">
      <c r="B53" s="219">
        <v>45026</v>
      </c>
      <c r="C53" s="209">
        <v>1</v>
      </c>
      <c r="D53" s="220">
        <v>11</v>
      </c>
      <c r="E53" s="221">
        <v>40999</v>
      </c>
      <c r="F53" s="222">
        <v>30711091552</v>
      </c>
      <c r="G53" s="223" t="str">
        <f>IFERROR(IF(compras_mes4[[#This Row],[CUIT]]="","-",VLOOKUP(compras_mes4[[#This Row],[CUIT]],Lista_CUIT[#All],2,0)),"CUIT NO CARGADO")</f>
        <v>BIGBOX S.A.</v>
      </c>
      <c r="H53" s="224">
        <v>4388.43</v>
      </c>
      <c r="I53" s="225">
        <f>IF(compras_mes4[[#This Row],[NETO GRAVADO]]="","",compras_mes4[[#This Row],[NETO GRAVADO]]*0.21)</f>
        <v>921.57029999999997</v>
      </c>
      <c r="J53" s="225"/>
      <c r="K53" s="225"/>
      <c r="L53" s="225"/>
      <c r="M53" s="225"/>
      <c r="N53" s="225"/>
      <c r="O53" s="225"/>
      <c r="P53" s="226">
        <f>SUM(compras_mes4[[#This Row],[NETO GRAVADO]:[Otros / No Grav.]])</f>
        <v>5310.0003000000006</v>
      </c>
      <c r="Q53" s="227" t="str">
        <f>IFERROR(IF(compras_mes4[[#This Row],[CUIT]]="","-",VLOOKUP(compras_mes4[[#This Row],[CUIT]],Lista_CUIT[#All],3,0)),"CUIT NO CARGADO")</f>
        <v>INSUMO</v>
      </c>
      <c r="R53" s="227">
        <f>IFERROR(IF(compras_mes4[[#This Row],[CUIT]]="","-",VLOOKUP(compras_mes4[[#This Row],[CUIT]],Lista_CUIT[#All],4,0)),"CUIT NO CARGADO")</f>
        <v>0</v>
      </c>
    </row>
    <row r="54" spans="2:18" x14ac:dyDescent="0.25">
      <c r="B54" s="219">
        <v>45026</v>
      </c>
      <c r="C54" s="209">
        <v>1</v>
      </c>
      <c r="D54" s="220">
        <v>11</v>
      </c>
      <c r="E54" s="221">
        <v>41000</v>
      </c>
      <c r="F54" s="222">
        <v>30711091552</v>
      </c>
      <c r="G54" s="223" t="str">
        <f>IFERROR(IF(compras_mes4[[#This Row],[CUIT]]="","-",VLOOKUP(compras_mes4[[#This Row],[CUIT]],Lista_CUIT[#All],2,0)),"CUIT NO CARGADO")</f>
        <v>BIGBOX S.A.</v>
      </c>
      <c r="H54" s="224">
        <v>9752.07</v>
      </c>
      <c r="I54" s="225">
        <f>IF(compras_mes4[[#This Row],[NETO GRAVADO]]="","",compras_mes4[[#This Row],[NETO GRAVADO]]*0.21)</f>
        <v>2047.9346999999998</v>
      </c>
      <c r="J54" s="225"/>
      <c r="K54" s="225"/>
      <c r="L54" s="225"/>
      <c r="M54" s="225"/>
      <c r="N54" s="225"/>
      <c r="O54" s="225"/>
      <c r="P54" s="226">
        <f>SUM(compras_mes4[[#This Row],[NETO GRAVADO]:[Otros / No Grav.]])</f>
        <v>11800.0047</v>
      </c>
      <c r="Q54" s="227" t="str">
        <f>IFERROR(IF(compras_mes4[[#This Row],[CUIT]]="","-",VLOOKUP(compras_mes4[[#This Row],[CUIT]],Lista_CUIT[#All],3,0)),"CUIT NO CARGADO")</f>
        <v>INSUMO</v>
      </c>
      <c r="R54" s="227">
        <f>IFERROR(IF(compras_mes4[[#This Row],[CUIT]]="","-",VLOOKUP(compras_mes4[[#This Row],[CUIT]],Lista_CUIT[#All],4,0)),"CUIT NO CARGADO")</f>
        <v>0</v>
      </c>
    </row>
    <row r="55" spans="2:18" x14ac:dyDescent="0.25">
      <c r="B55" s="40">
        <v>45027</v>
      </c>
      <c r="C55" s="41">
        <v>1</v>
      </c>
      <c r="D55" s="42">
        <v>7</v>
      </c>
      <c r="E55" s="43">
        <v>781</v>
      </c>
      <c r="F55" s="44">
        <v>30712187316</v>
      </c>
      <c r="G55" s="45" t="str">
        <f>IFERROR(IF(compras_mes4[[#This Row],[CUIT]]="","-",VLOOKUP(compras_mes4[[#This Row],[CUIT]],Lista_CUIT[#All],2,0)),"CUIT NO CARGADO")</f>
        <v>ITALOMED PRODUCTOS SRL</v>
      </c>
      <c r="H55" s="46">
        <v>37778.22</v>
      </c>
      <c r="I55" s="85">
        <f>IF(compras_mes4[[#This Row],[NETO GRAVADO]]="","",compras_mes4[[#This Row],[NETO GRAVADO]]*0.21)</f>
        <v>7933.4261999999999</v>
      </c>
      <c r="J55" s="85"/>
      <c r="K55" s="85"/>
      <c r="L55" s="85"/>
      <c r="M55" s="85"/>
      <c r="N55" s="85"/>
      <c r="O55" s="85"/>
      <c r="P55" s="48">
        <f>SUM(compras_mes4[[#This Row],[NETO GRAVADO]:[Otros / No Grav.]])</f>
        <v>45711.646200000003</v>
      </c>
      <c r="Q55" s="49" t="str">
        <f>IFERROR(IF(compras_mes4[[#This Row],[CUIT]]="","-",VLOOKUP(compras_mes4[[#This Row],[CUIT]],Lista_CUIT[#All],3,0)),"CUIT NO CARGADO")</f>
        <v>Productos Ortopedicos</v>
      </c>
      <c r="R55" s="49">
        <f>IFERROR(IF(compras_mes4[[#This Row],[CUIT]]="","-",VLOOKUP(compras_mes4[[#This Row],[CUIT]],Lista_CUIT[#All],4,0)),"CUIT NO CARGADO")</f>
        <v>0</v>
      </c>
    </row>
    <row r="56" spans="2:18" x14ac:dyDescent="0.25">
      <c r="B56" s="40">
        <v>45027</v>
      </c>
      <c r="C56" s="41">
        <v>1</v>
      </c>
      <c r="D56" s="42">
        <v>7</v>
      </c>
      <c r="E56" s="43">
        <v>782</v>
      </c>
      <c r="F56" s="44">
        <v>30712187316</v>
      </c>
      <c r="G56" s="45" t="str">
        <f>IFERROR(IF(compras_mes4[[#This Row],[CUIT]]="","-",VLOOKUP(compras_mes4[[#This Row],[CUIT]],Lista_CUIT[#All],2,0)),"CUIT NO CARGADO")</f>
        <v>ITALOMED PRODUCTOS SRL</v>
      </c>
      <c r="H56" s="46">
        <v>39239.64</v>
      </c>
      <c r="I56" s="85">
        <f>IF(compras_mes4[[#This Row],[NETO GRAVADO]]="","",compras_mes4[[#This Row],[NETO GRAVADO]]*0.21)</f>
        <v>8240.3243999999995</v>
      </c>
      <c r="J56" s="85"/>
      <c r="K56" s="85"/>
      <c r="L56" s="85"/>
      <c r="M56" s="85"/>
      <c r="N56" s="85"/>
      <c r="O56" s="85"/>
      <c r="P56" s="48">
        <f>SUM(compras_mes4[[#This Row],[NETO GRAVADO]:[Otros / No Grav.]])</f>
        <v>47479.964399999997</v>
      </c>
      <c r="Q56" s="49" t="str">
        <f>IFERROR(IF(compras_mes4[[#This Row],[CUIT]]="","-",VLOOKUP(compras_mes4[[#This Row],[CUIT]],Lista_CUIT[#All],3,0)),"CUIT NO CARGADO")</f>
        <v>Productos Ortopedicos</v>
      </c>
      <c r="R56" s="49">
        <f>IFERROR(IF(compras_mes4[[#This Row],[CUIT]]="","-",VLOOKUP(compras_mes4[[#This Row],[CUIT]],Lista_CUIT[#All],4,0)),"CUIT NO CARGADO")</f>
        <v>0</v>
      </c>
    </row>
    <row r="57" spans="2:18" x14ac:dyDescent="0.25">
      <c r="B57" s="40">
        <v>45027</v>
      </c>
      <c r="C57" s="41">
        <v>1</v>
      </c>
      <c r="D57" s="42">
        <v>8</v>
      </c>
      <c r="E57" s="43">
        <v>1430</v>
      </c>
      <c r="F57" s="44">
        <v>30708973501</v>
      </c>
      <c r="G57" s="45" t="str">
        <f>IFERROR(IF(compras_mes4[[#This Row],[CUIT]]="","-",VLOOKUP(compras_mes4[[#This Row],[CUIT]],Lista_CUIT[#All],2,0)),"CUIT NO CARGADO")</f>
        <v>ASIAL SRL</v>
      </c>
      <c r="H57" s="46">
        <v>239840</v>
      </c>
      <c r="I57" s="85">
        <f>IF(compras_mes4[[#This Row],[NETO GRAVADO]]="","",compras_mes4[[#This Row],[NETO GRAVADO]]*0.21)</f>
        <v>50366.400000000001</v>
      </c>
      <c r="J57" s="85"/>
      <c r="K57" s="85"/>
      <c r="L57" s="85"/>
      <c r="M57" s="85"/>
      <c r="N57" s="85"/>
      <c r="O57" s="85"/>
      <c r="P57" s="48">
        <f>SUM(compras_mes4[[#This Row],[NETO GRAVADO]:[Otros / No Grav.]])</f>
        <v>290206.40000000002</v>
      </c>
      <c r="Q57" s="49" t="str">
        <f>IFERROR(IF(compras_mes4[[#This Row],[CUIT]]="","-",VLOOKUP(compras_mes4[[#This Row],[CUIT]],Lista_CUIT[#All],3,0)),"CUIT NO CARGADO")</f>
        <v>Productos Ortopedicos</v>
      </c>
      <c r="R57" s="49">
        <f>IFERROR(IF(compras_mes4[[#This Row],[CUIT]]="","-",VLOOKUP(compras_mes4[[#This Row],[CUIT]],Lista_CUIT[#All],4,0)),"CUIT NO CARGADO")</f>
        <v>0</v>
      </c>
    </row>
    <row r="58" spans="2:18" x14ac:dyDescent="0.25">
      <c r="B58" s="40">
        <v>45027</v>
      </c>
      <c r="C58" s="41">
        <v>1</v>
      </c>
      <c r="D58" s="42">
        <v>8</v>
      </c>
      <c r="E58" s="43">
        <v>1431</v>
      </c>
      <c r="F58" s="44">
        <v>30708973501</v>
      </c>
      <c r="G58" s="45" t="str">
        <f>IFERROR(IF(compras_mes4[[#This Row],[CUIT]]="","-",VLOOKUP(compras_mes4[[#This Row],[CUIT]],Lista_CUIT[#All],2,0)),"CUIT NO CARGADO")</f>
        <v>ASIAL SRL</v>
      </c>
      <c r="H58" s="46">
        <v>221022</v>
      </c>
      <c r="I58" s="85">
        <f>IF(compras_mes4[[#This Row],[NETO GRAVADO]]="","",compras_mes4[[#This Row],[NETO GRAVADO]]*0.21)</f>
        <v>46414.619999999995</v>
      </c>
      <c r="J58" s="85"/>
      <c r="K58" s="85"/>
      <c r="L58" s="85"/>
      <c r="M58" s="85"/>
      <c r="N58" s="85"/>
      <c r="O58" s="85"/>
      <c r="P58" s="48">
        <f>SUM(compras_mes4[[#This Row],[NETO GRAVADO]:[Otros / No Grav.]])</f>
        <v>267436.62</v>
      </c>
      <c r="Q58" s="49" t="str">
        <f>IFERROR(IF(compras_mes4[[#This Row],[CUIT]]="","-",VLOOKUP(compras_mes4[[#This Row],[CUIT]],Lista_CUIT[#All],3,0)),"CUIT NO CARGADO")</f>
        <v>Productos Ortopedicos</v>
      </c>
      <c r="R58" s="49">
        <f>IFERROR(IF(compras_mes4[[#This Row],[CUIT]]="","-",VLOOKUP(compras_mes4[[#This Row],[CUIT]],Lista_CUIT[#All],4,0)),"CUIT NO CARGADO")</f>
        <v>0</v>
      </c>
    </row>
    <row r="59" spans="2:18" x14ac:dyDescent="0.25">
      <c r="B59" s="40">
        <v>45027</v>
      </c>
      <c r="C59" s="41">
        <v>1</v>
      </c>
      <c r="D59" s="42">
        <v>7</v>
      </c>
      <c r="E59" s="43">
        <v>26677</v>
      </c>
      <c r="F59" s="44">
        <v>20271532483</v>
      </c>
      <c r="G59" s="45" t="str">
        <f>IFERROR(IF(compras_mes4[[#This Row],[CUIT]]="","-",VLOOKUP(compras_mes4[[#This Row],[CUIT]],Lista_CUIT[#All],2,0)),"CUIT NO CARGADO")</f>
        <v>DIEGO MARTIN RIOS</v>
      </c>
      <c r="H59" s="46">
        <v>1508857.87</v>
      </c>
      <c r="I59" s="85">
        <f>IF(compras_mes4[[#This Row],[NETO GRAVADO]]="","",compras_mes4[[#This Row],[NETO GRAVADO]]*0.21)</f>
        <v>316860.15270000004</v>
      </c>
      <c r="J59" s="85"/>
      <c r="K59" s="85"/>
      <c r="L59" s="85"/>
      <c r="M59" s="85"/>
      <c r="N59" s="85">
        <v>52810.03</v>
      </c>
      <c r="O59" s="339"/>
      <c r="P59" s="48">
        <f>SUM(compras_mes4[[#This Row],[NETO GRAVADO]:[Otros / No Grav.]])</f>
        <v>1878528.0527000001</v>
      </c>
      <c r="Q59" s="49" t="str">
        <f>IFERROR(IF(compras_mes4[[#This Row],[CUIT]]="","-",VLOOKUP(compras_mes4[[#This Row],[CUIT]],Lista_CUIT[#All],3,0)),"CUIT NO CARGADO")</f>
        <v>Productos Ortopedicos</v>
      </c>
      <c r="R59" s="49">
        <f>IFERROR(IF(compras_mes4[[#This Row],[CUIT]]="","-",VLOOKUP(compras_mes4[[#This Row],[CUIT]],Lista_CUIT[#All],4,0)),"CUIT NO CARGADO")</f>
        <v>0</v>
      </c>
    </row>
    <row r="60" spans="2:18" x14ac:dyDescent="0.25">
      <c r="B60" s="40">
        <v>45027</v>
      </c>
      <c r="C60" s="41">
        <v>1</v>
      </c>
      <c r="D60" s="42">
        <v>14</v>
      </c>
      <c r="E60" s="43">
        <v>29971</v>
      </c>
      <c r="F60" s="44">
        <v>30657715383</v>
      </c>
      <c r="G60" s="45" t="str">
        <f>IFERROR(IF(compras_mes4[[#This Row],[CUIT]]="","-",VLOOKUP(compras_mes4[[#This Row],[CUIT]],Lista_CUIT[#All],2,0)),"CUIT NO CARGADO")</f>
        <v>MADERERA LLAVALLOL SA</v>
      </c>
      <c r="H60" s="46">
        <v>51084.01</v>
      </c>
      <c r="I60" s="85">
        <f>IF(compras_mes4[[#This Row],[NETO GRAVADO]]="","",compras_mes4[[#This Row],[NETO GRAVADO]]*0.21)</f>
        <v>10727.642100000001</v>
      </c>
      <c r="J60" s="85"/>
      <c r="K60" s="85"/>
      <c r="L60" s="85"/>
      <c r="M60" s="85"/>
      <c r="N60" s="85">
        <v>1787.94</v>
      </c>
      <c r="O60" s="85"/>
      <c r="P60" s="48">
        <f>SUM(compras_mes4[[#This Row],[NETO GRAVADO]:[Otros / No Grav.]])</f>
        <v>63599.592100000009</v>
      </c>
      <c r="Q60" s="49" t="str">
        <f>IFERROR(IF(compras_mes4[[#This Row],[CUIT]]="","-",VLOOKUP(compras_mes4[[#This Row],[CUIT]],Lista_CUIT[#All],3,0)),"CUIT NO CARGADO")</f>
        <v>GASTOS ADMINISTRATIVOS</v>
      </c>
      <c r="R60" s="49">
        <f>IFERROR(IF(compras_mes4[[#This Row],[CUIT]]="","-",VLOOKUP(compras_mes4[[#This Row],[CUIT]],Lista_CUIT[#All],4,0)),"CUIT NO CARGADO")</f>
        <v>0</v>
      </c>
    </row>
    <row r="61" spans="2:18" x14ac:dyDescent="0.25">
      <c r="B61" s="40">
        <v>45028</v>
      </c>
      <c r="C61" s="41">
        <v>1</v>
      </c>
      <c r="D61" s="42">
        <v>7</v>
      </c>
      <c r="E61" s="43">
        <v>381</v>
      </c>
      <c r="F61" s="44">
        <v>30711328498</v>
      </c>
      <c r="G61" s="45" t="str">
        <f>IFERROR(IF(compras_mes4[[#This Row],[CUIT]]="","-",VLOOKUP(compras_mes4[[#This Row],[CUIT]],Lista_CUIT[#All],2,0)),"CUIT NO CARGADO")</f>
        <v>ESPOSITO FRANCISCO ANT Y OT SH</v>
      </c>
      <c r="H61" s="46">
        <v>16363.62</v>
      </c>
      <c r="I61" s="85">
        <f>IF(compras_mes4[[#This Row],[NETO GRAVADO]]="","",compras_mes4[[#This Row],[NETO GRAVADO]]*0.21)</f>
        <v>3436.3602000000001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19799.980200000002</v>
      </c>
      <c r="Q61" s="49" t="str">
        <f>IFERROR(IF(compras_mes4[[#This Row],[CUIT]]="","-",VLOOKUP(compras_mes4[[#This Row],[CUIT]],Lista_CUIT[#All],3,0)),"CUIT NO CARGADO")</f>
        <v>GASTOS MANTENIMIENTO</v>
      </c>
      <c r="R61" s="49">
        <f>IFERROR(IF(compras_mes4[[#This Row],[CUIT]]="","-",VLOOKUP(compras_mes4[[#This Row],[CUIT]],Lista_CUIT[#All],4,0)),"CUIT NO CARGADO")</f>
        <v>0</v>
      </c>
    </row>
    <row r="62" spans="2:18" x14ac:dyDescent="0.25">
      <c r="B62" s="40">
        <v>45028</v>
      </c>
      <c r="C62" s="41">
        <v>1</v>
      </c>
      <c r="D62" s="42">
        <v>13</v>
      </c>
      <c r="E62" s="43">
        <v>1140</v>
      </c>
      <c r="F62" s="44">
        <v>33709914109</v>
      </c>
      <c r="G62" s="45" t="str">
        <f>IFERROR(IF(compras_mes4[[#This Row],[CUIT]]="","-",VLOOKUP(compras_mes4[[#This Row],[CUIT]],Lista_CUIT[#All],2,0)),"CUIT NO CARGADO")</f>
        <v xml:space="preserve">ALAN COLLECTION SA </v>
      </c>
      <c r="H62" s="46">
        <v>2892.56</v>
      </c>
      <c r="I62" s="85">
        <f>IF(compras_mes4[[#This Row],[NETO GRAVADO]]="","",compras_mes4[[#This Row],[NETO GRAVADO]]*0.21)</f>
        <v>607.43759999999997</v>
      </c>
      <c r="J62" s="85"/>
      <c r="K62" s="85"/>
      <c r="L62" s="85"/>
      <c r="M62" s="85"/>
      <c r="N62" s="85"/>
      <c r="O62" s="85"/>
      <c r="P62" s="48">
        <f>SUM(compras_mes4[[#This Row],[NETO GRAVADO]:[Otros / No Grav.]])</f>
        <v>3499.9975999999997</v>
      </c>
      <c r="Q62" s="49" t="str">
        <f>IFERROR(IF(compras_mes4[[#This Row],[CUIT]]="","-",VLOOKUP(compras_mes4[[#This Row],[CUIT]],Lista_CUIT[#All],3,0)),"CUIT NO CARGADO")</f>
        <v>MERCADERIA</v>
      </c>
      <c r="R62" s="49">
        <f>IFERROR(IF(compras_mes4[[#This Row],[CUIT]]="","-",VLOOKUP(compras_mes4[[#This Row],[CUIT]],Lista_CUIT[#All],4,0)),"CUIT NO CARGADO")</f>
        <v>0</v>
      </c>
    </row>
    <row r="63" spans="2:18" x14ac:dyDescent="0.25">
      <c r="B63" s="219">
        <v>45028</v>
      </c>
      <c r="C63" s="209">
        <v>1</v>
      </c>
      <c r="D63" s="220">
        <v>1001</v>
      </c>
      <c r="E63" s="221">
        <v>7056</v>
      </c>
      <c r="F63" s="222">
        <v>30715393251</v>
      </c>
      <c r="G63" s="223" t="str">
        <f>IFERROR(IF(compras_mes4[[#This Row],[CUIT]]="","-",VLOOKUP(compras_mes4[[#This Row],[CUIT]],Lista_CUIT[#All],2,0)),"CUIT NO CARGADO")</f>
        <v>OMNICHANNEL S.A.</v>
      </c>
      <c r="H63" s="224">
        <v>7238.84</v>
      </c>
      <c r="I63" s="225">
        <f>IF(compras_mes4[[#This Row],[NETO GRAVADO]]="","",compras_mes4[[#This Row],[NETO GRAVADO]]*0.21)</f>
        <v>1520.1564000000001</v>
      </c>
      <c r="J63" s="225"/>
      <c r="K63" s="225"/>
      <c r="L63" s="225"/>
      <c r="M63" s="225"/>
      <c r="N63" s="225"/>
      <c r="O63" s="225"/>
      <c r="P63" s="226">
        <f>SUM(compras_mes4[[#This Row],[NETO GRAVADO]:[Otros / No Grav.]])</f>
        <v>8758.9964</v>
      </c>
      <c r="Q63" s="227" t="str">
        <f>IFERROR(IF(compras_mes4[[#This Row],[CUIT]]="","-",VLOOKUP(compras_mes4[[#This Row],[CUIT]],Lista_CUIT[#All],3,0)),"CUIT NO CARGADO")</f>
        <v>PAPELERIA</v>
      </c>
      <c r="R63" s="227">
        <f>IFERROR(IF(compras_mes4[[#This Row],[CUIT]]="","-",VLOOKUP(compras_mes4[[#This Row],[CUIT]],Lista_CUIT[#All],4,0)),"CUIT NO CARGADO")</f>
        <v>0</v>
      </c>
    </row>
    <row r="64" spans="2:18" x14ac:dyDescent="0.25">
      <c r="B64" s="40">
        <v>45028</v>
      </c>
      <c r="C64" s="41">
        <v>1</v>
      </c>
      <c r="D64" s="42">
        <v>6</v>
      </c>
      <c r="E64" s="43">
        <v>72430</v>
      </c>
      <c r="F64" s="44">
        <v>30711553564</v>
      </c>
      <c r="G64" s="45" t="str">
        <f>IFERROR(IF(compras_mes4[[#This Row],[CUIT]]="","-",VLOOKUP(compras_mes4[[#This Row],[CUIT]],Lista_CUIT[#All],2,0)),"CUIT NO CARGADO")</f>
        <v>SALUD TEX S.A</v>
      </c>
      <c r="H64" s="46">
        <v>279838</v>
      </c>
      <c r="I64" s="85">
        <f>IF(compras_mes4[[#This Row],[NETO GRAVADO]]="","",compras_mes4[[#This Row],[NETO GRAVADO]]*0.21)</f>
        <v>58765.979999999996</v>
      </c>
      <c r="J64" s="85"/>
      <c r="K64" s="85"/>
      <c r="L64" s="85"/>
      <c r="M64" s="85"/>
      <c r="N64" s="85"/>
      <c r="O64" s="85"/>
      <c r="P64" s="48">
        <f>SUM(compras_mes4[[#This Row],[NETO GRAVADO]:[Otros / No Grav.]])</f>
        <v>338603.98</v>
      </c>
      <c r="Q64" s="49" t="str">
        <f>IFERROR(IF(compras_mes4[[#This Row],[CUIT]]="","-",VLOOKUP(compras_mes4[[#This Row],[CUIT]],Lista_CUIT[#All],3,0)),"CUIT NO CARGADO")</f>
        <v>Productos Ortopedicos</v>
      </c>
      <c r="R64" s="49">
        <f>IFERROR(IF(compras_mes4[[#This Row],[CUIT]]="","-",VLOOKUP(compras_mes4[[#This Row],[CUIT]],Lista_CUIT[#All],4,0)),"CUIT NO CARGADO")</f>
        <v>0</v>
      </c>
    </row>
    <row r="65" spans="2:18" x14ac:dyDescent="0.25">
      <c r="B65" s="40">
        <v>45029</v>
      </c>
      <c r="C65" s="41">
        <v>1</v>
      </c>
      <c r="D65" s="42">
        <v>6</v>
      </c>
      <c r="E65" s="43">
        <v>897</v>
      </c>
      <c r="F65" s="44">
        <v>30716815710</v>
      </c>
      <c r="G65" s="45" t="str">
        <f>IFERROR(IF(compras_mes4[[#This Row],[CUIT]]="","-",VLOOKUP(compras_mes4[[#This Row],[CUIT]],Lista_CUIT[#All],2,0)),"CUIT NO CARGADO")</f>
        <v>PAPELERA GEOPEL SRL</v>
      </c>
      <c r="H65" s="46">
        <v>9629.76</v>
      </c>
      <c r="I65" s="85">
        <f>IF(compras_mes4[[#This Row],[NETO GRAVADO]]="","",compras_mes4[[#This Row],[NETO GRAVADO]]*0.21)</f>
        <v>2022.2495999999999</v>
      </c>
      <c r="J65" s="85"/>
      <c r="K65" s="85"/>
      <c r="L65" s="85"/>
      <c r="M65" s="85"/>
      <c r="N65" s="85"/>
      <c r="O65" s="85"/>
      <c r="P65" s="48">
        <f>SUM(compras_mes4[[#This Row],[NETO GRAVADO]:[Otros / No Grav.]])</f>
        <v>11652.009599999999</v>
      </c>
      <c r="Q65" s="49" t="str">
        <f>IFERROR(IF(compras_mes4[[#This Row],[CUIT]]="","-",VLOOKUP(compras_mes4[[#This Row],[CUIT]],Lista_CUIT[#All],3,0)),"CUIT NO CARGADO")</f>
        <v>PAPELERIA</v>
      </c>
      <c r="R65" s="49">
        <f>IFERROR(IF(compras_mes4[[#This Row],[CUIT]]="","-",VLOOKUP(compras_mes4[[#This Row],[CUIT]],Lista_CUIT[#All],4,0)),"CUIT NO CARGADO")</f>
        <v>0</v>
      </c>
    </row>
    <row r="66" spans="2:18" s="56" customFormat="1" ht="18.600000000000001" customHeight="1" x14ac:dyDescent="0.25">
      <c r="B66" s="40">
        <v>45029</v>
      </c>
      <c r="C66" s="41">
        <v>1</v>
      </c>
      <c r="D66" s="42">
        <v>7</v>
      </c>
      <c r="E66" s="43">
        <v>1719</v>
      </c>
      <c r="F66" s="44">
        <v>20284183534</v>
      </c>
      <c r="G66" s="45" t="str">
        <f>IFERROR(IF(compras_mes4[[#This Row],[CUIT]]="","-",VLOOKUP(compras_mes4[[#This Row],[CUIT]],Lista_CUIT[#All],2,0)),"CUIT NO CARGADO")</f>
        <v>FURLANETTO MARTIN</v>
      </c>
      <c r="H66" s="46">
        <v>1735.54</v>
      </c>
      <c r="I66" s="85">
        <f>IF(compras_mes4[[#This Row],[NETO GRAVADO]]="","",compras_mes4[[#This Row],[NETO GRAVADO]]*0.21)</f>
        <v>364.46339999999998</v>
      </c>
      <c r="J66" s="85"/>
      <c r="K66" s="85"/>
      <c r="L66" s="85"/>
      <c r="M66" s="85"/>
      <c r="N66" s="85"/>
      <c r="O66" s="85"/>
      <c r="P66" s="48">
        <f>SUM(compras_mes4[[#This Row],[NETO GRAVADO]:[Otros / No Grav.]])</f>
        <v>2100.0034000000001</v>
      </c>
      <c r="Q66" s="49" t="str">
        <f>IFERROR(IF(compras_mes4[[#This Row],[CUIT]]="","-",VLOOKUP(compras_mes4[[#This Row],[CUIT]],Lista_CUIT[#All],3,0)),"CUIT NO CARGADO")</f>
        <v>PAPELERIA</v>
      </c>
      <c r="R66" s="49">
        <f>IFERROR(IF(compras_mes4[[#This Row],[CUIT]]="","-",VLOOKUP(compras_mes4[[#This Row],[CUIT]],Lista_CUIT[#All],4,0)),"CUIT NO CARGADO")</f>
        <v>0</v>
      </c>
    </row>
    <row r="67" spans="2:18" x14ac:dyDescent="0.25">
      <c r="B67" s="40">
        <v>45029</v>
      </c>
      <c r="C67" s="41">
        <v>1</v>
      </c>
      <c r="D67" s="42">
        <v>3</v>
      </c>
      <c r="E67" s="43">
        <v>7710</v>
      </c>
      <c r="F67" s="44">
        <v>20045615473</v>
      </c>
      <c r="G67" s="45" t="str">
        <f>IFERROR(IF(compras_mes4[[#This Row],[CUIT]]="","-",VLOOKUP(compras_mes4[[#This Row],[CUIT]],Lista_CUIT[#All],2,0)),"CUIT NO CARGADO")</f>
        <v xml:space="preserve">DI FEO HUGO PASCUAL </v>
      </c>
      <c r="H67" s="46">
        <v>15050</v>
      </c>
      <c r="I67" s="85">
        <f>IF(compras_mes4[[#This Row],[NETO GRAVADO]]="","",compras_mes4[[#This Row],[NETO GRAVADO]]*0.21)</f>
        <v>3160.5</v>
      </c>
      <c r="J67" s="85"/>
      <c r="K67" s="85"/>
      <c r="L67" s="85"/>
      <c r="M67" s="85"/>
      <c r="N67" s="85"/>
      <c r="O67" s="85"/>
      <c r="P67" s="48">
        <f>SUM(compras_mes4[[#This Row],[NETO GRAVADO]:[Otros / No Grav.]])</f>
        <v>18210.5</v>
      </c>
      <c r="Q67" s="49" t="str">
        <f>IFERROR(IF(compras_mes4[[#This Row],[CUIT]]="","-",VLOOKUP(compras_mes4[[#This Row],[CUIT]],Lista_CUIT[#All],3,0)),"CUIT NO CARGADO")</f>
        <v>Productos Ortopedicos</v>
      </c>
      <c r="R67" s="49">
        <f>IFERROR(IF(compras_mes4[[#This Row],[CUIT]]="","-",VLOOKUP(compras_mes4[[#This Row],[CUIT]],Lista_CUIT[#All],4,0)),"CUIT NO CARGADO")</f>
        <v>0</v>
      </c>
    </row>
    <row r="68" spans="2:18" x14ac:dyDescent="0.25">
      <c r="B68" s="40">
        <v>45029</v>
      </c>
      <c r="C68" s="41">
        <v>1</v>
      </c>
      <c r="D68" s="42">
        <v>3</v>
      </c>
      <c r="E68" s="43">
        <v>7713</v>
      </c>
      <c r="F68" s="44">
        <v>20045615473</v>
      </c>
      <c r="G68" s="45" t="str">
        <f>IFERROR(IF(compras_mes4[[#This Row],[CUIT]]="","-",VLOOKUP(compras_mes4[[#This Row],[CUIT]],Lista_CUIT[#All],2,0)),"CUIT NO CARGADO")</f>
        <v xml:space="preserve">DI FEO HUGO PASCUAL </v>
      </c>
      <c r="H68" s="46">
        <v>2795</v>
      </c>
      <c r="I68" s="85">
        <f>IF(compras_mes4[[#This Row],[NETO GRAVADO]]="","",compras_mes4[[#This Row],[NETO GRAVADO]]*0.21)</f>
        <v>586.94999999999993</v>
      </c>
      <c r="J68" s="85"/>
      <c r="K68" s="85"/>
      <c r="L68" s="85"/>
      <c r="M68" s="85"/>
      <c r="N68" s="85"/>
      <c r="O68" s="85"/>
      <c r="P68" s="48">
        <f>SUM(compras_mes4[[#This Row],[NETO GRAVADO]:[Otros / No Grav.]])</f>
        <v>3381.95</v>
      </c>
      <c r="Q68" s="49" t="str">
        <f>IFERROR(IF(compras_mes4[[#This Row],[CUIT]]="","-",VLOOKUP(compras_mes4[[#This Row],[CUIT]],Lista_CUIT[#All],3,0)),"CUIT NO CARGADO")</f>
        <v>Productos Ortopedicos</v>
      </c>
      <c r="R68" s="49">
        <f>IFERROR(IF(compras_mes4[[#This Row],[CUIT]]="","-",VLOOKUP(compras_mes4[[#This Row],[CUIT]],Lista_CUIT[#All],4,0)),"CUIT NO CARGADO")</f>
        <v>0</v>
      </c>
    </row>
    <row r="69" spans="2:18" x14ac:dyDescent="0.25">
      <c r="B69" s="40">
        <v>45030</v>
      </c>
      <c r="C69" s="41">
        <v>1</v>
      </c>
      <c r="D69" s="42">
        <v>4</v>
      </c>
      <c r="E69" s="43">
        <v>35</v>
      </c>
      <c r="F69" s="44">
        <v>20317488476</v>
      </c>
      <c r="G69" s="45" t="str">
        <f>IFERROR(IF(compras_mes4[[#This Row],[CUIT]]="","-",VLOOKUP(compras_mes4[[#This Row],[CUIT]],Lista_CUIT[#All],2,0)),"CUIT NO CARGADO")</f>
        <v>MIGUEL ANGEL VILLALBA</v>
      </c>
      <c r="H69" s="46">
        <v>61600</v>
      </c>
      <c r="I69" s="85">
        <f>IF(compras_mes4[[#This Row],[NETO GRAVADO]]="","",compras_mes4[[#This Row],[NETO GRAVADO]]*0.21)</f>
        <v>12936</v>
      </c>
      <c r="J69" s="85"/>
      <c r="K69" s="85"/>
      <c r="L69" s="85"/>
      <c r="M69" s="85"/>
      <c r="N69" s="85"/>
      <c r="O69" s="85"/>
      <c r="P69" s="48">
        <f>SUM(compras_mes4[[#This Row],[NETO GRAVADO]:[Otros / No Grav.]])</f>
        <v>74536</v>
      </c>
      <c r="Q69" s="49" t="str">
        <f>IFERROR(IF(compras_mes4[[#This Row],[CUIT]]="","-",VLOOKUP(compras_mes4[[#This Row],[CUIT]],Lista_CUIT[#All],3,0)),"CUIT NO CARGADO")</f>
        <v>Recupero P. Ortopedicos</v>
      </c>
      <c r="R69" s="49">
        <f>IFERROR(IF(compras_mes4[[#This Row],[CUIT]]="","-",VLOOKUP(compras_mes4[[#This Row],[CUIT]],Lista_CUIT[#All],4,0)),"CUIT NO CARGADO")</f>
        <v>0</v>
      </c>
    </row>
    <row r="70" spans="2:18" x14ac:dyDescent="0.25">
      <c r="B70" s="40">
        <v>45030</v>
      </c>
      <c r="C70" s="41">
        <v>1</v>
      </c>
      <c r="D70" s="42">
        <v>2635</v>
      </c>
      <c r="E70" s="43">
        <v>964</v>
      </c>
      <c r="F70" s="44">
        <v>33699685459</v>
      </c>
      <c r="G70" s="45" t="str">
        <f>IFERROR(IF(compras_mes4[[#This Row],[CUIT]]="","-",VLOOKUP(compras_mes4[[#This Row],[CUIT]],Lista_CUIT[#All],2,0)),"CUIT NO CARGADO")</f>
        <v>CORREO ANDREANI SA</v>
      </c>
      <c r="H70" s="46">
        <v>1734.39</v>
      </c>
      <c r="I70" s="85">
        <f>IF(compras_mes4[[#This Row],[NETO GRAVADO]]="","",compras_mes4[[#This Row],[NETO GRAVADO]]*0.21)</f>
        <v>364.22190000000001</v>
      </c>
      <c r="J70" s="85"/>
      <c r="K70" s="85"/>
      <c r="L70" s="85"/>
      <c r="M70" s="85"/>
      <c r="N70" s="85"/>
      <c r="O70" s="85"/>
      <c r="P70" s="48">
        <f>SUM(compras_mes4[[#This Row],[NETO GRAVADO]:[Otros / No Grav.]])</f>
        <v>2098.6118999999999</v>
      </c>
      <c r="Q70" s="49" t="str">
        <f>IFERROR(IF(compras_mes4[[#This Row],[CUIT]]="","-",VLOOKUP(compras_mes4[[#This Row],[CUIT]],Lista_CUIT[#All],3,0)),"CUIT NO CARGADO")</f>
        <v>FLETE</v>
      </c>
      <c r="R70" s="49">
        <f>IFERROR(IF(compras_mes4[[#This Row],[CUIT]]="","-",VLOOKUP(compras_mes4[[#This Row],[CUIT]],Lista_CUIT[#All],4,0)),"CUIT NO CARGADO")</f>
        <v>0</v>
      </c>
    </row>
    <row r="71" spans="2:18" x14ac:dyDescent="0.25">
      <c r="B71" s="40">
        <v>45030</v>
      </c>
      <c r="C71" s="41">
        <v>1</v>
      </c>
      <c r="D71" s="42">
        <v>15</v>
      </c>
      <c r="E71" s="43">
        <v>4365</v>
      </c>
      <c r="F71" s="44">
        <v>33712276539</v>
      </c>
      <c r="G71" s="45" t="str">
        <f>IFERROR(IF(compras_mes4[[#This Row],[CUIT]]="","-",VLOOKUP(compras_mes4[[#This Row],[CUIT]],Lista_CUIT[#All],2,0)),"CUIT NO CARGADO")</f>
        <v>CASTAÑO AUTOVOX SRL</v>
      </c>
      <c r="H71" s="46">
        <v>12910.24</v>
      </c>
      <c r="I71" s="85">
        <f>IF(compras_mes4[[#This Row],[NETO GRAVADO]]="","",compras_mes4[[#This Row],[NETO GRAVADO]]*0.21)</f>
        <v>2711.1504</v>
      </c>
      <c r="J71" s="85"/>
      <c r="K71" s="85"/>
      <c r="L71" s="85"/>
      <c r="M71" s="85"/>
      <c r="N71" s="85">
        <v>451.86</v>
      </c>
      <c r="O71" s="85">
        <v>778.67</v>
      </c>
      <c r="P71" s="48">
        <f>SUM(compras_mes4[[#This Row],[NETO GRAVADO]:[Otros / No Grav.]])</f>
        <v>16851.920399999999</v>
      </c>
      <c r="Q71" s="49" t="str">
        <f>IFERROR(IF(compras_mes4[[#This Row],[CUIT]]="","-",VLOOKUP(compras_mes4[[#This Row],[CUIT]],Lista_CUIT[#All],3,0)),"CUIT NO CARGADO")</f>
        <v>COMBUSTIBLE</v>
      </c>
      <c r="R71" s="49">
        <f>IFERROR(IF(compras_mes4[[#This Row],[CUIT]]="","-",VLOOKUP(compras_mes4[[#This Row],[CUIT]],Lista_CUIT[#All],4,0)),"CUIT NO CARGADO")</f>
        <v>0</v>
      </c>
    </row>
    <row r="72" spans="2:18" x14ac:dyDescent="0.25">
      <c r="B72" s="40">
        <v>45030</v>
      </c>
      <c r="C72" s="41">
        <v>1</v>
      </c>
      <c r="D72" s="42">
        <v>7</v>
      </c>
      <c r="E72" s="43">
        <v>26710</v>
      </c>
      <c r="F72" s="44">
        <v>20271532483</v>
      </c>
      <c r="G72" s="45" t="str">
        <f>IFERROR(IF(compras_mes4[[#This Row],[CUIT]]="","-",VLOOKUP(compras_mes4[[#This Row],[CUIT]],Lista_CUIT[#All],2,0)),"CUIT NO CARGADO")</f>
        <v>DIEGO MARTIN RIOS</v>
      </c>
      <c r="H72" s="46">
        <v>1085101.32</v>
      </c>
      <c r="I72" s="85">
        <f>IF(compras_mes4[[#This Row],[NETO GRAVADO]]="","",compras_mes4[[#This Row],[NETO GRAVADO]]*0.21)</f>
        <v>227871.27720000001</v>
      </c>
      <c r="J72" s="85"/>
      <c r="K72" s="85"/>
      <c r="L72" s="85"/>
      <c r="M72" s="85"/>
      <c r="N72" s="85">
        <v>37978.550000000003</v>
      </c>
      <c r="O72" s="339"/>
      <c r="P72" s="48">
        <f>SUM(compras_mes4[[#This Row],[NETO GRAVADO]:[Otros / No Grav.]])</f>
        <v>1350951.1472000002</v>
      </c>
      <c r="Q72" s="49" t="str">
        <f>IFERROR(IF(compras_mes4[[#This Row],[CUIT]]="","-",VLOOKUP(compras_mes4[[#This Row],[CUIT]],Lista_CUIT[#All],3,0)),"CUIT NO CARGADO")</f>
        <v>Productos Ortopedicos</v>
      </c>
      <c r="R72" s="49">
        <f>IFERROR(IF(compras_mes4[[#This Row],[CUIT]]="","-",VLOOKUP(compras_mes4[[#This Row],[CUIT]],Lista_CUIT[#All],4,0)),"CUIT NO CARGADO")</f>
        <v>0</v>
      </c>
    </row>
    <row r="73" spans="2:18" x14ac:dyDescent="0.25">
      <c r="B73" s="40">
        <v>45033</v>
      </c>
      <c r="C73" s="41">
        <v>1</v>
      </c>
      <c r="D73" s="42">
        <v>3</v>
      </c>
      <c r="E73" s="43">
        <v>65</v>
      </c>
      <c r="F73" s="44">
        <v>20334976433</v>
      </c>
      <c r="G73" s="45" t="str">
        <f>IFERROR(IF(compras_mes4[[#This Row],[CUIT]]="","-",VLOOKUP(compras_mes4[[#This Row],[CUIT]],Lista_CUIT[#All],2,0)),"CUIT NO CARGADO")</f>
        <v>NARDOMARINO EZEQUIEL EDUARDO</v>
      </c>
      <c r="H73" s="46">
        <v>80161.14</v>
      </c>
      <c r="I73" s="85">
        <f>IF(compras_mes4[[#This Row],[NETO GRAVADO]]="","",compras_mes4[[#This Row],[NETO GRAVADO]]*0.21)</f>
        <v>16833.839400000001</v>
      </c>
      <c r="J73" s="85"/>
      <c r="K73" s="85"/>
      <c r="L73" s="85"/>
      <c r="M73" s="85"/>
      <c r="N73" s="85"/>
      <c r="O73" s="85"/>
      <c r="P73" s="48">
        <f>SUM(compras_mes4[[#This Row],[NETO GRAVADO]:[Otros / No Grav.]])</f>
        <v>96994.979399999997</v>
      </c>
      <c r="Q73" s="49" t="str">
        <f>IFERROR(IF(compras_mes4[[#This Row],[CUIT]]="","-",VLOOKUP(compras_mes4[[#This Row],[CUIT]],Lista_CUIT[#All],3,0)),"CUIT NO CARGADO")</f>
        <v>FLETE</v>
      </c>
      <c r="R73" s="49">
        <f>IFERROR(IF(compras_mes4[[#This Row],[CUIT]]="","-",VLOOKUP(compras_mes4[[#This Row],[CUIT]],Lista_CUIT[#All],4,0)),"CUIT NO CARGADO")</f>
        <v>0</v>
      </c>
    </row>
    <row r="74" spans="2:18" x14ac:dyDescent="0.25">
      <c r="B74" s="40">
        <v>45033</v>
      </c>
      <c r="C74" s="41">
        <v>1</v>
      </c>
      <c r="D74" s="42">
        <v>7</v>
      </c>
      <c r="E74" s="43">
        <v>1730</v>
      </c>
      <c r="F74" s="44">
        <v>20284183534</v>
      </c>
      <c r="G74" s="45" t="str">
        <f>IFERROR(IF(compras_mes4[[#This Row],[CUIT]]="","-",VLOOKUP(compras_mes4[[#This Row],[CUIT]],Lista_CUIT[#All],2,0)),"CUIT NO CARGADO")</f>
        <v>FURLANETTO MARTIN</v>
      </c>
      <c r="H74" s="46">
        <v>2743.84</v>
      </c>
      <c r="I74" s="85">
        <f>IF(compras_mes4[[#This Row],[NETO GRAVADO]]="","",compras_mes4[[#This Row],[NETO GRAVADO]]*0.21)</f>
        <v>576.20640000000003</v>
      </c>
      <c r="J74" s="85"/>
      <c r="K74" s="85"/>
      <c r="L74" s="85"/>
      <c r="M74" s="85"/>
      <c r="N74" s="85"/>
      <c r="O74" s="85"/>
      <c r="P74" s="48">
        <f>SUM(compras_mes4[[#This Row],[NETO GRAVADO]:[Otros / No Grav.]])</f>
        <v>3320.0464000000002</v>
      </c>
      <c r="Q74" s="49" t="str">
        <f>IFERROR(IF(compras_mes4[[#This Row],[CUIT]]="","-",VLOOKUP(compras_mes4[[#This Row],[CUIT]],Lista_CUIT[#All],3,0)),"CUIT NO CARGADO")</f>
        <v>PAPELERIA</v>
      </c>
      <c r="R74" s="49">
        <f>IFERROR(IF(compras_mes4[[#This Row],[CUIT]]="","-",VLOOKUP(compras_mes4[[#This Row],[CUIT]],Lista_CUIT[#All],4,0)),"CUIT NO CARGADO")</f>
        <v>0</v>
      </c>
    </row>
    <row r="75" spans="2:18" x14ac:dyDescent="0.25">
      <c r="B75" s="219">
        <v>45034</v>
      </c>
      <c r="C75" s="209">
        <v>1</v>
      </c>
      <c r="D75" s="220">
        <v>5011</v>
      </c>
      <c r="E75" s="221">
        <v>463547</v>
      </c>
      <c r="F75" s="222">
        <v>30574876474</v>
      </c>
      <c r="G75" s="223" t="str">
        <f>IFERROR(IF(compras_mes4[[#This Row],[CUIT]]="","-",VLOOKUP(compras_mes4[[#This Row],[CUIT]],Lista_CUIT[#All],2,0)),"CUIT NO CARGADO")</f>
        <v>AUTOP. URBANAS SA</v>
      </c>
      <c r="H75" s="224">
        <v>5072.29</v>
      </c>
      <c r="I75" s="225">
        <f>IF(compras_mes4[[#This Row],[NETO GRAVADO]]="","",compras_mes4[[#This Row],[NETO GRAVADO]]*0.21)</f>
        <v>1065.1809000000001</v>
      </c>
      <c r="J75" s="225"/>
      <c r="K75" s="225"/>
      <c r="L75" s="225"/>
      <c r="M75" s="225"/>
      <c r="N75" s="225"/>
      <c r="O75" s="225">
        <v>658.29</v>
      </c>
      <c r="P75" s="226">
        <f>SUM(compras_mes4[[#This Row],[NETO GRAVADO]:[Otros / No Grav.]])</f>
        <v>6795.7609000000002</v>
      </c>
      <c r="Q75" s="227" t="str">
        <f>IFERROR(IF(compras_mes4[[#This Row],[CUIT]]="","-",VLOOKUP(compras_mes4[[#This Row],[CUIT]],Lista_CUIT[#All],3,0)),"CUIT NO CARGADO")</f>
        <v>PEAJE</v>
      </c>
      <c r="R75" s="227">
        <f>IFERROR(IF(compras_mes4[[#This Row],[CUIT]]="","-",VLOOKUP(compras_mes4[[#This Row],[CUIT]],Lista_CUIT[#All],4,0)),"CUIT NO CARGADO")</f>
        <v>0</v>
      </c>
    </row>
    <row r="76" spans="2:18" x14ac:dyDescent="0.25">
      <c r="B76" s="219">
        <v>45034</v>
      </c>
      <c r="C76" s="209">
        <v>1</v>
      </c>
      <c r="D76" s="220">
        <v>5009</v>
      </c>
      <c r="E76" s="221">
        <v>647600</v>
      </c>
      <c r="F76" s="222">
        <v>30574876474</v>
      </c>
      <c r="G76" s="223" t="str">
        <f>IFERROR(IF(compras_mes4[[#This Row],[CUIT]]="","-",VLOOKUP(compras_mes4[[#This Row],[CUIT]],Lista_CUIT[#All],2,0)),"CUIT NO CARGADO")</f>
        <v>AUTOP. URBANAS SA</v>
      </c>
      <c r="H76" s="224">
        <v>470.19</v>
      </c>
      <c r="I76" s="225">
        <f>IF(compras_mes4[[#This Row],[NETO GRAVADO]]="","",compras_mes4[[#This Row],[NETO GRAVADO]]*0.21)</f>
        <v>98.739899999999992</v>
      </c>
      <c r="J76" s="225"/>
      <c r="K76" s="225"/>
      <c r="L76" s="225"/>
      <c r="M76" s="225"/>
      <c r="N76" s="225"/>
      <c r="O76" s="225">
        <v>47.01</v>
      </c>
      <c r="P76" s="226">
        <f>SUM(compras_mes4[[#This Row],[NETO GRAVADO]:[Otros / No Grav.]])</f>
        <v>615.93989999999997</v>
      </c>
      <c r="Q76" s="227" t="str">
        <f>IFERROR(IF(compras_mes4[[#This Row],[CUIT]]="","-",VLOOKUP(compras_mes4[[#This Row],[CUIT]],Lista_CUIT[#All],3,0)),"CUIT NO CARGADO")</f>
        <v>PEAJE</v>
      </c>
      <c r="R76" s="227">
        <f>IFERROR(IF(compras_mes4[[#This Row],[CUIT]]="","-",VLOOKUP(compras_mes4[[#This Row],[CUIT]],Lista_CUIT[#All],4,0)),"CUIT NO CARGADO")</f>
        <v>0</v>
      </c>
    </row>
    <row r="77" spans="2:18" x14ac:dyDescent="0.25">
      <c r="B77" s="219">
        <v>45034</v>
      </c>
      <c r="C77" s="209">
        <v>1</v>
      </c>
      <c r="D77" s="220">
        <v>629</v>
      </c>
      <c r="E77" s="221">
        <v>4057786</v>
      </c>
      <c r="F77" s="222">
        <v>30663498513</v>
      </c>
      <c r="G77" s="223" t="str">
        <f>IFERROR(IF(compras_mes4[[#This Row],[CUIT]]="","-",VLOOKUP(compras_mes4[[#This Row],[CUIT]],Lista_CUIT[#All],2,0)),"CUIT NO CARGADO")</f>
        <v>GRUPO CONCES. DEL OESTE SA</v>
      </c>
      <c r="H77" s="224">
        <v>112.4</v>
      </c>
      <c r="I77" s="225">
        <f>IF(compras_mes4[[#This Row],[NETO GRAVADO]]="","",compras_mes4[[#This Row],[NETO GRAVADO]]*0.21)</f>
        <v>23.603999999999999</v>
      </c>
      <c r="J77" s="225"/>
      <c r="K77" s="225"/>
      <c r="L77" s="225"/>
      <c r="M77" s="225"/>
      <c r="N77" s="225"/>
      <c r="O77" s="225"/>
      <c r="P77" s="226">
        <f>SUM(compras_mes4[[#This Row],[NETO GRAVADO]:[Otros / No Grav.]])</f>
        <v>136.00400000000002</v>
      </c>
      <c r="Q77" s="227" t="str">
        <f>IFERROR(IF(compras_mes4[[#This Row],[CUIT]]="","-",VLOOKUP(compras_mes4[[#This Row],[CUIT]],Lista_CUIT[#All],3,0)),"CUIT NO CARGADO")</f>
        <v>PEAJE</v>
      </c>
      <c r="R77" s="227">
        <f>IFERROR(IF(compras_mes4[[#This Row],[CUIT]]="","-",VLOOKUP(compras_mes4[[#This Row],[CUIT]],Lista_CUIT[#All],4,0)),"CUIT NO CARGADO")</f>
        <v>0</v>
      </c>
    </row>
    <row r="78" spans="2:18" x14ac:dyDescent="0.25">
      <c r="B78" s="219">
        <v>45034</v>
      </c>
      <c r="C78" s="209">
        <v>1</v>
      </c>
      <c r="D78" s="220">
        <v>711</v>
      </c>
      <c r="E78" s="221">
        <v>4194565</v>
      </c>
      <c r="F78" s="222">
        <v>30677237119</v>
      </c>
      <c r="G78" s="223" t="str">
        <f>IFERROR(IF(compras_mes4[[#This Row],[CUIT]]="","-",VLOOKUP(compras_mes4[[#This Row],[CUIT]],Lista_CUIT[#All],2,0)),"CUIT NO CARGADO")</f>
        <v>AUTOPISTAS DEL SOL SA</v>
      </c>
      <c r="H78" s="224">
        <v>448.75</v>
      </c>
      <c r="I78" s="225">
        <f>IF(compras_mes4[[#This Row],[NETO GRAVADO]]="","",compras_mes4[[#This Row],[NETO GRAVADO]]*0.21)</f>
        <v>94.237499999999997</v>
      </c>
      <c r="J78" s="225"/>
      <c r="K78" s="225"/>
      <c r="L78" s="225"/>
      <c r="M78" s="225"/>
      <c r="N78" s="225"/>
      <c r="O78" s="225"/>
      <c r="P78" s="226">
        <f>SUM(compras_mes4[[#This Row],[NETO GRAVADO]:[Otros / No Grav.]])</f>
        <v>542.98749999999995</v>
      </c>
      <c r="Q78" s="227" t="str">
        <f>IFERROR(IF(compras_mes4[[#This Row],[CUIT]]="","-",VLOOKUP(compras_mes4[[#This Row],[CUIT]],Lista_CUIT[#All],3,0)),"CUIT NO CARGADO")</f>
        <v>Autopista</v>
      </c>
      <c r="R78" s="227">
        <f>IFERROR(IF(compras_mes4[[#This Row],[CUIT]]="","-",VLOOKUP(compras_mes4[[#This Row],[CUIT]],Lista_CUIT[#All],4,0)),"CUIT NO CARGADO")</f>
        <v>0</v>
      </c>
    </row>
    <row r="79" spans="2:18" x14ac:dyDescent="0.25">
      <c r="B79" s="40">
        <v>45034</v>
      </c>
      <c r="C79" s="41">
        <v>1</v>
      </c>
      <c r="D79" s="42">
        <v>7</v>
      </c>
      <c r="E79" s="43">
        <v>3721</v>
      </c>
      <c r="F79" s="44">
        <v>30709904872</v>
      </c>
      <c r="G79" s="45" t="str">
        <f>IFERROR(IF(compras_mes4[[#This Row],[CUIT]]="","-",VLOOKUP(compras_mes4[[#This Row],[CUIT]],Lista_CUIT[#All],2,0)),"CUIT NO CARGADO")</f>
        <v>LOGISTICA DE LA COSTA SA</v>
      </c>
      <c r="H79" s="46">
        <v>5785.12</v>
      </c>
      <c r="I79" s="85">
        <f>IF(compras_mes4[[#This Row],[NETO GRAVADO]]="","",compras_mes4[[#This Row],[NETO GRAVADO]]*0.21)</f>
        <v>1214.8751999999999</v>
      </c>
      <c r="J79" s="85"/>
      <c r="K79" s="85"/>
      <c r="L79" s="85"/>
      <c r="M79" s="85"/>
      <c r="N79" s="85"/>
      <c r="O79" s="85"/>
      <c r="P79" s="48">
        <f>SUM(compras_mes4[[#This Row],[NETO GRAVADO]:[Otros / No Grav.]])</f>
        <v>6999.9951999999994</v>
      </c>
      <c r="Q79" s="49" t="str">
        <f>IFERROR(IF(compras_mes4[[#This Row],[CUIT]]="","-",VLOOKUP(compras_mes4[[#This Row],[CUIT]],Lista_CUIT[#All],3,0)),"CUIT NO CARGADO")</f>
        <v>FLETE</v>
      </c>
      <c r="R79" s="49">
        <f>IFERROR(IF(compras_mes4[[#This Row],[CUIT]]="","-",VLOOKUP(compras_mes4[[#This Row],[CUIT]],Lista_CUIT[#All],4,0)),"CUIT NO CARGADO")</f>
        <v>0</v>
      </c>
    </row>
    <row r="80" spans="2:18" x14ac:dyDescent="0.25">
      <c r="B80" s="219">
        <v>45035</v>
      </c>
      <c r="C80" s="209">
        <v>3</v>
      </c>
      <c r="D80" s="220">
        <v>120</v>
      </c>
      <c r="E80" s="221">
        <v>267</v>
      </c>
      <c r="F80" s="222">
        <v>30587197215</v>
      </c>
      <c r="G80" s="223" t="str">
        <f>IFERROR(IF(compras_mes4[[#This Row],[CUIT]]="","-",VLOOKUP(compras_mes4[[#This Row],[CUIT]],Lista_CUIT[#All],2,0)),"CUIT NO CARGADO")</f>
        <v>PANATEL SOCIEDAD ANONIMA</v>
      </c>
      <c r="H80" s="224">
        <v>-21487.599999999999</v>
      </c>
      <c r="I80" s="225">
        <f>IF(compras_mes4[[#This Row],[NETO GRAVADO]]="","",compras_mes4[[#This Row],[NETO GRAVADO]]*0.21)</f>
        <v>-4512.3959999999997</v>
      </c>
      <c r="J80" s="225"/>
      <c r="K80" s="225"/>
      <c r="L80" s="225"/>
      <c r="M80" s="225"/>
      <c r="N80" s="225"/>
      <c r="O80" s="225"/>
      <c r="P80" s="226">
        <f>SUM(compras_mes4[[#This Row],[NETO GRAVADO]:[Otros / No Grav.]])</f>
        <v>-25999.995999999999</v>
      </c>
      <c r="Q80" s="227" t="str">
        <f>IFERROR(IF(compras_mes4[[#This Row],[CUIT]]="","-",VLOOKUP(compras_mes4[[#This Row],[CUIT]],Lista_CUIT[#All],3,0)),"CUIT NO CARGADO")</f>
        <v>Gastos Varios</v>
      </c>
      <c r="R80" s="227">
        <f>IFERROR(IF(compras_mes4[[#This Row],[CUIT]]="","-",VLOOKUP(compras_mes4[[#This Row],[CUIT]],Lista_CUIT[#All],4,0)),"CUIT NO CARGADO")</f>
        <v>0</v>
      </c>
    </row>
    <row r="81" spans="2:18" x14ac:dyDescent="0.25">
      <c r="B81" s="40">
        <v>45035</v>
      </c>
      <c r="C81" s="41">
        <v>1</v>
      </c>
      <c r="D81" s="42">
        <v>1</v>
      </c>
      <c r="E81" s="43">
        <v>451</v>
      </c>
      <c r="F81" s="44">
        <v>33716711469</v>
      </c>
      <c r="G81" s="45" t="str">
        <f>IFERROR(IF(compras_mes4[[#This Row],[CUIT]]="","-",VLOOKUP(compras_mes4[[#This Row],[CUIT]],Lista_CUIT[#All],2,0)),"CUIT NO CARGADO")</f>
        <v>ORTOPEDIA SOLER SRL</v>
      </c>
      <c r="H81" s="46">
        <v>80000</v>
      </c>
      <c r="I81" s="85">
        <f>IF(compras_mes4[[#This Row],[NETO GRAVADO]]="","",compras_mes4[[#This Row],[NETO GRAVADO]]*0.21)</f>
        <v>16800</v>
      </c>
      <c r="J81" s="85"/>
      <c r="K81" s="85"/>
      <c r="L81" s="85"/>
      <c r="M81" s="85"/>
      <c r="N81" s="85"/>
      <c r="O81" s="85"/>
      <c r="P81" s="48">
        <f>SUM(compras_mes4[[#This Row],[NETO GRAVADO]:[Otros / No Grav.]])</f>
        <v>96800</v>
      </c>
      <c r="Q81" s="49" t="str">
        <f>IFERROR(IF(compras_mes4[[#This Row],[CUIT]]="","-",VLOOKUP(compras_mes4[[#This Row],[CUIT]],Lista_CUIT[#All],3,0)),"CUIT NO CARGADO")</f>
        <v>Productos Ortopedicos</v>
      </c>
      <c r="R81" s="49">
        <f>IFERROR(IF(compras_mes4[[#This Row],[CUIT]]="","-",VLOOKUP(compras_mes4[[#This Row],[CUIT]],Lista_CUIT[#All],4,0)),"CUIT NO CARGADO")</f>
        <v>0</v>
      </c>
    </row>
    <row r="82" spans="2:18" x14ac:dyDescent="0.25">
      <c r="B82" s="40">
        <v>45035</v>
      </c>
      <c r="C82" s="41">
        <v>1</v>
      </c>
      <c r="D82" s="42">
        <v>6</v>
      </c>
      <c r="E82" s="43">
        <v>907</v>
      </c>
      <c r="F82" s="44">
        <v>30716815710</v>
      </c>
      <c r="G82" s="45" t="str">
        <f>IFERROR(IF(compras_mes4[[#This Row],[CUIT]]="","-",VLOOKUP(compras_mes4[[#This Row],[CUIT]],Lista_CUIT[#All],2,0)),"CUIT NO CARGADO")</f>
        <v>PAPELERA GEOPEL SRL</v>
      </c>
      <c r="H82" s="46">
        <v>3217.14</v>
      </c>
      <c r="I82" s="85">
        <f>IF(compras_mes4[[#This Row],[NETO GRAVADO]]="","",compras_mes4[[#This Row],[NETO GRAVADO]]*0.21)</f>
        <v>675.59939999999995</v>
      </c>
      <c r="J82" s="85"/>
      <c r="K82" s="85"/>
      <c r="L82" s="85"/>
      <c r="M82" s="85"/>
      <c r="N82" s="85"/>
      <c r="O82" s="85"/>
      <c r="P82" s="48">
        <f>SUM(compras_mes4[[#This Row],[NETO GRAVADO]:[Otros / No Grav.]])</f>
        <v>3892.7393999999999</v>
      </c>
      <c r="Q82" s="49" t="str">
        <f>IFERROR(IF(compras_mes4[[#This Row],[CUIT]]="","-",VLOOKUP(compras_mes4[[#This Row],[CUIT]],Lista_CUIT[#All],3,0)),"CUIT NO CARGADO")</f>
        <v>PAPELERIA</v>
      </c>
      <c r="R82" s="49">
        <f>IFERROR(IF(compras_mes4[[#This Row],[CUIT]]="","-",VLOOKUP(compras_mes4[[#This Row],[CUIT]],Lista_CUIT[#All],4,0)),"CUIT NO CARGADO")</f>
        <v>0</v>
      </c>
    </row>
    <row r="83" spans="2:18" ht="14.45" customHeight="1" x14ac:dyDescent="0.25">
      <c r="B83" s="89">
        <v>45035</v>
      </c>
      <c r="C83" s="41">
        <v>1</v>
      </c>
      <c r="D83" s="91">
        <v>5</v>
      </c>
      <c r="E83" s="92">
        <v>1184</v>
      </c>
      <c r="F83" s="93">
        <v>30712187316</v>
      </c>
      <c r="G83" s="94" t="str">
        <f>IFERROR(IF(compras_mes4[[#This Row],[CUIT]]="","-",VLOOKUP(compras_mes4[[#This Row],[CUIT]],Lista_CUIT[#All],2,0)),"CUIT NO CARGADO")</f>
        <v>ITALOMED PRODUCTOS SRL</v>
      </c>
      <c r="H83" s="95">
        <v>53197.13</v>
      </c>
      <c r="I83" s="86">
        <f>IF(compras_mes4[[#This Row],[NETO GRAVADO]]="","",compras_mes4[[#This Row],[NETO GRAVADO]]*0.21)</f>
        <v>11171.397299999999</v>
      </c>
      <c r="J83" s="86"/>
      <c r="K83" s="86"/>
      <c r="L83" s="86"/>
      <c r="M83" s="86"/>
      <c r="N83" s="86"/>
      <c r="O83" s="86"/>
      <c r="P83" s="87">
        <f>SUM(compras_mes4[[#This Row],[NETO GRAVADO]:[Otros / No Grav.]])</f>
        <v>64368.527299999994</v>
      </c>
      <c r="Q83" s="88" t="str">
        <f>IFERROR(IF(compras_mes4[[#This Row],[CUIT]]="","-",VLOOKUP(compras_mes4[[#This Row],[CUIT]],Lista_CUIT[#All],3,0)),"CUIT NO CARGADO")</f>
        <v>Productos Ortopedicos</v>
      </c>
      <c r="R83" s="88">
        <f>IFERROR(IF(compras_mes4[[#This Row],[CUIT]]="","-",VLOOKUP(compras_mes4[[#This Row],[CUIT]],Lista_CUIT[#All],4,0)),"CUIT NO CARGADO")</f>
        <v>0</v>
      </c>
    </row>
    <row r="84" spans="2:18" x14ac:dyDescent="0.25">
      <c r="B84" s="219">
        <v>45035</v>
      </c>
      <c r="C84" s="209">
        <v>1</v>
      </c>
      <c r="D84" s="220">
        <v>120</v>
      </c>
      <c r="E84" s="221">
        <v>2448</v>
      </c>
      <c r="F84" s="222">
        <v>30587197215</v>
      </c>
      <c r="G84" s="223" t="str">
        <f>IFERROR(IF(compras_mes4[[#This Row],[CUIT]]="","-",VLOOKUP(compras_mes4[[#This Row],[CUIT]],Lista_CUIT[#All],2,0)),"CUIT NO CARGADO")</f>
        <v>PANATEL SOCIEDAD ANONIMA</v>
      </c>
      <c r="H84" s="224">
        <v>21487.599999999999</v>
      </c>
      <c r="I84" s="225">
        <f>IF(compras_mes4[[#This Row],[NETO GRAVADO]]="","",compras_mes4[[#This Row],[NETO GRAVADO]]*0.21)</f>
        <v>4512.3959999999997</v>
      </c>
      <c r="J84" s="225"/>
      <c r="K84" s="225"/>
      <c r="L84" s="225"/>
      <c r="M84" s="225"/>
      <c r="N84" s="225"/>
      <c r="O84" s="225"/>
      <c r="P84" s="226">
        <f>SUM(compras_mes4[[#This Row],[NETO GRAVADO]:[Otros / No Grav.]])</f>
        <v>25999.995999999999</v>
      </c>
      <c r="Q84" s="227" t="str">
        <f>IFERROR(IF(compras_mes4[[#This Row],[CUIT]]="","-",VLOOKUP(compras_mes4[[#This Row],[CUIT]],Lista_CUIT[#All],3,0)),"CUIT NO CARGADO")</f>
        <v>Gastos Varios</v>
      </c>
      <c r="R84" s="227">
        <f>IFERROR(IF(compras_mes4[[#This Row],[CUIT]]="","-",VLOOKUP(compras_mes4[[#This Row],[CUIT]],Lista_CUIT[#All],4,0)),"CUIT NO CARGADO")</f>
        <v>0</v>
      </c>
    </row>
    <row r="85" spans="2:18" x14ac:dyDescent="0.25">
      <c r="B85" s="40">
        <v>45035</v>
      </c>
      <c r="C85" s="41">
        <v>1</v>
      </c>
      <c r="D85" s="42">
        <v>120</v>
      </c>
      <c r="E85" s="43">
        <v>2449</v>
      </c>
      <c r="F85" s="44">
        <v>30587197215</v>
      </c>
      <c r="G85" s="45" t="str">
        <f>IFERROR(IF(compras_mes4[[#This Row],[CUIT]]="","-",VLOOKUP(compras_mes4[[#This Row],[CUIT]],Lista_CUIT[#All],2,0)),"CUIT NO CARGADO")</f>
        <v>PANATEL SOCIEDAD ANONIMA</v>
      </c>
      <c r="H85" s="46">
        <v>16528.93</v>
      </c>
      <c r="I85" s="85">
        <f>IF(compras_mes4[[#This Row],[NETO GRAVADO]]="","",compras_mes4[[#This Row],[NETO GRAVADO]]*0.21)</f>
        <v>3471.0753</v>
      </c>
      <c r="J85" s="85"/>
      <c r="K85" s="85"/>
      <c r="L85" s="85"/>
      <c r="M85" s="85"/>
      <c r="N85" s="85"/>
      <c r="O85" s="85"/>
      <c r="P85" s="48">
        <f>SUM(compras_mes4[[#This Row],[NETO GRAVADO]:[Otros / No Grav.]])</f>
        <v>20000.005300000001</v>
      </c>
      <c r="Q85" s="49" t="str">
        <f>IFERROR(IF(compras_mes4[[#This Row],[CUIT]]="","-",VLOOKUP(compras_mes4[[#This Row],[CUIT]],Lista_CUIT[#All],3,0)),"CUIT NO CARGADO")</f>
        <v>Gastos Varios</v>
      </c>
      <c r="R85" s="49">
        <f>IFERROR(IF(compras_mes4[[#This Row],[CUIT]]="","-",VLOOKUP(compras_mes4[[#This Row],[CUIT]],Lista_CUIT[#All],4,0)),"CUIT NO CARGADO")</f>
        <v>0</v>
      </c>
    </row>
    <row r="86" spans="2:18" ht="14.45" customHeight="1" x14ac:dyDescent="0.25">
      <c r="B86" s="40">
        <v>45035</v>
      </c>
      <c r="C86" s="41">
        <v>1</v>
      </c>
      <c r="D86" s="42">
        <v>7</v>
      </c>
      <c r="E86" s="43">
        <v>26744</v>
      </c>
      <c r="F86" s="44">
        <v>20271532483</v>
      </c>
      <c r="G86" s="45" t="str">
        <f>IFERROR(IF(compras_mes4[[#This Row],[CUIT]]="","-",VLOOKUP(compras_mes4[[#This Row],[CUIT]],Lista_CUIT[#All],2,0)),"CUIT NO CARGADO")</f>
        <v>DIEGO MARTIN RIOS</v>
      </c>
      <c r="H86" s="46">
        <v>561704.07999999996</v>
      </c>
      <c r="I86" s="85">
        <f>IF(compras_mes4[[#This Row],[NETO GRAVADO]]="","",compras_mes4[[#This Row],[NETO GRAVADO]]*0.21)</f>
        <v>117957.85679999998</v>
      </c>
      <c r="J86" s="85"/>
      <c r="K86" s="85"/>
      <c r="L86" s="85"/>
      <c r="M86" s="85"/>
      <c r="N86" s="85">
        <v>19659.64</v>
      </c>
      <c r="O86" s="339"/>
      <c r="P86" s="48">
        <f>SUM(compras_mes4[[#This Row],[NETO GRAVADO]:[Otros / No Grav.]])</f>
        <v>699321.57679999992</v>
      </c>
      <c r="Q86" s="49" t="str">
        <f>IFERROR(IF(compras_mes4[[#This Row],[CUIT]]="","-",VLOOKUP(compras_mes4[[#This Row],[CUIT]],Lista_CUIT[#All],3,0)),"CUIT NO CARGADO")</f>
        <v>Productos Ortopedicos</v>
      </c>
      <c r="R86" s="49">
        <f>IFERROR(IF(compras_mes4[[#This Row],[CUIT]]="","-",VLOOKUP(compras_mes4[[#This Row],[CUIT]],Lista_CUIT[#All],4,0)),"CUIT NO CARGADO")</f>
        <v>0</v>
      </c>
    </row>
    <row r="87" spans="2:18" ht="14.45" customHeight="1" x14ac:dyDescent="0.25">
      <c r="B87" s="89">
        <v>45035</v>
      </c>
      <c r="C87" s="41">
        <v>1</v>
      </c>
      <c r="D87" s="91">
        <v>48</v>
      </c>
      <c r="E87" s="92">
        <v>371809</v>
      </c>
      <c r="F87" s="93">
        <v>30626009618</v>
      </c>
      <c r="G87" s="94" t="str">
        <f>IFERROR(IF(compras_mes4[[#This Row],[CUIT]]="","-",VLOOKUP(compras_mes4[[#This Row],[CUIT]],Lista_CUIT[#All],2,0)),"CUIT NO CARGADO")</f>
        <v>EXPRESO RIVADAVIA S R L</v>
      </c>
      <c r="H87" s="95">
        <v>5239.67</v>
      </c>
      <c r="I87" s="86">
        <f>IF(compras_mes4[[#This Row],[NETO GRAVADO]]="","",compras_mes4[[#This Row],[NETO GRAVADO]]*0.21)</f>
        <v>1100.3307</v>
      </c>
      <c r="J87" s="86"/>
      <c r="K87" s="86"/>
      <c r="L87" s="86"/>
      <c r="M87" s="86"/>
      <c r="N87" s="86"/>
      <c r="O87" s="86"/>
      <c r="P87" s="87">
        <f>SUM(compras_mes4[[#This Row],[NETO GRAVADO]:[Otros / No Grav.]])</f>
        <v>6340.0007000000005</v>
      </c>
      <c r="Q87" s="88" t="str">
        <f>IFERROR(IF(compras_mes4[[#This Row],[CUIT]]="","-",VLOOKUP(compras_mes4[[#This Row],[CUIT]],Lista_CUIT[#All],3,0)),"CUIT NO CARGADO")</f>
        <v>FLETE</v>
      </c>
      <c r="R87" s="88">
        <f>IFERROR(IF(compras_mes4[[#This Row],[CUIT]]="","-",VLOOKUP(compras_mes4[[#This Row],[CUIT]],Lista_CUIT[#All],4,0)),"CUIT NO CARGADO")</f>
        <v>0</v>
      </c>
    </row>
    <row r="88" spans="2:18" ht="15" customHeight="1" x14ac:dyDescent="0.25">
      <c r="B88" s="219">
        <v>45035</v>
      </c>
      <c r="C88" s="209">
        <v>1</v>
      </c>
      <c r="D88" s="220">
        <v>4264</v>
      </c>
      <c r="E88" s="221">
        <v>1848685</v>
      </c>
      <c r="F88" s="222">
        <v>30639453738</v>
      </c>
      <c r="G88" s="223" t="str">
        <f>IFERROR(IF(compras_mes4[[#This Row],[CUIT]]="","-",VLOOKUP(compras_mes4[[#This Row],[CUIT]],Lista_CUIT[#All],2,0)),"CUIT NO CARGADO")</f>
        <v>TELECOM ARGENTINA SA</v>
      </c>
      <c r="H88" s="224">
        <v>12332.23</v>
      </c>
      <c r="I88" s="225">
        <f>IF(compras_mes4[[#This Row],[NETO GRAVADO]]="","",compras_mes4[[#This Row],[NETO GRAVADO]]*0.21)</f>
        <v>2589.7682999999997</v>
      </c>
      <c r="J88" s="225"/>
      <c r="K88" s="225"/>
      <c r="L88" s="225"/>
      <c r="M88" s="225"/>
      <c r="N88" s="225"/>
      <c r="O88" s="225">
        <v>801.59</v>
      </c>
      <c r="P88" s="226">
        <f>SUM(compras_mes4[[#This Row],[NETO GRAVADO]:[Otros / No Grav.]])</f>
        <v>15723.588299999999</v>
      </c>
      <c r="Q88" s="227" t="str">
        <f>IFERROR(IF(compras_mes4[[#This Row],[CUIT]]="","-",VLOOKUP(compras_mes4[[#This Row],[CUIT]],Lista_CUIT[#All],3,0)),"CUIT NO CARGADO")</f>
        <v>TELEFONIA</v>
      </c>
      <c r="R88" s="227">
        <f>IFERROR(IF(compras_mes4[[#This Row],[CUIT]]="","-",VLOOKUP(compras_mes4[[#This Row],[CUIT]],Lista_CUIT[#All],4,0)),"CUIT NO CARGADO")</f>
        <v>0</v>
      </c>
    </row>
    <row r="89" spans="2:18" ht="15" customHeight="1" x14ac:dyDescent="0.25">
      <c r="B89" s="219">
        <v>45035</v>
      </c>
      <c r="C89" s="209">
        <v>1</v>
      </c>
      <c r="D89" s="220">
        <v>104</v>
      </c>
      <c r="E89" s="221">
        <v>3266522</v>
      </c>
      <c r="F89" s="222">
        <v>30715804812</v>
      </c>
      <c r="G89" s="223" t="str">
        <f>IFERROR(IF(compras_mes4[[#This Row],[CUIT]]="","-",VLOOKUP(compras_mes4[[#This Row],[CUIT]],Lista_CUIT[#All],2,0)),"CUIT NO CARGADO")</f>
        <v>CORREDORES VIALES SOCIEDAD ANONIMA</v>
      </c>
      <c r="H89" s="224">
        <v>578.51</v>
      </c>
      <c r="I89" s="225">
        <f>IF(compras_mes4[[#This Row],[NETO GRAVADO]]="","",compras_mes4[[#This Row],[NETO GRAVADO]]*0.21)</f>
        <v>121.4871</v>
      </c>
      <c r="J89" s="225"/>
      <c r="K89" s="225"/>
      <c r="L89" s="225"/>
      <c r="M89" s="225"/>
      <c r="N89" s="225"/>
      <c r="O89" s="225">
        <v>20.25</v>
      </c>
      <c r="P89" s="226">
        <f>SUM(compras_mes4[[#This Row],[NETO GRAVADO]:[Otros / No Grav.]])</f>
        <v>720.24710000000005</v>
      </c>
      <c r="Q89" s="227" t="str">
        <f>IFERROR(IF(compras_mes4[[#This Row],[CUIT]]="","-",VLOOKUP(compras_mes4[[#This Row],[CUIT]],Lista_CUIT[#All],3,0)),"CUIT NO CARGADO")</f>
        <v>Autopista</v>
      </c>
      <c r="R89" s="227">
        <f>IFERROR(IF(compras_mes4[[#This Row],[CUIT]]="","-",VLOOKUP(compras_mes4[[#This Row],[CUIT]],Lista_CUIT[#All],4,0)),"CUIT NO CARGADO")</f>
        <v>0</v>
      </c>
    </row>
    <row r="90" spans="2:18" ht="15" customHeight="1" x14ac:dyDescent="0.25">
      <c r="B90" s="40">
        <v>45036</v>
      </c>
      <c r="C90" s="41">
        <v>1</v>
      </c>
      <c r="D90" s="42">
        <v>13</v>
      </c>
      <c r="E90" s="43">
        <v>1150</v>
      </c>
      <c r="F90" s="44">
        <v>33709914109</v>
      </c>
      <c r="G90" s="45" t="str">
        <f>IFERROR(IF(compras_mes4[[#This Row],[CUIT]]="","-",VLOOKUP(compras_mes4[[#This Row],[CUIT]],Lista_CUIT[#All],2,0)),"CUIT NO CARGADO")</f>
        <v xml:space="preserve">ALAN COLLECTION SA </v>
      </c>
      <c r="H90" s="46">
        <v>2561.98</v>
      </c>
      <c r="I90" s="85">
        <f>IF(compras_mes4[[#This Row],[NETO GRAVADO]]="","",compras_mes4[[#This Row],[NETO GRAVADO]]*0.21)</f>
        <v>538.01580000000001</v>
      </c>
      <c r="J90" s="85"/>
      <c r="K90" s="85"/>
      <c r="L90" s="85"/>
      <c r="M90" s="85"/>
      <c r="N90" s="85"/>
      <c r="O90" s="85"/>
      <c r="P90" s="48">
        <f>SUM(compras_mes4[[#This Row],[NETO GRAVADO]:[Otros / No Grav.]])</f>
        <v>3099.9958000000001</v>
      </c>
      <c r="Q90" s="49" t="str">
        <f>IFERROR(IF(compras_mes4[[#This Row],[CUIT]]="","-",VLOOKUP(compras_mes4[[#This Row],[CUIT]],Lista_CUIT[#All],3,0)),"CUIT NO CARGADO")</f>
        <v>MERCADERIA</v>
      </c>
      <c r="R90" s="49">
        <f>IFERROR(IF(compras_mes4[[#This Row],[CUIT]]="","-",VLOOKUP(compras_mes4[[#This Row],[CUIT]],Lista_CUIT[#All],4,0)),"CUIT NO CARGADO")</f>
        <v>0</v>
      </c>
    </row>
    <row r="91" spans="2:18" ht="15" customHeight="1" x14ac:dyDescent="0.25">
      <c r="B91" s="219">
        <v>45036</v>
      </c>
      <c r="C91" s="209">
        <v>1</v>
      </c>
      <c r="D91" s="220">
        <v>3</v>
      </c>
      <c r="E91" s="221">
        <v>7726</v>
      </c>
      <c r="F91" s="222">
        <v>20045615473</v>
      </c>
      <c r="G91" s="223" t="str">
        <f>IFERROR(IF(compras_mes4[[#This Row],[CUIT]]="","-",VLOOKUP(compras_mes4[[#This Row],[CUIT]],Lista_CUIT[#All],2,0)),"CUIT NO CARGADO")</f>
        <v xml:space="preserve">DI FEO HUGO PASCUAL </v>
      </c>
      <c r="H91" s="224">
        <v>48180</v>
      </c>
      <c r="I91" s="225">
        <f>IF(compras_mes4[[#This Row],[NETO GRAVADO]]="","",compras_mes4[[#This Row],[NETO GRAVADO]]*0.21)</f>
        <v>10117.799999999999</v>
      </c>
      <c r="J91" s="225"/>
      <c r="K91" s="225"/>
      <c r="L91" s="225"/>
      <c r="M91" s="225"/>
      <c r="N91" s="225"/>
      <c r="O91" s="225"/>
      <c r="P91" s="226">
        <f>SUM(compras_mes4[[#This Row],[NETO GRAVADO]:[Otros / No Grav.]])</f>
        <v>58297.8</v>
      </c>
      <c r="Q91" s="227" t="str">
        <f>IFERROR(IF(compras_mes4[[#This Row],[CUIT]]="","-",VLOOKUP(compras_mes4[[#This Row],[CUIT]],Lista_CUIT[#All],3,0)),"CUIT NO CARGADO")</f>
        <v>Productos Ortopedicos</v>
      </c>
      <c r="R91" s="227">
        <f>IFERROR(IF(compras_mes4[[#This Row],[CUIT]]="","-",VLOOKUP(compras_mes4[[#This Row],[CUIT]],Lista_CUIT[#All],4,0)),"CUIT NO CARGADO")</f>
        <v>0</v>
      </c>
    </row>
    <row r="92" spans="2:18" ht="15" customHeight="1" x14ac:dyDescent="0.25">
      <c r="B92" s="219">
        <v>45036</v>
      </c>
      <c r="C92" s="209">
        <v>1</v>
      </c>
      <c r="D92" s="220">
        <v>3</v>
      </c>
      <c r="E92" s="221">
        <v>7728</v>
      </c>
      <c r="F92" s="222">
        <v>20045615473</v>
      </c>
      <c r="G92" s="223" t="str">
        <f>IFERROR(IF(compras_mes4[[#This Row],[CUIT]]="","-",VLOOKUP(compras_mes4[[#This Row],[CUIT]],Lista_CUIT[#All],2,0)),"CUIT NO CARGADO")</f>
        <v xml:space="preserve">DI FEO HUGO PASCUAL </v>
      </c>
      <c r="H92" s="224">
        <v>48580</v>
      </c>
      <c r="I92" s="225">
        <f>IF(compras_mes4[[#This Row],[NETO GRAVADO]]="","",compras_mes4[[#This Row],[NETO GRAVADO]]*0.21)</f>
        <v>10201.799999999999</v>
      </c>
      <c r="J92" s="225"/>
      <c r="K92" s="225"/>
      <c r="L92" s="225"/>
      <c r="M92" s="225"/>
      <c r="N92" s="225"/>
      <c r="O92" s="225"/>
      <c r="P92" s="226">
        <f>SUM(compras_mes4[[#This Row],[NETO GRAVADO]:[Otros / No Grav.]])</f>
        <v>58781.8</v>
      </c>
      <c r="Q92" s="227" t="str">
        <f>IFERROR(IF(compras_mes4[[#This Row],[CUIT]]="","-",VLOOKUP(compras_mes4[[#This Row],[CUIT]],Lista_CUIT[#All],3,0)),"CUIT NO CARGADO")</f>
        <v>Productos Ortopedicos</v>
      </c>
      <c r="R92" s="227">
        <f>IFERROR(IF(compras_mes4[[#This Row],[CUIT]]="","-",VLOOKUP(compras_mes4[[#This Row],[CUIT]],Lista_CUIT[#All],4,0)),"CUIT NO CARGADO")</f>
        <v>0</v>
      </c>
    </row>
    <row r="93" spans="2:18" x14ac:dyDescent="0.25">
      <c r="B93" s="40">
        <v>45037</v>
      </c>
      <c r="C93" s="41">
        <v>1</v>
      </c>
      <c r="D93" s="42">
        <v>5</v>
      </c>
      <c r="E93" s="43">
        <v>2756625</v>
      </c>
      <c r="F93" s="44">
        <v>30702652975</v>
      </c>
      <c r="G93" s="45" t="str">
        <f>IFERROR(IF(compras_mes4[[#This Row],[CUIT]]="","-",VLOOKUP(compras_mes4[[#This Row],[CUIT]],Lista_CUIT[#All],2,0)),"CUIT NO CARGADO")</f>
        <v>NSS SA</v>
      </c>
      <c r="H93" s="46">
        <v>6248.38</v>
      </c>
      <c r="I93" s="85">
        <f>IF(compras_mes4[[#This Row],[NETO GRAVADO]]="","",compras_mes4[[#This Row],[NETO GRAVADO]]*0.21)</f>
        <v>1312.1597999999999</v>
      </c>
      <c r="J93" s="85"/>
      <c r="K93" s="85"/>
      <c r="L93" s="85"/>
      <c r="M93" s="85"/>
      <c r="N93" s="85">
        <v>218.69</v>
      </c>
      <c r="O93" s="85"/>
      <c r="P93" s="48">
        <f>SUM(compras_mes4[[#This Row],[NETO GRAVADO]:[Otros / No Grav.]])</f>
        <v>7779.2298000000001</v>
      </c>
      <c r="Q93" s="49" t="str">
        <f>IFERROR(IF(compras_mes4[[#This Row],[CUIT]]="","-",VLOOKUP(compras_mes4[[#This Row],[CUIT]],Lista_CUIT[#All],3,0)),"CUIT NO CARGADO")</f>
        <v>TELEFONIA</v>
      </c>
      <c r="R93" s="49">
        <f>IFERROR(IF(compras_mes4[[#This Row],[CUIT]]="","-",VLOOKUP(compras_mes4[[#This Row],[CUIT]],Lista_CUIT[#All],4,0)),"CUIT NO CARGADO")</f>
        <v>0</v>
      </c>
    </row>
    <row r="94" spans="2:18" x14ac:dyDescent="0.25">
      <c r="B94" s="219">
        <v>45037</v>
      </c>
      <c r="C94" s="209">
        <v>1</v>
      </c>
      <c r="D94" s="220">
        <v>113</v>
      </c>
      <c r="E94" s="221">
        <v>3153182</v>
      </c>
      <c r="F94" s="222">
        <v>30577207190</v>
      </c>
      <c r="G94" s="223" t="str">
        <f>IFERROR(IF(compras_mes4[[#This Row],[CUIT]]="","-",VLOOKUP(compras_mes4[[#This Row],[CUIT]],Lista_CUIT[#All],2,0)),"CUIT NO CARGADO")</f>
        <v>COORDINACION ECOLOGICA AREA METROPOLITANA SOCIEDAD DEL ESTADO</v>
      </c>
      <c r="H94" s="224">
        <v>206.61</v>
      </c>
      <c r="I94" s="225">
        <f>IF(compras_mes4[[#This Row],[NETO GRAVADO]]="","",compras_mes4[[#This Row],[NETO GRAVADO]]*0.21)</f>
        <v>43.388100000000001</v>
      </c>
      <c r="J94" s="225"/>
      <c r="K94" s="225"/>
      <c r="L94" s="225"/>
      <c r="M94" s="225"/>
      <c r="N94" s="225"/>
      <c r="O94" s="225"/>
      <c r="P94" s="226">
        <f>SUM(compras_mes4[[#This Row],[NETO GRAVADO]:[Otros / No Grav.]])</f>
        <v>249.99810000000002</v>
      </c>
      <c r="Q94" s="227" t="str">
        <f>IFERROR(IF(compras_mes4[[#This Row],[CUIT]]="","-",VLOOKUP(compras_mes4[[#This Row],[CUIT]],Lista_CUIT[#All],3,0)),"CUIT NO CARGADO")</f>
        <v>gastos varios</v>
      </c>
      <c r="R94" s="227">
        <f>IFERROR(IF(compras_mes4[[#This Row],[CUIT]]="","-",VLOOKUP(compras_mes4[[#This Row],[CUIT]],Lista_CUIT[#All],4,0)),"CUIT NO CARGADO")</f>
        <v>0</v>
      </c>
    </row>
    <row r="95" spans="2:18" x14ac:dyDescent="0.25">
      <c r="B95" s="40">
        <v>45038</v>
      </c>
      <c r="C95" s="41">
        <v>1</v>
      </c>
      <c r="D95" s="42">
        <v>27</v>
      </c>
      <c r="E95" s="43">
        <v>4512</v>
      </c>
      <c r="F95" s="44">
        <v>33712276539</v>
      </c>
      <c r="G95" s="45" t="str">
        <f>IFERROR(IF(compras_mes4[[#This Row],[CUIT]]="","-",VLOOKUP(compras_mes4[[#This Row],[CUIT]],Lista_CUIT[#All],2,0)),"CUIT NO CARGADO")</f>
        <v>CASTAÑO AUTOVOX SRL</v>
      </c>
      <c r="H95" s="46">
        <v>2662.46</v>
      </c>
      <c r="I95" s="85">
        <f>IF(compras_mes4[[#This Row],[NETO GRAVADO]]="","",compras_mes4[[#This Row],[NETO GRAVADO]]*0.21)</f>
        <v>559.11659999999995</v>
      </c>
      <c r="J95" s="85"/>
      <c r="K95" s="85"/>
      <c r="L95" s="85"/>
      <c r="M95" s="85"/>
      <c r="N95" s="85">
        <v>93.19</v>
      </c>
      <c r="O95" s="85">
        <v>155.28</v>
      </c>
      <c r="P95" s="48">
        <f>SUM(compras_mes4[[#This Row],[NETO GRAVADO]:[Otros / No Grav.]])</f>
        <v>3470.0466000000001</v>
      </c>
      <c r="Q95" s="49" t="str">
        <f>IFERROR(IF(compras_mes4[[#This Row],[CUIT]]="","-",VLOOKUP(compras_mes4[[#This Row],[CUIT]],Lista_CUIT[#All],3,0)),"CUIT NO CARGADO")</f>
        <v>COMBUSTIBLE</v>
      </c>
      <c r="R95" s="49">
        <f>IFERROR(IF(compras_mes4[[#This Row],[CUIT]]="","-",VLOOKUP(compras_mes4[[#This Row],[CUIT]],Lista_CUIT[#All],4,0)),"CUIT NO CARGADO")</f>
        <v>0</v>
      </c>
    </row>
    <row r="96" spans="2:18" x14ac:dyDescent="0.25">
      <c r="B96" s="40">
        <v>45040</v>
      </c>
      <c r="C96" s="41">
        <v>1</v>
      </c>
      <c r="D96" s="42">
        <v>3</v>
      </c>
      <c r="E96" s="43">
        <v>5582</v>
      </c>
      <c r="F96" s="44">
        <v>33708218699</v>
      </c>
      <c r="G96" s="45" t="str">
        <f>IFERROR(IF(compras_mes4[[#This Row],[CUIT]]="","-",VLOOKUP(compras_mes4[[#This Row],[CUIT]],Lista_CUIT[#All],2,0)),"CUIT NO CARGADO")</f>
        <v>MANGGINI PABLO Y MANGGINI ULISES SOC. DE HECHO.</v>
      </c>
      <c r="H96" s="46">
        <v>3500</v>
      </c>
      <c r="I96" s="85">
        <f>IF(compras_mes4[[#This Row],[NETO GRAVADO]]="","",compras_mes4[[#This Row],[NETO GRAVADO]]*0.21)</f>
        <v>735</v>
      </c>
      <c r="J96" s="85"/>
      <c r="K96" s="85"/>
      <c r="L96" s="85"/>
      <c r="M96" s="85"/>
      <c r="N96" s="85"/>
      <c r="O96" s="85"/>
      <c r="P96" s="48">
        <f>SUM(compras_mes4[[#This Row],[NETO GRAVADO]:[Otros / No Grav.]])</f>
        <v>4235</v>
      </c>
      <c r="Q96" s="49" t="str">
        <f>IFERROR(IF(compras_mes4[[#This Row],[CUIT]]="","-",VLOOKUP(compras_mes4[[#This Row],[CUIT]],Lista_CUIT[#All],3,0)),"CUIT NO CARGADO")</f>
        <v>Gastos Varios</v>
      </c>
      <c r="R96" s="49">
        <f>IFERROR(IF(compras_mes4[[#This Row],[CUIT]]="","-",VLOOKUP(compras_mes4[[#This Row],[CUIT]],Lista_CUIT[#All],4,0)),"CUIT NO CARGADO")</f>
        <v>0</v>
      </c>
    </row>
    <row r="97" spans="2:18" x14ac:dyDescent="0.25">
      <c r="B97" s="40">
        <v>45040</v>
      </c>
      <c r="C97" s="41">
        <v>1</v>
      </c>
      <c r="D97" s="42">
        <v>7</v>
      </c>
      <c r="E97" s="43">
        <v>26800</v>
      </c>
      <c r="F97" s="44">
        <v>20271532483</v>
      </c>
      <c r="G97" s="45" t="str">
        <f>IFERROR(IF(compras_mes4[[#This Row],[CUIT]]="","-",VLOOKUP(compras_mes4[[#This Row],[CUIT]],Lista_CUIT[#All],2,0)),"CUIT NO CARGADO")</f>
        <v>DIEGO MARTIN RIOS</v>
      </c>
      <c r="H97" s="46">
        <v>1942261.39</v>
      </c>
      <c r="I97" s="85">
        <f>IF(compras_mes4[[#This Row],[NETO GRAVADO]]="","",compras_mes4[[#This Row],[NETO GRAVADO]]*0.21)</f>
        <v>407874.89189999999</v>
      </c>
      <c r="J97" s="85"/>
      <c r="K97" s="85"/>
      <c r="L97" s="85"/>
      <c r="M97" s="85"/>
      <c r="N97" s="85">
        <v>67979.149999999994</v>
      </c>
      <c r="O97" s="85"/>
      <c r="P97" s="48">
        <f>SUM(compras_mes4[[#This Row],[NETO GRAVADO]:[Otros / No Grav.]])</f>
        <v>2418115.4318999997</v>
      </c>
      <c r="Q97" s="49" t="str">
        <f>IFERROR(IF(compras_mes4[[#This Row],[CUIT]]="","-",VLOOKUP(compras_mes4[[#This Row],[CUIT]],Lista_CUIT[#All],3,0)),"CUIT NO CARGADO")</f>
        <v>Productos Ortopedicos</v>
      </c>
      <c r="R97" s="49">
        <f>IFERROR(IF(compras_mes4[[#This Row],[CUIT]]="","-",VLOOKUP(compras_mes4[[#This Row],[CUIT]],Lista_CUIT[#All],4,0)),"CUIT NO CARGADO")</f>
        <v>0</v>
      </c>
    </row>
    <row r="98" spans="2:18" x14ac:dyDescent="0.25">
      <c r="B98" s="40">
        <v>45040</v>
      </c>
      <c r="C98" s="41">
        <v>1</v>
      </c>
      <c r="D98" s="42">
        <v>6</v>
      </c>
      <c r="E98" s="43">
        <v>72802</v>
      </c>
      <c r="F98" s="44">
        <v>30711553564</v>
      </c>
      <c r="G98" s="45" t="str">
        <f>IFERROR(IF(compras_mes4[[#This Row],[CUIT]]="","-",VLOOKUP(compras_mes4[[#This Row],[CUIT]],Lista_CUIT[#All],2,0)),"CUIT NO CARGADO")</f>
        <v>SALUD TEX S.A</v>
      </c>
      <c r="H98" s="46">
        <v>60918</v>
      </c>
      <c r="I98" s="85">
        <f>IF(compras_mes4[[#This Row],[NETO GRAVADO]]="","",compras_mes4[[#This Row],[NETO GRAVADO]]*0.21)</f>
        <v>12792.779999999999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73710.78</v>
      </c>
      <c r="Q98" s="49" t="str">
        <f>IFERROR(IF(compras_mes4[[#This Row],[CUIT]]="","-",VLOOKUP(compras_mes4[[#This Row],[CUIT]],Lista_CUIT[#All],3,0)),"CUIT NO CARGADO")</f>
        <v>Productos Ortopedicos</v>
      </c>
      <c r="R98" s="49">
        <f>IFERROR(IF(compras_mes4[[#This Row],[CUIT]]="","-",VLOOKUP(compras_mes4[[#This Row],[CUIT]],Lista_CUIT[#All],4,0)),"CUIT NO CARGADO")</f>
        <v>0</v>
      </c>
    </row>
    <row r="99" spans="2:18" s="56" customFormat="1" ht="18.600000000000001" customHeight="1" x14ac:dyDescent="0.25">
      <c r="B99" s="219">
        <v>45040</v>
      </c>
      <c r="C99" s="209">
        <v>1</v>
      </c>
      <c r="D99" s="220">
        <v>700</v>
      </c>
      <c r="E99" s="221">
        <v>911289</v>
      </c>
      <c r="F99" s="222">
        <v>30715804812</v>
      </c>
      <c r="G99" s="223" t="str">
        <f>IFERROR(IF(compras_mes4[[#This Row],[CUIT]]="","-",VLOOKUP(compras_mes4[[#This Row],[CUIT]],Lista_CUIT[#All],2,0)),"CUIT NO CARGADO")</f>
        <v>CORREDORES VIALES SOCIEDAD ANONIMA</v>
      </c>
      <c r="H99" s="224">
        <v>2553.7199999999998</v>
      </c>
      <c r="I99" s="225">
        <f>IF(compras_mes4[[#This Row],[NETO GRAVADO]]="","",compras_mes4[[#This Row],[NETO GRAVADO]]*0.21)</f>
        <v>536.2811999999999</v>
      </c>
      <c r="J99" s="225"/>
      <c r="K99" s="225"/>
      <c r="L99" s="225"/>
      <c r="M99" s="225"/>
      <c r="N99" s="225"/>
      <c r="O99" s="225">
        <v>89.38</v>
      </c>
      <c r="P99" s="226">
        <f>SUM(compras_mes4[[#This Row],[NETO GRAVADO]:[Otros / No Grav.]])</f>
        <v>3179.3811999999998</v>
      </c>
      <c r="Q99" s="227" t="str">
        <f>IFERROR(IF(compras_mes4[[#This Row],[CUIT]]="","-",VLOOKUP(compras_mes4[[#This Row],[CUIT]],Lista_CUIT[#All],3,0)),"CUIT NO CARGADO")</f>
        <v>Autopista</v>
      </c>
      <c r="R99" s="227">
        <f>IFERROR(IF(compras_mes4[[#This Row],[CUIT]]="","-",VLOOKUP(compras_mes4[[#This Row],[CUIT]],Lista_CUIT[#All],4,0)),"CUIT NO CARGADO")</f>
        <v>0</v>
      </c>
    </row>
    <row r="100" spans="2:18" x14ac:dyDescent="0.25">
      <c r="B100" s="219">
        <v>45040</v>
      </c>
      <c r="C100" s="209">
        <v>1</v>
      </c>
      <c r="D100" s="220">
        <v>700</v>
      </c>
      <c r="E100" s="221">
        <v>911290</v>
      </c>
      <c r="F100" s="222">
        <v>30715804812</v>
      </c>
      <c r="G100" s="223" t="str">
        <f>IFERROR(IF(compras_mes4[[#This Row],[CUIT]]="","-",VLOOKUP(compras_mes4[[#This Row],[CUIT]],Lista_CUIT[#All],2,0)),"CUIT NO CARGADO")</f>
        <v>CORREDORES VIALES SOCIEDAD ANONIMA</v>
      </c>
      <c r="H100" s="224">
        <v>347.11</v>
      </c>
      <c r="I100" s="225">
        <f>IF(compras_mes4[[#This Row],[NETO GRAVADO]]="","",compras_mes4[[#This Row],[NETO GRAVADO]]*0.21)</f>
        <v>72.893100000000004</v>
      </c>
      <c r="J100" s="225"/>
      <c r="K100" s="225"/>
      <c r="L100" s="225"/>
      <c r="M100" s="225"/>
      <c r="N100" s="225"/>
      <c r="O100" s="225"/>
      <c r="P100" s="226">
        <f>SUM(compras_mes4[[#This Row],[NETO GRAVADO]:[Otros / No Grav.]])</f>
        <v>420.00310000000002</v>
      </c>
      <c r="Q100" s="227" t="str">
        <f>IFERROR(IF(compras_mes4[[#This Row],[CUIT]]="","-",VLOOKUP(compras_mes4[[#This Row],[CUIT]],Lista_CUIT[#All],3,0)),"CUIT NO CARGADO")</f>
        <v>Autopista</v>
      </c>
      <c r="R100" s="227">
        <f>IFERROR(IF(compras_mes4[[#This Row],[CUIT]]="","-",VLOOKUP(compras_mes4[[#This Row],[CUIT]],Lista_CUIT[#All],4,0)),"CUIT NO CARGADO")</f>
        <v>0</v>
      </c>
    </row>
    <row r="101" spans="2:18" x14ac:dyDescent="0.25">
      <c r="B101" s="40">
        <v>45041</v>
      </c>
      <c r="C101" s="41">
        <v>1</v>
      </c>
      <c r="D101" s="42">
        <v>5</v>
      </c>
      <c r="E101" s="43">
        <v>15</v>
      </c>
      <c r="F101" s="44">
        <v>20929183143</v>
      </c>
      <c r="G101" s="45" t="str">
        <f>IFERROR(IF(compras_mes4[[#This Row],[CUIT]]="","-",VLOOKUP(compras_mes4[[#This Row],[CUIT]],Lista_CUIT[#All],2,0)),"CUIT NO CARGADO")</f>
        <v>MA JUN</v>
      </c>
      <c r="H101" s="46">
        <v>9500</v>
      </c>
      <c r="I101" s="85">
        <f>IF(compras_mes4[[#This Row],[NETO GRAVADO]]="","",compras_mes4[[#This Row],[NETO GRAVADO]]*0.21)</f>
        <v>1995</v>
      </c>
      <c r="J101" s="85"/>
      <c r="K101" s="85"/>
      <c r="L101" s="85"/>
      <c r="M101" s="85"/>
      <c r="N101" s="85"/>
      <c r="O101" s="85"/>
      <c r="P101" s="48">
        <f>SUM(compras_mes4[[#This Row],[NETO GRAVADO]:[Otros / No Grav.]])</f>
        <v>11495</v>
      </c>
      <c r="Q101" s="49" t="str">
        <f>IFERROR(IF(compras_mes4[[#This Row],[CUIT]]="","-",VLOOKUP(compras_mes4[[#This Row],[CUIT]],Lista_CUIT[#All],3,0)),"CUIT NO CARGADO")</f>
        <v>Gastos Varios</v>
      </c>
      <c r="R101" s="49">
        <f>IFERROR(IF(compras_mes4[[#This Row],[CUIT]]="","-",VLOOKUP(compras_mes4[[#This Row],[CUIT]],Lista_CUIT[#All],4,0)),"CUIT NO CARGADO")</f>
        <v>0</v>
      </c>
    </row>
    <row r="102" spans="2:18" x14ac:dyDescent="0.25">
      <c r="B102" s="40">
        <v>45041</v>
      </c>
      <c r="C102" s="41">
        <v>1</v>
      </c>
      <c r="D102" s="42">
        <v>4</v>
      </c>
      <c r="E102" s="43">
        <v>36</v>
      </c>
      <c r="F102" s="44">
        <v>20317488476</v>
      </c>
      <c r="G102" s="45" t="str">
        <f>IFERROR(IF(compras_mes4[[#This Row],[CUIT]]="","-",VLOOKUP(compras_mes4[[#This Row],[CUIT]],Lista_CUIT[#All],2,0)),"CUIT NO CARGADO")</f>
        <v>MIGUEL ANGEL VILLALBA</v>
      </c>
      <c r="H102" s="46">
        <v>89300</v>
      </c>
      <c r="I102" s="85">
        <f>IF(compras_mes4[[#This Row],[NETO GRAVADO]]="","",compras_mes4[[#This Row],[NETO GRAVADO]]*0.21)</f>
        <v>18753</v>
      </c>
      <c r="J102" s="85"/>
      <c r="K102" s="85"/>
      <c r="L102" s="85"/>
      <c r="M102" s="85"/>
      <c r="N102" s="85"/>
      <c r="O102" s="85"/>
      <c r="P102" s="48">
        <f>SUM(compras_mes4[[#This Row],[NETO GRAVADO]:[Otros / No Grav.]])</f>
        <v>108053</v>
      </c>
      <c r="Q102" s="49" t="str">
        <f>IFERROR(IF(compras_mes4[[#This Row],[CUIT]]="","-",VLOOKUP(compras_mes4[[#This Row],[CUIT]],Lista_CUIT[#All],3,0)),"CUIT NO CARGADO")</f>
        <v>Recupero P. Ortopedicos</v>
      </c>
      <c r="R102" s="49">
        <f>IFERROR(IF(compras_mes4[[#This Row],[CUIT]]="","-",VLOOKUP(compras_mes4[[#This Row],[CUIT]],Lista_CUIT[#All],4,0)),"CUIT NO CARGADO")</f>
        <v>0</v>
      </c>
    </row>
    <row r="103" spans="2:18" x14ac:dyDescent="0.25">
      <c r="B103" s="40">
        <v>45041</v>
      </c>
      <c r="C103" s="41">
        <v>1</v>
      </c>
      <c r="D103" s="42">
        <v>3</v>
      </c>
      <c r="E103" s="43">
        <v>67</v>
      </c>
      <c r="F103" s="44">
        <v>20334976433</v>
      </c>
      <c r="G103" s="45" t="str">
        <f>IFERROR(IF(compras_mes4[[#This Row],[CUIT]]="","-",VLOOKUP(compras_mes4[[#This Row],[CUIT]],Lista_CUIT[#All],2,0)),"CUIT NO CARGADO")</f>
        <v>NARDOMARINO EZEQUIEL EDUARDO</v>
      </c>
      <c r="H103" s="46">
        <v>98491.71</v>
      </c>
      <c r="I103" s="85">
        <f>IF(compras_mes4[[#This Row],[NETO GRAVADO]]="","",compras_mes4[[#This Row],[NETO GRAVADO]]*0.21)</f>
        <v>20683.259099999999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119174.9691</v>
      </c>
      <c r="Q103" s="49" t="str">
        <f>IFERROR(IF(compras_mes4[[#This Row],[CUIT]]="","-",VLOOKUP(compras_mes4[[#This Row],[CUIT]],Lista_CUIT[#All],3,0)),"CUIT NO CARGADO")</f>
        <v>FLETE</v>
      </c>
      <c r="R103" s="49">
        <f>IFERROR(IF(compras_mes4[[#This Row],[CUIT]]="","-",VLOOKUP(compras_mes4[[#This Row],[CUIT]],Lista_CUIT[#All],4,0)),"CUIT NO CARGADO")</f>
        <v>0</v>
      </c>
    </row>
    <row r="104" spans="2:18" x14ac:dyDescent="0.25">
      <c r="B104" s="40">
        <v>45041</v>
      </c>
      <c r="C104" s="41">
        <v>1</v>
      </c>
      <c r="D104" s="42">
        <v>2</v>
      </c>
      <c r="E104" s="43">
        <v>7247</v>
      </c>
      <c r="F104" s="44">
        <v>30694549817</v>
      </c>
      <c r="G104" s="45" t="str">
        <f>IFERROR(IF(compras_mes4[[#This Row],[CUIT]]="","-",VLOOKUP(compras_mes4[[#This Row],[CUIT]],Lista_CUIT[#All],2,0)),"CUIT NO CARGADO")</f>
        <v>DISEÑOS JERY SRL</v>
      </c>
      <c r="H104" s="46">
        <v>364800</v>
      </c>
      <c r="I104" s="85">
        <f>IF(compras_mes4[[#This Row],[NETO GRAVADO]]="","",compras_mes4[[#This Row],[NETO GRAVADO]]*0.21)</f>
        <v>76608</v>
      </c>
      <c r="J104" s="85"/>
      <c r="K104" s="85"/>
      <c r="L104" s="85"/>
      <c r="M104" s="85"/>
      <c r="N104" s="85"/>
      <c r="O104" s="85"/>
      <c r="P104" s="48">
        <f>SUM(compras_mes4[[#This Row],[NETO GRAVADO]:[Otros / No Grav.]])</f>
        <v>441408</v>
      </c>
      <c r="Q104" s="49" t="str">
        <f>IFERROR(IF(compras_mes4[[#This Row],[CUIT]]="","-",VLOOKUP(compras_mes4[[#This Row],[CUIT]],Lista_CUIT[#All],3,0)),"CUIT NO CARGADO")</f>
        <v>Productos Ortopedicos</v>
      </c>
      <c r="R104" s="49">
        <f>IFERROR(IF(compras_mes4[[#This Row],[CUIT]]="","-",VLOOKUP(compras_mes4[[#This Row],[CUIT]],Lista_CUIT[#All],4,0)),"CUIT NO CARGADO")</f>
        <v>0</v>
      </c>
    </row>
    <row r="105" spans="2:18" x14ac:dyDescent="0.25">
      <c r="B105" s="40">
        <v>45041</v>
      </c>
      <c r="C105" s="41">
        <v>1</v>
      </c>
      <c r="D105" s="42">
        <v>6</v>
      </c>
      <c r="E105" s="43">
        <v>48008</v>
      </c>
      <c r="F105" s="44">
        <v>30710177658</v>
      </c>
      <c r="G105" s="45" t="str">
        <f>IFERROR(IF(compras_mes4[[#This Row],[CUIT]]="","-",VLOOKUP(compras_mes4[[#This Row],[CUIT]],Lista_CUIT[#All],2,0)),"CUIT NO CARGADO")</f>
        <v>TARGET MEDICAL SA</v>
      </c>
      <c r="H105" s="46">
        <v>254528</v>
      </c>
      <c r="I105" s="85">
        <f>IF(compras_mes4[[#This Row],[NETO GRAVADO]]="","",compras_mes4[[#This Row],[NETO GRAVADO]]*0.21)</f>
        <v>53450.879999999997</v>
      </c>
      <c r="J105" s="85"/>
      <c r="K105" s="85"/>
      <c r="L105" s="85"/>
      <c r="M105" s="85"/>
      <c r="N105" s="85"/>
      <c r="O105" s="85"/>
      <c r="P105" s="48">
        <f>SUM(compras_mes4[[#This Row],[NETO GRAVADO]:[Otros / No Grav.]])</f>
        <v>307978.88</v>
      </c>
      <c r="Q105" s="49" t="str">
        <f>IFERROR(IF(compras_mes4[[#This Row],[CUIT]]="","-",VLOOKUP(compras_mes4[[#This Row],[CUIT]],Lista_CUIT[#All],3,0)),"CUIT NO CARGADO")</f>
        <v>Productos Ortopedicos</v>
      </c>
      <c r="R105" s="49">
        <f>IFERROR(IF(compras_mes4[[#This Row],[CUIT]]="","-",VLOOKUP(compras_mes4[[#This Row],[CUIT]],Lista_CUIT[#All],4,0)),"CUIT NO CARGADO")</f>
        <v>0</v>
      </c>
    </row>
    <row r="106" spans="2:18" x14ac:dyDescent="0.25">
      <c r="B106" s="40">
        <v>45041</v>
      </c>
      <c r="C106" s="41">
        <v>1</v>
      </c>
      <c r="D106" s="42">
        <v>6</v>
      </c>
      <c r="E106" s="43">
        <v>57287</v>
      </c>
      <c r="F106" s="44">
        <v>30591633984</v>
      </c>
      <c r="G106" s="45" t="str">
        <f>IFERROR(IF(compras_mes4[[#This Row],[CUIT]]="","-",VLOOKUP(compras_mes4[[#This Row],[CUIT]],Lista_CUIT[#All],2,0)),"CUIT NO CARGADO")</f>
        <v>PANTYMED SA</v>
      </c>
      <c r="H106" s="46">
        <v>147364</v>
      </c>
      <c r="I106" s="85">
        <f>IF(compras_mes4[[#This Row],[NETO GRAVADO]]="","",compras_mes4[[#This Row],[NETO GRAVADO]]*0.21)</f>
        <v>30946.44</v>
      </c>
      <c r="J106" s="85"/>
      <c r="K106" s="85"/>
      <c r="L106" s="85"/>
      <c r="M106" s="85"/>
      <c r="N106" s="85"/>
      <c r="O106" s="85"/>
      <c r="P106" s="48">
        <f>SUM(compras_mes4[[#This Row],[NETO GRAVADO]:[Otros / No Grav.]])</f>
        <v>178310.44</v>
      </c>
      <c r="Q106" s="49" t="str">
        <f>IFERROR(IF(compras_mes4[[#This Row],[CUIT]]="","-",VLOOKUP(compras_mes4[[#This Row],[CUIT]],Lista_CUIT[#All],3,0)),"CUIT NO CARGADO")</f>
        <v>Productos Ortopedicos</v>
      </c>
      <c r="R106" s="49">
        <f>IFERROR(IF(compras_mes4[[#This Row],[CUIT]]="","-",VLOOKUP(compras_mes4[[#This Row],[CUIT]],Lista_CUIT[#All],4,0)),"CUIT NO CARGADO")</f>
        <v>0</v>
      </c>
    </row>
    <row r="107" spans="2:18" x14ac:dyDescent="0.25">
      <c r="B107" s="40">
        <v>45042</v>
      </c>
      <c r="C107" s="41">
        <v>1</v>
      </c>
      <c r="D107" s="42">
        <v>4</v>
      </c>
      <c r="E107" s="43">
        <v>63589</v>
      </c>
      <c r="F107" s="44">
        <v>33709738459</v>
      </c>
      <c r="G107" s="45" t="str">
        <f>IFERROR(IF(compras_mes4[[#This Row],[CUIT]]="","-",VLOOKUP(compras_mes4[[#This Row],[CUIT]],Lista_CUIT[#All],2,0)),"CUIT NO CARGADO")</f>
        <v>ORTOPEDICOS ALFOLATEX S.A</v>
      </c>
      <c r="H107" s="46">
        <v>196213.45</v>
      </c>
      <c r="I107" s="85">
        <f>IF(compras_mes4[[#This Row],[NETO GRAVADO]]="","",compras_mes4[[#This Row],[NETO GRAVADO]]*0.21)</f>
        <v>41204.824500000002</v>
      </c>
      <c r="J107" s="85"/>
      <c r="K107" s="85"/>
      <c r="L107" s="85"/>
      <c r="M107" s="85"/>
      <c r="N107" s="85"/>
      <c r="O107" s="85"/>
      <c r="P107" s="48">
        <f>SUM(compras_mes4[[#This Row],[NETO GRAVADO]:[Otros / No Grav.]])</f>
        <v>237418.2745</v>
      </c>
      <c r="Q107" s="49" t="str">
        <f>IFERROR(IF(compras_mes4[[#This Row],[CUIT]]="","-",VLOOKUP(compras_mes4[[#This Row],[CUIT]],Lista_CUIT[#All],3,0)),"CUIT NO CARGADO")</f>
        <v>Productos Ortopedicos</v>
      </c>
      <c r="R107" s="49">
        <f>IFERROR(IF(compras_mes4[[#This Row],[CUIT]]="","-",VLOOKUP(compras_mes4[[#This Row],[CUIT]],Lista_CUIT[#All],4,0)),"CUIT NO CARGADO")</f>
        <v>0</v>
      </c>
    </row>
    <row r="108" spans="2:18" x14ac:dyDescent="0.25">
      <c r="B108" s="40">
        <v>45042</v>
      </c>
      <c r="C108" s="41">
        <v>1</v>
      </c>
      <c r="D108" s="42">
        <v>11</v>
      </c>
      <c r="E108" s="43">
        <v>81644</v>
      </c>
      <c r="F108" s="44">
        <v>30526582884</v>
      </c>
      <c r="G108" s="45" t="str">
        <f>IFERROR(IF(compras_mes4[[#This Row],[CUIT]]="","-",VLOOKUP(compras_mes4[[#This Row],[CUIT]],Lista_CUIT[#All],2,0)),"CUIT NO CARGADO")</f>
        <v>EXPRESO MAR DEL PLATA S.A.</v>
      </c>
      <c r="H108" s="46">
        <v>3826.45</v>
      </c>
      <c r="I108" s="85">
        <f>IF(compras_mes4[[#This Row],[NETO GRAVADO]]="","",compras_mes4[[#This Row],[NETO GRAVADO]]*0.21)</f>
        <v>803.55449999999996</v>
      </c>
      <c r="J108" s="85"/>
      <c r="K108" s="85"/>
      <c r="L108" s="85"/>
      <c r="M108" s="85"/>
      <c r="N108" s="85"/>
      <c r="O108" s="85"/>
      <c r="P108" s="48">
        <f>SUM(compras_mes4[[#This Row],[NETO GRAVADO]:[Otros / No Grav.]])</f>
        <v>4630.0045</v>
      </c>
      <c r="Q108" s="49" t="str">
        <f>IFERROR(IF(compras_mes4[[#This Row],[CUIT]]="","-",VLOOKUP(compras_mes4[[#This Row],[CUIT]],Lista_CUIT[#All],3,0)),"CUIT NO CARGADO")</f>
        <v>FLETE</v>
      </c>
      <c r="R108" s="49">
        <f>IFERROR(IF(compras_mes4[[#This Row],[CUIT]]="","-",VLOOKUP(compras_mes4[[#This Row],[CUIT]],Lista_CUIT[#All],4,0)),"CUIT NO CARGADO")</f>
        <v>0</v>
      </c>
    </row>
    <row r="109" spans="2:18" x14ac:dyDescent="0.25">
      <c r="B109" s="219">
        <v>45043</v>
      </c>
      <c r="C109" s="209">
        <v>1</v>
      </c>
      <c r="D109" s="220">
        <v>7</v>
      </c>
      <c r="E109" s="221">
        <v>806</v>
      </c>
      <c r="F109" s="222">
        <v>30712187316</v>
      </c>
      <c r="G109" s="223" t="str">
        <f>IFERROR(IF(compras_mes4[[#This Row],[CUIT]]="","-",VLOOKUP(compras_mes4[[#This Row],[CUIT]],Lista_CUIT[#All],2,0)),"CUIT NO CARGADO")</f>
        <v>ITALOMED PRODUCTOS SRL</v>
      </c>
      <c r="H109" s="224">
        <v>42758.53</v>
      </c>
      <c r="I109" s="225">
        <f>IF(compras_mes4[[#This Row],[NETO GRAVADO]]="","",compras_mes4[[#This Row],[NETO GRAVADO]]*0.21)</f>
        <v>8979.291299999999</v>
      </c>
      <c r="J109" s="225"/>
      <c r="K109" s="225"/>
      <c r="L109" s="225"/>
      <c r="M109" s="225"/>
      <c r="N109" s="225"/>
      <c r="O109" s="225"/>
      <c r="P109" s="226">
        <f>SUM(compras_mes4[[#This Row],[NETO GRAVADO]:[Otros / No Grav.]])</f>
        <v>51737.821299999996</v>
      </c>
      <c r="Q109" s="227" t="str">
        <f>IFERROR(IF(compras_mes4[[#This Row],[CUIT]]="","-",VLOOKUP(compras_mes4[[#This Row],[CUIT]],Lista_CUIT[#All],3,0)),"CUIT NO CARGADO")</f>
        <v>Productos Ortopedicos</v>
      </c>
      <c r="R109" s="227">
        <f>IFERROR(IF(compras_mes4[[#This Row],[CUIT]]="","-",VLOOKUP(compras_mes4[[#This Row],[CUIT]],Lista_CUIT[#All],4,0)),"CUIT NO CARGADO")</f>
        <v>0</v>
      </c>
    </row>
    <row r="110" spans="2:18" x14ac:dyDescent="0.25">
      <c r="B110" s="219">
        <v>45043</v>
      </c>
      <c r="C110" s="209">
        <v>1</v>
      </c>
      <c r="D110" s="220">
        <v>3</v>
      </c>
      <c r="E110" s="221">
        <v>7742</v>
      </c>
      <c r="F110" s="222">
        <v>20045615473</v>
      </c>
      <c r="G110" s="223" t="str">
        <f>IFERROR(IF(compras_mes4[[#This Row],[CUIT]]="","-",VLOOKUP(compras_mes4[[#This Row],[CUIT]],Lista_CUIT[#All],2,0)),"CUIT NO CARGADO")</f>
        <v xml:space="preserve">DI FEO HUGO PASCUAL </v>
      </c>
      <c r="H110" s="224">
        <v>29670</v>
      </c>
      <c r="I110" s="225">
        <f>IF(compras_mes4[[#This Row],[NETO GRAVADO]]="","",compras_mes4[[#This Row],[NETO GRAVADO]]*0.21)</f>
        <v>6230.7</v>
      </c>
      <c r="J110" s="225"/>
      <c r="K110" s="225"/>
      <c r="L110" s="225"/>
      <c r="M110" s="225"/>
      <c r="N110" s="225"/>
      <c r="O110" s="225"/>
      <c r="P110" s="226">
        <f>SUM(compras_mes4[[#This Row],[NETO GRAVADO]:[Otros / No Grav.]])</f>
        <v>35900.699999999997</v>
      </c>
      <c r="Q110" s="227" t="str">
        <f>IFERROR(IF(compras_mes4[[#This Row],[CUIT]]="","-",VLOOKUP(compras_mes4[[#This Row],[CUIT]],Lista_CUIT[#All],3,0)),"CUIT NO CARGADO")</f>
        <v>Productos Ortopedicos</v>
      </c>
      <c r="R110" s="227">
        <f>IFERROR(IF(compras_mes4[[#This Row],[CUIT]]="","-",VLOOKUP(compras_mes4[[#This Row],[CUIT]],Lista_CUIT[#All],4,0)),"CUIT NO CARGADO")</f>
        <v>0</v>
      </c>
    </row>
    <row r="111" spans="2:18" x14ac:dyDescent="0.25">
      <c r="B111" s="219">
        <v>45043</v>
      </c>
      <c r="C111" s="209">
        <v>1</v>
      </c>
      <c r="D111" s="220">
        <v>26</v>
      </c>
      <c r="E111" s="221">
        <v>171826</v>
      </c>
      <c r="F111" s="222">
        <v>30708847247</v>
      </c>
      <c r="G111" s="223" t="str">
        <f>IFERROR(IF(compras_mes4[[#This Row],[CUIT]]="","-",VLOOKUP(compras_mes4[[#This Row],[CUIT]],Lista_CUIT[#All],2,0)),"CUIT NO CARGADO")</f>
        <v>TOAGRA SRL</v>
      </c>
      <c r="H111" s="224">
        <v>8271.7099999999991</v>
      </c>
      <c r="I111" s="225">
        <f>IF(compras_mes4[[#This Row],[NETO GRAVADO]]="","",compras_mes4[[#This Row],[NETO GRAVADO]]*0.21)</f>
        <v>1737.0590999999997</v>
      </c>
      <c r="J111" s="225"/>
      <c r="K111" s="225"/>
      <c r="L111" s="225"/>
      <c r="M111" s="225"/>
      <c r="N111" s="225"/>
      <c r="O111" s="225">
        <v>289.51</v>
      </c>
      <c r="P111" s="226">
        <f>SUM(compras_mes4[[#This Row],[NETO GRAVADO]:[Otros / No Grav.]])</f>
        <v>10298.2791</v>
      </c>
      <c r="Q111" s="227" t="str">
        <f>IFERROR(IF(compras_mes4[[#This Row],[CUIT]]="","-",VLOOKUP(compras_mes4[[#This Row],[CUIT]],Lista_CUIT[#All],3,0)),"CUIT NO CARGADO")</f>
        <v>GASTOS VARIOS</v>
      </c>
      <c r="R111" s="227">
        <f>IFERROR(IF(compras_mes4[[#This Row],[CUIT]]="","-",VLOOKUP(compras_mes4[[#This Row],[CUIT]],Lista_CUIT[#All],4,0)),"CUIT NO CARGADO")</f>
        <v>0</v>
      </c>
    </row>
    <row r="112" spans="2:18" x14ac:dyDescent="0.25">
      <c r="B112" s="40">
        <v>45044</v>
      </c>
      <c r="C112" s="41">
        <v>1</v>
      </c>
      <c r="D112" s="42">
        <v>1</v>
      </c>
      <c r="E112" s="43">
        <v>591</v>
      </c>
      <c r="F112" s="44">
        <v>30715048066</v>
      </c>
      <c r="G112" s="45" t="str">
        <f>IFERROR(IF(compras_mes4[[#This Row],[CUIT]]="","-",VLOOKUP(compras_mes4[[#This Row],[CUIT]],Lista_CUIT[#All],2,0)),"CUIT NO CARGADO")</f>
        <v>ROLLS Y EMPANADAS SA</v>
      </c>
      <c r="H112" s="46">
        <v>313910</v>
      </c>
      <c r="I112" s="85">
        <f>IF(compras_mes4[[#This Row],[NETO GRAVADO]]="","",compras_mes4[[#This Row],[NETO GRAVADO]]*0.21)</f>
        <v>65921.099999999991</v>
      </c>
      <c r="J112" s="85"/>
      <c r="K112" s="85"/>
      <c r="L112" s="85"/>
      <c r="M112" s="85"/>
      <c r="N112" s="85"/>
      <c r="O112" s="85"/>
      <c r="P112" s="48">
        <f>SUM(compras_mes4[[#This Row],[NETO GRAVADO]:[Otros / No Grav.]])</f>
        <v>379831.1</v>
      </c>
      <c r="Q112" s="49" t="str">
        <f>IFERROR(IF(compras_mes4[[#This Row],[CUIT]]="","-",VLOOKUP(compras_mes4[[#This Row],[CUIT]],Lista_CUIT[#All],3,0)),"CUIT NO CARGADO")</f>
        <v>Catering</v>
      </c>
      <c r="R112" s="49">
        <f>IFERROR(IF(compras_mes4[[#This Row],[CUIT]]="","-",VLOOKUP(compras_mes4[[#This Row],[CUIT]],Lista_CUIT[#All],4,0)),"CUIT NO CARGADO")</f>
        <v>0</v>
      </c>
    </row>
    <row r="113" spans="2:18" x14ac:dyDescent="0.25">
      <c r="B113" s="40">
        <v>45046</v>
      </c>
      <c r="C113" s="41">
        <v>1</v>
      </c>
      <c r="D113" s="42">
        <v>20</v>
      </c>
      <c r="E113" s="43">
        <v>146748</v>
      </c>
      <c r="F113" s="44">
        <v>30696850972</v>
      </c>
      <c r="G113" s="45" t="str">
        <f>IFERROR(IF(compras_mes4[[#This Row],[CUIT]]="","-",VLOOKUP(compras_mes4[[#This Row],[CUIT]],Lista_CUIT[#All],2,0)),"CUIT NO CARGADO")</f>
        <v>CPS COMUNICACIONES SA</v>
      </c>
      <c r="H113" s="46">
        <v>3290.91</v>
      </c>
      <c r="I113" s="85"/>
      <c r="J113" s="85">
        <v>888.55</v>
      </c>
      <c r="K113" s="85"/>
      <c r="L113" s="85"/>
      <c r="M113" s="85"/>
      <c r="N113" s="85">
        <v>115.17</v>
      </c>
      <c r="O113" s="85"/>
      <c r="P113" s="48">
        <f>SUM(compras_mes4[[#This Row],[NETO GRAVADO]:[Otros / No Grav.]])</f>
        <v>4294.63</v>
      </c>
      <c r="Q113" s="49" t="str">
        <f>IFERROR(IF(compras_mes4[[#This Row],[CUIT]]="","-",VLOOKUP(compras_mes4[[#This Row],[CUIT]],Lista_CUIT[#All],3,0)),"CUIT NO CARGADO")</f>
        <v>SERVICIO DE TELEFONIA</v>
      </c>
      <c r="R113" s="49">
        <f>IFERROR(IF(compras_mes4[[#This Row],[CUIT]]="","-",VLOOKUP(compras_mes4[[#This Row],[CUIT]],Lista_CUIT[#All],4,0)),"CUIT NO CARGADO")</f>
        <v>0</v>
      </c>
    </row>
    <row r="114" spans="2:18" x14ac:dyDescent="0.25">
      <c r="B114" s="219">
        <v>45046</v>
      </c>
      <c r="C114" s="209">
        <v>1</v>
      </c>
      <c r="D114" s="220">
        <v>23</v>
      </c>
      <c r="E114" s="221">
        <v>1175578</v>
      </c>
      <c r="F114" s="222">
        <v>30703088534</v>
      </c>
      <c r="G114" s="223" t="str">
        <f>IFERROR(IF(compras_mes4[[#This Row],[CUIT]]="","-",VLOOKUP(compras_mes4[[#This Row],[CUIT]],Lista_CUIT[#All],2,0)),"CUIT NO CARGADO")</f>
        <v>MERCADO LIBRE SRL</v>
      </c>
      <c r="H114" s="224">
        <v>13312.74</v>
      </c>
      <c r="I114" s="225">
        <f>IF(compras_mes4[[#This Row],[NETO GRAVADO]]="","",compras_mes4[[#This Row],[NETO GRAVADO]]*0.21)</f>
        <v>2795.6753999999996</v>
      </c>
      <c r="J114" s="225"/>
      <c r="K114" s="225"/>
      <c r="L114" s="225"/>
      <c r="M114" s="225"/>
      <c r="N114" s="225"/>
      <c r="O114" s="225">
        <v>865.33</v>
      </c>
      <c r="P114" s="226">
        <f>SUM(compras_mes4[[#This Row],[NETO GRAVADO]:[Otros / No Grav.]])</f>
        <v>16973.7454</v>
      </c>
      <c r="Q114" s="227" t="str">
        <f>IFERROR(IF(compras_mes4[[#This Row],[CUIT]]="","-",VLOOKUP(compras_mes4[[#This Row],[CUIT]],Lista_CUIT[#All],3,0)),"CUIT NO CARGADO")</f>
        <v>GASTOS COMERCIALIZACION</v>
      </c>
      <c r="R114" s="227">
        <f>IFERROR(IF(compras_mes4[[#This Row],[CUIT]]="","-",VLOOKUP(compras_mes4[[#This Row],[CUIT]],Lista_CUIT[#All],4,0)),"CUIT NO CARGADO")</f>
        <v>0</v>
      </c>
    </row>
    <row r="115" spans="2:18" x14ac:dyDescent="0.25">
      <c r="B115" s="219">
        <v>45046</v>
      </c>
      <c r="C115" s="209">
        <v>1</v>
      </c>
      <c r="D115" s="220">
        <v>50</v>
      </c>
      <c r="E115" s="221">
        <v>3070100</v>
      </c>
      <c r="F115" s="222">
        <v>30714112836</v>
      </c>
      <c r="G115" s="223" t="str">
        <f>IFERROR(IF(compras_mes4[[#This Row],[CUIT]]="","-",VLOOKUP(compras_mes4[[#This Row],[CUIT]],Lista_CUIT[#All],2,0)),"CUIT NO CARGADO")</f>
        <v>AUTOPISTAS DE BUENOS AIRES (AUBASA) SA</v>
      </c>
      <c r="H115" s="224">
        <v>107.44</v>
      </c>
      <c r="I115" s="225">
        <f>IF(compras_mes4[[#This Row],[NETO GRAVADO]]="","",compras_mes4[[#This Row],[NETO GRAVADO]]*0.21)</f>
        <v>22.5624</v>
      </c>
      <c r="J115" s="225"/>
      <c r="K115" s="225"/>
      <c r="L115" s="225"/>
      <c r="M115" s="225"/>
      <c r="N115" s="225"/>
      <c r="O115" s="225"/>
      <c r="P115" s="226">
        <f>SUM(compras_mes4[[#This Row],[NETO GRAVADO]:[Otros / No Grav.]])</f>
        <v>130.00239999999999</v>
      </c>
      <c r="Q115" s="227" t="str">
        <f>IFERROR(IF(compras_mes4[[#This Row],[CUIT]]="","-",VLOOKUP(compras_mes4[[#This Row],[CUIT]],Lista_CUIT[#All],3,0)),"CUIT NO CARGADO")</f>
        <v>Autopista</v>
      </c>
      <c r="R115" s="227">
        <f>IFERROR(IF(compras_mes4[[#This Row],[CUIT]]="","-",VLOOKUP(compras_mes4[[#This Row],[CUIT]],Lista_CUIT[#All],4,0)),"CUIT NO CARGADO")</f>
        <v>0</v>
      </c>
    </row>
    <row r="116" spans="2:18" x14ac:dyDescent="0.25">
      <c r="B116" s="219">
        <v>45046</v>
      </c>
      <c r="C116" s="209">
        <v>1</v>
      </c>
      <c r="D116" s="220">
        <v>6</v>
      </c>
      <c r="E116" s="221">
        <v>14065106</v>
      </c>
      <c r="F116" s="222">
        <v>30620177497</v>
      </c>
      <c r="G116" s="223" t="str">
        <f>IFERROR(IF(compras_mes4[[#This Row],[CUIT]]="","-",VLOOKUP(compras_mes4[[#This Row],[CUIT]],Lista_CUIT[#All],2,0)),"CUIT NO CARGADO")</f>
        <v>POSNET SOCIEDAD DE RESPONSABILIDAD LIMITADA</v>
      </c>
      <c r="H116" s="224">
        <v>4229.8900000000003</v>
      </c>
      <c r="I116" s="225">
        <f>IF(compras_mes4[[#This Row],[NETO GRAVADO]]="","",compras_mes4[[#This Row],[NETO GRAVADO]]*0.21)</f>
        <v>888.27690000000007</v>
      </c>
      <c r="J116" s="225"/>
      <c r="K116" s="225"/>
      <c r="L116" s="225"/>
      <c r="M116" s="225"/>
      <c r="N116" s="225"/>
      <c r="O116" s="225">
        <v>274.95</v>
      </c>
      <c r="P116" s="226">
        <f>SUM(compras_mes4[[#This Row],[NETO GRAVADO]:[Otros / No Grav.]])</f>
        <v>5393.1169</v>
      </c>
      <c r="Q116" s="227" t="str">
        <f>IFERROR(IF(compras_mes4[[#This Row],[CUIT]]="","-",VLOOKUP(compras_mes4[[#This Row],[CUIT]],Lista_CUIT[#All],3,0)),"CUIT NO CARGADO")</f>
        <v>GASTOS VARIOS</v>
      </c>
      <c r="R116" s="227">
        <f>IFERROR(IF(compras_mes4[[#This Row],[CUIT]]="","-",VLOOKUP(compras_mes4[[#This Row],[CUIT]],Lista_CUIT[#All],4,0)),"CUIT NO CARGADO")</f>
        <v>0</v>
      </c>
    </row>
    <row r="117" spans="2:18" x14ac:dyDescent="0.25">
      <c r="B117" s="40"/>
      <c r="C117" s="41"/>
      <c r="D117" s="42"/>
      <c r="E117" s="43"/>
      <c r="F117" s="44"/>
      <c r="G117" s="45" t="str">
        <f>IFERROR(IF(compras_mes4[[#This Row],[CUIT]]="","-",VLOOKUP(compras_mes4[[#This Row],[CUIT]],Lista_CUIT[#All],2,0)),"CUIT NO CARGADO")</f>
        <v>-</v>
      </c>
      <c r="H117" s="46"/>
      <c r="I117" s="85" t="str">
        <f>IF(compras_mes4[[#This Row],[NETO GRAVADO]]="","",compras_mes4[[#This Row],[NETO GRAVADO]]*0.21)</f>
        <v/>
      </c>
      <c r="J117" s="85"/>
      <c r="K117" s="85"/>
      <c r="L117" s="85"/>
      <c r="M117" s="85"/>
      <c r="N117" s="85"/>
      <c r="O117" s="85"/>
      <c r="P117" s="48">
        <f>SUM(compras_mes4[[#This Row],[NETO GRAVADO]:[Otros / No Grav.]])</f>
        <v>0</v>
      </c>
      <c r="Q117" s="49" t="str">
        <f>IFERROR(IF(compras_mes4[[#This Row],[CUIT]]="","-",VLOOKUP(compras_mes4[[#This Row],[CUIT]],Lista_CUIT[#All],3,0)),"CUIT NO CARGADO")</f>
        <v>-</v>
      </c>
      <c r="R117" s="49" t="str">
        <f>IFERROR(IF(compras_mes4[[#This Row],[CUIT]]="","-",VLOOKUP(compras_mes4[[#This Row],[CUIT]],Lista_CUIT[#All],4,0)),"CUIT NO CARGADO")</f>
        <v>-</v>
      </c>
    </row>
    <row r="118" spans="2:18" x14ac:dyDescent="0.25">
      <c r="B118" s="96" t="s">
        <v>110</v>
      </c>
      <c r="C118" s="96"/>
      <c r="D118" s="96"/>
      <c r="E118" s="96"/>
      <c r="F118" s="96"/>
      <c r="G118" s="97"/>
      <c r="H118" s="98">
        <f>SUBTOTAL(109,compras_mes4[NETO GRAVADO])</f>
        <v>11526790.49</v>
      </c>
      <c r="I118" s="98">
        <f>SUBTOTAL(109,compras_mes4[IVA 21 %])</f>
        <v>2332616.0256000012</v>
      </c>
      <c r="J118" s="98">
        <f>SUBTOTAL(109,compras_mes4[IVA 27%])</f>
        <v>4588.6899999999996</v>
      </c>
      <c r="K118" s="98">
        <f>SUBTOTAL(109,compras_mes4[IVA 10,5%])</f>
        <v>42220.5</v>
      </c>
      <c r="L118" s="98">
        <f>SUBTOTAL(109,compras_mes4[PERC. IVA])</f>
        <v>280.63</v>
      </c>
      <c r="M118" s="98">
        <f>SUBTOTAL(109,compras_mes4[PERC IIBB 
BS AS])</f>
        <v>0</v>
      </c>
      <c r="N118" s="98">
        <f>SUBTOTAL(109,compras_mes4[PERC. IIBB CABA])</f>
        <v>186771.71</v>
      </c>
      <c r="O118" s="98">
        <f>SUBTOTAL(109,compras_mes4[Otros / No Grav.])</f>
        <v>5266.1</v>
      </c>
      <c r="P118" s="98">
        <f>SUBTOTAL(109,compras_mes4[TOTAL])</f>
        <v>14098534.145600004</v>
      </c>
      <c r="Q118" s="96"/>
      <c r="R118" s="96"/>
    </row>
    <row r="119" spans="2:18" x14ac:dyDescent="0.25">
      <c r="B119" s="40"/>
      <c r="C119" s="41"/>
      <c r="D119" s="42"/>
      <c r="E119" s="43"/>
      <c r="F119" s="44"/>
      <c r="G119" s="45"/>
      <c r="H119" s="46"/>
      <c r="I119" s="47"/>
      <c r="J119" s="47"/>
      <c r="K119" s="47"/>
      <c r="L119" s="47"/>
      <c r="M119" s="47"/>
      <c r="N119" s="47"/>
      <c r="O119" s="47"/>
      <c r="P119" s="48"/>
      <c r="Q119" s="49"/>
      <c r="R119" s="49"/>
    </row>
    <row r="120" spans="2:18" x14ac:dyDescent="0.25">
      <c r="B120" s="40"/>
      <c r="C120" s="41"/>
      <c r="D120" s="42"/>
      <c r="E120" s="43"/>
      <c r="F120" s="44"/>
      <c r="G120" s="45"/>
      <c r="H120" s="46"/>
      <c r="I120" s="47"/>
      <c r="J120" s="47"/>
      <c r="K120" s="47"/>
      <c r="L120" s="47"/>
      <c r="M120" s="47"/>
      <c r="N120" s="47"/>
      <c r="O120" s="47"/>
      <c r="P120" s="48"/>
      <c r="Q120" s="49"/>
      <c r="R120" s="49"/>
    </row>
    <row r="121" spans="2:18" x14ac:dyDescent="0.25">
      <c r="B121" s="40"/>
      <c r="C121" s="41"/>
      <c r="D121" s="42"/>
      <c r="E121" s="43"/>
      <c r="F121" s="44"/>
      <c r="G121" s="45"/>
      <c r="H121" s="46"/>
      <c r="I121" s="47"/>
      <c r="J121" s="47"/>
      <c r="K121" s="47"/>
      <c r="L121" s="47"/>
      <c r="M121" s="47"/>
      <c r="N121" s="47"/>
      <c r="O121" s="47"/>
      <c r="P121" s="48"/>
      <c r="Q121" s="49"/>
      <c r="R121" s="49"/>
    </row>
    <row r="122" spans="2:18" x14ac:dyDescent="0.25">
      <c r="B122" s="40"/>
      <c r="C122" s="41"/>
      <c r="D122" s="42"/>
      <c r="E122" s="43"/>
      <c r="F122" s="44"/>
      <c r="G122" s="45"/>
      <c r="H122" s="46"/>
      <c r="I122" s="47"/>
      <c r="J122" s="47"/>
      <c r="K122" s="47"/>
      <c r="L122" s="47"/>
    </row>
    <row r="123" spans="2:18" ht="21" x14ac:dyDescent="0.25">
      <c r="D123" s="524" t="s">
        <v>15</v>
      </c>
      <c r="E123" s="524"/>
      <c r="F123" s="524"/>
      <c r="G123" s="524"/>
      <c r="H123" s="524"/>
      <c r="I123" s="524"/>
      <c r="J123" s="524"/>
      <c r="K123" s="524"/>
      <c r="L123" s="524"/>
    </row>
    <row r="124" spans="2:18" ht="15.75" x14ac:dyDescent="0.25">
      <c r="D124" s="73" t="s">
        <v>0</v>
      </c>
      <c r="E124" s="74" t="s">
        <v>26</v>
      </c>
      <c r="F124" s="74" t="s">
        <v>16</v>
      </c>
      <c r="G124" s="74" t="s">
        <v>5</v>
      </c>
      <c r="H124" s="74" t="s">
        <v>17</v>
      </c>
      <c r="I124" s="74" t="s">
        <v>7</v>
      </c>
      <c r="J124" s="75" t="s">
        <v>18</v>
      </c>
      <c r="K124" s="75" t="s">
        <v>19</v>
      </c>
      <c r="L124" s="76" t="s">
        <v>20</v>
      </c>
    </row>
    <row r="125" spans="2:18" x14ac:dyDescent="0.25">
      <c r="D125" s="50">
        <v>45046</v>
      </c>
      <c r="E125" s="80">
        <v>300423</v>
      </c>
      <c r="F125" s="80" t="s">
        <v>2278</v>
      </c>
      <c r="G125" s="81">
        <v>223</v>
      </c>
      <c r="H125" s="81">
        <f>extracto_banco_mes4[[#This Row],[NETO]]*0.21</f>
        <v>46.83</v>
      </c>
      <c r="I125" s="81"/>
      <c r="J125" s="81">
        <v>126</v>
      </c>
      <c r="K125" s="81"/>
      <c r="L125" s="81"/>
    </row>
    <row r="126" spans="2:18" x14ac:dyDescent="0.25">
      <c r="D126" s="50">
        <v>45044</v>
      </c>
      <c r="E126" s="80">
        <v>302804</v>
      </c>
      <c r="F126" s="80" t="s">
        <v>2277</v>
      </c>
      <c r="G126" s="81">
        <v>4244</v>
      </c>
      <c r="H126" s="81">
        <f>extracto_banco_mes4[[#This Row],[NETO]]*0.21</f>
        <v>891.24</v>
      </c>
      <c r="I126" s="81"/>
      <c r="J126" s="81">
        <v>108</v>
      </c>
      <c r="K126" s="81"/>
      <c r="L126" s="81"/>
    </row>
    <row r="127" spans="2:18" x14ac:dyDescent="0.25">
      <c r="D127" s="50">
        <v>45044</v>
      </c>
      <c r="E127" s="80">
        <v>280423</v>
      </c>
      <c r="F127" s="80" t="s">
        <v>2228</v>
      </c>
      <c r="G127" s="81">
        <v>66</v>
      </c>
      <c r="H127" s="81">
        <f>extracto_banco_mes4[[#This Row],[NETO]]*0.21</f>
        <v>13.86</v>
      </c>
      <c r="I127" s="81"/>
      <c r="J127" s="81"/>
      <c r="K127" s="81">
        <v>144</v>
      </c>
      <c r="L127" s="81"/>
    </row>
    <row r="128" spans="2:18" x14ac:dyDescent="0.25">
      <c r="D128" s="82" t="s">
        <v>110</v>
      </c>
      <c r="E128" s="80"/>
      <c r="F128" s="80"/>
      <c r="G128" s="83">
        <f>SUBTOTAL(109,extracto_banco_mes4[NETO])</f>
        <v>4533</v>
      </c>
      <c r="H128" s="83">
        <f>SUBTOTAL(109,extracto_banco_mes4[IVA 21%])</f>
        <v>951.93000000000006</v>
      </c>
      <c r="I128" s="83">
        <f>SUBTOTAL(109,extracto_banco_mes4[IVA 10,5%])</f>
        <v>0</v>
      </c>
      <c r="J128" s="83">
        <f>SUBTOTAL(109,extracto_banco_mes4[RET IIBB CABA])</f>
        <v>234</v>
      </c>
      <c r="K128" s="83">
        <f>SUBTOTAL(109,extracto_banco_mes4[PERC IVA])</f>
        <v>144</v>
      </c>
      <c r="L128" s="83">
        <f>SUBTOTAL(109,extracto_banco_mes4[PERC IIBB])</f>
        <v>0</v>
      </c>
    </row>
    <row r="132" spans="4:11" ht="21" x14ac:dyDescent="0.25">
      <c r="D132" s="524" t="s">
        <v>25</v>
      </c>
      <c r="E132" s="524"/>
      <c r="F132" s="524"/>
      <c r="G132" s="524"/>
      <c r="H132" s="524"/>
      <c r="I132" s="524"/>
      <c r="J132" s="524"/>
      <c r="K132" s="524"/>
    </row>
    <row r="133" spans="4:11" x14ac:dyDescent="0.25">
      <c r="D133" s="51" t="s">
        <v>0</v>
      </c>
      <c r="E133" s="51" t="s">
        <v>2</v>
      </c>
      <c r="F133" s="51" t="s">
        <v>74</v>
      </c>
      <c r="G133" s="51" t="s">
        <v>3</v>
      </c>
      <c r="H133" s="51" t="s">
        <v>4</v>
      </c>
      <c r="I133" s="52" t="s">
        <v>10</v>
      </c>
      <c r="J133" s="51" t="s">
        <v>13</v>
      </c>
      <c r="K133" s="51" t="s">
        <v>38</v>
      </c>
    </row>
    <row r="134" spans="4:11" x14ac:dyDescent="0.25">
      <c r="D134" s="360">
        <v>45020</v>
      </c>
      <c r="E134" s="220">
        <v>1</v>
      </c>
      <c r="F134" s="361">
        <v>93</v>
      </c>
      <c r="G134" s="222">
        <v>23383224829</v>
      </c>
      <c r="H134" s="362" t="str">
        <f>IFERROR(IF(factura_c_mes4[[#This Row],[CUIT]]="","-",VLOOKUP(factura_c_mes4[[#This Row],[CUIT]],Lista_CUIT[#All],2,0)),"CUIT NO CARGADO")</f>
        <v>OLIVA JUAN PABLO</v>
      </c>
      <c r="I134" s="363">
        <v>79816</v>
      </c>
      <c r="J134" s="364" t="str">
        <f>IFERROR(IF(factura_c_mes4[[#This Row],[CUIT]]="","-",VLOOKUP(factura_c_mes4[[#This Row],[CUIT]],Lista_CUIT[#All],3,0)),"CUIT NO CARGADO")</f>
        <v>GASTOS ADMINISTRATIVOS</v>
      </c>
      <c r="K134" s="364">
        <f>IFERROR(IF(factura_c_mes4[[#This Row],[CUIT]]="","-",VLOOKUP(factura_c_mes4[[#This Row],[CUIT]],Lista_CUIT[#All],4,0)),"CUIT NO CARGADO")</f>
        <v>0</v>
      </c>
    </row>
    <row r="135" spans="4:11" x14ac:dyDescent="0.25">
      <c r="D135" s="50">
        <v>45019</v>
      </c>
      <c r="E135" s="265">
        <v>2</v>
      </c>
      <c r="F135" s="265">
        <v>38</v>
      </c>
      <c r="G135" s="119">
        <v>20314536852</v>
      </c>
      <c r="H135" s="53" t="str">
        <f>IFERROR(IF(factura_c_mes4[[#This Row],[CUIT]]="","-",VLOOKUP(factura_c_mes4[[#This Row],[CUIT]],Lista_CUIT[#All],2,0)),"CUIT NO CARGADO")</f>
        <v>FRANCESE GONZALO ROMAN</v>
      </c>
      <c r="I135" s="266">
        <v>28200</v>
      </c>
      <c r="J135" s="54" t="str">
        <f>IFERROR(IF(factura_c_mes4[[#This Row],[CUIT]]="","-",VLOOKUP(factura_c_mes4[[#This Row],[CUIT]],Lista_CUIT[#All],3,0)),"CUIT NO CARGADO")</f>
        <v>FLETE</v>
      </c>
      <c r="K135" s="54">
        <f>IFERROR(IF(factura_c_mes4[[#This Row],[CUIT]]="","-",VLOOKUP(factura_c_mes4[[#This Row],[CUIT]],Lista_CUIT[#All],4,0)),"CUIT NO CARGADO")</f>
        <v>0</v>
      </c>
    </row>
    <row r="136" spans="4:11" x14ac:dyDescent="0.25">
      <c r="D136" s="50">
        <v>45019</v>
      </c>
      <c r="E136" s="265">
        <v>2</v>
      </c>
      <c r="F136" s="265">
        <v>177</v>
      </c>
      <c r="G136" s="119">
        <v>27265832178</v>
      </c>
      <c r="H136" s="53" t="str">
        <f>IFERROR(IF(factura_c_mes4[[#This Row],[CUIT]]="","-",VLOOKUP(factura_c_mes4[[#This Row],[CUIT]],Lista_CUIT[#All],2,0)),"CUIT NO CARGADO")</f>
        <v>BLASCO MARIA GUADALUPE</v>
      </c>
      <c r="I136" s="266">
        <v>60000</v>
      </c>
      <c r="J136" s="54" t="str">
        <f>IFERROR(IF(factura_c_mes4[[#This Row],[CUIT]]="","-",VLOOKUP(factura_c_mes4[[#This Row],[CUIT]],Lista_CUIT[#All],3,0)),"CUIT NO CARGADO")</f>
        <v>Gastos Varios</v>
      </c>
      <c r="K136" s="54">
        <f>IFERROR(IF(factura_c_mes4[[#This Row],[CUIT]]="","-",VLOOKUP(factura_c_mes4[[#This Row],[CUIT]],Lista_CUIT[#All],4,0)),"CUIT NO CARGADO")</f>
        <v>0</v>
      </c>
    </row>
    <row r="137" spans="4:11" x14ac:dyDescent="0.25">
      <c r="D137" s="50">
        <v>45019</v>
      </c>
      <c r="E137" s="265">
        <v>3</v>
      </c>
      <c r="F137" s="265">
        <v>710</v>
      </c>
      <c r="G137" s="119">
        <v>20086277523</v>
      </c>
      <c r="H137" s="53" t="str">
        <f>IFERROR(IF(factura_c_mes4[[#This Row],[CUIT]]="","-",VLOOKUP(factura_c_mes4[[#This Row],[CUIT]],Lista_CUIT[#All],2,0)),"CUIT NO CARGADO")</f>
        <v>BOTINDARI JUAN CARLOS</v>
      </c>
      <c r="I137" s="266">
        <v>98500</v>
      </c>
      <c r="J137" s="54" t="str">
        <f>IFERROR(IF(factura_c_mes4[[#This Row],[CUIT]]="","-",VLOOKUP(factura_c_mes4[[#This Row],[CUIT]],Lista_CUIT[#All],3,0)),"CUIT NO CARGADO")</f>
        <v>HONORARIOS CONTABLES</v>
      </c>
      <c r="K137" s="54">
        <f>IFERROR(IF(factura_c_mes4[[#This Row],[CUIT]]="","-",VLOOKUP(factura_c_mes4[[#This Row],[CUIT]],Lista_CUIT[#All],4,0)),"CUIT NO CARGADO")</f>
        <v>0</v>
      </c>
    </row>
    <row r="138" spans="4:11" x14ac:dyDescent="0.25">
      <c r="D138" s="360">
        <v>45020</v>
      </c>
      <c r="E138" s="361">
        <v>3</v>
      </c>
      <c r="F138" s="361">
        <v>224</v>
      </c>
      <c r="G138" s="365">
        <v>23306035444</v>
      </c>
      <c r="H138" s="362" t="str">
        <f>IFERROR(IF(factura_c_mes4[[#This Row],[CUIT]]="","-",VLOOKUP(factura_c_mes4[[#This Row],[CUIT]],Lista_CUIT[#All],2,0)),"CUIT NO CARGADO")</f>
        <v>NADIA TARANTINO</v>
      </c>
      <c r="I138" s="366">
        <v>25615</v>
      </c>
      <c r="J138" s="364" t="str">
        <f>IFERROR(IF(factura_c_mes4[[#This Row],[CUIT]]="","-",VLOOKUP(factura_c_mes4[[#This Row],[CUIT]],Lista_CUIT[#All],3,0)),"CUIT NO CARGADO")</f>
        <v>GASTOS CONTABLES</v>
      </c>
      <c r="K138" s="364">
        <f>IFERROR(IF(factura_c_mes4[[#This Row],[CUIT]]="","-",VLOOKUP(factura_c_mes4[[#This Row],[CUIT]],Lista_CUIT[#All],4,0)),"CUIT NO CARGADO")</f>
        <v>0</v>
      </c>
    </row>
    <row r="139" spans="4:11" x14ac:dyDescent="0.25">
      <c r="D139" s="50">
        <v>45021</v>
      </c>
      <c r="E139" s="265">
        <v>1</v>
      </c>
      <c r="F139" s="265">
        <v>77</v>
      </c>
      <c r="G139" s="119">
        <v>27385671526</v>
      </c>
      <c r="H139" s="53" t="str">
        <f>IFERROR(IF(factura_c_mes4[[#This Row],[CUIT]]="","-",VLOOKUP(factura_c_mes4[[#This Row],[CUIT]],Lista_CUIT[#All],2,0)),"CUIT NO CARGADO")</f>
        <v>MACHADO ELIANA NOEMI</v>
      </c>
      <c r="I139" s="266">
        <v>129225</v>
      </c>
      <c r="J139" s="54" t="str">
        <f>IFERROR(IF(factura_c_mes4[[#This Row],[CUIT]]="","-",VLOOKUP(factura_c_mes4[[#This Row],[CUIT]],Lista_CUIT[#All],3,0)),"CUIT NO CARGADO")</f>
        <v>MEDIDAS</v>
      </c>
      <c r="K139" s="54">
        <f>IFERROR(IF(factura_c_mes4[[#This Row],[CUIT]]="","-",VLOOKUP(factura_c_mes4[[#This Row],[CUIT]],Lista_CUIT[#All],4,0)),"CUIT NO CARGADO")</f>
        <v>0</v>
      </c>
    </row>
    <row r="140" spans="4:11" x14ac:dyDescent="0.25">
      <c r="D140" s="50">
        <v>45021</v>
      </c>
      <c r="E140" s="265">
        <v>1</v>
      </c>
      <c r="F140" s="265">
        <v>76</v>
      </c>
      <c r="G140" s="119">
        <v>27385671526</v>
      </c>
      <c r="H140" s="53" t="str">
        <f>IFERROR(IF(factura_c_mes4[[#This Row],[CUIT]]="","-",VLOOKUP(factura_c_mes4[[#This Row],[CUIT]],Lista_CUIT[#All],2,0)),"CUIT NO CARGADO")</f>
        <v>MACHADO ELIANA NOEMI</v>
      </c>
      <c r="I140" s="266">
        <v>161090</v>
      </c>
      <c r="J140" s="54" t="str">
        <f>IFERROR(IF(factura_c_mes4[[#This Row],[CUIT]]="","-",VLOOKUP(factura_c_mes4[[#This Row],[CUIT]],Lista_CUIT[#All],3,0)),"CUIT NO CARGADO")</f>
        <v>MEDIDAS</v>
      </c>
      <c r="K140" s="54">
        <f>IFERROR(IF(factura_c_mes4[[#This Row],[CUIT]]="","-",VLOOKUP(factura_c_mes4[[#This Row],[CUIT]],Lista_CUIT[#All],4,0)),"CUIT NO CARGADO")</f>
        <v>0</v>
      </c>
    </row>
    <row r="141" spans="4:11" x14ac:dyDescent="0.25">
      <c r="D141" s="50">
        <v>45026</v>
      </c>
      <c r="E141" s="265">
        <v>2</v>
      </c>
      <c r="F141" s="265">
        <v>39</v>
      </c>
      <c r="G141" s="119">
        <v>20314536852</v>
      </c>
      <c r="H141" s="53" t="str">
        <f>IFERROR(IF(factura_c_mes4[[#This Row],[CUIT]]="","-",VLOOKUP(factura_c_mes4[[#This Row],[CUIT]],Lista_CUIT[#All],2,0)),"CUIT NO CARGADO")</f>
        <v>FRANCESE GONZALO ROMAN</v>
      </c>
      <c r="I141" s="266">
        <v>29300</v>
      </c>
      <c r="J141" s="54" t="str">
        <f>IFERROR(IF(factura_c_mes4[[#This Row],[CUIT]]="","-",VLOOKUP(factura_c_mes4[[#This Row],[CUIT]],Lista_CUIT[#All],3,0)),"CUIT NO CARGADO")</f>
        <v>FLETE</v>
      </c>
      <c r="K141" s="54">
        <f>IFERROR(IF(factura_c_mes4[[#This Row],[CUIT]]="","-",VLOOKUP(factura_c_mes4[[#This Row],[CUIT]],Lista_CUIT[#All],4,0)),"CUIT NO CARGADO")</f>
        <v>0</v>
      </c>
    </row>
    <row r="142" spans="4:11" x14ac:dyDescent="0.25">
      <c r="D142" s="360">
        <v>45027</v>
      </c>
      <c r="E142" s="361">
        <v>1</v>
      </c>
      <c r="F142" s="361">
        <v>132</v>
      </c>
      <c r="G142" s="365">
        <v>27217606255</v>
      </c>
      <c r="H142" s="362" t="str">
        <f>IFERROR(IF(factura_c_mes4[[#This Row],[CUIT]]="","-",VLOOKUP(factura_c_mes4[[#This Row],[CUIT]],Lista_CUIT[#All],2,0)),"CUIT NO CARGADO")</f>
        <v>SAPUNA MARIAN KARINA</v>
      </c>
      <c r="I142" s="366">
        <v>20000</v>
      </c>
      <c r="J142" s="364" t="str">
        <f>IFERROR(IF(factura_c_mes4[[#This Row],[CUIT]]="","-",VLOOKUP(factura_c_mes4[[#This Row],[CUIT]],Lista_CUIT[#All],3,0)),"CUIT NO CARGADO")</f>
        <v>GASTOS MANTENIMIENTO</v>
      </c>
      <c r="K142" s="364">
        <f>IFERROR(IF(factura_c_mes4[[#This Row],[CUIT]]="","-",VLOOKUP(factura_c_mes4[[#This Row],[CUIT]],Lista_CUIT[#All],4,0)),"CUIT NO CARGADO")</f>
        <v>0</v>
      </c>
    </row>
    <row r="143" spans="4:11" x14ac:dyDescent="0.25">
      <c r="D143" s="50">
        <v>45027</v>
      </c>
      <c r="E143" s="265">
        <v>1</v>
      </c>
      <c r="F143" s="265">
        <v>197</v>
      </c>
      <c r="G143" s="119">
        <v>23255855204</v>
      </c>
      <c r="H143" s="53" t="str">
        <f>IFERROR(IF(factura_c_mes4[[#This Row],[CUIT]]="","-",VLOOKUP(factura_c_mes4[[#This Row],[CUIT]],Lista_CUIT[#All],2,0)),"CUIT NO CARGADO")</f>
        <v>CABELLO LETICIA JESICA</v>
      </c>
      <c r="I143" s="266">
        <v>9000</v>
      </c>
      <c r="J143" s="54" t="str">
        <f>IFERROR(IF(factura_c_mes4[[#This Row],[CUIT]]="","-",VLOOKUP(factura_c_mes4[[#This Row],[CUIT]],Lista_CUIT[#All],3,0)),"CUIT NO CARGADO")</f>
        <v>ALQUILERES</v>
      </c>
      <c r="K143" s="54">
        <f>IFERROR(IF(factura_c_mes4[[#This Row],[CUIT]]="","-",VLOOKUP(factura_c_mes4[[#This Row],[CUIT]],Lista_CUIT[#All],4,0)),"CUIT NO CARGADO")</f>
        <v>0</v>
      </c>
    </row>
    <row r="144" spans="4:11" x14ac:dyDescent="0.25">
      <c r="D144" s="50">
        <v>45027</v>
      </c>
      <c r="E144" s="265">
        <v>9</v>
      </c>
      <c r="F144" s="265">
        <v>87</v>
      </c>
      <c r="G144" s="119">
        <v>20233248283</v>
      </c>
      <c r="H144" s="53" t="str">
        <f>IFERROR(IF(factura_c_mes4[[#This Row],[CUIT]]="","-",VLOOKUP(factura_c_mes4[[#This Row],[CUIT]],Lista_CUIT[#All],2,0)),"CUIT NO CARGADO")</f>
        <v>CORRAO HECTOR RUBEN</v>
      </c>
      <c r="I144" s="266">
        <v>85000</v>
      </c>
      <c r="J144" s="54" t="str">
        <f>IFERROR(IF(factura_c_mes4[[#This Row],[CUIT]]="","-",VLOOKUP(factura_c_mes4[[#This Row],[CUIT]],Lista_CUIT[#All],3,0)),"CUIT NO CARGADO")</f>
        <v>PROVEEDOR</v>
      </c>
      <c r="K144" s="54">
        <f>IFERROR(IF(factura_c_mes4[[#This Row],[CUIT]]="","-",VLOOKUP(factura_c_mes4[[#This Row],[CUIT]],Lista_CUIT[#All],4,0)),"CUIT NO CARGADO")</f>
        <v>0</v>
      </c>
    </row>
    <row r="145" spans="4:11" x14ac:dyDescent="0.25">
      <c r="D145" s="360">
        <v>45027</v>
      </c>
      <c r="E145" s="361">
        <v>1</v>
      </c>
      <c r="F145" s="361">
        <v>131</v>
      </c>
      <c r="G145" s="365">
        <v>27217606255</v>
      </c>
      <c r="H145" s="362" t="str">
        <f>IFERROR(IF(factura_c_mes4[[#This Row],[CUIT]]="","-",VLOOKUP(factura_c_mes4[[#This Row],[CUIT]],Lista_CUIT[#All],2,0)),"CUIT NO CARGADO")</f>
        <v>SAPUNA MARIAN KARINA</v>
      </c>
      <c r="I145" s="366">
        <v>2200</v>
      </c>
      <c r="J145" s="364" t="str">
        <f>IFERROR(IF(factura_c_mes4[[#This Row],[CUIT]]="","-",VLOOKUP(factura_c_mes4[[#This Row],[CUIT]],Lista_CUIT[#All],3,0)),"CUIT NO CARGADO")</f>
        <v>GASTOS MANTENIMIENTO</v>
      </c>
      <c r="K145" s="364">
        <f>IFERROR(IF(factura_c_mes4[[#This Row],[CUIT]]="","-",VLOOKUP(factura_c_mes4[[#This Row],[CUIT]],Lista_CUIT[#All],4,0)),"CUIT NO CARGADO")</f>
        <v>0</v>
      </c>
    </row>
    <row r="146" spans="4:11" x14ac:dyDescent="0.25">
      <c r="D146" s="360">
        <v>45028</v>
      </c>
      <c r="E146" s="361">
        <v>1</v>
      </c>
      <c r="F146" s="361">
        <v>133</v>
      </c>
      <c r="G146" s="365">
        <v>27217606255</v>
      </c>
      <c r="H146" s="362" t="str">
        <f>IFERROR(IF(factura_c_mes4[[#This Row],[CUIT]]="","-",VLOOKUP(factura_c_mes4[[#This Row],[CUIT]],Lista_CUIT[#All],2,0)),"CUIT NO CARGADO")</f>
        <v>SAPUNA MARIAN KARINA</v>
      </c>
      <c r="I146" s="366">
        <v>40000</v>
      </c>
      <c r="J146" s="364" t="str">
        <f>IFERROR(IF(factura_c_mes4[[#This Row],[CUIT]]="","-",VLOOKUP(factura_c_mes4[[#This Row],[CUIT]],Lista_CUIT[#All],3,0)),"CUIT NO CARGADO")</f>
        <v>GASTOS MANTENIMIENTO</v>
      </c>
      <c r="K146" s="364">
        <f>IFERROR(IF(factura_c_mes4[[#This Row],[CUIT]]="","-",VLOOKUP(factura_c_mes4[[#This Row],[CUIT]],Lista_CUIT[#All],4,0)),"CUIT NO CARGADO")</f>
        <v>0</v>
      </c>
    </row>
    <row r="147" spans="4:11" x14ac:dyDescent="0.25">
      <c r="D147" s="50">
        <v>45028</v>
      </c>
      <c r="E147" s="265">
        <v>2019</v>
      </c>
      <c r="F147" s="265">
        <v>2110</v>
      </c>
      <c r="G147" s="119">
        <v>20277164192</v>
      </c>
      <c r="H147" s="53" t="str">
        <f>IFERROR(IF(factura_c_mes4[[#This Row],[CUIT]]="","-",VLOOKUP(factura_c_mes4[[#This Row],[CUIT]],Lista_CUIT[#All],2,0)),"CUIT NO CARGADO")</f>
        <v>PABLO ROBERTO MURUA POU</v>
      </c>
      <c r="I147" s="266">
        <v>2500</v>
      </c>
      <c r="J147" s="54" t="str">
        <f>IFERROR(IF(factura_c_mes4[[#This Row],[CUIT]]="","-",VLOOKUP(factura_c_mes4[[#This Row],[CUIT]],Lista_CUIT[#All],3,0)),"CUIT NO CARGADO")</f>
        <v>GASTOS VARIOS</v>
      </c>
      <c r="K147" s="54">
        <f>IFERROR(IF(factura_c_mes4[[#This Row],[CUIT]]="","-",VLOOKUP(factura_c_mes4[[#This Row],[CUIT]],Lista_CUIT[#All],4,0)),"CUIT NO CARGADO")</f>
        <v>0</v>
      </c>
    </row>
    <row r="148" spans="4:11" x14ac:dyDescent="0.25">
      <c r="D148" s="360">
        <v>45029</v>
      </c>
      <c r="E148" s="361">
        <v>1</v>
      </c>
      <c r="F148" s="361">
        <v>134</v>
      </c>
      <c r="G148" s="365">
        <v>27217606255</v>
      </c>
      <c r="H148" s="362" t="str">
        <f>IFERROR(IF(factura_c_mes4[[#This Row],[CUIT]]="","-",VLOOKUP(factura_c_mes4[[#This Row],[CUIT]],Lista_CUIT[#All],2,0)),"CUIT NO CARGADO")</f>
        <v>SAPUNA MARIAN KARINA</v>
      </c>
      <c r="I148" s="366">
        <v>45000</v>
      </c>
      <c r="J148" s="364" t="str">
        <f>IFERROR(IF(factura_c_mes4[[#This Row],[CUIT]]="","-",VLOOKUP(factura_c_mes4[[#This Row],[CUIT]],Lista_CUIT[#All],3,0)),"CUIT NO CARGADO")</f>
        <v>GASTOS MANTENIMIENTO</v>
      </c>
      <c r="K148" s="364">
        <f>IFERROR(IF(factura_c_mes4[[#This Row],[CUIT]]="","-",VLOOKUP(factura_c_mes4[[#This Row],[CUIT]],Lista_CUIT[#All],4,0)),"CUIT NO CARGADO")</f>
        <v>0</v>
      </c>
    </row>
    <row r="149" spans="4:11" x14ac:dyDescent="0.25">
      <c r="D149" s="360">
        <v>45029</v>
      </c>
      <c r="E149" s="361">
        <v>1</v>
      </c>
      <c r="F149" s="361">
        <v>135</v>
      </c>
      <c r="G149" s="365">
        <v>27217606255</v>
      </c>
      <c r="H149" s="362" t="str">
        <f>IFERROR(IF(factura_c_mes4[[#This Row],[CUIT]]="","-",VLOOKUP(factura_c_mes4[[#This Row],[CUIT]],Lista_CUIT[#All],2,0)),"CUIT NO CARGADO")</f>
        <v>SAPUNA MARIAN KARINA</v>
      </c>
      <c r="I149" s="366">
        <v>30000</v>
      </c>
      <c r="J149" s="364" t="str">
        <f>IFERROR(IF(factura_c_mes4[[#This Row],[CUIT]]="","-",VLOOKUP(factura_c_mes4[[#This Row],[CUIT]],Lista_CUIT[#All],3,0)),"CUIT NO CARGADO")</f>
        <v>GASTOS MANTENIMIENTO</v>
      </c>
      <c r="K149" s="364">
        <f>IFERROR(IF(factura_c_mes4[[#This Row],[CUIT]]="","-",VLOOKUP(factura_c_mes4[[#This Row],[CUIT]],Lista_CUIT[#All],4,0)),"CUIT NO CARGADO")</f>
        <v>0</v>
      </c>
    </row>
    <row r="150" spans="4:11" x14ac:dyDescent="0.25">
      <c r="D150" s="50">
        <v>45029</v>
      </c>
      <c r="E150" s="265">
        <v>2</v>
      </c>
      <c r="F150" s="265">
        <v>451</v>
      </c>
      <c r="G150" s="119">
        <v>27299725761</v>
      </c>
      <c r="H150" s="53" t="str">
        <f>IFERROR(IF(factura_c_mes4[[#This Row],[CUIT]]="","-",VLOOKUP(factura_c_mes4[[#This Row],[CUIT]],Lista_CUIT[#All],2,0)),"CUIT NO CARGADO")</f>
        <v>TURSARKISIAN MISISIAN VERONICA GEMA</v>
      </c>
      <c r="I150" s="266">
        <v>56000</v>
      </c>
      <c r="J150" s="54" t="str">
        <f>IFERROR(IF(factura_c_mes4[[#This Row],[CUIT]]="","-",VLOOKUP(factura_c_mes4[[#This Row],[CUIT]],Lista_CUIT[#All],3,0)),"CUIT NO CARGADO")</f>
        <v>Productos Ortopedicos</v>
      </c>
      <c r="K150" s="54">
        <f>IFERROR(IF(factura_c_mes4[[#This Row],[CUIT]]="","-",VLOOKUP(factura_c_mes4[[#This Row],[CUIT]],Lista_CUIT[#All],4,0)),"CUIT NO CARGADO")</f>
        <v>0</v>
      </c>
    </row>
    <row r="151" spans="4:11" x14ac:dyDescent="0.25">
      <c r="D151" s="50">
        <v>45029</v>
      </c>
      <c r="E151" s="265">
        <v>2</v>
      </c>
      <c r="F151" s="265">
        <v>450</v>
      </c>
      <c r="G151" s="119">
        <v>27299725761</v>
      </c>
      <c r="H151" s="53" t="str">
        <f>IFERROR(IF(factura_c_mes4[[#This Row],[CUIT]]="","-",VLOOKUP(factura_c_mes4[[#This Row],[CUIT]],Lista_CUIT[#All],2,0)),"CUIT NO CARGADO")</f>
        <v>TURSARKISIAN MISISIAN VERONICA GEMA</v>
      </c>
      <c r="I151" s="266">
        <v>44000</v>
      </c>
      <c r="J151" s="54" t="str">
        <f>IFERROR(IF(factura_c_mes4[[#This Row],[CUIT]]="","-",VLOOKUP(factura_c_mes4[[#This Row],[CUIT]],Lista_CUIT[#All],3,0)),"CUIT NO CARGADO")</f>
        <v>Productos Ortopedicos</v>
      </c>
      <c r="K151" s="54">
        <f>IFERROR(IF(factura_c_mes4[[#This Row],[CUIT]]="","-",VLOOKUP(factura_c_mes4[[#This Row],[CUIT]],Lista_CUIT[#All],4,0)),"CUIT NO CARGADO")</f>
        <v>0</v>
      </c>
    </row>
    <row r="152" spans="4:11" x14ac:dyDescent="0.25">
      <c r="D152" s="360">
        <v>45030</v>
      </c>
      <c r="E152" s="361">
        <v>1</v>
      </c>
      <c r="F152" s="361">
        <v>136</v>
      </c>
      <c r="G152" s="365">
        <v>27217606255</v>
      </c>
      <c r="H152" s="362" t="str">
        <f>IFERROR(IF(factura_c_mes4[[#This Row],[CUIT]]="","-",VLOOKUP(factura_c_mes4[[#This Row],[CUIT]],Lista_CUIT[#All],2,0)),"CUIT NO CARGADO")</f>
        <v>SAPUNA MARIAN KARINA</v>
      </c>
      <c r="I152" s="366">
        <v>15000</v>
      </c>
      <c r="J152" s="364" t="str">
        <f>IFERROR(IF(factura_c_mes4[[#This Row],[CUIT]]="","-",VLOOKUP(factura_c_mes4[[#This Row],[CUIT]],Lista_CUIT[#All],3,0)),"CUIT NO CARGADO")</f>
        <v>GASTOS MANTENIMIENTO</v>
      </c>
      <c r="K152" s="364">
        <f>IFERROR(IF(factura_c_mes4[[#This Row],[CUIT]]="","-",VLOOKUP(factura_c_mes4[[#This Row],[CUIT]],Lista_CUIT[#All],4,0)),"CUIT NO CARGADO")</f>
        <v>0</v>
      </c>
    </row>
    <row r="153" spans="4:11" x14ac:dyDescent="0.25">
      <c r="D153" s="50">
        <v>45033</v>
      </c>
      <c r="E153" s="265">
        <v>2</v>
      </c>
      <c r="F153" s="265">
        <v>40</v>
      </c>
      <c r="G153" s="119">
        <v>20314536852</v>
      </c>
      <c r="H153" s="53" t="str">
        <f>IFERROR(IF(factura_c_mes4[[#This Row],[CUIT]]="","-",VLOOKUP(factura_c_mes4[[#This Row],[CUIT]],Lista_CUIT[#All],2,0)),"CUIT NO CARGADO")</f>
        <v>FRANCESE GONZALO ROMAN</v>
      </c>
      <c r="I153" s="266">
        <v>29500</v>
      </c>
      <c r="J153" s="54" t="str">
        <f>IFERROR(IF(factura_c_mes4[[#This Row],[CUIT]]="","-",VLOOKUP(factura_c_mes4[[#This Row],[CUIT]],Lista_CUIT[#All],3,0)),"CUIT NO CARGADO")</f>
        <v>FLETE</v>
      </c>
      <c r="K153" s="54">
        <f>IFERROR(IF(factura_c_mes4[[#This Row],[CUIT]]="","-",VLOOKUP(factura_c_mes4[[#This Row],[CUIT]],Lista_CUIT[#All],4,0)),"CUIT NO CARGADO")</f>
        <v>0</v>
      </c>
    </row>
    <row r="154" spans="4:11" x14ac:dyDescent="0.25">
      <c r="D154" s="50">
        <v>45034</v>
      </c>
      <c r="E154" s="265">
        <v>1</v>
      </c>
      <c r="F154" s="265">
        <v>53</v>
      </c>
      <c r="G154" s="119">
        <v>23281233084</v>
      </c>
      <c r="H154" s="53" t="str">
        <f>IFERROR(IF(factura_c_mes4[[#This Row],[CUIT]]="","-",VLOOKUP(factura_c_mes4[[#This Row],[CUIT]],Lista_CUIT[#All],2,0)),"CUIT NO CARGADO")</f>
        <v>DRUETTA ANDREA MARIEL</v>
      </c>
      <c r="I154" s="266">
        <v>43850</v>
      </c>
      <c r="J154" s="54" t="str">
        <f>IFERROR(IF(factura_c_mes4[[#This Row],[CUIT]]="","-",VLOOKUP(factura_c_mes4[[#This Row],[CUIT]],Lista_CUIT[#All],3,0)),"CUIT NO CARGADO")</f>
        <v>HONORARIOS TECNICOS</v>
      </c>
      <c r="K154" s="54">
        <f>IFERROR(IF(factura_c_mes4[[#This Row],[CUIT]]="","-",VLOOKUP(factura_c_mes4[[#This Row],[CUIT]],Lista_CUIT[#All],4,0)),"CUIT NO CARGADO")</f>
        <v>0</v>
      </c>
    </row>
    <row r="155" spans="4:11" x14ac:dyDescent="0.25">
      <c r="D155" s="50">
        <v>45036</v>
      </c>
      <c r="E155" s="265">
        <v>6</v>
      </c>
      <c r="F155" s="265">
        <v>9</v>
      </c>
      <c r="G155" s="119">
        <v>27318630157</v>
      </c>
      <c r="H155" s="53" t="str">
        <f>IFERROR(IF(factura_c_mes4[[#This Row],[CUIT]]="","-",VLOOKUP(factura_c_mes4[[#This Row],[CUIT]],Lista_CUIT[#All],2,0)),"CUIT NO CARGADO")</f>
        <v>CENTURION JACQUELINE ESTEFANIA</v>
      </c>
      <c r="I155" s="266">
        <v>100000</v>
      </c>
      <c r="J155" s="54" t="str">
        <f>IFERROR(IF(factura_c_mes4[[#This Row],[CUIT]]="","-",VLOOKUP(factura_c_mes4[[#This Row],[CUIT]],Lista_CUIT[#All],3,0)),"CUIT NO CARGADO")</f>
        <v>GASTOS ADMINISTRATIVOS</v>
      </c>
      <c r="K155" s="54">
        <f>IFERROR(IF(factura_c_mes4[[#This Row],[CUIT]]="","-",VLOOKUP(factura_c_mes4[[#This Row],[CUIT]],Lista_CUIT[#All],4,0)),"CUIT NO CARGADO")</f>
        <v>0</v>
      </c>
    </row>
    <row r="156" spans="4:11" x14ac:dyDescent="0.25">
      <c r="D156" s="360">
        <v>45040</v>
      </c>
      <c r="E156" s="361">
        <v>1</v>
      </c>
      <c r="F156" s="361">
        <v>137</v>
      </c>
      <c r="G156" s="365">
        <v>27217606255</v>
      </c>
      <c r="H156" s="362" t="str">
        <f>IFERROR(IF(factura_c_mes4[[#This Row],[CUIT]]="","-",VLOOKUP(factura_c_mes4[[#This Row],[CUIT]],Lista_CUIT[#All],2,0)),"CUIT NO CARGADO")</f>
        <v>SAPUNA MARIAN KARINA</v>
      </c>
      <c r="I156" s="366">
        <v>30000</v>
      </c>
      <c r="J156" s="364" t="str">
        <f>IFERROR(IF(factura_c_mes4[[#This Row],[CUIT]]="","-",VLOOKUP(factura_c_mes4[[#This Row],[CUIT]],Lista_CUIT[#All],3,0)),"CUIT NO CARGADO")</f>
        <v>GASTOS MANTENIMIENTO</v>
      </c>
      <c r="K156" s="364">
        <f>IFERROR(IF(factura_c_mes4[[#This Row],[CUIT]]="","-",VLOOKUP(factura_c_mes4[[#This Row],[CUIT]],Lista_CUIT[#All],4,0)),"CUIT NO CARGADO")</f>
        <v>0</v>
      </c>
    </row>
    <row r="157" spans="4:11" ht="17.25" customHeight="1" x14ac:dyDescent="0.25">
      <c r="D157" s="360">
        <v>45040</v>
      </c>
      <c r="E157" s="361">
        <v>1</v>
      </c>
      <c r="F157" s="361">
        <v>35</v>
      </c>
      <c r="G157" s="365">
        <v>20403969886</v>
      </c>
      <c r="H157" s="362" t="str">
        <f>IFERROR(IF(factura_c_mes4[[#This Row],[CUIT]]="","-",VLOOKUP(factura_c_mes4[[#This Row],[CUIT]],Lista_CUIT[#All],2,0)),"CUIT NO CARGADO")</f>
        <v>DEL GESSO FRANCO JESUS</v>
      </c>
      <c r="I157" s="366">
        <v>249070</v>
      </c>
      <c r="J157" s="364" t="str">
        <f>IFERROR(IF(factura_c_mes4[[#This Row],[CUIT]]="","-",VLOOKUP(factura_c_mes4[[#This Row],[CUIT]],Lista_CUIT[#All],3,0)),"CUIT NO CARGADO")</f>
        <v>GASTOS ADMINISTRATIVOS</v>
      </c>
      <c r="K157" s="364">
        <f>IFERROR(IF(factura_c_mes4[[#This Row],[CUIT]]="","-",VLOOKUP(factura_c_mes4[[#This Row],[CUIT]],Lista_CUIT[#All],4,0)),"CUIT NO CARGADO")</f>
        <v>0</v>
      </c>
    </row>
    <row r="158" spans="4:11" x14ac:dyDescent="0.25">
      <c r="D158" s="360">
        <v>45041</v>
      </c>
      <c r="E158" s="361">
        <v>2</v>
      </c>
      <c r="F158" s="361">
        <v>90</v>
      </c>
      <c r="G158" s="365">
        <v>20220423655</v>
      </c>
      <c r="H158" s="362" t="str">
        <f>IFERROR(IF(factura_c_mes4[[#This Row],[CUIT]]="","-",VLOOKUP(factura_c_mes4[[#This Row],[CUIT]],Lista_CUIT[#All],2,0)),"CUIT NO CARGADO")</f>
        <v>LANDRO FERNANDO GABRIEL</v>
      </c>
      <c r="I158" s="366">
        <v>197090</v>
      </c>
      <c r="J158" s="364" t="str">
        <f>IFERROR(IF(factura_c_mes4[[#This Row],[CUIT]]="","-",VLOOKUP(factura_c_mes4[[#This Row],[CUIT]],Lista_CUIT[#All],3,0)),"CUIT NO CARGADO")</f>
        <v>GESTION COBRANZAS</v>
      </c>
      <c r="K158" s="364">
        <f>IFERROR(IF(factura_c_mes4[[#This Row],[CUIT]]="","-",VLOOKUP(factura_c_mes4[[#This Row],[CUIT]],Lista_CUIT[#All],4,0)),"CUIT NO CARGADO")</f>
        <v>0</v>
      </c>
    </row>
    <row r="159" spans="4:11" x14ac:dyDescent="0.25">
      <c r="D159" s="360">
        <v>45041</v>
      </c>
      <c r="E159" s="361">
        <v>2</v>
      </c>
      <c r="F159" s="361">
        <v>89</v>
      </c>
      <c r="G159" s="365">
        <v>20220423655</v>
      </c>
      <c r="H159" s="362" t="str">
        <f>IFERROR(IF(factura_c_mes4[[#This Row],[CUIT]]="","-",VLOOKUP(factura_c_mes4[[#This Row],[CUIT]],Lista_CUIT[#All],2,0)),"CUIT NO CARGADO")</f>
        <v>LANDRO FERNANDO GABRIEL</v>
      </c>
      <c r="I159" s="366">
        <v>201405</v>
      </c>
      <c r="J159" s="364" t="str">
        <f>IFERROR(IF(factura_c_mes4[[#This Row],[CUIT]]="","-",VLOOKUP(factura_c_mes4[[#This Row],[CUIT]],Lista_CUIT[#All],3,0)),"CUIT NO CARGADO")</f>
        <v>GESTION COBRANZAS</v>
      </c>
      <c r="K159" s="364">
        <f>IFERROR(IF(factura_c_mes4[[#This Row],[CUIT]]="","-",VLOOKUP(factura_c_mes4[[#This Row],[CUIT]],Lista_CUIT[#All],4,0)),"CUIT NO CARGADO")</f>
        <v>0</v>
      </c>
    </row>
    <row r="160" spans="4:11" x14ac:dyDescent="0.25">
      <c r="D160" s="360">
        <v>45041</v>
      </c>
      <c r="E160" s="361">
        <v>1</v>
      </c>
      <c r="F160" s="361">
        <v>138</v>
      </c>
      <c r="G160" s="365">
        <v>27217606255</v>
      </c>
      <c r="H160" s="362" t="str">
        <f>IFERROR(IF(factura_c_mes4[[#This Row],[CUIT]]="","-",VLOOKUP(factura_c_mes4[[#This Row],[CUIT]],Lista_CUIT[#All],2,0)),"CUIT NO CARGADO")</f>
        <v>SAPUNA MARIAN KARINA</v>
      </c>
      <c r="I160" s="366">
        <v>45000</v>
      </c>
      <c r="J160" s="364" t="str">
        <f>IFERROR(IF(factura_c_mes4[[#This Row],[CUIT]]="","-",VLOOKUP(factura_c_mes4[[#This Row],[CUIT]],Lista_CUIT[#All],3,0)),"CUIT NO CARGADO")</f>
        <v>GASTOS MANTENIMIENTO</v>
      </c>
      <c r="K160" s="364">
        <f>IFERROR(IF(factura_c_mes4[[#This Row],[CUIT]]="","-",VLOOKUP(factura_c_mes4[[#This Row],[CUIT]],Lista_CUIT[#All],4,0)),"CUIT NO CARGADO")</f>
        <v>0</v>
      </c>
    </row>
    <row r="161" spans="4:11" x14ac:dyDescent="0.25">
      <c r="D161" s="50">
        <v>45041</v>
      </c>
      <c r="E161" s="265">
        <v>2</v>
      </c>
      <c r="F161" s="265">
        <v>42</v>
      </c>
      <c r="G161" s="119">
        <v>20314536852</v>
      </c>
      <c r="H161" s="53" t="str">
        <f>IFERROR(IF(factura_c_mes4[[#This Row],[CUIT]]="","-",VLOOKUP(factura_c_mes4[[#This Row],[CUIT]],Lista_CUIT[#All],2,0)),"CUIT NO CARGADO")</f>
        <v>FRANCESE GONZALO ROMAN</v>
      </c>
      <c r="I161" s="266">
        <v>26000</v>
      </c>
      <c r="J161" s="54" t="str">
        <f>IFERROR(IF(factura_c_mes4[[#This Row],[CUIT]]="","-",VLOOKUP(factura_c_mes4[[#This Row],[CUIT]],Lista_CUIT[#All],3,0)),"CUIT NO CARGADO")</f>
        <v>FLETE</v>
      </c>
      <c r="K161" s="54">
        <f>IFERROR(IF(factura_c_mes4[[#This Row],[CUIT]]="","-",VLOOKUP(factura_c_mes4[[#This Row],[CUIT]],Lista_CUIT[#All],4,0)),"CUIT NO CARGADO")</f>
        <v>0</v>
      </c>
    </row>
    <row r="162" spans="4:11" x14ac:dyDescent="0.25">
      <c r="D162" s="50">
        <v>45043</v>
      </c>
      <c r="E162" s="265">
        <v>2</v>
      </c>
      <c r="F162" s="265">
        <v>453</v>
      </c>
      <c r="G162" s="119">
        <v>27299725761</v>
      </c>
      <c r="H162" s="53" t="str">
        <f>IFERROR(IF(factura_c_mes4[[#This Row],[CUIT]]="","-",VLOOKUP(factura_c_mes4[[#This Row],[CUIT]],Lista_CUIT[#All],2,0)),"CUIT NO CARGADO")</f>
        <v>TURSARKISIAN MISISIAN VERONICA GEMA</v>
      </c>
      <c r="I162" s="266">
        <v>48000</v>
      </c>
      <c r="J162" s="54" t="str">
        <f>IFERROR(IF(factura_c_mes4[[#This Row],[CUIT]]="","-",VLOOKUP(factura_c_mes4[[#This Row],[CUIT]],Lista_CUIT[#All],3,0)),"CUIT NO CARGADO")</f>
        <v>Productos Ortopedicos</v>
      </c>
      <c r="K162" s="54">
        <f>IFERROR(IF(factura_c_mes4[[#This Row],[CUIT]]="","-",VLOOKUP(factura_c_mes4[[#This Row],[CUIT]],Lista_CUIT[#All],4,0)),"CUIT NO CARGADO")</f>
        <v>0</v>
      </c>
    </row>
    <row r="163" spans="4:11" x14ac:dyDescent="0.25">
      <c r="D163" s="50">
        <v>45043</v>
      </c>
      <c r="E163" s="265">
        <v>2</v>
      </c>
      <c r="F163" s="265">
        <v>454</v>
      </c>
      <c r="G163" s="119">
        <v>27299725761</v>
      </c>
      <c r="H163" s="53" t="str">
        <f>IFERROR(IF(factura_c_mes4[[#This Row],[CUIT]]="","-",VLOOKUP(factura_c_mes4[[#This Row],[CUIT]],Lista_CUIT[#All],2,0)),"CUIT NO CARGADO")</f>
        <v>TURSARKISIAN MISISIAN VERONICA GEMA</v>
      </c>
      <c r="I163" s="266">
        <v>24000</v>
      </c>
      <c r="J163" s="54" t="str">
        <f>IFERROR(IF(factura_c_mes4[[#This Row],[CUIT]]="","-",VLOOKUP(factura_c_mes4[[#This Row],[CUIT]],Lista_CUIT[#All],3,0)),"CUIT NO CARGADO")</f>
        <v>Productos Ortopedicos</v>
      </c>
      <c r="K163" s="54">
        <f>IFERROR(IF(factura_c_mes4[[#This Row],[CUIT]]="","-",VLOOKUP(factura_c_mes4[[#This Row],[CUIT]],Lista_CUIT[#All],4,0)),"CUIT NO CARGADO")</f>
        <v>0</v>
      </c>
    </row>
    <row r="164" spans="4:11" x14ac:dyDescent="0.25">
      <c r="D164" s="50">
        <v>45043</v>
      </c>
      <c r="E164" s="265">
        <v>1</v>
      </c>
      <c r="F164" s="265">
        <v>93</v>
      </c>
      <c r="G164" s="119">
        <v>27338342840</v>
      </c>
      <c r="H164" s="53" t="str">
        <f>IFERROR(IF(factura_c_mes4[[#This Row],[CUIT]]="","-",VLOOKUP(factura_c_mes4[[#This Row],[CUIT]],Lista_CUIT[#All],2,0)),"CUIT NO CARGADO")</f>
        <v>CANCINO PAMELA RITA</v>
      </c>
      <c r="I164" s="266">
        <v>15000</v>
      </c>
      <c r="J164" s="54" t="str">
        <f>IFERROR(IF(factura_c_mes4[[#This Row],[CUIT]]="","-",VLOOKUP(factura_c_mes4[[#This Row],[CUIT]],Lista_CUIT[#All],3,0)),"CUIT NO CARGADO")</f>
        <v>Productos Ortopedicos</v>
      </c>
      <c r="K164" s="54">
        <f>IFERROR(IF(factura_c_mes4[[#This Row],[CUIT]]="","-",VLOOKUP(factura_c_mes4[[#This Row],[CUIT]],Lista_CUIT[#All],4,0)),"CUIT NO CARGADO")</f>
        <v>0</v>
      </c>
    </row>
    <row r="165" spans="4:11" x14ac:dyDescent="0.25">
      <c r="D165" s="360">
        <v>45043</v>
      </c>
      <c r="E165" s="361">
        <v>1</v>
      </c>
      <c r="F165" s="361">
        <v>139</v>
      </c>
      <c r="G165" s="365">
        <v>27217606255</v>
      </c>
      <c r="H165" s="362" t="str">
        <f>IFERROR(IF(factura_c_mes4[[#This Row],[CUIT]]="","-",VLOOKUP(factura_c_mes4[[#This Row],[CUIT]],Lista_CUIT[#All],2,0)),"CUIT NO CARGADO")</f>
        <v>SAPUNA MARIAN KARINA</v>
      </c>
      <c r="I165" s="366">
        <v>35000</v>
      </c>
      <c r="J165" s="364" t="str">
        <f>IFERROR(IF(factura_c_mes4[[#This Row],[CUIT]]="","-",VLOOKUP(factura_c_mes4[[#This Row],[CUIT]],Lista_CUIT[#All],3,0)),"CUIT NO CARGADO")</f>
        <v>GASTOS MANTENIMIENTO</v>
      </c>
      <c r="K165" s="364">
        <f>IFERROR(IF(factura_c_mes4[[#This Row],[CUIT]]="","-",VLOOKUP(factura_c_mes4[[#This Row],[CUIT]],Lista_CUIT[#All],4,0)),"CUIT NO CARGADO")</f>
        <v>0</v>
      </c>
    </row>
    <row r="166" spans="4:11" x14ac:dyDescent="0.25">
      <c r="D166" s="50">
        <v>45043</v>
      </c>
      <c r="E166" s="265">
        <v>1</v>
      </c>
      <c r="F166" s="265">
        <v>92</v>
      </c>
      <c r="G166" s="119">
        <v>27338342840</v>
      </c>
      <c r="H166" s="53" t="str">
        <f>IFERROR(IF(factura_c_mes4[[#This Row],[CUIT]]="","-",VLOOKUP(factura_c_mes4[[#This Row],[CUIT]],Lista_CUIT[#All],2,0)),"CUIT NO CARGADO")</f>
        <v>CANCINO PAMELA RITA</v>
      </c>
      <c r="I166" s="266">
        <v>18000</v>
      </c>
      <c r="J166" s="54" t="str">
        <f>IFERROR(IF(factura_c_mes4[[#This Row],[CUIT]]="","-",VLOOKUP(factura_c_mes4[[#This Row],[CUIT]],Lista_CUIT[#All],3,0)),"CUIT NO CARGADO")</f>
        <v>Productos Ortopedicos</v>
      </c>
      <c r="K166" s="54">
        <f>IFERROR(IF(factura_c_mes4[[#This Row],[CUIT]]="","-",VLOOKUP(factura_c_mes4[[#This Row],[CUIT]],Lista_CUIT[#All],4,0)),"CUIT NO CARGADO")</f>
        <v>0</v>
      </c>
    </row>
    <row r="167" spans="4:11" x14ac:dyDescent="0.25">
      <c r="D167" s="50">
        <v>45043</v>
      </c>
      <c r="E167" s="265">
        <v>1</v>
      </c>
      <c r="F167" s="265">
        <v>49</v>
      </c>
      <c r="G167" s="119">
        <v>20299835260</v>
      </c>
      <c r="H167" s="53" t="str">
        <f>IFERROR(IF(factura_c_mes4[[#This Row],[CUIT]]="","-",VLOOKUP(factura_c_mes4[[#This Row],[CUIT]],Lista_CUIT[#All],2,0)),"CUIT NO CARGADO")</f>
        <v>MALGAREJO NICOLAS EMILIO</v>
      </c>
      <c r="I167" s="266">
        <v>28000</v>
      </c>
      <c r="J167" s="54" t="str">
        <f>IFERROR(IF(factura_c_mes4[[#This Row],[CUIT]]="","-",VLOOKUP(factura_c_mes4[[#This Row],[CUIT]],Lista_CUIT[#All],3,0)),"CUIT NO CARGADO")</f>
        <v>Productos Ortopedicos</v>
      </c>
      <c r="K167" s="54">
        <f>IFERROR(IF(factura_c_mes4[[#This Row],[CUIT]]="","-",VLOOKUP(factura_c_mes4[[#This Row],[CUIT]],Lista_CUIT[#All],4,0)),"CUIT NO CARGADO")</f>
        <v>0</v>
      </c>
    </row>
    <row r="168" spans="4:11" ht="19.149999999999999" customHeight="1" x14ac:dyDescent="0.25">
      <c r="D168" s="50">
        <v>45043</v>
      </c>
      <c r="E168" s="265">
        <v>1</v>
      </c>
      <c r="F168" s="265">
        <v>48</v>
      </c>
      <c r="G168" s="119">
        <v>20299835260</v>
      </c>
      <c r="H168" s="53" t="str">
        <f>IFERROR(IF(factura_c_mes4[[#This Row],[CUIT]]="","-",VLOOKUP(factura_c_mes4[[#This Row],[CUIT]],Lista_CUIT[#All],2,0)),"CUIT NO CARGADO")</f>
        <v>MALGAREJO NICOLAS EMILIO</v>
      </c>
      <c r="I168" s="266">
        <v>66000</v>
      </c>
      <c r="J168" s="54" t="str">
        <f>IFERROR(IF(factura_c_mes4[[#This Row],[CUIT]]="","-",VLOOKUP(factura_c_mes4[[#This Row],[CUIT]],Lista_CUIT[#All],3,0)),"CUIT NO CARGADO")</f>
        <v>Productos Ortopedicos</v>
      </c>
      <c r="K168" s="54">
        <f>IFERROR(IF(factura_c_mes4[[#This Row],[CUIT]]="","-",VLOOKUP(factura_c_mes4[[#This Row],[CUIT]],Lista_CUIT[#All],4,0)),"CUIT NO CARGADO")</f>
        <v>0</v>
      </c>
    </row>
    <row r="169" spans="4:11" x14ac:dyDescent="0.25">
      <c r="D169" s="50">
        <v>45043</v>
      </c>
      <c r="E169" s="265">
        <v>1</v>
      </c>
      <c r="F169" s="265">
        <v>47</v>
      </c>
      <c r="G169" s="119">
        <v>20299835260</v>
      </c>
      <c r="H169" s="53" t="str">
        <f>IFERROR(IF(factura_c_mes4[[#This Row],[CUIT]]="","-",VLOOKUP(factura_c_mes4[[#This Row],[CUIT]],Lista_CUIT[#All],2,0)),"CUIT NO CARGADO")</f>
        <v>MALGAREJO NICOLAS EMILIO</v>
      </c>
      <c r="I169" s="266">
        <v>40000</v>
      </c>
      <c r="J169" s="54" t="str">
        <f>IFERROR(IF(factura_c_mes4[[#This Row],[CUIT]]="","-",VLOOKUP(factura_c_mes4[[#This Row],[CUIT]],Lista_CUIT[#All],3,0)),"CUIT NO CARGADO")</f>
        <v>Productos Ortopedicos</v>
      </c>
      <c r="K169" s="54">
        <f>IFERROR(IF(factura_c_mes4[[#This Row],[CUIT]]="","-",VLOOKUP(factura_c_mes4[[#This Row],[CUIT]],Lista_CUIT[#All],4,0)),"CUIT NO CARGADO")</f>
        <v>0</v>
      </c>
    </row>
    <row r="170" spans="4:11" x14ac:dyDescent="0.25">
      <c r="D170" s="50">
        <v>45043</v>
      </c>
      <c r="E170" s="265">
        <v>1</v>
      </c>
      <c r="F170" s="265">
        <v>51</v>
      </c>
      <c r="G170" s="119">
        <v>20299835260</v>
      </c>
      <c r="H170" s="53" t="str">
        <f>IFERROR(IF(factura_c_mes4[[#This Row],[CUIT]]="","-",VLOOKUP(factura_c_mes4[[#This Row],[CUIT]],Lista_CUIT[#All],2,0)),"CUIT NO CARGADO")</f>
        <v>MALGAREJO NICOLAS EMILIO</v>
      </c>
      <c r="I170" s="266">
        <v>58000</v>
      </c>
      <c r="J170" s="54" t="str">
        <f>IFERROR(IF(factura_c_mes4[[#This Row],[CUIT]]="","-",VLOOKUP(factura_c_mes4[[#This Row],[CUIT]],Lista_CUIT[#All],3,0)),"CUIT NO CARGADO")</f>
        <v>Productos Ortopedicos</v>
      </c>
      <c r="K170" s="54">
        <f>IFERROR(IF(factura_c_mes4[[#This Row],[CUIT]]="","-",VLOOKUP(factura_c_mes4[[#This Row],[CUIT]],Lista_CUIT[#All],4,0)),"CUIT NO CARGADO")</f>
        <v>0</v>
      </c>
    </row>
    <row r="171" spans="4:11" x14ac:dyDescent="0.25">
      <c r="D171" s="50">
        <v>45043</v>
      </c>
      <c r="E171" s="265">
        <v>1</v>
      </c>
      <c r="F171" s="265">
        <v>50</v>
      </c>
      <c r="G171" s="119">
        <v>20299835260</v>
      </c>
      <c r="H171" s="53" t="str">
        <f>IFERROR(IF(factura_c_mes4[[#This Row],[CUIT]]="","-",VLOOKUP(factura_c_mes4[[#This Row],[CUIT]],Lista_CUIT[#All],2,0)),"CUIT NO CARGADO")</f>
        <v>MALGAREJO NICOLAS EMILIO</v>
      </c>
      <c r="I171" s="266">
        <v>74000</v>
      </c>
      <c r="J171" s="54" t="str">
        <f>IFERROR(IF(factura_c_mes4[[#This Row],[CUIT]]="","-",VLOOKUP(factura_c_mes4[[#This Row],[CUIT]],Lista_CUIT[#All],3,0)),"CUIT NO CARGADO")</f>
        <v>Productos Ortopedicos</v>
      </c>
      <c r="K171" s="54">
        <f>IFERROR(IF(factura_c_mes4[[#This Row],[CUIT]]="","-",VLOOKUP(factura_c_mes4[[#This Row],[CUIT]],Lista_CUIT[#All],4,0)),"CUIT NO CARGADO")</f>
        <v>0</v>
      </c>
    </row>
    <row r="172" spans="4:11" x14ac:dyDescent="0.25">
      <c r="D172" s="360">
        <v>45043</v>
      </c>
      <c r="E172" s="361">
        <v>1</v>
      </c>
      <c r="F172" s="361">
        <v>79</v>
      </c>
      <c r="G172" s="365">
        <v>27385671526</v>
      </c>
      <c r="H172" s="362" t="str">
        <f>IFERROR(IF(factura_c_mes4[[#This Row],[CUIT]]="","-",VLOOKUP(factura_c_mes4[[#This Row],[CUIT]],Lista_CUIT[#All],2,0)),"CUIT NO CARGADO")</f>
        <v>MACHADO ELIANA NOEMI</v>
      </c>
      <c r="I172" s="366">
        <v>129310</v>
      </c>
      <c r="J172" s="364" t="str">
        <f>IFERROR(IF(factura_c_mes4[[#This Row],[CUIT]]="","-",VLOOKUP(factura_c_mes4[[#This Row],[CUIT]],Lista_CUIT[#All],3,0)),"CUIT NO CARGADO")</f>
        <v>MEDIDAS</v>
      </c>
      <c r="K172" s="364">
        <f>IFERROR(IF(factura_c_mes4[[#This Row],[CUIT]]="","-",VLOOKUP(factura_c_mes4[[#This Row],[CUIT]],Lista_CUIT[#All],4,0)),"CUIT NO CARGADO")</f>
        <v>0</v>
      </c>
    </row>
    <row r="173" spans="4:11" x14ac:dyDescent="0.25">
      <c r="D173" s="50">
        <v>45043</v>
      </c>
      <c r="E173" s="265">
        <v>2</v>
      </c>
      <c r="F173" s="265">
        <v>455</v>
      </c>
      <c r="G173" s="119">
        <v>27299725761</v>
      </c>
      <c r="H173" s="53" t="str">
        <f>IFERROR(IF(factura_c_mes4[[#This Row],[CUIT]]="","-",VLOOKUP(factura_c_mes4[[#This Row],[CUIT]],Lista_CUIT[#All],2,0)),"CUIT NO CARGADO")</f>
        <v>TURSARKISIAN MISISIAN VERONICA GEMA</v>
      </c>
      <c r="I173" s="266">
        <v>10000</v>
      </c>
      <c r="J173" s="54" t="str">
        <f>IFERROR(IF(factura_c_mes4[[#This Row],[CUIT]]="","-",VLOOKUP(factura_c_mes4[[#This Row],[CUIT]],Lista_CUIT[#All],3,0)),"CUIT NO CARGADO")</f>
        <v>Productos Ortopedicos</v>
      </c>
      <c r="K173" s="54">
        <f>IFERROR(IF(factura_c_mes4[[#This Row],[CUIT]]="","-",VLOOKUP(factura_c_mes4[[#This Row],[CUIT]],Lista_CUIT[#All],4,0)),"CUIT NO CARGADO")</f>
        <v>0</v>
      </c>
    </row>
    <row r="174" spans="4:11" x14ac:dyDescent="0.25">
      <c r="D174" s="360">
        <v>45043</v>
      </c>
      <c r="E174" s="361">
        <v>1</v>
      </c>
      <c r="F174" s="361">
        <v>78</v>
      </c>
      <c r="G174" s="365">
        <v>27385671526</v>
      </c>
      <c r="H174" s="362" t="str">
        <f>IFERROR(IF(factura_c_mes4[[#This Row],[CUIT]]="","-",VLOOKUP(factura_c_mes4[[#This Row],[CUIT]],Lista_CUIT[#All],2,0)),"CUIT NO CARGADO")</f>
        <v>MACHADO ELIANA NOEMI</v>
      </c>
      <c r="I174" s="366">
        <v>168690</v>
      </c>
      <c r="J174" s="364" t="str">
        <f>IFERROR(IF(factura_c_mes4[[#This Row],[CUIT]]="","-",VLOOKUP(factura_c_mes4[[#This Row],[CUIT]],Lista_CUIT[#All],3,0)),"CUIT NO CARGADO")</f>
        <v>MEDIDAS</v>
      </c>
      <c r="K174" s="364">
        <f>IFERROR(IF(factura_c_mes4[[#This Row],[CUIT]]="","-",VLOOKUP(factura_c_mes4[[#This Row],[CUIT]],Lista_CUIT[#All],4,0)),"CUIT NO CARGADO")</f>
        <v>0</v>
      </c>
    </row>
    <row r="175" spans="4:11" x14ac:dyDescent="0.25">
      <c r="D175" s="50">
        <v>45043</v>
      </c>
      <c r="E175" s="265">
        <v>3</v>
      </c>
      <c r="F175" s="265">
        <v>666</v>
      </c>
      <c r="G175" s="119">
        <v>20216451679</v>
      </c>
      <c r="H175" s="53" t="str">
        <f>IFERROR(IF(factura_c_mes4[[#This Row],[CUIT]]="","-",VLOOKUP(factura_c_mes4[[#This Row],[CUIT]],Lista_CUIT[#All],2,0)),"CUIT NO CARGADO")</f>
        <v>VAZQUEZ RICARDO OSCAR</v>
      </c>
      <c r="I175" s="266">
        <v>20000</v>
      </c>
      <c r="J175" s="54" t="str">
        <f>IFERROR(IF(factura_c_mes4[[#This Row],[CUIT]]="","-",VLOOKUP(factura_c_mes4[[#This Row],[CUIT]],Lista_CUIT[#All],3,0)),"CUIT NO CARGADO")</f>
        <v>Productos Ortopedicos</v>
      </c>
      <c r="K175" s="54">
        <f>IFERROR(IF(factura_c_mes4[[#This Row],[CUIT]]="","-",VLOOKUP(factura_c_mes4[[#This Row],[CUIT]],Lista_CUIT[#All],4,0)),"CUIT NO CARGADO")</f>
        <v>0</v>
      </c>
    </row>
    <row r="176" spans="4:11" x14ac:dyDescent="0.25">
      <c r="D176" s="50">
        <v>45043</v>
      </c>
      <c r="E176" s="265">
        <v>2</v>
      </c>
      <c r="F176" s="265">
        <v>457</v>
      </c>
      <c r="G176" s="119">
        <v>27299725761</v>
      </c>
      <c r="H176" s="53" t="str">
        <f>IFERROR(IF(factura_c_mes4[[#This Row],[CUIT]]="","-",VLOOKUP(factura_c_mes4[[#This Row],[CUIT]],Lista_CUIT[#All],2,0)),"CUIT NO CARGADO")</f>
        <v>TURSARKISIAN MISISIAN VERONICA GEMA</v>
      </c>
      <c r="I176" s="266">
        <v>25000</v>
      </c>
      <c r="J176" s="54" t="str">
        <f>IFERROR(IF(factura_c_mes4[[#This Row],[CUIT]]="","-",VLOOKUP(factura_c_mes4[[#This Row],[CUIT]],Lista_CUIT[#All],3,0)),"CUIT NO CARGADO")</f>
        <v>Productos Ortopedicos</v>
      </c>
      <c r="K176" s="54">
        <f>IFERROR(IF(factura_c_mes4[[#This Row],[CUIT]]="","-",VLOOKUP(factura_c_mes4[[#This Row],[CUIT]],Lista_CUIT[#All],4,0)),"CUIT NO CARGADO")</f>
        <v>0</v>
      </c>
    </row>
    <row r="177" spans="2:18" x14ac:dyDescent="0.25">
      <c r="D177" s="50">
        <v>45043</v>
      </c>
      <c r="E177" s="265">
        <v>2</v>
      </c>
      <c r="F177" s="265">
        <v>456</v>
      </c>
      <c r="G177" s="119">
        <v>27299725761</v>
      </c>
      <c r="H177" s="53" t="str">
        <f>IFERROR(IF(factura_c_mes4[[#This Row],[CUIT]]="","-",VLOOKUP(factura_c_mes4[[#This Row],[CUIT]],Lista_CUIT[#All],2,0)),"CUIT NO CARGADO")</f>
        <v>TURSARKISIAN MISISIAN VERONICA GEMA</v>
      </c>
      <c r="I177" s="266">
        <v>48000</v>
      </c>
      <c r="J177" s="54" t="str">
        <f>IFERROR(IF(factura_c_mes4[[#This Row],[CUIT]]="","-",VLOOKUP(factura_c_mes4[[#This Row],[CUIT]],Lista_CUIT[#All],3,0)),"CUIT NO CARGADO")</f>
        <v>Productos Ortopedicos</v>
      </c>
      <c r="K177" s="54">
        <f>IFERROR(IF(factura_c_mes4[[#This Row],[CUIT]]="","-",VLOOKUP(factura_c_mes4[[#This Row],[CUIT]],Lista_CUIT[#All],4,0)),"CUIT NO CARGADO")</f>
        <v>0</v>
      </c>
    </row>
    <row r="178" spans="2:18" x14ac:dyDescent="0.25">
      <c r="D178" s="360">
        <v>45021</v>
      </c>
      <c r="E178" s="361">
        <v>1</v>
      </c>
      <c r="F178" s="361">
        <v>2</v>
      </c>
      <c r="G178" s="365">
        <v>20403969886</v>
      </c>
      <c r="H178" s="362" t="str">
        <f>IFERROR(IF(factura_c_mes4[[#This Row],[CUIT]]="","-",VLOOKUP(factura_c_mes4[[#This Row],[CUIT]],Lista_CUIT[#All],2,0)),"CUIT NO CARGADO")</f>
        <v>DEL GESSO FRANCO JESUS</v>
      </c>
      <c r="I178" s="366">
        <v>-118390</v>
      </c>
      <c r="J178" s="364" t="str">
        <f>IFERROR(IF(factura_c_mes4[[#This Row],[CUIT]]="","-",VLOOKUP(factura_c_mes4[[#This Row],[CUIT]],Lista_CUIT[#All],3,0)),"CUIT NO CARGADO")</f>
        <v>GASTOS ADMINISTRATIVOS</v>
      </c>
      <c r="K178" s="364">
        <f>IFERROR(IF(factura_c_mes4[[#This Row],[CUIT]]="","-",VLOOKUP(factura_c_mes4[[#This Row],[CUIT]],Lista_CUIT[#All],4,0)),"CUIT NO CARGADO")</f>
        <v>0</v>
      </c>
    </row>
    <row r="179" spans="2:18" x14ac:dyDescent="0.25">
      <c r="D179" s="50">
        <v>44987</v>
      </c>
      <c r="E179" s="265">
        <v>2</v>
      </c>
      <c r="F179" s="265">
        <v>484</v>
      </c>
      <c r="G179" s="119">
        <v>23936845509</v>
      </c>
      <c r="H179" s="53" t="str">
        <f>IFERROR(IF(factura_c_mes4[[#This Row],[CUIT]]="","-",VLOOKUP(factura_c_mes4[[#This Row],[CUIT]],Lista_CUIT[#All],2,0)),"CUIT NO CARGADO")</f>
        <v>ALVAREZ CONTRERAS REYNALDO</v>
      </c>
      <c r="I179" s="266">
        <v>2200</v>
      </c>
      <c r="J179" s="54" t="str">
        <f>IFERROR(IF(factura_c_mes4[[#This Row],[CUIT]]="","-",VLOOKUP(factura_c_mes4[[#This Row],[CUIT]],Lista_CUIT[#All],3,0)),"CUIT NO CARGADO")</f>
        <v>FLETE</v>
      </c>
      <c r="K179" s="54">
        <f>IFERROR(IF(factura_c_mes4[[#This Row],[CUIT]]="","-",VLOOKUP(factura_c_mes4[[#This Row],[CUIT]],Lista_CUIT[#All],4,0)),"CUIT NO CARGADO")</f>
        <v>0</v>
      </c>
    </row>
    <row r="180" spans="2:18" x14ac:dyDescent="0.25">
      <c r="D180" s="50"/>
      <c r="E180" s="42"/>
      <c r="F180" s="43"/>
      <c r="G180" s="44"/>
      <c r="H180" s="53" t="str">
        <f>IFERROR(IF(factura_c_mes4[[#This Row],[CUIT]]="","-",VLOOKUP(factura_c_mes4[[#This Row],[CUIT]],Lista_CUIT[#All],2,0)),"CUIT NO CARGADO")</f>
        <v>-</v>
      </c>
      <c r="I180" s="81"/>
      <c r="J180" s="54" t="str">
        <f>IFERROR(IF(factura_c_mes4[[#This Row],[CUIT]]="","-",VLOOKUP(factura_c_mes4[[#This Row],[CUIT]],Lista_CUIT[#All],3,0)),"CUIT NO CARGADO")</f>
        <v>-</v>
      </c>
      <c r="K180" s="54" t="str">
        <f>IFERROR(IF(factura_c_mes4[[#This Row],[CUIT]]="","-",VLOOKUP(factura_c_mes4[[#This Row],[CUIT]],Lista_CUIT[#All],4,0)),"CUIT NO CARGADO")</f>
        <v>-</v>
      </c>
    </row>
    <row r="181" spans="2:18" x14ac:dyDescent="0.25">
      <c r="D181" s="55" t="s">
        <v>110</v>
      </c>
      <c r="E181" s="55"/>
      <c r="F181" s="55"/>
      <c r="G181" s="55"/>
      <c r="H181" s="57"/>
      <c r="I181" s="58">
        <f>SUBTOTAL(109,factura_c_mes4[TOTAL])</f>
        <v>2573171</v>
      </c>
      <c r="J181" s="55"/>
      <c r="K181" s="55"/>
    </row>
    <row r="182" spans="2:18" x14ac:dyDescent="0.25">
      <c r="B182" s="56"/>
      <c r="C182" s="56"/>
      <c r="L182" s="56"/>
      <c r="M182" s="56"/>
      <c r="N182" s="56"/>
      <c r="O182" s="56"/>
      <c r="P182" s="56"/>
      <c r="Q182" s="56"/>
      <c r="R182" s="56"/>
    </row>
    <row r="187" spans="2:18" ht="26.25" x14ac:dyDescent="0.25">
      <c r="B187" s="532" t="s">
        <v>29</v>
      </c>
      <c r="C187" s="532"/>
      <c r="D187" s="532"/>
      <c r="E187" s="532"/>
      <c r="F187" s="532"/>
      <c r="G187" s="532"/>
      <c r="H187" s="532"/>
      <c r="I187" s="532"/>
      <c r="J187" s="532"/>
      <c r="K187" s="528">
        <f>N1</f>
        <v>45017</v>
      </c>
      <c r="L187" s="528"/>
      <c r="M187" s="528"/>
    </row>
    <row r="189" spans="2:18" ht="21" x14ac:dyDescent="0.25">
      <c r="B189" s="525" t="s">
        <v>30</v>
      </c>
      <c r="C189" s="525"/>
    </row>
    <row r="190" spans="2:18" ht="15.75" x14ac:dyDescent="0.25">
      <c r="B190" s="60" t="s">
        <v>0</v>
      </c>
      <c r="C190" s="61" t="s">
        <v>1</v>
      </c>
      <c r="D190" s="61" t="s">
        <v>21</v>
      </c>
      <c r="E190" s="61" t="s">
        <v>22</v>
      </c>
      <c r="F190" s="61" t="s">
        <v>3</v>
      </c>
      <c r="G190" s="61" t="s">
        <v>4</v>
      </c>
      <c r="H190" s="61" t="s">
        <v>23</v>
      </c>
      <c r="I190" s="61" t="s">
        <v>17</v>
      </c>
      <c r="J190" s="61" t="s">
        <v>7</v>
      </c>
      <c r="K190" s="61" t="s">
        <v>24</v>
      </c>
      <c r="L190" s="61" t="s">
        <v>10</v>
      </c>
      <c r="M190" s="62" t="s">
        <v>38</v>
      </c>
    </row>
    <row r="191" spans="2:18" x14ac:dyDescent="0.25">
      <c r="B191" s="40">
        <v>45019</v>
      </c>
      <c r="C191" s="41">
        <v>1</v>
      </c>
      <c r="D191" s="42">
        <v>7</v>
      </c>
      <c r="E191" s="43">
        <v>1402</v>
      </c>
      <c r="F191" s="44">
        <v>30608716390</v>
      </c>
      <c r="G191" s="99" t="str">
        <f>IFERROR(IF(venta_a_mes4[[#This Row],[CUIT]]="","-",VLOOKUP(venta_a_mes4[[#This Row],[CUIT]],Lista_CUIT[#All],2,0)),"CUIT NO CARGADO")</f>
        <v>OBRA SOCIAL DEL PERSONAL DE LAS TELECOMUNICACIONES DE LA REP. ARGENTINA</v>
      </c>
      <c r="H191" s="100">
        <v>1487.6</v>
      </c>
      <c r="I191" s="101">
        <f>venta_a_mes4[[#This Row],[IMPORTE NETO]]*0.21</f>
        <v>312.39599999999996</v>
      </c>
      <c r="J191" s="65"/>
      <c r="K191" s="65"/>
      <c r="L191" s="65">
        <f>SUM(venta_a_mes4[[#This Row],[IMPORTE NETO]:[EXENTO]])</f>
        <v>1799.9959999999999</v>
      </c>
      <c r="M191" s="59"/>
    </row>
    <row r="192" spans="2:18" x14ac:dyDescent="0.25">
      <c r="B192" s="40">
        <v>45019</v>
      </c>
      <c r="C192" s="41">
        <v>1</v>
      </c>
      <c r="D192" s="42">
        <v>7</v>
      </c>
      <c r="E192" s="43">
        <v>1400</v>
      </c>
      <c r="F192" s="44">
        <v>30707612971</v>
      </c>
      <c r="G192" s="99" t="str">
        <f>IFERROR(IF(venta_a_mes4[[#This Row],[CUIT]]="","-",VLOOKUP(venta_a_mes4[[#This Row],[CUIT]],Lista_CUIT[#All],2,0)),"CUIT NO CARGADO")</f>
        <v>CENTRO MEDICO AMENABAR SRL</v>
      </c>
      <c r="H192" s="100">
        <v>8796.31</v>
      </c>
      <c r="I192" s="101">
        <f>venta_a_mes4[[#This Row],[IMPORTE NETO]]*0.21</f>
        <v>1847.2250999999999</v>
      </c>
      <c r="J192" s="65"/>
      <c r="K192" s="65"/>
      <c r="L192" s="65">
        <f>SUM(venta_a_mes4[[#This Row],[IMPORTE NETO]:[EXENTO]])</f>
        <v>10643.535099999999</v>
      </c>
      <c r="M192" s="59"/>
    </row>
    <row r="193" spans="2:13" x14ac:dyDescent="0.25">
      <c r="B193" s="40">
        <v>45019</v>
      </c>
      <c r="C193" s="41">
        <v>1</v>
      </c>
      <c r="D193" s="42">
        <v>7</v>
      </c>
      <c r="E193" s="43">
        <v>1401</v>
      </c>
      <c r="F193" s="44">
        <v>30707118454</v>
      </c>
      <c r="G193" s="99" t="str">
        <f>IFERROR(IF(venta_a_mes4[[#This Row],[CUIT]]="","-",VLOOKUP(venta_a_mes4[[#This Row],[CUIT]],Lista_CUIT[#All],2,0)),"CUIT NO CARGADO")</f>
        <v>Ensalud S.A</v>
      </c>
      <c r="H193" s="100">
        <v>4003.3</v>
      </c>
      <c r="I193" s="101">
        <f>venta_a_mes4[[#This Row],[IMPORTE NETO]]*0.21</f>
        <v>840.69299999999998</v>
      </c>
      <c r="J193" s="65"/>
      <c r="K193" s="65"/>
      <c r="L193" s="65">
        <f>SUM(venta_a_mes4[[#This Row],[IMPORTE NETO]:[EXENTO]])</f>
        <v>4843.9930000000004</v>
      </c>
      <c r="M193" s="59"/>
    </row>
    <row r="194" spans="2:13" x14ac:dyDescent="0.25">
      <c r="B194" s="40">
        <v>45019</v>
      </c>
      <c r="C194" s="41">
        <v>1</v>
      </c>
      <c r="D194" s="42">
        <v>7</v>
      </c>
      <c r="E194" s="43">
        <v>1399</v>
      </c>
      <c r="F194" s="44">
        <v>30715186655</v>
      </c>
      <c r="G194" s="99" t="str">
        <f>IFERROR(IF(venta_a_mes4[[#This Row],[CUIT]]="","-",VLOOKUP(venta_a_mes4[[#This Row],[CUIT]],Lista_CUIT[#All],2,0)),"CUIT NO CARGADO")</f>
        <v>Amparo Salud S.R.L.</v>
      </c>
      <c r="H194" s="100">
        <v>3512.4</v>
      </c>
      <c r="I194" s="101">
        <f>venta_a_mes4[[#This Row],[IMPORTE NETO]]*0.21</f>
        <v>737.60400000000004</v>
      </c>
      <c r="J194" s="65"/>
      <c r="K194" s="65"/>
      <c r="L194" s="65">
        <f>SUM(venta_a_mes4[[#This Row],[IMPORTE NETO]:[EXENTO]])</f>
        <v>4250.0039999999999</v>
      </c>
      <c r="M194" s="59"/>
    </row>
    <row r="195" spans="2:13" x14ac:dyDescent="0.25">
      <c r="B195" s="40">
        <v>45019</v>
      </c>
      <c r="C195" s="41">
        <v>1</v>
      </c>
      <c r="D195" s="42">
        <v>7</v>
      </c>
      <c r="E195" s="43">
        <v>1398</v>
      </c>
      <c r="F195" s="44">
        <v>30715186655</v>
      </c>
      <c r="G195" s="99" t="str">
        <f>IFERROR(IF(venta_a_mes4[[#This Row],[CUIT]]="","-",VLOOKUP(venta_a_mes4[[#This Row],[CUIT]],Lista_CUIT[#All],2,0)),"CUIT NO CARGADO")</f>
        <v>Amparo Salud S.R.L.</v>
      </c>
      <c r="H195" s="100">
        <v>58674.1</v>
      </c>
      <c r="I195" s="101">
        <f>venta_a_mes4[[#This Row],[IMPORTE NETO]]*0.21</f>
        <v>12321.561</v>
      </c>
      <c r="J195" s="65"/>
      <c r="K195" s="65"/>
      <c r="L195" s="65">
        <f>SUM(venta_a_mes4[[#This Row],[IMPORTE NETO]:[EXENTO]])</f>
        <v>70995.660999999993</v>
      </c>
      <c r="M195" s="59"/>
    </row>
    <row r="196" spans="2:13" x14ac:dyDescent="0.25">
      <c r="B196" s="40">
        <v>45019</v>
      </c>
      <c r="C196" s="41">
        <v>1</v>
      </c>
      <c r="D196" s="42">
        <v>7</v>
      </c>
      <c r="E196" s="43">
        <v>1403</v>
      </c>
      <c r="F196" s="44">
        <v>30608716390</v>
      </c>
      <c r="G196" s="99" t="str">
        <f>IFERROR(IF(venta_a_mes4[[#This Row],[CUIT]]="","-",VLOOKUP(venta_a_mes4[[#This Row],[CUIT]],Lista_CUIT[#All],2,0)),"CUIT NO CARGADO")</f>
        <v>OBRA SOCIAL DEL PERSONAL DE LAS TELECOMUNICACIONES DE LA REP. ARGENTINA</v>
      </c>
      <c r="H196" s="100">
        <v>6033.06</v>
      </c>
      <c r="I196" s="101">
        <f>venta_a_mes4[[#This Row],[IMPORTE NETO]]*0.21</f>
        <v>1266.9426000000001</v>
      </c>
      <c r="J196" s="65"/>
      <c r="K196" s="65"/>
      <c r="L196" s="65">
        <f>SUM(venta_a_mes4[[#This Row],[IMPORTE NETO]:[EXENTO]])</f>
        <v>7300.0026000000007</v>
      </c>
      <c r="M196" s="59"/>
    </row>
    <row r="197" spans="2:13" x14ac:dyDescent="0.25">
      <c r="B197" s="40">
        <v>45020</v>
      </c>
      <c r="C197" s="41">
        <v>1</v>
      </c>
      <c r="D197" s="42">
        <v>7</v>
      </c>
      <c r="E197" s="43">
        <v>1404</v>
      </c>
      <c r="F197" s="44">
        <v>30522428163</v>
      </c>
      <c r="G197" s="99" t="str">
        <f>IFERROR(IF(venta_a_mes4[[#This Row],[CUIT]]="","-",VLOOKUP(venta_a_mes4[[#This Row],[CUIT]],Lista_CUIT[#All],2,0)),"CUIT NO CARGADO")</f>
        <v>GALENO ARGENTINA SA</v>
      </c>
      <c r="H197" s="100">
        <v>3681.09</v>
      </c>
      <c r="I197" s="101">
        <f>venta_a_mes4[[#This Row],[IMPORTE NETO]]*0.21</f>
        <v>773.02890000000002</v>
      </c>
      <c r="J197" s="65"/>
      <c r="K197" s="65"/>
      <c r="L197" s="65">
        <f>SUM(venta_a_mes4[[#This Row],[IMPORTE NETO]:[EXENTO]])</f>
        <v>4454.1189000000004</v>
      </c>
      <c r="M197" s="63"/>
    </row>
    <row r="198" spans="2:13" x14ac:dyDescent="0.25">
      <c r="B198" s="102">
        <v>45021</v>
      </c>
      <c r="C198" s="41">
        <v>1</v>
      </c>
      <c r="D198" s="104">
        <v>7</v>
      </c>
      <c r="E198" s="105">
        <v>1407</v>
      </c>
      <c r="F198" s="106">
        <v>30546771314</v>
      </c>
      <c r="G198" s="99" t="str">
        <f>IFERROR(IF(venta_a_mes4[[#This Row],[CUIT]]="","-",VLOOKUP(venta_a_mes4[[#This Row],[CUIT]],Lista_CUIT[#All],2,0)),"CUIT NO CARGADO")</f>
        <v>MEDICUS S.A DE ASIST. MEDICA</v>
      </c>
      <c r="H198" s="107">
        <v>9813.2199999999993</v>
      </c>
      <c r="I198" s="108">
        <f>venta_a_mes4[[#This Row],[IMPORTE NETO]]*0.21</f>
        <v>2060.7761999999998</v>
      </c>
      <c r="J198" s="72"/>
      <c r="K198" s="72"/>
      <c r="L198" s="72">
        <f>SUM(venta_a_mes4[[#This Row],[IMPORTE NETO]:[EXENTO]])</f>
        <v>11873.9962</v>
      </c>
      <c r="M198" s="63"/>
    </row>
    <row r="199" spans="2:13" x14ac:dyDescent="0.25">
      <c r="B199" s="109">
        <v>45021</v>
      </c>
      <c r="C199" s="41">
        <v>1</v>
      </c>
      <c r="D199" s="111">
        <v>7</v>
      </c>
      <c r="E199" s="112">
        <v>1406</v>
      </c>
      <c r="F199" s="113">
        <v>30710538014</v>
      </c>
      <c r="G199" s="99" t="str">
        <f>IFERROR(IF(venta_a_mes4[[#This Row],[CUIT]]="","-",VLOOKUP(venta_a_mes4[[#This Row],[CUIT]],Lista_CUIT[#All],2,0)),"CUIT NO CARGADO")</f>
        <v>Hc Homecare Internacion Domiciliaria S.A.</v>
      </c>
      <c r="H199" s="100">
        <v>23828.93</v>
      </c>
      <c r="I199" s="101">
        <f>venta_a_mes4[[#This Row],[IMPORTE NETO]]*0.21</f>
        <v>5004.0752999999995</v>
      </c>
      <c r="J199" s="65"/>
      <c r="K199" s="65"/>
      <c r="L199" s="65">
        <f>SUM(venta_a_mes4[[#This Row],[IMPORTE NETO]:[EXENTO]])</f>
        <v>28833.005300000001</v>
      </c>
      <c r="M199" s="59"/>
    </row>
    <row r="200" spans="2:13" x14ac:dyDescent="0.25">
      <c r="B200" s="311">
        <v>45021</v>
      </c>
      <c r="C200" s="41">
        <v>1</v>
      </c>
      <c r="D200" s="312">
        <v>7</v>
      </c>
      <c r="E200" s="313">
        <v>1405</v>
      </c>
      <c r="F200" s="314">
        <v>30522428163</v>
      </c>
      <c r="G200" s="315" t="str">
        <f>IFERROR(IF(venta_a_mes4[[#This Row],[CUIT]]="","-",VLOOKUP(venta_a_mes4[[#This Row],[CUIT]],Lista_CUIT[#All],2,0)),"CUIT NO CARGADO")</f>
        <v>GALENO ARGENTINA SA</v>
      </c>
      <c r="H200" s="316">
        <v>177503.17</v>
      </c>
      <c r="I200" s="317">
        <f>venta_a_mes4[[#This Row],[IMPORTE NETO]]*0.21</f>
        <v>37275.665699999998</v>
      </c>
      <c r="J200" s="318"/>
      <c r="K200" s="318"/>
      <c r="L200" s="318">
        <f>SUM(venta_a_mes4[[#This Row],[IMPORTE NETO]:[EXENTO]])</f>
        <v>214778.8357</v>
      </c>
      <c r="M200" s="319"/>
    </row>
    <row r="201" spans="2:13" x14ac:dyDescent="0.25">
      <c r="B201" s="311">
        <v>45021</v>
      </c>
      <c r="C201" s="41">
        <v>1</v>
      </c>
      <c r="D201" s="312">
        <v>7</v>
      </c>
      <c r="E201" s="313">
        <v>1408</v>
      </c>
      <c r="F201" s="314">
        <v>30713669004</v>
      </c>
      <c r="G201" s="315" t="str">
        <f>IFERROR(IF(venta_a_mes4[[#This Row],[CUIT]]="","-",VLOOKUP(venta_a_mes4[[#This Row],[CUIT]],Lista_CUIT[#All],2,0)),"CUIT NO CARGADO")</f>
        <v>Medincare Argentina S.A.</v>
      </c>
      <c r="H201" s="316">
        <v>13541.32</v>
      </c>
      <c r="I201" s="317">
        <f>venta_a_mes4[[#This Row],[IMPORTE NETO]]*0.21</f>
        <v>2843.6771999999996</v>
      </c>
      <c r="J201" s="318"/>
      <c r="K201" s="318"/>
      <c r="L201" s="318">
        <f>SUM(venta_a_mes4[[#This Row],[IMPORTE NETO]:[EXENTO]])</f>
        <v>16384.997199999998</v>
      </c>
      <c r="M201" s="319"/>
    </row>
    <row r="202" spans="2:13" x14ac:dyDescent="0.25">
      <c r="B202" s="301">
        <v>45026</v>
      </c>
      <c r="C202" s="41">
        <v>1</v>
      </c>
      <c r="D202" s="303">
        <v>7</v>
      </c>
      <c r="E202" s="304">
        <v>1411</v>
      </c>
      <c r="F202" s="305">
        <v>30546771314</v>
      </c>
      <c r="G202" s="306" t="str">
        <f>IFERROR(IF(venta_a_mes4[[#This Row],[CUIT]]="","-",VLOOKUP(venta_a_mes4[[#This Row],[CUIT]],Lista_CUIT[#All],2,0)),"CUIT NO CARGADO")</f>
        <v>MEDICUS S.A DE ASIST. MEDICA</v>
      </c>
      <c r="H202" s="307">
        <v>10247.92</v>
      </c>
      <c r="I202" s="308">
        <f>venta_a_mes4[[#This Row],[IMPORTE NETO]]*0.21</f>
        <v>2152.0632000000001</v>
      </c>
      <c r="J202" s="309"/>
      <c r="K202" s="309"/>
      <c r="L202" s="309">
        <f>SUM(venta_a_mes4[[#This Row],[IMPORTE NETO]:[EXENTO]])</f>
        <v>12399.983200000001</v>
      </c>
      <c r="M202" s="310"/>
    </row>
    <row r="203" spans="2:13" x14ac:dyDescent="0.25">
      <c r="B203" s="301">
        <v>45026</v>
      </c>
      <c r="C203" s="41">
        <v>1</v>
      </c>
      <c r="D203" s="303">
        <v>7</v>
      </c>
      <c r="E203" s="304">
        <v>1412</v>
      </c>
      <c r="F203" s="305">
        <v>30608716390</v>
      </c>
      <c r="G203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03" s="307">
        <v>1280.99</v>
      </c>
      <c r="I203" s="308">
        <f>venta_a_mes4[[#This Row],[IMPORTE NETO]]*0.21</f>
        <v>269.00790000000001</v>
      </c>
      <c r="J203" s="309"/>
      <c r="K203" s="309"/>
      <c r="L203" s="309">
        <f>SUM(venta_a_mes4[[#This Row],[IMPORTE NETO]:[EXENTO]])</f>
        <v>1549.9979000000001</v>
      </c>
      <c r="M203" s="310"/>
    </row>
    <row r="204" spans="2:13" x14ac:dyDescent="0.25">
      <c r="B204" s="301">
        <v>45026</v>
      </c>
      <c r="C204" s="41">
        <v>1</v>
      </c>
      <c r="D204" s="303">
        <v>7</v>
      </c>
      <c r="E204" s="304">
        <v>1410</v>
      </c>
      <c r="F204" s="305">
        <v>30683032227</v>
      </c>
      <c r="G204" s="306" t="str">
        <f>IFERROR(IF(venta_a_mes4[[#This Row],[CUIT]]="","-",VLOOKUP(venta_a_mes4[[#This Row],[CUIT]],Lista_CUIT[#All],2,0)),"CUIT NO CARGADO")</f>
        <v>OBRA SOCIAL UNION PERSONAL DE LA UNION DEL PERSONAL CIVIL D</v>
      </c>
      <c r="H204" s="307">
        <v>21671.65</v>
      </c>
      <c r="I204" s="308">
        <f>venta_a_mes4[[#This Row],[IMPORTE NETO]]*0.21</f>
        <v>4551.0465000000004</v>
      </c>
      <c r="J204" s="309"/>
      <c r="K204" s="309"/>
      <c r="L204" s="309">
        <f>SUM(venta_a_mes4[[#This Row],[IMPORTE NETO]:[EXENTO]])</f>
        <v>26222.696500000002</v>
      </c>
      <c r="M204" s="310"/>
    </row>
    <row r="205" spans="2:13" x14ac:dyDescent="0.25">
      <c r="B205" s="301">
        <v>45026</v>
      </c>
      <c r="C205" s="41">
        <v>1</v>
      </c>
      <c r="D205" s="303">
        <v>7</v>
      </c>
      <c r="E205" s="304">
        <v>1409</v>
      </c>
      <c r="F205" s="305">
        <v>30683032227</v>
      </c>
      <c r="G205" s="306" t="str">
        <f>IFERROR(IF(venta_a_mes4[[#This Row],[CUIT]]="","-",VLOOKUP(venta_a_mes4[[#This Row],[CUIT]],Lista_CUIT[#All],2,0)),"CUIT NO CARGADO")</f>
        <v>OBRA SOCIAL UNION PERSONAL DE LA UNION DEL PERSONAL CIVIL D</v>
      </c>
      <c r="H205" s="307">
        <v>245305.54</v>
      </c>
      <c r="I205" s="308">
        <f>venta_a_mes4[[#This Row],[IMPORTE NETO]]*0.21</f>
        <v>51514.163399999998</v>
      </c>
      <c r="J205" s="309"/>
      <c r="K205" s="309"/>
      <c r="L205" s="309">
        <f>SUM(venta_a_mes4[[#This Row],[IMPORTE NETO]:[EXENTO]])</f>
        <v>296819.7034</v>
      </c>
      <c r="M205" s="310"/>
    </row>
    <row r="206" spans="2:13" x14ac:dyDescent="0.25">
      <c r="B206" s="301">
        <v>45028</v>
      </c>
      <c r="C206" s="41">
        <v>1</v>
      </c>
      <c r="D206" s="303">
        <v>7</v>
      </c>
      <c r="E206" s="304">
        <v>1418</v>
      </c>
      <c r="F206" s="305">
        <v>30710961790</v>
      </c>
      <c r="G206" s="306" t="str">
        <f>IFERROR(IF(venta_a_mes4[[#This Row],[CUIT]]="","-",VLOOKUP(venta_a_mes4[[#This Row],[CUIT]],Lista_CUIT[#All],2,0)),"CUIT NO CARGADO")</f>
        <v>ZC DIABETES SRL</v>
      </c>
      <c r="H206" s="307">
        <v>45380.99</v>
      </c>
      <c r="I206" s="308">
        <f>venta_a_mes4[[#This Row],[IMPORTE NETO]]*0.21</f>
        <v>9530.0078999999987</v>
      </c>
      <c r="J206" s="309"/>
      <c r="K206" s="309"/>
      <c r="L206" s="309">
        <f>SUM(venta_a_mes4[[#This Row],[IMPORTE NETO]:[EXENTO]])</f>
        <v>54910.997899999995</v>
      </c>
      <c r="M206" s="310"/>
    </row>
    <row r="207" spans="2:13" x14ac:dyDescent="0.25">
      <c r="B207" s="301">
        <v>45028</v>
      </c>
      <c r="C207" s="41">
        <v>1</v>
      </c>
      <c r="D207" s="303">
        <v>7</v>
      </c>
      <c r="E207" s="304">
        <v>1417</v>
      </c>
      <c r="F207" s="305">
        <v>30645337979</v>
      </c>
      <c r="G207" s="306" t="str">
        <f>IFERROR(IF(venta_a_mes4[[#This Row],[CUIT]]="","-",VLOOKUP(venta_a_mes4[[#This Row],[CUIT]],Lista_CUIT[#All],2,0)),"CUIT NO CARGADO")</f>
        <v>ALEXANDER FLEMING SA</v>
      </c>
      <c r="H207" s="307">
        <v>10705.79</v>
      </c>
      <c r="I207" s="308">
        <f>venta_a_mes4[[#This Row],[IMPORTE NETO]]*0.21</f>
        <v>2248.2159000000001</v>
      </c>
      <c r="J207" s="309"/>
      <c r="K207" s="309"/>
      <c r="L207" s="309">
        <f>SUM(venta_a_mes4[[#This Row],[IMPORTE NETO]:[EXENTO]])</f>
        <v>12954.0059</v>
      </c>
      <c r="M207" s="310"/>
    </row>
    <row r="208" spans="2:13" x14ac:dyDescent="0.25">
      <c r="B208" s="301">
        <v>45028</v>
      </c>
      <c r="C208" s="41">
        <v>1</v>
      </c>
      <c r="D208" s="303">
        <v>7</v>
      </c>
      <c r="E208" s="304">
        <v>1414</v>
      </c>
      <c r="F208" s="305">
        <v>30711244383</v>
      </c>
      <c r="G208" s="306" t="str">
        <f>IFERROR(IF(venta_a_mes4[[#This Row],[CUIT]]="","-",VLOOKUP(venta_a_mes4[[#This Row],[CUIT]],Lista_CUIT[#All],2,0)),"CUIT NO CARGADO")</f>
        <v>LOGIN DOOR SA</v>
      </c>
      <c r="H208" s="307">
        <v>5623.97</v>
      </c>
      <c r="I208" s="308">
        <f>venta_a_mes4[[#This Row],[IMPORTE NETO]]*0.21</f>
        <v>1181.0337</v>
      </c>
      <c r="J208" s="309"/>
      <c r="K208" s="309"/>
      <c r="L208" s="309">
        <f>SUM(venta_a_mes4[[#This Row],[IMPORTE NETO]:[EXENTO]])</f>
        <v>6805.0037000000002</v>
      </c>
      <c r="M208" s="310"/>
    </row>
    <row r="209" spans="2:13" x14ac:dyDescent="0.25">
      <c r="B209" s="301">
        <v>45028</v>
      </c>
      <c r="C209" s="41">
        <v>1</v>
      </c>
      <c r="D209" s="303">
        <v>7</v>
      </c>
      <c r="E209" s="304">
        <v>1415</v>
      </c>
      <c r="F209" s="305">
        <v>30608716390</v>
      </c>
      <c r="G209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09" s="307">
        <v>19421.490000000002</v>
      </c>
      <c r="I209" s="308">
        <f>venta_a_mes4[[#This Row],[IMPORTE NETO]]*0.21</f>
        <v>4078.5129000000002</v>
      </c>
      <c r="J209" s="309"/>
      <c r="K209" s="309"/>
      <c r="L209" s="309">
        <f>SUM(venta_a_mes4[[#This Row],[IMPORTE NETO]:[EXENTO]])</f>
        <v>23500.002900000003</v>
      </c>
      <c r="M209" s="310"/>
    </row>
    <row r="210" spans="2:13" x14ac:dyDescent="0.25">
      <c r="B210" s="301">
        <v>45028</v>
      </c>
      <c r="C210" s="41">
        <v>1</v>
      </c>
      <c r="D210" s="303">
        <v>7</v>
      </c>
      <c r="E210" s="304">
        <v>1413</v>
      </c>
      <c r="F210" s="305">
        <v>30657418877</v>
      </c>
      <c r="G210" s="306" t="str">
        <f>IFERROR(IF(venta_a_mes4[[#This Row],[CUIT]]="","-",VLOOKUP(venta_a_mes4[[#This Row],[CUIT]],Lista_CUIT[#All],2,0)),"CUIT NO CARGADO")</f>
        <v>FUNDAC EMPRESARIA MADERERA</v>
      </c>
      <c r="H210" s="307">
        <v>2892.56</v>
      </c>
      <c r="I210" s="308">
        <f>venta_a_mes4[[#This Row],[IMPORTE NETO]]*0.21</f>
        <v>607.43759999999997</v>
      </c>
      <c r="J210" s="309"/>
      <c r="K210" s="309"/>
      <c r="L210" s="309">
        <f>SUM(venta_a_mes4[[#This Row],[IMPORTE NETO]:[EXENTO]])</f>
        <v>3499.9975999999997</v>
      </c>
      <c r="M210" s="310"/>
    </row>
    <row r="211" spans="2:13" x14ac:dyDescent="0.25">
      <c r="B211" s="301">
        <v>45028</v>
      </c>
      <c r="C211" s="41">
        <v>1</v>
      </c>
      <c r="D211" s="303">
        <v>5</v>
      </c>
      <c r="E211" s="304">
        <v>133</v>
      </c>
      <c r="F211" s="305">
        <v>30708436506</v>
      </c>
      <c r="G211" s="306" t="str">
        <f>IFERROR(IF(venta_a_mes4[[#This Row],[CUIT]]="","-",VLOOKUP(venta_a_mes4[[#This Row],[CUIT]],Lista_CUIT[#All],2,0)),"CUIT NO CARGADO")</f>
        <v>Autonavi Srl</v>
      </c>
      <c r="H211" s="307">
        <v>8033.06</v>
      </c>
      <c r="I211" s="308">
        <f>venta_a_mes4[[#This Row],[IMPORTE NETO]]*0.21</f>
        <v>1686.9426000000001</v>
      </c>
      <c r="J211" s="309"/>
      <c r="K211" s="309"/>
      <c r="L211" s="309">
        <f>SUM(venta_a_mes4[[#This Row],[IMPORTE NETO]:[EXENTO]])</f>
        <v>9720.0025999999998</v>
      </c>
      <c r="M211" s="310"/>
    </row>
    <row r="212" spans="2:13" x14ac:dyDescent="0.25">
      <c r="B212" s="301">
        <v>45028</v>
      </c>
      <c r="C212" s="41">
        <v>1</v>
      </c>
      <c r="D212" s="303">
        <v>7</v>
      </c>
      <c r="E212" s="304">
        <v>1416</v>
      </c>
      <c r="F212" s="305">
        <v>30608716390</v>
      </c>
      <c r="G212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12" s="307">
        <v>1239.67</v>
      </c>
      <c r="I212" s="308">
        <f>venta_a_mes4[[#This Row],[IMPORTE NETO]]*0.21</f>
        <v>260.33069999999998</v>
      </c>
      <c r="J212" s="309"/>
      <c r="K212" s="309"/>
      <c r="L212" s="309">
        <f>SUM(venta_a_mes4[[#This Row],[IMPORTE NETO]:[EXENTO]])</f>
        <v>1500.0007000000001</v>
      </c>
      <c r="M212" s="310"/>
    </row>
    <row r="213" spans="2:13" x14ac:dyDescent="0.25">
      <c r="B213" s="301">
        <v>45034</v>
      </c>
      <c r="C213" s="41">
        <v>1</v>
      </c>
      <c r="D213" s="303">
        <v>7</v>
      </c>
      <c r="E213" s="304">
        <v>1421</v>
      </c>
      <c r="F213" s="305">
        <v>30608716390</v>
      </c>
      <c r="G213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13" s="307">
        <v>3471.06</v>
      </c>
      <c r="I213" s="308">
        <f>venta_a_mes4[[#This Row],[IMPORTE NETO]]*0.21</f>
        <v>728.92259999999999</v>
      </c>
      <c r="J213" s="309"/>
      <c r="K213" s="309"/>
      <c r="L213" s="309">
        <f>SUM(venta_a_mes4[[#This Row],[IMPORTE NETO]:[EXENTO]])</f>
        <v>4199.9826000000003</v>
      </c>
      <c r="M213" s="310"/>
    </row>
    <row r="214" spans="2:13" x14ac:dyDescent="0.25">
      <c r="B214" s="301">
        <v>45034</v>
      </c>
      <c r="C214" s="41">
        <v>1</v>
      </c>
      <c r="D214" s="303">
        <v>7</v>
      </c>
      <c r="E214" s="304">
        <v>1419</v>
      </c>
      <c r="F214" s="305">
        <v>30522428163</v>
      </c>
      <c r="G214" s="306" t="str">
        <f>IFERROR(IF(venta_a_mes4[[#This Row],[CUIT]]="","-",VLOOKUP(venta_a_mes4[[#This Row],[CUIT]],Lista_CUIT[#All],2,0)),"CUIT NO CARGADO")</f>
        <v>GALENO ARGENTINA SA</v>
      </c>
      <c r="H214" s="307">
        <v>137123.82</v>
      </c>
      <c r="I214" s="308">
        <f>venta_a_mes4[[#This Row],[IMPORTE NETO]]*0.21</f>
        <v>28796.002199999999</v>
      </c>
      <c r="J214" s="309"/>
      <c r="K214" s="309"/>
      <c r="L214" s="309">
        <f>SUM(venta_a_mes4[[#This Row],[IMPORTE NETO]:[EXENTO]])</f>
        <v>165919.8222</v>
      </c>
      <c r="M214" s="310"/>
    </row>
    <row r="215" spans="2:13" x14ac:dyDescent="0.25">
      <c r="B215" s="301">
        <v>45034</v>
      </c>
      <c r="C215" s="41">
        <v>1</v>
      </c>
      <c r="D215" s="303">
        <v>7</v>
      </c>
      <c r="E215" s="304">
        <v>1420</v>
      </c>
      <c r="F215" s="305">
        <v>30522428163</v>
      </c>
      <c r="G215" s="306" t="str">
        <f>IFERROR(IF(venta_a_mes4[[#This Row],[CUIT]]="","-",VLOOKUP(venta_a_mes4[[#This Row],[CUIT]],Lista_CUIT[#All],2,0)),"CUIT NO CARGADO")</f>
        <v>GALENO ARGENTINA SA</v>
      </c>
      <c r="H215" s="307">
        <v>20138.34</v>
      </c>
      <c r="I215" s="308">
        <f>venta_a_mes4[[#This Row],[IMPORTE NETO]]*0.21</f>
        <v>4229.0514000000003</v>
      </c>
      <c r="J215" s="309"/>
      <c r="K215" s="309"/>
      <c r="L215" s="309">
        <f>SUM(venta_a_mes4[[#This Row],[IMPORTE NETO]:[EXENTO]])</f>
        <v>24367.3914</v>
      </c>
      <c r="M215" s="310"/>
    </row>
    <row r="216" spans="2:13" x14ac:dyDescent="0.25">
      <c r="B216" s="301">
        <v>45035</v>
      </c>
      <c r="C216" s="41">
        <v>1</v>
      </c>
      <c r="D216" s="303">
        <v>7</v>
      </c>
      <c r="E216" s="304">
        <v>1423</v>
      </c>
      <c r="F216" s="305">
        <v>30608716390</v>
      </c>
      <c r="G216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16" s="307">
        <v>3471.08</v>
      </c>
      <c r="I216" s="308">
        <f>venta_a_mes4[[#This Row],[IMPORTE NETO]]*0.21</f>
        <v>728.92679999999996</v>
      </c>
      <c r="J216" s="309"/>
      <c r="K216" s="309"/>
      <c r="L216" s="309">
        <f>SUM(venta_a_mes4[[#This Row],[IMPORTE NETO]:[EXENTO]])</f>
        <v>4200.0068000000001</v>
      </c>
      <c r="M216" s="310"/>
    </row>
    <row r="217" spans="2:13" x14ac:dyDescent="0.25">
      <c r="B217" s="301">
        <v>45035</v>
      </c>
      <c r="C217" s="41">
        <v>1</v>
      </c>
      <c r="D217" s="303">
        <v>7</v>
      </c>
      <c r="E217" s="304">
        <v>1427</v>
      </c>
      <c r="F217" s="305">
        <v>30709016012</v>
      </c>
      <c r="G217" s="306" t="str">
        <f>IFERROR(IF(venta_a_mes4[[#This Row],[CUIT]]="","-",VLOOKUP(venta_a_mes4[[#This Row],[CUIT]],Lista_CUIT[#All],2,0)),"CUIT NO CARGADO")</f>
        <v>MGR IMPLANTES S.A</v>
      </c>
      <c r="H217" s="307">
        <v>10008.26</v>
      </c>
      <c r="I217" s="308">
        <f>venta_a_mes4[[#This Row],[IMPORTE NETO]]*0.21</f>
        <v>2101.7345999999998</v>
      </c>
      <c r="J217" s="309"/>
      <c r="K217" s="309"/>
      <c r="L217" s="309">
        <f>SUM(venta_a_mes4[[#This Row],[IMPORTE NETO]:[EXENTO]])</f>
        <v>12109.9946</v>
      </c>
      <c r="M217" s="310"/>
    </row>
    <row r="218" spans="2:13" x14ac:dyDescent="0.25">
      <c r="B218" s="301">
        <v>45035</v>
      </c>
      <c r="C218" s="41">
        <v>1</v>
      </c>
      <c r="D218" s="303">
        <v>7</v>
      </c>
      <c r="E218" s="304">
        <v>1426</v>
      </c>
      <c r="F218" s="305">
        <v>30608716390</v>
      </c>
      <c r="G218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18" s="307">
        <v>1710.74</v>
      </c>
      <c r="I218" s="308">
        <f>venta_a_mes4[[#This Row],[IMPORTE NETO]]*0.21</f>
        <v>359.25540000000001</v>
      </c>
      <c r="J218" s="309"/>
      <c r="K218" s="309"/>
      <c r="L218" s="309">
        <f>SUM(venta_a_mes4[[#This Row],[IMPORTE NETO]:[EXENTO]])</f>
        <v>2069.9953999999998</v>
      </c>
      <c r="M218" s="310"/>
    </row>
    <row r="219" spans="2:13" x14ac:dyDescent="0.25">
      <c r="B219" s="301">
        <v>45035</v>
      </c>
      <c r="C219" s="41">
        <v>1</v>
      </c>
      <c r="D219" s="303">
        <v>7</v>
      </c>
      <c r="E219" s="304">
        <v>1422</v>
      </c>
      <c r="F219" s="305">
        <v>30608716390</v>
      </c>
      <c r="G219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19" s="307">
        <v>1140.5</v>
      </c>
      <c r="I219" s="308">
        <f>venta_a_mes4[[#This Row],[IMPORTE NETO]]*0.21</f>
        <v>239.505</v>
      </c>
      <c r="J219" s="309"/>
      <c r="K219" s="309"/>
      <c r="L219" s="309">
        <f>SUM(venta_a_mes4[[#This Row],[IMPORTE NETO]:[EXENTO]])</f>
        <v>1380.0050000000001</v>
      </c>
      <c r="M219" s="310"/>
    </row>
    <row r="220" spans="2:13" x14ac:dyDescent="0.25">
      <c r="B220" s="301">
        <v>45035</v>
      </c>
      <c r="C220" s="41">
        <v>1</v>
      </c>
      <c r="D220" s="303">
        <v>7</v>
      </c>
      <c r="E220" s="304">
        <v>1424</v>
      </c>
      <c r="F220" s="305">
        <v>30608716390</v>
      </c>
      <c r="G220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20" s="307">
        <v>1487.6</v>
      </c>
      <c r="I220" s="308">
        <f>venta_a_mes4[[#This Row],[IMPORTE NETO]]*0.21</f>
        <v>312.39599999999996</v>
      </c>
      <c r="J220" s="309"/>
      <c r="K220" s="309"/>
      <c r="L220" s="309">
        <f>SUM(venta_a_mes4[[#This Row],[IMPORTE NETO]:[EXENTO]])</f>
        <v>1799.9959999999999</v>
      </c>
      <c r="M220" s="310"/>
    </row>
    <row r="221" spans="2:13" x14ac:dyDescent="0.25">
      <c r="B221" s="301">
        <v>45035</v>
      </c>
      <c r="C221" s="41">
        <v>1</v>
      </c>
      <c r="D221" s="303">
        <v>7</v>
      </c>
      <c r="E221" s="304">
        <v>1425</v>
      </c>
      <c r="F221" s="305">
        <v>30608716390</v>
      </c>
      <c r="G221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21" s="307">
        <v>4049.58</v>
      </c>
      <c r="I221" s="308">
        <f>venta_a_mes4[[#This Row],[IMPORTE NETO]]*0.21</f>
        <v>850.41179999999997</v>
      </c>
      <c r="J221" s="309"/>
      <c r="K221" s="309"/>
      <c r="L221" s="309">
        <f>SUM(venta_a_mes4[[#This Row],[IMPORTE NETO]:[EXENTO]])</f>
        <v>4899.9917999999998</v>
      </c>
      <c r="M221" s="310"/>
    </row>
    <row r="222" spans="2:13" x14ac:dyDescent="0.25">
      <c r="B222" s="301">
        <v>45036</v>
      </c>
      <c r="C222" s="41">
        <v>1</v>
      </c>
      <c r="D222" s="303">
        <v>7</v>
      </c>
      <c r="E222" s="304">
        <v>1428</v>
      </c>
      <c r="F222" s="305">
        <v>30522428163</v>
      </c>
      <c r="G222" s="306" t="str">
        <f>IFERROR(IF(venta_a_mes4[[#This Row],[CUIT]]="","-",VLOOKUP(venta_a_mes4[[#This Row],[CUIT]],Lista_CUIT[#All],2,0)),"CUIT NO CARGADO")</f>
        <v>GALENO ARGENTINA SA</v>
      </c>
      <c r="H222" s="307">
        <v>48958.68</v>
      </c>
      <c r="I222" s="308">
        <f>venta_a_mes4[[#This Row],[IMPORTE NETO]]*0.21</f>
        <v>10281.3228</v>
      </c>
      <c r="J222" s="309"/>
      <c r="K222" s="309"/>
      <c r="L222" s="309">
        <f>SUM(venta_a_mes4[[#This Row],[IMPORTE NETO]:[EXENTO]])</f>
        <v>59240.002800000002</v>
      </c>
      <c r="M222" s="310"/>
    </row>
    <row r="223" spans="2:13" x14ac:dyDescent="0.25">
      <c r="B223" s="301">
        <v>45036</v>
      </c>
      <c r="C223" s="41">
        <v>1</v>
      </c>
      <c r="D223" s="303">
        <v>7</v>
      </c>
      <c r="E223" s="304">
        <v>1429</v>
      </c>
      <c r="F223" s="305">
        <v>30522428163</v>
      </c>
      <c r="G223" s="306" t="str">
        <f>IFERROR(IF(venta_a_mes4[[#This Row],[CUIT]]="","-",VLOOKUP(venta_a_mes4[[#This Row],[CUIT]],Lista_CUIT[#All],2,0)),"CUIT NO CARGADO")</f>
        <v>GALENO ARGENTINA SA</v>
      </c>
      <c r="H223" s="307">
        <v>17206.61</v>
      </c>
      <c r="I223" s="308">
        <f>venta_a_mes4[[#This Row],[IMPORTE NETO]]*0.21</f>
        <v>3613.3881000000001</v>
      </c>
      <c r="J223" s="309"/>
      <c r="K223" s="309"/>
      <c r="L223" s="309">
        <f>SUM(venta_a_mes4[[#This Row],[IMPORTE NETO]:[EXENTO]])</f>
        <v>20819.998100000001</v>
      </c>
      <c r="M223" s="310"/>
    </row>
    <row r="224" spans="2:13" x14ac:dyDescent="0.25">
      <c r="B224" s="301">
        <v>45019</v>
      </c>
      <c r="C224" s="41">
        <v>1</v>
      </c>
      <c r="D224" s="303">
        <v>6</v>
      </c>
      <c r="E224" s="304">
        <v>332</v>
      </c>
      <c r="F224" s="305">
        <v>30522428163</v>
      </c>
      <c r="G224" s="306" t="str">
        <f>IFERROR(IF(venta_a_mes4[[#This Row],[CUIT]]="","-",VLOOKUP(venta_a_mes4[[#This Row],[CUIT]],Lista_CUIT[#All],2,0)),"CUIT NO CARGADO")</f>
        <v>GALENO ARGENTINA SA</v>
      </c>
      <c r="H224" s="307">
        <v>2042975.19</v>
      </c>
      <c r="I224" s="308">
        <f>venta_a_mes4[[#This Row],[IMPORTE NETO]]*0.21</f>
        <v>429024.78989999997</v>
      </c>
      <c r="J224" s="309"/>
      <c r="K224" s="309"/>
      <c r="L224" s="309">
        <f>SUM(venta_a_mes4[[#This Row],[IMPORTE NETO]:[EXENTO]])</f>
        <v>2471999.9798999997</v>
      </c>
      <c r="M224" s="310"/>
    </row>
    <row r="225" spans="2:13" x14ac:dyDescent="0.25">
      <c r="B225" s="301">
        <v>45020</v>
      </c>
      <c r="C225" s="41">
        <v>1</v>
      </c>
      <c r="D225" s="303">
        <v>6</v>
      </c>
      <c r="E225" s="304">
        <v>334</v>
      </c>
      <c r="F225" s="305">
        <v>30522428163</v>
      </c>
      <c r="G225" s="306" t="str">
        <f>IFERROR(IF(venta_a_mes4[[#This Row],[CUIT]]="","-",VLOOKUP(venta_a_mes4[[#This Row],[CUIT]],Lista_CUIT[#All],2,0)),"CUIT NO CARGADO")</f>
        <v>GALENO ARGENTINA SA</v>
      </c>
      <c r="H225" s="307">
        <v>4398512.4000000004</v>
      </c>
      <c r="I225" s="308">
        <f>venta_a_mes4[[#This Row],[IMPORTE NETO]]*0.21</f>
        <v>923687.60400000005</v>
      </c>
      <c r="J225" s="309"/>
      <c r="K225" s="309"/>
      <c r="L225" s="309">
        <f>SUM(venta_a_mes4[[#This Row],[IMPORTE NETO]:[EXENTO]])</f>
        <v>5322200.0040000007</v>
      </c>
      <c r="M225" s="310"/>
    </row>
    <row r="226" spans="2:13" x14ac:dyDescent="0.25">
      <c r="B226" s="301">
        <v>45020</v>
      </c>
      <c r="C226" s="41">
        <v>1</v>
      </c>
      <c r="D226" s="303">
        <v>6</v>
      </c>
      <c r="E226" s="304">
        <v>333</v>
      </c>
      <c r="F226" s="305">
        <v>30522428163</v>
      </c>
      <c r="G226" s="306" t="str">
        <f>IFERROR(IF(venta_a_mes4[[#This Row],[CUIT]]="","-",VLOOKUP(venta_a_mes4[[#This Row],[CUIT]],Lista_CUIT[#All],2,0)),"CUIT NO CARGADO")</f>
        <v>GALENO ARGENTINA SA</v>
      </c>
      <c r="H226" s="307">
        <v>297527.82</v>
      </c>
      <c r="I226" s="308">
        <f>venta_a_mes4[[#This Row],[IMPORTE NETO]]*0.21</f>
        <v>62480.842199999999</v>
      </c>
      <c r="J226" s="309"/>
      <c r="K226" s="309"/>
      <c r="L226" s="309">
        <f>SUM(venta_a_mes4[[#This Row],[IMPORTE NETO]:[EXENTO]])</f>
        <v>360008.66220000002</v>
      </c>
      <c r="M226" s="310"/>
    </row>
    <row r="227" spans="2:13" x14ac:dyDescent="0.25">
      <c r="B227" s="301">
        <v>45021</v>
      </c>
      <c r="C227" s="41">
        <v>1</v>
      </c>
      <c r="D227" s="303">
        <v>6</v>
      </c>
      <c r="E227" s="304">
        <v>335</v>
      </c>
      <c r="F227" s="305">
        <v>30522428163</v>
      </c>
      <c r="G227" s="306" t="str">
        <f>IFERROR(IF(venta_a_mes4[[#This Row],[CUIT]]="","-",VLOOKUP(venta_a_mes4[[#This Row],[CUIT]],Lista_CUIT[#All],2,0)),"CUIT NO CARGADO")</f>
        <v>GALENO ARGENTINA SA</v>
      </c>
      <c r="H227" s="307">
        <v>2177449.15</v>
      </c>
      <c r="I227" s="308">
        <f>venta_a_mes4[[#This Row],[IMPORTE NETO]]*0.21</f>
        <v>457264.32149999996</v>
      </c>
      <c r="J227" s="309"/>
      <c r="K227" s="309"/>
      <c r="L227" s="309">
        <f>SUM(venta_a_mes4[[#This Row],[IMPORTE NETO]:[EXENTO]])</f>
        <v>2634713.4715</v>
      </c>
      <c r="M227" s="310"/>
    </row>
    <row r="228" spans="2:13" x14ac:dyDescent="0.25">
      <c r="B228" s="301">
        <v>45029</v>
      </c>
      <c r="C228" s="41">
        <v>1</v>
      </c>
      <c r="D228" s="303">
        <v>6</v>
      </c>
      <c r="E228" s="304">
        <v>336</v>
      </c>
      <c r="F228" s="305">
        <v>30522428163</v>
      </c>
      <c r="G228" s="306" t="str">
        <f>IFERROR(IF(venta_a_mes4[[#This Row],[CUIT]]="","-",VLOOKUP(venta_a_mes4[[#This Row],[CUIT]],Lista_CUIT[#All],2,0)),"CUIT NO CARGADO")</f>
        <v>GALENO ARGENTINA SA</v>
      </c>
      <c r="H228" s="307">
        <v>4200537.1900000004</v>
      </c>
      <c r="I228" s="308">
        <f>venta_a_mes4[[#This Row],[IMPORTE NETO]]*0.21</f>
        <v>882112.80990000011</v>
      </c>
      <c r="J228" s="309"/>
      <c r="K228" s="309"/>
      <c r="L228" s="309">
        <f>SUM(venta_a_mes4[[#This Row],[IMPORTE NETO]:[EXENTO]])</f>
        <v>5082649.9999000002</v>
      </c>
      <c r="M228" s="310"/>
    </row>
    <row r="229" spans="2:13" x14ac:dyDescent="0.25">
      <c r="B229" s="301">
        <v>45030</v>
      </c>
      <c r="C229" s="41">
        <v>1</v>
      </c>
      <c r="D229" s="303">
        <v>6</v>
      </c>
      <c r="E229" s="304">
        <v>337</v>
      </c>
      <c r="F229" s="305">
        <v>30522428163</v>
      </c>
      <c r="G229" s="306" t="str">
        <f>IFERROR(IF(venta_a_mes4[[#This Row],[CUIT]]="","-",VLOOKUP(venta_a_mes4[[#This Row],[CUIT]],Lista_CUIT[#All],2,0)),"CUIT NO CARGADO")</f>
        <v>GALENO ARGENTINA SA</v>
      </c>
      <c r="H229" s="307">
        <v>2838760.16</v>
      </c>
      <c r="I229" s="308">
        <f>venta_a_mes4[[#This Row],[IMPORTE NETO]]*0.21</f>
        <v>596139.63360000006</v>
      </c>
      <c r="J229" s="309"/>
      <c r="K229" s="309"/>
      <c r="L229" s="309">
        <f>SUM(venta_a_mes4[[#This Row],[IMPORTE NETO]:[EXENTO]])</f>
        <v>3434899.7936000004</v>
      </c>
      <c r="M229" s="310"/>
    </row>
    <row r="230" spans="2:13" x14ac:dyDescent="0.25">
      <c r="B230" s="301">
        <v>45036</v>
      </c>
      <c r="C230" s="41">
        <v>1</v>
      </c>
      <c r="D230" s="303">
        <v>6</v>
      </c>
      <c r="E230" s="304">
        <v>338</v>
      </c>
      <c r="F230" s="305">
        <v>30522428163</v>
      </c>
      <c r="G230" s="306" t="str">
        <f>IFERROR(IF(venta_a_mes4[[#This Row],[CUIT]]="","-",VLOOKUP(venta_a_mes4[[#This Row],[CUIT]],Lista_CUIT[#All],2,0)),"CUIT NO CARGADO")</f>
        <v>GALENO ARGENTINA SA</v>
      </c>
      <c r="H230" s="307">
        <v>1982644.63</v>
      </c>
      <c r="I230" s="308">
        <f>venta_a_mes4[[#This Row],[IMPORTE NETO]]*0.21</f>
        <v>416355.37229999999</v>
      </c>
      <c r="J230" s="309"/>
      <c r="K230" s="309"/>
      <c r="L230" s="309">
        <f>SUM(venta_a_mes4[[#This Row],[IMPORTE NETO]:[EXENTO]])</f>
        <v>2399000.0022999998</v>
      </c>
      <c r="M230" s="310"/>
    </row>
    <row r="231" spans="2:13" x14ac:dyDescent="0.25">
      <c r="B231" s="301">
        <v>45037</v>
      </c>
      <c r="C231" s="41">
        <v>1</v>
      </c>
      <c r="D231" s="303">
        <v>6</v>
      </c>
      <c r="E231" s="304">
        <v>339</v>
      </c>
      <c r="F231" s="305">
        <v>30522428163</v>
      </c>
      <c r="G231" s="306" t="str">
        <f>IFERROR(IF(venta_a_mes4[[#This Row],[CUIT]]="","-",VLOOKUP(venta_a_mes4[[#This Row],[CUIT]],Lista_CUIT[#All],2,0)),"CUIT NO CARGADO")</f>
        <v>GALENO ARGENTINA SA</v>
      </c>
      <c r="H231" s="307">
        <v>4890126.45</v>
      </c>
      <c r="I231" s="308">
        <f>venta_a_mes4[[#This Row],[IMPORTE NETO]]*0.21</f>
        <v>1026926.5545</v>
      </c>
      <c r="J231" s="309"/>
      <c r="K231" s="309"/>
      <c r="L231" s="309">
        <f>SUM(venta_a_mes4[[#This Row],[IMPORTE NETO]:[EXENTO]])</f>
        <v>5917053.0044999998</v>
      </c>
      <c r="M231" s="310"/>
    </row>
    <row r="232" spans="2:13" x14ac:dyDescent="0.25">
      <c r="B232" s="301">
        <v>45037</v>
      </c>
      <c r="C232" s="41">
        <v>1</v>
      </c>
      <c r="D232" s="303">
        <v>6</v>
      </c>
      <c r="E232" s="304">
        <v>340</v>
      </c>
      <c r="F232" s="305">
        <v>30522428163</v>
      </c>
      <c r="G232" s="306" t="str">
        <f>IFERROR(IF(venta_a_mes4[[#This Row],[CUIT]]="","-",VLOOKUP(venta_a_mes4[[#This Row],[CUIT]],Lista_CUIT[#All],2,0)),"CUIT NO CARGADO")</f>
        <v>GALENO ARGENTINA SA</v>
      </c>
      <c r="H232" s="307">
        <v>869586.76</v>
      </c>
      <c r="I232" s="308">
        <f>venta_a_mes4[[#This Row],[IMPORTE NETO]]*0.21</f>
        <v>182613.21959999998</v>
      </c>
      <c r="J232" s="309"/>
      <c r="K232" s="309"/>
      <c r="L232" s="309">
        <f>SUM(venta_a_mes4[[#This Row],[IMPORTE NETO]:[EXENTO]])</f>
        <v>1052199.9796</v>
      </c>
      <c r="M232" s="310"/>
    </row>
    <row r="233" spans="2:13" x14ac:dyDescent="0.25">
      <c r="B233" s="301">
        <v>45037</v>
      </c>
      <c r="C233" s="41">
        <v>1</v>
      </c>
      <c r="D233" s="303">
        <v>6</v>
      </c>
      <c r="E233" s="304">
        <v>341</v>
      </c>
      <c r="F233" s="305">
        <v>30522428163</v>
      </c>
      <c r="G233" s="306" t="str">
        <f>IFERROR(IF(venta_a_mes4[[#This Row],[CUIT]]="","-",VLOOKUP(venta_a_mes4[[#This Row],[CUIT]],Lista_CUIT[#All],2,0)),"CUIT NO CARGADO")</f>
        <v>GALENO ARGENTINA SA</v>
      </c>
      <c r="H233" s="307">
        <v>3516859.5</v>
      </c>
      <c r="I233" s="308">
        <f>venta_a_mes4[[#This Row],[IMPORTE NETO]]*0.21</f>
        <v>738540.495</v>
      </c>
      <c r="J233" s="309"/>
      <c r="K233" s="309"/>
      <c r="L233" s="309">
        <f>SUM(venta_a_mes4[[#This Row],[IMPORTE NETO]:[EXENTO]])</f>
        <v>4255399.9950000001</v>
      </c>
      <c r="M233" s="310"/>
    </row>
    <row r="234" spans="2:13" x14ac:dyDescent="0.25">
      <c r="B234" s="301">
        <v>45042</v>
      </c>
      <c r="C234" s="302">
        <v>3</v>
      </c>
      <c r="D234" s="303">
        <v>6</v>
      </c>
      <c r="E234" s="304">
        <v>27</v>
      </c>
      <c r="F234" s="305">
        <v>30522428163</v>
      </c>
      <c r="G234" s="306" t="str">
        <f>IFERROR(IF(venta_a_mes4[[#This Row],[CUIT]]="","-",VLOOKUP(venta_a_mes4[[#This Row],[CUIT]],Lista_CUIT[#All],2,0)),"CUIT NO CARGADO")</f>
        <v>GALENO ARGENTINA SA</v>
      </c>
      <c r="H234" s="307">
        <v>-247107.44</v>
      </c>
      <c r="I234" s="308">
        <f>venta_a_mes4[[#This Row],[IMPORTE NETO]]*0.21</f>
        <v>-51892.562399999995</v>
      </c>
      <c r="J234" s="309"/>
      <c r="K234" s="309"/>
      <c r="L234" s="309">
        <f>SUM(venta_a_mes4[[#This Row],[IMPORTE NETO]:[EXENTO]])</f>
        <v>-299000.0024</v>
      </c>
      <c r="M234" s="310"/>
    </row>
    <row r="235" spans="2:13" x14ac:dyDescent="0.25">
      <c r="B235" s="301">
        <v>45042</v>
      </c>
      <c r="C235" s="302">
        <v>3</v>
      </c>
      <c r="D235" s="303">
        <v>6</v>
      </c>
      <c r="E235" s="304">
        <v>24</v>
      </c>
      <c r="F235" s="305">
        <v>30522428163</v>
      </c>
      <c r="G235" s="306" t="str">
        <f>IFERROR(IF(venta_a_mes4[[#This Row],[CUIT]]="","-",VLOOKUP(venta_a_mes4[[#This Row],[CUIT]],Lista_CUIT[#All],2,0)),"CUIT NO CARGADO")</f>
        <v>GALENO ARGENTINA SA</v>
      </c>
      <c r="H235" s="307">
        <v>-14809.5</v>
      </c>
      <c r="I235" s="308">
        <f>venta_a_mes4[[#This Row],[IMPORTE NETO]]*0.21</f>
        <v>-3109.9949999999999</v>
      </c>
      <c r="J235" s="309"/>
      <c r="K235" s="309"/>
      <c r="L235" s="309">
        <f>SUM(venta_a_mes4[[#This Row],[IMPORTE NETO]:[EXENTO]])</f>
        <v>-17919.494999999999</v>
      </c>
      <c r="M235" s="310"/>
    </row>
    <row r="236" spans="2:13" x14ac:dyDescent="0.25">
      <c r="B236" s="301">
        <v>45042</v>
      </c>
      <c r="C236" s="302">
        <v>3</v>
      </c>
      <c r="D236" s="303">
        <v>6</v>
      </c>
      <c r="E236" s="304">
        <v>26</v>
      </c>
      <c r="F236" s="305">
        <v>30522428163</v>
      </c>
      <c r="G236" s="306" t="str">
        <f>IFERROR(IF(venta_a_mes4[[#This Row],[CUIT]]="","-",VLOOKUP(venta_a_mes4[[#This Row],[CUIT]],Lista_CUIT[#All],2,0)),"CUIT NO CARGADO")</f>
        <v>GALENO ARGENTINA SA</v>
      </c>
      <c r="H236" s="307">
        <v>-7355.37</v>
      </c>
      <c r="I236" s="308">
        <f>venta_a_mes4[[#This Row],[IMPORTE NETO]]*0.21</f>
        <v>-1544.6277</v>
      </c>
      <c r="J236" s="309"/>
      <c r="K236" s="309"/>
      <c r="L236" s="309">
        <f>SUM(venta_a_mes4[[#This Row],[IMPORTE NETO]:[EXENTO]])</f>
        <v>-8899.9976999999999</v>
      </c>
      <c r="M236" s="310"/>
    </row>
    <row r="237" spans="2:13" x14ac:dyDescent="0.25">
      <c r="B237" s="301">
        <v>45042</v>
      </c>
      <c r="C237" s="302">
        <v>3</v>
      </c>
      <c r="D237" s="303">
        <v>6</v>
      </c>
      <c r="E237" s="304">
        <v>25</v>
      </c>
      <c r="F237" s="305">
        <v>30522428163</v>
      </c>
      <c r="G237" s="306" t="str">
        <f>IFERROR(IF(venta_a_mes4[[#This Row],[CUIT]]="","-",VLOOKUP(venta_a_mes4[[#This Row],[CUIT]],Lista_CUIT[#All],2,0)),"CUIT NO CARGADO")</f>
        <v>GALENO ARGENTINA SA</v>
      </c>
      <c r="H237" s="307">
        <v>-38829.17</v>
      </c>
      <c r="I237" s="308">
        <f>venta_a_mes4[[#This Row],[IMPORTE NETO]]*0.21</f>
        <v>-8154.1256999999996</v>
      </c>
      <c r="J237" s="309"/>
      <c r="K237" s="309"/>
      <c r="L237" s="309">
        <f>SUM(venta_a_mes4[[#This Row],[IMPORTE NETO]:[EXENTO]])</f>
        <v>-46983.295699999995</v>
      </c>
      <c r="M237" s="310"/>
    </row>
    <row r="238" spans="2:13" x14ac:dyDescent="0.25">
      <c r="B238" s="301">
        <v>45042</v>
      </c>
      <c r="C238" s="302">
        <v>3</v>
      </c>
      <c r="D238" s="303">
        <v>6</v>
      </c>
      <c r="E238" s="304">
        <v>23</v>
      </c>
      <c r="F238" s="305">
        <v>30522428163</v>
      </c>
      <c r="G238" s="306" t="str">
        <f>IFERROR(IF(venta_a_mes4[[#This Row],[CUIT]]="","-",VLOOKUP(venta_a_mes4[[#This Row],[CUIT]],Lista_CUIT[#All],2,0)),"CUIT NO CARGADO")</f>
        <v>GALENO ARGENTINA SA</v>
      </c>
      <c r="H238" s="307">
        <v>-8101.62</v>
      </c>
      <c r="I238" s="308">
        <f>venta_a_mes4[[#This Row],[IMPORTE NETO]]*0.21</f>
        <v>-1701.3401999999999</v>
      </c>
      <c r="J238" s="309"/>
      <c r="K238" s="309"/>
      <c r="L238" s="309">
        <f>SUM(venta_a_mes4[[#This Row],[IMPORTE NETO]:[EXENTO]])</f>
        <v>-9802.9601999999995</v>
      </c>
      <c r="M238" s="310"/>
    </row>
    <row r="239" spans="2:13" x14ac:dyDescent="0.25">
      <c r="B239" s="301">
        <v>45042</v>
      </c>
      <c r="C239" s="302">
        <v>3</v>
      </c>
      <c r="D239" s="303">
        <v>6</v>
      </c>
      <c r="E239" s="304">
        <v>28</v>
      </c>
      <c r="F239" s="305">
        <v>30522428163</v>
      </c>
      <c r="G239" s="306" t="str">
        <f>IFERROR(IF(venta_a_mes4[[#This Row],[CUIT]]="","-",VLOOKUP(venta_a_mes4[[#This Row],[CUIT]],Lista_CUIT[#All],2,0)),"CUIT NO CARGADO")</f>
        <v>GALENO ARGENTINA SA</v>
      </c>
      <c r="H239" s="307">
        <v>-122314.05</v>
      </c>
      <c r="I239" s="308">
        <f>venta_a_mes4[[#This Row],[IMPORTE NETO]]*0.21</f>
        <v>-25685.950499999999</v>
      </c>
      <c r="J239" s="309"/>
      <c r="K239" s="309"/>
      <c r="L239" s="309">
        <f>SUM(venta_a_mes4[[#This Row],[IMPORTE NETO]:[EXENTO]])</f>
        <v>-148000.00049999999</v>
      </c>
      <c r="M239" s="310"/>
    </row>
    <row r="240" spans="2:13" x14ac:dyDescent="0.25">
      <c r="B240" s="301">
        <v>45042</v>
      </c>
      <c r="C240" s="302">
        <v>3</v>
      </c>
      <c r="D240" s="303">
        <v>6</v>
      </c>
      <c r="E240" s="304">
        <v>21</v>
      </c>
      <c r="F240" s="305">
        <v>30522428163</v>
      </c>
      <c r="G240" s="306" t="str">
        <f>IFERROR(IF(venta_a_mes4[[#This Row],[CUIT]]="","-",VLOOKUP(venta_a_mes4[[#This Row],[CUIT]],Lista_CUIT[#All],2,0)),"CUIT NO CARGADO")</f>
        <v>GALENO ARGENTINA SA</v>
      </c>
      <c r="H240" s="307">
        <v>-13667.1</v>
      </c>
      <c r="I240" s="308">
        <f>venta_a_mes4[[#This Row],[IMPORTE NETO]]*0.21</f>
        <v>-2870.0909999999999</v>
      </c>
      <c r="J240" s="309"/>
      <c r="K240" s="309"/>
      <c r="L240" s="309">
        <f>SUM(venta_a_mes4[[#This Row],[IMPORTE NETO]:[EXENTO]])</f>
        <v>-16537.190999999999</v>
      </c>
      <c r="M240" s="310"/>
    </row>
    <row r="241" spans="2:13" x14ac:dyDescent="0.25">
      <c r="B241" s="301">
        <v>45042</v>
      </c>
      <c r="C241" s="302">
        <v>3</v>
      </c>
      <c r="D241" s="303">
        <v>6</v>
      </c>
      <c r="E241" s="304">
        <v>22</v>
      </c>
      <c r="F241" s="305">
        <v>30522428163</v>
      </c>
      <c r="G241" s="306" t="str">
        <f>IFERROR(IF(venta_a_mes4[[#This Row],[CUIT]]="","-",VLOOKUP(venta_a_mes4[[#This Row],[CUIT]],Lista_CUIT[#All],2,0)),"CUIT NO CARGADO")</f>
        <v>GALENO ARGENTINA SA</v>
      </c>
      <c r="H241" s="307">
        <v>-6831.6</v>
      </c>
      <c r="I241" s="308">
        <f>venta_a_mes4[[#This Row],[IMPORTE NETO]]*0.21</f>
        <v>-1434.636</v>
      </c>
      <c r="J241" s="309"/>
      <c r="K241" s="309"/>
      <c r="L241" s="309">
        <f>SUM(venta_a_mes4[[#This Row],[IMPORTE NETO]:[EXENTO]])</f>
        <v>-8266.2360000000008</v>
      </c>
      <c r="M241" s="310"/>
    </row>
    <row r="242" spans="2:13" x14ac:dyDescent="0.25">
      <c r="B242" s="301">
        <v>45028</v>
      </c>
      <c r="C242" s="302">
        <v>3</v>
      </c>
      <c r="D242" s="303">
        <v>7</v>
      </c>
      <c r="E242" s="304">
        <v>86</v>
      </c>
      <c r="F242" s="305">
        <v>30608716390</v>
      </c>
      <c r="G242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42" s="307">
        <v>-1239.67</v>
      </c>
      <c r="I242" s="308">
        <f>venta_a_mes4[[#This Row],[IMPORTE NETO]]*0.21</f>
        <v>-260.33069999999998</v>
      </c>
      <c r="J242" s="309"/>
      <c r="K242" s="309"/>
      <c r="L242" s="309">
        <f>SUM(venta_a_mes4[[#This Row],[IMPORTE NETO]:[EXENTO]])</f>
        <v>-1500.0007000000001</v>
      </c>
      <c r="M242" s="310"/>
    </row>
    <row r="243" spans="2:13" x14ac:dyDescent="0.25">
      <c r="B243" s="301">
        <v>45028</v>
      </c>
      <c r="C243" s="302">
        <v>3</v>
      </c>
      <c r="D243" s="303">
        <v>7</v>
      </c>
      <c r="E243" s="304">
        <v>85</v>
      </c>
      <c r="F243" s="305">
        <v>30608716390</v>
      </c>
      <c r="G243" s="306" t="str">
        <f>IFERROR(IF(venta_a_mes4[[#This Row],[CUIT]]="","-",VLOOKUP(venta_a_mes4[[#This Row],[CUIT]],Lista_CUIT[#All],2,0)),"CUIT NO CARGADO")</f>
        <v>OBRA SOCIAL DEL PERSONAL DE LAS TELECOMUNICACIONES DE LA REP. ARGENTINA</v>
      </c>
      <c r="H243" s="307">
        <v>-19421.490000000002</v>
      </c>
      <c r="I243" s="308">
        <f>venta_a_mes4[[#This Row],[IMPORTE NETO]]*0.21</f>
        <v>-4078.5129000000002</v>
      </c>
      <c r="J243" s="309"/>
      <c r="K243" s="309"/>
      <c r="L243" s="309">
        <f>SUM(venta_a_mes4[[#This Row],[IMPORTE NETO]:[EXENTO]])</f>
        <v>-23500.002900000003</v>
      </c>
      <c r="M243" s="310"/>
    </row>
    <row r="244" spans="2:13" x14ac:dyDescent="0.25">
      <c r="B244" s="301">
        <v>45030</v>
      </c>
      <c r="C244" s="302">
        <v>3</v>
      </c>
      <c r="D244" s="303">
        <v>7</v>
      </c>
      <c r="E244" s="304">
        <v>87</v>
      </c>
      <c r="F244" s="305">
        <v>30710538014</v>
      </c>
      <c r="G244" s="306" t="str">
        <f>IFERROR(IF(venta_a_mes4[[#This Row],[CUIT]]="","-",VLOOKUP(venta_a_mes4[[#This Row],[CUIT]],Lista_CUIT[#All],2,0)),"CUIT NO CARGADO")</f>
        <v>Hc Homecare Internacion Domiciliaria S.A.</v>
      </c>
      <c r="H244" s="307">
        <v>-952.89</v>
      </c>
      <c r="I244" s="308">
        <f>venta_a_mes4[[#This Row],[IMPORTE NETO]]*0.21</f>
        <v>-200.1069</v>
      </c>
      <c r="J244" s="309"/>
      <c r="K244" s="309"/>
      <c r="L244" s="309">
        <f>SUM(venta_a_mes4[[#This Row],[IMPORTE NETO]:[EXENTO]])</f>
        <v>-1152.9969000000001</v>
      </c>
      <c r="M244" s="310"/>
    </row>
    <row r="245" spans="2:13" x14ac:dyDescent="0.25">
      <c r="B245" s="301">
        <v>45042</v>
      </c>
      <c r="C245" s="302">
        <v>3</v>
      </c>
      <c r="D245" s="303">
        <v>7</v>
      </c>
      <c r="E245" s="304">
        <v>89</v>
      </c>
      <c r="F245" s="305">
        <v>30522428163</v>
      </c>
      <c r="G245" s="306" t="str">
        <f>IFERROR(IF(venta_a_mes4[[#This Row],[CUIT]]="","-",VLOOKUP(venta_a_mes4[[#This Row],[CUIT]],Lista_CUIT[#All],2,0)),"CUIT NO CARGADO")</f>
        <v>GALENO ARGENTINA SA</v>
      </c>
      <c r="H245" s="307">
        <v>-5454.55</v>
      </c>
      <c r="I245" s="308">
        <f>venta_a_mes4[[#This Row],[IMPORTE NETO]]*0.21</f>
        <v>-1145.4555</v>
      </c>
      <c r="J245" s="309"/>
      <c r="K245" s="309"/>
      <c r="L245" s="309">
        <f>SUM(venta_a_mes4[[#This Row],[IMPORTE NETO]:[EXENTO]])</f>
        <v>-6600.0055000000002</v>
      </c>
      <c r="M245" s="310"/>
    </row>
    <row r="246" spans="2:13" x14ac:dyDescent="0.25">
      <c r="B246" s="301">
        <v>45042</v>
      </c>
      <c r="C246" s="302">
        <v>3</v>
      </c>
      <c r="D246" s="303">
        <v>7</v>
      </c>
      <c r="E246" s="304">
        <v>88</v>
      </c>
      <c r="F246" s="305">
        <v>30522428163</v>
      </c>
      <c r="G246" s="306" t="str">
        <f>IFERROR(IF(venta_a_mes4[[#This Row],[CUIT]]="","-",VLOOKUP(venta_a_mes4[[#This Row],[CUIT]],Lista_CUIT[#All],2,0)),"CUIT NO CARGADO")</f>
        <v>GALENO ARGENTINA SA</v>
      </c>
      <c r="H246" s="307">
        <v>-62926.44</v>
      </c>
      <c r="I246" s="308">
        <f>venta_a_mes4[[#This Row],[IMPORTE NETO]]*0.21</f>
        <v>-13214.5524</v>
      </c>
      <c r="J246" s="309"/>
      <c r="K246" s="309"/>
      <c r="L246" s="309">
        <f>SUM(venta_a_mes4[[#This Row],[IMPORTE NETO]:[EXENTO]])</f>
        <v>-76140.992400000003</v>
      </c>
      <c r="M246" s="310"/>
    </row>
    <row r="247" spans="2:13" x14ac:dyDescent="0.25">
      <c r="B247" s="301"/>
      <c r="C247" s="302"/>
      <c r="D247" s="303"/>
      <c r="E247" s="304"/>
      <c r="F247" s="305"/>
      <c r="G247" s="306" t="str">
        <f>IFERROR(IF(venta_a_mes4[[#This Row],[CUIT]]="","-",VLOOKUP(venta_a_mes4[[#This Row],[CUIT]],Lista_CUIT[#All],2,0)),"CUIT NO CARGADO")</f>
        <v>-</v>
      </c>
      <c r="H247" s="307"/>
      <c r="I247" s="308">
        <f>venta_a_mes4[[#This Row],[IMPORTE NETO]]*0.21</f>
        <v>0</v>
      </c>
      <c r="J247" s="309"/>
      <c r="K247" s="309"/>
      <c r="L247" s="309">
        <f>SUM(venta_a_mes4[[#This Row],[IMPORTE NETO]:[EXENTO]])</f>
        <v>0</v>
      </c>
      <c r="M247" s="310"/>
    </row>
    <row r="248" spans="2:13" x14ac:dyDescent="0.25">
      <c r="B248" s="301"/>
      <c r="C248" s="302"/>
      <c r="D248" s="303"/>
      <c r="E248" s="304"/>
      <c r="F248" s="305"/>
      <c r="G248" s="306" t="str">
        <f>IFERROR(IF(venta_a_mes4[[#This Row],[CUIT]]="","-",VLOOKUP(venta_a_mes4[[#This Row],[CUIT]],Lista_CUIT[#All],2,0)),"CUIT NO CARGADO")</f>
        <v>-</v>
      </c>
      <c r="H248" s="307"/>
      <c r="I248" s="308">
        <f>venta_a_mes4[[#This Row],[IMPORTE NETO]]*0.21</f>
        <v>0</v>
      </c>
      <c r="J248" s="309"/>
      <c r="K248" s="309"/>
      <c r="L248" s="309">
        <f>SUM(venta_a_mes4[[#This Row],[IMPORTE NETO]:[EXENTO]])</f>
        <v>0</v>
      </c>
      <c r="M248" s="310"/>
    </row>
    <row r="249" spans="2:13" x14ac:dyDescent="0.25">
      <c r="B249" s="301"/>
      <c r="C249" s="302"/>
      <c r="D249" s="303"/>
      <c r="E249" s="304"/>
      <c r="F249" s="305"/>
      <c r="G249" s="306" t="str">
        <f>IFERROR(IF(venta_a_mes4[[#This Row],[CUIT]]="","-",VLOOKUP(venta_a_mes4[[#This Row],[CUIT]],Lista_CUIT[#All],2,0)),"CUIT NO CARGADO")</f>
        <v>-</v>
      </c>
      <c r="H249" s="307"/>
      <c r="I249" s="308">
        <f>venta_a_mes4[[#This Row],[IMPORTE NETO]]*0.21</f>
        <v>0</v>
      </c>
      <c r="J249" s="309"/>
      <c r="K249" s="309"/>
      <c r="L249" s="309">
        <f>SUM(venta_a_mes4[[#This Row],[IMPORTE NETO]:[EXENTO]])</f>
        <v>0</v>
      </c>
      <c r="M249" s="310"/>
    </row>
    <row r="250" spans="2:13" x14ac:dyDescent="0.25">
      <c r="B250" s="301"/>
      <c r="C250" s="302"/>
      <c r="D250" s="303"/>
      <c r="E250" s="304"/>
      <c r="F250" s="305"/>
      <c r="G250" s="306" t="str">
        <f>IFERROR(IF(venta_a_mes4[[#This Row],[CUIT]]="","-",VLOOKUP(venta_a_mes4[[#This Row],[CUIT]],Lista_CUIT[#All],2,0)),"CUIT NO CARGADO")</f>
        <v>-</v>
      </c>
      <c r="H250" s="307"/>
      <c r="I250" s="308">
        <f>venta_a_mes4[[#This Row],[IMPORTE NETO]]*0.21</f>
        <v>0</v>
      </c>
      <c r="J250" s="309"/>
      <c r="K250" s="309"/>
      <c r="L250" s="309">
        <f>SUM(venta_a_mes4[[#This Row],[IMPORTE NETO]:[EXENTO]])</f>
        <v>0</v>
      </c>
      <c r="M250" s="310"/>
    </row>
    <row r="251" spans="2:13" x14ac:dyDescent="0.25">
      <c r="B251" s="301"/>
      <c r="C251" s="302"/>
      <c r="D251" s="303"/>
      <c r="E251" s="304"/>
      <c r="F251" s="305"/>
      <c r="G251" s="306" t="str">
        <f>IFERROR(IF(venta_a_mes4[[#This Row],[CUIT]]="","-",VLOOKUP(venta_a_mes4[[#This Row],[CUIT]],Lista_CUIT[#All],2,0)),"CUIT NO CARGADO")</f>
        <v>-</v>
      </c>
      <c r="H251" s="307"/>
      <c r="I251" s="308">
        <f>venta_a_mes4[[#This Row],[IMPORTE NETO]]*0.21</f>
        <v>0</v>
      </c>
      <c r="J251" s="309"/>
      <c r="K251" s="309"/>
      <c r="L251" s="309">
        <f>SUM(venta_a_mes4[[#This Row],[IMPORTE NETO]:[EXENTO]])</f>
        <v>0</v>
      </c>
      <c r="M251" s="310"/>
    </row>
    <row r="252" spans="2:13" x14ac:dyDescent="0.25">
      <c r="B252" s="301"/>
      <c r="C252" s="302"/>
      <c r="D252" s="303"/>
      <c r="E252" s="304"/>
      <c r="F252" s="305"/>
      <c r="G252" s="306" t="str">
        <f>IFERROR(IF(venta_a_mes4[[#This Row],[CUIT]]="","-",VLOOKUP(venta_a_mes4[[#This Row],[CUIT]],Lista_CUIT[#All],2,0)),"CUIT NO CARGADO")</f>
        <v>-</v>
      </c>
      <c r="H252" s="307"/>
      <c r="I252" s="308">
        <f>venta_a_mes4[[#This Row],[IMPORTE NETO]]*0.21</f>
        <v>0</v>
      </c>
      <c r="J252" s="309"/>
      <c r="K252" s="309"/>
      <c r="L252" s="309">
        <f>SUM(venta_a_mes4[[#This Row],[IMPORTE NETO]:[EXENTO]])</f>
        <v>0</v>
      </c>
      <c r="M252" s="310"/>
    </row>
    <row r="253" spans="2:13" x14ac:dyDescent="0.25">
      <c r="B253" s="301"/>
      <c r="C253" s="302"/>
      <c r="D253" s="303"/>
      <c r="E253" s="304"/>
      <c r="F253" s="305"/>
      <c r="G253" s="306" t="str">
        <f>IFERROR(IF(venta_a_mes4[[#This Row],[CUIT]]="","-",VLOOKUP(venta_a_mes4[[#This Row],[CUIT]],Lista_CUIT[#All],2,0)),"CUIT NO CARGADO")</f>
        <v>-</v>
      </c>
      <c r="H253" s="307"/>
      <c r="I253" s="308">
        <f>venta_a_mes4[[#This Row],[IMPORTE NETO]]*0.21</f>
        <v>0</v>
      </c>
      <c r="J253" s="309"/>
      <c r="K253" s="309"/>
      <c r="L253" s="309">
        <f>SUM(venta_a_mes4[[#This Row],[IMPORTE NETO]:[EXENTO]])</f>
        <v>0</v>
      </c>
      <c r="M253" s="310"/>
    </row>
    <row r="254" spans="2:13" x14ac:dyDescent="0.25">
      <c r="B254" s="295" t="s">
        <v>110</v>
      </c>
      <c r="C254" s="296"/>
      <c r="D254" s="296"/>
      <c r="E254" s="296"/>
      <c r="F254" s="296"/>
      <c r="G254" s="296"/>
      <c r="H254" s="297">
        <f>SUBTOTAL(109,venta_a_mes4[IMPORTE NETO])</f>
        <v>27597412.75999999</v>
      </c>
      <c r="I254" s="298">
        <f>SUBTOTAL(109,venta_a_mes4[IVA 21%])</f>
        <v>5795456.6795999985</v>
      </c>
      <c r="J254" s="299">
        <f>SUBTOTAL(109,venta_a_mes4[IVA 10,5%])</f>
        <v>0</v>
      </c>
      <c r="K254" s="299">
        <f>SUBTOTAL(109,venta_a_mes4[EXENTO])</f>
        <v>0</v>
      </c>
      <c r="L254" s="299">
        <f>SUBTOTAL(109,venta_a_mes4[TOTAL])</f>
        <v>33392869.439600006</v>
      </c>
      <c r="M254" s="300">
        <f>SUBTOTAL(103,venta_a_mes4[Provincia])</f>
        <v>0</v>
      </c>
    </row>
    <row r="255" spans="2:13" ht="21" x14ac:dyDescent="0.25">
      <c r="B255" s="525" t="s">
        <v>31</v>
      </c>
      <c r="C255" s="525"/>
    </row>
    <row r="256" spans="2:13" ht="15.75" x14ac:dyDescent="0.25">
      <c r="B256" s="60" t="s">
        <v>0</v>
      </c>
      <c r="C256" s="61" t="s">
        <v>1</v>
      </c>
      <c r="D256" s="61" t="s">
        <v>21</v>
      </c>
      <c r="E256" s="61" t="s">
        <v>22</v>
      </c>
      <c r="F256" s="61" t="s">
        <v>3</v>
      </c>
      <c r="G256" s="61" t="s">
        <v>4</v>
      </c>
      <c r="H256" s="61" t="s">
        <v>23</v>
      </c>
      <c r="I256" s="61" t="s">
        <v>17</v>
      </c>
      <c r="J256" s="61" t="s">
        <v>7</v>
      </c>
      <c r="K256" s="61" t="s">
        <v>24</v>
      </c>
      <c r="L256" s="61" t="s">
        <v>10</v>
      </c>
      <c r="M256" s="62" t="s">
        <v>38</v>
      </c>
    </row>
    <row r="257" spans="2:13" x14ac:dyDescent="0.25">
      <c r="B257" s="40">
        <v>45019</v>
      </c>
      <c r="C257" s="41">
        <v>6</v>
      </c>
      <c r="D257" s="42">
        <v>5</v>
      </c>
      <c r="E257" s="43">
        <v>7654</v>
      </c>
      <c r="F257" s="44"/>
      <c r="G257" s="1" t="str">
        <f>IFERROR(IF(ventas_b_mes4[[#This Row],[CUIT]]="","-",VLOOKUP(ventas_b_mes4[[#This Row],[CUIT]],Lista_CUIT[#All],2,0)),"CUIT NO CARGADO")</f>
        <v>-</v>
      </c>
      <c r="H257" s="64">
        <v>12892.56</v>
      </c>
      <c r="I257" s="64">
        <f>ventas_b_mes4[[#This Row],[IMPORTE NETO]]*0.21</f>
        <v>2707.4375999999997</v>
      </c>
      <c r="J257" s="64"/>
      <c r="K257" s="64"/>
      <c r="L257" s="64">
        <f>SUM(ventas_b_mes4[[#This Row],[IMPORTE NETO]:[EXENTO]])</f>
        <v>15599.997599999999</v>
      </c>
      <c r="M257" s="59"/>
    </row>
    <row r="258" spans="2:13" x14ac:dyDescent="0.25">
      <c r="B258" s="40">
        <v>45019</v>
      </c>
      <c r="C258" s="41">
        <v>6</v>
      </c>
      <c r="D258" s="42">
        <v>5</v>
      </c>
      <c r="E258" s="43">
        <v>7647</v>
      </c>
      <c r="F258" s="44"/>
      <c r="G258" s="1"/>
      <c r="H258" s="64">
        <v>7272.73</v>
      </c>
      <c r="I258" s="64">
        <f>ventas_b_mes4[[#This Row],[IMPORTE NETO]]*0.21</f>
        <v>1527.2732999999998</v>
      </c>
      <c r="J258" s="64"/>
      <c r="K258" s="64"/>
      <c r="L258" s="64">
        <f>SUM(ventas_b_mes4[[#This Row],[IMPORTE NETO]:[EXENTO]])</f>
        <v>8800.0033000000003</v>
      </c>
      <c r="M258" s="59"/>
    </row>
    <row r="259" spans="2:13" x14ac:dyDescent="0.25">
      <c r="B259" s="40">
        <v>45019</v>
      </c>
      <c r="C259" s="41">
        <v>6</v>
      </c>
      <c r="D259" s="42">
        <v>5</v>
      </c>
      <c r="E259" s="43">
        <v>7644</v>
      </c>
      <c r="F259" s="44"/>
      <c r="G259" s="1"/>
      <c r="H259" s="64">
        <v>3884.3</v>
      </c>
      <c r="I259" s="64">
        <f>ventas_b_mes4[[#This Row],[IMPORTE NETO]]*0.21</f>
        <v>815.70299999999997</v>
      </c>
      <c r="J259" s="64"/>
      <c r="K259" s="64"/>
      <c r="L259" s="64">
        <f>SUM(ventas_b_mes4[[#This Row],[IMPORTE NETO]:[EXENTO]])</f>
        <v>4700.0030000000006</v>
      </c>
      <c r="M259" s="59"/>
    </row>
    <row r="260" spans="2:13" x14ac:dyDescent="0.25">
      <c r="B260" s="40">
        <v>45019</v>
      </c>
      <c r="C260" s="41">
        <v>6</v>
      </c>
      <c r="D260" s="42">
        <v>5</v>
      </c>
      <c r="E260" s="43">
        <v>7645</v>
      </c>
      <c r="F260" s="44"/>
      <c r="G260" s="1"/>
      <c r="H260" s="64">
        <v>4958.68</v>
      </c>
      <c r="I260" s="64">
        <f>ventas_b_mes4[[#This Row],[IMPORTE NETO]]*0.21</f>
        <v>1041.3227999999999</v>
      </c>
      <c r="J260" s="64"/>
      <c r="K260" s="64"/>
      <c r="L260" s="64">
        <f>SUM(ventas_b_mes4[[#This Row],[IMPORTE NETO]:[EXENTO]])</f>
        <v>6000.0028000000002</v>
      </c>
      <c r="M260" s="59"/>
    </row>
    <row r="261" spans="2:13" x14ac:dyDescent="0.25">
      <c r="B261" s="40">
        <v>45019</v>
      </c>
      <c r="C261" s="41">
        <v>6</v>
      </c>
      <c r="D261" s="42">
        <v>5</v>
      </c>
      <c r="E261" s="43">
        <v>7655</v>
      </c>
      <c r="F261" s="44"/>
      <c r="G261" s="1"/>
      <c r="H261" s="64">
        <v>4504.13</v>
      </c>
      <c r="I261" s="64">
        <f>ventas_b_mes4[[#This Row],[IMPORTE NETO]]*0.21</f>
        <v>945.8673</v>
      </c>
      <c r="J261" s="64"/>
      <c r="K261" s="64"/>
      <c r="L261" s="64">
        <f>SUM(ventas_b_mes4[[#This Row],[IMPORTE NETO]:[EXENTO]])</f>
        <v>5449.9973</v>
      </c>
      <c r="M261" s="59"/>
    </row>
    <row r="262" spans="2:13" x14ac:dyDescent="0.25">
      <c r="B262" s="322">
        <v>45019</v>
      </c>
      <c r="C262" s="41">
        <v>6</v>
      </c>
      <c r="D262" s="324">
        <v>5</v>
      </c>
      <c r="E262" s="325">
        <v>7649</v>
      </c>
      <c r="F262" s="326"/>
      <c r="G262" s="327" t="str">
        <f>IFERROR(IF(ventas_b_mes4[[#This Row],[CUIT]]="","-",VLOOKUP(ventas_b_mes4[[#This Row],[CUIT]],Lista_CUIT[#All],2,0)),"CUIT NO CARGADO")</f>
        <v>-</v>
      </c>
      <c r="H262" s="328">
        <v>2314.0500000000002</v>
      </c>
      <c r="I262" s="329">
        <f>ventas_b_mes4[[#This Row],[IMPORTE NETO]]*0.21</f>
        <v>485.95050000000003</v>
      </c>
      <c r="J262" s="330"/>
      <c r="K262" s="330"/>
      <c r="L262" s="330">
        <f>SUM(ventas_b_mes4[[#This Row],[IMPORTE NETO]:[EXENTO]])</f>
        <v>2800.0005000000001</v>
      </c>
      <c r="M262" s="310"/>
    </row>
    <row r="263" spans="2:13" x14ac:dyDescent="0.25">
      <c r="B263" s="322">
        <v>45019</v>
      </c>
      <c r="C263" s="41">
        <v>6</v>
      </c>
      <c r="D263" s="324">
        <v>5</v>
      </c>
      <c r="E263" s="325">
        <v>7650</v>
      </c>
      <c r="F263" s="326"/>
      <c r="G263" s="327" t="str">
        <f>IFERROR(IF(ventas_b_mes4[[#This Row],[CUIT]]="","-",VLOOKUP(ventas_b_mes4[[#This Row],[CUIT]],Lista_CUIT[#All],2,0)),"CUIT NO CARGADO")</f>
        <v>-</v>
      </c>
      <c r="H263" s="328">
        <v>8264.4699999999993</v>
      </c>
      <c r="I263" s="329">
        <f>ventas_b_mes4[[#This Row],[IMPORTE NETO]]*0.21</f>
        <v>1735.5386999999998</v>
      </c>
      <c r="J263" s="330"/>
      <c r="K263" s="330"/>
      <c r="L263" s="330">
        <f>SUM(ventas_b_mes4[[#This Row],[IMPORTE NETO]:[EXENTO]])</f>
        <v>10000.008699999998</v>
      </c>
      <c r="M263" s="310"/>
    </row>
    <row r="264" spans="2:13" x14ac:dyDescent="0.25">
      <c r="B264" s="322">
        <v>45019</v>
      </c>
      <c r="C264" s="41">
        <v>6</v>
      </c>
      <c r="D264" s="324">
        <v>5</v>
      </c>
      <c r="E264" s="325">
        <v>7651</v>
      </c>
      <c r="F264" s="326"/>
      <c r="G264" s="327" t="str">
        <f>IFERROR(IF(ventas_b_mes4[[#This Row],[CUIT]]="","-",VLOOKUP(ventas_b_mes4[[#This Row],[CUIT]],Lista_CUIT[#All],2,0)),"CUIT NO CARGADO")</f>
        <v>-</v>
      </c>
      <c r="H264" s="328">
        <v>2231.4</v>
      </c>
      <c r="I264" s="329">
        <f>ventas_b_mes4[[#This Row],[IMPORTE NETO]]*0.21</f>
        <v>468.59399999999999</v>
      </c>
      <c r="J264" s="330"/>
      <c r="K264" s="330"/>
      <c r="L264" s="330">
        <f>SUM(ventas_b_mes4[[#This Row],[IMPORTE NETO]:[EXENTO]])</f>
        <v>2699.9940000000001</v>
      </c>
      <c r="M264" s="310"/>
    </row>
    <row r="265" spans="2:13" x14ac:dyDescent="0.25">
      <c r="B265" s="322">
        <v>45019</v>
      </c>
      <c r="C265" s="41">
        <v>6</v>
      </c>
      <c r="D265" s="324">
        <v>7</v>
      </c>
      <c r="E265" s="325">
        <v>4229</v>
      </c>
      <c r="F265" s="326">
        <v>26542077</v>
      </c>
      <c r="G265" s="327" t="str">
        <f>IFERROR(IF(ventas_b_mes4[[#This Row],[CUIT]]="","-",VLOOKUP(ventas_b_mes4[[#This Row],[CUIT]],Lista_CUIT[#All],2,0)),"CUIT NO CARGADO")</f>
        <v>GABRIELA VANINA GALLO</v>
      </c>
      <c r="H265" s="328">
        <v>8677.69</v>
      </c>
      <c r="I265" s="329">
        <f>ventas_b_mes4[[#This Row],[IMPORTE NETO]]*0.21</f>
        <v>1822.3149000000001</v>
      </c>
      <c r="J265" s="330"/>
      <c r="K265" s="330"/>
      <c r="L265" s="330">
        <f>SUM(ventas_b_mes4[[#This Row],[IMPORTE NETO]:[EXENTO]])</f>
        <v>10500.0049</v>
      </c>
      <c r="M265" s="310"/>
    </row>
    <row r="266" spans="2:13" x14ac:dyDescent="0.25">
      <c r="B266" s="322">
        <v>45019</v>
      </c>
      <c r="C266" s="41">
        <v>6</v>
      </c>
      <c r="D266" s="324">
        <v>5</v>
      </c>
      <c r="E266" s="325">
        <v>7648</v>
      </c>
      <c r="F266" s="326"/>
      <c r="G266" s="327" t="str">
        <f>IFERROR(IF(ventas_b_mes4[[#This Row],[CUIT]]="","-",VLOOKUP(ventas_b_mes4[[#This Row],[CUIT]],Lista_CUIT[#All],2,0)),"CUIT NO CARGADO")</f>
        <v>-</v>
      </c>
      <c r="H266" s="328">
        <v>6446.28</v>
      </c>
      <c r="I266" s="329">
        <f>ventas_b_mes4[[#This Row],[IMPORTE NETO]]*0.21</f>
        <v>1353.7187999999999</v>
      </c>
      <c r="J266" s="330"/>
      <c r="K266" s="330"/>
      <c r="L266" s="330">
        <f>SUM(ventas_b_mes4[[#This Row],[IMPORTE NETO]:[EXENTO]])</f>
        <v>7799.9987999999994</v>
      </c>
      <c r="M266" s="310"/>
    </row>
    <row r="267" spans="2:13" x14ac:dyDescent="0.25">
      <c r="B267" s="322">
        <v>45019</v>
      </c>
      <c r="C267" s="41">
        <v>6</v>
      </c>
      <c r="D267" s="324">
        <v>5</v>
      </c>
      <c r="E267" s="325">
        <v>7653</v>
      </c>
      <c r="F267" s="326"/>
      <c r="G267" s="327" t="str">
        <f>IFERROR(IF(ventas_b_mes4[[#This Row],[CUIT]]="","-",VLOOKUP(ventas_b_mes4[[#This Row],[CUIT]],Lista_CUIT[#All],2,0)),"CUIT NO CARGADO")</f>
        <v>-</v>
      </c>
      <c r="H267" s="328">
        <v>15694.21</v>
      </c>
      <c r="I267" s="329">
        <f>ventas_b_mes4[[#This Row],[IMPORTE NETO]]*0.21</f>
        <v>3295.7840999999999</v>
      </c>
      <c r="J267" s="330"/>
      <c r="K267" s="330"/>
      <c r="L267" s="330">
        <f>SUM(ventas_b_mes4[[#This Row],[IMPORTE NETO]:[EXENTO]])</f>
        <v>18989.9941</v>
      </c>
      <c r="M267" s="310"/>
    </row>
    <row r="268" spans="2:13" x14ac:dyDescent="0.25">
      <c r="B268" s="322">
        <v>45019</v>
      </c>
      <c r="C268" s="41">
        <v>6</v>
      </c>
      <c r="D268" s="324">
        <v>5</v>
      </c>
      <c r="E268" s="325">
        <v>7646</v>
      </c>
      <c r="F268" s="326"/>
      <c r="G268" s="327" t="str">
        <f>IFERROR(IF(ventas_b_mes4[[#This Row],[CUIT]]="","-",VLOOKUP(ventas_b_mes4[[#This Row],[CUIT]],Lista_CUIT[#All],2,0)),"CUIT NO CARGADO")</f>
        <v>-</v>
      </c>
      <c r="H268" s="328">
        <v>9710.75</v>
      </c>
      <c r="I268" s="329">
        <f>ventas_b_mes4[[#This Row],[IMPORTE NETO]]*0.21</f>
        <v>2039.2574999999999</v>
      </c>
      <c r="J268" s="330"/>
      <c r="K268" s="330"/>
      <c r="L268" s="330">
        <f>SUM(ventas_b_mes4[[#This Row],[IMPORTE NETO]:[EXENTO]])</f>
        <v>11750.0075</v>
      </c>
      <c r="M268" s="310"/>
    </row>
    <row r="269" spans="2:13" x14ac:dyDescent="0.25">
      <c r="B269" s="322">
        <v>45019</v>
      </c>
      <c r="C269" s="41">
        <v>6</v>
      </c>
      <c r="D269" s="324">
        <v>5</v>
      </c>
      <c r="E269" s="325">
        <v>7652</v>
      </c>
      <c r="F269" s="326"/>
      <c r="G269" s="327" t="str">
        <f>IFERROR(IF(ventas_b_mes4[[#This Row],[CUIT]]="","-",VLOOKUP(ventas_b_mes4[[#This Row],[CUIT]],Lista_CUIT[#All],2,0)),"CUIT NO CARGADO")</f>
        <v>-</v>
      </c>
      <c r="H269" s="328">
        <v>7768.6</v>
      </c>
      <c r="I269" s="329">
        <f>ventas_b_mes4[[#This Row],[IMPORTE NETO]]*0.21</f>
        <v>1631.4059999999999</v>
      </c>
      <c r="J269" s="330"/>
      <c r="K269" s="330"/>
      <c r="L269" s="330">
        <f>SUM(ventas_b_mes4[[#This Row],[IMPORTE NETO]:[EXENTO]])</f>
        <v>9400.0060000000012</v>
      </c>
      <c r="M269" s="310"/>
    </row>
    <row r="270" spans="2:13" x14ac:dyDescent="0.25">
      <c r="B270" s="322">
        <v>45019</v>
      </c>
      <c r="C270" s="41">
        <v>6</v>
      </c>
      <c r="D270" s="324">
        <v>7</v>
      </c>
      <c r="E270" s="325">
        <v>4230</v>
      </c>
      <c r="F270" s="326"/>
      <c r="G270" s="327" t="str">
        <f>IFERROR(IF(ventas_b_mes4[[#This Row],[CUIT]]="","-",VLOOKUP(ventas_b_mes4[[#This Row],[CUIT]],Lista_CUIT[#All],2,0)),"CUIT NO CARGADO")</f>
        <v>-</v>
      </c>
      <c r="H270" s="328">
        <v>5950.41</v>
      </c>
      <c r="I270" s="329">
        <f>ventas_b_mes4[[#This Row],[IMPORTE NETO]]*0.21</f>
        <v>1249.5861</v>
      </c>
      <c r="J270" s="330"/>
      <c r="K270" s="330"/>
      <c r="L270" s="330">
        <f>SUM(ventas_b_mes4[[#This Row],[IMPORTE NETO]:[EXENTO]])</f>
        <v>7199.9961000000003</v>
      </c>
      <c r="M270" s="310"/>
    </row>
    <row r="271" spans="2:13" x14ac:dyDescent="0.25">
      <c r="B271" s="322">
        <v>45020</v>
      </c>
      <c r="C271" s="41">
        <v>6</v>
      </c>
      <c r="D271" s="324">
        <v>7</v>
      </c>
      <c r="E271" s="325">
        <v>4232</v>
      </c>
      <c r="F271" s="326"/>
      <c r="G271" s="327" t="str">
        <f>IFERROR(IF(ventas_b_mes4[[#This Row],[CUIT]]="","-",VLOOKUP(ventas_b_mes4[[#This Row],[CUIT]],Lista_CUIT[#All],2,0)),"CUIT NO CARGADO")</f>
        <v>-</v>
      </c>
      <c r="H271" s="328">
        <v>1487.6</v>
      </c>
      <c r="I271" s="329">
        <f>ventas_b_mes4[[#This Row],[IMPORTE NETO]]*0.21</f>
        <v>312.39599999999996</v>
      </c>
      <c r="J271" s="330"/>
      <c r="K271" s="330"/>
      <c r="L271" s="330">
        <f>SUM(ventas_b_mes4[[#This Row],[IMPORTE NETO]:[EXENTO]])</f>
        <v>1799.9959999999999</v>
      </c>
      <c r="M271" s="310"/>
    </row>
    <row r="272" spans="2:13" x14ac:dyDescent="0.25">
      <c r="B272" s="322">
        <v>45020</v>
      </c>
      <c r="C272" s="41">
        <v>6</v>
      </c>
      <c r="D272" s="324">
        <v>5</v>
      </c>
      <c r="E272" s="325">
        <v>7658</v>
      </c>
      <c r="F272" s="326"/>
      <c r="G272" s="327" t="str">
        <f>IFERROR(IF(ventas_b_mes4[[#This Row],[CUIT]]="","-",VLOOKUP(ventas_b_mes4[[#This Row],[CUIT]],Lista_CUIT[#All],2,0)),"CUIT NO CARGADO")</f>
        <v>-</v>
      </c>
      <c r="H272" s="328">
        <v>6198.35</v>
      </c>
      <c r="I272" s="329">
        <f>ventas_b_mes4[[#This Row],[IMPORTE NETO]]*0.21</f>
        <v>1301.6535000000001</v>
      </c>
      <c r="J272" s="330"/>
      <c r="K272" s="330"/>
      <c r="L272" s="330">
        <f>SUM(ventas_b_mes4[[#This Row],[IMPORTE NETO]:[EXENTO]])</f>
        <v>7500.0035000000007</v>
      </c>
      <c r="M272" s="310"/>
    </row>
    <row r="273" spans="2:13" x14ac:dyDescent="0.25">
      <c r="B273" s="322">
        <v>45020</v>
      </c>
      <c r="C273" s="41">
        <v>6</v>
      </c>
      <c r="D273" s="324">
        <v>5</v>
      </c>
      <c r="E273" s="325">
        <v>7665</v>
      </c>
      <c r="F273" s="326"/>
      <c r="G273" s="327" t="str">
        <f>IFERROR(IF(ventas_b_mes4[[#This Row],[CUIT]]="","-",VLOOKUP(ventas_b_mes4[[#This Row],[CUIT]],Lista_CUIT[#All],2,0)),"CUIT NO CARGADO")</f>
        <v>-</v>
      </c>
      <c r="H273" s="328">
        <v>2727.27</v>
      </c>
      <c r="I273" s="329">
        <f>ventas_b_mes4[[#This Row],[IMPORTE NETO]]*0.21</f>
        <v>572.72669999999994</v>
      </c>
      <c r="J273" s="330"/>
      <c r="K273" s="330"/>
      <c r="L273" s="330">
        <f>SUM(ventas_b_mes4[[#This Row],[IMPORTE NETO]:[EXENTO]])</f>
        <v>3299.9966999999997</v>
      </c>
      <c r="M273" s="310"/>
    </row>
    <row r="274" spans="2:13" x14ac:dyDescent="0.25">
      <c r="B274" s="322">
        <v>45020</v>
      </c>
      <c r="C274" s="41">
        <v>6</v>
      </c>
      <c r="D274" s="324">
        <v>5</v>
      </c>
      <c r="E274" s="325">
        <v>7661</v>
      </c>
      <c r="F274" s="326"/>
      <c r="G274" s="327" t="str">
        <f>IFERROR(IF(ventas_b_mes4[[#This Row],[CUIT]]="","-",VLOOKUP(ventas_b_mes4[[#This Row],[CUIT]],Lista_CUIT[#All],2,0)),"CUIT NO CARGADO")</f>
        <v>-</v>
      </c>
      <c r="H274" s="328">
        <v>7727.27</v>
      </c>
      <c r="I274" s="329">
        <f>ventas_b_mes4[[#This Row],[IMPORTE NETO]]*0.21</f>
        <v>1622.7266999999999</v>
      </c>
      <c r="J274" s="330"/>
      <c r="K274" s="330"/>
      <c r="L274" s="330">
        <f>SUM(ventas_b_mes4[[#This Row],[IMPORTE NETO]:[EXENTO]])</f>
        <v>9349.9966999999997</v>
      </c>
      <c r="M274" s="310"/>
    </row>
    <row r="275" spans="2:13" x14ac:dyDescent="0.25">
      <c r="B275" s="322">
        <v>45020</v>
      </c>
      <c r="C275" s="41">
        <v>6</v>
      </c>
      <c r="D275" s="324">
        <v>5</v>
      </c>
      <c r="E275" s="325">
        <v>7659</v>
      </c>
      <c r="F275" s="326"/>
      <c r="G275" s="327" t="str">
        <f>IFERROR(IF(ventas_b_mes4[[#This Row],[CUIT]]="","-",VLOOKUP(ventas_b_mes4[[#This Row],[CUIT]],Lista_CUIT[#All],2,0)),"CUIT NO CARGADO")</f>
        <v>-</v>
      </c>
      <c r="H275" s="328">
        <v>3884.3</v>
      </c>
      <c r="I275" s="329">
        <f>ventas_b_mes4[[#This Row],[IMPORTE NETO]]*0.21</f>
        <v>815.70299999999997</v>
      </c>
      <c r="J275" s="330"/>
      <c r="K275" s="330"/>
      <c r="L275" s="330">
        <f>SUM(ventas_b_mes4[[#This Row],[IMPORTE NETO]:[EXENTO]])</f>
        <v>4700.0030000000006</v>
      </c>
      <c r="M275" s="310"/>
    </row>
    <row r="276" spans="2:13" x14ac:dyDescent="0.25">
      <c r="B276" s="322">
        <v>45020</v>
      </c>
      <c r="C276" s="41">
        <v>6</v>
      </c>
      <c r="D276" s="324">
        <v>5</v>
      </c>
      <c r="E276" s="325">
        <v>7666</v>
      </c>
      <c r="F276" s="326"/>
      <c r="G276" s="327" t="str">
        <f>IFERROR(IF(ventas_b_mes4[[#This Row],[CUIT]]="","-",VLOOKUP(ventas_b_mes4[[#This Row],[CUIT]],Lista_CUIT[#All],2,0)),"CUIT NO CARGADO")</f>
        <v>-</v>
      </c>
      <c r="H276" s="328">
        <v>4132.2299999999996</v>
      </c>
      <c r="I276" s="329">
        <f>ventas_b_mes4[[#This Row],[IMPORTE NETO]]*0.21</f>
        <v>867.76829999999984</v>
      </c>
      <c r="J276" s="330"/>
      <c r="K276" s="330"/>
      <c r="L276" s="330">
        <f>SUM(ventas_b_mes4[[#This Row],[IMPORTE NETO]:[EXENTO]])</f>
        <v>4999.9982999999993</v>
      </c>
      <c r="M276" s="310"/>
    </row>
    <row r="277" spans="2:13" x14ac:dyDescent="0.25">
      <c r="B277" s="322">
        <v>45020</v>
      </c>
      <c r="C277" s="41">
        <v>6</v>
      </c>
      <c r="D277" s="324">
        <v>5</v>
      </c>
      <c r="E277" s="325">
        <v>7663</v>
      </c>
      <c r="F277" s="326"/>
      <c r="G277" s="327" t="str">
        <f>IFERROR(IF(ventas_b_mes4[[#This Row],[CUIT]]="","-",VLOOKUP(ventas_b_mes4[[#This Row],[CUIT]],Lista_CUIT[#All],2,0)),"CUIT NO CARGADO")</f>
        <v>-</v>
      </c>
      <c r="H277" s="328">
        <v>1735.54</v>
      </c>
      <c r="I277" s="329">
        <f>ventas_b_mes4[[#This Row],[IMPORTE NETO]]*0.21</f>
        <v>364.46339999999998</v>
      </c>
      <c r="J277" s="330"/>
      <c r="K277" s="330"/>
      <c r="L277" s="330">
        <f>SUM(ventas_b_mes4[[#This Row],[IMPORTE NETO]:[EXENTO]])</f>
        <v>2100.0034000000001</v>
      </c>
      <c r="M277" s="310"/>
    </row>
    <row r="278" spans="2:13" x14ac:dyDescent="0.25">
      <c r="B278" s="322">
        <v>45020</v>
      </c>
      <c r="C278" s="41">
        <v>6</v>
      </c>
      <c r="D278" s="324">
        <v>5</v>
      </c>
      <c r="E278" s="325">
        <v>7660</v>
      </c>
      <c r="F278" s="326"/>
      <c r="G278" s="327" t="str">
        <f>IFERROR(IF(ventas_b_mes4[[#This Row],[CUIT]]="","-",VLOOKUP(ventas_b_mes4[[#This Row],[CUIT]],Lista_CUIT[#All],2,0)),"CUIT NO CARGADO")</f>
        <v>-</v>
      </c>
      <c r="H278" s="328">
        <v>21074.38</v>
      </c>
      <c r="I278" s="329">
        <f>ventas_b_mes4[[#This Row],[IMPORTE NETO]]*0.21</f>
        <v>4425.6198000000004</v>
      </c>
      <c r="J278" s="330"/>
      <c r="K278" s="330"/>
      <c r="L278" s="330">
        <f>SUM(ventas_b_mes4[[#This Row],[IMPORTE NETO]:[EXENTO]])</f>
        <v>25499.999800000001</v>
      </c>
      <c r="M278" s="310"/>
    </row>
    <row r="279" spans="2:13" x14ac:dyDescent="0.25">
      <c r="B279" s="322">
        <v>45020</v>
      </c>
      <c r="C279" s="41">
        <v>6</v>
      </c>
      <c r="D279" s="324">
        <v>5</v>
      </c>
      <c r="E279" s="325">
        <v>7664</v>
      </c>
      <c r="F279" s="326"/>
      <c r="G279" s="327" t="str">
        <f>IFERROR(IF(ventas_b_mes4[[#This Row],[CUIT]]="","-",VLOOKUP(ventas_b_mes4[[#This Row],[CUIT]],Lista_CUIT[#All],2,0)),"CUIT NO CARGADO")</f>
        <v>-</v>
      </c>
      <c r="H279" s="328">
        <v>4132.2299999999996</v>
      </c>
      <c r="I279" s="329">
        <f>ventas_b_mes4[[#This Row],[IMPORTE NETO]]*0.21</f>
        <v>867.76829999999984</v>
      </c>
      <c r="J279" s="330"/>
      <c r="K279" s="330"/>
      <c r="L279" s="330">
        <f>SUM(ventas_b_mes4[[#This Row],[IMPORTE NETO]:[EXENTO]])</f>
        <v>4999.9982999999993</v>
      </c>
      <c r="M279" s="310"/>
    </row>
    <row r="280" spans="2:13" x14ac:dyDescent="0.25">
      <c r="B280" s="322">
        <v>45020</v>
      </c>
      <c r="C280" s="41">
        <v>6</v>
      </c>
      <c r="D280" s="324">
        <v>5</v>
      </c>
      <c r="E280" s="325">
        <v>7657</v>
      </c>
      <c r="F280" s="326"/>
      <c r="G280" s="327" t="str">
        <f>IFERROR(IF(ventas_b_mes4[[#This Row],[CUIT]]="","-",VLOOKUP(ventas_b_mes4[[#This Row],[CUIT]],Lista_CUIT[#All],2,0)),"CUIT NO CARGADO")</f>
        <v>-</v>
      </c>
      <c r="H280" s="328">
        <v>5537.19</v>
      </c>
      <c r="I280" s="329">
        <f>ventas_b_mes4[[#This Row],[IMPORTE NETO]]*0.21</f>
        <v>1162.8099</v>
      </c>
      <c r="J280" s="330"/>
      <c r="K280" s="330"/>
      <c r="L280" s="330">
        <f>SUM(ventas_b_mes4[[#This Row],[IMPORTE NETO]:[EXENTO]])</f>
        <v>6699.9998999999998</v>
      </c>
      <c r="M280" s="310"/>
    </row>
    <row r="281" spans="2:13" x14ac:dyDescent="0.25">
      <c r="B281" s="322">
        <v>45020</v>
      </c>
      <c r="C281" s="41">
        <v>6</v>
      </c>
      <c r="D281" s="324">
        <v>7</v>
      </c>
      <c r="E281" s="325">
        <v>4231</v>
      </c>
      <c r="F281" s="326"/>
      <c r="G281" s="327" t="str">
        <f>IFERROR(IF(ventas_b_mes4[[#This Row],[CUIT]]="","-",VLOOKUP(ventas_b_mes4[[#This Row],[CUIT]],Lista_CUIT[#All],2,0)),"CUIT NO CARGADO")</f>
        <v>-</v>
      </c>
      <c r="H281" s="328">
        <v>3471.07</v>
      </c>
      <c r="I281" s="329">
        <f>ventas_b_mes4[[#This Row],[IMPORTE NETO]]*0.21</f>
        <v>728.92470000000003</v>
      </c>
      <c r="J281" s="330"/>
      <c r="K281" s="330"/>
      <c r="L281" s="330">
        <f>SUM(ventas_b_mes4[[#This Row],[IMPORTE NETO]:[EXENTO]])</f>
        <v>4199.9947000000002</v>
      </c>
      <c r="M281" s="310"/>
    </row>
    <row r="282" spans="2:13" x14ac:dyDescent="0.25">
      <c r="B282" s="322">
        <v>45020</v>
      </c>
      <c r="C282" s="41">
        <v>6</v>
      </c>
      <c r="D282" s="324">
        <v>5</v>
      </c>
      <c r="E282" s="325">
        <v>7662</v>
      </c>
      <c r="F282" s="326"/>
      <c r="G282" s="327" t="str">
        <f>IFERROR(IF(ventas_b_mes4[[#This Row],[CUIT]]="","-",VLOOKUP(ventas_b_mes4[[#This Row],[CUIT]],Lista_CUIT[#All],2,0)),"CUIT NO CARGADO")</f>
        <v>-</v>
      </c>
      <c r="H282" s="328">
        <v>2727.27</v>
      </c>
      <c r="I282" s="329">
        <f>ventas_b_mes4[[#This Row],[IMPORTE NETO]]*0.21</f>
        <v>572.72669999999994</v>
      </c>
      <c r="J282" s="330"/>
      <c r="K282" s="330"/>
      <c r="L282" s="330">
        <f>SUM(ventas_b_mes4[[#This Row],[IMPORTE NETO]:[EXENTO]])</f>
        <v>3299.9966999999997</v>
      </c>
      <c r="M282" s="310"/>
    </row>
    <row r="283" spans="2:13" x14ac:dyDescent="0.25">
      <c r="B283" s="322">
        <v>45020</v>
      </c>
      <c r="C283" s="41">
        <v>6</v>
      </c>
      <c r="D283" s="324">
        <v>7</v>
      </c>
      <c r="E283" s="325">
        <v>4233</v>
      </c>
      <c r="F283" s="326"/>
      <c r="G283" s="327" t="str">
        <f>IFERROR(IF(ventas_b_mes4[[#This Row],[CUIT]]="","-",VLOOKUP(ventas_b_mes4[[#This Row],[CUIT]],Lista_CUIT[#All],2,0)),"CUIT NO CARGADO")</f>
        <v>-</v>
      </c>
      <c r="H283" s="328">
        <v>6446.28</v>
      </c>
      <c r="I283" s="329">
        <f>ventas_b_mes4[[#This Row],[IMPORTE NETO]]*0.21</f>
        <v>1353.7187999999999</v>
      </c>
      <c r="J283" s="330"/>
      <c r="K283" s="330"/>
      <c r="L283" s="330">
        <f>SUM(ventas_b_mes4[[#This Row],[IMPORTE NETO]:[EXENTO]])</f>
        <v>7799.9987999999994</v>
      </c>
      <c r="M283" s="310"/>
    </row>
    <row r="284" spans="2:13" x14ac:dyDescent="0.25">
      <c r="B284" s="322">
        <v>45020</v>
      </c>
      <c r="C284" s="41">
        <v>6</v>
      </c>
      <c r="D284" s="324">
        <v>5</v>
      </c>
      <c r="E284" s="325">
        <v>7656</v>
      </c>
      <c r="F284" s="326"/>
      <c r="G284" s="327" t="str">
        <f>IFERROR(IF(ventas_b_mes4[[#This Row],[CUIT]]="","-",VLOOKUP(ventas_b_mes4[[#This Row],[CUIT]],Lista_CUIT[#All],2,0)),"CUIT NO CARGADO")</f>
        <v>-</v>
      </c>
      <c r="H284" s="328">
        <v>3884.3</v>
      </c>
      <c r="I284" s="329">
        <f>ventas_b_mes4[[#This Row],[IMPORTE NETO]]*0.21</f>
        <v>815.70299999999997</v>
      </c>
      <c r="J284" s="330"/>
      <c r="K284" s="330"/>
      <c r="L284" s="330">
        <f>SUM(ventas_b_mes4[[#This Row],[IMPORTE NETO]:[EXENTO]])</f>
        <v>4700.0030000000006</v>
      </c>
      <c r="M284" s="310"/>
    </row>
    <row r="285" spans="2:13" x14ac:dyDescent="0.25">
      <c r="B285" s="322">
        <v>45021</v>
      </c>
      <c r="C285" s="41">
        <v>6</v>
      </c>
      <c r="D285" s="324">
        <v>5</v>
      </c>
      <c r="E285" s="325">
        <v>7672</v>
      </c>
      <c r="F285" s="326"/>
      <c r="G285" s="327" t="str">
        <f>IFERROR(IF(ventas_b_mes4[[#This Row],[CUIT]]="","-",VLOOKUP(ventas_b_mes4[[#This Row],[CUIT]],Lista_CUIT[#All],2,0)),"CUIT NO CARGADO")</f>
        <v>-</v>
      </c>
      <c r="H285" s="328">
        <v>3884.3</v>
      </c>
      <c r="I285" s="329">
        <f>ventas_b_mes4[[#This Row],[IMPORTE NETO]]*0.21</f>
        <v>815.70299999999997</v>
      </c>
      <c r="J285" s="330"/>
      <c r="K285" s="330"/>
      <c r="L285" s="330">
        <f>SUM(ventas_b_mes4[[#This Row],[IMPORTE NETO]:[EXENTO]])</f>
        <v>4700.0030000000006</v>
      </c>
      <c r="M285" s="310"/>
    </row>
    <row r="286" spans="2:13" x14ac:dyDescent="0.25">
      <c r="B286" s="322">
        <v>45021</v>
      </c>
      <c r="C286" s="41">
        <v>6</v>
      </c>
      <c r="D286" s="324">
        <v>5</v>
      </c>
      <c r="E286" s="325">
        <v>7671</v>
      </c>
      <c r="F286" s="326"/>
      <c r="G286" s="327" t="str">
        <f>IFERROR(IF(ventas_b_mes4[[#This Row],[CUIT]]="","-",VLOOKUP(ventas_b_mes4[[#This Row],[CUIT]],Lista_CUIT[#All],2,0)),"CUIT NO CARGADO")</f>
        <v>-</v>
      </c>
      <c r="H286" s="328">
        <v>6198.35</v>
      </c>
      <c r="I286" s="329">
        <f>ventas_b_mes4[[#This Row],[IMPORTE NETO]]*0.21</f>
        <v>1301.6535000000001</v>
      </c>
      <c r="J286" s="330"/>
      <c r="K286" s="330"/>
      <c r="L286" s="330">
        <f>SUM(ventas_b_mes4[[#This Row],[IMPORTE NETO]:[EXENTO]])</f>
        <v>7500.0035000000007</v>
      </c>
      <c r="M286" s="310"/>
    </row>
    <row r="287" spans="2:13" x14ac:dyDescent="0.25">
      <c r="B287" s="322">
        <v>45021</v>
      </c>
      <c r="C287" s="41">
        <v>6</v>
      </c>
      <c r="D287" s="324">
        <v>7</v>
      </c>
      <c r="E287" s="325">
        <v>4234</v>
      </c>
      <c r="F287" s="326"/>
      <c r="G287" s="327" t="str">
        <f>IFERROR(IF(ventas_b_mes4[[#This Row],[CUIT]]="","-",VLOOKUP(ventas_b_mes4[[#This Row],[CUIT]],Lista_CUIT[#All],2,0)),"CUIT NO CARGADO")</f>
        <v>-</v>
      </c>
      <c r="H287" s="328">
        <v>4628.1000000000004</v>
      </c>
      <c r="I287" s="329">
        <f>ventas_b_mes4[[#This Row],[IMPORTE NETO]]*0.21</f>
        <v>971.90100000000007</v>
      </c>
      <c r="J287" s="330"/>
      <c r="K287" s="330"/>
      <c r="L287" s="330">
        <f>SUM(ventas_b_mes4[[#This Row],[IMPORTE NETO]:[EXENTO]])</f>
        <v>5600.0010000000002</v>
      </c>
      <c r="M287" s="310"/>
    </row>
    <row r="288" spans="2:13" x14ac:dyDescent="0.25">
      <c r="B288" s="322">
        <v>45021</v>
      </c>
      <c r="C288" s="41">
        <v>6</v>
      </c>
      <c r="D288" s="324">
        <v>5</v>
      </c>
      <c r="E288" s="325">
        <v>7668</v>
      </c>
      <c r="F288" s="326"/>
      <c r="G288" s="327" t="str">
        <f>IFERROR(IF(ventas_b_mes4[[#This Row],[CUIT]]="","-",VLOOKUP(ventas_b_mes4[[#This Row],[CUIT]],Lista_CUIT[#All],2,0)),"CUIT NO CARGADO")</f>
        <v>-</v>
      </c>
      <c r="H288" s="328">
        <v>4132.2299999999996</v>
      </c>
      <c r="I288" s="329">
        <f>ventas_b_mes4[[#This Row],[IMPORTE NETO]]*0.21</f>
        <v>867.76829999999984</v>
      </c>
      <c r="J288" s="330"/>
      <c r="K288" s="330"/>
      <c r="L288" s="330">
        <f>SUM(ventas_b_mes4[[#This Row],[IMPORTE NETO]:[EXENTO]])</f>
        <v>4999.9982999999993</v>
      </c>
      <c r="M288" s="310"/>
    </row>
    <row r="289" spans="2:13" x14ac:dyDescent="0.25">
      <c r="B289" s="40">
        <v>45021</v>
      </c>
      <c r="C289" s="41">
        <v>6</v>
      </c>
      <c r="D289" s="42">
        <v>5</v>
      </c>
      <c r="E289" s="43">
        <v>7670</v>
      </c>
      <c r="F289" s="44"/>
      <c r="G289" s="1"/>
      <c r="H289" s="64">
        <v>23041.32</v>
      </c>
      <c r="I289" s="64">
        <f>ventas_b_mes4[[#This Row],[IMPORTE NETO]]*0.21</f>
        <v>4838.6772000000001</v>
      </c>
      <c r="J289" s="64"/>
      <c r="K289" s="64"/>
      <c r="L289" s="64">
        <f>SUM(ventas_b_mes4[[#This Row],[IMPORTE NETO]:[EXENTO]])</f>
        <v>27879.997199999998</v>
      </c>
      <c r="M289" s="59"/>
    </row>
    <row r="290" spans="2:13" x14ac:dyDescent="0.25">
      <c r="B290" s="331">
        <v>45021</v>
      </c>
      <c r="C290" s="41">
        <v>6</v>
      </c>
      <c r="D290" s="332">
        <v>5</v>
      </c>
      <c r="E290" s="333">
        <v>7669</v>
      </c>
      <c r="F290" s="334"/>
      <c r="G290" s="335" t="str">
        <f>IFERROR(IF(ventas_b_mes4[[#This Row],[CUIT]]="","-",VLOOKUP(ventas_b_mes4[[#This Row],[CUIT]],Lista_CUIT[#All],2,0)),"CUIT NO CARGADO")</f>
        <v>-</v>
      </c>
      <c r="H290" s="336">
        <v>2842.97</v>
      </c>
      <c r="I290" s="337">
        <f>ventas_b_mes4[[#This Row],[IMPORTE NETO]]*0.21</f>
        <v>597.02369999999996</v>
      </c>
      <c r="J290" s="338"/>
      <c r="K290" s="338"/>
      <c r="L290" s="338">
        <f>SUM(ventas_b_mes4[[#This Row],[IMPORTE NETO]:[EXENTO]])</f>
        <v>3439.9937</v>
      </c>
      <c r="M290" s="319"/>
    </row>
    <row r="291" spans="2:13" x14ac:dyDescent="0.25">
      <c r="B291" s="331">
        <v>45021</v>
      </c>
      <c r="C291" s="41">
        <v>6</v>
      </c>
      <c r="D291" s="332">
        <v>5</v>
      </c>
      <c r="E291" s="333">
        <v>7667</v>
      </c>
      <c r="F291" s="334"/>
      <c r="G291" s="335" t="str">
        <f>IFERROR(IF(ventas_b_mes4[[#This Row],[CUIT]]="","-",VLOOKUP(ventas_b_mes4[[#This Row],[CUIT]],Lista_CUIT[#All],2,0)),"CUIT NO CARGADO")</f>
        <v>-</v>
      </c>
      <c r="H291" s="336">
        <v>21074.38</v>
      </c>
      <c r="I291" s="337">
        <f>ventas_b_mes4[[#This Row],[IMPORTE NETO]]*0.21</f>
        <v>4425.6198000000004</v>
      </c>
      <c r="J291" s="338"/>
      <c r="K291" s="338"/>
      <c r="L291" s="338">
        <f>SUM(ventas_b_mes4[[#This Row],[IMPORTE NETO]:[EXENTO]])</f>
        <v>25499.999800000001</v>
      </c>
      <c r="M291" s="319"/>
    </row>
    <row r="292" spans="2:13" x14ac:dyDescent="0.25">
      <c r="B292" s="331">
        <v>45021</v>
      </c>
      <c r="C292" s="41">
        <v>6</v>
      </c>
      <c r="D292" s="332">
        <v>5</v>
      </c>
      <c r="E292" s="333">
        <v>7673</v>
      </c>
      <c r="F292" s="334"/>
      <c r="G292" s="335" t="str">
        <f>IFERROR(IF(ventas_b_mes4[[#This Row],[CUIT]]="","-",VLOOKUP(ventas_b_mes4[[#This Row],[CUIT]],Lista_CUIT[#All],2,0)),"CUIT NO CARGADO")</f>
        <v>-</v>
      </c>
      <c r="H292" s="336">
        <v>4876.03</v>
      </c>
      <c r="I292" s="337">
        <f>ventas_b_mes4[[#This Row],[IMPORTE NETO]]*0.21</f>
        <v>1023.9662999999999</v>
      </c>
      <c r="J292" s="338"/>
      <c r="K292" s="338"/>
      <c r="L292" s="338">
        <f>SUM(ventas_b_mes4[[#This Row],[IMPORTE NETO]:[EXENTO]])</f>
        <v>5899.9962999999998</v>
      </c>
      <c r="M292" s="319"/>
    </row>
    <row r="293" spans="2:13" x14ac:dyDescent="0.25">
      <c r="B293" s="331">
        <v>45026</v>
      </c>
      <c r="C293" s="41">
        <v>6</v>
      </c>
      <c r="D293" s="332">
        <v>7</v>
      </c>
      <c r="E293" s="333">
        <v>4235</v>
      </c>
      <c r="F293" s="334"/>
      <c r="G293" s="335" t="str">
        <f>IFERROR(IF(ventas_b_mes4[[#This Row],[CUIT]]="","-",VLOOKUP(ventas_b_mes4[[#This Row],[CUIT]],Lista_CUIT[#All],2,0)),"CUIT NO CARGADO")</f>
        <v>-</v>
      </c>
      <c r="H293" s="336">
        <v>3719.01</v>
      </c>
      <c r="I293" s="337">
        <f>ventas_b_mes4[[#This Row],[IMPORTE NETO]]*0.21</f>
        <v>780.99210000000005</v>
      </c>
      <c r="J293" s="338"/>
      <c r="K293" s="338"/>
      <c r="L293" s="338">
        <f>SUM(ventas_b_mes4[[#This Row],[IMPORTE NETO]:[EXENTO]])</f>
        <v>4500.0021000000006</v>
      </c>
      <c r="M293" s="319"/>
    </row>
    <row r="294" spans="2:13" x14ac:dyDescent="0.25">
      <c r="B294" s="331">
        <v>45026</v>
      </c>
      <c r="C294" s="41">
        <v>6</v>
      </c>
      <c r="D294" s="332">
        <v>5</v>
      </c>
      <c r="E294" s="333">
        <v>7676</v>
      </c>
      <c r="F294" s="334"/>
      <c r="G294" s="335" t="str">
        <f>IFERROR(IF(ventas_b_mes4[[#This Row],[CUIT]]="","-",VLOOKUP(ventas_b_mes4[[#This Row],[CUIT]],Lista_CUIT[#All],2,0)),"CUIT NO CARGADO")</f>
        <v>-</v>
      </c>
      <c r="H294" s="336">
        <v>5851.24</v>
      </c>
      <c r="I294" s="337">
        <f>ventas_b_mes4[[#This Row],[IMPORTE NETO]]*0.21</f>
        <v>1228.7603999999999</v>
      </c>
      <c r="J294" s="338"/>
      <c r="K294" s="338"/>
      <c r="L294" s="338">
        <f>SUM(ventas_b_mes4[[#This Row],[IMPORTE NETO]:[EXENTO]])</f>
        <v>7080.0003999999999</v>
      </c>
      <c r="M294" s="319"/>
    </row>
    <row r="295" spans="2:13" x14ac:dyDescent="0.25">
      <c r="B295" s="331">
        <v>45026</v>
      </c>
      <c r="C295" s="41">
        <v>6</v>
      </c>
      <c r="D295" s="332">
        <v>5</v>
      </c>
      <c r="E295" s="333">
        <v>7675</v>
      </c>
      <c r="F295" s="334"/>
      <c r="G295" s="335" t="str">
        <f>IFERROR(IF(ventas_b_mes4[[#This Row],[CUIT]]="","-",VLOOKUP(ventas_b_mes4[[#This Row],[CUIT]],Lista_CUIT[#All],2,0)),"CUIT NO CARGADO")</f>
        <v>-</v>
      </c>
      <c r="H295" s="336">
        <v>15289.26</v>
      </c>
      <c r="I295" s="337">
        <f>ventas_b_mes4[[#This Row],[IMPORTE NETO]]*0.21</f>
        <v>3210.7446</v>
      </c>
      <c r="J295" s="338"/>
      <c r="K295" s="338"/>
      <c r="L295" s="338">
        <f>SUM(ventas_b_mes4[[#This Row],[IMPORTE NETO]:[EXENTO]])</f>
        <v>18500.0046</v>
      </c>
      <c r="M295" s="319"/>
    </row>
    <row r="296" spans="2:13" x14ac:dyDescent="0.25">
      <c r="B296" s="331">
        <v>45026</v>
      </c>
      <c r="C296" s="41">
        <v>6</v>
      </c>
      <c r="D296" s="332">
        <v>5</v>
      </c>
      <c r="E296" s="333">
        <v>7674</v>
      </c>
      <c r="F296" s="334"/>
      <c r="G296" s="335" t="str">
        <f>IFERROR(IF(ventas_b_mes4[[#This Row],[CUIT]]="","-",VLOOKUP(ventas_b_mes4[[#This Row],[CUIT]],Lista_CUIT[#All],2,0)),"CUIT NO CARGADO")</f>
        <v>-</v>
      </c>
      <c r="H296" s="336">
        <v>1322.31</v>
      </c>
      <c r="I296" s="337">
        <f>ventas_b_mes4[[#This Row],[IMPORTE NETO]]*0.21</f>
        <v>277.68509999999998</v>
      </c>
      <c r="J296" s="338"/>
      <c r="K296" s="338"/>
      <c r="L296" s="338">
        <f>SUM(ventas_b_mes4[[#This Row],[IMPORTE NETO]:[EXENTO]])</f>
        <v>1599.9950999999999</v>
      </c>
      <c r="M296" s="319"/>
    </row>
    <row r="297" spans="2:13" x14ac:dyDescent="0.25">
      <c r="B297" s="322">
        <v>45026</v>
      </c>
      <c r="C297" s="41">
        <v>6</v>
      </c>
      <c r="D297" s="324">
        <v>5</v>
      </c>
      <c r="E297" s="325">
        <v>7678</v>
      </c>
      <c r="F297" s="326"/>
      <c r="G297" s="327" t="str">
        <f>IFERROR(IF(ventas_b_mes4[[#This Row],[CUIT]]="","-",VLOOKUP(ventas_b_mes4[[#This Row],[CUIT]],Lista_CUIT[#All],2,0)),"CUIT NO CARGADO")</f>
        <v>-</v>
      </c>
      <c r="H297" s="328">
        <v>2727.27</v>
      </c>
      <c r="I297" s="329">
        <f>ventas_b_mes4[[#This Row],[IMPORTE NETO]]*0.21</f>
        <v>572.72669999999994</v>
      </c>
      <c r="J297" s="330"/>
      <c r="K297" s="330"/>
      <c r="L297" s="330">
        <f>SUM(ventas_b_mes4[[#This Row],[IMPORTE NETO]:[EXENTO]])</f>
        <v>3299.9966999999997</v>
      </c>
      <c r="M297" s="310"/>
    </row>
    <row r="298" spans="2:13" x14ac:dyDescent="0.25">
      <c r="B298" s="322">
        <v>45026</v>
      </c>
      <c r="C298" s="41">
        <v>6</v>
      </c>
      <c r="D298" s="324">
        <v>5</v>
      </c>
      <c r="E298" s="325">
        <v>7683</v>
      </c>
      <c r="F298" s="326"/>
      <c r="G298" s="327" t="str">
        <f>IFERROR(IF(ventas_b_mes4[[#This Row],[CUIT]]="","-",VLOOKUP(ventas_b_mes4[[#This Row],[CUIT]],Lista_CUIT[#All],2,0)),"CUIT NO CARGADO")</f>
        <v>-</v>
      </c>
      <c r="H298" s="328">
        <v>6280.99</v>
      </c>
      <c r="I298" s="329">
        <f>ventas_b_mes4[[#This Row],[IMPORTE NETO]]*0.21</f>
        <v>1319.0078999999998</v>
      </c>
      <c r="J298" s="330"/>
      <c r="K298" s="330"/>
      <c r="L298" s="330">
        <f>SUM(ventas_b_mes4[[#This Row],[IMPORTE NETO]:[EXENTO]])</f>
        <v>7599.9978999999994</v>
      </c>
      <c r="M298" s="310"/>
    </row>
    <row r="299" spans="2:13" x14ac:dyDescent="0.25">
      <c r="B299" s="322">
        <v>45026</v>
      </c>
      <c r="C299" s="41">
        <v>6</v>
      </c>
      <c r="D299" s="324">
        <v>5</v>
      </c>
      <c r="E299" s="325">
        <v>7682</v>
      </c>
      <c r="F299" s="326"/>
      <c r="G299" s="327" t="str">
        <f>IFERROR(IF(ventas_b_mes4[[#This Row],[CUIT]]="","-",VLOOKUP(ventas_b_mes4[[#This Row],[CUIT]],Lista_CUIT[#All],2,0)),"CUIT NO CARGADO")</f>
        <v>-</v>
      </c>
      <c r="H299" s="328">
        <v>5785.12</v>
      </c>
      <c r="I299" s="329">
        <f>ventas_b_mes4[[#This Row],[IMPORTE NETO]]*0.21</f>
        <v>1214.8751999999999</v>
      </c>
      <c r="J299" s="330"/>
      <c r="K299" s="330"/>
      <c r="L299" s="330">
        <f>SUM(ventas_b_mes4[[#This Row],[IMPORTE NETO]:[EXENTO]])</f>
        <v>6999.9951999999994</v>
      </c>
      <c r="M299" s="310"/>
    </row>
    <row r="300" spans="2:13" x14ac:dyDescent="0.25">
      <c r="B300" s="322">
        <v>45026</v>
      </c>
      <c r="C300" s="41">
        <v>6</v>
      </c>
      <c r="D300" s="324">
        <v>5</v>
      </c>
      <c r="E300" s="325">
        <v>7677</v>
      </c>
      <c r="F300" s="326"/>
      <c r="G300" s="327" t="str">
        <f>IFERROR(IF(ventas_b_mes4[[#This Row],[CUIT]]="","-",VLOOKUP(ventas_b_mes4[[#This Row],[CUIT]],Lista_CUIT[#All],2,0)),"CUIT NO CARGADO")</f>
        <v>-</v>
      </c>
      <c r="H300" s="328">
        <v>2644.63</v>
      </c>
      <c r="I300" s="329">
        <f>ventas_b_mes4[[#This Row],[IMPORTE NETO]]*0.21</f>
        <v>555.3723</v>
      </c>
      <c r="J300" s="330"/>
      <c r="K300" s="330"/>
      <c r="L300" s="330">
        <f>SUM(ventas_b_mes4[[#This Row],[IMPORTE NETO]:[EXENTO]])</f>
        <v>3200.0023000000001</v>
      </c>
      <c r="M300" s="310"/>
    </row>
    <row r="301" spans="2:13" x14ac:dyDescent="0.25">
      <c r="B301" s="322">
        <v>45026</v>
      </c>
      <c r="C301" s="41">
        <v>6</v>
      </c>
      <c r="D301" s="324">
        <v>5</v>
      </c>
      <c r="E301" s="325">
        <v>7680</v>
      </c>
      <c r="F301" s="326"/>
      <c r="G301" s="327" t="str">
        <f>IFERROR(IF(ventas_b_mes4[[#This Row],[CUIT]]="","-",VLOOKUP(ventas_b_mes4[[#This Row],[CUIT]],Lista_CUIT[#All],2,0)),"CUIT NO CARGADO")</f>
        <v>-</v>
      </c>
      <c r="H301" s="328">
        <v>3884.3</v>
      </c>
      <c r="I301" s="329">
        <f>ventas_b_mes4[[#This Row],[IMPORTE NETO]]*0.21</f>
        <v>815.70299999999997</v>
      </c>
      <c r="J301" s="330"/>
      <c r="K301" s="330"/>
      <c r="L301" s="330">
        <f>SUM(ventas_b_mes4[[#This Row],[IMPORTE NETO]:[EXENTO]])</f>
        <v>4700.0030000000006</v>
      </c>
      <c r="M301" s="310"/>
    </row>
    <row r="302" spans="2:13" x14ac:dyDescent="0.25">
      <c r="B302" s="322">
        <v>45026</v>
      </c>
      <c r="C302" s="41">
        <v>6</v>
      </c>
      <c r="D302" s="324">
        <v>5</v>
      </c>
      <c r="E302" s="325">
        <v>7679</v>
      </c>
      <c r="F302" s="326"/>
      <c r="G302" s="327" t="str">
        <f>IFERROR(IF(ventas_b_mes4[[#This Row],[CUIT]]="","-",VLOOKUP(ventas_b_mes4[[#This Row],[CUIT]],Lista_CUIT[#All],2,0)),"CUIT NO CARGADO")</f>
        <v>-</v>
      </c>
      <c r="H302" s="328">
        <v>4876.03</v>
      </c>
      <c r="I302" s="329">
        <f>ventas_b_mes4[[#This Row],[IMPORTE NETO]]*0.21</f>
        <v>1023.9662999999999</v>
      </c>
      <c r="J302" s="330"/>
      <c r="K302" s="330"/>
      <c r="L302" s="330">
        <f>SUM(ventas_b_mes4[[#This Row],[IMPORTE NETO]:[EXENTO]])</f>
        <v>5899.9962999999998</v>
      </c>
      <c r="M302" s="310"/>
    </row>
    <row r="303" spans="2:13" x14ac:dyDescent="0.25">
      <c r="B303" s="322">
        <v>45026</v>
      </c>
      <c r="C303" s="41">
        <v>6</v>
      </c>
      <c r="D303" s="324">
        <v>5</v>
      </c>
      <c r="E303" s="325">
        <v>7681</v>
      </c>
      <c r="F303" s="326"/>
      <c r="G303" s="327" t="str">
        <f>IFERROR(IF(ventas_b_mes4[[#This Row],[CUIT]]="","-",VLOOKUP(ventas_b_mes4[[#This Row],[CUIT]],Lista_CUIT[#All],2,0)),"CUIT NO CARGADO")</f>
        <v>-</v>
      </c>
      <c r="H303" s="328">
        <v>4132.2299999999996</v>
      </c>
      <c r="I303" s="329">
        <f>ventas_b_mes4[[#This Row],[IMPORTE NETO]]*0.21</f>
        <v>867.76829999999984</v>
      </c>
      <c r="J303" s="330"/>
      <c r="K303" s="330"/>
      <c r="L303" s="330">
        <f>SUM(ventas_b_mes4[[#This Row],[IMPORTE NETO]:[EXENTO]])</f>
        <v>4999.9982999999993</v>
      </c>
      <c r="M303" s="310"/>
    </row>
    <row r="304" spans="2:13" x14ac:dyDescent="0.25">
      <c r="B304" s="322">
        <v>45027</v>
      </c>
      <c r="C304" s="41">
        <v>6</v>
      </c>
      <c r="D304" s="324">
        <v>5</v>
      </c>
      <c r="E304" s="325">
        <v>7686</v>
      </c>
      <c r="F304" s="326"/>
      <c r="G304" s="327" t="str">
        <f>IFERROR(IF(ventas_b_mes4[[#This Row],[CUIT]]="","-",VLOOKUP(ventas_b_mes4[[#This Row],[CUIT]],Lista_CUIT[#All],2,0)),"CUIT NO CARGADO")</f>
        <v>-</v>
      </c>
      <c r="H304" s="328">
        <v>7768.6</v>
      </c>
      <c r="I304" s="329">
        <f>ventas_b_mes4[[#This Row],[IMPORTE NETO]]*0.21</f>
        <v>1631.4059999999999</v>
      </c>
      <c r="J304" s="330"/>
      <c r="K304" s="330"/>
      <c r="L304" s="330">
        <f>SUM(ventas_b_mes4[[#This Row],[IMPORTE NETO]:[EXENTO]])</f>
        <v>9400.0060000000012</v>
      </c>
      <c r="M304" s="310"/>
    </row>
    <row r="305" spans="2:13" x14ac:dyDescent="0.25">
      <c r="B305" s="322">
        <v>45027</v>
      </c>
      <c r="C305" s="41">
        <v>6</v>
      </c>
      <c r="D305" s="324">
        <v>7</v>
      </c>
      <c r="E305" s="325">
        <v>4236</v>
      </c>
      <c r="F305" s="326"/>
      <c r="G305" s="327" t="str">
        <f>IFERROR(IF(ventas_b_mes4[[#This Row],[CUIT]]="","-",VLOOKUP(ventas_b_mes4[[#This Row],[CUIT]],Lista_CUIT[#All],2,0)),"CUIT NO CARGADO")</f>
        <v>-</v>
      </c>
      <c r="H305" s="328">
        <v>218291.75</v>
      </c>
      <c r="I305" s="329">
        <f>ventas_b_mes4[[#This Row],[IMPORTE NETO]]*0.21</f>
        <v>45841.267500000002</v>
      </c>
      <c r="J305" s="330"/>
      <c r="K305" s="330"/>
      <c r="L305" s="330">
        <f>SUM(ventas_b_mes4[[#This Row],[IMPORTE NETO]:[EXENTO]])</f>
        <v>264133.01750000002</v>
      </c>
      <c r="M305" s="310"/>
    </row>
    <row r="306" spans="2:13" x14ac:dyDescent="0.25">
      <c r="B306" s="322">
        <v>45027</v>
      </c>
      <c r="C306" s="41">
        <v>6</v>
      </c>
      <c r="D306" s="324">
        <v>5</v>
      </c>
      <c r="E306" s="325">
        <v>7691</v>
      </c>
      <c r="F306" s="326"/>
      <c r="G306" s="327" t="str">
        <f>IFERROR(IF(ventas_b_mes4[[#This Row],[CUIT]]="","-",VLOOKUP(ventas_b_mes4[[#This Row],[CUIT]],Lista_CUIT[#All],2,0)),"CUIT NO CARGADO")</f>
        <v>-</v>
      </c>
      <c r="H306" s="328">
        <v>2479.34</v>
      </c>
      <c r="I306" s="329">
        <f>ventas_b_mes4[[#This Row],[IMPORTE NETO]]*0.21</f>
        <v>520.66139999999996</v>
      </c>
      <c r="J306" s="330"/>
      <c r="K306" s="330"/>
      <c r="L306" s="330">
        <f>SUM(ventas_b_mes4[[#This Row],[IMPORTE NETO]:[EXENTO]])</f>
        <v>3000.0014000000001</v>
      </c>
      <c r="M306" s="310"/>
    </row>
    <row r="307" spans="2:13" x14ac:dyDescent="0.25">
      <c r="B307" s="322">
        <v>45027</v>
      </c>
      <c r="C307" s="41">
        <v>6</v>
      </c>
      <c r="D307" s="324">
        <v>5</v>
      </c>
      <c r="E307" s="325">
        <v>7688</v>
      </c>
      <c r="F307" s="326"/>
      <c r="G307" s="327" t="str">
        <f>IFERROR(IF(ventas_b_mes4[[#This Row],[CUIT]]="","-",VLOOKUP(ventas_b_mes4[[#This Row],[CUIT]],Lista_CUIT[#All],2,0)),"CUIT NO CARGADO")</f>
        <v>-</v>
      </c>
      <c r="H307" s="328">
        <v>15041.33</v>
      </c>
      <c r="I307" s="329">
        <f>ventas_b_mes4[[#This Row],[IMPORTE NETO]]*0.21</f>
        <v>3158.6792999999998</v>
      </c>
      <c r="J307" s="330"/>
      <c r="K307" s="330"/>
      <c r="L307" s="330">
        <f>SUM(ventas_b_mes4[[#This Row],[IMPORTE NETO]:[EXENTO]])</f>
        <v>18200.009299999998</v>
      </c>
      <c r="M307" s="310"/>
    </row>
    <row r="308" spans="2:13" x14ac:dyDescent="0.25">
      <c r="B308" s="322">
        <v>45027</v>
      </c>
      <c r="C308" s="41">
        <v>6</v>
      </c>
      <c r="D308" s="324">
        <v>5</v>
      </c>
      <c r="E308" s="325">
        <v>7684</v>
      </c>
      <c r="F308" s="326"/>
      <c r="G308" s="327" t="str">
        <f>IFERROR(IF(ventas_b_mes4[[#This Row],[CUIT]]="","-",VLOOKUP(ventas_b_mes4[[#This Row],[CUIT]],Lista_CUIT[#All],2,0)),"CUIT NO CARGADO")</f>
        <v>-</v>
      </c>
      <c r="H308" s="328">
        <v>4330.58</v>
      </c>
      <c r="I308" s="329">
        <f>ventas_b_mes4[[#This Row],[IMPORTE NETO]]*0.21</f>
        <v>909.42179999999996</v>
      </c>
      <c r="J308" s="330"/>
      <c r="K308" s="330"/>
      <c r="L308" s="330">
        <f>SUM(ventas_b_mes4[[#This Row],[IMPORTE NETO]:[EXENTO]])</f>
        <v>5240.0018</v>
      </c>
      <c r="M308" s="310"/>
    </row>
    <row r="309" spans="2:13" x14ac:dyDescent="0.25">
      <c r="B309" s="322">
        <v>45027</v>
      </c>
      <c r="C309" s="41">
        <v>6</v>
      </c>
      <c r="D309" s="324">
        <v>5</v>
      </c>
      <c r="E309" s="325">
        <v>7685</v>
      </c>
      <c r="F309" s="326"/>
      <c r="G309" s="327" t="str">
        <f>IFERROR(IF(ventas_b_mes4[[#This Row],[CUIT]]="","-",VLOOKUP(ventas_b_mes4[[#This Row],[CUIT]],Lista_CUIT[#All],2,0)),"CUIT NO CARGADO")</f>
        <v>-</v>
      </c>
      <c r="H309" s="328">
        <v>5702.48</v>
      </c>
      <c r="I309" s="329">
        <f>ventas_b_mes4[[#This Row],[IMPORTE NETO]]*0.21</f>
        <v>1197.5207999999998</v>
      </c>
      <c r="J309" s="330"/>
      <c r="K309" s="330"/>
      <c r="L309" s="330">
        <f>SUM(ventas_b_mes4[[#This Row],[IMPORTE NETO]:[EXENTO]])</f>
        <v>6900.0007999999998</v>
      </c>
      <c r="M309" s="310"/>
    </row>
    <row r="310" spans="2:13" x14ac:dyDescent="0.25">
      <c r="B310" s="322">
        <v>45027</v>
      </c>
      <c r="C310" s="41">
        <v>6</v>
      </c>
      <c r="D310" s="324">
        <v>5</v>
      </c>
      <c r="E310" s="325">
        <v>7696</v>
      </c>
      <c r="F310" s="326"/>
      <c r="G310" s="327" t="str">
        <f>IFERROR(IF(ventas_b_mes4[[#This Row],[CUIT]]="","-",VLOOKUP(ventas_b_mes4[[#This Row],[CUIT]],Lista_CUIT[#All],2,0)),"CUIT NO CARGADO")</f>
        <v>-</v>
      </c>
      <c r="H310" s="328">
        <v>10000</v>
      </c>
      <c r="I310" s="329">
        <f>ventas_b_mes4[[#This Row],[IMPORTE NETO]]*0.21</f>
        <v>2100</v>
      </c>
      <c r="J310" s="330"/>
      <c r="K310" s="330"/>
      <c r="L310" s="330">
        <f>SUM(ventas_b_mes4[[#This Row],[IMPORTE NETO]:[EXENTO]])</f>
        <v>12100</v>
      </c>
      <c r="M310" s="310"/>
    </row>
    <row r="311" spans="2:13" x14ac:dyDescent="0.25">
      <c r="B311" s="322">
        <v>45027</v>
      </c>
      <c r="C311" s="41">
        <v>6</v>
      </c>
      <c r="D311" s="324">
        <v>5</v>
      </c>
      <c r="E311" s="325">
        <v>7690</v>
      </c>
      <c r="F311" s="326"/>
      <c r="G311" s="327" t="str">
        <f>IFERROR(IF(ventas_b_mes4[[#This Row],[CUIT]]="","-",VLOOKUP(ventas_b_mes4[[#This Row],[CUIT]],Lista_CUIT[#All],2,0)),"CUIT NO CARGADO")</f>
        <v>-</v>
      </c>
      <c r="H311" s="328">
        <v>2396.69</v>
      </c>
      <c r="I311" s="329">
        <f>ventas_b_mes4[[#This Row],[IMPORTE NETO]]*0.21</f>
        <v>503.30489999999998</v>
      </c>
      <c r="J311" s="330"/>
      <c r="K311" s="330"/>
      <c r="L311" s="330">
        <f>SUM(ventas_b_mes4[[#This Row],[IMPORTE NETO]:[EXENTO]])</f>
        <v>2899.9949000000001</v>
      </c>
      <c r="M311" s="310"/>
    </row>
    <row r="312" spans="2:13" x14ac:dyDescent="0.25">
      <c r="B312" s="322">
        <v>45027</v>
      </c>
      <c r="C312" s="41">
        <v>6</v>
      </c>
      <c r="D312" s="324">
        <v>5</v>
      </c>
      <c r="E312" s="325">
        <v>7694</v>
      </c>
      <c r="F312" s="326"/>
      <c r="G312" s="327" t="str">
        <f>IFERROR(IF(ventas_b_mes4[[#This Row],[CUIT]]="","-",VLOOKUP(ventas_b_mes4[[#This Row],[CUIT]],Lista_CUIT[#All],2,0)),"CUIT NO CARGADO")</f>
        <v>-</v>
      </c>
      <c r="H312" s="328">
        <v>2231.4</v>
      </c>
      <c r="I312" s="329">
        <f>ventas_b_mes4[[#This Row],[IMPORTE NETO]]*0.21</f>
        <v>468.59399999999999</v>
      </c>
      <c r="J312" s="330"/>
      <c r="K312" s="330"/>
      <c r="L312" s="330">
        <f>SUM(ventas_b_mes4[[#This Row],[IMPORTE NETO]:[EXENTO]])</f>
        <v>2699.9940000000001</v>
      </c>
      <c r="M312" s="310"/>
    </row>
    <row r="313" spans="2:13" x14ac:dyDescent="0.25">
      <c r="B313" s="322">
        <v>45027</v>
      </c>
      <c r="C313" s="41">
        <v>6</v>
      </c>
      <c r="D313" s="324">
        <v>5</v>
      </c>
      <c r="E313" s="325">
        <v>7692</v>
      </c>
      <c r="F313" s="326"/>
      <c r="G313" s="327" t="str">
        <f>IFERROR(IF(ventas_b_mes4[[#This Row],[CUIT]]="","-",VLOOKUP(ventas_b_mes4[[#This Row],[CUIT]],Lista_CUIT[#All],2,0)),"CUIT NO CARGADO")</f>
        <v>-</v>
      </c>
      <c r="H313" s="328">
        <v>7024.79</v>
      </c>
      <c r="I313" s="329">
        <f>ventas_b_mes4[[#This Row],[IMPORTE NETO]]*0.21</f>
        <v>1475.2058999999999</v>
      </c>
      <c r="J313" s="330"/>
      <c r="K313" s="330"/>
      <c r="L313" s="330">
        <f>SUM(ventas_b_mes4[[#This Row],[IMPORTE NETO]:[EXENTO]])</f>
        <v>8499.9958999999999</v>
      </c>
      <c r="M313" s="310"/>
    </row>
    <row r="314" spans="2:13" x14ac:dyDescent="0.25">
      <c r="B314" s="322">
        <v>45027</v>
      </c>
      <c r="C314" s="41">
        <v>6</v>
      </c>
      <c r="D314" s="324">
        <v>5</v>
      </c>
      <c r="E314" s="325">
        <v>7689</v>
      </c>
      <c r="F314" s="326"/>
      <c r="G314" s="327" t="str">
        <f>IFERROR(IF(ventas_b_mes4[[#This Row],[CUIT]]="","-",VLOOKUP(ventas_b_mes4[[#This Row],[CUIT]],Lista_CUIT[#All],2,0)),"CUIT NO CARGADO")</f>
        <v>-</v>
      </c>
      <c r="H314" s="328">
        <v>7272.73</v>
      </c>
      <c r="I314" s="329">
        <f>ventas_b_mes4[[#This Row],[IMPORTE NETO]]*0.21</f>
        <v>1527.2732999999998</v>
      </c>
      <c r="J314" s="330"/>
      <c r="K314" s="330"/>
      <c r="L314" s="330">
        <f>SUM(ventas_b_mes4[[#This Row],[IMPORTE NETO]:[EXENTO]])</f>
        <v>8800.0033000000003</v>
      </c>
      <c r="M314" s="310"/>
    </row>
    <row r="315" spans="2:13" x14ac:dyDescent="0.25">
      <c r="B315" s="322">
        <v>45027</v>
      </c>
      <c r="C315" s="41">
        <v>6</v>
      </c>
      <c r="D315" s="324">
        <v>5</v>
      </c>
      <c r="E315" s="325">
        <v>7687</v>
      </c>
      <c r="F315" s="326"/>
      <c r="G315" s="327" t="str">
        <f>IFERROR(IF(ventas_b_mes4[[#This Row],[CUIT]]="","-",VLOOKUP(ventas_b_mes4[[#This Row],[CUIT]],Lista_CUIT[#All],2,0)),"CUIT NO CARGADO")</f>
        <v>-</v>
      </c>
      <c r="H315" s="328">
        <v>6297.52</v>
      </c>
      <c r="I315" s="329">
        <f>ventas_b_mes4[[#This Row],[IMPORTE NETO]]*0.21</f>
        <v>1322.4792</v>
      </c>
      <c r="J315" s="330"/>
      <c r="K315" s="330"/>
      <c r="L315" s="330">
        <f>SUM(ventas_b_mes4[[#This Row],[IMPORTE NETO]:[EXENTO]])</f>
        <v>7619.9992000000002</v>
      </c>
      <c r="M315" s="310"/>
    </row>
    <row r="316" spans="2:13" x14ac:dyDescent="0.25">
      <c r="B316" s="322">
        <v>45027</v>
      </c>
      <c r="C316" s="41">
        <v>6</v>
      </c>
      <c r="D316" s="324">
        <v>5</v>
      </c>
      <c r="E316" s="325">
        <v>7693</v>
      </c>
      <c r="F316" s="326"/>
      <c r="G316" s="327" t="str">
        <f>IFERROR(IF(ventas_b_mes4[[#This Row],[CUIT]]="","-",VLOOKUP(ventas_b_mes4[[#This Row],[CUIT]],Lista_CUIT[#All],2,0)),"CUIT NO CARGADO")</f>
        <v>-</v>
      </c>
      <c r="H316" s="328">
        <v>7272.73</v>
      </c>
      <c r="I316" s="329">
        <f>ventas_b_mes4[[#This Row],[IMPORTE NETO]]*0.21</f>
        <v>1527.2732999999998</v>
      </c>
      <c r="J316" s="330"/>
      <c r="K316" s="330"/>
      <c r="L316" s="330">
        <f>SUM(ventas_b_mes4[[#This Row],[IMPORTE NETO]:[EXENTO]])</f>
        <v>8800.0033000000003</v>
      </c>
      <c r="M316" s="310"/>
    </row>
    <row r="317" spans="2:13" x14ac:dyDescent="0.25">
      <c r="B317" s="322">
        <v>45027</v>
      </c>
      <c r="C317" s="41">
        <v>6</v>
      </c>
      <c r="D317" s="324">
        <v>5</v>
      </c>
      <c r="E317" s="325">
        <v>7695</v>
      </c>
      <c r="F317" s="326"/>
      <c r="G317" s="327" t="str">
        <f>IFERROR(IF(ventas_b_mes4[[#This Row],[CUIT]]="","-",VLOOKUP(ventas_b_mes4[[#This Row],[CUIT]],Lista_CUIT[#All],2,0)),"CUIT NO CARGADO")</f>
        <v>-</v>
      </c>
      <c r="H317" s="328">
        <v>1652.89</v>
      </c>
      <c r="I317" s="329">
        <f>ventas_b_mes4[[#This Row],[IMPORTE NETO]]*0.21</f>
        <v>347.1069</v>
      </c>
      <c r="J317" s="330"/>
      <c r="K317" s="330"/>
      <c r="L317" s="330">
        <f>SUM(ventas_b_mes4[[#This Row],[IMPORTE NETO]:[EXENTO]])</f>
        <v>1999.9969000000001</v>
      </c>
      <c r="M317" s="310"/>
    </row>
    <row r="318" spans="2:13" x14ac:dyDescent="0.25">
      <c r="B318" s="322">
        <v>45028</v>
      </c>
      <c r="C318" s="41">
        <v>6</v>
      </c>
      <c r="D318" s="324">
        <v>7</v>
      </c>
      <c r="E318" s="325">
        <v>4242</v>
      </c>
      <c r="F318" s="326"/>
      <c r="G318" s="327" t="str">
        <f>IFERROR(IF(ventas_b_mes4[[#This Row],[CUIT]]="","-",VLOOKUP(ventas_b_mes4[[#This Row],[CUIT]],Lista_CUIT[#All],2,0)),"CUIT NO CARGADO")</f>
        <v>-</v>
      </c>
      <c r="H318" s="328">
        <v>5371.9</v>
      </c>
      <c r="I318" s="329">
        <f>ventas_b_mes4[[#This Row],[IMPORTE NETO]]*0.21</f>
        <v>1128.0989999999999</v>
      </c>
      <c r="J318" s="330"/>
      <c r="K318" s="330"/>
      <c r="L318" s="330">
        <f>SUM(ventas_b_mes4[[#This Row],[IMPORTE NETO]:[EXENTO]])</f>
        <v>6499.9989999999998</v>
      </c>
      <c r="M318" s="310"/>
    </row>
    <row r="319" spans="2:13" x14ac:dyDescent="0.25">
      <c r="B319" s="322">
        <v>45028</v>
      </c>
      <c r="C319" s="41">
        <v>6</v>
      </c>
      <c r="D319" s="324">
        <v>7</v>
      </c>
      <c r="E319" s="325">
        <v>4238</v>
      </c>
      <c r="F319" s="326"/>
      <c r="G319" s="327" t="str">
        <f>IFERROR(IF(ventas_b_mes4[[#This Row],[CUIT]]="","-",VLOOKUP(ventas_b_mes4[[#This Row],[CUIT]],Lista_CUIT[#All],2,0)),"CUIT NO CARGADO")</f>
        <v>-</v>
      </c>
      <c r="H319" s="328">
        <v>46649.59</v>
      </c>
      <c r="I319" s="329">
        <f>ventas_b_mes4[[#This Row],[IMPORTE NETO]]*0.21</f>
        <v>9796.4138999999996</v>
      </c>
      <c r="J319" s="330"/>
      <c r="K319" s="330"/>
      <c r="L319" s="330">
        <f>SUM(ventas_b_mes4[[#This Row],[IMPORTE NETO]:[EXENTO]])</f>
        <v>56446.003899999996</v>
      </c>
      <c r="M319" s="310"/>
    </row>
    <row r="320" spans="2:13" x14ac:dyDescent="0.25">
      <c r="B320" s="322">
        <v>45028</v>
      </c>
      <c r="C320" s="41">
        <v>6</v>
      </c>
      <c r="D320" s="324">
        <v>5</v>
      </c>
      <c r="E320" s="325">
        <v>7706</v>
      </c>
      <c r="F320" s="326"/>
      <c r="G320" s="327" t="str">
        <f>IFERROR(IF(ventas_b_mes4[[#This Row],[CUIT]]="","-",VLOOKUP(ventas_b_mes4[[#This Row],[CUIT]],Lista_CUIT[#All],2,0)),"CUIT NO CARGADO")</f>
        <v>-</v>
      </c>
      <c r="H320" s="328">
        <v>2066.12</v>
      </c>
      <c r="I320" s="329">
        <f>ventas_b_mes4[[#This Row],[IMPORTE NETO]]*0.21</f>
        <v>433.88519999999994</v>
      </c>
      <c r="J320" s="330"/>
      <c r="K320" s="330"/>
      <c r="L320" s="330">
        <f>SUM(ventas_b_mes4[[#This Row],[IMPORTE NETO]:[EXENTO]])</f>
        <v>2500.0051999999996</v>
      </c>
      <c r="M320" s="310"/>
    </row>
    <row r="321" spans="2:13" x14ac:dyDescent="0.25">
      <c r="B321" s="322">
        <v>45028</v>
      </c>
      <c r="C321" s="41">
        <v>6</v>
      </c>
      <c r="D321" s="324">
        <v>7</v>
      </c>
      <c r="E321" s="325">
        <v>4243</v>
      </c>
      <c r="F321" s="326"/>
      <c r="G321" s="327" t="str">
        <f>IFERROR(IF(ventas_b_mes4[[#This Row],[CUIT]]="","-",VLOOKUP(ventas_b_mes4[[#This Row],[CUIT]],Lista_CUIT[#All],2,0)),"CUIT NO CARGADO")</f>
        <v>-</v>
      </c>
      <c r="H321" s="328">
        <v>2479.34</v>
      </c>
      <c r="I321" s="329">
        <f>ventas_b_mes4[[#This Row],[IMPORTE NETO]]*0.21</f>
        <v>520.66139999999996</v>
      </c>
      <c r="J321" s="330"/>
      <c r="K321" s="330"/>
      <c r="L321" s="330">
        <f>SUM(ventas_b_mes4[[#This Row],[IMPORTE NETO]:[EXENTO]])</f>
        <v>3000.0014000000001</v>
      </c>
      <c r="M321" s="310"/>
    </row>
    <row r="322" spans="2:13" x14ac:dyDescent="0.25">
      <c r="B322" s="322">
        <v>45028</v>
      </c>
      <c r="C322" s="41">
        <v>6</v>
      </c>
      <c r="D322" s="324">
        <v>7</v>
      </c>
      <c r="E322" s="325">
        <v>4247</v>
      </c>
      <c r="F322" s="326"/>
      <c r="G322" s="327" t="str">
        <f>IFERROR(IF(ventas_b_mes4[[#This Row],[CUIT]]="","-",VLOOKUP(ventas_b_mes4[[#This Row],[CUIT]],Lista_CUIT[#All],2,0)),"CUIT NO CARGADO")</f>
        <v>-</v>
      </c>
      <c r="H322" s="328">
        <v>3305.79</v>
      </c>
      <c r="I322" s="329">
        <f>ventas_b_mes4[[#This Row],[IMPORTE NETO]]*0.21</f>
        <v>694.21589999999992</v>
      </c>
      <c r="J322" s="330"/>
      <c r="K322" s="330"/>
      <c r="L322" s="330">
        <f>SUM(ventas_b_mes4[[#This Row],[IMPORTE NETO]:[EXENTO]])</f>
        <v>4000.0059000000001</v>
      </c>
      <c r="M322" s="310"/>
    </row>
    <row r="323" spans="2:13" x14ac:dyDescent="0.25">
      <c r="B323" s="322">
        <v>45028</v>
      </c>
      <c r="C323" s="41">
        <v>6</v>
      </c>
      <c r="D323" s="324">
        <v>5</v>
      </c>
      <c r="E323" s="325">
        <v>7698</v>
      </c>
      <c r="F323" s="326"/>
      <c r="G323" s="327" t="str">
        <f>IFERROR(IF(ventas_b_mes4[[#This Row],[CUIT]]="","-",VLOOKUP(ventas_b_mes4[[#This Row],[CUIT]],Lista_CUIT[#All],2,0)),"CUIT NO CARGADO")</f>
        <v>-</v>
      </c>
      <c r="H323" s="328">
        <v>3884.3</v>
      </c>
      <c r="I323" s="329">
        <f>ventas_b_mes4[[#This Row],[IMPORTE NETO]]*0.21</f>
        <v>815.70299999999997</v>
      </c>
      <c r="J323" s="330"/>
      <c r="K323" s="330"/>
      <c r="L323" s="330">
        <f>SUM(ventas_b_mes4[[#This Row],[IMPORTE NETO]:[EXENTO]])</f>
        <v>4700.0030000000006</v>
      </c>
      <c r="M323" s="310"/>
    </row>
    <row r="324" spans="2:13" x14ac:dyDescent="0.25">
      <c r="B324" s="322">
        <v>45028</v>
      </c>
      <c r="C324" s="41">
        <v>6</v>
      </c>
      <c r="D324" s="324">
        <v>5</v>
      </c>
      <c r="E324" s="325">
        <v>7703</v>
      </c>
      <c r="F324" s="326"/>
      <c r="G324" s="327" t="str">
        <f>IFERROR(IF(ventas_b_mes4[[#This Row],[CUIT]]="","-",VLOOKUP(ventas_b_mes4[[#This Row],[CUIT]],Lista_CUIT[#All],2,0)),"CUIT NO CARGADO")</f>
        <v>-</v>
      </c>
      <c r="H324" s="328">
        <v>2396.69</v>
      </c>
      <c r="I324" s="329">
        <f>ventas_b_mes4[[#This Row],[IMPORTE NETO]]*0.21</f>
        <v>503.30489999999998</v>
      </c>
      <c r="J324" s="330"/>
      <c r="K324" s="330"/>
      <c r="L324" s="330">
        <f>SUM(ventas_b_mes4[[#This Row],[IMPORTE NETO]:[EXENTO]])</f>
        <v>2899.9949000000001</v>
      </c>
      <c r="M324" s="310"/>
    </row>
    <row r="325" spans="2:13" x14ac:dyDescent="0.25">
      <c r="B325" s="322">
        <v>45028</v>
      </c>
      <c r="C325" s="41">
        <v>6</v>
      </c>
      <c r="D325" s="324">
        <v>5</v>
      </c>
      <c r="E325" s="325">
        <v>7702</v>
      </c>
      <c r="F325" s="326"/>
      <c r="G325" s="327" t="str">
        <f>IFERROR(IF(ventas_b_mes4[[#This Row],[CUIT]]="","-",VLOOKUP(ventas_b_mes4[[#This Row],[CUIT]],Lista_CUIT[#All],2,0)),"CUIT NO CARGADO")</f>
        <v>-</v>
      </c>
      <c r="H325" s="328">
        <v>6652.89</v>
      </c>
      <c r="I325" s="329">
        <f>ventas_b_mes4[[#This Row],[IMPORTE NETO]]*0.21</f>
        <v>1397.1069</v>
      </c>
      <c r="J325" s="330"/>
      <c r="K325" s="330"/>
      <c r="L325" s="330">
        <f>SUM(ventas_b_mes4[[#This Row],[IMPORTE NETO]:[EXENTO]])</f>
        <v>8049.9969000000001</v>
      </c>
      <c r="M325" s="310"/>
    </row>
    <row r="326" spans="2:13" x14ac:dyDescent="0.25">
      <c r="B326" s="322">
        <v>45028</v>
      </c>
      <c r="C326" s="41">
        <v>6</v>
      </c>
      <c r="D326" s="324">
        <v>7</v>
      </c>
      <c r="E326" s="325">
        <v>4241</v>
      </c>
      <c r="F326" s="326"/>
      <c r="G326" s="327" t="str">
        <f>IFERROR(IF(ventas_b_mes4[[#This Row],[CUIT]]="","-",VLOOKUP(ventas_b_mes4[[#This Row],[CUIT]],Lista_CUIT[#All],2,0)),"CUIT NO CARGADO")</f>
        <v>-</v>
      </c>
      <c r="H326" s="328">
        <v>3471.08</v>
      </c>
      <c r="I326" s="329">
        <f>ventas_b_mes4[[#This Row],[IMPORTE NETO]]*0.21</f>
        <v>728.92679999999996</v>
      </c>
      <c r="J326" s="330"/>
      <c r="K326" s="330"/>
      <c r="L326" s="330">
        <f>SUM(ventas_b_mes4[[#This Row],[IMPORTE NETO]:[EXENTO]])</f>
        <v>4200.0068000000001</v>
      </c>
      <c r="M326" s="310"/>
    </row>
    <row r="327" spans="2:13" x14ac:dyDescent="0.25">
      <c r="B327" s="322">
        <v>45028</v>
      </c>
      <c r="C327" s="41">
        <v>6</v>
      </c>
      <c r="D327" s="324">
        <v>7</v>
      </c>
      <c r="E327" s="325">
        <v>4240</v>
      </c>
      <c r="F327" s="326"/>
      <c r="G327" s="327" t="str">
        <f>IFERROR(IF(ventas_b_mes4[[#This Row],[CUIT]]="","-",VLOOKUP(ventas_b_mes4[[#This Row],[CUIT]],Lista_CUIT[#All],2,0)),"CUIT NO CARGADO")</f>
        <v>-</v>
      </c>
      <c r="H327" s="328">
        <v>3140.5</v>
      </c>
      <c r="I327" s="329">
        <f>ventas_b_mes4[[#This Row],[IMPORTE NETO]]*0.21</f>
        <v>659.505</v>
      </c>
      <c r="J327" s="330"/>
      <c r="K327" s="330"/>
      <c r="L327" s="330">
        <f>SUM(ventas_b_mes4[[#This Row],[IMPORTE NETO]:[EXENTO]])</f>
        <v>3800.0050000000001</v>
      </c>
      <c r="M327" s="310"/>
    </row>
    <row r="328" spans="2:13" x14ac:dyDescent="0.25">
      <c r="B328" s="322">
        <v>45028</v>
      </c>
      <c r="C328" s="41">
        <v>6</v>
      </c>
      <c r="D328" s="324">
        <v>5</v>
      </c>
      <c r="E328" s="325">
        <v>7707</v>
      </c>
      <c r="F328" s="326"/>
      <c r="G328" s="327" t="str">
        <f>IFERROR(IF(ventas_b_mes4[[#This Row],[CUIT]]="","-",VLOOKUP(ventas_b_mes4[[#This Row],[CUIT]],Lista_CUIT[#All],2,0)),"CUIT NO CARGADO")</f>
        <v>-</v>
      </c>
      <c r="H328" s="328">
        <v>2066.12</v>
      </c>
      <c r="I328" s="329">
        <f>ventas_b_mes4[[#This Row],[IMPORTE NETO]]*0.21</f>
        <v>433.88519999999994</v>
      </c>
      <c r="J328" s="330"/>
      <c r="K328" s="330"/>
      <c r="L328" s="330">
        <f>SUM(ventas_b_mes4[[#This Row],[IMPORTE NETO]:[EXENTO]])</f>
        <v>2500.0051999999996</v>
      </c>
      <c r="M328" s="310"/>
    </row>
    <row r="329" spans="2:13" x14ac:dyDescent="0.25">
      <c r="B329" s="322">
        <v>45028</v>
      </c>
      <c r="C329" s="41">
        <v>6</v>
      </c>
      <c r="D329" s="324">
        <v>5</v>
      </c>
      <c r="E329" s="325">
        <v>7705</v>
      </c>
      <c r="F329" s="326"/>
      <c r="G329" s="327" t="str">
        <f>IFERROR(IF(ventas_b_mes4[[#This Row],[CUIT]]="","-",VLOOKUP(ventas_b_mes4[[#This Row],[CUIT]],Lista_CUIT[#All],2,0)),"CUIT NO CARGADO")</f>
        <v>-</v>
      </c>
      <c r="H329" s="328">
        <v>5785.12</v>
      </c>
      <c r="I329" s="329">
        <f>ventas_b_mes4[[#This Row],[IMPORTE NETO]]*0.21</f>
        <v>1214.8751999999999</v>
      </c>
      <c r="J329" s="330"/>
      <c r="K329" s="330"/>
      <c r="L329" s="330">
        <f>SUM(ventas_b_mes4[[#This Row],[IMPORTE NETO]:[EXENTO]])</f>
        <v>6999.9951999999994</v>
      </c>
      <c r="M329" s="310"/>
    </row>
    <row r="330" spans="2:13" x14ac:dyDescent="0.25">
      <c r="B330" s="322">
        <v>45028</v>
      </c>
      <c r="C330" s="41">
        <v>6</v>
      </c>
      <c r="D330" s="324">
        <v>5</v>
      </c>
      <c r="E330" s="325">
        <v>7700</v>
      </c>
      <c r="F330" s="326"/>
      <c r="G330" s="327" t="str">
        <f>IFERROR(IF(ventas_b_mes4[[#This Row],[CUIT]]="","-",VLOOKUP(ventas_b_mes4[[#This Row],[CUIT]],Lista_CUIT[#All],2,0)),"CUIT NO CARGADO")</f>
        <v>-</v>
      </c>
      <c r="H330" s="328">
        <v>12148.76</v>
      </c>
      <c r="I330" s="329">
        <f>ventas_b_mes4[[#This Row],[IMPORTE NETO]]*0.21</f>
        <v>2551.2395999999999</v>
      </c>
      <c r="J330" s="330"/>
      <c r="K330" s="330"/>
      <c r="L330" s="330">
        <f>SUM(ventas_b_mes4[[#This Row],[IMPORTE NETO]:[EXENTO]])</f>
        <v>14699.999599999999</v>
      </c>
      <c r="M330" s="310"/>
    </row>
    <row r="331" spans="2:13" x14ac:dyDescent="0.25">
      <c r="B331" s="322">
        <v>45028</v>
      </c>
      <c r="C331" s="41">
        <v>6</v>
      </c>
      <c r="D331" s="324">
        <v>7</v>
      </c>
      <c r="E331" s="325">
        <v>4244</v>
      </c>
      <c r="F331" s="326"/>
      <c r="G331" s="327" t="str">
        <f>IFERROR(IF(ventas_b_mes4[[#This Row],[CUIT]]="","-",VLOOKUP(ventas_b_mes4[[#This Row],[CUIT]],Lista_CUIT[#All],2,0)),"CUIT NO CARGADO")</f>
        <v>-</v>
      </c>
      <c r="H331" s="328">
        <v>14876.03</v>
      </c>
      <c r="I331" s="329">
        <f>ventas_b_mes4[[#This Row],[IMPORTE NETO]]*0.21</f>
        <v>3123.9663</v>
      </c>
      <c r="J331" s="330"/>
      <c r="K331" s="330"/>
      <c r="L331" s="330">
        <f>SUM(ventas_b_mes4[[#This Row],[IMPORTE NETO]:[EXENTO]])</f>
        <v>17999.996299999999</v>
      </c>
      <c r="M331" s="310"/>
    </row>
    <row r="332" spans="2:13" x14ac:dyDescent="0.25">
      <c r="B332" s="322">
        <v>45028</v>
      </c>
      <c r="C332" s="41">
        <v>6</v>
      </c>
      <c r="D332" s="324">
        <v>5</v>
      </c>
      <c r="E332" s="325">
        <v>7697</v>
      </c>
      <c r="F332" s="326"/>
      <c r="G332" s="327" t="str">
        <f>IFERROR(IF(ventas_b_mes4[[#This Row],[CUIT]]="","-",VLOOKUP(ventas_b_mes4[[#This Row],[CUIT]],Lista_CUIT[#All],2,0)),"CUIT NO CARGADO")</f>
        <v>-</v>
      </c>
      <c r="H332" s="328">
        <v>6198.35</v>
      </c>
      <c r="I332" s="329">
        <f>ventas_b_mes4[[#This Row],[IMPORTE NETO]]*0.21</f>
        <v>1301.6535000000001</v>
      </c>
      <c r="J332" s="330"/>
      <c r="K332" s="330"/>
      <c r="L332" s="330">
        <f>SUM(ventas_b_mes4[[#This Row],[IMPORTE NETO]:[EXENTO]])</f>
        <v>7500.0035000000007</v>
      </c>
      <c r="M332" s="310"/>
    </row>
    <row r="333" spans="2:13" x14ac:dyDescent="0.25">
      <c r="B333" s="322">
        <v>45028</v>
      </c>
      <c r="C333" s="41">
        <v>6</v>
      </c>
      <c r="D333" s="324">
        <v>5</v>
      </c>
      <c r="E333" s="325">
        <v>7699</v>
      </c>
      <c r="F333" s="326"/>
      <c r="G333" s="327" t="str">
        <f>IFERROR(IF(ventas_b_mes4[[#This Row],[CUIT]]="","-",VLOOKUP(ventas_b_mes4[[#This Row],[CUIT]],Lista_CUIT[#All],2,0)),"CUIT NO CARGADO")</f>
        <v>-</v>
      </c>
      <c r="H333" s="328">
        <v>2314.0500000000002</v>
      </c>
      <c r="I333" s="329">
        <f>ventas_b_mes4[[#This Row],[IMPORTE NETO]]*0.21</f>
        <v>485.95050000000003</v>
      </c>
      <c r="J333" s="330"/>
      <c r="K333" s="330"/>
      <c r="L333" s="330">
        <f>SUM(ventas_b_mes4[[#This Row],[IMPORTE NETO]:[EXENTO]])</f>
        <v>2800.0005000000001</v>
      </c>
      <c r="M333" s="310"/>
    </row>
    <row r="334" spans="2:13" x14ac:dyDescent="0.25">
      <c r="B334" s="322">
        <v>45028</v>
      </c>
      <c r="C334" s="41">
        <v>6</v>
      </c>
      <c r="D334" s="324">
        <v>7</v>
      </c>
      <c r="E334" s="325">
        <v>4237</v>
      </c>
      <c r="F334" s="326"/>
      <c r="G334" s="327" t="str">
        <f>IFERROR(IF(ventas_b_mes4[[#This Row],[CUIT]]="","-",VLOOKUP(ventas_b_mes4[[#This Row],[CUIT]],Lista_CUIT[#All],2,0)),"CUIT NO CARGADO")</f>
        <v>-</v>
      </c>
      <c r="H334" s="328">
        <v>314049.59000000003</v>
      </c>
      <c r="I334" s="329">
        <f>ventas_b_mes4[[#This Row],[IMPORTE NETO]]*0.21</f>
        <v>65950.4139</v>
      </c>
      <c r="J334" s="330"/>
      <c r="K334" s="330"/>
      <c r="L334" s="330">
        <f>SUM(ventas_b_mes4[[#This Row],[IMPORTE NETO]:[EXENTO]])</f>
        <v>380000.00390000001</v>
      </c>
      <c r="M334" s="310"/>
    </row>
    <row r="335" spans="2:13" x14ac:dyDescent="0.25">
      <c r="B335" s="322">
        <v>45028</v>
      </c>
      <c r="C335" s="41">
        <v>6</v>
      </c>
      <c r="D335" s="324">
        <v>7</v>
      </c>
      <c r="E335" s="325">
        <v>4246</v>
      </c>
      <c r="F335" s="326"/>
      <c r="G335" s="327" t="str">
        <f>IFERROR(IF(ventas_b_mes4[[#This Row],[CUIT]]="","-",VLOOKUP(ventas_b_mes4[[#This Row],[CUIT]],Lista_CUIT[#All],2,0)),"CUIT NO CARGADO")</f>
        <v>-</v>
      </c>
      <c r="H335" s="328">
        <v>21942.16</v>
      </c>
      <c r="I335" s="329">
        <f>ventas_b_mes4[[#This Row],[IMPORTE NETO]]*0.21</f>
        <v>4607.8535999999995</v>
      </c>
      <c r="J335" s="330"/>
      <c r="K335" s="330"/>
      <c r="L335" s="330">
        <f>SUM(ventas_b_mes4[[#This Row],[IMPORTE NETO]:[EXENTO]])</f>
        <v>26550.013599999998</v>
      </c>
      <c r="M335" s="310"/>
    </row>
    <row r="336" spans="2:13" x14ac:dyDescent="0.25">
      <c r="B336" s="322">
        <v>45028</v>
      </c>
      <c r="C336" s="41">
        <v>6</v>
      </c>
      <c r="D336" s="324">
        <v>7</v>
      </c>
      <c r="E336" s="325">
        <v>4239</v>
      </c>
      <c r="F336" s="326"/>
      <c r="G336" s="327" t="str">
        <f>IFERROR(IF(ventas_b_mes4[[#This Row],[CUIT]]="","-",VLOOKUP(ventas_b_mes4[[#This Row],[CUIT]],Lista_CUIT[#All],2,0)),"CUIT NO CARGADO")</f>
        <v>-</v>
      </c>
      <c r="H336" s="328">
        <v>5454.54</v>
      </c>
      <c r="I336" s="329">
        <f>ventas_b_mes4[[#This Row],[IMPORTE NETO]]*0.21</f>
        <v>1145.4533999999999</v>
      </c>
      <c r="J336" s="330"/>
      <c r="K336" s="330"/>
      <c r="L336" s="330">
        <f>SUM(ventas_b_mes4[[#This Row],[IMPORTE NETO]:[EXENTO]])</f>
        <v>6599.9933999999994</v>
      </c>
      <c r="M336" s="310"/>
    </row>
    <row r="337" spans="2:13" x14ac:dyDescent="0.25">
      <c r="B337" s="322">
        <v>45028</v>
      </c>
      <c r="C337" s="41">
        <v>6</v>
      </c>
      <c r="D337" s="324">
        <v>5</v>
      </c>
      <c r="E337" s="325">
        <v>7701</v>
      </c>
      <c r="F337" s="326"/>
      <c r="G337" s="327" t="str">
        <f>IFERROR(IF(ventas_b_mes4[[#This Row],[CUIT]]="","-",VLOOKUP(ventas_b_mes4[[#This Row],[CUIT]],Lista_CUIT[#All],2,0)),"CUIT NO CARGADO")</f>
        <v>-</v>
      </c>
      <c r="H337" s="328">
        <v>12148.76</v>
      </c>
      <c r="I337" s="329">
        <f>ventas_b_mes4[[#This Row],[IMPORTE NETO]]*0.21</f>
        <v>2551.2395999999999</v>
      </c>
      <c r="J337" s="330"/>
      <c r="K337" s="330"/>
      <c r="L337" s="330">
        <f>SUM(ventas_b_mes4[[#This Row],[IMPORTE NETO]:[EXENTO]])</f>
        <v>14699.999599999999</v>
      </c>
      <c r="M337" s="310"/>
    </row>
    <row r="338" spans="2:13" x14ac:dyDescent="0.25">
      <c r="B338" s="322">
        <v>45028</v>
      </c>
      <c r="C338" s="41">
        <v>6</v>
      </c>
      <c r="D338" s="324">
        <v>7</v>
      </c>
      <c r="E338" s="325">
        <v>4245</v>
      </c>
      <c r="F338" s="326"/>
      <c r="G338" s="327" t="str">
        <f>IFERROR(IF(ventas_b_mes4[[#This Row],[CUIT]]="","-",VLOOKUP(ventas_b_mes4[[#This Row],[CUIT]],Lista_CUIT[#All],2,0)),"CUIT NO CARGADO")</f>
        <v>-</v>
      </c>
      <c r="H338" s="328">
        <v>21742.15</v>
      </c>
      <c r="I338" s="329">
        <f>ventas_b_mes4[[#This Row],[IMPORTE NETO]]*0.21</f>
        <v>4565.8514999999998</v>
      </c>
      <c r="J338" s="330"/>
      <c r="K338" s="330"/>
      <c r="L338" s="330">
        <f>SUM(ventas_b_mes4[[#This Row],[IMPORTE NETO]:[EXENTO]])</f>
        <v>26308.001500000002</v>
      </c>
      <c r="M338" s="310"/>
    </row>
    <row r="339" spans="2:13" x14ac:dyDescent="0.25">
      <c r="B339" s="322">
        <v>45028</v>
      </c>
      <c r="C339" s="41">
        <v>6</v>
      </c>
      <c r="D339" s="324">
        <v>5</v>
      </c>
      <c r="E339" s="325">
        <v>7704</v>
      </c>
      <c r="F339" s="326"/>
      <c r="G339" s="327" t="str">
        <f>IFERROR(IF(ventas_b_mes4[[#This Row],[CUIT]]="","-",VLOOKUP(ventas_b_mes4[[#This Row],[CUIT]],Lista_CUIT[#All],2,0)),"CUIT NO CARGADO")</f>
        <v>-</v>
      </c>
      <c r="H339" s="328">
        <v>3223.14</v>
      </c>
      <c r="I339" s="329">
        <f>ventas_b_mes4[[#This Row],[IMPORTE NETO]]*0.21</f>
        <v>676.85939999999994</v>
      </c>
      <c r="J339" s="330"/>
      <c r="K339" s="330"/>
      <c r="L339" s="330">
        <f>SUM(ventas_b_mes4[[#This Row],[IMPORTE NETO]:[EXENTO]])</f>
        <v>3899.9993999999997</v>
      </c>
      <c r="M339" s="310"/>
    </row>
    <row r="340" spans="2:13" x14ac:dyDescent="0.25">
      <c r="B340" s="322">
        <v>45029</v>
      </c>
      <c r="C340" s="41">
        <v>6</v>
      </c>
      <c r="D340" s="324">
        <v>5</v>
      </c>
      <c r="E340" s="325">
        <v>7711</v>
      </c>
      <c r="F340" s="326"/>
      <c r="G340" s="327" t="str">
        <f>IFERROR(IF(ventas_b_mes4[[#This Row],[CUIT]]="","-",VLOOKUP(ventas_b_mes4[[#This Row],[CUIT]],Lista_CUIT[#All],2,0)),"CUIT NO CARGADO")</f>
        <v>-</v>
      </c>
      <c r="H340" s="328">
        <v>3966.94</v>
      </c>
      <c r="I340" s="329">
        <f>ventas_b_mes4[[#This Row],[IMPORTE NETO]]*0.21</f>
        <v>833.05740000000003</v>
      </c>
      <c r="J340" s="330"/>
      <c r="K340" s="330"/>
      <c r="L340" s="330">
        <f>SUM(ventas_b_mes4[[#This Row],[IMPORTE NETO]:[EXENTO]])</f>
        <v>4799.9974000000002</v>
      </c>
      <c r="M340" s="310"/>
    </row>
    <row r="341" spans="2:13" x14ac:dyDescent="0.25">
      <c r="B341" s="322">
        <v>45029</v>
      </c>
      <c r="C341" s="41">
        <v>6</v>
      </c>
      <c r="D341" s="324">
        <v>7</v>
      </c>
      <c r="E341" s="325">
        <v>4248</v>
      </c>
      <c r="F341" s="326"/>
      <c r="G341" s="327" t="str">
        <f>IFERROR(IF(ventas_b_mes4[[#This Row],[CUIT]]="","-",VLOOKUP(ventas_b_mes4[[#This Row],[CUIT]],Lista_CUIT[#All],2,0)),"CUIT NO CARGADO")</f>
        <v>-</v>
      </c>
      <c r="H341" s="328">
        <v>163636.35999999999</v>
      </c>
      <c r="I341" s="329">
        <f>ventas_b_mes4[[#This Row],[IMPORTE NETO]]*0.21</f>
        <v>34363.635599999994</v>
      </c>
      <c r="J341" s="330"/>
      <c r="K341" s="330"/>
      <c r="L341" s="330">
        <f>SUM(ventas_b_mes4[[#This Row],[IMPORTE NETO]:[EXENTO]])</f>
        <v>197999.99559999997</v>
      </c>
      <c r="M341" s="310"/>
    </row>
    <row r="342" spans="2:13" x14ac:dyDescent="0.25">
      <c r="B342" s="322">
        <v>45029</v>
      </c>
      <c r="C342" s="41">
        <v>6</v>
      </c>
      <c r="D342" s="324">
        <v>5</v>
      </c>
      <c r="E342" s="325">
        <v>7710</v>
      </c>
      <c r="F342" s="326"/>
      <c r="G342" s="327" t="str">
        <f>IFERROR(IF(ventas_b_mes4[[#This Row],[CUIT]]="","-",VLOOKUP(ventas_b_mes4[[#This Row],[CUIT]],Lista_CUIT[#All],2,0)),"CUIT NO CARGADO")</f>
        <v>-</v>
      </c>
      <c r="H342" s="328">
        <v>7768.6</v>
      </c>
      <c r="I342" s="329">
        <f>ventas_b_mes4[[#This Row],[IMPORTE NETO]]*0.21</f>
        <v>1631.4059999999999</v>
      </c>
      <c r="J342" s="330"/>
      <c r="K342" s="330"/>
      <c r="L342" s="330">
        <f>SUM(ventas_b_mes4[[#This Row],[IMPORTE NETO]:[EXENTO]])</f>
        <v>9400.0060000000012</v>
      </c>
      <c r="M342" s="310"/>
    </row>
    <row r="343" spans="2:13" x14ac:dyDescent="0.25">
      <c r="B343" s="322">
        <v>45029</v>
      </c>
      <c r="C343" s="41">
        <v>6</v>
      </c>
      <c r="D343" s="324">
        <v>5</v>
      </c>
      <c r="E343" s="325">
        <v>7714</v>
      </c>
      <c r="F343" s="326"/>
      <c r="G343" s="327" t="str">
        <f>IFERROR(IF(ventas_b_mes4[[#This Row],[CUIT]]="","-",VLOOKUP(ventas_b_mes4[[#This Row],[CUIT]],Lista_CUIT[#All],2,0)),"CUIT NO CARGADO")</f>
        <v>-</v>
      </c>
      <c r="H343" s="328">
        <v>5867.77</v>
      </c>
      <c r="I343" s="329">
        <f>ventas_b_mes4[[#This Row],[IMPORTE NETO]]*0.21</f>
        <v>1232.2317</v>
      </c>
      <c r="J343" s="330"/>
      <c r="K343" s="330"/>
      <c r="L343" s="330">
        <f>SUM(ventas_b_mes4[[#This Row],[IMPORTE NETO]:[EXENTO]])</f>
        <v>7100.0017000000007</v>
      </c>
      <c r="M343" s="310"/>
    </row>
    <row r="344" spans="2:13" x14ac:dyDescent="0.25">
      <c r="B344" s="322">
        <v>45029</v>
      </c>
      <c r="C344" s="41">
        <v>6</v>
      </c>
      <c r="D344" s="324">
        <v>5</v>
      </c>
      <c r="E344" s="325">
        <v>7715</v>
      </c>
      <c r="F344" s="326"/>
      <c r="G344" s="327" t="str">
        <f>IFERROR(IF(ventas_b_mes4[[#This Row],[CUIT]]="","-",VLOOKUP(ventas_b_mes4[[#This Row],[CUIT]],Lista_CUIT[#All],2,0)),"CUIT NO CARGADO")</f>
        <v>-</v>
      </c>
      <c r="H344" s="328">
        <v>4876.03</v>
      </c>
      <c r="I344" s="329">
        <f>ventas_b_mes4[[#This Row],[IMPORTE NETO]]*0.21</f>
        <v>1023.9662999999999</v>
      </c>
      <c r="J344" s="330"/>
      <c r="K344" s="330"/>
      <c r="L344" s="330">
        <f>SUM(ventas_b_mes4[[#This Row],[IMPORTE NETO]:[EXENTO]])</f>
        <v>5899.9962999999998</v>
      </c>
      <c r="M344" s="310"/>
    </row>
    <row r="345" spans="2:13" x14ac:dyDescent="0.25">
      <c r="B345" s="322">
        <v>45029</v>
      </c>
      <c r="C345" s="41">
        <v>6</v>
      </c>
      <c r="D345" s="324">
        <v>5</v>
      </c>
      <c r="E345" s="325">
        <v>7708</v>
      </c>
      <c r="F345" s="326"/>
      <c r="G345" s="327" t="str">
        <f>IFERROR(IF(ventas_b_mes4[[#This Row],[CUIT]]="","-",VLOOKUP(ventas_b_mes4[[#This Row],[CUIT]],Lista_CUIT[#All],2,0)),"CUIT NO CARGADO")</f>
        <v>-</v>
      </c>
      <c r="H345" s="328">
        <v>9090.91</v>
      </c>
      <c r="I345" s="329">
        <f>ventas_b_mes4[[#This Row],[IMPORTE NETO]]*0.21</f>
        <v>1909.0910999999999</v>
      </c>
      <c r="J345" s="330"/>
      <c r="K345" s="330"/>
      <c r="L345" s="330">
        <f>SUM(ventas_b_mes4[[#This Row],[IMPORTE NETO]:[EXENTO]])</f>
        <v>11000.001099999999</v>
      </c>
      <c r="M345" s="310"/>
    </row>
    <row r="346" spans="2:13" x14ac:dyDescent="0.25">
      <c r="B346" s="322">
        <v>45029</v>
      </c>
      <c r="C346" s="41">
        <v>6</v>
      </c>
      <c r="D346" s="324">
        <v>5</v>
      </c>
      <c r="E346" s="325">
        <v>7719</v>
      </c>
      <c r="F346" s="326"/>
      <c r="G346" s="327" t="str">
        <f>IFERROR(IF(ventas_b_mes4[[#This Row],[CUIT]]="","-",VLOOKUP(ventas_b_mes4[[#This Row],[CUIT]],Lista_CUIT[#All],2,0)),"CUIT NO CARGADO")</f>
        <v>-</v>
      </c>
      <c r="H346" s="328">
        <v>2396.69</v>
      </c>
      <c r="I346" s="329">
        <f>ventas_b_mes4[[#This Row],[IMPORTE NETO]]*0.21</f>
        <v>503.30489999999998</v>
      </c>
      <c r="J346" s="330"/>
      <c r="K346" s="330"/>
      <c r="L346" s="330">
        <f>SUM(ventas_b_mes4[[#This Row],[IMPORTE NETO]:[EXENTO]])</f>
        <v>2899.9949000000001</v>
      </c>
      <c r="M346" s="310"/>
    </row>
    <row r="347" spans="2:13" x14ac:dyDescent="0.25">
      <c r="B347" s="322">
        <v>45029</v>
      </c>
      <c r="C347" s="41">
        <v>6</v>
      </c>
      <c r="D347" s="324">
        <v>5</v>
      </c>
      <c r="E347" s="325">
        <v>7709</v>
      </c>
      <c r="F347" s="326"/>
      <c r="G347" s="327" t="str">
        <f>IFERROR(IF(ventas_b_mes4[[#This Row],[CUIT]]="","-",VLOOKUP(ventas_b_mes4[[#This Row],[CUIT]],Lista_CUIT[#All],2,0)),"CUIT NO CARGADO")</f>
        <v>-</v>
      </c>
      <c r="H347" s="328">
        <v>7851.24</v>
      </c>
      <c r="I347" s="329">
        <f>ventas_b_mes4[[#This Row],[IMPORTE NETO]]*0.21</f>
        <v>1648.7603999999999</v>
      </c>
      <c r="J347" s="330"/>
      <c r="K347" s="330"/>
      <c r="L347" s="330">
        <f>SUM(ventas_b_mes4[[#This Row],[IMPORTE NETO]:[EXENTO]])</f>
        <v>9500.000399999999</v>
      </c>
      <c r="M347" s="310"/>
    </row>
    <row r="348" spans="2:13" x14ac:dyDescent="0.25">
      <c r="B348" s="322">
        <v>45029</v>
      </c>
      <c r="C348" s="41">
        <v>6</v>
      </c>
      <c r="D348" s="324">
        <v>5</v>
      </c>
      <c r="E348" s="325">
        <v>7720</v>
      </c>
      <c r="F348" s="326"/>
      <c r="G348" s="327" t="str">
        <f>IFERROR(IF(ventas_b_mes4[[#This Row],[CUIT]]="","-",VLOOKUP(ventas_b_mes4[[#This Row],[CUIT]],Lista_CUIT[#All],2,0)),"CUIT NO CARGADO")</f>
        <v>-</v>
      </c>
      <c r="H348" s="328">
        <v>2396.69</v>
      </c>
      <c r="I348" s="329">
        <f>ventas_b_mes4[[#This Row],[IMPORTE NETO]]*0.21</f>
        <v>503.30489999999998</v>
      </c>
      <c r="J348" s="330"/>
      <c r="K348" s="330"/>
      <c r="L348" s="330">
        <f>SUM(ventas_b_mes4[[#This Row],[IMPORTE NETO]:[EXENTO]])</f>
        <v>2899.9949000000001</v>
      </c>
      <c r="M348" s="310"/>
    </row>
    <row r="349" spans="2:13" x14ac:dyDescent="0.25">
      <c r="B349" s="322">
        <v>45029</v>
      </c>
      <c r="C349" s="41">
        <v>6</v>
      </c>
      <c r="D349" s="324">
        <v>5</v>
      </c>
      <c r="E349" s="325">
        <v>7713</v>
      </c>
      <c r="F349" s="326"/>
      <c r="G349" s="327" t="str">
        <f>IFERROR(IF(ventas_b_mes4[[#This Row],[CUIT]]="","-",VLOOKUP(ventas_b_mes4[[#This Row],[CUIT]],Lista_CUIT[#All],2,0)),"CUIT NO CARGADO")</f>
        <v>-</v>
      </c>
      <c r="H349" s="328">
        <v>4462.8100000000004</v>
      </c>
      <c r="I349" s="329">
        <f>ventas_b_mes4[[#This Row],[IMPORTE NETO]]*0.21</f>
        <v>937.19010000000003</v>
      </c>
      <c r="J349" s="330"/>
      <c r="K349" s="330"/>
      <c r="L349" s="330">
        <f>SUM(ventas_b_mes4[[#This Row],[IMPORTE NETO]:[EXENTO]])</f>
        <v>5400.0001000000002</v>
      </c>
      <c r="M349" s="310"/>
    </row>
    <row r="350" spans="2:13" x14ac:dyDescent="0.25">
      <c r="B350" s="322">
        <v>45029</v>
      </c>
      <c r="C350" s="41">
        <v>6</v>
      </c>
      <c r="D350" s="324">
        <v>5</v>
      </c>
      <c r="E350" s="325">
        <v>7717</v>
      </c>
      <c r="F350" s="326"/>
      <c r="G350" s="327" t="str">
        <f>IFERROR(IF(ventas_b_mes4[[#This Row],[CUIT]]="","-",VLOOKUP(ventas_b_mes4[[#This Row],[CUIT]],Lista_CUIT[#All],2,0)),"CUIT NO CARGADO")</f>
        <v>-</v>
      </c>
      <c r="H350" s="328">
        <v>4876.03</v>
      </c>
      <c r="I350" s="329">
        <f>ventas_b_mes4[[#This Row],[IMPORTE NETO]]*0.21</f>
        <v>1023.9662999999999</v>
      </c>
      <c r="J350" s="330"/>
      <c r="K350" s="330"/>
      <c r="L350" s="330">
        <f>SUM(ventas_b_mes4[[#This Row],[IMPORTE NETO]:[EXENTO]])</f>
        <v>5899.9962999999998</v>
      </c>
      <c r="M350" s="310"/>
    </row>
    <row r="351" spans="2:13" x14ac:dyDescent="0.25">
      <c r="B351" s="322">
        <v>45029</v>
      </c>
      <c r="C351" s="41">
        <v>6</v>
      </c>
      <c r="D351" s="324">
        <v>5</v>
      </c>
      <c r="E351" s="325">
        <v>7716</v>
      </c>
      <c r="F351" s="326"/>
      <c r="G351" s="327" t="str">
        <f>IFERROR(IF(ventas_b_mes4[[#This Row],[CUIT]]="","-",VLOOKUP(ventas_b_mes4[[#This Row],[CUIT]],Lista_CUIT[#All],2,0)),"CUIT NO CARGADO")</f>
        <v>-</v>
      </c>
      <c r="H351" s="328">
        <v>11157.02</v>
      </c>
      <c r="I351" s="329">
        <f>ventas_b_mes4[[#This Row],[IMPORTE NETO]]*0.21</f>
        <v>2342.9742000000001</v>
      </c>
      <c r="J351" s="330"/>
      <c r="K351" s="330"/>
      <c r="L351" s="330">
        <f>SUM(ventas_b_mes4[[#This Row],[IMPORTE NETO]:[EXENTO]])</f>
        <v>13499.994200000001</v>
      </c>
      <c r="M351" s="310"/>
    </row>
    <row r="352" spans="2:13" x14ac:dyDescent="0.25">
      <c r="B352" s="322">
        <v>45029</v>
      </c>
      <c r="C352" s="41">
        <v>6</v>
      </c>
      <c r="D352" s="324">
        <v>5</v>
      </c>
      <c r="E352" s="325">
        <v>7718</v>
      </c>
      <c r="F352" s="326"/>
      <c r="G352" s="327" t="str">
        <f>IFERROR(IF(ventas_b_mes4[[#This Row],[CUIT]]="","-",VLOOKUP(ventas_b_mes4[[#This Row],[CUIT]],Lista_CUIT[#All],2,0)),"CUIT NO CARGADO")</f>
        <v>-</v>
      </c>
      <c r="H352" s="328">
        <v>4793.3900000000003</v>
      </c>
      <c r="I352" s="329">
        <f>ventas_b_mes4[[#This Row],[IMPORTE NETO]]*0.21</f>
        <v>1006.6119</v>
      </c>
      <c r="J352" s="330"/>
      <c r="K352" s="330"/>
      <c r="L352" s="330">
        <f>SUM(ventas_b_mes4[[#This Row],[IMPORTE NETO]:[EXENTO]])</f>
        <v>5800.0019000000002</v>
      </c>
      <c r="M352" s="310"/>
    </row>
    <row r="353" spans="2:13" x14ac:dyDescent="0.25">
      <c r="B353" s="322">
        <v>45029</v>
      </c>
      <c r="C353" s="41">
        <v>6</v>
      </c>
      <c r="D353" s="324">
        <v>5</v>
      </c>
      <c r="E353" s="325">
        <v>7712</v>
      </c>
      <c r="F353" s="326"/>
      <c r="G353" s="327" t="str">
        <f>IFERROR(IF(ventas_b_mes4[[#This Row],[CUIT]]="","-",VLOOKUP(ventas_b_mes4[[#This Row],[CUIT]],Lista_CUIT[#All],2,0)),"CUIT NO CARGADO")</f>
        <v>-</v>
      </c>
      <c r="H353" s="328">
        <v>6198.35</v>
      </c>
      <c r="I353" s="329">
        <f>ventas_b_mes4[[#This Row],[IMPORTE NETO]]*0.21</f>
        <v>1301.6535000000001</v>
      </c>
      <c r="J353" s="330"/>
      <c r="K353" s="330"/>
      <c r="L353" s="330">
        <f>SUM(ventas_b_mes4[[#This Row],[IMPORTE NETO]:[EXENTO]])</f>
        <v>7500.0035000000007</v>
      </c>
      <c r="M353" s="310"/>
    </row>
    <row r="354" spans="2:13" x14ac:dyDescent="0.25">
      <c r="B354" s="322">
        <v>45030</v>
      </c>
      <c r="C354" s="41">
        <v>6</v>
      </c>
      <c r="D354" s="324">
        <v>7</v>
      </c>
      <c r="E354" s="325">
        <v>4249</v>
      </c>
      <c r="F354" s="326"/>
      <c r="G354" s="327" t="str">
        <f>IFERROR(IF(ventas_b_mes4[[#This Row],[CUIT]]="","-",VLOOKUP(ventas_b_mes4[[#This Row],[CUIT]],Lista_CUIT[#All],2,0)),"CUIT NO CARGADO")</f>
        <v>-</v>
      </c>
      <c r="H354" s="328">
        <v>69421.490000000005</v>
      </c>
      <c r="I354" s="329">
        <f>ventas_b_mes4[[#This Row],[IMPORTE NETO]]*0.21</f>
        <v>14578.5129</v>
      </c>
      <c r="J354" s="330"/>
      <c r="K354" s="330"/>
      <c r="L354" s="330">
        <f>SUM(ventas_b_mes4[[#This Row],[IMPORTE NETO]:[EXENTO]])</f>
        <v>84000.002900000007</v>
      </c>
      <c r="M354" s="310"/>
    </row>
    <row r="355" spans="2:13" x14ac:dyDescent="0.25">
      <c r="B355" s="322">
        <v>45030</v>
      </c>
      <c r="C355" s="41">
        <v>6</v>
      </c>
      <c r="D355" s="324">
        <v>5</v>
      </c>
      <c r="E355" s="325">
        <v>7729</v>
      </c>
      <c r="F355" s="326"/>
      <c r="G355" s="327" t="str">
        <f>IFERROR(IF(ventas_b_mes4[[#This Row],[CUIT]]="","-",VLOOKUP(ventas_b_mes4[[#This Row],[CUIT]],Lista_CUIT[#All],2,0)),"CUIT NO CARGADO")</f>
        <v>-</v>
      </c>
      <c r="H355" s="328">
        <v>3719.01</v>
      </c>
      <c r="I355" s="329">
        <f>ventas_b_mes4[[#This Row],[IMPORTE NETO]]*0.21</f>
        <v>780.99210000000005</v>
      </c>
      <c r="J355" s="330"/>
      <c r="K355" s="330"/>
      <c r="L355" s="330">
        <f>SUM(ventas_b_mes4[[#This Row],[IMPORTE NETO]:[EXENTO]])</f>
        <v>4500.0021000000006</v>
      </c>
      <c r="M355" s="310"/>
    </row>
    <row r="356" spans="2:13" x14ac:dyDescent="0.25">
      <c r="B356" s="322">
        <v>45030</v>
      </c>
      <c r="C356" s="41">
        <v>6</v>
      </c>
      <c r="D356" s="324">
        <v>7</v>
      </c>
      <c r="E356" s="325">
        <v>4253</v>
      </c>
      <c r="F356" s="326"/>
      <c r="G356" s="327" t="str">
        <f>IFERROR(IF(ventas_b_mes4[[#This Row],[CUIT]]="","-",VLOOKUP(ventas_b_mes4[[#This Row],[CUIT]],Lista_CUIT[#All],2,0)),"CUIT NO CARGADO")</f>
        <v>-</v>
      </c>
      <c r="H356" s="328">
        <v>7768.6</v>
      </c>
      <c r="I356" s="329">
        <f>ventas_b_mes4[[#This Row],[IMPORTE NETO]]*0.21</f>
        <v>1631.4059999999999</v>
      </c>
      <c r="J356" s="330"/>
      <c r="K356" s="330"/>
      <c r="L356" s="330">
        <f>SUM(ventas_b_mes4[[#This Row],[IMPORTE NETO]:[EXENTO]])</f>
        <v>9400.0060000000012</v>
      </c>
      <c r="M356" s="310"/>
    </row>
    <row r="357" spans="2:13" x14ac:dyDescent="0.25">
      <c r="B357" s="322">
        <v>45030</v>
      </c>
      <c r="C357" s="41">
        <v>6</v>
      </c>
      <c r="D357" s="324">
        <v>5</v>
      </c>
      <c r="E357" s="325">
        <v>7730</v>
      </c>
      <c r="F357" s="326"/>
      <c r="G357" s="327" t="str">
        <f>IFERROR(IF(ventas_b_mes4[[#This Row],[CUIT]]="","-",VLOOKUP(ventas_b_mes4[[#This Row],[CUIT]],Lista_CUIT[#All],2,0)),"CUIT NO CARGADO")</f>
        <v>-</v>
      </c>
      <c r="H357" s="328">
        <v>6198.35</v>
      </c>
      <c r="I357" s="329">
        <f>ventas_b_mes4[[#This Row],[IMPORTE NETO]]*0.21</f>
        <v>1301.6535000000001</v>
      </c>
      <c r="J357" s="330"/>
      <c r="K357" s="330"/>
      <c r="L357" s="330">
        <f>SUM(ventas_b_mes4[[#This Row],[IMPORTE NETO]:[EXENTO]])</f>
        <v>7500.0035000000007</v>
      </c>
      <c r="M357" s="310"/>
    </row>
    <row r="358" spans="2:13" x14ac:dyDescent="0.25">
      <c r="B358" s="322">
        <v>45030</v>
      </c>
      <c r="C358" s="41">
        <v>6</v>
      </c>
      <c r="D358" s="324">
        <v>5</v>
      </c>
      <c r="E358" s="325">
        <v>7728</v>
      </c>
      <c r="F358" s="326"/>
      <c r="G358" s="327" t="str">
        <f>IFERROR(IF(ventas_b_mes4[[#This Row],[CUIT]]="","-",VLOOKUP(ventas_b_mes4[[#This Row],[CUIT]],Lista_CUIT[#All],2,0)),"CUIT NO CARGADO")</f>
        <v>-</v>
      </c>
      <c r="H358" s="328">
        <v>3884.3</v>
      </c>
      <c r="I358" s="329">
        <f>ventas_b_mes4[[#This Row],[IMPORTE NETO]]*0.21</f>
        <v>815.70299999999997</v>
      </c>
      <c r="J358" s="330"/>
      <c r="K358" s="330"/>
      <c r="L358" s="330">
        <f>SUM(ventas_b_mes4[[#This Row],[IMPORTE NETO]:[EXENTO]])</f>
        <v>4700.0030000000006</v>
      </c>
      <c r="M358" s="310"/>
    </row>
    <row r="359" spans="2:13" x14ac:dyDescent="0.25">
      <c r="B359" s="322">
        <v>45030</v>
      </c>
      <c r="C359" s="41">
        <v>6</v>
      </c>
      <c r="D359" s="324">
        <v>5</v>
      </c>
      <c r="E359" s="325">
        <v>7721</v>
      </c>
      <c r="F359" s="326"/>
      <c r="G359" s="327" t="str">
        <f>IFERROR(IF(ventas_b_mes4[[#This Row],[CUIT]]="","-",VLOOKUP(ventas_b_mes4[[#This Row],[CUIT]],Lista_CUIT[#All],2,0)),"CUIT NO CARGADO")</f>
        <v>-</v>
      </c>
      <c r="H359" s="328">
        <v>5371.9</v>
      </c>
      <c r="I359" s="329">
        <f>ventas_b_mes4[[#This Row],[IMPORTE NETO]]*0.21</f>
        <v>1128.0989999999999</v>
      </c>
      <c r="J359" s="330"/>
      <c r="K359" s="330"/>
      <c r="L359" s="330">
        <f>SUM(ventas_b_mes4[[#This Row],[IMPORTE NETO]:[EXENTO]])</f>
        <v>6499.9989999999998</v>
      </c>
      <c r="M359" s="310"/>
    </row>
    <row r="360" spans="2:13" x14ac:dyDescent="0.25">
      <c r="B360" s="322">
        <v>45030</v>
      </c>
      <c r="C360" s="41">
        <v>6</v>
      </c>
      <c r="D360" s="324">
        <v>7</v>
      </c>
      <c r="E360" s="325">
        <v>4255</v>
      </c>
      <c r="F360" s="326"/>
      <c r="G360" s="327" t="str">
        <f>IFERROR(IF(ventas_b_mes4[[#This Row],[CUIT]]="","-",VLOOKUP(ventas_b_mes4[[#This Row],[CUIT]],Lista_CUIT[#All],2,0)),"CUIT NO CARGADO")</f>
        <v>-</v>
      </c>
      <c r="H360" s="328">
        <v>3719.01</v>
      </c>
      <c r="I360" s="329">
        <f>ventas_b_mes4[[#This Row],[IMPORTE NETO]]*0.21</f>
        <v>780.99210000000005</v>
      </c>
      <c r="J360" s="330"/>
      <c r="K360" s="330"/>
      <c r="L360" s="330">
        <f>SUM(ventas_b_mes4[[#This Row],[IMPORTE NETO]:[EXENTO]])</f>
        <v>4500.0021000000006</v>
      </c>
      <c r="M360" s="310"/>
    </row>
    <row r="361" spans="2:13" x14ac:dyDescent="0.25">
      <c r="B361" s="322">
        <v>45030</v>
      </c>
      <c r="C361" s="41">
        <v>6</v>
      </c>
      <c r="D361" s="324">
        <v>5</v>
      </c>
      <c r="E361" s="325">
        <v>7732</v>
      </c>
      <c r="F361" s="326"/>
      <c r="G361" s="327" t="str">
        <f>IFERROR(IF(ventas_b_mes4[[#This Row],[CUIT]]="","-",VLOOKUP(ventas_b_mes4[[#This Row],[CUIT]],Lista_CUIT[#All],2,0)),"CUIT NO CARGADO")</f>
        <v>-</v>
      </c>
      <c r="H361" s="328">
        <v>4876.03</v>
      </c>
      <c r="I361" s="329">
        <f>ventas_b_mes4[[#This Row],[IMPORTE NETO]]*0.21</f>
        <v>1023.9662999999999</v>
      </c>
      <c r="J361" s="330"/>
      <c r="K361" s="330"/>
      <c r="L361" s="330">
        <f>SUM(ventas_b_mes4[[#This Row],[IMPORTE NETO]:[EXENTO]])</f>
        <v>5899.9962999999998</v>
      </c>
      <c r="M361" s="310"/>
    </row>
    <row r="362" spans="2:13" x14ac:dyDescent="0.25">
      <c r="B362" s="322">
        <v>45030</v>
      </c>
      <c r="C362" s="41">
        <v>6</v>
      </c>
      <c r="D362" s="324">
        <v>5</v>
      </c>
      <c r="E362" s="325">
        <v>7736</v>
      </c>
      <c r="F362" s="326"/>
      <c r="G362" s="327" t="str">
        <f>IFERROR(IF(ventas_b_mes4[[#This Row],[CUIT]]="","-",VLOOKUP(ventas_b_mes4[[#This Row],[CUIT]],Lista_CUIT[#All],2,0)),"CUIT NO CARGADO")</f>
        <v>-</v>
      </c>
      <c r="H362" s="328">
        <v>10628.1</v>
      </c>
      <c r="I362" s="329">
        <f>ventas_b_mes4[[#This Row],[IMPORTE NETO]]*0.21</f>
        <v>2231.9009999999998</v>
      </c>
      <c r="J362" s="330"/>
      <c r="K362" s="330"/>
      <c r="L362" s="330">
        <f>SUM(ventas_b_mes4[[#This Row],[IMPORTE NETO]:[EXENTO]])</f>
        <v>12860.001</v>
      </c>
      <c r="M362" s="310"/>
    </row>
    <row r="363" spans="2:13" x14ac:dyDescent="0.25">
      <c r="B363" s="322">
        <v>45030</v>
      </c>
      <c r="C363" s="41">
        <v>6</v>
      </c>
      <c r="D363" s="324">
        <v>7</v>
      </c>
      <c r="E363" s="325">
        <v>4252</v>
      </c>
      <c r="F363" s="326"/>
      <c r="G363" s="327" t="str">
        <f>IFERROR(IF(ventas_b_mes4[[#This Row],[CUIT]]="","-",VLOOKUP(ventas_b_mes4[[#This Row],[CUIT]],Lista_CUIT[#All],2,0)),"CUIT NO CARGADO")</f>
        <v>-</v>
      </c>
      <c r="H363" s="328">
        <v>11157.02</v>
      </c>
      <c r="I363" s="329">
        <f>ventas_b_mes4[[#This Row],[IMPORTE NETO]]*0.21</f>
        <v>2342.9742000000001</v>
      </c>
      <c r="J363" s="330"/>
      <c r="K363" s="330"/>
      <c r="L363" s="330">
        <f>SUM(ventas_b_mes4[[#This Row],[IMPORTE NETO]:[EXENTO]])</f>
        <v>13499.994200000001</v>
      </c>
      <c r="M363" s="310"/>
    </row>
    <row r="364" spans="2:13" x14ac:dyDescent="0.25">
      <c r="B364" s="322">
        <v>45030</v>
      </c>
      <c r="C364" s="41">
        <v>6</v>
      </c>
      <c r="D364" s="324">
        <v>7</v>
      </c>
      <c r="E364" s="325">
        <v>4254</v>
      </c>
      <c r="F364" s="326"/>
      <c r="G364" s="327" t="str">
        <f>IFERROR(IF(ventas_b_mes4[[#This Row],[CUIT]]="","-",VLOOKUP(ventas_b_mes4[[#This Row],[CUIT]],Lista_CUIT[#All],2,0)),"CUIT NO CARGADO")</f>
        <v>-</v>
      </c>
      <c r="H364" s="328">
        <v>9338.85</v>
      </c>
      <c r="I364" s="329">
        <f>ventas_b_mes4[[#This Row],[IMPORTE NETO]]*0.21</f>
        <v>1961.1585</v>
      </c>
      <c r="J364" s="330"/>
      <c r="K364" s="330"/>
      <c r="L364" s="330">
        <f>SUM(ventas_b_mes4[[#This Row],[IMPORTE NETO]:[EXENTO]])</f>
        <v>11300.0085</v>
      </c>
      <c r="M364" s="310"/>
    </row>
    <row r="365" spans="2:13" x14ac:dyDescent="0.25">
      <c r="B365" s="322">
        <v>45030</v>
      </c>
      <c r="C365" s="41">
        <v>6</v>
      </c>
      <c r="D365" s="324">
        <v>5</v>
      </c>
      <c r="E365" s="325">
        <v>7726</v>
      </c>
      <c r="F365" s="326"/>
      <c r="G365" s="327" t="str">
        <f>IFERROR(IF(ventas_b_mes4[[#This Row],[CUIT]]="","-",VLOOKUP(ventas_b_mes4[[#This Row],[CUIT]],Lista_CUIT[#All],2,0)),"CUIT NO CARGADO")</f>
        <v>-</v>
      </c>
      <c r="H365" s="328">
        <v>4876.03</v>
      </c>
      <c r="I365" s="329">
        <f>ventas_b_mes4[[#This Row],[IMPORTE NETO]]*0.21</f>
        <v>1023.9662999999999</v>
      </c>
      <c r="J365" s="330"/>
      <c r="K365" s="330"/>
      <c r="L365" s="330">
        <f>SUM(ventas_b_mes4[[#This Row],[IMPORTE NETO]:[EXENTO]])</f>
        <v>5899.9962999999998</v>
      </c>
      <c r="M365" s="310"/>
    </row>
    <row r="366" spans="2:13" x14ac:dyDescent="0.25">
      <c r="B366" s="322">
        <v>45030</v>
      </c>
      <c r="C366" s="41">
        <v>6</v>
      </c>
      <c r="D366" s="324">
        <v>7</v>
      </c>
      <c r="E366" s="325">
        <v>4258</v>
      </c>
      <c r="F366" s="326"/>
      <c r="G366" s="327" t="str">
        <f>IFERROR(IF(ventas_b_mes4[[#This Row],[CUIT]]="","-",VLOOKUP(ventas_b_mes4[[#This Row],[CUIT]],Lista_CUIT[#All],2,0)),"CUIT NO CARGADO")</f>
        <v>-</v>
      </c>
      <c r="H366" s="328">
        <v>4132.2299999999996</v>
      </c>
      <c r="I366" s="329">
        <f>ventas_b_mes4[[#This Row],[IMPORTE NETO]]*0.21</f>
        <v>867.76829999999984</v>
      </c>
      <c r="J366" s="330"/>
      <c r="K366" s="330"/>
      <c r="L366" s="330">
        <f>SUM(ventas_b_mes4[[#This Row],[IMPORTE NETO]:[EXENTO]])</f>
        <v>4999.9982999999993</v>
      </c>
      <c r="M366" s="310"/>
    </row>
    <row r="367" spans="2:13" x14ac:dyDescent="0.25">
      <c r="B367" s="322">
        <v>45030</v>
      </c>
      <c r="C367" s="41">
        <v>6</v>
      </c>
      <c r="D367" s="324">
        <v>7</v>
      </c>
      <c r="E367" s="325">
        <v>4257</v>
      </c>
      <c r="F367" s="326"/>
      <c r="G367" s="327" t="str">
        <f>IFERROR(IF(ventas_b_mes4[[#This Row],[CUIT]]="","-",VLOOKUP(ventas_b_mes4[[#This Row],[CUIT]],Lista_CUIT[#All],2,0)),"CUIT NO CARGADO")</f>
        <v>-</v>
      </c>
      <c r="H367" s="328">
        <v>8099.17</v>
      </c>
      <c r="I367" s="329">
        <f>ventas_b_mes4[[#This Row],[IMPORTE NETO]]*0.21</f>
        <v>1700.8256999999999</v>
      </c>
      <c r="J367" s="330"/>
      <c r="K367" s="330"/>
      <c r="L367" s="330">
        <f>SUM(ventas_b_mes4[[#This Row],[IMPORTE NETO]:[EXENTO]])</f>
        <v>9799.9956999999995</v>
      </c>
      <c r="M367" s="310"/>
    </row>
    <row r="368" spans="2:13" x14ac:dyDescent="0.25">
      <c r="B368" s="322">
        <v>45030</v>
      </c>
      <c r="C368" s="41">
        <v>6</v>
      </c>
      <c r="D368" s="324">
        <v>5</v>
      </c>
      <c r="E368" s="325">
        <v>7731</v>
      </c>
      <c r="F368" s="326"/>
      <c r="G368" s="327" t="str">
        <f>IFERROR(IF(ventas_b_mes4[[#This Row],[CUIT]]="","-",VLOOKUP(ventas_b_mes4[[#This Row],[CUIT]],Lista_CUIT[#All],2,0)),"CUIT NO CARGADO")</f>
        <v>-</v>
      </c>
      <c r="H368" s="328">
        <v>8842.98</v>
      </c>
      <c r="I368" s="329">
        <f>ventas_b_mes4[[#This Row],[IMPORTE NETO]]*0.21</f>
        <v>1857.0257999999999</v>
      </c>
      <c r="J368" s="330"/>
      <c r="K368" s="330"/>
      <c r="L368" s="330">
        <f>SUM(ventas_b_mes4[[#This Row],[IMPORTE NETO]:[EXENTO]])</f>
        <v>10700.005799999999</v>
      </c>
      <c r="M368" s="310"/>
    </row>
    <row r="369" spans="2:13" x14ac:dyDescent="0.25">
      <c r="B369" s="322">
        <v>45030</v>
      </c>
      <c r="C369" s="41">
        <v>6</v>
      </c>
      <c r="D369" s="324">
        <v>5</v>
      </c>
      <c r="E369" s="325">
        <v>7733</v>
      </c>
      <c r="F369" s="326"/>
      <c r="G369" s="327" t="str">
        <f>IFERROR(IF(ventas_b_mes4[[#This Row],[CUIT]]="","-",VLOOKUP(ventas_b_mes4[[#This Row],[CUIT]],Lista_CUIT[#All],2,0)),"CUIT NO CARGADO")</f>
        <v>-</v>
      </c>
      <c r="H369" s="328">
        <v>6446.28</v>
      </c>
      <c r="I369" s="329">
        <f>ventas_b_mes4[[#This Row],[IMPORTE NETO]]*0.21</f>
        <v>1353.7187999999999</v>
      </c>
      <c r="J369" s="330"/>
      <c r="K369" s="330"/>
      <c r="L369" s="330">
        <f>SUM(ventas_b_mes4[[#This Row],[IMPORTE NETO]:[EXENTO]])</f>
        <v>7799.9987999999994</v>
      </c>
      <c r="M369" s="310"/>
    </row>
    <row r="370" spans="2:13" x14ac:dyDescent="0.25">
      <c r="B370" s="322">
        <v>45030</v>
      </c>
      <c r="C370" s="41">
        <v>6</v>
      </c>
      <c r="D370" s="324">
        <v>7</v>
      </c>
      <c r="E370" s="325">
        <v>4251</v>
      </c>
      <c r="F370" s="326"/>
      <c r="G370" s="327" t="str">
        <f>IFERROR(IF(ventas_b_mes4[[#This Row],[CUIT]]="","-",VLOOKUP(ventas_b_mes4[[#This Row],[CUIT]],Lista_CUIT[#All],2,0)),"CUIT NO CARGADO")</f>
        <v>-</v>
      </c>
      <c r="H370" s="328">
        <v>3966.94</v>
      </c>
      <c r="I370" s="329">
        <f>ventas_b_mes4[[#This Row],[IMPORTE NETO]]*0.21</f>
        <v>833.05740000000003</v>
      </c>
      <c r="J370" s="330"/>
      <c r="K370" s="330"/>
      <c r="L370" s="330">
        <f>SUM(ventas_b_mes4[[#This Row],[IMPORTE NETO]:[EXENTO]])</f>
        <v>4799.9974000000002</v>
      </c>
      <c r="M370" s="310"/>
    </row>
    <row r="371" spans="2:13" x14ac:dyDescent="0.25">
      <c r="B371" s="322">
        <v>45030</v>
      </c>
      <c r="C371" s="41">
        <v>6</v>
      </c>
      <c r="D371" s="324">
        <v>5</v>
      </c>
      <c r="E371" s="325">
        <v>7734</v>
      </c>
      <c r="F371" s="326"/>
      <c r="G371" s="327" t="str">
        <f>IFERROR(IF(ventas_b_mes4[[#This Row],[CUIT]]="","-",VLOOKUP(ventas_b_mes4[[#This Row],[CUIT]],Lista_CUIT[#All],2,0)),"CUIT NO CARGADO")</f>
        <v>-</v>
      </c>
      <c r="H371" s="328">
        <v>10578.51</v>
      </c>
      <c r="I371" s="329">
        <f>ventas_b_mes4[[#This Row],[IMPORTE NETO]]*0.21</f>
        <v>2221.4870999999998</v>
      </c>
      <c r="J371" s="330"/>
      <c r="K371" s="330"/>
      <c r="L371" s="330">
        <f>SUM(ventas_b_mes4[[#This Row],[IMPORTE NETO]:[EXENTO]])</f>
        <v>12799.997100000001</v>
      </c>
      <c r="M371" s="310"/>
    </row>
    <row r="372" spans="2:13" x14ac:dyDescent="0.25">
      <c r="B372" s="322">
        <v>45030</v>
      </c>
      <c r="C372" s="41">
        <v>6</v>
      </c>
      <c r="D372" s="324">
        <v>5</v>
      </c>
      <c r="E372" s="325">
        <v>7735</v>
      </c>
      <c r="F372" s="326"/>
      <c r="G372" s="327" t="str">
        <f>IFERROR(IF(ventas_b_mes4[[#This Row],[CUIT]]="","-",VLOOKUP(ventas_b_mes4[[#This Row],[CUIT]],Lista_CUIT[#All],2,0)),"CUIT NO CARGADO")</f>
        <v>-</v>
      </c>
      <c r="H372" s="328">
        <v>8677.69</v>
      </c>
      <c r="I372" s="329">
        <f>ventas_b_mes4[[#This Row],[IMPORTE NETO]]*0.21</f>
        <v>1822.3149000000001</v>
      </c>
      <c r="J372" s="330"/>
      <c r="K372" s="330"/>
      <c r="L372" s="330">
        <f>SUM(ventas_b_mes4[[#This Row],[IMPORTE NETO]:[EXENTO]])</f>
        <v>10500.0049</v>
      </c>
      <c r="M372" s="310"/>
    </row>
    <row r="373" spans="2:13" x14ac:dyDescent="0.25">
      <c r="B373" s="322">
        <v>45030</v>
      </c>
      <c r="C373" s="41">
        <v>6</v>
      </c>
      <c r="D373" s="324">
        <v>7</v>
      </c>
      <c r="E373" s="325">
        <v>4250</v>
      </c>
      <c r="F373" s="326"/>
      <c r="G373" s="327" t="str">
        <f>IFERROR(IF(ventas_b_mes4[[#This Row],[CUIT]]="","-",VLOOKUP(ventas_b_mes4[[#This Row],[CUIT]],Lista_CUIT[#All],2,0)),"CUIT NO CARGADO")</f>
        <v>-</v>
      </c>
      <c r="H373" s="328">
        <v>4132.24</v>
      </c>
      <c r="I373" s="329">
        <f>ventas_b_mes4[[#This Row],[IMPORTE NETO]]*0.21</f>
        <v>867.77039999999988</v>
      </c>
      <c r="J373" s="330"/>
      <c r="K373" s="330"/>
      <c r="L373" s="330">
        <f>SUM(ventas_b_mes4[[#This Row],[IMPORTE NETO]:[EXENTO]])</f>
        <v>5000.0103999999992</v>
      </c>
      <c r="M373" s="310"/>
    </row>
    <row r="374" spans="2:13" x14ac:dyDescent="0.25">
      <c r="B374" s="322">
        <v>45030</v>
      </c>
      <c r="C374" s="41">
        <v>6</v>
      </c>
      <c r="D374" s="324">
        <v>5</v>
      </c>
      <c r="E374" s="325">
        <v>7724</v>
      </c>
      <c r="F374" s="326"/>
      <c r="G374" s="327" t="str">
        <f>IFERROR(IF(ventas_b_mes4[[#This Row],[CUIT]]="","-",VLOOKUP(ventas_b_mes4[[#This Row],[CUIT]],Lista_CUIT[#All],2,0)),"CUIT NO CARGADO")</f>
        <v>-</v>
      </c>
      <c r="H374" s="328">
        <v>7851.24</v>
      </c>
      <c r="I374" s="329">
        <f>ventas_b_mes4[[#This Row],[IMPORTE NETO]]*0.21</f>
        <v>1648.7603999999999</v>
      </c>
      <c r="J374" s="330"/>
      <c r="K374" s="330"/>
      <c r="L374" s="330">
        <f>SUM(ventas_b_mes4[[#This Row],[IMPORTE NETO]:[EXENTO]])</f>
        <v>9500.000399999999</v>
      </c>
      <c r="M374" s="310"/>
    </row>
    <row r="375" spans="2:13" x14ac:dyDescent="0.25">
      <c r="B375" s="322">
        <v>45030</v>
      </c>
      <c r="C375" s="41">
        <v>6</v>
      </c>
      <c r="D375" s="324">
        <v>5</v>
      </c>
      <c r="E375" s="325">
        <v>7727</v>
      </c>
      <c r="F375" s="326"/>
      <c r="G375" s="327" t="str">
        <f>IFERROR(IF(ventas_b_mes4[[#This Row],[CUIT]]="","-",VLOOKUP(ventas_b_mes4[[#This Row],[CUIT]],Lista_CUIT[#All],2,0)),"CUIT NO CARGADO")</f>
        <v>-</v>
      </c>
      <c r="H375" s="328">
        <v>7768.6</v>
      </c>
      <c r="I375" s="329">
        <f>ventas_b_mes4[[#This Row],[IMPORTE NETO]]*0.21</f>
        <v>1631.4059999999999</v>
      </c>
      <c r="J375" s="330"/>
      <c r="K375" s="330"/>
      <c r="L375" s="330">
        <f>SUM(ventas_b_mes4[[#This Row],[IMPORTE NETO]:[EXENTO]])</f>
        <v>9400.0060000000012</v>
      </c>
      <c r="M375" s="310"/>
    </row>
    <row r="376" spans="2:13" x14ac:dyDescent="0.25">
      <c r="B376" s="322">
        <v>45030</v>
      </c>
      <c r="C376" s="41">
        <v>6</v>
      </c>
      <c r="D376" s="324">
        <v>5</v>
      </c>
      <c r="E376" s="325">
        <v>7725</v>
      </c>
      <c r="F376" s="326"/>
      <c r="G376" s="327" t="str">
        <f>IFERROR(IF(ventas_b_mes4[[#This Row],[CUIT]]="","-",VLOOKUP(ventas_b_mes4[[#This Row],[CUIT]],Lista_CUIT[#All],2,0)),"CUIT NO CARGADO")</f>
        <v>-</v>
      </c>
      <c r="H376" s="328">
        <v>4876.03</v>
      </c>
      <c r="I376" s="329">
        <f>ventas_b_mes4[[#This Row],[IMPORTE NETO]]*0.21</f>
        <v>1023.9662999999999</v>
      </c>
      <c r="J376" s="330"/>
      <c r="K376" s="330"/>
      <c r="L376" s="330">
        <f>SUM(ventas_b_mes4[[#This Row],[IMPORTE NETO]:[EXENTO]])</f>
        <v>5899.9962999999998</v>
      </c>
      <c r="M376" s="310"/>
    </row>
    <row r="377" spans="2:13" x14ac:dyDescent="0.25">
      <c r="B377" s="322">
        <v>45030</v>
      </c>
      <c r="C377" s="41">
        <v>6</v>
      </c>
      <c r="D377" s="324">
        <v>5</v>
      </c>
      <c r="E377" s="325">
        <v>7722</v>
      </c>
      <c r="F377" s="326"/>
      <c r="G377" s="327" t="str">
        <f>IFERROR(IF(ventas_b_mes4[[#This Row],[CUIT]]="","-",VLOOKUP(ventas_b_mes4[[#This Row],[CUIT]],Lista_CUIT[#All],2,0)),"CUIT NO CARGADO")</f>
        <v>-</v>
      </c>
      <c r="H377" s="328">
        <v>4867.7700000000004</v>
      </c>
      <c r="I377" s="329">
        <f>ventas_b_mes4[[#This Row],[IMPORTE NETO]]*0.21</f>
        <v>1022.2317</v>
      </c>
      <c r="J377" s="330"/>
      <c r="K377" s="330"/>
      <c r="L377" s="330">
        <f>SUM(ventas_b_mes4[[#This Row],[IMPORTE NETO]:[EXENTO]])</f>
        <v>5890.0017000000007</v>
      </c>
      <c r="M377" s="310"/>
    </row>
    <row r="378" spans="2:13" x14ac:dyDescent="0.25">
      <c r="B378" s="322">
        <v>45030</v>
      </c>
      <c r="C378" s="41">
        <v>6</v>
      </c>
      <c r="D378" s="324">
        <v>5</v>
      </c>
      <c r="E378" s="325">
        <v>7723</v>
      </c>
      <c r="F378" s="326"/>
      <c r="G378" s="327" t="str">
        <f>IFERROR(IF(ventas_b_mes4[[#This Row],[CUIT]]="","-",VLOOKUP(ventas_b_mes4[[#This Row],[CUIT]],Lista_CUIT[#All],2,0)),"CUIT NO CARGADO")</f>
        <v>-</v>
      </c>
      <c r="H378" s="328">
        <v>4876.03</v>
      </c>
      <c r="I378" s="329">
        <f>ventas_b_mes4[[#This Row],[IMPORTE NETO]]*0.21</f>
        <v>1023.9662999999999</v>
      </c>
      <c r="J378" s="330"/>
      <c r="K378" s="330"/>
      <c r="L378" s="330">
        <f>SUM(ventas_b_mes4[[#This Row],[IMPORTE NETO]:[EXENTO]])</f>
        <v>5899.9962999999998</v>
      </c>
      <c r="M378" s="310"/>
    </row>
    <row r="379" spans="2:13" x14ac:dyDescent="0.25">
      <c r="B379" s="322">
        <v>45030</v>
      </c>
      <c r="C379" s="41">
        <v>6</v>
      </c>
      <c r="D379" s="324">
        <v>7</v>
      </c>
      <c r="E379" s="325">
        <v>4256</v>
      </c>
      <c r="F379" s="326"/>
      <c r="G379" s="327" t="str">
        <f>IFERROR(IF(ventas_b_mes4[[#This Row],[CUIT]]="","-",VLOOKUP(ventas_b_mes4[[#This Row],[CUIT]],Lista_CUIT[#All],2,0)),"CUIT NO CARGADO")</f>
        <v>-</v>
      </c>
      <c r="H379" s="328">
        <v>99173.55</v>
      </c>
      <c r="I379" s="329">
        <f>ventas_b_mes4[[#This Row],[IMPORTE NETO]]*0.21</f>
        <v>20826.445500000002</v>
      </c>
      <c r="J379" s="330"/>
      <c r="K379" s="330"/>
      <c r="L379" s="330">
        <f>SUM(ventas_b_mes4[[#This Row],[IMPORTE NETO]:[EXENTO]])</f>
        <v>119999.9955</v>
      </c>
      <c r="M379" s="310"/>
    </row>
    <row r="380" spans="2:13" x14ac:dyDescent="0.25">
      <c r="B380" s="322">
        <v>45033</v>
      </c>
      <c r="C380" s="41">
        <v>6</v>
      </c>
      <c r="D380" s="324">
        <v>7</v>
      </c>
      <c r="E380" s="325">
        <v>4261</v>
      </c>
      <c r="F380" s="326"/>
      <c r="G380" s="327" t="str">
        <f>IFERROR(IF(ventas_b_mes4[[#This Row],[CUIT]]="","-",VLOOKUP(ventas_b_mes4[[#This Row],[CUIT]],Lista_CUIT[#All],2,0)),"CUIT NO CARGADO")</f>
        <v>-</v>
      </c>
      <c r="H380" s="328">
        <v>3966.95</v>
      </c>
      <c r="I380" s="329">
        <f>ventas_b_mes4[[#This Row],[IMPORTE NETO]]*0.21</f>
        <v>833.05949999999996</v>
      </c>
      <c r="J380" s="330"/>
      <c r="K380" s="330"/>
      <c r="L380" s="330">
        <f>SUM(ventas_b_mes4[[#This Row],[IMPORTE NETO]:[EXENTO]])</f>
        <v>4800.0095000000001</v>
      </c>
      <c r="M380" s="310"/>
    </row>
    <row r="381" spans="2:13" x14ac:dyDescent="0.25">
      <c r="B381" s="322">
        <v>45033</v>
      </c>
      <c r="C381" s="41">
        <v>6</v>
      </c>
      <c r="D381" s="324">
        <v>5</v>
      </c>
      <c r="E381" s="325">
        <v>7744</v>
      </c>
      <c r="F381" s="326"/>
      <c r="G381" s="327" t="str">
        <f>IFERROR(IF(ventas_b_mes4[[#This Row],[CUIT]]="","-",VLOOKUP(ventas_b_mes4[[#This Row],[CUIT]],Lista_CUIT[#All],2,0)),"CUIT NO CARGADO")</f>
        <v>-</v>
      </c>
      <c r="H381" s="328">
        <v>4876.03</v>
      </c>
      <c r="I381" s="329">
        <f>ventas_b_mes4[[#This Row],[IMPORTE NETO]]*0.21</f>
        <v>1023.9662999999999</v>
      </c>
      <c r="J381" s="330"/>
      <c r="K381" s="330"/>
      <c r="L381" s="330">
        <f>SUM(ventas_b_mes4[[#This Row],[IMPORTE NETO]:[EXENTO]])</f>
        <v>5899.9962999999998</v>
      </c>
      <c r="M381" s="310"/>
    </row>
    <row r="382" spans="2:13" x14ac:dyDescent="0.25">
      <c r="B382" s="322">
        <v>45033</v>
      </c>
      <c r="C382" s="41">
        <v>6</v>
      </c>
      <c r="D382" s="324">
        <v>5</v>
      </c>
      <c r="E382" s="325">
        <v>7741</v>
      </c>
      <c r="F382" s="326"/>
      <c r="G382" s="327" t="str">
        <f>IFERROR(IF(ventas_b_mes4[[#This Row],[CUIT]]="","-",VLOOKUP(ventas_b_mes4[[#This Row],[CUIT]],Lista_CUIT[#All],2,0)),"CUIT NO CARGADO")</f>
        <v>-</v>
      </c>
      <c r="H382" s="328">
        <v>2438.02</v>
      </c>
      <c r="I382" s="329">
        <f>ventas_b_mes4[[#This Row],[IMPORTE NETO]]*0.21</f>
        <v>511.98419999999999</v>
      </c>
      <c r="J382" s="330"/>
      <c r="K382" s="330"/>
      <c r="L382" s="330">
        <f>SUM(ventas_b_mes4[[#This Row],[IMPORTE NETO]:[EXENTO]])</f>
        <v>2950.0041999999999</v>
      </c>
      <c r="M382" s="310"/>
    </row>
    <row r="383" spans="2:13" x14ac:dyDescent="0.25">
      <c r="B383" s="322">
        <v>45033</v>
      </c>
      <c r="C383" s="41">
        <v>6</v>
      </c>
      <c r="D383" s="324">
        <v>5</v>
      </c>
      <c r="E383" s="325">
        <v>7740</v>
      </c>
      <c r="F383" s="326"/>
      <c r="G383" s="327" t="str">
        <f>IFERROR(IF(ventas_b_mes4[[#This Row],[CUIT]]="","-",VLOOKUP(ventas_b_mes4[[#This Row],[CUIT]],Lista_CUIT[#All],2,0)),"CUIT NO CARGADO")</f>
        <v>-</v>
      </c>
      <c r="H383" s="328">
        <v>4958.68</v>
      </c>
      <c r="I383" s="329">
        <f>ventas_b_mes4[[#This Row],[IMPORTE NETO]]*0.21</f>
        <v>1041.3227999999999</v>
      </c>
      <c r="J383" s="330"/>
      <c r="K383" s="330"/>
      <c r="L383" s="330">
        <f>SUM(ventas_b_mes4[[#This Row],[IMPORTE NETO]:[EXENTO]])</f>
        <v>6000.0028000000002</v>
      </c>
      <c r="M383" s="310"/>
    </row>
    <row r="384" spans="2:13" x14ac:dyDescent="0.25">
      <c r="B384" s="322">
        <v>45033</v>
      </c>
      <c r="C384" s="41">
        <v>6</v>
      </c>
      <c r="D384" s="324">
        <v>5</v>
      </c>
      <c r="E384" s="325">
        <v>7739</v>
      </c>
      <c r="F384" s="326"/>
      <c r="G384" s="327" t="str">
        <f>IFERROR(IF(ventas_b_mes4[[#This Row],[CUIT]]="","-",VLOOKUP(ventas_b_mes4[[#This Row],[CUIT]],Lista_CUIT[#All],2,0)),"CUIT NO CARGADO")</f>
        <v>-</v>
      </c>
      <c r="H384" s="328">
        <v>2066.12</v>
      </c>
      <c r="I384" s="329">
        <f>ventas_b_mes4[[#This Row],[IMPORTE NETO]]*0.21</f>
        <v>433.88519999999994</v>
      </c>
      <c r="J384" s="330"/>
      <c r="K384" s="330"/>
      <c r="L384" s="330">
        <f>SUM(ventas_b_mes4[[#This Row],[IMPORTE NETO]:[EXENTO]])</f>
        <v>2500.0051999999996</v>
      </c>
      <c r="M384" s="310"/>
    </row>
    <row r="385" spans="2:13" x14ac:dyDescent="0.25">
      <c r="B385" s="322">
        <v>45033</v>
      </c>
      <c r="C385" s="41">
        <v>6</v>
      </c>
      <c r="D385" s="324">
        <v>5</v>
      </c>
      <c r="E385" s="325">
        <v>7737</v>
      </c>
      <c r="F385" s="326"/>
      <c r="G385" s="327" t="str">
        <f>IFERROR(IF(ventas_b_mes4[[#This Row],[CUIT]]="","-",VLOOKUP(ventas_b_mes4[[#This Row],[CUIT]],Lista_CUIT[#All],2,0)),"CUIT NO CARGADO")</f>
        <v>-</v>
      </c>
      <c r="H385" s="328">
        <v>4330.58</v>
      </c>
      <c r="I385" s="329">
        <f>ventas_b_mes4[[#This Row],[IMPORTE NETO]]*0.21</f>
        <v>909.42179999999996</v>
      </c>
      <c r="J385" s="330"/>
      <c r="K385" s="330"/>
      <c r="L385" s="330">
        <f>SUM(ventas_b_mes4[[#This Row],[IMPORTE NETO]:[EXENTO]])</f>
        <v>5240.0018</v>
      </c>
      <c r="M385" s="310"/>
    </row>
    <row r="386" spans="2:13" x14ac:dyDescent="0.25">
      <c r="B386" s="322">
        <v>45033</v>
      </c>
      <c r="C386" s="41">
        <v>6</v>
      </c>
      <c r="D386" s="324">
        <v>7</v>
      </c>
      <c r="E386" s="325">
        <v>4260</v>
      </c>
      <c r="F386" s="326"/>
      <c r="G386" s="327" t="str">
        <f>IFERROR(IF(ventas_b_mes4[[#This Row],[CUIT]]="","-",VLOOKUP(ventas_b_mes4[[#This Row],[CUIT]],Lista_CUIT[#All],2,0)),"CUIT NO CARGADO")</f>
        <v>-</v>
      </c>
      <c r="H386" s="328">
        <v>2644.63</v>
      </c>
      <c r="I386" s="329">
        <f>ventas_b_mes4[[#This Row],[IMPORTE NETO]]*0.21</f>
        <v>555.3723</v>
      </c>
      <c r="J386" s="330"/>
      <c r="K386" s="330"/>
      <c r="L386" s="330">
        <f>SUM(ventas_b_mes4[[#This Row],[IMPORTE NETO]:[EXENTO]])</f>
        <v>3200.0023000000001</v>
      </c>
      <c r="M386" s="310"/>
    </row>
    <row r="387" spans="2:13" x14ac:dyDescent="0.25">
      <c r="B387" s="322">
        <v>45033</v>
      </c>
      <c r="C387" s="41">
        <v>6</v>
      </c>
      <c r="D387" s="324">
        <v>5</v>
      </c>
      <c r="E387" s="325">
        <v>7738</v>
      </c>
      <c r="F387" s="326"/>
      <c r="G387" s="327" t="str">
        <f>IFERROR(IF(ventas_b_mes4[[#This Row],[CUIT]]="","-",VLOOKUP(ventas_b_mes4[[#This Row],[CUIT]],Lista_CUIT[#All],2,0)),"CUIT NO CARGADO")</f>
        <v>-</v>
      </c>
      <c r="H387" s="328">
        <v>4958.68</v>
      </c>
      <c r="I387" s="329">
        <f>ventas_b_mes4[[#This Row],[IMPORTE NETO]]*0.21</f>
        <v>1041.3227999999999</v>
      </c>
      <c r="J387" s="330"/>
      <c r="K387" s="330"/>
      <c r="L387" s="330">
        <f>SUM(ventas_b_mes4[[#This Row],[IMPORTE NETO]:[EXENTO]])</f>
        <v>6000.0028000000002</v>
      </c>
      <c r="M387" s="310"/>
    </row>
    <row r="388" spans="2:13" x14ac:dyDescent="0.25">
      <c r="B388" s="322">
        <v>45033</v>
      </c>
      <c r="C388" s="41">
        <v>6</v>
      </c>
      <c r="D388" s="324">
        <v>5</v>
      </c>
      <c r="E388" s="325">
        <v>7749</v>
      </c>
      <c r="F388" s="326"/>
      <c r="G388" s="327" t="str">
        <f>IFERROR(IF(ventas_b_mes4[[#This Row],[CUIT]]="","-",VLOOKUP(ventas_b_mes4[[#This Row],[CUIT]],Lista_CUIT[#All],2,0)),"CUIT NO CARGADO")</f>
        <v>-</v>
      </c>
      <c r="H388" s="328">
        <v>17520.66</v>
      </c>
      <c r="I388" s="329">
        <f>ventas_b_mes4[[#This Row],[IMPORTE NETO]]*0.21</f>
        <v>3679.3386</v>
      </c>
      <c r="J388" s="330"/>
      <c r="K388" s="330"/>
      <c r="L388" s="330">
        <f>SUM(ventas_b_mes4[[#This Row],[IMPORTE NETO]:[EXENTO]])</f>
        <v>21199.998599999999</v>
      </c>
      <c r="M388" s="310"/>
    </row>
    <row r="389" spans="2:13" x14ac:dyDescent="0.25">
      <c r="B389" s="322">
        <v>45033</v>
      </c>
      <c r="C389" s="41">
        <v>6</v>
      </c>
      <c r="D389" s="324">
        <v>5</v>
      </c>
      <c r="E389" s="325">
        <v>7746</v>
      </c>
      <c r="F389" s="326"/>
      <c r="G389" s="327" t="str">
        <f>IFERROR(IF(ventas_b_mes4[[#This Row],[CUIT]]="","-",VLOOKUP(ventas_b_mes4[[#This Row],[CUIT]],Lista_CUIT[#All],2,0)),"CUIT NO CARGADO")</f>
        <v>-</v>
      </c>
      <c r="H389" s="328">
        <v>3140.5</v>
      </c>
      <c r="I389" s="329">
        <f>ventas_b_mes4[[#This Row],[IMPORTE NETO]]*0.21</f>
        <v>659.505</v>
      </c>
      <c r="J389" s="330"/>
      <c r="K389" s="330"/>
      <c r="L389" s="330">
        <f>SUM(ventas_b_mes4[[#This Row],[IMPORTE NETO]:[EXENTO]])</f>
        <v>3800.0050000000001</v>
      </c>
      <c r="M389" s="310"/>
    </row>
    <row r="390" spans="2:13" x14ac:dyDescent="0.25">
      <c r="B390" s="322">
        <v>45033</v>
      </c>
      <c r="C390" s="41">
        <v>6</v>
      </c>
      <c r="D390" s="324">
        <v>5</v>
      </c>
      <c r="E390" s="325">
        <v>7745</v>
      </c>
      <c r="F390" s="326"/>
      <c r="G390" s="327" t="str">
        <f>IFERROR(IF(ventas_b_mes4[[#This Row],[CUIT]]="","-",VLOOKUP(ventas_b_mes4[[#This Row],[CUIT]],Lista_CUIT[#All],2,0)),"CUIT NO CARGADO")</f>
        <v>-</v>
      </c>
      <c r="H390" s="328">
        <v>10330.58</v>
      </c>
      <c r="I390" s="329">
        <f>ventas_b_mes4[[#This Row],[IMPORTE NETO]]*0.21</f>
        <v>2169.4218000000001</v>
      </c>
      <c r="J390" s="330"/>
      <c r="K390" s="330"/>
      <c r="L390" s="330">
        <f>SUM(ventas_b_mes4[[#This Row],[IMPORTE NETO]:[EXENTO]])</f>
        <v>12500.0018</v>
      </c>
      <c r="M390" s="310"/>
    </row>
    <row r="391" spans="2:13" x14ac:dyDescent="0.25">
      <c r="B391" s="322">
        <v>45033</v>
      </c>
      <c r="C391" s="41">
        <v>6</v>
      </c>
      <c r="D391" s="324">
        <v>5</v>
      </c>
      <c r="E391" s="325">
        <v>7748</v>
      </c>
      <c r="F391" s="326"/>
      <c r="G391" s="327" t="str">
        <f>IFERROR(IF(ventas_b_mes4[[#This Row],[CUIT]]="","-",VLOOKUP(ventas_b_mes4[[#This Row],[CUIT]],Lista_CUIT[#All],2,0)),"CUIT NO CARGADO")</f>
        <v>-</v>
      </c>
      <c r="H391" s="328">
        <v>2396.69</v>
      </c>
      <c r="I391" s="329">
        <f>ventas_b_mes4[[#This Row],[IMPORTE NETO]]*0.21</f>
        <v>503.30489999999998</v>
      </c>
      <c r="J391" s="330"/>
      <c r="K391" s="330"/>
      <c r="L391" s="330">
        <f>SUM(ventas_b_mes4[[#This Row],[IMPORTE NETO]:[EXENTO]])</f>
        <v>2899.9949000000001</v>
      </c>
      <c r="M391" s="310"/>
    </row>
    <row r="392" spans="2:13" x14ac:dyDescent="0.25">
      <c r="B392" s="322">
        <v>45033</v>
      </c>
      <c r="C392" s="41">
        <v>6</v>
      </c>
      <c r="D392" s="324">
        <v>7</v>
      </c>
      <c r="E392" s="325">
        <v>4262</v>
      </c>
      <c r="F392" s="326"/>
      <c r="G392" s="327" t="str">
        <f>IFERROR(IF(ventas_b_mes4[[#This Row],[CUIT]]="","-",VLOOKUP(ventas_b_mes4[[#This Row],[CUIT]],Lista_CUIT[#All],2,0)),"CUIT NO CARGADO")</f>
        <v>-</v>
      </c>
      <c r="H392" s="328">
        <v>7438.02</v>
      </c>
      <c r="I392" s="329">
        <f>ventas_b_mes4[[#This Row],[IMPORTE NETO]]*0.21</f>
        <v>1561.9842000000001</v>
      </c>
      <c r="J392" s="330"/>
      <c r="K392" s="330"/>
      <c r="L392" s="330">
        <f>SUM(ventas_b_mes4[[#This Row],[IMPORTE NETO]:[EXENTO]])</f>
        <v>9000.0042000000012</v>
      </c>
      <c r="M392" s="310"/>
    </row>
    <row r="393" spans="2:13" x14ac:dyDescent="0.25">
      <c r="B393" s="322">
        <v>45033</v>
      </c>
      <c r="C393" s="41">
        <v>6</v>
      </c>
      <c r="D393" s="324">
        <v>7</v>
      </c>
      <c r="E393" s="325">
        <v>4263</v>
      </c>
      <c r="F393" s="326">
        <v>22608522</v>
      </c>
      <c r="G393" s="327" t="str">
        <f>IFERROR(IF(ventas_b_mes4[[#This Row],[CUIT]]="","-",VLOOKUP(ventas_b_mes4[[#This Row],[CUIT]],Lista_CUIT[#All],2,0)),"CUIT NO CARGADO")</f>
        <v>CAMPOBASSO, MARIANA LAURA</v>
      </c>
      <c r="H393" s="328">
        <v>5371.9</v>
      </c>
      <c r="I393" s="329">
        <f>ventas_b_mes4[[#This Row],[IMPORTE NETO]]*0.21</f>
        <v>1128.0989999999999</v>
      </c>
      <c r="J393" s="330"/>
      <c r="K393" s="330"/>
      <c r="L393" s="330">
        <f>SUM(ventas_b_mes4[[#This Row],[IMPORTE NETO]:[EXENTO]])</f>
        <v>6499.9989999999998</v>
      </c>
      <c r="M393" s="310"/>
    </row>
    <row r="394" spans="2:13" x14ac:dyDescent="0.25">
      <c r="B394" s="322">
        <v>45033</v>
      </c>
      <c r="C394" s="41">
        <v>6</v>
      </c>
      <c r="D394" s="324">
        <v>7</v>
      </c>
      <c r="E394" s="325">
        <v>4264</v>
      </c>
      <c r="F394" s="326">
        <v>8208160</v>
      </c>
      <c r="G394" s="327" t="str">
        <f>IFERROR(IF(ventas_b_mes4[[#This Row],[CUIT]]="","-",VLOOKUP(ventas_b_mes4[[#This Row],[CUIT]],Lista_CUIT[#All],2,0)),"CUIT NO CARGADO")</f>
        <v>Aguirre Diego</v>
      </c>
      <c r="H394" s="328">
        <v>2644.63</v>
      </c>
      <c r="I394" s="329">
        <f>ventas_b_mes4[[#This Row],[IMPORTE NETO]]*0.21</f>
        <v>555.3723</v>
      </c>
      <c r="J394" s="330"/>
      <c r="K394" s="330"/>
      <c r="L394" s="330">
        <f>SUM(ventas_b_mes4[[#This Row],[IMPORTE NETO]:[EXENTO]])</f>
        <v>3200.0023000000001</v>
      </c>
      <c r="M394" s="310"/>
    </row>
    <row r="395" spans="2:13" x14ac:dyDescent="0.25">
      <c r="B395" s="322">
        <v>45033</v>
      </c>
      <c r="C395" s="41">
        <v>6</v>
      </c>
      <c r="D395" s="324">
        <v>7</v>
      </c>
      <c r="E395" s="325">
        <v>4259</v>
      </c>
      <c r="F395" s="326">
        <v>94466696</v>
      </c>
      <c r="G395" s="327" t="str">
        <f>IFERROR(IF(ventas_b_mes4[[#This Row],[CUIT]]="","-",VLOOKUP(ventas_b_mes4[[#This Row],[CUIT]],Lista_CUIT[#All],2,0)),"CUIT NO CARGADO")</f>
        <v>CUIT NO CARGADO</v>
      </c>
      <c r="H395" s="328">
        <v>6942.15</v>
      </c>
      <c r="I395" s="329">
        <f>ventas_b_mes4[[#This Row],[IMPORTE NETO]]*0.21</f>
        <v>1457.8514999999998</v>
      </c>
      <c r="J395" s="330"/>
      <c r="K395" s="330"/>
      <c r="L395" s="330">
        <f>SUM(ventas_b_mes4[[#This Row],[IMPORTE NETO]:[EXENTO]])</f>
        <v>8400.0014999999985</v>
      </c>
      <c r="M395" s="310"/>
    </row>
    <row r="396" spans="2:13" x14ac:dyDescent="0.25">
      <c r="B396" s="322">
        <v>45033</v>
      </c>
      <c r="C396" s="41">
        <v>6</v>
      </c>
      <c r="D396" s="324">
        <v>5</v>
      </c>
      <c r="E396" s="325">
        <v>7743</v>
      </c>
      <c r="F396" s="326">
        <v>0</v>
      </c>
      <c r="G396" s="327" t="str">
        <f>IFERROR(IF(ventas_b_mes4[[#This Row],[CUIT]]="","-",VLOOKUP(ventas_b_mes4[[#This Row],[CUIT]],Lista_CUIT[#All],2,0)),"CUIT NO CARGADO")</f>
        <v>CUIT NO CARGADO</v>
      </c>
      <c r="H396" s="328">
        <v>6611.57</v>
      </c>
      <c r="I396" s="329">
        <f>ventas_b_mes4[[#This Row],[IMPORTE NETO]]*0.21</f>
        <v>1388.4296999999999</v>
      </c>
      <c r="J396" s="330"/>
      <c r="K396" s="330"/>
      <c r="L396" s="330">
        <f>SUM(ventas_b_mes4[[#This Row],[IMPORTE NETO]:[EXENTO]])</f>
        <v>7999.9996999999994</v>
      </c>
      <c r="M396" s="310"/>
    </row>
    <row r="397" spans="2:13" x14ac:dyDescent="0.25">
      <c r="B397" s="322">
        <v>45033</v>
      </c>
      <c r="C397" s="41">
        <v>6</v>
      </c>
      <c r="D397" s="324">
        <v>7</v>
      </c>
      <c r="E397" s="325">
        <v>4266</v>
      </c>
      <c r="F397" s="326">
        <v>56980</v>
      </c>
      <c r="G397" s="327" t="str">
        <f>IFERROR(IF(ventas_b_mes4[[#This Row],[CUIT]]="","-",VLOOKUP(ventas_b_mes4[[#This Row],[CUIT]],Lista_CUIT[#All],2,0)),"CUIT NO CARGADO")</f>
        <v>SAENZ, MAGDALENA</v>
      </c>
      <c r="H397" s="328">
        <v>4132.2299999999996</v>
      </c>
      <c r="I397" s="329">
        <f>ventas_b_mes4[[#This Row],[IMPORTE NETO]]*0.21</f>
        <v>867.76829999999984</v>
      </c>
      <c r="J397" s="330"/>
      <c r="K397" s="330"/>
      <c r="L397" s="330">
        <f>SUM(ventas_b_mes4[[#This Row],[IMPORTE NETO]:[EXENTO]])</f>
        <v>4999.9982999999993</v>
      </c>
      <c r="M397" s="310"/>
    </row>
    <row r="398" spans="2:13" x14ac:dyDescent="0.25">
      <c r="B398" s="322">
        <v>45033</v>
      </c>
      <c r="C398" s="41">
        <v>6</v>
      </c>
      <c r="D398" s="324">
        <v>7</v>
      </c>
      <c r="E398" s="325">
        <v>4265</v>
      </c>
      <c r="F398" s="326">
        <v>1304464</v>
      </c>
      <c r="G398" s="327" t="str">
        <f>IFERROR(IF(ventas_b_mes4[[#This Row],[CUIT]]="","-",VLOOKUP(ventas_b_mes4[[#This Row],[CUIT]],Lista_CUIT[#All],2,0)),"CUIT NO CARGADO")</f>
        <v>ANTIVERO, LUISA</v>
      </c>
      <c r="H398" s="328">
        <v>3719.01</v>
      </c>
      <c r="I398" s="329">
        <f>ventas_b_mes4[[#This Row],[IMPORTE NETO]]*0.21</f>
        <v>780.99210000000005</v>
      </c>
      <c r="J398" s="330"/>
      <c r="K398" s="330"/>
      <c r="L398" s="330">
        <f>SUM(ventas_b_mes4[[#This Row],[IMPORTE NETO]:[EXENTO]])</f>
        <v>4500.0021000000006</v>
      </c>
      <c r="M398" s="310"/>
    </row>
    <row r="399" spans="2:13" x14ac:dyDescent="0.25">
      <c r="B399" s="322">
        <v>45033</v>
      </c>
      <c r="C399" s="41">
        <v>6</v>
      </c>
      <c r="D399" s="324">
        <v>5</v>
      </c>
      <c r="E399" s="325">
        <v>7747</v>
      </c>
      <c r="F399" s="326"/>
      <c r="G399" s="327" t="str">
        <f>IFERROR(IF(ventas_b_mes4[[#This Row],[CUIT]]="","-",VLOOKUP(ventas_b_mes4[[#This Row],[CUIT]],Lista_CUIT[#All],2,0)),"CUIT NO CARGADO")</f>
        <v>-</v>
      </c>
      <c r="H399" s="328">
        <v>7438.02</v>
      </c>
      <c r="I399" s="329">
        <f>ventas_b_mes4[[#This Row],[IMPORTE NETO]]*0.21</f>
        <v>1561.9842000000001</v>
      </c>
      <c r="J399" s="330"/>
      <c r="K399" s="330"/>
      <c r="L399" s="330">
        <f>SUM(ventas_b_mes4[[#This Row],[IMPORTE NETO]:[EXENTO]])</f>
        <v>9000.0042000000012</v>
      </c>
      <c r="M399" s="310"/>
    </row>
    <row r="400" spans="2:13" x14ac:dyDescent="0.25">
      <c r="B400" s="322">
        <v>45033</v>
      </c>
      <c r="C400" s="41">
        <v>6</v>
      </c>
      <c r="D400" s="324">
        <v>5</v>
      </c>
      <c r="E400" s="325">
        <v>7742</v>
      </c>
      <c r="F400" s="326"/>
      <c r="G400" s="327" t="str">
        <f>IFERROR(IF(ventas_b_mes4[[#This Row],[CUIT]]="","-",VLOOKUP(ventas_b_mes4[[#This Row],[CUIT]],Lista_CUIT[#All],2,0)),"CUIT NO CARGADO")</f>
        <v>-</v>
      </c>
      <c r="H400" s="328">
        <v>4016.53</v>
      </c>
      <c r="I400" s="329">
        <f>ventas_b_mes4[[#This Row],[IMPORTE NETO]]*0.21</f>
        <v>843.47130000000004</v>
      </c>
      <c r="J400" s="330"/>
      <c r="K400" s="330"/>
      <c r="L400" s="330">
        <f>SUM(ventas_b_mes4[[#This Row],[IMPORTE NETO]:[EXENTO]])</f>
        <v>4860.0012999999999</v>
      </c>
      <c r="M400" s="310"/>
    </row>
    <row r="401" spans="2:13" x14ac:dyDescent="0.25">
      <c r="B401" s="322">
        <v>45034</v>
      </c>
      <c r="C401" s="41">
        <v>6</v>
      </c>
      <c r="D401" s="324">
        <v>5</v>
      </c>
      <c r="E401" s="325">
        <v>7752</v>
      </c>
      <c r="F401" s="326"/>
      <c r="G401" s="327" t="str">
        <f>IFERROR(IF(ventas_b_mes4[[#This Row],[CUIT]]="","-",VLOOKUP(ventas_b_mes4[[#This Row],[CUIT]],Lista_CUIT[#All],2,0)),"CUIT NO CARGADO")</f>
        <v>-</v>
      </c>
      <c r="H401" s="328">
        <v>6363.64</v>
      </c>
      <c r="I401" s="329">
        <f>ventas_b_mes4[[#This Row],[IMPORTE NETO]]*0.21</f>
        <v>1336.3643999999999</v>
      </c>
      <c r="J401" s="330"/>
      <c r="K401" s="330"/>
      <c r="L401" s="330">
        <f>SUM(ventas_b_mes4[[#This Row],[IMPORTE NETO]:[EXENTO]])</f>
        <v>7700.0043999999998</v>
      </c>
      <c r="M401" s="310"/>
    </row>
    <row r="402" spans="2:13" x14ac:dyDescent="0.25">
      <c r="B402" s="322">
        <v>45034</v>
      </c>
      <c r="C402" s="41">
        <v>6</v>
      </c>
      <c r="D402" s="324">
        <v>5</v>
      </c>
      <c r="E402" s="325">
        <v>7756</v>
      </c>
      <c r="F402" s="326"/>
      <c r="G402" s="327" t="str">
        <f>IFERROR(IF(ventas_b_mes4[[#This Row],[CUIT]]="","-",VLOOKUP(ventas_b_mes4[[#This Row],[CUIT]],Lista_CUIT[#All],2,0)),"CUIT NO CARGADO")</f>
        <v>-</v>
      </c>
      <c r="H402" s="328">
        <v>2975.21</v>
      </c>
      <c r="I402" s="329">
        <f>ventas_b_mes4[[#This Row],[IMPORTE NETO]]*0.21</f>
        <v>624.79409999999996</v>
      </c>
      <c r="J402" s="330"/>
      <c r="K402" s="330"/>
      <c r="L402" s="330">
        <f>SUM(ventas_b_mes4[[#This Row],[IMPORTE NETO]:[EXENTO]])</f>
        <v>3600.0041000000001</v>
      </c>
      <c r="M402" s="310"/>
    </row>
    <row r="403" spans="2:13" x14ac:dyDescent="0.25">
      <c r="B403" s="322">
        <v>45034</v>
      </c>
      <c r="C403" s="41">
        <v>6</v>
      </c>
      <c r="D403" s="324">
        <v>5</v>
      </c>
      <c r="E403" s="325">
        <v>7754</v>
      </c>
      <c r="F403" s="326"/>
      <c r="G403" s="327" t="str">
        <f>IFERROR(IF(ventas_b_mes4[[#This Row],[CUIT]]="","-",VLOOKUP(ventas_b_mes4[[#This Row],[CUIT]],Lista_CUIT[#All],2,0)),"CUIT NO CARGADO")</f>
        <v>-</v>
      </c>
      <c r="H403" s="328">
        <v>9752.07</v>
      </c>
      <c r="I403" s="329">
        <f>ventas_b_mes4[[#This Row],[IMPORTE NETO]]*0.21</f>
        <v>2047.9346999999998</v>
      </c>
      <c r="J403" s="330"/>
      <c r="K403" s="330"/>
      <c r="L403" s="330">
        <f>SUM(ventas_b_mes4[[#This Row],[IMPORTE NETO]:[EXENTO]])</f>
        <v>11800.0047</v>
      </c>
      <c r="M403" s="310"/>
    </row>
    <row r="404" spans="2:13" x14ac:dyDescent="0.25">
      <c r="B404" s="322">
        <v>45034</v>
      </c>
      <c r="C404" s="41">
        <v>6</v>
      </c>
      <c r="D404" s="324">
        <v>5</v>
      </c>
      <c r="E404" s="325">
        <v>7753</v>
      </c>
      <c r="F404" s="326"/>
      <c r="G404" s="327" t="str">
        <f>IFERROR(IF(ventas_b_mes4[[#This Row],[CUIT]]="","-",VLOOKUP(ventas_b_mes4[[#This Row],[CUIT]],Lista_CUIT[#All],2,0)),"CUIT NO CARGADO")</f>
        <v>-</v>
      </c>
      <c r="H404" s="328">
        <v>6528.93</v>
      </c>
      <c r="I404" s="329">
        <f>ventas_b_mes4[[#This Row],[IMPORTE NETO]]*0.21</f>
        <v>1371.0753</v>
      </c>
      <c r="J404" s="330"/>
      <c r="K404" s="330"/>
      <c r="L404" s="330">
        <f>SUM(ventas_b_mes4[[#This Row],[IMPORTE NETO]:[EXENTO]])</f>
        <v>7900.0053000000007</v>
      </c>
      <c r="M404" s="310"/>
    </row>
    <row r="405" spans="2:13" x14ac:dyDescent="0.25">
      <c r="B405" s="322">
        <v>45034</v>
      </c>
      <c r="C405" s="41">
        <v>6</v>
      </c>
      <c r="D405" s="324">
        <v>5</v>
      </c>
      <c r="E405" s="325">
        <v>7755</v>
      </c>
      <c r="F405" s="326"/>
      <c r="G405" s="327" t="str">
        <f>IFERROR(IF(ventas_b_mes4[[#This Row],[CUIT]]="","-",VLOOKUP(ventas_b_mes4[[#This Row],[CUIT]],Lista_CUIT[#All],2,0)),"CUIT NO CARGADO")</f>
        <v>-</v>
      </c>
      <c r="H405" s="328">
        <v>2438.02</v>
      </c>
      <c r="I405" s="329">
        <f>ventas_b_mes4[[#This Row],[IMPORTE NETO]]*0.21</f>
        <v>511.98419999999999</v>
      </c>
      <c r="J405" s="330"/>
      <c r="K405" s="330"/>
      <c r="L405" s="330">
        <f>SUM(ventas_b_mes4[[#This Row],[IMPORTE NETO]:[EXENTO]])</f>
        <v>2950.0041999999999</v>
      </c>
      <c r="M405" s="310"/>
    </row>
    <row r="406" spans="2:13" x14ac:dyDescent="0.25">
      <c r="B406" s="322">
        <v>45034</v>
      </c>
      <c r="C406" s="41">
        <v>6</v>
      </c>
      <c r="D406" s="324">
        <v>5</v>
      </c>
      <c r="E406" s="325">
        <v>7759</v>
      </c>
      <c r="F406" s="326"/>
      <c r="G406" s="327" t="str">
        <f>IFERROR(IF(ventas_b_mes4[[#This Row],[CUIT]]="","-",VLOOKUP(ventas_b_mes4[[#This Row],[CUIT]],Lista_CUIT[#All],2,0)),"CUIT NO CARGADO")</f>
        <v>-</v>
      </c>
      <c r="H406" s="328">
        <v>3214.88</v>
      </c>
      <c r="I406" s="329">
        <f>ventas_b_mes4[[#This Row],[IMPORTE NETO]]*0.21</f>
        <v>675.12480000000005</v>
      </c>
      <c r="J406" s="330"/>
      <c r="K406" s="330"/>
      <c r="L406" s="330">
        <f>SUM(ventas_b_mes4[[#This Row],[IMPORTE NETO]:[EXENTO]])</f>
        <v>3890.0048000000002</v>
      </c>
      <c r="M406" s="310"/>
    </row>
    <row r="407" spans="2:13" x14ac:dyDescent="0.25">
      <c r="B407" s="322">
        <v>45034</v>
      </c>
      <c r="C407" s="41">
        <v>6</v>
      </c>
      <c r="D407" s="324">
        <v>5</v>
      </c>
      <c r="E407" s="325">
        <v>7760</v>
      </c>
      <c r="F407" s="326"/>
      <c r="G407" s="327" t="str">
        <f>IFERROR(IF(ventas_b_mes4[[#This Row],[CUIT]]="","-",VLOOKUP(ventas_b_mes4[[#This Row],[CUIT]],Lista_CUIT[#All],2,0)),"CUIT NO CARGADO")</f>
        <v>-</v>
      </c>
      <c r="H407" s="328">
        <v>6363.64</v>
      </c>
      <c r="I407" s="329">
        <f>ventas_b_mes4[[#This Row],[IMPORTE NETO]]*0.21</f>
        <v>1336.3643999999999</v>
      </c>
      <c r="J407" s="330"/>
      <c r="K407" s="330"/>
      <c r="L407" s="330">
        <f>SUM(ventas_b_mes4[[#This Row],[IMPORTE NETO]:[EXENTO]])</f>
        <v>7700.0043999999998</v>
      </c>
      <c r="M407" s="310"/>
    </row>
    <row r="408" spans="2:13" x14ac:dyDescent="0.25">
      <c r="B408" s="322">
        <v>45034</v>
      </c>
      <c r="C408" s="41">
        <v>6</v>
      </c>
      <c r="D408" s="324">
        <v>5</v>
      </c>
      <c r="E408" s="325">
        <v>7751</v>
      </c>
      <c r="F408" s="326"/>
      <c r="G408" s="327" t="str">
        <f>IFERROR(IF(ventas_b_mes4[[#This Row],[CUIT]]="","-",VLOOKUP(ventas_b_mes4[[#This Row],[CUIT]],Lista_CUIT[#All],2,0)),"CUIT NO CARGADO")</f>
        <v>-</v>
      </c>
      <c r="H408" s="328">
        <v>2148.7600000000002</v>
      </c>
      <c r="I408" s="329">
        <f>ventas_b_mes4[[#This Row],[IMPORTE NETO]]*0.21</f>
        <v>451.23960000000005</v>
      </c>
      <c r="J408" s="330"/>
      <c r="K408" s="330"/>
      <c r="L408" s="330">
        <f>SUM(ventas_b_mes4[[#This Row],[IMPORTE NETO]:[EXENTO]])</f>
        <v>2599.9996000000001</v>
      </c>
      <c r="M408" s="310"/>
    </row>
    <row r="409" spans="2:13" x14ac:dyDescent="0.25">
      <c r="B409" s="322">
        <v>45034</v>
      </c>
      <c r="C409" s="41">
        <v>6</v>
      </c>
      <c r="D409" s="324">
        <v>5</v>
      </c>
      <c r="E409" s="325">
        <v>7750</v>
      </c>
      <c r="F409" s="326"/>
      <c r="G409" s="327" t="str">
        <f>IFERROR(IF(ventas_b_mes4[[#This Row],[CUIT]]="","-",VLOOKUP(ventas_b_mes4[[#This Row],[CUIT]],Lista_CUIT[#All],2,0)),"CUIT NO CARGADO")</f>
        <v>-</v>
      </c>
      <c r="H409" s="328">
        <v>3636.36</v>
      </c>
      <c r="I409" s="329">
        <f>ventas_b_mes4[[#This Row],[IMPORTE NETO]]*0.21</f>
        <v>763.63559999999995</v>
      </c>
      <c r="J409" s="330"/>
      <c r="K409" s="330"/>
      <c r="L409" s="330">
        <f>SUM(ventas_b_mes4[[#This Row],[IMPORTE NETO]:[EXENTO]])</f>
        <v>4399.9956000000002</v>
      </c>
      <c r="M409" s="310"/>
    </row>
    <row r="410" spans="2:13" x14ac:dyDescent="0.25">
      <c r="B410" s="322">
        <v>45034</v>
      </c>
      <c r="C410" s="41">
        <v>6</v>
      </c>
      <c r="D410" s="324">
        <v>5</v>
      </c>
      <c r="E410" s="325">
        <v>7758</v>
      </c>
      <c r="F410" s="326"/>
      <c r="G410" s="327" t="str">
        <f>IFERROR(IF(ventas_b_mes4[[#This Row],[CUIT]]="","-",VLOOKUP(ventas_b_mes4[[#This Row],[CUIT]],Lista_CUIT[#All],2,0)),"CUIT NO CARGADO")</f>
        <v>-</v>
      </c>
      <c r="H410" s="328">
        <v>4909.09</v>
      </c>
      <c r="I410" s="329">
        <f>ventas_b_mes4[[#This Row],[IMPORTE NETO]]*0.21</f>
        <v>1030.9088999999999</v>
      </c>
      <c r="J410" s="330"/>
      <c r="K410" s="330"/>
      <c r="L410" s="330">
        <f>SUM(ventas_b_mes4[[#This Row],[IMPORTE NETO]:[EXENTO]])</f>
        <v>5939.9989000000005</v>
      </c>
      <c r="M410" s="310"/>
    </row>
    <row r="411" spans="2:13" x14ac:dyDescent="0.25">
      <c r="B411" s="322">
        <v>45034</v>
      </c>
      <c r="C411" s="41">
        <v>6</v>
      </c>
      <c r="D411" s="324">
        <v>5</v>
      </c>
      <c r="E411" s="325">
        <v>7757</v>
      </c>
      <c r="F411" s="326"/>
      <c r="G411" s="327" t="str">
        <f>IFERROR(IF(ventas_b_mes4[[#This Row],[CUIT]]="","-",VLOOKUP(ventas_b_mes4[[#This Row],[CUIT]],Lista_CUIT[#All],2,0)),"CUIT NO CARGADO")</f>
        <v>-</v>
      </c>
      <c r="H411" s="328">
        <v>3214.88</v>
      </c>
      <c r="I411" s="329">
        <f>ventas_b_mes4[[#This Row],[IMPORTE NETO]]*0.21</f>
        <v>675.12480000000005</v>
      </c>
      <c r="J411" s="330"/>
      <c r="K411" s="330"/>
      <c r="L411" s="330">
        <f>SUM(ventas_b_mes4[[#This Row],[IMPORTE NETO]:[EXENTO]])</f>
        <v>3890.0048000000002</v>
      </c>
      <c r="M411" s="310"/>
    </row>
    <row r="412" spans="2:13" x14ac:dyDescent="0.25">
      <c r="B412" s="322">
        <v>45035</v>
      </c>
      <c r="C412" s="41">
        <v>6</v>
      </c>
      <c r="D412" s="324">
        <v>5</v>
      </c>
      <c r="E412" s="325">
        <v>7761</v>
      </c>
      <c r="F412" s="326"/>
      <c r="G412" s="327" t="str">
        <f>IFERROR(IF(ventas_b_mes4[[#This Row],[CUIT]]="","-",VLOOKUP(ventas_b_mes4[[#This Row],[CUIT]],Lista_CUIT[#All],2,0)),"CUIT NO CARGADO")</f>
        <v>-</v>
      </c>
      <c r="H412" s="328">
        <v>3305.79</v>
      </c>
      <c r="I412" s="329">
        <f>ventas_b_mes4[[#This Row],[IMPORTE NETO]]*0.21</f>
        <v>694.21589999999992</v>
      </c>
      <c r="J412" s="330"/>
      <c r="K412" s="330"/>
      <c r="L412" s="330">
        <f>SUM(ventas_b_mes4[[#This Row],[IMPORTE NETO]:[EXENTO]])</f>
        <v>4000.0059000000001</v>
      </c>
      <c r="M412" s="310"/>
    </row>
    <row r="413" spans="2:13" x14ac:dyDescent="0.25">
      <c r="B413" s="322">
        <v>45035</v>
      </c>
      <c r="C413" s="41">
        <v>6</v>
      </c>
      <c r="D413" s="324">
        <v>5</v>
      </c>
      <c r="E413" s="325">
        <v>7764</v>
      </c>
      <c r="F413" s="326"/>
      <c r="G413" s="327" t="str">
        <f>IFERROR(IF(ventas_b_mes4[[#This Row],[CUIT]]="","-",VLOOKUP(ventas_b_mes4[[#This Row],[CUIT]],Lista_CUIT[#All],2,0)),"CUIT NO CARGADO")</f>
        <v>-</v>
      </c>
      <c r="H413" s="328">
        <v>14628.1</v>
      </c>
      <c r="I413" s="329">
        <f>ventas_b_mes4[[#This Row],[IMPORTE NETO]]*0.21</f>
        <v>3071.9009999999998</v>
      </c>
      <c r="J413" s="330"/>
      <c r="K413" s="330"/>
      <c r="L413" s="330">
        <f>SUM(ventas_b_mes4[[#This Row],[IMPORTE NETO]:[EXENTO]])</f>
        <v>17700.001</v>
      </c>
      <c r="M413" s="310"/>
    </row>
    <row r="414" spans="2:13" x14ac:dyDescent="0.25">
      <c r="B414" s="322">
        <v>45035</v>
      </c>
      <c r="C414" s="41">
        <v>6</v>
      </c>
      <c r="D414" s="324">
        <v>7</v>
      </c>
      <c r="E414" s="325">
        <v>4268</v>
      </c>
      <c r="F414" s="326">
        <v>35122158</v>
      </c>
      <c r="G414" s="327" t="str">
        <f>IFERROR(IF(ventas_b_mes4[[#This Row],[CUIT]]="","-",VLOOKUP(ventas_b_mes4[[#This Row],[CUIT]],Lista_CUIT[#All],2,0)),"CUIT NO CARGADO")</f>
        <v>CUIT NO CARGADO</v>
      </c>
      <c r="H414" s="328">
        <v>5785.12</v>
      </c>
      <c r="I414" s="329">
        <f>ventas_b_mes4[[#This Row],[IMPORTE NETO]]*0.21</f>
        <v>1214.8751999999999</v>
      </c>
      <c r="J414" s="330"/>
      <c r="K414" s="330"/>
      <c r="L414" s="330">
        <f>SUM(ventas_b_mes4[[#This Row],[IMPORTE NETO]:[EXENTO]])</f>
        <v>6999.9951999999994</v>
      </c>
      <c r="M414" s="310"/>
    </row>
    <row r="415" spans="2:13" x14ac:dyDescent="0.25">
      <c r="B415" s="322">
        <v>45035</v>
      </c>
      <c r="C415" s="41">
        <v>6</v>
      </c>
      <c r="D415" s="324">
        <v>5</v>
      </c>
      <c r="E415" s="325">
        <v>7763</v>
      </c>
      <c r="F415" s="326">
        <v>0</v>
      </c>
      <c r="G415" s="327" t="str">
        <f>IFERROR(IF(ventas_b_mes4[[#This Row],[CUIT]]="","-",VLOOKUP(ventas_b_mes4[[#This Row],[CUIT]],Lista_CUIT[#All],2,0)),"CUIT NO CARGADO")</f>
        <v>CUIT NO CARGADO</v>
      </c>
      <c r="H415" s="328">
        <v>2066.12</v>
      </c>
      <c r="I415" s="329">
        <f>ventas_b_mes4[[#This Row],[IMPORTE NETO]]*0.21</f>
        <v>433.88519999999994</v>
      </c>
      <c r="J415" s="330"/>
      <c r="K415" s="330"/>
      <c r="L415" s="330">
        <f>SUM(ventas_b_mes4[[#This Row],[IMPORTE NETO]:[EXENTO]])</f>
        <v>2500.0051999999996</v>
      </c>
      <c r="M415" s="310"/>
    </row>
    <row r="416" spans="2:13" x14ac:dyDescent="0.25">
      <c r="B416" s="322">
        <v>45035</v>
      </c>
      <c r="C416" s="41">
        <v>6</v>
      </c>
      <c r="D416" s="324">
        <v>7</v>
      </c>
      <c r="E416" s="325">
        <v>4267</v>
      </c>
      <c r="F416" s="326">
        <v>0</v>
      </c>
      <c r="G416" s="327" t="str">
        <f>IFERROR(IF(ventas_b_mes4[[#This Row],[CUIT]]="","-",VLOOKUP(ventas_b_mes4[[#This Row],[CUIT]],Lista_CUIT[#All],2,0)),"CUIT NO CARGADO")</f>
        <v>CUIT NO CARGADO</v>
      </c>
      <c r="H416" s="328">
        <v>3305.78</v>
      </c>
      <c r="I416" s="329">
        <f>ventas_b_mes4[[#This Row],[IMPORTE NETO]]*0.21</f>
        <v>694.21379999999999</v>
      </c>
      <c r="J416" s="330"/>
      <c r="K416" s="330"/>
      <c r="L416" s="330">
        <f>SUM(ventas_b_mes4[[#This Row],[IMPORTE NETO]:[EXENTO]])</f>
        <v>3999.9938000000002</v>
      </c>
      <c r="M416" s="310"/>
    </row>
    <row r="417" spans="2:13" x14ac:dyDescent="0.25">
      <c r="B417" s="322">
        <v>45035</v>
      </c>
      <c r="C417" s="41">
        <v>6</v>
      </c>
      <c r="D417" s="324">
        <v>5</v>
      </c>
      <c r="E417" s="325">
        <v>7765</v>
      </c>
      <c r="F417" s="326">
        <v>0</v>
      </c>
      <c r="G417" s="327" t="str">
        <f>IFERROR(IF(ventas_b_mes4[[#This Row],[CUIT]]="","-",VLOOKUP(ventas_b_mes4[[#This Row],[CUIT]],Lista_CUIT[#All],2,0)),"CUIT NO CARGADO")</f>
        <v>CUIT NO CARGADO</v>
      </c>
      <c r="H417" s="328">
        <v>6280.99</v>
      </c>
      <c r="I417" s="329">
        <f>ventas_b_mes4[[#This Row],[IMPORTE NETO]]*0.21</f>
        <v>1319.0078999999998</v>
      </c>
      <c r="J417" s="330"/>
      <c r="K417" s="330"/>
      <c r="L417" s="330">
        <f>SUM(ventas_b_mes4[[#This Row],[IMPORTE NETO]:[EXENTO]])</f>
        <v>7599.9978999999994</v>
      </c>
      <c r="M417" s="310"/>
    </row>
    <row r="418" spans="2:13" x14ac:dyDescent="0.25">
      <c r="B418" s="322">
        <v>45035</v>
      </c>
      <c r="C418" s="41">
        <v>6</v>
      </c>
      <c r="D418" s="324">
        <v>5</v>
      </c>
      <c r="E418" s="325">
        <v>7762</v>
      </c>
      <c r="F418" s="326">
        <v>0</v>
      </c>
      <c r="G418" s="327" t="str">
        <f>IFERROR(IF(ventas_b_mes4[[#This Row],[CUIT]]="","-",VLOOKUP(ventas_b_mes4[[#This Row],[CUIT]],Lista_CUIT[#All],2,0)),"CUIT NO CARGADO")</f>
        <v>CUIT NO CARGADO</v>
      </c>
      <c r="H418" s="328">
        <v>3884.3</v>
      </c>
      <c r="I418" s="329">
        <f>ventas_b_mes4[[#This Row],[IMPORTE NETO]]*0.21</f>
        <v>815.70299999999997</v>
      </c>
      <c r="J418" s="330"/>
      <c r="K418" s="330"/>
      <c r="L418" s="330">
        <f>SUM(ventas_b_mes4[[#This Row],[IMPORTE NETO]:[EXENTO]])</f>
        <v>4700.0030000000006</v>
      </c>
      <c r="M418" s="310"/>
    </row>
    <row r="419" spans="2:13" x14ac:dyDescent="0.25">
      <c r="B419" s="322">
        <v>45036</v>
      </c>
      <c r="C419" s="41">
        <v>6</v>
      </c>
      <c r="D419" s="324">
        <v>7</v>
      </c>
      <c r="E419" s="325">
        <v>4269</v>
      </c>
      <c r="F419" s="326">
        <v>4164120</v>
      </c>
      <c r="G419" s="327" t="str">
        <f>IFERROR(IF(ventas_b_mes4[[#This Row],[CUIT]]="","-",VLOOKUP(ventas_b_mes4[[#This Row],[CUIT]],Lista_CUIT[#All],2,0)),"CUIT NO CARGADO")</f>
        <v>CHAMOSA JOSE MARIA</v>
      </c>
      <c r="H419" s="328">
        <v>1140.5</v>
      </c>
      <c r="I419" s="329">
        <f>ventas_b_mes4[[#This Row],[IMPORTE NETO]]*0.21</f>
        <v>239.505</v>
      </c>
      <c r="J419" s="330"/>
      <c r="K419" s="330"/>
      <c r="L419" s="330">
        <f>SUM(ventas_b_mes4[[#This Row],[IMPORTE NETO]:[EXENTO]])</f>
        <v>1380.0050000000001</v>
      </c>
      <c r="M419" s="310"/>
    </row>
    <row r="420" spans="2:13" x14ac:dyDescent="0.25">
      <c r="B420" s="322">
        <v>45036</v>
      </c>
      <c r="C420" s="41">
        <v>6</v>
      </c>
      <c r="D420" s="324">
        <v>5</v>
      </c>
      <c r="E420" s="325">
        <v>7767</v>
      </c>
      <c r="F420" s="326"/>
      <c r="G420" s="327" t="str">
        <f>IFERROR(IF(ventas_b_mes4[[#This Row],[CUIT]]="","-",VLOOKUP(ventas_b_mes4[[#This Row],[CUIT]],Lista_CUIT[#All],2,0)),"CUIT NO CARGADO")</f>
        <v>-</v>
      </c>
      <c r="H420" s="328">
        <v>1983.47</v>
      </c>
      <c r="I420" s="329">
        <f>ventas_b_mes4[[#This Row],[IMPORTE NETO]]*0.21</f>
        <v>416.52870000000001</v>
      </c>
      <c r="J420" s="330"/>
      <c r="K420" s="330"/>
      <c r="L420" s="330">
        <f>SUM(ventas_b_mes4[[#This Row],[IMPORTE NETO]:[EXENTO]])</f>
        <v>2399.9987000000001</v>
      </c>
      <c r="M420" s="310"/>
    </row>
    <row r="421" spans="2:13" x14ac:dyDescent="0.25">
      <c r="B421" s="322">
        <v>45036</v>
      </c>
      <c r="C421" s="41">
        <v>6</v>
      </c>
      <c r="D421" s="324">
        <v>5</v>
      </c>
      <c r="E421" s="325">
        <v>7766</v>
      </c>
      <c r="F421" s="326"/>
      <c r="G421" s="327" t="str">
        <f>IFERROR(IF(ventas_b_mes4[[#This Row],[CUIT]]="","-",VLOOKUP(ventas_b_mes4[[#This Row],[CUIT]],Lista_CUIT[#All],2,0)),"CUIT NO CARGADO")</f>
        <v>-</v>
      </c>
      <c r="H421" s="328">
        <v>3305.79</v>
      </c>
      <c r="I421" s="329">
        <f>ventas_b_mes4[[#This Row],[IMPORTE NETO]]*0.21</f>
        <v>694.21589999999992</v>
      </c>
      <c r="J421" s="330"/>
      <c r="K421" s="330"/>
      <c r="L421" s="330">
        <f>SUM(ventas_b_mes4[[#This Row],[IMPORTE NETO]:[EXENTO]])</f>
        <v>4000.0059000000001</v>
      </c>
      <c r="M421" s="310"/>
    </row>
    <row r="422" spans="2:13" x14ac:dyDescent="0.25">
      <c r="B422" s="322">
        <v>45036</v>
      </c>
      <c r="C422" s="41">
        <v>6</v>
      </c>
      <c r="D422" s="324">
        <v>5</v>
      </c>
      <c r="E422" s="325">
        <v>7768</v>
      </c>
      <c r="F422" s="326"/>
      <c r="G422" s="327" t="str">
        <f>IFERROR(IF(ventas_b_mes4[[#This Row],[CUIT]]="","-",VLOOKUP(ventas_b_mes4[[#This Row],[CUIT]],Lista_CUIT[#All],2,0)),"CUIT NO CARGADO")</f>
        <v>-</v>
      </c>
      <c r="H422" s="328">
        <v>7024.79</v>
      </c>
      <c r="I422" s="329">
        <f>ventas_b_mes4[[#This Row],[IMPORTE NETO]]*0.21</f>
        <v>1475.2058999999999</v>
      </c>
      <c r="J422" s="330"/>
      <c r="K422" s="330"/>
      <c r="L422" s="330">
        <f>SUM(ventas_b_mes4[[#This Row],[IMPORTE NETO]:[EXENTO]])</f>
        <v>8499.9958999999999</v>
      </c>
      <c r="M422" s="310"/>
    </row>
    <row r="423" spans="2:13" x14ac:dyDescent="0.25">
      <c r="B423" s="322">
        <v>45036</v>
      </c>
      <c r="C423" s="41">
        <v>6</v>
      </c>
      <c r="D423" s="324">
        <v>7</v>
      </c>
      <c r="E423" s="325">
        <v>4270</v>
      </c>
      <c r="F423" s="326">
        <v>53588753</v>
      </c>
      <c r="G423" s="327" t="str">
        <f>IFERROR(IF(ventas_b_mes4[[#This Row],[CUIT]]="","-",VLOOKUP(ventas_b_mes4[[#This Row],[CUIT]],Lista_CUIT[#All],2,0)),"CUIT NO CARGADO")</f>
        <v>CUIT NO CARGADO</v>
      </c>
      <c r="H423" s="328">
        <v>7768.6</v>
      </c>
      <c r="I423" s="329">
        <f>ventas_b_mes4[[#This Row],[IMPORTE NETO]]*0.21</f>
        <v>1631.4059999999999</v>
      </c>
      <c r="J423" s="330"/>
      <c r="K423" s="330"/>
      <c r="L423" s="330">
        <f>SUM(ventas_b_mes4[[#This Row],[IMPORTE NETO]:[EXENTO]])</f>
        <v>9400.0060000000012</v>
      </c>
      <c r="M423" s="310"/>
    </row>
    <row r="424" spans="2:13" x14ac:dyDescent="0.25">
      <c r="B424" s="322">
        <v>45036</v>
      </c>
      <c r="C424" s="41">
        <v>6</v>
      </c>
      <c r="D424" s="324">
        <v>7</v>
      </c>
      <c r="E424" s="325">
        <v>4271</v>
      </c>
      <c r="F424" s="326">
        <v>16596298</v>
      </c>
      <c r="G424" s="327" t="str">
        <f>IFERROR(IF(ventas_b_mes4[[#This Row],[CUIT]]="","-",VLOOKUP(ventas_b_mes4[[#This Row],[CUIT]],Lista_CUIT[#All],2,0)),"CUIT NO CARGADO")</f>
        <v>CUIT NO CARGADO</v>
      </c>
      <c r="H424" s="328">
        <v>4132.2299999999996</v>
      </c>
      <c r="I424" s="329">
        <f>ventas_b_mes4[[#This Row],[IMPORTE NETO]]*0.21</f>
        <v>867.76829999999984</v>
      </c>
      <c r="J424" s="330"/>
      <c r="K424" s="330"/>
      <c r="L424" s="330">
        <f>SUM(ventas_b_mes4[[#This Row],[IMPORTE NETO]:[EXENTO]])</f>
        <v>4999.9982999999993</v>
      </c>
      <c r="M424" s="310"/>
    </row>
    <row r="425" spans="2:13" x14ac:dyDescent="0.25">
      <c r="B425" s="322">
        <v>45037</v>
      </c>
      <c r="C425" s="41">
        <v>6</v>
      </c>
      <c r="D425" s="324">
        <v>5</v>
      </c>
      <c r="E425" s="325">
        <v>7769</v>
      </c>
      <c r="F425" s="326"/>
      <c r="G425" s="327" t="str">
        <f>IFERROR(IF(ventas_b_mes4[[#This Row],[CUIT]]="","-",VLOOKUP(ventas_b_mes4[[#This Row],[CUIT]],Lista_CUIT[#All],2,0)),"CUIT NO CARGADO")</f>
        <v>-</v>
      </c>
      <c r="H425" s="328">
        <v>4041.32</v>
      </c>
      <c r="I425" s="329">
        <f>ventas_b_mes4[[#This Row],[IMPORTE NETO]]*0.21</f>
        <v>848.67719999999997</v>
      </c>
      <c r="J425" s="330"/>
      <c r="K425" s="330"/>
      <c r="L425" s="330">
        <f>SUM(ventas_b_mes4[[#This Row],[IMPORTE NETO]:[EXENTO]])</f>
        <v>4889.9971999999998</v>
      </c>
      <c r="M425" s="310"/>
    </row>
    <row r="426" spans="2:13" x14ac:dyDescent="0.25">
      <c r="B426" s="322">
        <v>45037</v>
      </c>
      <c r="C426" s="41">
        <v>6</v>
      </c>
      <c r="D426" s="324">
        <v>5</v>
      </c>
      <c r="E426" s="325">
        <v>7777</v>
      </c>
      <c r="F426" s="326"/>
      <c r="G426" s="327" t="str">
        <f>IFERROR(IF(ventas_b_mes4[[#This Row],[CUIT]]="","-",VLOOKUP(ventas_b_mes4[[#This Row],[CUIT]],Lista_CUIT[#All],2,0)),"CUIT NO CARGADO")</f>
        <v>-</v>
      </c>
      <c r="H426" s="328">
        <v>9752.07</v>
      </c>
      <c r="I426" s="329">
        <f>ventas_b_mes4[[#This Row],[IMPORTE NETO]]*0.21</f>
        <v>2047.9346999999998</v>
      </c>
      <c r="J426" s="330"/>
      <c r="K426" s="330"/>
      <c r="L426" s="330">
        <f>SUM(ventas_b_mes4[[#This Row],[IMPORTE NETO]:[EXENTO]])</f>
        <v>11800.0047</v>
      </c>
      <c r="M426" s="310"/>
    </row>
    <row r="427" spans="2:13" x14ac:dyDescent="0.25">
      <c r="B427" s="322">
        <v>45037</v>
      </c>
      <c r="C427" s="41">
        <v>6</v>
      </c>
      <c r="D427" s="324">
        <v>5</v>
      </c>
      <c r="E427" s="325">
        <v>7773</v>
      </c>
      <c r="F427" s="326"/>
      <c r="G427" s="327" t="str">
        <f>IFERROR(IF(ventas_b_mes4[[#This Row],[CUIT]]="","-",VLOOKUP(ventas_b_mes4[[#This Row],[CUIT]],Lista_CUIT[#All],2,0)),"CUIT NO CARGADO")</f>
        <v>-</v>
      </c>
      <c r="H427" s="328">
        <v>7851.24</v>
      </c>
      <c r="I427" s="329">
        <f>ventas_b_mes4[[#This Row],[IMPORTE NETO]]*0.21</f>
        <v>1648.7603999999999</v>
      </c>
      <c r="J427" s="330"/>
      <c r="K427" s="330"/>
      <c r="L427" s="330">
        <f>SUM(ventas_b_mes4[[#This Row],[IMPORTE NETO]:[EXENTO]])</f>
        <v>9500.000399999999</v>
      </c>
      <c r="M427" s="310"/>
    </row>
    <row r="428" spans="2:13" x14ac:dyDescent="0.25">
      <c r="B428" s="322">
        <v>45037</v>
      </c>
      <c r="C428" s="41">
        <v>6</v>
      </c>
      <c r="D428" s="324">
        <v>7</v>
      </c>
      <c r="E428" s="325">
        <v>4274</v>
      </c>
      <c r="F428" s="326">
        <v>28692323</v>
      </c>
      <c r="G428" s="327" t="str">
        <f>IFERROR(IF(ventas_b_mes4[[#This Row],[CUIT]]="","-",VLOOKUP(ventas_b_mes4[[#This Row],[CUIT]],Lista_CUIT[#All],2,0)),"CUIT NO CARGADO")</f>
        <v>ANDREOTTI, CECILIA</v>
      </c>
      <c r="H428" s="328">
        <v>8285.1299999999992</v>
      </c>
      <c r="I428" s="329">
        <f>ventas_b_mes4[[#This Row],[IMPORTE NETO]]*0.21</f>
        <v>1739.8772999999999</v>
      </c>
      <c r="J428" s="330"/>
      <c r="K428" s="330"/>
      <c r="L428" s="330">
        <f>SUM(ventas_b_mes4[[#This Row],[IMPORTE NETO]:[EXENTO]])</f>
        <v>10025.007299999999</v>
      </c>
      <c r="M428" s="310"/>
    </row>
    <row r="429" spans="2:13" x14ac:dyDescent="0.25">
      <c r="B429" s="322">
        <v>45037</v>
      </c>
      <c r="C429" s="41">
        <v>6</v>
      </c>
      <c r="D429" s="324">
        <v>5</v>
      </c>
      <c r="E429" s="325">
        <v>7778</v>
      </c>
      <c r="F429" s="326"/>
      <c r="G429" s="327" t="str">
        <f>IFERROR(IF(ventas_b_mes4[[#This Row],[CUIT]]="","-",VLOOKUP(ventas_b_mes4[[#This Row],[CUIT]],Lista_CUIT[#All],2,0)),"CUIT NO CARGADO")</f>
        <v>-</v>
      </c>
      <c r="H429" s="328">
        <v>1735.54</v>
      </c>
      <c r="I429" s="329">
        <f>ventas_b_mes4[[#This Row],[IMPORTE NETO]]*0.21</f>
        <v>364.46339999999998</v>
      </c>
      <c r="J429" s="330"/>
      <c r="K429" s="330"/>
      <c r="L429" s="330">
        <f>SUM(ventas_b_mes4[[#This Row],[IMPORTE NETO]:[EXENTO]])</f>
        <v>2100.0034000000001</v>
      </c>
      <c r="M429" s="310"/>
    </row>
    <row r="430" spans="2:13" x14ac:dyDescent="0.25">
      <c r="B430" s="322">
        <v>45037</v>
      </c>
      <c r="C430" s="41">
        <v>6</v>
      </c>
      <c r="D430" s="324">
        <v>5</v>
      </c>
      <c r="E430" s="325">
        <v>7772</v>
      </c>
      <c r="F430" s="326"/>
      <c r="G430" s="327" t="str">
        <f>IFERROR(IF(ventas_b_mes4[[#This Row],[CUIT]]="","-",VLOOKUP(ventas_b_mes4[[#This Row],[CUIT]],Lista_CUIT[#All],2,0)),"CUIT NO CARGADO")</f>
        <v>-</v>
      </c>
      <c r="H430" s="328">
        <v>4545.45</v>
      </c>
      <c r="I430" s="329">
        <f>ventas_b_mes4[[#This Row],[IMPORTE NETO]]*0.21</f>
        <v>954.54449999999997</v>
      </c>
      <c r="J430" s="330"/>
      <c r="K430" s="330"/>
      <c r="L430" s="330">
        <f>SUM(ventas_b_mes4[[#This Row],[IMPORTE NETO]:[EXENTO]])</f>
        <v>5499.9944999999998</v>
      </c>
      <c r="M430" s="310"/>
    </row>
    <row r="431" spans="2:13" x14ac:dyDescent="0.25">
      <c r="B431" s="322">
        <v>45037</v>
      </c>
      <c r="C431" s="41">
        <v>6</v>
      </c>
      <c r="D431" s="324">
        <v>5</v>
      </c>
      <c r="E431" s="325">
        <v>7771</v>
      </c>
      <c r="F431" s="326"/>
      <c r="G431" s="327" t="str">
        <f>IFERROR(IF(ventas_b_mes4[[#This Row],[CUIT]]="","-",VLOOKUP(ventas_b_mes4[[#This Row],[CUIT]],Lista_CUIT[#All],2,0)),"CUIT NO CARGADO")</f>
        <v>-</v>
      </c>
      <c r="H431" s="328">
        <v>3884.3</v>
      </c>
      <c r="I431" s="329">
        <f>ventas_b_mes4[[#This Row],[IMPORTE NETO]]*0.21</f>
        <v>815.70299999999997</v>
      </c>
      <c r="J431" s="330"/>
      <c r="K431" s="330"/>
      <c r="L431" s="330">
        <f>SUM(ventas_b_mes4[[#This Row],[IMPORTE NETO]:[EXENTO]])</f>
        <v>4700.0030000000006</v>
      </c>
      <c r="M431" s="310"/>
    </row>
    <row r="432" spans="2:13" x14ac:dyDescent="0.25">
      <c r="B432" s="322">
        <v>45037</v>
      </c>
      <c r="C432" s="41">
        <v>6</v>
      </c>
      <c r="D432" s="324">
        <v>5</v>
      </c>
      <c r="E432" s="325">
        <v>7775</v>
      </c>
      <c r="F432" s="326"/>
      <c r="G432" s="327" t="str">
        <f>IFERROR(IF(ventas_b_mes4[[#This Row],[CUIT]]="","-",VLOOKUP(ventas_b_mes4[[#This Row],[CUIT]],Lista_CUIT[#All],2,0)),"CUIT NO CARGADO")</f>
        <v>-</v>
      </c>
      <c r="H432" s="328">
        <v>11157.02</v>
      </c>
      <c r="I432" s="329">
        <f>ventas_b_mes4[[#This Row],[IMPORTE NETO]]*0.21</f>
        <v>2342.9742000000001</v>
      </c>
      <c r="J432" s="330"/>
      <c r="K432" s="330"/>
      <c r="L432" s="330">
        <f>SUM(ventas_b_mes4[[#This Row],[IMPORTE NETO]:[EXENTO]])</f>
        <v>13499.994200000001</v>
      </c>
      <c r="M432" s="310"/>
    </row>
    <row r="433" spans="2:13" x14ac:dyDescent="0.25">
      <c r="B433" s="322">
        <v>45037</v>
      </c>
      <c r="C433" s="41">
        <v>6</v>
      </c>
      <c r="D433" s="324">
        <v>7</v>
      </c>
      <c r="E433" s="325">
        <v>4277</v>
      </c>
      <c r="F433" s="326">
        <v>93354584</v>
      </c>
      <c r="G433" s="327" t="str">
        <f>IFERROR(IF(ventas_b_mes4[[#This Row],[CUIT]]="","-",VLOOKUP(ventas_b_mes4[[#This Row],[CUIT]],Lista_CUIT[#All],2,0)),"CUIT NO CARGADO")</f>
        <v>CARUSO LUCIA</v>
      </c>
      <c r="H433" s="328">
        <v>4132.2299999999996</v>
      </c>
      <c r="I433" s="329">
        <f>ventas_b_mes4[[#This Row],[IMPORTE NETO]]*0.21</f>
        <v>867.76829999999984</v>
      </c>
      <c r="J433" s="330"/>
      <c r="K433" s="330"/>
      <c r="L433" s="330">
        <f>SUM(ventas_b_mes4[[#This Row],[IMPORTE NETO]:[EXENTO]])</f>
        <v>4999.9982999999993</v>
      </c>
      <c r="M433" s="310"/>
    </row>
    <row r="434" spans="2:13" x14ac:dyDescent="0.25">
      <c r="B434" s="322">
        <v>45037</v>
      </c>
      <c r="C434" s="41">
        <v>6</v>
      </c>
      <c r="D434" s="324">
        <v>7</v>
      </c>
      <c r="E434" s="325">
        <v>4278</v>
      </c>
      <c r="F434" s="326">
        <v>4648296</v>
      </c>
      <c r="G434" s="327" t="str">
        <f>IFERROR(IF(ventas_b_mes4[[#This Row],[CUIT]]="","-",VLOOKUP(ventas_b_mes4[[#This Row],[CUIT]],Lista_CUIT[#All],2,0)),"CUIT NO CARGADO")</f>
        <v>RAQUEL TURAÑONA</v>
      </c>
      <c r="H434" s="328">
        <v>4132.2299999999996</v>
      </c>
      <c r="I434" s="329">
        <f>ventas_b_mes4[[#This Row],[IMPORTE NETO]]*0.21</f>
        <v>867.76829999999984</v>
      </c>
      <c r="J434" s="330"/>
      <c r="K434" s="330"/>
      <c r="L434" s="330">
        <f>SUM(ventas_b_mes4[[#This Row],[IMPORTE NETO]:[EXENTO]])</f>
        <v>4999.9982999999993</v>
      </c>
      <c r="M434" s="310"/>
    </row>
    <row r="435" spans="2:13" x14ac:dyDescent="0.25">
      <c r="B435" s="322">
        <v>45037</v>
      </c>
      <c r="C435" s="41">
        <v>6</v>
      </c>
      <c r="D435" s="324">
        <v>5</v>
      </c>
      <c r="E435" s="325">
        <v>7779</v>
      </c>
      <c r="F435" s="326"/>
      <c r="G435" s="327" t="str">
        <f>IFERROR(IF(ventas_b_mes4[[#This Row],[CUIT]]="","-",VLOOKUP(ventas_b_mes4[[#This Row],[CUIT]],Lista_CUIT[#All],2,0)),"CUIT NO CARGADO")</f>
        <v>-</v>
      </c>
      <c r="H435" s="328">
        <v>3884.3</v>
      </c>
      <c r="I435" s="329">
        <f>ventas_b_mes4[[#This Row],[IMPORTE NETO]]*0.21</f>
        <v>815.70299999999997</v>
      </c>
      <c r="J435" s="330"/>
      <c r="K435" s="330"/>
      <c r="L435" s="330">
        <f>SUM(ventas_b_mes4[[#This Row],[IMPORTE NETO]:[EXENTO]])</f>
        <v>4700.0030000000006</v>
      </c>
      <c r="M435" s="310"/>
    </row>
    <row r="436" spans="2:13" x14ac:dyDescent="0.25">
      <c r="B436" s="322">
        <v>45037</v>
      </c>
      <c r="C436" s="41">
        <v>6</v>
      </c>
      <c r="D436" s="324">
        <v>5</v>
      </c>
      <c r="E436" s="325">
        <v>7770</v>
      </c>
      <c r="F436" s="326"/>
      <c r="G436" s="327" t="str">
        <f>IFERROR(IF(ventas_b_mes4[[#This Row],[CUIT]]="","-",VLOOKUP(ventas_b_mes4[[#This Row],[CUIT]],Lista_CUIT[#All],2,0)),"CUIT NO CARGADO")</f>
        <v>-</v>
      </c>
      <c r="H436" s="328">
        <v>2413.2199999999998</v>
      </c>
      <c r="I436" s="329">
        <f>ventas_b_mes4[[#This Row],[IMPORTE NETO]]*0.21</f>
        <v>506.77619999999996</v>
      </c>
      <c r="J436" s="330"/>
      <c r="K436" s="330"/>
      <c r="L436" s="330">
        <f>SUM(ventas_b_mes4[[#This Row],[IMPORTE NETO]:[EXENTO]])</f>
        <v>2919.9961999999996</v>
      </c>
      <c r="M436" s="310"/>
    </row>
    <row r="437" spans="2:13" x14ac:dyDescent="0.25">
      <c r="B437" s="322">
        <v>45037</v>
      </c>
      <c r="C437" s="41">
        <v>6</v>
      </c>
      <c r="D437" s="324">
        <v>7</v>
      </c>
      <c r="E437" s="325">
        <v>4275</v>
      </c>
      <c r="F437" s="326"/>
      <c r="G437" s="327" t="str">
        <f>IFERROR(IF(ventas_b_mes4[[#This Row],[CUIT]]="","-",VLOOKUP(ventas_b_mes4[[#This Row],[CUIT]],Lista_CUIT[#All],2,0)),"CUIT NO CARGADO")</f>
        <v>-</v>
      </c>
      <c r="H437" s="328">
        <v>18446.28</v>
      </c>
      <c r="I437" s="329">
        <f>ventas_b_mes4[[#This Row],[IMPORTE NETO]]*0.21</f>
        <v>3873.7187999999996</v>
      </c>
      <c r="J437" s="330"/>
      <c r="K437" s="330"/>
      <c r="L437" s="330">
        <f>SUM(ventas_b_mes4[[#This Row],[IMPORTE NETO]:[EXENTO]])</f>
        <v>22319.998799999998</v>
      </c>
      <c r="M437" s="310"/>
    </row>
    <row r="438" spans="2:13" x14ac:dyDescent="0.25">
      <c r="B438" s="322">
        <v>45037</v>
      </c>
      <c r="C438" s="41">
        <v>6</v>
      </c>
      <c r="D438" s="324">
        <v>5</v>
      </c>
      <c r="E438" s="325">
        <v>7776</v>
      </c>
      <c r="F438" s="326"/>
      <c r="G438" s="327" t="str">
        <f>IFERROR(IF(ventas_b_mes4[[#This Row],[CUIT]]="","-",VLOOKUP(ventas_b_mes4[[#This Row],[CUIT]],Lista_CUIT[#All],2,0)),"CUIT NO CARGADO")</f>
        <v>-</v>
      </c>
      <c r="H438" s="328">
        <v>4876.03</v>
      </c>
      <c r="I438" s="329">
        <f>ventas_b_mes4[[#This Row],[IMPORTE NETO]]*0.21</f>
        <v>1023.9662999999999</v>
      </c>
      <c r="J438" s="330"/>
      <c r="K438" s="330"/>
      <c r="L438" s="330">
        <f>SUM(ventas_b_mes4[[#This Row],[IMPORTE NETO]:[EXENTO]])</f>
        <v>5899.9962999999998</v>
      </c>
      <c r="M438" s="310"/>
    </row>
    <row r="439" spans="2:13" x14ac:dyDescent="0.25">
      <c r="B439" s="322">
        <v>45037</v>
      </c>
      <c r="C439" s="41">
        <v>6</v>
      </c>
      <c r="D439" s="324">
        <v>7</v>
      </c>
      <c r="E439" s="325">
        <v>4276</v>
      </c>
      <c r="F439" s="326">
        <v>92316435</v>
      </c>
      <c r="G439" s="327" t="str">
        <f>IFERROR(IF(ventas_b_mes4[[#This Row],[CUIT]]="","-",VLOOKUP(ventas_b_mes4[[#This Row],[CUIT]],Lista_CUIT[#All],2,0)),"CUIT NO CARGADO")</f>
        <v>GLORIA FULLGRAFF</v>
      </c>
      <c r="H439" s="328">
        <v>5785.12</v>
      </c>
      <c r="I439" s="329">
        <f>ventas_b_mes4[[#This Row],[IMPORTE NETO]]*0.21</f>
        <v>1214.8751999999999</v>
      </c>
      <c r="J439" s="330"/>
      <c r="K439" s="330"/>
      <c r="L439" s="330">
        <f>SUM(ventas_b_mes4[[#This Row],[IMPORTE NETO]:[EXENTO]])</f>
        <v>6999.9951999999994</v>
      </c>
      <c r="M439" s="310"/>
    </row>
    <row r="440" spans="2:13" x14ac:dyDescent="0.25">
      <c r="B440" s="322">
        <v>45037</v>
      </c>
      <c r="C440" s="41">
        <v>6</v>
      </c>
      <c r="D440" s="324">
        <v>7</v>
      </c>
      <c r="E440" s="325">
        <v>4273</v>
      </c>
      <c r="F440" s="326">
        <v>14123802</v>
      </c>
      <c r="G440" s="327" t="str">
        <f>IFERROR(IF(ventas_b_mes4[[#This Row],[CUIT]]="","-",VLOOKUP(ventas_b_mes4[[#This Row],[CUIT]],Lista_CUIT[#All],2,0)),"CUIT NO CARGADO")</f>
        <v>Schelgel, Luis Alberto</v>
      </c>
      <c r="H440" s="328">
        <v>3719.01</v>
      </c>
      <c r="I440" s="329">
        <f>ventas_b_mes4[[#This Row],[IMPORTE NETO]]*0.21</f>
        <v>780.99210000000005</v>
      </c>
      <c r="J440" s="330"/>
      <c r="K440" s="330"/>
      <c r="L440" s="330">
        <f>SUM(ventas_b_mes4[[#This Row],[IMPORTE NETO]:[EXENTO]])</f>
        <v>4500.0021000000006</v>
      </c>
      <c r="M440" s="310"/>
    </row>
    <row r="441" spans="2:13" x14ac:dyDescent="0.25">
      <c r="B441" s="322">
        <v>45037</v>
      </c>
      <c r="C441" s="41">
        <v>6</v>
      </c>
      <c r="D441" s="324">
        <v>7</v>
      </c>
      <c r="E441" s="325">
        <v>4272</v>
      </c>
      <c r="F441" s="326">
        <v>30590354798</v>
      </c>
      <c r="G441" s="327" t="str">
        <f>IFERROR(IF(ventas_b_mes4[[#This Row],[CUIT]]="","-",VLOOKUP(ventas_b_mes4[[#This Row],[CUIT]],Lista_CUIT[#All],2,0)),"CUIT NO CARGADO")</f>
        <v>ASOC. MUTUAL SANCOR SALUD</v>
      </c>
      <c r="H441" s="328">
        <v>105785.12</v>
      </c>
      <c r="I441" s="329">
        <f>ventas_b_mes4[[#This Row],[IMPORTE NETO]]*0.21</f>
        <v>22214.875199999999</v>
      </c>
      <c r="J441" s="330"/>
      <c r="K441" s="330"/>
      <c r="L441" s="330">
        <f>SUM(ventas_b_mes4[[#This Row],[IMPORTE NETO]:[EXENTO]])</f>
        <v>127999.99519999999</v>
      </c>
      <c r="M441" s="310"/>
    </row>
    <row r="442" spans="2:13" x14ac:dyDescent="0.25">
      <c r="B442" s="322">
        <v>45037</v>
      </c>
      <c r="C442" s="41">
        <v>6</v>
      </c>
      <c r="D442" s="324">
        <v>5</v>
      </c>
      <c r="E442" s="325">
        <v>7774</v>
      </c>
      <c r="F442" s="326"/>
      <c r="G442" s="327" t="str">
        <f>IFERROR(IF(ventas_b_mes4[[#This Row],[CUIT]]="","-",VLOOKUP(ventas_b_mes4[[#This Row],[CUIT]],Lista_CUIT[#All],2,0)),"CUIT NO CARGADO")</f>
        <v>-</v>
      </c>
      <c r="H442" s="328">
        <v>3305.79</v>
      </c>
      <c r="I442" s="329">
        <f>ventas_b_mes4[[#This Row],[IMPORTE NETO]]*0.21</f>
        <v>694.21589999999992</v>
      </c>
      <c r="J442" s="330"/>
      <c r="K442" s="330"/>
      <c r="L442" s="330">
        <f>SUM(ventas_b_mes4[[#This Row],[IMPORTE NETO]:[EXENTO]])</f>
        <v>4000.0059000000001</v>
      </c>
      <c r="M442" s="310"/>
    </row>
    <row r="443" spans="2:13" x14ac:dyDescent="0.25">
      <c r="B443" s="322">
        <v>45040</v>
      </c>
      <c r="C443" s="41">
        <v>6</v>
      </c>
      <c r="D443" s="324">
        <v>7</v>
      </c>
      <c r="E443" s="325">
        <v>4279</v>
      </c>
      <c r="F443" s="326">
        <v>5289939</v>
      </c>
      <c r="G443" s="327" t="str">
        <f>IFERROR(IF(ventas_b_mes4[[#This Row],[CUIT]]="","-",VLOOKUP(ventas_b_mes4[[#This Row],[CUIT]],Lista_CUIT[#All],2,0)),"CUIT NO CARGADO")</f>
        <v>GRACIELA NORMA GUIET</v>
      </c>
      <c r="H443" s="328">
        <v>1652.9</v>
      </c>
      <c r="I443" s="329">
        <f>ventas_b_mes4[[#This Row],[IMPORTE NETO]]*0.21</f>
        <v>347.10899999999998</v>
      </c>
      <c r="J443" s="330"/>
      <c r="K443" s="330"/>
      <c r="L443" s="330">
        <f>SUM(ventas_b_mes4[[#This Row],[IMPORTE NETO]:[EXENTO]])</f>
        <v>2000.009</v>
      </c>
      <c r="M443" s="310"/>
    </row>
    <row r="444" spans="2:13" x14ac:dyDescent="0.25">
      <c r="B444" s="322">
        <v>45040</v>
      </c>
      <c r="C444" s="41">
        <v>6</v>
      </c>
      <c r="D444" s="324">
        <v>5</v>
      </c>
      <c r="E444" s="325">
        <v>7783</v>
      </c>
      <c r="F444" s="326"/>
      <c r="G444" s="327" t="str">
        <f>IFERROR(IF(ventas_b_mes4[[#This Row],[CUIT]]="","-",VLOOKUP(ventas_b_mes4[[#This Row],[CUIT]],Lista_CUIT[#All],2,0)),"CUIT NO CARGADO")</f>
        <v>-</v>
      </c>
      <c r="H444" s="328">
        <v>3471.07</v>
      </c>
      <c r="I444" s="329">
        <f>ventas_b_mes4[[#This Row],[IMPORTE NETO]]*0.21</f>
        <v>728.92470000000003</v>
      </c>
      <c r="J444" s="330"/>
      <c r="K444" s="330"/>
      <c r="L444" s="330">
        <f>SUM(ventas_b_mes4[[#This Row],[IMPORTE NETO]:[EXENTO]])</f>
        <v>4199.9947000000002</v>
      </c>
      <c r="M444" s="310"/>
    </row>
    <row r="445" spans="2:13" x14ac:dyDescent="0.25">
      <c r="B445" s="322">
        <v>45040</v>
      </c>
      <c r="C445" s="41">
        <v>6</v>
      </c>
      <c r="D445" s="324">
        <v>7</v>
      </c>
      <c r="E445" s="325">
        <v>4282</v>
      </c>
      <c r="F445" s="326"/>
      <c r="G445" s="327" t="str">
        <f>IFERROR(IF(ventas_b_mes4[[#This Row],[CUIT]]="","-",VLOOKUP(ventas_b_mes4[[#This Row],[CUIT]],Lista_CUIT[#All],2,0)),"CUIT NO CARGADO")</f>
        <v>-</v>
      </c>
      <c r="H445" s="328">
        <v>4545.45</v>
      </c>
      <c r="I445" s="329">
        <f>ventas_b_mes4[[#This Row],[IMPORTE NETO]]*0.21</f>
        <v>954.54449999999997</v>
      </c>
      <c r="J445" s="330"/>
      <c r="K445" s="330"/>
      <c r="L445" s="330">
        <f>SUM(ventas_b_mes4[[#This Row],[IMPORTE NETO]:[EXENTO]])</f>
        <v>5499.9944999999998</v>
      </c>
      <c r="M445" s="310"/>
    </row>
    <row r="446" spans="2:13" x14ac:dyDescent="0.25">
      <c r="B446" s="322">
        <v>45040</v>
      </c>
      <c r="C446" s="41">
        <v>6</v>
      </c>
      <c r="D446" s="324">
        <v>7</v>
      </c>
      <c r="E446" s="325">
        <v>4283</v>
      </c>
      <c r="F446" s="326">
        <v>12791306</v>
      </c>
      <c r="G446" s="327" t="str">
        <f>IFERROR(IF(ventas_b_mes4[[#This Row],[CUIT]]="","-",VLOOKUP(ventas_b_mes4[[#This Row],[CUIT]],Lista_CUIT[#All],2,0)),"CUIT NO CARGADO")</f>
        <v>MINERVINI, MARIA DEL CARMEN LILIANA</v>
      </c>
      <c r="H446" s="328">
        <v>7438.02</v>
      </c>
      <c r="I446" s="329">
        <f>ventas_b_mes4[[#This Row],[IMPORTE NETO]]*0.21</f>
        <v>1561.9842000000001</v>
      </c>
      <c r="J446" s="330"/>
      <c r="K446" s="330"/>
      <c r="L446" s="330">
        <f>SUM(ventas_b_mes4[[#This Row],[IMPORTE NETO]:[EXENTO]])</f>
        <v>9000.0042000000012</v>
      </c>
      <c r="M446" s="310"/>
    </row>
    <row r="447" spans="2:13" x14ac:dyDescent="0.25">
      <c r="B447" s="322">
        <v>45040</v>
      </c>
      <c r="C447" s="41">
        <v>6</v>
      </c>
      <c r="D447" s="324">
        <v>5</v>
      </c>
      <c r="E447" s="325">
        <v>7782</v>
      </c>
      <c r="F447" s="326"/>
      <c r="G447" s="327" t="str">
        <f>IFERROR(IF(ventas_b_mes4[[#This Row],[CUIT]]="","-",VLOOKUP(ventas_b_mes4[[#This Row],[CUIT]],Lista_CUIT[#All],2,0)),"CUIT NO CARGADO")</f>
        <v>-</v>
      </c>
      <c r="H447" s="328">
        <v>2066.12</v>
      </c>
      <c r="I447" s="329">
        <f>ventas_b_mes4[[#This Row],[IMPORTE NETO]]*0.21</f>
        <v>433.88519999999994</v>
      </c>
      <c r="J447" s="330"/>
      <c r="K447" s="330"/>
      <c r="L447" s="330">
        <f>SUM(ventas_b_mes4[[#This Row],[IMPORTE NETO]:[EXENTO]])</f>
        <v>2500.0051999999996</v>
      </c>
      <c r="M447" s="310"/>
    </row>
    <row r="448" spans="2:13" x14ac:dyDescent="0.25">
      <c r="B448" s="322">
        <v>45040</v>
      </c>
      <c r="C448" s="41">
        <v>6</v>
      </c>
      <c r="D448" s="324">
        <v>7</v>
      </c>
      <c r="E448" s="325">
        <v>4280</v>
      </c>
      <c r="F448" s="326">
        <v>5289939</v>
      </c>
      <c r="G448" s="327" t="str">
        <f>IFERROR(IF(ventas_b_mes4[[#This Row],[CUIT]]="","-",VLOOKUP(ventas_b_mes4[[#This Row],[CUIT]],Lista_CUIT[#All],2,0)),"CUIT NO CARGADO")</f>
        <v>GRACIELA NORMA GUIET</v>
      </c>
      <c r="H448" s="328">
        <v>2479.34</v>
      </c>
      <c r="I448" s="329">
        <f>ventas_b_mes4[[#This Row],[IMPORTE NETO]]*0.21</f>
        <v>520.66139999999996</v>
      </c>
      <c r="J448" s="330"/>
      <c r="K448" s="330"/>
      <c r="L448" s="330">
        <f>SUM(ventas_b_mes4[[#This Row],[IMPORTE NETO]:[EXENTO]])</f>
        <v>3000.0014000000001</v>
      </c>
      <c r="M448" s="310"/>
    </row>
    <row r="449" spans="2:13" x14ac:dyDescent="0.25">
      <c r="B449" s="322">
        <v>45040</v>
      </c>
      <c r="C449" s="41">
        <v>6</v>
      </c>
      <c r="D449" s="324">
        <v>5</v>
      </c>
      <c r="E449" s="325">
        <v>7787</v>
      </c>
      <c r="F449" s="326"/>
      <c r="G449" s="327" t="str">
        <f>IFERROR(IF(ventas_b_mes4[[#This Row],[CUIT]]="","-",VLOOKUP(ventas_b_mes4[[#This Row],[CUIT]],Lista_CUIT[#All],2,0)),"CUIT NO CARGADO")</f>
        <v>-</v>
      </c>
      <c r="H449" s="328">
        <v>4132.2299999999996</v>
      </c>
      <c r="I449" s="329">
        <f>ventas_b_mes4[[#This Row],[IMPORTE NETO]]*0.21</f>
        <v>867.76829999999984</v>
      </c>
      <c r="J449" s="330"/>
      <c r="K449" s="330"/>
      <c r="L449" s="330">
        <f>SUM(ventas_b_mes4[[#This Row],[IMPORTE NETO]:[EXENTO]])</f>
        <v>4999.9982999999993</v>
      </c>
      <c r="M449" s="310"/>
    </row>
    <row r="450" spans="2:13" x14ac:dyDescent="0.25">
      <c r="B450" s="322">
        <v>45040</v>
      </c>
      <c r="C450" s="41">
        <v>6</v>
      </c>
      <c r="D450" s="324">
        <v>5</v>
      </c>
      <c r="E450" s="325">
        <v>7789</v>
      </c>
      <c r="F450" s="326"/>
      <c r="G450" s="327" t="str">
        <f>IFERROR(IF(ventas_b_mes4[[#This Row],[CUIT]]="","-",VLOOKUP(ventas_b_mes4[[#This Row],[CUIT]],Lista_CUIT[#All],2,0)),"CUIT NO CARGADO")</f>
        <v>-</v>
      </c>
      <c r="H450" s="328">
        <v>5619.83</v>
      </c>
      <c r="I450" s="329">
        <f>ventas_b_mes4[[#This Row],[IMPORTE NETO]]*0.21</f>
        <v>1180.1642999999999</v>
      </c>
      <c r="J450" s="330"/>
      <c r="K450" s="330"/>
      <c r="L450" s="330">
        <f>SUM(ventas_b_mes4[[#This Row],[IMPORTE NETO]:[EXENTO]])</f>
        <v>6799.9943000000003</v>
      </c>
      <c r="M450" s="310"/>
    </row>
    <row r="451" spans="2:13" x14ac:dyDescent="0.25">
      <c r="B451" s="322">
        <v>45040</v>
      </c>
      <c r="C451" s="41">
        <v>6</v>
      </c>
      <c r="D451" s="324">
        <v>5</v>
      </c>
      <c r="E451" s="325">
        <v>7780</v>
      </c>
      <c r="F451" s="326"/>
      <c r="G451" s="327" t="str">
        <f>IFERROR(IF(ventas_b_mes4[[#This Row],[CUIT]]="","-",VLOOKUP(ventas_b_mes4[[#This Row],[CUIT]],Lista_CUIT[#All],2,0)),"CUIT NO CARGADO")</f>
        <v>-</v>
      </c>
      <c r="H451" s="328">
        <v>7851.24</v>
      </c>
      <c r="I451" s="329">
        <f>ventas_b_mes4[[#This Row],[IMPORTE NETO]]*0.21</f>
        <v>1648.7603999999999</v>
      </c>
      <c r="J451" s="330"/>
      <c r="K451" s="330"/>
      <c r="L451" s="330">
        <f>SUM(ventas_b_mes4[[#This Row],[IMPORTE NETO]:[EXENTO]])</f>
        <v>9500.000399999999</v>
      </c>
      <c r="M451" s="310"/>
    </row>
    <row r="452" spans="2:13" x14ac:dyDescent="0.25">
      <c r="B452" s="322">
        <v>45040</v>
      </c>
      <c r="C452" s="41">
        <v>6</v>
      </c>
      <c r="D452" s="324">
        <v>5</v>
      </c>
      <c r="E452" s="325">
        <v>7781</v>
      </c>
      <c r="F452" s="326"/>
      <c r="G452" s="327" t="str">
        <f>IFERROR(IF(ventas_b_mes4[[#This Row],[CUIT]]="","-",VLOOKUP(ventas_b_mes4[[#This Row],[CUIT]],Lista_CUIT[#All],2,0)),"CUIT NO CARGADO")</f>
        <v>-</v>
      </c>
      <c r="H452" s="328">
        <v>2396.69</v>
      </c>
      <c r="I452" s="329">
        <f>ventas_b_mes4[[#This Row],[IMPORTE NETO]]*0.21</f>
        <v>503.30489999999998</v>
      </c>
      <c r="J452" s="330"/>
      <c r="K452" s="330"/>
      <c r="L452" s="330">
        <f>SUM(ventas_b_mes4[[#This Row],[IMPORTE NETO]:[EXENTO]])</f>
        <v>2899.9949000000001</v>
      </c>
      <c r="M452" s="310"/>
    </row>
    <row r="453" spans="2:13" x14ac:dyDescent="0.25">
      <c r="B453" s="322">
        <v>45040</v>
      </c>
      <c r="C453" s="41">
        <v>6</v>
      </c>
      <c r="D453" s="324">
        <v>5</v>
      </c>
      <c r="E453" s="325">
        <v>7785</v>
      </c>
      <c r="F453" s="326"/>
      <c r="G453" s="327" t="str">
        <f>IFERROR(IF(ventas_b_mes4[[#This Row],[CUIT]]="","-",VLOOKUP(ventas_b_mes4[[#This Row],[CUIT]],Lista_CUIT[#All],2,0)),"CUIT NO CARGADO")</f>
        <v>-</v>
      </c>
      <c r="H453" s="328">
        <v>3636.36</v>
      </c>
      <c r="I453" s="329">
        <f>ventas_b_mes4[[#This Row],[IMPORTE NETO]]*0.21</f>
        <v>763.63559999999995</v>
      </c>
      <c r="J453" s="330"/>
      <c r="K453" s="330"/>
      <c r="L453" s="330">
        <f>SUM(ventas_b_mes4[[#This Row],[IMPORTE NETO]:[EXENTO]])</f>
        <v>4399.9956000000002</v>
      </c>
      <c r="M453" s="310"/>
    </row>
    <row r="454" spans="2:13" x14ac:dyDescent="0.25">
      <c r="B454" s="322">
        <v>45040</v>
      </c>
      <c r="C454" s="41">
        <v>6</v>
      </c>
      <c r="D454" s="324">
        <v>7</v>
      </c>
      <c r="E454" s="325">
        <v>4281</v>
      </c>
      <c r="F454" s="326">
        <v>4702938</v>
      </c>
      <c r="G454" s="327" t="str">
        <f>IFERROR(IF(ventas_b_mes4[[#This Row],[CUIT]]="","-",VLOOKUP(ventas_b_mes4[[#This Row],[CUIT]],Lista_CUIT[#All],2,0)),"CUIT NO CARGADO")</f>
        <v>BARATTINI, CESAR RUBEN</v>
      </c>
      <c r="H454" s="328">
        <v>11983.48</v>
      </c>
      <c r="I454" s="329">
        <f>ventas_b_mes4[[#This Row],[IMPORTE NETO]]*0.21</f>
        <v>2516.5308</v>
      </c>
      <c r="J454" s="330"/>
      <c r="K454" s="330"/>
      <c r="L454" s="330">
        <f>SUM(ventas_b_mes4[[#This Row],[IMPORTE NETO]:[EXENTO]])</f>
        <v>14500.0108</v>
      </c>
      <c r="M454" s="310"/>
    </row>
    <row r="455" spans="2:13" x14ac:dyDescent="0.25">
      <c r="B455" s="322">
        <v>45040</v>
      </c>
      <c r="C455" s="41">
        <v>6</v>
      </c>
      <c r="D455" s="324">
        <v>5</v>
      </c>
      <c r="E455" s="325">
        <v>7786</v>
      </c>
      <c r="F455" s="326"/>
      <c r="G455" s="327" t="str">
        <f>IFERROR(IF(ventas_b_mes4[[#This Row],[CUIT]]="","-",VLOOKUP(ventas_b_mes4[[#This Row],[CUIT]],Lista_CUIT[#All],2,0)),"CUIT NO CARGADO")</f>
        <v>-</v>
      </c>
      <c r="H455" s="328">
        <v>2231.4</v>
      </c>
      <c r="I455" s="329">
        <f>ventas_b_mes4[[#This Row],[IMPORTE NETO]]*0.21</f>
        <v>468.59399999999999</v>
      </c>
      <c r="J455" s="330"/>
      <c r="K455" s="330"/>
      <c r="L455" s="330">
        <f>SUM(ventas_b_mes4[[#This Row],[IMPORTE NETO]:[EXENTO]])</f>
        <v>2699.9940000000001</v>
      </c>
      <c r="M455" s="310"/>
    </row>
    <row r="456" spans="2:13" x14ac:dyDescent="0.25">
      <c r="B456" s="322">
        <v>45040</v>
      </c>
      <c r="C456" s="41">
        <v>6</v>
      </c>
      <c r="D456" s="324">
        <v>5</v>
      </c>
      <c r="E456" s="325">
        <v>7788</v>
      </c>
      <c r="F456" s="326"/>
      <c r="G456" s="327" t="str">
        <f>IFERROR(IF(ventas_b_mes4[[#This Row],[CUIT]]="","-",VLOOKUP(ventas_b_mes4[[#This Row],[CUIT]],Lista_CUIT[#All],2,0)),"CUIT NO CARGADO")</f>
        <v>-</v>
      </c>
      <c r="H456" s="328">
        <v>12809.91</v>
      </c>
      <c r="I456" s="329">
        <f>ventas_b_mes4[[#This Row],[IMPORTE NETO]]*0.21</f>
        <v>2690.0810999999999</v>
      </c>
      <c r="J456" s="330"/>
      <c r="K456" s="330"/>
      <c r="L456" s="330">
        <f>SUM(ventas_b_mes4[[#This Row],[IMPORTE NETO]:[EXENTO]])</f>
        <v>15499.991099999999</v>
      </c>
      <c r="M456" s="310"/>
    </row>
    <row r="457" spans="2:13" x14ac:dyDescent="0.25">
      <c r="B457" s="322">
        <v>45040</v>
      </c>
      <c r="C457" s="41">
        <v>6</v>
      </c>
      <c r="D457" s="324">
        <v>5</v>
      </c>
      <c r="E457" s="325">
        <v>7784</v>
      </c>
      <c r="F457" s="326"/>
      <c r="G457" s="327" t="str">
        <f>IFERROR(IF(ventas_b_mes4[[#This Row],[CUIT]]="","-",VLOOKUP(ventas_b_mes4[[#This Row],[CUIT]],Lista_CUIT[#All],2,0)),"CUIT NO CARGADO")</f>
        <v>-</v>
      </c>
      <c r="H457" s="328">
        <v>1619.83</v>
      </c>
      <c r="I457" s="329">
        <f>ventas_b_mes4[[#This Row],[IMPORTE NETO]]*0.21</f>
        <v>340.16429999999997</v>
      </c>
      <c r="J457" s="330"/>
      <c r="K457" s="330"/>
      <c r="L457" s="330">
        <f>SUM(ventas_b_mes4[[#This Row],[IMPORTE NETO]:[EXENTO]])</f>
        <v>1959.9942999999998</v>
      </c>
      <c r="M457" s="310"/>
    </row>
    <row r="458" spans="2:13" x14ac:dyDescent="0.25">
      <c r="B458" s="322">
        <v>45040</v>
      </c>
      <c r="C458" s="41">
        <v>6</v>
      </c>
      <c r="D458" s="324">
        <v>5</v>
      </c>
      <c r="E458" s="325">
        <v>7791</v>
      </c>
      <c r="F458" s="326"/>
      <c r="G458" s="327" t="str">
        <f>IFERROR(IF(ventas_b_mes4[[#This Row],[CUIT]]="","-",VLOOKUP(ventas_b_mes4[[#This Row],[CUIT]],Lista_CUIT[#All],2,0)),"CUIT NO CARGADO")</f>
        <v>-</v>
      </c>
      <c r="H458" s="328">
        <v>9504.1299999999992</v>
      </c>
      <c r="I458" s="329">
        <f>ventas_b_mes4[[#This Row],[IMPORTE NETO]]*0.21</f>
        <v>1995.8672999999997</v>
      </c>
      <c r="J458" s="330"/>
      <c r="K458" s="330"/>
      <c r="L458" s="330">
        <f>SUM(ventas_b_mes4[[#This Row],[IMPORTE NETO]:[EXENTO]])</f>
        <v>11499.997299999999</v>
      </c>
      <c r="M458" s="310"/>
    </row>
    <row r="459" spans="2:13" x14ac:dyDescent="0.25">
      <c r="B459" s="322">
        <v>45040</v>
      </c>
      <c r="C459" s="41">
        <v>6</v>
      </c>
      <c r="D459" s="324">
        <v>5</v>
      </c>
      <c r="E459" s="325">
        <v>7790</v>
      </c>
      <c r="F459" s="326"/>
      <c r="G459" s="327" t="str">
        <f>IFERROR(IF(ventas_b_mes4[[#This Row],[CUIT]]="","-",VLOOKUP(ventas_b_mes4[[#This Row],[CUIT]],Lista_CUIT[#All],2,0)),"CUIT NO CARGADO")</f>
        <v>-</v>
      </c>
      <c r="H459" s="328">
        <v>5785.12</v>
      </c>
      <c r="I459" s="329">
        <f>ventas_b_mes4[[#This Row],[IMPORTE NETO]]*0.21</f>
        <v>1214.8751999999999</v>
      </c>
      <c r="J459" s="330"/>
      <c r="K459" s="330"/>
      <c r="L459" s="330">
        <f>SUM(ventas_b_mes4[[#This Row],[IMPORTE NETO]:[EXENTO]])</f>
        <v>6999.9951999999994</v>
      </c>
      <c r="M459" s="310"/>
    </row>
    <row r="460" spans="2:13" x14ac:dyDescent="0.25">
      <c r="B460" s="322">
        <v>45041</v>
      </c>
      <c r="C460" s="41">
        <v>6</v>
      </c>
      <c r="D460" s="324">
        <v>5</v>
      </c>
      <c r="E460" s="325">
        <v>7796</v>
      </c>
      <c r="F460" s="326"/>
      <c r="G460" s="327" t="str">
        <f>IFERROR(IF(ventas_b_mes4[[#This Row],[CUIT]]="","-",VLOOKUP(ventas_b_mes4[[#This Row],[CUIT]],Lista_CUIT[#All],2,0)),"CUIT NO CARGADO")</f>
        <v>-</v>
      </c>
      <c r="H460" s="328">
        <v>4338.84</v>
      </c>
      <c r="I460" s="329">
        <f>ventas_b_mes4[[#This Row],[IMPORTE NETO]]*0.21</f>
        <v>911.15639999999996</v>
      </c>
      <c r="J460" s="330"/>
      <c r="K460" s="330"/>
      <c r="L460" s="330">
        <f>SUM(ventas_b_mes4[[#This Row],[IMPORTE NETO]:[EXENTO]])</f>
        <v>5249.9964</v>
      </c>
      <c r="M460" s="310"/>
    </row>
    <row r="461" spans="2:13" x14ac:dyDescent="0.25">
      <c r="B461" s="322">
        <v>45041</v>
      </c>
      <c r="C461" s="41">
        <v>6</v>
      </c>
      <c r="D461" s="324">
        <v>5</v>
      </c>
      <c r="E461" s="325">
        <v>7794</v>
      </c>
      <c r="F461" s="326"/>
      <c r="G461" s="327" t="str">
        <f>IFERROR(IF(ventas_b_mes4[[#This Row],[CUIT]]="","-",VLOOKUP(ventas_b_mes4[[#This Row],[CUIT]],Lista_CUIT[#All],2,0)),"CUIT NO CARGADO")</f>
        <v>-</v>
      </c>
      <c r="H461" s="328">
        <v>2892.56</v>
      </c>
      <c r="I461" s="329">
        <f>ventas_b_mes4[[#This Row],[IMPORTE NETO]]*0.21</f>
        <v>607.43759999999997</v>
      </c>
      <c r="J461" s="330"/>
      <c r="K461" s="330"/>
      <c r="L461" s="330">
        <f>SUM(ventas_b_mes4[[#This Row],[IMPORTE NETO]:[EXENTO]])</f>
        <v>3499.9975999999997</v>
      </c>
      <c r="M461" s="310"/>
    </row>
    <row r="462" spans="2:13" x14ac:dyDescent="0.25">
      <c r="B462" s="322">
        <v>45041</v>
      </c>
      <c r="C462" s="41">
        <v>6</v>
      </c>
      <c r="D462" s="324">
        <v>7</v>
      </c>
      <c r="E462" s="325">
        <v>4288</v>
      </c>
      <c r="F462" s="326"/>
      <c r="G462" s="327" t="str">
        <f>IFERROR(IF(ventas_b_mes4[[#This Row],[CUIT]]="","-",VLOOKUP(ventas_b_mes4[[#This Row],[CUIT]],Lista_CUIT[#All],2,0)),"CUIT NO CARGADO")</f>
        <v>-</v>
      </c>
      <c r="H462" s="328">
        <v>4628.1000000000004</v>
      </c>
      <c r="I462" s="329">
        <f>ventas_b_mes4[[#This Row],[IMPORTE NETO]]*0.21</f>
        <v>971.90100000000007</v>
      </c>
      <c r="J462" s="330"/>
      <c r="K462" s="330"/>
      <c r="L462" s="330">
        <f>SUM(ventas_b_mes4[[#This Row],[IMPORTE NETO]:[EXENTO]])</f>
        <v>5600.0010000000002</v>
      </c>
      <c r="M462" s="310"/>
    </row>
    <row r="463" spans="2:13" x14ac:dyDescent="0.25">
      <c r="B463" s="322">
        <v>45041</v>
      </c>
      <c r="C463" s="41">
        <v>6</v>
      </c>
      <c r="D463" s="324">
        <v>7</v>
      </c>
      <c r="E463" s="325">
        <v>4294</v>
      </c>
      <c r="F463" s="326">
        <v>30590354798</v>
      </c>
      <c r="G463" s="327" t="str">
        <f>IFERROR(IF(ventas_b_mes4[[#This Row],[CUIT]]="","-",VLOOKUP(ventas_b_mes4[[#This Row],[CUIT]],Lista_CUIT[#All],2,0)),"CUIT NO CARGADO")</f>
        <v>ASOC. MUTUAL SANCOR SALUD</v>
      </c>
      <c r="H463" s="328">
        <v>23553.72</v>
      </c>
      <c r="I463" s="329">
        <f>ventas_b_mes4[[#This Row],[IMPORTE NETO]]*0.21</f>
        <v>4946.2812000000004</v>
      </c>
      <c r="J463" s="330"/>
      <c r="K463" s="330"/>
      <c r="L463" s="330">
        <f>SUM(ventas_b_mes4[[#This Row],[IMPORTE NETO]:[EXENTO]])</f>
        <v>28500.001200000002</v>
      </c>
      <c r="M463" s="310"/>
    </row>
    <row r="464" spans="2:13" x14ac:dyDescent="0.25">
      <c r="B464" s="322">
        <v>45041</v>
      </c>
      <c r="C464" s="41">
        <v>6</v>
      </c>
      <c r="D464" s="324">
        <v>7</v>
      </c>
      <c r="E464" s="325">
        <v>4293</v>
      </c>
      <c r="F464" s="326"/>
      <c r="G464" s="327" t="str">
        <f>IFERROR(IF(ventas_b_mes4[[#This Row],[CUIT]]="","-",VLOOKUP(ventas_b_mes4[[#This Row],[CUIT]],Lista_CUIT[#All],2,0)),"CUIT NO CARGADO")</f>
        <v>-</v>
      </c>
      <c r="H464" s="328">
        <v>4132.2299999999996</v>
      </c>
      <c r="I464" s="329">
        <f>ventas_b_mes4[[#This Row],[IMPORTE NETO]]*0.21</f>
        <v>867.76829999999984</v>
      </c>
      <c r="J464" s="330"/>
      <c r="K464" s="330"/>
      <c r="L464" s="330">
        <f>SUM(ventas_b_mes4[[#This Row],[IMPORTE NETO]:[EXENTO]])</f>
        <v>4999.9982999999993</v>
      </c>
      <c r="M464" s="310"/>
    </row>
    <row r="465" spans="2:13" x14ac:dyDescent="0.25">
      <c r="B465" s="322">
        <v>45041</v>
      </c>
      <c r="C465" s="41">
        <v>6</v>
      </c>
      <c r="D465" s="324">
        <v>7</v>
      </c>
      <c r="E465" s="325">
        <v>4286</v>
      </c>
      <c r="F465" s="326"/>
      <c r="G465" s="327" t="str">
        <f>IFERROR(IF(ventas_b_mes4[[#This Row],[CUIT]]="","-",VLOOKUP(ventas_b_mes4[[#This Row],[CUIT]],Lista_CUIT[#All],2,0)),"CUIT NO CARGADO")</f>
        <v>-</v>
      </c>
      <c r="H465" s="328">
        <v>9752.07</v>
      </c>
      <c r="I465" s="329">
        <f>ventas_b_mes4[[#This Row],[IMPORTE NETO]]*0.21</f>
        <v>2047.9346999999998</v>
      </c>
      <c r="J465" s="330"/>
      <c r="K465" s="330"/>
      <c r="L465" s="330">
        <f>SUM(ventas_b_mes4[[#This Row],[IMPORTE NETO]:[EXENTO]])</f>
        <v>11800.0047</v>
      </c>
      <c r="M465" s="310"/>
    </row>
    <row r="466" spans="2:13" x14ac:dyDescent="0.25">
      <c r="B466" s="322">
        <v>45041</v>
      </c>
      <c r="C466" s="41">
        <v>6</v>
      </c>
      <c r="D466" s="324">
        <v>5</v>
      </c>
      <c r="E466" s="325">
        <v>7795</v>
      </c>
      <c r="F466" s="326"/>
      <c r="G466" s="327" t="str">
        <f>IFERROR(IF(ventas_b_mes4[[#This Row],[CUIT]]="","-",VLOOKUP(ventas_b_mes4[[#This Row],[CUIT]],Lista_CUIT[#All],2,0)),"CUIT NO CARGADO")</f>
        <v>-</v>
      </c>
      <c r="H466" s="328">
        <v>3884.3</v>
      </c>
      <c r="I466" s="329">
        <f>ventas_b_mes4[[#This Row],[IMPORTE NETO]]*0.21</f>
        <v>815.70299999999997</v>
      </c>
      <c r="J466" s="330"/>
      <c r="K466" s="330"/>
      <c r="L466" s="330">
        <f>SUM(ventas_b_mes4[[#This Row],[IMPORTE NETO]:[EXENTO]])</f>
        <v>4700.0030000000006</v>
      </c>
      <c r="M466" s="310"/>
    </row>
    <row r="467" spans="2:13" x14ac:dyDescent="0.25">
      <c r="B467" s="322">
        <v>45041</v>
      </c>
      <c r="C467" s="41">
        <v>6</v>
      </c>
      <c r="D467" s="324">
        <v>7</v>
      </c>
      <c r="E467" s="325">
        <v>4296</v>
      </c>
      <c r="F467" s="326"/>
      <c r="G467" s="327" t="str">
        <f>IFERROR(IF(ventas_b_mes4[[#This Row],[CUIT]]="","-",VLOOKUP(ventas_b_mes4[[#This Row],[CUIT]],Lista_CUIT[#All],2,0)),"CUIT NO CARGADO")</f>
        <v>-</v>
      </c>
      <c r="H467" s="328">
        <v>6198.34</v>
      </c>
      <c r="I467" s="329">
        <f>ventas_b_mes4[[#This Row],[IMPORTE NETO]]*0.21</f>
        <v>1301.6514</v>
      </c>
      <c r="J467" s="330"/>
      <c r="K467" s="330"/>
      <c r="L467" s="330">
        <f>SUM(ventas_b_mes4[[#This Row],[IMPORTE NETO]:[EXENTO]])</f>
        <v>7499.9913999999999</v>
      </c>
      <c r="M467" s="310"/>
    </row>
    <row r="468" spans="2:13" x14ac:dyDescent="0.25">
      <c r="B468" s="322">
        <v>45041</v>
      </c>
      <c r="C468" s="41">
        <v>6</v>
      </c>
      <c r="D468" s="324">
        <v>7</v>
      </c>
      <c r="E468" s="325">
        <v>4284</v>
      </c>
      <c r="F468" s="326"/>
      <c r="G468" s="327" t="str">
        <f>IFERROR(IF(ventas_b_mes4[[#This Row],[CUIT]]="","-",VLOOKUP(ventas_b_mes4[[#This Row],[CUIT]],Lista_CUIT[#All],2,0)),"CUIT NO CARGADO")</f>
        <v>-</v>
      </c>
      <c r="H468" s="328">
        <v>7438.02</v>
      </c>
      <c r="I468" s="329">
        <f>ventas_b_mes4[[#This Row],[IMPORTE NETO]]*0.21</f>
        <v>1561.9842000000001</v>
      </c>
      <c r="J468" s="330"/>
      <c r="K468" s="330"/>
      <c r="L468" s="330">
        <f>SUM(ventas_b_mes4[[#This Row],[IMPORTE NETO]:[EXENTO]])</f>
        <v>9000.0042000000012</v>
      </c>
      <c r="M468" s="310"/>
    </row>
    <row r="469" spans="2:13" x14ac:dyDescent="0.25">
      <c r="B469" s="322">
        <v>45041</v>
      </c>
      <c r="C469" s="41">
        <v>6</v>
      </c>
      <c r="D469" s="324">
        <v>7</v>
      </c>
      <c r="E469" s="325">
        <v>4285</v>
      </c>
      <c r="F469" s="326"/>
      <c r="G469" s="327" t="str">
        <f>IFERROR(IF(ventas_b_mes4[[#This Row],[CUIT]]="","-",VLOOKUP(ventas_b_mes4[[#This Row],[CUIT]],Lista_CUIT[#All],2,0)),"CUIT NO CARGADO")</f>
        <v>-</v>
      </c>
      <c r="H469" s="328">
        <v>9752.07</v>
      </c>
      <c r="I469" s="329">
        <f>ventas_b_mes4[[#This Row],[IMPORTE NETO]]*0.21</f>
        <v>2047.9346999999998</v>
      </c>
      <c r="J469" s="330"/>
      <c r="K469" s="330"/>
      <c r="L469" s="330">
        <f>SUM(ventas_b_mes4[[#This Row],[IMPORTE NETO]:[EXENTO]])</f>
        <v>11800.0047</v>
      </c>
      <c r="M469" s="310"/>
    </row>
    <row r="470" spans="2:13" x14ac:dyDescent="0.25">
      <c r="B470" s="322">
        <v>45041</v>
      </c>
      <c r="C470" s="41">
        <v>6</v>
      </c>
      <c r="D470" s="324">
        <v>7</v>
      </c>
      <c r="E470" s="325">
        <v>4295</v>
      </c>
      <c r="F470" s="326"/>
      <c r="G470" s="327" t="str">
        <f>IFERROR(IF(ventas_b_mes4[[#This Row],[CUIT]]="","-",VLOOKUP(ventas_b_mes4[[#This Row],[CUIT]],Lista_CUIT[#All],2,0)),"CUIT NO CARGADO")</f>
        <v>-</v>
      </c>
      <c r="H470" s="328">
        <v>6611.57</v>
      </c>
      <c r="I470" s="329">
        <f>ventas_b_mes4[[#This Row],[IMPORTE NETO]]*0.21</f>
        <v>1388.4296999999999</v>
      </c>
      <c r="J470" s="330"/>
      <c r="K470" s="330"/>
      <c r="L470" s="330">
        <f>SUM(ventas_b_mes4[[#This Row],[IMPORTE NETO]:[EXENTO]])</f>
        <v>7999.9996999999994</v>
      </c>
      <c r="M470" s="310"/>
    </row>
    <row r="471" spans="2:13" x14ac:dyDescent="0.25">
      <c r="B471" s="322">
        <v>45041</v>
      </c>
      <c r="C471" s="41">
        <v>6</v>
      </c>
      <c r="D471" s="324">
        <v>7</v>
      </c>
      <c r="E471" s="325">
        <v>4290</v>
      </c>
      <c r="F471" s="326"/>
      <c r="G471" s="327" t="str">
        <f>IFERROR(IF(ventas_b_mes4[[#This Row],[CUIT]]="","-",VLOOKUP(ventas_b_mes4[[#This Row],[CUIT]],Lista_CUIT[#All],2,0)),"CUIT NO CARGADO")</f>
        <v>-</v>
      </c>
      <c r="H471" s="328">
        <v>22727.27</v>
      </c>
      <c r="I471" s="329">
        <f>ventas_b_mes4[[#This Row],[IMPORTE NETO]]*0.21</f>
        <v>4772.7267000000002</v>
      </c>
      <c r="J471" s="330"/>
      <c r="K471" s="330"/>
      <c r="L471" s="330">
        <f>SUM(ventas_b_mes4[[#This Row],[IMPORTE NETO]:[EXENTO]])</f>
        <v>27499.9967</v>
      </c>
      <c r="M471" s="310"/>
    </row>
    <row r="472" spans="2:13" x14ac:dyDescent="0.25">
      <c r="B472" s="322">
        <v>45041</v>
      </c>
      <c r="C472" s="41">
        <v>6</v>
      </c>
      <c r="D472" s="324">
        <v>5</v>
      </c>
      <c r="E472" s="325">
        <v>7793</v>
      </c>
      <c r="F472" s="326"/>
      <c r="G472" s="327" t="str">
        <f>IFERROR(IF(ventas_b_mes4[[#This Row],[CUIT]]="","-",VLOOKUP(ventas_b_mes4[[#This Row],[CUIT]],Lista_CUIT[#All],2,0)),"CUIT NO CARGADO")</f>
        <v>-</v>
      </c>
      <c r="H472" s="328">
        <v>10330.58</v>
      </c>
      <c r="I472" s="329">
        <f>ventas_b_mes4[[#This Row],[IMPORTE NETO]]*0.21</f>
        <v>2169.4218000000001</v>
      </c>
      <c r="J472" s="330"/>
      <c r="K472" s="330"/>
      <c r="L472" s="330">
        <f>SUM(ventas_b_mes4[[#This Row],[IMPORTE NETO]:[EXENTO]])</f>
        <v>12500.0018</v>
      </c>
      <c r="M472" s="310"/>
    </row>
    <row r="473" spans="2:13" x14ac:dyDescent="0.25">
      <c r="B473" s="322">
        <v>45041</v>
      </c>
      <c r="C473" s="41">
        <v>6</v>
      </c>
      <c r="D473" s="324">
        <v>7</v>
      </c>
      <c r="E473" s="325">
        <v>4291</v>
      </c>
      <c r="F473" s="326"/>
      <c r="G473" s="327" t="str">
        <f>IFERROR(IF(ventas_b_mes4[[#This Row],[CUIT]]="","-",VLOOKUP(ventas_b_mes4[[#This Row],[CUIT]],Lista_CUIT[#All],2,0)),"CUIT NO CARGADO")</f>
        <v>-</v>
      </c>
      <c r="H473" s="328">
        <v>3140.5</v>
      </c>
      <c r="I473" s="329">
        <f>ventas_b_mes4[[#This Row],[IMPORTE NETO]]*0.21</f>
        <v>659.505</v>
      </c>
      <c r="J473" s="330"/>
      <c r="K473" s="330"/>
      <c r="L473" s="330">
        <f>SUM(ventas_b_mes4[[#This Row],[IMPORTE NETO]:[EXENTO]])</f>
        <v>3800.0050000000001</v>
      </c>
      <c r="M473" s="310"/>
    </row>
    <row r="474" spans="2:13" x14ac:dyDescent="0.25">
      <c r="B474" s="322">
        <v>45041</v>
      </c>
      <c r="C474" s="41">
        <v>6</v>
      </c>
      <c r="D474" s="324">
        <v>7</v>
      </c>
      <c r="E474" s="325">
        <v>4292</v>
      </c>
      <c r="F474" s="326"/>
      <c r="G474" s="327" t="str">
        <f>IFERROR(IF(ventas_b_mes4[[#This Row],[CUIT]]="","-",VLOOKUP(ventas_b_mes4[[#This Row],[CUIT]],Lista_CUIT[#All],2,0)),"CUIT NO CARGADO")</f>
        <v>-</v>
      </c>
      <c r="H474" s="328">
        <v>8677.68</v>
      </c>
      <c r="I474" s="329">
        <f>ventas_b_mes4[[#This Row],[IMPORTE NETO]]*0.21</f>
        <v>1822.3127999999999</v>
      </c>
      <c r="J474" s="330"/>
      <c r="K474" s="330"/>
      <c r="L474" s="330">
        <f>SUM(ventas_b_mes4[[#This Row],[IMPORTE NETO]:[EXENTO]])</f>
        <v>10499.9928</v>
      </c>
      <c r="M474" s="310"/>
    </row>
    <row r="475" spans="2:13" x14ac:dyDescent="0.25">
      <c r="B475" s="322">
        <v>45041</v>
      </c>
      <c r="C475" s="41">
        <v>6</v>
      </c>
      <c r="D475" s="324">
        <v>7</v>
      </c>
      <c r="E475" s="325">
        <v>4287</v>
      </c>
      <c r="F475" s="326"/>
      <c r="G475" s="327" t="str">
        <f>IFERROR(IF(ventas_b_mes4[[#This Row],[CUIT]]="","-",VLOOKUP(ventas_b_mes4[[#This Row],[CUIT]],Lista_CUIT[#All],2,0)),"CUIT NO CARGADO")</f>
        <v>-</v>
      </c>
      <c r="H475" s="328">
        <v>9752.07</v>
      </c>
      <c r="I475" s="329">
        <f>ventas_b_mes4[[#This Row],[IMPORTE NETO]]*0.21</f>
        <v>2047.9346999999998</v>
      </c>
      <c r="J475" s="330"/>
      <c r="K475" s="330"/>
      <c r="L475" s="330">
        <f>SUM(ventas_b_mes4[[#This Row],[IMPORTE NETO]:[EXENTO]])</f>
        <v>11800.0047</v>
      </c>
      <c r="M475" s="310"/>
    </row>
    <row r="476" spans="2:13" x14ac:dyDescent="0.25">
      <c r="B476" s="322">
        <v>45041</v>
      </c>
      <c r="C476" s="41">
        <v>6</v>
      </c>
      <c r="D476" s="324">
        <v>5</v>
      </c>
      <c r="E476" s="325">
        <v>7792</v>
      </c>
      <c r="F476" s="326"/>
      <c r="G476" s="327" t="str">
        <f>IFERROR(IF(ventas_b_mes4[[#This Row],[CUIT]]="","-",VLOOKUP(ventas_b_mes4[[#This Row],[CUIT]],Lista_CUIT[#All],2,0)),"CUIT NO CARGADO")</f>
        <v>-</v>
      </c>
      <c r="H476" s="328">
        <v>4016.53</v>
      </c>
      <c r="I476" s="329">
        <f>ventas_b_mes4[[#This Row],[IMPORTE NETO]]*0.21</f>
        <v>843.47130000000004</v>
      </c>
      <c r="J476" s="330"/>
      <c r="K476" s="330"/>
      <c r="L476" s="330">
        <f>SUM(ventas_b_mes4[[#This Row],[IMPORTE NETO]:[EXENTO]])</f>
        <v>4860.0012999999999</v>
      </c>
      <c r="M476" s="310"/>
    </row>
    <row r="477" spans="2:13" x14ac:dyDescent="0.25">
      <c r="B477" s="322">
        <v>45041</v>
      </c>
      <c r="C477" s="41">
        <v>6</v>
      </c>
      <c r="D477" s="324">
        <v>7</v>
      </c>
      <c r="E477" s="325">
        <v>4289</v>
      </c>
      <c r="F477" s="326"/>
      <c r="G477" s="327" t="str">
        <f>IFERROR(IF(ventas_b_mes4[[#This Row],[CUIT]]="","-",VLOOKUP(ventas_b_mes4[[#This Row],[CUIT]],Lista_CUIT[#All],2,0)),"CUIT NO CARGADO")</f>
        <v>-</v>
      </c>
      <c r="H477" s="328">
        <v>6776.86</v>
      </c>
      <c r="I477" s="329">
        <f>ventas_b_mes4[[#This Row],[IMPORTE NETO]]*0.21</f>
        <v>1423.1405999999999</v>
      </c>
      <c r="J477" s="330"/>
      <c r="K477" s="330"/>
      <c r="L477" s="330">
        <f>SUM(ventas_b_mes4[[#This Row],[IMPORTE NETO]:[EXENTO]])</f>
        <v>8200.0005999999994</v>
      </c>
      <c r="M477" s="310"/>
    </row>
    <row r="478" spans="2:13" x14ac:dyDescent="0.25">
      <c r="B478" s="322">
        <v>45042</v>
      </c>
      <c r="C478" s="41">
        <v>6</v>
      </c>
      <c r="D478" s="324">
        <v>7</v>
      </c>
      <c r="E478" s="325">
        <v>4297</v>
      </c>
      <c r="F478" s="326"/>
      <c r="G478" s="327" t="str">
        <f>IFERROR(IF(ventas_b_mes4[[#This Row],[CUIT]]="","-",VLOOKUP(ventas_b_mes4[[#This Row],[CUIT]],Lista_CUIT[#All],2,0)),"CUIT NO CARGADO")</f>
        <v>-</v>
      </c>
      <c r="H478" s="328">
        <v>7024.79</v>
      </c>
      <c r="I478" s="329">
        <f>ventas_b_mes4[[#This Row],[IMPORTE NETO]]*0.21</f>
        <v>1475.2058999999999</v>
      </c>
      <c r="J478" s="330"/>
      <c r="K478" s="330"/>
      <c r="L478" s="330">
        <f>SUM(ventas_b_mes4[[#This Row],[IMPORTE NETO]:[EXENTO]])</f>
        <v>8499.9958999999999</v>
      </c>
      <c r="M478" s="310"/>
    </row>
    <row r="479" spans="2:13" x14ac:dyDescent="0.25">
      <c r="B479" s="322">
        <v>45042</v>
      </c>
      <c r="C479" s="41">
        <v>6</v>
      </c>
      <c r="D479" s="324">
        <v>5</v>
      </c>
      <c r="E479" s="325">
        <v>7800</v>
      </c>
      <c r="F479" s="326"/>
      <c r="G479" s="327" t="str">
        <f>IFERROR(IF(ventas_b_mes4[[#This Row],[CUIT]]="","-",VLOOKUP(ventas_b_mes4[[#This Row],[CUIT]],Lista_CUIT[#All],2,0)),"CUIT NO CARGADO")</f>
        <v>-</v>
      </c>
      <c r="H479" s="328">
        <v>6942.15</v>
      </c>
      <c r="I479" s="329">
        <f>ventas_b_mes4[[#This Row],[IMPORTE NETO]]*0.21</f>
        <v>1457.8514999999998</v>
      </c>
      <c r="J479" s="330"/>
      <c r="K479" s="330"/>
      <c r="L479" s="330">
        <f>SUM(ventas_b_mes4[[#This Row],[IMPORTE NETO]:[EXENTO]])</f>
        <v>8400.0014999999985</v>
      </c>
      <c r="M479" s="310"/>
    </row>
    <row r="480" spans="2:13" x14ac:dyDescent="0.25">
      <c r="B480" s="322">
        <v>45042</v>
      </c>
      <c r="C480" s="41">
        <v>6</v>
      </c>
      <c r="D480" s="324">
        <v>5</v>
      </c>
      <c r="E480" s="325">
        <v>7805</v>
      </c>
      <c r="F480" s="326"/>
      <c r="G480" s="327" t="str">
        <f>IFERROR(IF(ventas_b_mes4[[#This Row],[CUIT]]="","-",VLOOKUP(ventas_b_mes4[[#This Row],[CUIT]],Lista_CUIT[#All],2,0)),"CUIT NO CARGADO")</f>
        <v>-</v>
      </c>
      <c r="H480" s="328">
        <v>4132.2299999999996</v>
      </c>
      <c r="I480" s="329">
        <f>ventas_b_mes4[[#This Row],[IMPORTE NETO]]*0.21</f>
        <v>867.76829999999984</v>
      </c>
      <c r="J480" s="330"/>
      <c r="K480" s="330"/>
      <c r="L480" s="330">
        <f>SUM(ventas_b_mes4[[#This Row],[IMPORTE NETO]:[EXENTO]])</f>
        <v>4999.9982999999993</v>
      </c>
      <c r="M480" s="310"/>
    </row>
    <row r="481" spans="2:13" x14ac:dyDescent="0.25">
      <c r="B481" s="322">
        <v>45042</v>
      </c>
      <c r="C481" s="41">
        <v>6</v>
      </c>
      <c r="D481" s="324">
        <v>7</v>
      </c>
      <c r="E481" s="325">
        <v>4298</v>
      </c>
      <c r="F481" s="326"/>
      <c r="G481" s="327" t="str">
        <f>IFERROR(IF(ventas_b_mes4[[#This Row],[CUIT]]="","-",VLOOKUP(ventas_b_mes4[[#This Row],[CUIT]],Lista_CUIT[#All],2,0)),"CUIT NO CARGADO")</f>
        <v>-</v>
      </c>
      <c r="H481" s="328">
        <v>3966.94</v>
      </c>
      <c r="I481" s="329">
        <f>ventas_b_mes4[[#This Row],[IMPORTE NETO]]*0.21</f>
        <v>833.05740000000003</v>
      </c>
      <c r="J481" s="330"/>
      <c r="K481" s="330"/>
      <c r="L481" s="330">
        <f>SUM(ventas_b_mes4[[#This Row],[IMPORTE NETO]:[EXENTO]])</f>
        <v>4799.9974000000002</v>
      </c>
      <c r="M481" s="310"/>
    </row>
    <row r="482" spans="2:13" x14ac:dyDescent="0.25">
      <c r="B482" s="322">
        <v>45042</v>
      </c>
      <c r="C482" s="41">
        <v>6</v>
      </c>
      <c r="D482" s="324">
        <v>5</v>
      </c>
      <c r="E482" s="325">
        <v>7799</v>
      </c>
      <c r="F482" s="326"/>
      <c r="G482" s="327" t="str">
        <f>IFERROR(IF(ventas_b_mes4[[#This Row],[CUIT]]="","-",VLOOKUP(ventas_b_mes4[[#This Row],[CUIT]],Lista_CUIT[#All],2,0)),"CUIT NO CARGADO")</f>
        <v>-</v>
      </c>
      <c r="H482" s="328">
        <v>4462.8100000000004</v>
      </c>
      <c r="I482" s="329">
        <f>ventas_b_mes4[[#This Row],[IMPORTE NETO]]*0.21</f>
        <v>937.19010000000003</v>
      </c>
      <c r="J482" s="330"/>
      <c r="K482" s="330"/>
      <c r="L482" s="330">
        <f>SUM(ventas_b_mes4[[#This Row],[IMPORTE NETO]:[EXENTO]])</f>
        <v>5400.0001000000002</v>
      </c>
      <c r="M482" s="310"/>
    </row>
    <row r="483" spans="2:13" x14ac:dyDescent="0.25">
      <c r="B483" s="322">
        <v>45042</v>
      </c>
      <c r="C483" s="41">
        <v>6</v>
      </c>
      <c r="D483" s="324">
        <v>5</v>
      </c>
      <c r="E483" s="325">
        <v>7797</v>
      </c>
      <c r="F483" s="326"/>
      <c r="G483" s="327" t="str">
        <f>IFERROR(IF(ventas_b_mes4[[#This Row],[CUIT]]="","-",VLOOKUP(ventas_b_mes4[[#This Row],[CUIT]],Lista_CUIT[#All],2,0)),"CUIT NO CARGADO")</f>
        <v>-</v>
      </c>
      <c r="H483" s="328">
        <v>6859.5</v>
      </c>
      <c r="I483" s="329">
        <f>ventas_b_mes4[[#This Row],[IMPORTE NETO]]*0.21</f>
        <v>1440.4949999999999</v>
      </c>
      <c r="J483" s="330"/>
      <c r="K483" s="330"/>
      <c r="L483" s="330">
        <f>SUM(ventas_b_mes4[[#This Row],[IMPORTE NETO]:[EXENTO]])</f>
        <v>8299.994999999999</v>
      </c>
      <c r="M483" s="310"/>
    </row>
    <row r="484" spans="2:13" x14ac:dyDescent="0.25">
      <c r="B484" s="322">
        <v>45042</v>
      </c>
      <c r="C484" s="41">
        <v>6</v>
      </c>
      <c r="D484" s="324">
        <v>5</v>
      </c>
      <c r="E484" s="325">
        <v>7809</v>
      </c>
      <c r="F484" s="326"/>
      <c r="G484" s="327" t="str">
        <f>IFERROR(IF(ventas_b_mes4[[#This Row],[CUIT]]="","-",VLOOKUP(ventas_b_mes4[[#This Row],[CUIT]],Lista_CUIT[#All],2,0)),"CUIT NO CARGADO")</f>
        <v>-</v>
      </c>
      <c r="H484" s="328">
        <v>4958.68</v>
      </c>
      <c r="I484" s="329">
        <f>ventas_b_mes4[[#This Row],[IMPORTE NETO]]*0.21</f>
        <v>1041.3227999999999</v>
      </c>
      <c r="J484" s="330"/>
      <c r="K484" s="330"/>
      <c r="L484" s="330">
        <f>SUM(ventas_b_mes4[[#This Row],[IMPORTE NETO]:[EXENTO]])</f>
        <v>6000.0028000000002</v>
      </c>
      <c r="M484" s="310"/>
    </row>
    <row r="485" spans="2:13" x14ac:dyDescent="0.25">
      <c r="B485" s="322">
        <v>45042</v>
      </c>
      <c r="C485" s="41">
        <v>6</v>
      </c>
      <c r="D485" s="324">
        <v>5</v>
      </c>
      <c r="E485" s="325">
        <v>7801</v>
      </c>
      <c r="F485" s="326"/>
      <c r="G485" s="327" t="str">
        <f>IFERROR(IF(ventas_b_mes4[[#This Row],[CUIT]]="","-",VLOOKUP(ventas_b_mes4[[#This Row],[CUIT]],Lista_CUIT[#All],2,0)),"CUIT NO CARGADO")</f>
        <v>-</v>
      </c>
      <c r="H485" s="328">
        <v>1900.83</v>
      </c>
      <c r="I485" s="329">
        <f>ventas_b_mes4[[#This Row],[IMPORTE NETO]]*0.21</f>
        <v>399.17429999999996</v>
      </c>
      <c r="J485" s="330"/>
      <c r="K485" s="330"/>
      <c r="L485" s="330">
        <f>SUM(ventas_b_mes4[[#This Row],[IMPORTE NETO]:[EXENTO]])</f>
        <v>2300.0043000000001</v>
      </c>
      <c r="M485" s="310"/>
    </row>
    <row r="486" spans="2:13" x14ac:dyDescent="0.25">
      <c r="B486" s="322">
        <v>45042</v>
      </c>
      <c r="C486" s="41">
        <v>6</v>
      </c>
      <c r="D486" s="324">
        <v>5</v>
      </c>
      <c r="E486" s="325">
        <v>7810</v>
      </c>
      <c r="F486" s="326"/>
      <c r="G486" s="327" t="str">
        <f>IFERROR(IF(ventas_b_mes4[[#This Row],[CUIT]]="","-",VLOOKUP(ventas_b_mes4[[#This Row],[CUIT]],Lista_CUIT[#All],2,0)),"CUIT NO CARGADO")</f>
        <v>-</v>
      </c>
      <c r="H486" s="328">
        <v>7851.24</v>
      </c>
      <c r="I486" s="329">
        <f>ventas_b_mes4[[#This Row],[IMPORTE NETO]]*0.21</f>
        <v>1648.7603999999999</v>
      </c>
      <c r="J486" s="330"/>
      <c r="K486" s="330"/>
      <c r="L486" s="330">
        <f>SUM(ventas_b_mes4[[#This Row],[IMPORTE NETO]:[EXENTO]])</f>
        <v>9500.000399999999</v>
      </c>
      <c r="M486" s="310"/>
    </row>
    <row r="487" spans="2:13" x14ac:dyDescent="0.25">
      <c r="B487" s="322">
        <v>45042</v>
      </c>
      <c r="C487" s="41">
        <v>6</v>
      </c>
      <c r="D487" s="324">
        <v>5</v>
      </c>
      <c r="E487" s="325">
        <v>7808</v>
      </c>
      <c r="F487" s="326"/>
      <c r="G487" s="327" t="str">
        <f>IFERROR(IF(ventas_b_mes4[[#This Row],[CUIT]]="","-",VLOOKUP(ventas_b_mes4[[#This Row],[CUIT]],Lista_CUIT[#All],2,0)),"CUIT NO CARGADO")</f>
        <v>-</v>
      </c>
      <c r="H487" s="328">
        <v>5619.83</v>
      </c>
      <c r="I487" s="329">
        <f>ventas_b_mes4[[#This Row],[IMPORTE NETO]]*0.21</f>
        <v>1180.1642999999999</v>
      </c>
      <c r="J487" s="330"/>
      <c r="K487" s="330"/>
      <c r="L487" s="330">
        <f>SUM(ventas_b_mes4[[#This Row],[IMPORTE NETO]:[EXENTO]])</f>
        <v>6799.9943000000003</v>
      </c>
      <c r="M487" s="310"/>
    </row>
    <row r="488" spans="2:13" x14ac:dyDescent="0.25">
      <c r="B488" s="322">
        <v>45042</v>
      </c>
      <c r="C488" s="41">
        <v>6</v>
      </c>
      <c r="D488" s="324">
        <v>5</v>
      </c>
      <c r="E488" s="325">
        <v>7812</v>
      </c>
      <c r="F488" s="326"/>
      <c r="G488" s="327" t="str">
        <f>IFERROR(IF(ventas_b_mes4[[#This Row],[CUIT]]="","-",VLOOKUP(ventas_b_mes4[[#This Row],[CUIT]],Lista_CUIT[#All],2,0)),"CUIT NO CARGADO")</f>
        <v>-</v>
      </c>
      <c r="H488" s="328">
        <v>1239.67</v>
      </c>
      <c r="I488" s="329">
        <f>ventas_b_mes4[[#This Row],[IMPORTE NETO]]*0.21</f>
        <v>260.33069999999998</v>
      </c>
      <c r="J488" s="330"/>
      <c r="K488" s="330"/>
      <c r="L488" s="330">
        <f>SUM(ventas_b_mes4[[#This Row],[IMPORTE NETO]:[EXENTO]])</f>
        <v>1500.0007000000001</v>
      </c>
      <c r="M488" s="310"/>
    </row>
    <row r="489" spans="2:13" x14ac:dyDescent="0.25">
      <c r="B489" s="322">
        <v>45042</v>
      </c>
      <c r="C489" s="41">
        <v>6</v>
      </c>
      <c r="D489" s="324">
        <v>5</v>
      </c>
      <c r="E489" s="325">
        <v>7806</v>
      </c>
      <c r="F489" s="326"/>
      <c r="G489" s="327" t="str">
        <f>IFERROR(IF(ventas_b_mes4[[#This Row],[CUIT]]="","-",VLOOKUP(ventas_b_mes4[[#This Row],[CUIT]],Lista_CUIT[#All],2,0)),"CUIT NO CARGADO")</f>
        <v>-</v>
      </c>
      <c r="H489" s="328">
        <v>1157.02</v>
      </c>
      <c r="I489" s="329">
        <f>ventas_b_mes4[[#This Row],[IMPORTE NETO]]*0.21</f>
        <v>242.9742</v>
      </c>
      <c r="J489" s="330"/>
      <c r="K489" s="330"/>
      <c r="L489" s="330">
        <f>SUM(ventas_b_mes4[[#This Row],[IMPORTE NETO]:[EXENTO]])</f>
        <v>1399.9942000000001</v>
      </c>
      <c r="M489" s="310"/>
    </row>
    <row r="490" spans="2:13" x14ac:dyDescent="0.25">
      <c r="B490" s="322">
        <v>45042</v>
      </c>
      <c r="C490" s="41">
        <v>6</v>
      </c>
      <c r="D490" s="324">
        <v>5</v>
      </c>
      <c r="E490" s="325">
        <v>7798</v>
      </c>
      <c r="F490" s="326"/>
      <c r="G490" s="327" t="str">
        <f>IFERROR(IF(ventas_b_mes4[[#This Row],[CUIT]]="","-",VLOOKUP(ventas_b_mes4[[#This Row],[CUIT]],Lista_CUIT[#All],2,0)),"CUIT NO CARGADO")</f>
        <v>-</v>
      </c>
      <c r="H490" s="328">
        <v>7603.31</v>
      </c>
      <c r="I490" s="329">
        <f>ventas_b_mes4[[#This Row],[IMPORTE NETO]]*0.21</f>
        <v>1596.6950999999999</v>
      </c>
      <c r="J490" s="330"/>
      <c r="K490" s="330"/>
      <c r="L490" s="330">
        <f>SUM(ventas_b_mes4[[#This Row],[IMPORTE NETO]:[EXENTO]])</f>
        <v>9200.0051000000003</v>
      </c>
      <c r="M490" s="310"/>
    </row>
    <row r="491" spans="2:13" x14ac:dyDescent="0.25">
      <c r="B491" s="322">
        <v>45042</v>
      </c>
      <c r="C491" s="41">
        <v>6</v>
      </c>
      <c r="D491" s="324">
        <v>5</v>
      </c>
      <c r="E491" s="325">
        <v>7803</v>
      </c>
      <c r="F491" s="326"/>
      <c r="G491" s="327" t="str">
        <f>IFERROR(IF(ventas_b_mes4[[#This Row],[CUIT]]="","-",VLOOKUP(ventas_b_mes4[[#This Row],[CUIT]],Lista_CUIT[#All],2,0)),"CUIT NO CARGADO")</f>
        <v>-</v>
      </c>
      <c r="H491" s="328">
        <v>7438.02</v>
      </c>
      <c r="I491" s="329">
        <f>ventas_b_mes4[[#This Row],[IMPORTE NETO]]*0.21</f>
        <v>1561.9842000000001</v>
      </c>
      <c r="J491" s="330"/>
      <c r="K491" s="330"/>
      <c r="L491" s="330">
        <f>SUM(ventas_b_mes4[[#This Row],[IMPORTE NETO]:[EXENTO]])</f>
        <v>9000.0042000000012</v>
      </c>
      <c r="M491" s="310"/>
    </row>
    <row r="492" spans="2:13" x14ac:dyDescent="0.25">
      <c r="B492" s="322">
        <v>45042</v>
      </c>
      <c r="C492" s="41">
        <v>6</v>
      </c>
      <c r="D492" s="324">
        <v>5</v>
      </c>
      <c r="E492" s="325">
        <v>7811</v>
      </c>
      <c r="F492" s="326"/>
      <c r="G492" s="327" t="str">
        <f>IFERROR(IF(ventas_b_mes4[[#This Row],[CUIT]]="","-",VLOOKUP(ventas_b_mes4[[#This Row],[CUIT]],Lista_CUIT[#All],2,0)),"CUIT NO CARGADO")</f>
        <v>-</v>
      </c>
      <c r="H492" s="328">
        <v>9752.07</v>
      </c>
      <c r="I492" s="329">
        <f>ventas_b_mes4[[#This Row],[IMPORTE NETO]]*0.21</f>
        <v>2047.9346999999998</v>
      </c>
      <c r="J492" s="330"/>
      <c r="K492" s="330"/>
      <c r="L492" s="330">
        <f>SUM(ventas_b_mes4[[#This Row],[IMPORTE NETO]:[EXENTO]])</f>
        <v>11800.0047</v>
      </c>
      <c r="M492" s="310"/>
    </row>
    <row r="493" spans="2:13" x14ac:dyDescent="0.25">
      <c r="B493" s="322">
        <v>45042</v>
      </c>
      <c r="C493" s="41">
        <v>6</v>
      </c>
      <c r="D493" s="324">
        <v>5</v>
      </c>
      <c r="E493" s="325">
        <v>7804</v>
      </c>
      <c r="F493" s="326"/>
      <c r="G493" s="327" t="str">
        <f>IFERROR(IF(ventas_b_mes4[[#This Row],[CUIT]]="","-",VLOOKUP(ventas_b_mes4[[#This Row],[CUIT]],Lista_CUIT[#All],2,0)),"CUIT NO CARGADO")</f>
        <v>-</v>
      </c>
      <c r="H493" s="328">
        <v>6528.93</v>
      </c>
      <c r="I493" s="329">
        <f>ventas_b_mes4[[#This Row],[IMPORTE NETO]]*0.21</f>
        <v>1371.0753</v>
      </c>
      <c r="J493" s="330"/>
      <c r="K493" s="330"/>
      <c r="L493" s="330">
        <f>SUM(ventas_b_mes4[[#This Row],[IMPORTE NETO]:[EXENTO]])</f>
        <v>7900.0053000000007</v>
      </c>
      <c r="M493" s="310"/>
    </row>
    <row r="494" spans="2:13" x14ac:dyDescent="0.25">
      <c r="B494" s="322">
        <v>45042</v>
      </c>
      <c r="C494" s="41">
        <v>6</v>
      </c>
      <c r="D494" s="324">
        <v>5</v>
      </c>
      <c r="E494" s="325">
        <v>7807</v>
      </c>
      <c r="F494" s="326"/>
      <c r="G494" s="327" t="str">
        <f>IFERROR(IF(ventas_b_mes4[[#This Row],[CUIT]]="","-",VLOOKUP(ventas_b_mes4[[#This Row],[CUIT]],Lista_CUIT[#All],2,0)),"CUIT NO CARGADO")</f>
        <v>-</v>
      </c>
      <c r="H494" s="328">
        <v>2231.4</v>
      </c>
      <c r="I494" s="329">
        <f>ventas_b_mes4[[#This Row],[IMPORTE NETO]]*0.21</f>
        <v>468.59399999999999</v>
      </c>
      <c r="J494" s="330"/>
      <c r="K494" s="330"/>
      <c r="L494" s="330">
        <f>SUM(ventas_b_mes4[[#This Row],[IMPORTE NETO]:[EXENTO]])</f>
        <v>2699.9940000000001</v>
      </c>
      <c r="M494" s="310"/>
    </row>
    <row r="495" spans="2:13" x14ac:dyDescent="0.25">
      <c r="B495" s="322">
        <v>45042</v>
      </c>
      <c r="C495" s="41">
        <v>6</v>
      </c>
      <c r="D495" s="324">
        <v>5</v>
      </c>
      <c r="E495" s="325">
        <v>7802</v>
      </c>
      <c r="F495" s="326"/>
      <c r="G495" s="327" t="str">
        <f>IFERROR(IF(ventas_b_mes4[[#This Row],[CUIT]]="","-",VLOOKUP(ventas_b_mes4[[#This Row],[CUIT]],Lista_CUIT[#All],2,0)),"CUIT NO CARGADO")</f>
        <v>-</v>
      </c>
      <c r="H495" s="328">
        <v>6198.35</v>
      </c>
      <c r="I495" s="329">
        <f>ventas_b_mes4[[#This Row],[IMPORTE NETO]]*0.21</f>
        <v>1301.6535000000001</v>
      </c>
      <c r="J495" s="330"/>
      <c r="K495" s="330"/>
      <c r="L495" s="330">
        <f>SUM(ventas_b_mes4[[#This Row],[IMPORTE NETO]:[EXENTO]])</f>
        <v>7500.0035000000007</v>
      </c>
      <c r="M495" s="310"/>
    </row>
    <row r="496" spans="2:13" x14ac:dyDescent="0.25">
      <c r="B496" s="322">
        <v>45043</v>
      </c>
      <c r="C496" s="41">
        <v>6</v>
      </c>
      <c r="D496" s="324">
        <v>7</v>
      </c>
      <c r="E496" s="325">
        <v>4308</v>
      </c>
      <c r="F496" s="326"/>
      <c r="G496" s="327" t="str">
        <f>IFERROR(IF(ventas_b_mes4[[#This Row],[CUIT]]="","-",VLOOKUP(ventas_b_mes4[[#This Row],[CUIT]],Lista_CUIT[#All],2,0)),"CUIT NO CARGADO")</f>
        <v>-</v>
      </c>
      <c r="H496" s="328">
        <v>4132.2299999999996</v>
      </c>
      <c r="I496" s="329">
        <f>ventas_b_mes4[[#This Row],[IMPORTE NETO]]*0.21</f>
        <v>867.76829999999984</v>
      </c>
      <c r="J496" s="330"/>
      <c r="K496" s="330"/>
      <c r="L496" s="330">
        <f>SUM(ventas_b_mes4[[#This Row],[IMPORTE NETO]:[EXENTO]])</f>
        <v>4999.9982999999993</v>
      </c>
      <c r="M496" s="310"/>
    </row>
    <row r="497" spans="2:13" x14ac:dyDescent="0.25">
      <c r="B497" s="322">
        <v>45043</v>
      </c>
      <c r="C497" s="41">
        <v>6</v>
      </c>
      <c r="D497" s="324">
        <v>7</v>
      </c>
      <c r="E497" s="325">
        <v>4306</v>
      </c>
      <c r="F497" s="326"/>
      <c r="G497" s="327" t="str">
        <f>IFERROR(IF(ventas_b_mes4[[#This Row],[CUIT]]="","-",VLOOKUP(ventas_b_mes4[[#This Row],[CUIT]],Lista_CUIT[#All],2,0)),"CUIT NO CARGADO")</f>
        <v>-</v>
      </c>
      <c r="H497" s="328">
        <v>5785.12</v>
      </c>
      <c r="I497" s="329">
        <f>ventas_b_mes4[[#This Row],[IMPORTE NETO]]*0.21</f>
        <v>1214.8751999999999</v>
      </c>
      <c r="J497" s="330"/>
      <c r="K497" s="330"/>
      <c r="L497" s="330">
        <f>SUM(ventas_b_mes4[[#This Row],[IMPORTE NETO]:[EXENTO]])</f>
        <v>6999.9951999999994</v>
      </c>
      <c r="M497" s="310"/>
    </row>
    <row r="498" spans="2:13" x14ac:dyDescent="0.25">
      <c r="B498" s="322">
        <v>45043</v>
      </c>
      <c r="C498" s="41">
        <v>6</v>
      </c>
      <c r="D498" s="324">
        <v>7</v>
      </c>
      <c r="E498" s="325">
        <v>4304</v>
      </c>
      <c r="F498" s="326"/>
      <c r="G498" s="327" t="str">
        <f>IFERROR(IF(ventas_b_mes4[[#This Row],[CUIT]]="","-",VLOOKUP(ventas_b_mes4[[#This Row],[CUIT]],Lista_CUIT[#All],2,0)),"CUIT NO CARGADO")</f>
        <v>-</v>
      </c>
      <c r="H498" s="328">
        <v>9090.91</v>
      </c>
      <c r="I498" s="329">
        <f>ventas_b_mes4[[#This Row],[IMPORTE NETO]]*0.21</f>
        <v>1909.0910999999999</v>
      </c>
      <c r="J498" s="330"/>
      <c r="K498" s="330"/>
      <c r="L498" s="330">
        <f>SUM(ventas_b_mes4[[#This Row],[IMPORTE NETO]:[EXENTO]])</f>
        <v>11000.001099999999</v>
      </c>
      <c r="M498" s="310"/>
    </row>
    <row r="499" spans="2:13" x14ac:dyDescent="0.25">
      <c r="B499" s="322">
        <v>45043</v>
      </c>
      <c r="C499" s="41">
        <v>6</v>
      </c>
      <c r="D499" s="324">
        <v>7</v>
      </c>
      <c r="E499" s="325">
        <v>4305</v>
      </c>
      <c r="F499" s="326"/>
      <c r="G499" s="327" t="str">
        <f>IFERROR(IF(ventas_b_mes4[[#This Row],[CUIT]]="","-",VLOOKUP(ventas_b_mes4[[#This Row],[CUIT]],Lista_CUIT[#All],2,0)),"CUIT NO CARGADO")</f>
        <v>-</v>
      </c>
      <c r="H499" s="328">
        <v>11107.44</v>
      </c>
      <c r="I499" s="329">
        <f>ventas_b_mes4[[#This Row],[IMPORTE NETO]]*0.21</f>
        <v>2332.5623999999998</v>
      </c>
      <c r="J499" s="330"/>
      <c r="K499" s="330"/>
      <c r="L499" s="330">
        <f>SUM(ventas_b_mes4[[#This Row],[IMPORTE NETO]:[EXENTO]])</f>
        <v>13440.002400000001</v>
      </c>
      <c r="M499" s="310"/>
    </row>
    <row r="500" spans="2:13" x14ac:dyDescent="0.25">
      <c r="B500" s="322">
        <v>45043</v>
      </c>
      <c r="C500" s="41">
        <v>6</v>
      </c>
      <c r="D500" s="324">
        <v>7</v>
      </c>
      <c r="E500" s="325">
        <v>4301</v>
      </c>
      <c r="F500" s="326"/>
      <c r="G500" s="327" t="str">
        <f>IFERROR(IF(ventas_b_mes4[[#This Row],[CUIT]]="","-",VLOOKUP(ventas_b_mes4[[#This Row],[CUIT]],Lista_CUIT[#All],2,0)),"CUIT NO CARGADO")</f>
        <v>-</v>
      </c>
      <c r="H500" s="328">
        <v>3966.94</v>
      </c>
      <c r="I500" s="329">
        <f>ventas_b_mes4[[#This Row],[IMPORTE NETO]]*0.21</f>
        <v>833.05740000000003</v>
      </c>
      <c r="J500" s="330"/>
      <c r="K500" s="330"/>
      <c r="L500" s="330">
        <f>SUM(ventas_b_mes4[[#This Row],[IMPORTE NETO]:[EXENTO]])</f>
        <v>4799.9974000000002</v>
      </c>
      <c r="M500" s="310"/>
    </row>
    <row r="501" spans="2:13" x14ac:dyDescent="0.25">
      <c r="B501" s="322">
        <v>45043</v>
      </c>
      <c r="C501" s="41">
        <v>6</v>
      </c>
      <c r="D501" s="324">
        <v>5</v>
      </c>
      <c r="E501" s="325">
        <v>7816</v>
      </c>
      <c r="F501" s="326"/>
      <c r="G501" s="327" t="str">
        <f>IFERROR(IF(ventas_b_mes4[[#This Row],[CUIT]]="","-",VLOOKUP(ventas_b_mes4[[#This Row],[CUIT]],Lista_CUIT[#All],2,0)),"CUIT NO CARGADO")</f>
        <v>-</v>
      </c>
      <c r="H501" s="328">
        <v>11570.25</v>
      </c>
      <c r="I501" s="329">
        <f>ventas_b_mes4[[#This Row],[IMPORTE NETO]]*0.21</f>
        <v>2429.7525000000001</v>
      </c>
      <c r="J501" s="330"/>
      <c r="K501" s="330"/>
      <c r="L501" s="330">
        <f>SUM(ventas_b_mes4[[#This Row],[IMPORTE NETO]:[EXENTO]])</f>
        <v>14000.002500000001</v>
      </c>
      <c r="M501" s="310"/>
    </row>
    <row r="502" spans="2:13" x14ac:dyDescent="0.25">
      <c r="B502" s="322">
        <v>45043</v>
      </c>
      <c r="C502" s="41">
        <v>6</v>
      </c>
      <c r="D502" s="324">
        <v>7</v>
      </c>
      <c r="E502" s="325">
        <v>4303</v>
      </c>
      <c r="F502" s="326"/>
      <c r="G502" s="327" t="str">
        <f>IFERROR(IF(ventas_b_mes4[[#This Row],[CUIT]]="","-",VLOOKUP(ventas_b_mes4[[#This Row],[CUIT]],Lista_CUIT[#All],2,0)),"CUIT NO CARGADO")</f>
        <v>-</v>
      </c>
      <c r="H502" s="328">
        <v>6446.28</v>
      </c>
      <c r="I502" s="329">
        <f>ventas_b_mes4[[#This Row],[IMPORTE NETO]]*0.21</f>
        <v>1353.7187999999999</v>
      </c>
      <c r="J502" s="330"/>
      <c r="K502" s="330"/>
      <c r="L502" s="330">
        <f>SUM(ventas_b_mes4[[#This Row],[IMPORTE NETO]:[EXENTO]])</f>
        <v>7799.9987999999994</v>
      </c>
      <c r="M502" s="310"/>
    </row>
    <row r="503" spans="2:13" x14ac:dyDescent="0.25">
      <c r="B503" s="322">
        <v>45043</v>
      </c>
      <c r="C503" s="41">
        <v>6</v>
      </c>
      <c r="D503" s="324">
        <v>5</v>
      </c>
      <c r="E503" s="325">
        <v>7814</v>
      </c>
      <c r="F503" s="326"/>
      <c r="G503" s="327" t="str">
        <f>IFERROR(IF(ventas_b_mes4[[#This Row],[CUIT]]="","-",VLOOKUP(ventas_b_mes4[[#This Row],[CUIT]],Lista_CUIT[#All],2,0)),"CUIT NO CARGADO")</f>
        <v>-</v>
      </c>
      <c r="H503" s="328">
        <v>15702.48</v>
      </c>
      <c r="I503" s="329">
        <f>ventas_b_mes4[[#This Row],[IMPORTE NETO]]*0.21</f>
        <v>3297.5207999999998</v>
      </c>
      <c r="J503" s="330"/>
      <c r="K503" s="330"/>
      <c r="L503" s="330">
        <f>SUM(ventas_b_mes4[[#This Row],[IMPORTE NETO]:[EXENTO]])</f>
        <v>19000.000799999998</v>
      </c>
      <c r="M503" s="310"/>
    </row>
    <row r="504" spans="2:13" x14ac:dyDescent="0.25">
      <c r="B504" s="322">
        <v>45043</v>
      </c>
      <c r="C504" s="41">
        <v>6</v>
      </c>
      <c r="D504" s="324">
        <v>5</v>
      </c>
      <c r="E504" s="325">
        <v>7819</v>
      </c>
      <c r="F504" s="326"/>
      <c r="G504" s="327" t="str">
        <f>IFERROR(IF(ventas_b_mes4[[#This Row],[CUIT]]="","-",VLOOKUP(ventas_b_mes4[[#This Row],[CUIT]],Lista_CUIT[#All],2,0)),"CUIT NO CARGADO")</f>
        <v>-</v>
      </c>
      <c r="H504" s="328">
        <v>5619.83</v>
      </c>
      <c r="I504" s="329">
        <f>ventas_b_mes4[[#This Row],[IMPORTE NETO]]*0.21</f>
        <v>1180.1642999999999</v>
      </c>
      <c r="J504" s="330"/>
      <c r="K504" s="330"/>
      <c r="L504" s="330">
        <f>SUM(ventas_b_mes4[[#This Row],[IMPORTE NETO]:[EXENTO]])</f>
        <v>6799.9943000000003</v>
      </c>
      <c r="M504" s="310"/>
    </row>
    <row r="505" spans="2:13" x14ac:dyDescent="0.25">
      <c r="B505" s="322">
        <v>45043</v>
      </c>
      <c r="C505" s="41">
        <v>6</v>
      </c>
      <c r="D505" s="324">
        <v>7</v>
      </c>
      <c r="E505" s="325">
        <v>4300</v>
      </c>
      <c r="F505" s="326"/>
      <c r="G505" s="327" t="str">
        <f>IFERROR(IF(ventas_b_mes4[[#This Row],[CUIT]]="","-",VLOOKUP(ventas_b_mes4[[#This Row],[CUIT]],Lista_CUIT[#All],2,0)),"CUIT NO CARGADO")</f>
        <v>-</v>
      </c>
      <c r="H505" s="328">
        <v>4132.2299999999996</v>
      </c>
      <c r="I505" s="329">
        <f>ventas_b_mes4[[#This Row],[IMPORTE NETO]]*0.21</f>
        <v>867.76829999999984</v>
      </c>
      <c r="J505" s="330"/>
      <c r="K505" s="330"/>
      <c r="L505" s="330">
        <f>SUM(ventas_b_mes4[[#This Row],[IMPORTE NETO]:[EXENTO]])</f>
        <v>4999.9982999999993</v>
      </c>
      <c r="M505" s="310"/>
    </row>
    <row r="506" spans="2:13" x14ac:dyDescent="0.25">
      <c r="B506" s="322">
        <v>45043</v>
      </c>
      <c r="C506" s="41">
        <v>6</v>
      </c>
      <c r="D506" s="324">
        <v>7</v>
      </c>
      <c r="E506" s="325">
        <v>4307</v>
      </c>
      <c r="F506" s="326"/>
      <c r="G506" s="327" t="str">
        <f>IFERROR(IF(ventas_b_mes4[[#This Row],[CUIT]]="","-",VLOOKUP(ventas_b_mes4[[#This Row],[CUIT]],Lista_CUIT[#All],2,0)),"CUIT NO CARGADO")</f>
        <v>-</v>
      </c>
      <c r="H506" s="328">
        <v>4049.58</v>
      </c>
      <c r="I506" s="329">
        <f>ventas_b_mes4[[#This Row],[IMPORTE NETO]]*0.21</f>
        <v>850.41179999999997</v>
      </c>
      <c r="J506" s="330"/>
      <c r="K506" s="330"/>
      <c r="L506" s="330">
        <f>SUM(ventas_b_mes4[[#This Row],[IMPORTE NETO]:[EXENTO]])</f>
        <v>4899.9917999999998</v>
      </c>
      <c r="M506" s="310"/>
    </row>
    <row r="507" spans="2:13" x14ac:dyDescent="0.25">
      <c r="B507" s="322">
        <v>45043</v>
      </c>
      <c r="C507" s="41">
        <v>6</v>
      </c>
      <c r="D507" s="324">
        <v>5</v>
      </c>
      <c r="E507" s="325">
        <v>7813</v>
      </c>
      <c r="F507" s="326"/>
      <c r="G507" s="327" t="str">
        <f>IFERROR(IF(ventas_b_mes4[[#This Row],[CUIT]]="","-",VLOOKUP(ventas_b_mes4[[#This Row],[CUIT]],Lista_CUIT[#All],2,0)),"CUIT NO CARGADO")</f>
        <v>-</v>
      </c>
      <c r="H507" s="328">
        <v>18181.82</v>
      </c>
      <c r="I507" s="329">
        <f>ventas_b_mes4[[#This Row],[IMPORTE NETO]]*0.21</f>
        <v>3818.1821999999997</v>
      </c>
      <c r="J507" s="330"/>
      <c r="K507" s="330"/>
      <c r="L507" s="330">
        <f>SUM(ventas_b_mes4[[#This Row],[IMPORTE NETO]:[EXENTO]])</f>
        <v>22000.002199999999</v>
      </c>
      <c r="M507" s="310"/>
    </row>
    <row r="508" spans="2:13" x14ac:dyDescent="0.25">
      <c r="B508" s="322">
        <v>45043</v>
      </c>
      <c r="C508" s="41">
        <v>6</v>
      </c>
      <c r="D508" s="324">
        <v>7</v>
      </c>
      <c r="E508" s="325">
        <v>4302</v>
      </c>
      <c r="F508" s="326"/>
      <c r="G508" s="327" t="str">
        <f>IFERROR(IF(ventas_b_mes4[[#This Row],[CUIT]]="","-",VLOOKUP(ventas_b_mes4[[#This Row],[CUIT]],Lista_CUIT[#All],2,0)),"CUIT NO CARGADO")</f>
        <v>-</v>
      </c>
      <c r="H508" s="328">
        <v>5702.48</v>
      </c>
      <c r="I508" s="329">
        <f>ventas_b_mes4[[#This Row],[IMPORTE NETO]]*0.21</f>
        <v>1197.5207999999998</v>
      </c>
      <c r="J508" s="330"/>
      <c r="K508" s="330"/>
      <c r="L508" s="330">
        <f>SUM(ventas_b_mes4[[#This Row],[IMPORTE NETO]:[EXENTO]])</f>
        <v>6900.0007999999998</v>
      </c>
      <c r="M508" s="310"/>
    </row>
    <row r="509" spans="2:13" x14ac:dyDescent="0.25">
      <c r="B509" s="322">
        <v>45043</v>
      </c>
      <c r="C509" s="41">
        <v>6</v>
      </c>
      <c r="D509" s="324">
        <v>5</v>
      </c>
      <c r="E509" s="325">
        <v>7815</v>
      </c>
      <c r="F509" s="326"/>
      <c r="G509" s="327" t="str">
        <f>IFERROR(IF(ventas_b_mes4[[#This Row],[CUIT]]="","-",VLOOKUP(ventas_b_mes4[[#This Row],[CUIT]],Lista_CUIT[#All],2,0)),"CUIT NO CARGADO")</f>
        <v>-</v>
      </c>
      <c r="H509" s="328">
        <v>2644.63</v>
      </c>
      <c r="I509" s="329">
        <f>ventas_b_mes4[[#This Row],[IMPORTE NETO]]*0.21</f>
        <v>555.3723</v>
      </c>
      <c r="J509" s="330"/>
      <c r="K509" s="330"/>
      <c r="L509" s="330">
        <f>SUM(ventas_b_mes4[[#This Row],[IMPORTE NETO]:[EXENTO]])</f>
        <v>3200.0023000000001</v>
      </c>
      <c r="M509" s="310"/>
    </row>
    <row r="510" spans="2:13" x14ac:dyDescent="0.25">
      <c r="B510" s="322">
        <v>45043</v>
      </c>
      <c r="C510" s="41">
        <v>6</v>
      </c>
      <c r="D510" s="324">
        <v>7</v>
      </c>
      <c r="E510" s="325">
        <v>4299</v>
      </c>
      <c r="F510" s="326"/>
      <c r="G510" s="327" t="str">
        <f>IFERROR(IF(ventas_b_mes4[[#This Row],[CUIT]]="","-",VLOOKUP(ventas_b_mes4[[#This Row],[CUIT]],Lista_CUIT[#All],2,0)),"CUIT NO CARGADO")</f>
        <v>-</v>
      </c>
      <c r="H510" s="328">
        <v>3223.14</v>
      </c>
      <c r="I510" s="329">
        <f>ventas_b_mes4[[#This Row],[IMPORTE NETO]]*0.21</f>
        <v>676.85939999999994</v>
      </c>
      <c r="J510" s="330"/>
      <c r="K510" s="330"/>
      <c r="L510" s="330">
        <f>SUM(ventas_b_mes4[[#This Row],[IMPORTE NETO]:[EXENTO]])</f>
        <v>3899.9993999999997</v>
      </c>
      <c r="M510" s="310"/>
    </row>
    <row r="511" spans="2:13" x14ac:dyDescent="0.25">
      <c r="B511" s="322">
        <v>45043</v>
      </c>
      <c r="C511" s="41">
        <v>6</v>
      </c>
      <c r="D511" s="324">
        <v>5</v>
      </c>
      <c r="E511" s="325">
        <v>7818</v>
      </c>
      <c r="F511" s="326"/>
      <c r="G511" s="327" t="str">
        <f>IFERROR(IF(ventas_b_mes4[[#This Row],[CUIT]]="","-",VLOOKUP(ventas_b_mes4[[#This Row],[CUIT]],Lista_CUIT[#All],2,0)),"CUIT NO CARGADO")</f>
        <v>-</v>
      </c>
      <c r="H511" s="328">
        <v>7768.6</v>
      </c>
      <c r="I511" s="329">
        <f>ventas_b_mes4[[#This Row],[IMPORTE NETO]]*0.21</f>
        <v>1631.4059999999999</v>
      </c>
      <c r="J511" s="330"/>
      <c r="K511" s="330"/>
      <c r="L511" s="330">
        <f>SUM(ventas_b_mes4[[#This Row],[IMPORTE NETO]:[EXENTO]])</f>
        <v>9400.0060000000012</v>
      </c>
      <c r="M511" s="310"/>
    </row>
    <row r="512" spans="2:13" x14ac:dyDescent="0.25">
      <c r="B512" s="322">
        <v>45043</v>
      </c>
      <c r="C512" s="41">
        <v>6</v>
      </c>
      <c r="D512" s="324">
        <v>5</v>
      </c>
      <c r="E512" s="325">
        <v>7817</v>
      </c>
      <c r="F512" s="326"/>
      <c r="G512" s="327" t="str">
        <f>IFERROR(IF(ventas_b_mes4[[#This Row],[CUIT]]="","-",VLOOKUP(ventas_b_mes4[[#This Row],[CUIT]],Lista_CUIT[#All],2,0)),"CUIT NO CARGADO")</f>
        <v>-</v>
      </c>
      <c r="H512" s="328">
        <v>5619.83</v>
      </c>
      <c r="I512" s="329">
        <f>ventas_b_mes4[[#This Row],[IMPORTE NETO]]*0.21</f>
        <v>1180.1642999999999</v>
      </c>
      <c r="J512" s="330"/>
      <c r="K512" s="330"/>
      <c r="L512" s="330">
        <f>SUM(ventas_b_mes4[[#This Row],[IMPORTE NETO]:[EXENTO]])</f>
        <v>6799.9943000000003</v>
      </c>
      <c r="M512" s="310"/>
    </row>
    <row r="513" spans="2:13" x14ac:dyDescent="0.25">
      <c r="B513" s="322">
        <v>45044</v>
      </c>
      <c r="C513" s="41">
        <v>6</v>
      </c>
      <c r="D513" s="324">
        <v>5</v>
      </c>
      <c r="E513" s="325">
        <v>7823</v>
      </c>
      <c r="F513" s="326"/>
      <c r="G513" s="327" t="str">
        <f>IFERROR(IF(ventas_b_mes4[[#This Row],[CUIT]]="","-",VLOOKUP(ventas_b_mes4[[#This Row],[CUIT]],Lista_CUIT[#All],2,0)),"CUIT NO CARGADO")</f>
        <v>-</v>
      </c>
      <c r="H513" s="328">
        <v>3884.3</v>
      </c>
      <c r="I513" s="329">
        <f>ventas_b_mes4[[#This Row],[IMPORTE NETO]]*0.21</f>
        <v>815.70299999999997</v>
      </c>
      <c r="J513" s="330"/>
      <c r="K513" s="330"/>
      <c r="L513" s="330">
        <f>SUM(ventas_b_mes4[[#This Row],[IMPORTE NETO]:[EXENTO]])</f>
        <v>4700.0030000000006</v>
      </c>
      <c r="M513" s="310"/>
    </row>
    <row r="514" spans="2:13" x14ac:dyDescent="0.25">
      <c r="B514" s="322">
        <v>45044</v>
      </c>
      <c r="C514" s="41">
        <v>6</v>
      </c>
      <c r="D514" s="324">
        <v>5</v>
      </c>
      <c r="E514" s="325">
        <v>7824</v>
      </c>
      <c r="F514" s="326"/>
      <c r="G514" s="327" t="str">
        <f>IFERROR(IF(ventas_b_mes4[[#This Row],[CUIT]]="","-",VLOOKUP(ventas_b_mes4[[#This Row],[CUIT]],Lista_CUIT[#All],2,0)),"CUIT NO CARGADO")</f>
        <v>-</v>
      </c>
      <c r="H514" s="328">
        <v>8264.4599999999991</v>
      </c>
      <c r="I514" s="329">
        <f>ventas_b_mes4[[#This Row],[IMPORTE NETO]]*0.21</f>
        <v>1735.5365999999997</v>
      </c>
      <c r="J514" s="330"/>
      <c r="K514" s="330"/>
      <c r="L514" s="330">
        <f>SUM(ventas_b_mes4[[#This Row],[IMPORTE NETO]:[EXENTO]])</f>
        <v>9999.9965999999986</v>
      </c>
      <c r="M514" s="310"/>
    </row>
    <row r="515" spans="2:13" x14ac:dyDescent="0.25">
      <c r="B515" s="322">
        <v>45044</v>
      </c>
      <c r="C515" s="41">
        <v>6</v>
      </c>
      <c r="D515" s="324">
        <v>5</v>
      </c>
      <c r="E515" s="325">
        <v>7821</v>
      </c>
      <c r="F515" s="326"/>
      <c r="G515" s="327" t="str">
        <f>IFERROR(IF(ventas_b_mes4[[#This Row],[CUIT]]="","-",VLOOKUP(ventas_b_mes4[[#This Row],[CUIT]],Lista_CUIT[#All],2,0)),"CUIT NO CARGADO")</f>
        <v>-</v>
      </c>
      <c r="H515" s="328">
        <v>5371.9</v>
      </c>
      <c r="I515" s="329">
        <f>ventas_b_mes4[[#This Row],[IMPORTE NETO]]*0.21</f>
        <v>1128.0989999999999</v>
      </c>
      <c r="J515" s="330"/>
      <c r="K515" s="330"/>
      <c r="L515" s="330">
        <f>SUM(ventas_b_mes4[[#This Row],[IMPORTE NETO]:[EXENTO]])</f>
        <v>6499.9989999999998</v>
      </c>
      <c r="M515" s="310"/>
    </row>
    <row r="516" spans="2:13" x14ac:dyDescent="0.25">
      <c r="B516" s="322">
        <v>45044</v>
      </c>
      <c r="C516" s="41">
        <v>6</v>
      </c>
      <c r="D516" s="324">
        <v>5</v>
      </c>
      <c r="E516" s="325">
        <v>7820</v>
      </c>
      <c r="F516" s="326"/>
      <c r="G516" s="327" t="str">
        <f>IFERROR(IF(ventas_b_mes4[[#This Row],[CUIT]]="","-",VLOOKUP(ventas_b_mes4[[#This Row],[CUIT]],Lista_CUIT[#All],2,0)),"CUIT NO CARGADO")</f>
        <v>-</v>
      </c>
      <c r="H516" s="328">
        <v>1239.67</v>
      </c>
      <c r="I516" s="329">
        <f>ventas_b_mes4[[#This Row],[IMPORTE NETO]]*0.21</f>
        <v>260.33069999999998</v>
      </c>
      <c r="J516" s="330"/>
      <c r="K516" s="330"/>
      <c r="L516" s="330">
        <f>SUM(ventas_b_mes4[[#This Row],[IMPORTE NETO]:[EXENTO]])</f>
        <v>1500.0007000000001</v>
      </c>
      <c r="M516" s="310"/>
    </row>
    <row r="517" spans="2:13" x14ac:dyDescent="0.25">
      <c r="B517" s="322">
        <v>45044</v>
      </c>
      <c r="C517" s="41">
        <v>6</v>
      </c>
      <c r="D517" s="324">
        <v>5</v>
      </c>
      <c r="E517" s="325">
        <v>7822</v>
      </c>
      <c r="F517" s="326"/>
      <c r="G517" s="327" t="str">
        <f>IFERROR(IF(ventas_b_mes4[[#This Row],[CUIT]]="","-",VLOOKUP(ventas_b_mes4[[#This Row],[CUIT]],Lista_CUIT[#All],2,0)),"CUIT NO CARGADO")</f>
        <v>-</v>
      </c>
      <c r="H517" s="328">
        <v>4132.2299999999996</v>
      </c>
      <c r="I517" s="329">
        <f>ventas_b_mes4[[#This Row],[IMPORTE NETO]]*0.21</f>
        <v>867.76829999999984</v>
      </c>
      <c r="J517" s="330"/>
      <c r="K517" s="330"/>
      <c r="L517" s="330">
        <f>SUM(ventas_b_mes4[[#This Row],[IMPORTE NETO]:[EXENTO]])</f>
        <v>4999.9982999999993</v>
      </c>
      <c r="M517" s="310"/>
    </row>
    <row r="518" spans="2:13" x14ac:dyDescent="0.25">
      <c r="B518" s="322">
        <v>45020</v>
      </c>
      <c r="C518" s="323">
        <v>8</v>
      </c>
      <c r="D518" s="324">
        <v>7</v>
      </c>
      <c r="E518" s="325">
        <v>136</v>
      </c>
      <c r="F518" s="326">
        <v>30590354798</v>
      </c>
      <c r="G518" s="327" t="str">
        <f>IFERROR(IF(ventas_b_mes4[[#This Row],[CUIT]]="","-",VLOOKUP(ventas_b_mes4[[#This Row],[CUIT]],Lista_CUIT[#All],2,0)),"CUIT NO CARGADO")</f>
        <v>ASOC. MUTUAL SANCOR SALUD</v>
      </c>
      <c r="H518" s="328">
        <v>-4087.13</v>
      </c>
      <c r="I518" s="329">
        <f>ventas_b_mes4[[#This Row],[IMPORTE NETO]]*0.21</f>
        <v>-858.29729999999995</v>
      </c>
      <c r="J518" s="330"/>
      <c r="K518" s="330"/>
      <c r="L518" s="330">
        <f>SUM(ventas_b_mes4[[#This Row],[IMPORTE NETO]:[EXENTO]])</f>
        <v>-4945.4273000000003</v>
      </c>
      <c r="M518" s="310"/>
    </row>
    <row r="519" spans="2:13" x14ac:dyDescent="0.25">
      <c r="B519" s="322">
        <v>45021</v>
      </c>
      <c r="C519" s="323">
        <v>8</v>
      </c>
      <c r="D519" s="324">
        <v>5</v>
      </c>
      <c r="E519" s="325">
        <v>111</v>
      </c>
      <c r="F519" s="326"/>
      <c r="G519" s="327" t="str">
        <f>IFERROR(IF(ventas_b_mes4[[#This Row],[CUIT]]="","-",VLOOKUP(ventas_b_mes4[[#This Row],[CUIT]],Lista_CUIT[#All],2,0)),"CUIT NO CARGADO")</f>
        <v>-</v>
      </c>
      <c r="H519" s="328">
        <v>-21074.38</v>
      </c>
      <c r="I519" s="329">
        <f>ventas_b_mes4[[#This Row],[IMPORTE NETO]]*0.21</f>
        <v>-4425.6198000000004</v>
      </c>
      <c r="J519" s="330"/>
      <c r="K519" s="330"/>
      <c r="L519" s="330">
        <f>SUM(ventas_b_mes4[[#This Row],[IMPORTE NETO]:[EXENTO]])</f>
        <v>-25499.999800000001</v>
      </c>
      <c r="M519" s="310"/>
    </row>
    <row r="520" spans="2:13" ht="15.75" thickBot="1" x14ac:dyDescent="0.3">
      <c r="B520" s="295" t="s">
        <v>110</v>
      </c>
      <c r="C520" s="296"/>
      <c r="D520" s="296"/>
      <c r="E520" s="296"/>
      <c r="F520" s="296"/>
      <c r="G520" s="296"/>
      <c r="H520" s="320">
        <f>SUBTOTAL(109,ventas_b_mes4[IMPORTE NETO])</f>
        <v>2558641.8699999996</v>
      </c>
      <c r="I520" s="320">
        <f>SUBTOTAL(109,ventas_b_mes4[IVA 21%])</f>
        <v>537314.79269999976</v>
      </c>
      <c r="J520" s="321">
        <f>SUBTOTAL(109,ventas_b_mes4[IVA 10,5%])</f>
        <v>0</v>
      </c>
      <c r="K520" s="321">
        <f>SUBTOTAL(109,ventas_b_mes4[EXENTO])</f>
        <v>0</v>
      </c>
      <c r="L520" s="321">
        <f>SUBTOTAL(109,ventas_b_mes4[TOTAL])</f>
        <v>3095956.6627000007</v>
      </c>
      <c r="M520" s="300">
        <f>SUBTOTAL(103,ventas_b_mes4[Provincia])</f>
        <v>0</v>
      </c>
    </row>
    <row r="521" spans="2:13" ht="15.75" thickTop="1" x14ac:dyDescent="0.25">
      <c r="C521" s="522" t="s">
        <v>66</v>
      </c>
      <c r="D521" s="522"/>
      <c r="E521" s="522"/>
      <c r="F521" s="522"/>
      <c r="G521" s="522"/>
      <c r="H521" s="32"/>
      <c r="I521" s="32"/>
      <c r="J521" s="32"/>
    </row>
    <row r="522" spans="2:13" ht="15.75" x14ac:dyDescent="0.25">
      <c r="C522" s="114" t="s">
        <v>67</v>
      </c>
      <c r="D522" s="115" t="s">
        <v>68</v>
      </c>
      <c r="E522" s="115" t="s">
        <v>112</v>
      </c>
      <c r="F522" s="115" t="s">
        <v>3</v>
      </c>
      <c r="G522" s="115" t="s">
        <v>4</v>
      </c>
      <c r="H522" s="116" t="s">
        <v>69</v>
      </c>
      <c r="I522" s="116" t="s">
        <v>70</v>
      </c>
      <c r="J522" s="116" t="s">
        <v>71</v>
      </c>
      <c r="K522" s="116" t="s">
        <v>72</v>
      </c>
      <c r="L522" s="116" t="s">
        <v>73</v>
      </c>
    </row>
    <row r="523" spans="2:13" x14ac:dyDescent="0.25">
      <c r="C523" s="117">
        <v>44992</v>
      </c>
      <c r="D523" s="118">
        <v>90563</v>
      </c>
      <c r="E523" s="118"/>
      <c r="F523" s="119">
        <v>30710657250</v>
      </c>
      <c r="G523" s="53" t="str">
        <f>IFERROR(IF(Retenciones_mes4[[#This Row],[CUIT]]="","-",VLOOKUP(Retenciones_mes4[[#This Row],[CUIT]],Lista_CUIT[#All],2,0)),"CUIT NO CARGADO")</f>
        <v>FRATERNA COOPERRATIVA DE PROVISION DE SERVICIOS LIMITADA</v>
      </c>
      <c r="H523" s="120">
        <v>1000</v>
      </c>
      <c r="I523" s="120"/>
      <c r="J523" s="120">
        <v>914.09</v>
      </c>
      <c r="K523" s="120"/>
      <c r="L523" s="120"/>
    </row>
    <row r="524" spans="2:13" x14ac:dyDescent="0.25">
      <c r="C524" s="117">
        <v>45020</v>
      </c>
      <c r="D524" s="118">
        <v>334</v>
      </c>
      <c r="E524" s="118"/>
      <c r="F524" s="119">
        <v>30522428163</v>
      </c>
      <c r="G524" s="53" t="str">
        <f>IFERROR(IF(Retenciones_mes4[[#This Row],[CUIT]]="","-",VLOOKUP(Retenciones_mes4[[#This Row],[CUIT]],Lista_CUIT[#All],2,0)),"CUIT NO CARGADO")</f>
        <v>GALENO ARGENTINA SA</v>
      </c>
      <c r="H524" s="120">
        <v>4398512.4000000004</v>
      </c>
      <c r="I524" s="120">
        <v>923687.6</v>
      </c>
      <c r="J524" s="120"/>
      <c r="K524" s="120"/>
      <c r="L524" s="120"/>
    </row>
    <row r="525" spans="2:13" x14ac:dyDescent="0.25">
      <c r="C525" s="117"/>
      <c r="D525" s="118">
        <v>11696</v>
      </c>
      <c r="E525" s="118"/>
      <c r="F525" s="119"/>
      <c r="G525" s="53" t="str">
        <f>IFERROR(IF(Retenciones_mes4[[#This Row],[CUIT]]="","-",VLOOKUP(Retenciones_mes4[[#This Row],[CUIT]],Lista_CUIT[#All],2,0)),"CUIT NO CARGADO")</f>
        <v>-</v>
      </c>
      <c r="H525" s="120"/>
      <c r="I525" s="120"/>
      <c r="J525" s="120"/>
      <c r="K525" s="120"/>
      <c r="L525" s="120"/>
    </row>
    <row r="526" spans="2:13" x14ac:dyDescent="0.25">
      <c r="C526" s="117"/>
      <c r="D526" s="118">
        <v>11697</v>
      </c>
      <c r="E526" s="118"/>
      <c r="F526" s="119"/>
      <c r="G526" s="53" t="str">
        <f>IFERROR(IF(Retenciones_mes4[[#This Row],[CUIT]]="","-",VLOOKUP(Retenciones_mes4[[#This Row],[CUIT]],Lista_CUIT[#All],2,0)),"CUIT NO CARGADO")</f>
        <v>-</v>
      </c>
      <c r="H526" s="120"/>
      <c r="I526" s="120"/>
      <c r="J526" s="120"/>
      <c r="K526" s="120"/>
      <c r="L526" s="120"/>
    </row>
    <row r="527" spans="2:13" x14ac:dyDescent="0.25">
      <c r="D527" s="118">
        <v>11698</v>
      </c>
      <c r="E527" s="118"/>
      <c r="G527" s="53" t="str">
        <f>IFERROR(IF(Retenciones_mes4[[#This Row],[CUIT]]="","-",VLOOKUP(Retenciones_mes4[[#This Row],[CUIT]],Lista_CUIT[#All],2,0)),"CUIT NO CARGADO")</f>
        <v>-</v>
      </c>
    </row>
    <row r="528" spans="2:13" x14ac:dyDescent="0.25">
      <c r="C528" s="33"/>
    </row>
  </sheetData>
  <mergeCells count="20">
    <mergeCell ref="C521:G521"/>
    <mergeCell ref="B4:E4"/>
    <mergeCell ref="G4:H4"/>
    <mergeCell ref="J4:K4"/>
    <mergeCell ref="M4:N4"/>
    <mergeCell ref="D132:K132"/>
    <mergeCell ref="B187:J187"/>
    <mergeCell ref="K187:M187"/>
    <mergeCell ref="B189:C189"/>
    <mergeCell ref="B255:C255"/>
    <mergeCell ref="P4:R4"/>
    <mergeCell ref="D123:L123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57:L519" xr:uid="{00000000-0002-0000-0400-000000000000}">
      <formula1>IF($C257=8,H257&lt;0,H257&gt;=0)</formula1>
    </dataValidation>
    <dataValidation type="custom" allowBlank="1" showInputMessage="1" showErrorMessage="1" sqref="L193:L195" xr:uid="{00000000-0002-0000-0400-000001000000}">
      <formula1>IF($C63=3,L63&lt;0,L63&gt;=0)</formula1>
    </dataValidation>
    <dataValidation type="custom" allowBlank="1" showInputMessage="1" showErrorMessage="1" sqref="L191:L192" xr:uid="{00000000-0002-0000-0400-000002000000}">
      <formula1>IF($C9=3,L9&lt;0,L9&gt;=0)</formula1>
    </dataValidation>
    <dataValidation type="whole" allowBlank="1" showInputMessage="1" showErrorMessage="1" sqref="C257:C519" xr:uid="{00000000-0002-0000-0400-000003000000}">
      <formula1>6</formula1>
      <formula2>8</formula2>
    </dataValidation>
    <dataValidation type="custom" allowBlank="1" showInputMessage="1" showErrorMessage="1" sqref="H191:K191 H193:K193 H195:K195 H197:K197" xr:uid="{00000000-0002-0000-0400-000004000000}">
      <formula1>IF($C191=3,H191&lt;0,H191&gt;=0)</formula1>
    </dataValidation>
    <dataValidation type="whole" allowBlank="1" showInputMessage="1" showErrorMessage="1" sqref="C119:C122 C191:C253 C9:C117" xr:uid="{00000000-0002-0000-0400-000005000000}">
      <formula1>1</formula1>
      <formula2>3</formula2>
    </dataValidation>
    <dataValidation type="date" allowBlank="1" showInputMessage="1" showErrorMessage="1" sqref="D125:D127 D134:D180 B119:B122 B191:B253 B257:B519 B9:B117" xr:uid="{00000000-0002-0000-0400-000006000000}">
      <formula1>40179</formula1>
      <formula2>TODAY()</formula2>
    </dataValidation>
    <dataValidation type="whole" allowBlank="1" showInputMessage="1" showErrorMessage="1" sqref="G134:G180 F191:F253 F257:F519 F9:F117" xr:uid="{00000000-0002-0000-0400-000007000000}">
      <formula1>20000000000</formula1>
      <formula2>33999999999</formula2>
    </dataValidation>
    <dataValidation type="whole" allowBlank="1" showInputMessage="1" showErrorMessage="1" sqref="F134:F180 E191:E253 E257:E519 E9:E117" xr:uid="{00000000-0002-0000-0400-000008000000}">
      <formula1>1</formula1>
      <formula2>99999999</formula2>
    </dataValidation>
    <dataValidation type="whole" allowBlank="1" showInputMessage="1" showErrorMessage="1" sqref="E134:E180 D191:D253 D257:D519 D9:D117" xr:uid="{00000000-0002-0000-0400-000009000000}">
      <formula1>1</formula1>
      <formula2>9999</formula2>
    </dataValidation>
    <dataValidation type="custom" allowBlank="1" showInputMessage="1" showErrorMessage="1" sqref="L196:L197" xr:uid="{00000000-0002-0000-0400-00000A000000}">
      <formula1>IF($C118=3,L118&lt;0,L118&gt;=0)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62 H63:N65 H66:O117" xr:uid="{00000000-0002-0000-04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</sheetPr>
  <dimension ref="A1:Z553"/>
  <sheetViews>
    <sheetView showGridLines="0" topLeftCell="F75" zoomScale="80" zoomScaleNormal="80" workbookViewId="0">
      <selection activeCell="I159" sqref="I159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1" customWidth="1"/>
    <col min="7" max="7" width="29.42578125" customWidth="1"/>
    <col min="8" max="8" width="24.7109375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EDATE('Ene-23'!N1,4)</f>
        <v>45047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SUM(compras_mes5[[#Totals],[NETO GRAVADO]])+extracto_banco_mes5[[#Totals],[NETO]]</f>
        <v>16811265.540000007</v>
      </c>
      <c r="C4" s="530"/>
      <c r="D4" s="530"/>
      <c r="E4" s="530"/>
      <c r="F4" s="39"/>
      <c r="G4" s="531">
        <f>compras_mes5[[#Totals],[IVA 21 %]]+compras_mes5[[#Totals],[IVA 27%]]+compras_mes5[[#Totals],[IVA 10,5%]]+extracto_banco_mes5[[#Totals],[IVA 21%]]+extracto_banco_mes5[[#Totals],[IVA 10,5%]]</f>
        <v>3441966.6700000009</v>
      </c>
      <c r="H4" s="531"/>
      <c r="I4" s="39"/>
      <c r="J4" s="537">
        <f>venta_a_mes5[[#Totals],[IMPORTE NETO]]+ventas_b_mes5[[#Totals],[IMPORTE NETO]]</f>
        <v>27792899.670000006</v>
      </c>
      <c r="K4" s="537"/>
      <c r="L4" s="39"/>
      <c r="M4" s="537">
        <f>venta_a_mes5[[#Totals],[IVA 21%]]+venta_a_mes5[[#Totals],[IVA 10,5%]]+ventas_b_mes5[[#Totals],[IVA 21%]]+ventas_b_mes5[[#Totals],[IVA 10,5%]]</f>
        <v>5836508.9307000004</v>
      </c>
      <c r="N4" s="537"/>
      <c r="O4" s="39"/>
      <c r="P4" s="533">
        <f>G4-M4</f>
        <v>-2394542.2606999995</v>
      </c>
      <c r="Q4" s="534"/>
      <c r="R4" s="534"/>
    </row>
    <row r="5" spans="1:26" ht="13.15" customHeight="1" x14ac:dyDescent="0.25"/>
    <row r="6" spans="1:26" ht="21" customHeight="1" x14ac:dyDescent="0.25">
      <c r="G6" s="393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367">
        <v>45043</v>
      </c>
      <c r="C9" s="41">
        <v>1</v>
      </c>
      <c r="D9" s="369">
        <v>3</v>
      </c>
      <c r="E9" s="370">
        <v>7742</v>
      </c>
      <c r="F9" s="371">
        <v>20045615473</v>
      </c>
      <c r="G9" s="372" t="str">
        <f>IFERROR(IF(compras_mes5[[#This Row],[CUIT]]="","-",VLOOKUP(compras_mes5[[#This Row],[CUIT]],Lista_CUIT[#All],2,0)),"CUIT NO CARGADO")</f>
        <v xml:space="preserve">DI FEO HUGO PASCUAL </v>
      </c>
      <c r="H9" s="373">
        <v>29670</v>
      </c>
      <c r="I9" s="339">
        <f>IF(compras_mes5[[#This Row],[NETO GRAVADO]]="","",compras_mes5[[#This Row],[NETO GRAVADO]]*0.21)</f>
        <v>6230.7</v>
      </c>
      <c r="J9" s="339"/>
      <c r="K9" s="339"/>
      <c r="L9" s="339"/>
      <c r="M9" s="339"/>
      <c r="N9" s="339"/>
      <c r="O9" s="339"/>
      <c r="P9" s="374">
        <f>SUM(compras_mes5[[#This Row],[NETO GRAVADO]:[Otros / No Grav.]])</f>
        <v>35900.699999999997</v>
      </c>
      <c r="Q9" s="375" t="str">
        <f>IFERROR(IF(compras_mes5[[#This Row],[CUIT]]="","-",VLOOKUP(compras_mes5[[#This Row],[CUIT]],Lista_CUIT[#All],3,0)),"CUIT NO CARGADO")</f>
        <v>Productos Ortopedicos</v>
      </c>
      <c r="R9" s="375">
        <f>IFERROR(IF(compras_mes5[[#This Row],[CUIT]]="","-",VLOOKUP(compras_mes5[[#This Row],[CUIT]],Lista_CUIT[#All],4,0)),"CUIT NO CARGADO")</f>
        <v>0</v>
      </c>
    </row>
    <row r="10" spans="1:26" x14ac:dyDescent="0.25">
      <c r="B10" s="367">
        <v>45047</v>
      </c>
      <c r="C10" s="41">
        <v>1</v>
      </c>
      <c r="D10" s="369">
        <v>2</v>
      </c>
      <c r="E10" s="370">
        <v>184</v>
      </c>
      <c r="F10" s="371">
        <v>30605344352</v>
      </c>
      <c r="G10" s="372" t="str">
        <f>IFERROR(IF(compras_mes5[[#This Row],[CUIT]]="","-",VLOOKUP(compras_mes5[[#This Row],[CUIT]],Lista_CUIT[#All],2,0)),"CUIT NO CARGADO")</f>
        <v>CONSORCIO BARTOLME MITRE 2466</v>
      </c>
      <c r="H10" s="373">
        <v>187880</v>
      </c>
      <c r="I10" s="339">
        <f>IF(compras_mes5[[#This Row],[NETO GRAVADO]]="","",compras_mes5[[#This Row],[NETO GRAVADO]]*0.21)</f>
        <v>39454.799999999996</v>
      </c>
      <c r="J10" s="339"/>
      <c r="K10" s="339"/>
      <c r="L10" s="339"/>
      <c r="M10" s="339"/>
      <c r="N10" s="339"/>
      <c r="O10" s="339"/>
      <c r="P10" s="374">
        <f>SUM(compras_mes5[[#This Row],[NETO GRAVADO]:[Otros / No Grav.]])</f>
        <v>227334.8</v>
      </c>
      <c r="Q10" s="375" t="str">
        <f>IFERROR(IF(compras_mes5[[#This Row],[CUIT]]="","-",VLOOKUP(compras_mes5[[#This Row],[CUIT]],Lista_CUIT[#All],3,0)),"CUIT NO CARGADO")</f>
        <v>Gastos Varios</v>
      </c>
      <c r="R10" s="375">
        <f>IFERROR(IF(compras_mes5[[#This Row],[CUIT]]="","-",VLOOKUP(compras_mes5[[#This Row],[CUIT]],Lista_CUIT[#All],4,0)),"CUIT NO CARGADO")</f>
        <v>0</v>
      </c>
    </row>
    <row r="11" spans="1:26" x14ac:dyDescent="0.25">
      <c r="B11" s="219">
        <v>45047</v>
      </c>
      <c r="C11" s="209">
        <v>1</v>
      </c>
      <c r="D11" s="220">
        <v>1305</v>
      </c>
      <c r="E11" s="221">
        <v>1166815</v>
      </c>
      <c r="F11" s="222">
        <v>30663288497</v>
      </c>
      <c r="G11" s="223" t="str">
        <f>IFERROR(IF(compras_mes5[[#This Row],[CUIT]]="","-",VLOOKUP(compras_mes5[[#This Row],[CUIT]],Lista_CUIT[#All],2,0)),"CUIT NO CARGADO")</f>
        <v>AMX ARG SA</v>
      </c>
      <c r="H11" s="224">
        <v>7200</v>
      </c>
      <c r="I11" s="225">
        <v>598.5</v>
      </c>
      <c r="J11" s="225">
        <v>1174.5</v>
      </c>
      <c r="K11" s="225"/>
      <c r="L11" s="225">
        <v>252</v>
      </c>
      <c r="M11" s="225"/>
      <c r="N11" s="225">
        <v>216</v>
      </c>
      <c r="O11" s="225">
        <v>228.95</v>
      </c>
      <c r="P11" s="226">
        <f>SUM(compras_mes5[[#This Row],[NETO GRAVADO]:[Otros / No Grav.]])</f>
        <v>9669.9500000000007</v>
      </c>
      <c r="Q11" s="227" t="str">
        <f>IFERROR(IF(compras_mes5[[#This Row],[CUIT]]="","-",VLOOKUP(compras_mes5[[#This Row],[CUIT]],Lista_CUIT[#All],3,0)),"CUIT NO CARGADO")</f>
        <v>SERVICIOS DE INTERNET</v>
      </c>
      <c r="R11" s="227">
        <f>IFERROR(IF(compras_mes5[[#This Row],[CUIT]]="","-",VLOOKUP(compras_mes5[[#This Row],[CUIT]],Lista_CUIT[#All],4,0)),"CUIT NO CARGADO")</f>
        <v>0</v>
      </c>
    </row>
    <row r="12" spans="1:26" x14ac:dyDescent="0.25">
      <c r="B12" s="367">
        <v>45048</v>
      </c>
      <c r="C12" s="41">
        <v>1</v>
      </c>
      <c r="D12" s="369">
        <v>3</v>
      </c>
      <c r="E12" s="370">
        <v>69</v>
      </c>
      <c r="F12" s="371">
        <v>20334976433</v>
      </c>
      <c r="G12" s="372" t="str">
        <f>IFERROR(IF(compras_mes5[[#This Row],[CUIT]]="","-",VLOOKUP(compras_mes5[[#This Row],[CUIT]],Lista_CUIT[#All],2,0)),"CUIT NO CARGADO")</f>
        <v>NARDOMARINO EZEQUIEL EDUARDO</v>
      </c>
      <c r="H12" s="373">
        <v>85991.74</v>
      </c>
      <c r="I12" s="339">
        <f>IF(compras_mes5[[#This Row],[NETO GRAVADO]]="","",compras_mes5[[#This Row],[NETO GRAVADO]]*0.21)</f>
        <v>18058.2654</v>
      </c>
      <c r="J12" s="339"/>
      <c r="K12" s="339"/>
      <c r="L12" s="339"/>
      <c r="M12" s="339"/>
      <c r="N12" s="339"/>
      <c r="O12" s="339"/>
      <c r="P12" s="374">
        <f>SUM(compras_mes5[[#This Row],[NETO GRAVADO]:[Otros / No Grav.]])</f>
        <v>104050.00540000001</v>
      </c>
      <c r="Q12" s="375" t="str">
        <f>IFERROR(IF(compras_mes5[[#This Row],[CUIT]]="","-",VLOOKUP(compras_mes5[[#This Row],[CUIT]],Lista_CUIT[#All],3,0)),"CUIT NO CARGADO")</f>
        <v>FLETE</v>
      </c>
      <c r="R12" s="375">
        <f>IFERROR(IF(compras_mes5[[#This Row],[CUIT]]="","-",VLOOKUP(compras_mes5[[#This Row],[CUIT]],Lista_CUIT[#All],4,0)),"CUIT NO CARGADO")</f>
        <v>0</v>
      </c>
    </row>
    <row r="13" spans="1:26" x14ac:dyDescent="0.25">
      <c r="B13" s="367">
        <v>45048</v>
      </c>
      <c r="C13" s="41">
        <v>1</v>
      </c>
      <c r="D13" s="369">
        <v>10</v>
      </c>
      <c r="E13" s="370">
        <v>1027</v>
      </c>
      <c r="F13" s="371">
        <v>33710271149</v>
      </c>
      <c r="G13" s="372" t="str">
        <f>IFERROR(IF(compras_mes5[[#This Row],[CUIT]]="","-",VLOOKUP(compras_mes5[[#This Row],[CUIT]],Lista_CUIT[#All],2,0)),"CUIT NO CARGADO")</f>
        <v>CORRIENTES 3002 SRL</v>
      </c>
      <c r="H13" s="373">
        <v>4886.88</v>
      </c>
      <c r="I13" s="339"/>
      <c r="J13" s="339"/>
      <c r="K13" s="339">
        <f>compras_mes5[[#This Row],[NETO GRAVADO]]*0.105</f>
        <v>513.12239999999997</v>
      </c>
      <c r="L13" s="339"/>
      <c r="M13" s="339"/>
      <c r="N13" s="339"/>
      <c r="O13" s="339"/>
      <c r="P13" s="374">
        <f>SUM(compras_mes5[[#This Row],[NETO GRAVADO]:[Otros / No Grav.]])</f>
        <v>5400.0024000000003</v>
      </c>
      <c r="Q13" s="375" t="str">
        <f>IFERROR(IF(compras_mes5[[#This Row],[CUIT]]="","-",VLOOKUP(compras_mes5[[#This Row],[CUIT]],Lista_CUIT[#All],3,0)),"CUIT NO CARGADO")</f>
        <v>CATERING - COMIDA</v>
      </c>
      <c r="R13" s="375">
        <f>IFERROR(IF(compras_mes5[[#This Row],[CUIT]]="","-",VLOOKUP(compras_mes5[[#This Row],[CUIT]],Lista_CUIT[#All],4,0)),"CUIT NO CARGADO")</f>
        <v>0</v>
      </c>
    </row>
    <row r="14" spans="1:26" x14ac:dyDescent="0.25">
      <c r="B14" s="219">
        <v>45048</v>
      </c>
      <c r="C14" s="209">
        <v>1</v>
      </c>
      <c r="D14" s="220">
        <v>5011</v>
      </c>
      <c r="E14" s="221">
        <v>469551</v>
      </c>
      <c r="F14" s="222">
        <v>30574876474</v>
      </c>
      <c r="G14" s="223" t="str">
        <f>IFERROR(IF(compras_mes5[[#This Row],[CUIT]]="","-",VLOOKUP(compras_mes5[[#This Row],[CUIT]],Lista_CUIT[#All],2,0)),"CUIT NO CARGADO")</f>
        <v>AUTOP. URBANAS SA</v>
      </c>
      <c r="H14" s="224">
        <v>2136.04</v>
      </c>
      <c r="I14" s="225">
        <f>IF(compras_mes5[[#This Row],[NETO GRAVADO]]="","",compras_mes5[[#This Row],[NETO GRAVADO]]*0.21)</f>
        <v>448.5684</v>
      </c>
      <c r="J14" s="225"/>
      <c r="K14" s="225"/>
      <c r="L14" s="225"/>
      <c r="M14" s="225"/>
      <c r="N14" s="225">
        <v>64.08</v>
      </c>
      <c r="O14" s="225">
        <v>213.59</v>
      </c>
      <c r="P14" s="226">
        <f>SUM(compras_mes5[[#This Row],[NETO GRAVADO]:[Otros / No Grav.]])</f>
        <v>2862.2784000000001</v>
      </c>
      <c r="Q14" s="227" t="str">
        <f>IFERROR(IF(compras_mes5[[#This Row],[CUIT]]="","-",VLOOKUP(compras_mes5[[#This Row],[CUIT]],Lista_CUIT[#All],3,0)),"CUIT NO CARGADO")</f>
        <v>PEAJE</v>
      </c>
      <c r="R14" s="227">
        <f>IFERROR(IF(compras_mes5[[#This Row],[CUIT]]="","-",VLOOKUP(compras_mes5[[#This Row],[CUIT]],Lista_CUIT[#All],4,0)),"CUIT NO CARGADO")</f>
        <v>0</v>
      </c>
    </row>
    <row r="15" spans="1:26" x14ac:dyDescent="0.25">
      <c r="B15" s="219">
        <v>45048</v>
      </c>
      <c r="C15" s="209">
        <v>1</v>
      </c>
      <c r="D15" s="220">
        <v>5009</v>
      </c>
      <c r="E15" s="221">
        <v>658148</v>
      </c>
      <c r="F15" s="222">
        <v>30574876474</v>
      </c>
      <c r="G15" s="223" t="str">
        <f>IFERROR(IF(compras_mes5[[#This Row],[CUIT]]="","-",VLOOKUP(compras_mes5[[#This Row],[CUIT]],Lista_CUIT[#All],2,0)),"CUIT NO CARGADO")</f>
        <v>AUTOP. URBANAS SA</v>
      </c>
      <c r="H15" s="224">
        <v>1038.47</v>
      </c>
      <c r="I15" s="225">
        <f>IF(compras_mes5[[#This Row],[NETO GRAVADO]]="","",compras_mes5[[#This Row],[NETO GRAVADO]]*0.21)</f>
        <v>218.0787</v>
      </c>
      <c r="J15" s="225"/>
      <c r="K15" s="225"/>
      <c r="L15" s="225"/>
      <c r="M15" s="225"/>
      <c r="N15" s="225"/>
      <c r="O15" s="225">
        <v>103.82</v>
      </c>
      <c r="P15" s="226">
        <f>SUM(compras_mes5[[#This Row],[NETO GRAVADO]:[Otros / No Grav.]])</f>
        <v>1360.3687</v>
      </c>
      <c r="Q15" s="227" t="str">
        <f>IFERROR(IF(compras_mes5[[#This Row],[CUIT]]="","-",VLOOKUP(compras_mes5[[#This Row],[CUIT]],Lista_CUIT[#All],3,0)),"CUIT NO CARGADO")</f>
        <v>PEAJE</v>
      </c>
      <c r="R15" s="227">
        <f>IFERROR(IF(compras_mes5[[#This Row],[CUIT]]="","-",VLOOKUP(compras_mes5[[#This Row],[CUIT]],Lista_CUIT[#All],4,0)),"CUIT NO CARGADO")</f>
        <v>0</v>
      </c>
    </row>
    <row r="16" spans="1:26" x14ac:dyDescent="0.25">
      <c r="B16" s="219">
        <v>45048</v>
      </c>
      <c r="C16" s="209">
        <v>1</v>
      </c>
      <c r="D16" s="220">
        <v>500</v>
      </c>
      <c r="E16" s="221">
        <v>1286722</v>
      </c>
      <c r="F16" s="222">
        <v>30654118767</v>
      </c>
      <c r="G16" s="223" t="str">
        <f>IFERROR(IF(compras_mes5[[#This Row],[CUIT]]="","-",VLOOKUP(compras_mes5[[#This Row],[CUIT]],Lista_CUIT[#All],2,0)),"CUIT NO CARGADO")</f>
        <v>SOLUCIONES MULTIMEDIA SA</v>
      </c>
      <c r="H16" s="224">
        <v>10068.6</v>
      </c>
      <c r="I16" s="225">
        <f>IF(compras_mes5[[#This Row],[NETO GRAVADO]]="","",compras_mes5[[#This Row],[NETO GRAVADO]]*0.21)</f>
        <v>2114.4059999999999</v>
      </c>
      <c r="J16" s="225"/>
      <c r="K16" s="225"/>
      <c r="L16" s="225"/>
      <c r="M16" s="225"/>
      <c r="N16" s="225"/>
      <c r="O16" s="225"/>
      <c r="P16" s="226">
        <f>SUM(compras_mes5[[#This Row],[NETO GRAVADO]:[Otros / No Grav.]])</f>
        <v>12183.006000000001</v>
      </c>
      <c r="Q16" s="227" t="str">
        <f>IFERROR(IF(compras_mes5[[#This Row],[CUIT]]="","-",VLOOKUP(compras_mes5[[#This Row],[CUIT]],Lista_CUIT[#All],3,0)),"CUIT NO CARGADO")</f>
        <v>GASTOS ADMINISTRATIVOS</v>
      </c>
      <c r="R16" s="227">
        <f>IFERROR(IF(compras_mes5[[#This Row],[CUIT]]="","-",VLOOKUP(compras_mes5[[#This Row],[CUIT]],Lista_CUIT[#All],4,0)),"CUIT NO CARGADO")</f>
        <v>0</v>
      </c>
    </row>
    <row r="17" spans="2:18" x14ac:dyDescent="0.25">
      <c r="B17" s="367">
        <v>45049</v>
      </c>
      <c r="C17" s="41">
        <v>1</v>
      </c>
      <c r="D17" s="369">
        <v>4</v>
      </c>
      <c r="E17" s="370">
        <v>50</v>
      </c>
      <c r="F17" s="371">
        <v>20275351254</v>
      </c>
      <c r="G17" s="372" t="str">
        <f>IFERROR(IF(compras_mes5[[#This Row],[CUIT]]="","-",VLOOKUP(compras_mes5[[#This Row],[CUIT]],Lista_CUIT[#All],2,0)),"CUIT NO CARGADO")</f>
        <v>PAMPIN MARIANO OSCAR</v>
      </c>
      <c r="H17" s="373">
        <v>27500</v>
      </c>
      <c r="I17" s="339">
        <f>IF(compras_mes5[[#This Row],[NETO GRAVADO]]="","",compras_mes5[[#This Row],[NETO GRAVADO]]*0.21)</f>
        <v>5775</v>
      </c>
      <c r="J17" s="339"/>
      <c r="K17" s="339"/>
      <c r="L17" s="339"/>
      <c r="M17" s="339"/>
      <c r="N17" s="339"/>
      <c r="O17" s="339"/>
      <c r="P17" s="374">
        <f>SUM(compras_mes5[[#This Row],[NETO GRAVADO]:[Otros / No Grav.]])</f>
        <v>33275</v>
      </c>
      <c r="Q17" s="375" t="str">
        <f>IFERROR(IF(compras_mes5[[#This Row],[CUIT]]="","-",VLOOKUP(compras_mes5[[#This Row],[CUIT]],Lista_CUIT[#All],3,0)),"CUIT NO CARGADO")</f>
        <v>GASTOS ADMINISTRATIVOS</v>
      </c>
      <c r="R17" s="375">
        <f>IFERROR(IF(compras_mes5[[#This Row],[CUIT]]="","-",VLOOKUP(compras_mes5[[#This Row],[CUIT]],Lista_CUIT[#All],4,0)),"CUIT NO CARGADO")</f>
        <v>0</v>
      </c>
    </row>
    <row r="18" spans="2:18" x14ac:dyDescent="0.25">
      <c r="B18" s="367">
        <v>45049</v>
      </c>
      <c r="C18" s="41">
        <v>1</v>
      </c>
      <c r="D18" s="369">
        <v>7</v>
      </c>
      <c r="E18" s="370">
        <v>26874</v>
      </c>
      <c r="F18" s="371">
        <v>20271532483</v>
      </c>
      <c r="G18" s="372" t="str">
        <f>IFERROR(IF(compras_mes5[[#This Row],[CUIT]]="","-",VLOOKUP(compras_mes5[[#This Row],[CUIT]],Lista_CUIT[#All],2,0)),"CUIT NO CARGADO")</f>
        <v>DIEGO MARTIN RIOS</v>
      </c>
      <c r="H18" s="373">
        <v>1534456.43</v>
      </c>
      <c r="I18" s="339">
        <f>IF(compras_mes5[[#This Row],[NETO GRAVADO]]="","",compras_mes5[[#This Row],[NETO GRAVADO]]*0.21)</f>
        <v>322235.85029999999</v>
      </c>
      <c r="J18" s="339"/>
      <c r="K18" s="339"/>
      <c r="L18" s="339"/>
      <c r="M18" s="339"/>
      <c r="N18" s="339">
        <v>53705.98</v>
      </c>
      <c r="O18" s="339"/>
      <c r="P18" s="374">
        <f>SUM(compras_mes5[[#This Row],[NETO GRAVADO]:[Otros / No Grav.]])</f>
        <v>1910398.2603</v>
      </c>
      <c r="Q18" s="375" t="str">
        <f>IFERROR(IF(compras_mes5[[#This Row],[CUIT]]="","-",VLOOKUP(compras_mes5[[#This Row],[CUIT]],Lista_CUIT[#All],3,0)),"CUIT NO CARGADO")</f>
        <v>Productos Ortopedicos</v>
      </c>
      <c r="R18" s="375">
        <f>IFERROR(IF(compras_mes5[[#This Row],[CUIT]]="","-",VLOOKUP(compras_mes5[[#This Row],[CUIT]],Lista_CUIT[#All],4,0)),"CUIT NO CARGADO")</f>
        <v>0</v>
      </c>
    </row>
    <row r="19" spans="2:18" x14ac:dyDescent="0.25">
      <c r="B19" s="367">
        <v>45049</v>
      </c>
      <c r="C19" s="41">
        <v>1</v>
      </c>
      <c r="D19" s="369">
        <v>7</v>
      </c>
      <c r="E19" s="370">
        <v>26875</v>
      </c>
      <c r="F19" s="371">
        <v>20271532483</v>
      </c>
      <c r="G19" s="372" t="str">
        <f>IFERROR(IF(compras_mes5[[#This Row],[CUIT]]="","-",VLOOKUP(compras_mes5[[#This Row],[CUIT]],Lista_CUIT[#All],2,0)),"CUIT NO CARGADO")</f>
        <v>DIEGO MARTIN RIOS</v>
      </c>
      <c r="H19" s="373">
        <v>442510.84</v>
      </c>
      <c r="I19" s="339">
        <f>IF(compras_mes5[[#This Row],[NETO GRAVADO]]="","",compras_mes5[[#This Row],[NETO GRAVADO]]*0.21)</f>
        <v>92927.276400000002</v>
      </c>
      <c r="J19" s="339"/>
      <c r="K19" s="339"/>
      <c r="L19" s="339"/>
      <c r="M19" s="339"/>
      <c r="N19" s="339">
        <v>15487.88</v>
      </c>
      <c r="O19" s="339"/>
      <c r="P19" s="374">
        <f>SUM(compras_mes5[[#This Row],[NETO GRAVADO]:[Otros / No Grav.]])</f>
        <v>550925.99640000006</v>
      </c>
      <c r="Q19" s="375" t="str">
        <f>IFERROR(IF(compras_mes5[[#This Row],[CUIT]]="","-",VLOOKUP(compras_mes5[[#This Row],[CUIT]],Lista_CUIT[#All],3,0)),"CUIT NO CARGADO")</f>
        <v>Productos Ortopedicos</v>
      </c>
      <c r="R19" s="375">
        <f>IFERROR(IF(compras_mes5[[#This Row],[CUIT]]="","-",VLOOKUP(compras_mes5[[#This Row],[CUIT]],Lista_CUIT[#All],4,0)),"CUIT NO CARGADO")</f>
        <v>0</v>
      </c>
    </row>
    <row r="20" spans="2:18" x14ac:dyDescent="0.25">
      <c r="B20" s="367">
        <v>45049</v>
      </c>
      <c r="C20" s="41">
        <v>1</v>
      </c>
      <c r="D20" s="369">
        <v>6</v>
      </c>
      <c r="E20" s="370">
        <v>73073</v>
      </c>
      <c r="F20" s="371">
        <v>30711553564</v>
      </c>
      <c r="G20" s="372" t="str">
        <f>IFERROR(IF(compras_mes5[[#This Row],[CUIT]]="","-",VLOOKUP(compras_mes5[[#This Row],[CUIT]],Lista_CUIT[#All],2,0)),"CUIT NO CARGADO")</f>
        <v>SALUD TEX S.A</v>
      </c>
      <c r="H20" s="373">
        <v>179936</v>
      </c>
      <c r="I20" s="339">
        <f>IF(compras_mes5[[#This Row],[NETO GRAVADO]]="","",compras_mes5[[#This Row],[NETO GRAVADO]]*0.21)</f>
        <v>37786.559999999998</v>
      </c>
      <c r="J20" s="339"/>
      <c r="K20" s="339"/>
      <c r="L20" s="339"/>
      <c r="M20" s="339"/>
      <c r="N20" s="339"/>
      <c r="O20" s="339"/>
      <c r="P20" s="374">
        <f>SUM(compras_mes5[[#This Row],[NETO GRAVADO]:[Otros / No Grav.]])</f>
        <v>217722.56</v>
      </c>
      <c r="Q20" s="375" t="str">
        <f>IFERROR(IF(compras_mes5[[#This Row],[CUIT]]="","-",VLOOKUP(compras_mes5[[#This Row],[CUIT]],Lista_CUIT[#All],3,0)),"CUIT NO CARGADO")</f>
        <v>Productos Ortopedicos</v>
      </c>
      <c r="R20" s="375">
        <f>IFERROR(IF(compras_mes5[[#This Row],[CUIT]]="","-",VLOOKUP(compras_mes5[[#This Row],[CUIT]],Lista_CUIT[#All],4,0)),"CUIT NO CARGADO")</f>
        <v>0</v>
      </c>
    </row>
    <row r="21" spans="2:18" x14ac:dyDescent="0.25">
      <c r="B21" s="219">
        <v>45049</v>
      </c>
      <c r="C21" s="209">
        <v>1</v>
      </c>
      <c r="D21" s="220">
        <v>105</v>
      </c>
      <c r="E21" s="221">
        <v>1239791</v>
      </c>
      <c r="F21" s="222">
        <v>30537882871</v>
      </c>
      <c r="G21" s="223" t="str">
        <f>IFERROR(IF(compras_mes5[[#This Row],[CUIT]]="","-",VLOOKUP(compras_mes5[[#This Row],[CUIT]],Lista_CUIT[#All],2,0)),"CUIT NO CARGADO")</f>
        <v>EL JUMILIANO SA</v>
      </c>
      <c r="H21" s="224">
        <v>3396.69</v>
      </c>
      <c r="I21" s="225">
        <f>IF(compras_mes5[[#This Row],[NETO GRAVADO]]="","",compras_mes5[[#This Row],[NETO GRAVADO]]*0.21)</f>
        <v>713.30489999999998</v>
      </c>
      <c r="J21" s="225"/>
      <c r="K21" s="225"/>
      <c r="L21" s="225"/>
      <c r="M21" s="225"/>
      <c r="N21" s="225">
        <v>118.88</v>
      </c>
      <c r="O21" s="225"/>
      <c r="P21" s="226">
        <f>SUM(compras_mes5[[#This Row],[NETO GRAVADO]:[Otros / No Grav.]])</f>
        <v>4228.8748999999998</v>
      </c>
      <c r="Q21" s="227" t="str">
        <f>IFERROR(IF(compras_mes5[[#This Row],[CUIT]]="","-",VLOOKUP(compras_mes5[[#This Row],[CUIT]],Lista_CUIT[#All],3,0)),"CUIT NO CARGADO")</f>
        <v>SERVICIOS</v>
      </c>
      <c r="R21" s="227">
        <f>IFERROR(IF(compras_mes5[[#This Row],[CUIT]]="","-",VLOOKUP(compras_mes5[[#This Row],[CUIT]],Lista_CUIT[#All],4,0)),"CUIT NO CARGADO")</f>
        <v>0</v>
      </c>
    </row>
    <row r="22" spans="2:18" x14ac:dyDescent="0.25">
      <c r="B22" s="367">
        <v>45050</v>
      </c>
      <c r="C22" s="41">
        <v>1</v>
      </c>
      <c r="D22" s="369">
        <v>3</v>
      </c>
      <c r="E22" s="370">
        <v>7760</v>
      </c>
      <c r="F22" s="371">
        <v>20045615473</v>
      </c>
      <c r="G22" s="372" t="str">
        <f>IFERROR(IF(compras_mes5[[#This Row],[CUIT]]="","-",VLOOKUP(compras_mes5[[#This Row],[CUIT]],Lista_CUIT[#All],2,0)),"CUIT NO CARGADO")</f>
        <v xml:space="preserve">DI FEO HUGO PASCUAL </v>
      </c>
      <c r="H22" s="373">
        <v>80600</v>
      </c>
      <c r="I22" s="339">
        <f>IF(compras_mes5[[#This Row],[NETO GRAVADO]]="","",compras_mes5[[#This Row],[NETO GRAVADO]]*0.21)</f>
        <v>16926</v>
      </c>
      <c r="J22" s="339"/>
      <c r="K22" s="339"/>
      <c r="L22" s="339"/>
      <c r="M22" s="339"/>
      <c r="N22" s="339"/>
      <c r="O22" s="339"/>
      <c r="P22" s="374">
        <f>SUM(compras_mes5[[#This Row],[NETO GRAVADO]:[Otros / No Grav.]])</f>
        <v>97526</v>
      </c>
      <c r="Q22" s="375" t="str">
        <f>IFERROR(IF(compras_mes5[[#This Row],[CUIT]]="","-",VLOOKUP(compras_mes5[[#This Row],[CUIT]],Lista_CUIT[#All],3,0)),"CUIT NO CARGADO")</f>
        <v>Productos Ortopedicos</v>
      </c>
      <c r="R22" s="375">
        <f>IFERROR(IF(compras_mes5[[#This Row],[CUIT]]="","-",VLOOKUP(compras_mes5[[#This Row],[CUIT]],Lista_CUIT[#All],4,0)),"CUIT NO CARGADO")</f>
        <v>0</v>
      </c>
    </row>
    <row r="23" spans="2:18" x14ac:dyDescent="0.25">
      <c r="B23" s="367">
        <v>45050</v>
      </c>
      <c r="C23" s="41">
        <v>1</v>
      </c>
      <c r="D23" s="369">
        <v>7</v>
      </c>
      <c r="E23" s="370">
        <v>26891</v>
      </c>
      <c r="F23" s="371">
        <v>20271532483</v>
      </c>
      <c r="G23" s="372" t="str">
        <f>IFERROR(IF(compras_mes5[[#This Row],[CUIT]]="","-",VLOOKUP(compras_mes5[[#This Row],[CUIT]],Lista_CUIT[#All],2,0)),"CUIT NO CARGADO")</f>
        <v>DIEGO MARTIN RIOS</v>
      </c>
      <c r="H23" s="373">
        <v>12000</v>
      </c>
      <c r="I23" s="339">
        <f>IF(compras_mes5[[#This Row],[NETO GRAVADO]]="","",compras_mes5[[#This Row],[NETO GRAVADO]]*0.21)</f>
        <v>2520</v>
      </c>
      <c r="J23" s="339"/>
      <c r="K23" s="339"/>
      <c r="L23" s="339"/>
      <c r="M23" s="339"/>
      <c r="N23" s="339">
        <v>420</v>
      </c>
      <c r="O23" s="339"/>
      <c r="P23" s="374">
        <f>SUM(compras_mes5[[#This Row],[NETO GRAVADO]:[Otros / No Grav.]])</f>
        <v>14940</v>
      </c>
      <c r="Q23" s="375" t="str">
        <f>IFERROR(IF(compras_mes5[[#This Row],[CUIT]]="","-",VLOOKUP(compras_mes5[[#This Row],[CUIT]],Lista_CUIT[#All],3,0)),"CUIT NO CARGADO")</f>
        <v>Productos Ortopedicos</v>
      </c>
      <c r="R23" s="375">
        <f>IFERROR(IF(compras_mes5[[#This Row],[CUIT]]="","-",VLOOKUP(compras_mes5[[#This Row],[CUIT]],Lista_CUIT[#All],4,0)),"CUIT NO CARGADO")</f>
        <v>0</v>
      </c>
    </row>
    <row r="24" spans="2:18" x14ac:dyDescent="0.25">
      <c r="B24" s="367">
        <v>45050</v>
      </c>
      <c r="C24" s="41">
        <v>1</v>
      </c>
      <c r="D24" s="369">
        <v>7</v>
      </c>
      <c r="E24" s="370">
        <v>26895</v>
      </c>
      <c r="F24" s="371">
        <v>20271532483</v>
      </c>
      <c r="G24" s="372" t="str">
        <f>IFERROR(IF(compras_mes5[[#This Row],[CUIT]]="","-",VLOOKUP(compras_mes5[[#This Row],[CUIT]],Lista_CUIT[#All],2,0)),"CUIT NO CARGADO")</f>
        <v>DIEGO MARTIN RIOS</v>
      </c>
      <c r="H24" s="373">
        <v>12000</v>
      </c>
      <c r="I24" s="339">
        <f>IF(compras_mes5[[#This Row],[NETO GRAVADO]]="","",compras_mes5[[#This Row],[NETO GRAVADO]]*0.21)</f>
        <v>2520</v>
      </c>
      <c r="J24" s="339"/>
      <c r="K24" s="339"/>
      <c r="L24" s="339"/>
      <c r="M24" s="339"/>
      <c r="N24" s="339">
        <v>420</v>
      </c>
      <c r="O24" s="339"/>
      <c r="P24" s="374">
        <f>SUM(compras_mes5[[#This Row],[NETO GRAVADO]:[Otros / No Grav.]])</f>
        <v>14940</v>
      </c>
      <c r="Q24" s="375" t="str">
        <f>IFERROR(IF(compras_mes5[[#This Row],[CUIT]]="","-",VLOOKUP(compras_mes5[[#This Row],[CUIT]],Lista_CUIT[#All],3,0)),"CUIT NO CARGADO")</f>
        <v>Productos Ortopedicos</v>
      </c>
      <c r="R24" s="375">
        <f>IFERROR(IF(compras_mes5[[#This Row],[CUIT]]="","-",VLOOKUP(compras_mes5[[#This Row],[CUIT]],Lista_CUIT[#All],4,0)),"CUIT NO CARGADO")</f>
        <v>0</v>
      </c>
    </row>
    <row r="25" spans="2:18" x14ac:dyDescent="0.25">
      <c r="B25" s="367">
        <v>45051</v>
      </c>
      <c r="C25" s="41">
        <v>1</v>
      </c>
      <c r="D25" s="369">
        <v>5</v>
      </c>
      <c r="E25" s="370">
        <v>551</v>
      </c>
      <c r="F25" s="371">
        <v>20242126158</v>
      </c>
      <c r="G25" s="372" t="str">
        <f>IFERROR(IF(compras_mes5[[#This Row],[CUIT]]="","-",VLOOKUP(compras_mes5[[#This Row],[CUIT]],Lista_CUIT[#All],2,0)),"CUIT NO CARGADO")</f>
        <v>IALLONARDO SERGIO</v>
      </c>
      <c r="H25" s="373">
        <v>139542</v>
      </c>
      <c r="I25" s="339">
        <v>11149.64</v>
      </c>
      <c r="J25" s="339"/>
      <c r="K25" s="339">
        <v>7004.55</v>
      </c>
      <c r="L25" s="339"/>
      <c r="M25" s="339"/>
      <c r="N25" s="339"/>
      <c r="O25" s="339"/>
      <c r="P25" s="374">
        <f>SUM(compras_mes5[[#This Row],[NETO GRAVADO]:[Otros / No Grav.]])</f>
        <v>157696.19</v>
      </c>
      <c r="Q25" s="375" t="str">
        <f>IFERROR(IF(compras_mes5[[#This Row],[CUIT]]="","-",VLOOKUP(compras_mes5[[#This Row],[CUIT]],Lista_CUIT[#All],3,0)),"CUIT NO CARGADO")</f>
        <v>PROD ORTOP P/ALQ</v>
      </c>
      <c r="R25" s="375">
        <f>IFERROR(IF(compras_mes5[[#This Row],[CUIT]]="","-",VLOOKUP(compras_mes5[[#This Row],[CUIT]],Lista_CUIT[#All],4,0)),"CUIT NO CARGADO")</f>
        <v>0</v>
      </c>
    </row>
    <row r="26" spans="2:18" x14ac:dyDescent="0.25">
      <c r="B26" s="367">
        <v>45051</v>
      </c>
      <c r="C26" s="368">
        <v>3</v>
      </c>
      <c r="D26" s="369">
        <v>6</v>
      </c>
      <c r="E26" s="370">
        <v>2061</v>
      </c>
      <c r="F26" s="371">
        <v>30710177658</v>
      </c>
      <c r="G26" s="372" t="str">
        <f>IFERROR(IF(compras_mes5[[#This Row],[CUIT]]="","-",VLOOKUP(compras_mes5[[#This Row],[CUIT]],Lista_CUIT[#All],2,0)),"CUIT NO CARGADO")</f>
        <v>TARGET MEDICAL SA</v>
      </c>
      <c r="H26" s="373">
        <v>-180470.6</v>
      </c>
      <c r="I26" s="339">
        <f>IF(compras_mes5[[#This Row],[NETO GRAVADO]]="","",compras_mes5[[#This Row],[NETO GRAVADO]]*0.21)</f>
        <v>-37898.826000000001</v>
      </c>
      <c r="J26" s="339"/>
      <c r="K26" s="339"/>
      <c r="L26" s="339"/>
      <c r="M26" s="339"/>
      <c r="N26" s="339">
        <v>-6316.4709999999995</v>
      </c>
      <c r="O26" s="339"/>
      <c r="P26" s="374">
        <f>SUM(compras_mes5[[#This Row],[NETO GRAVADO]:[Otros / No Grav.]])</f>
        <v>-224685.897</v>
      </c>
      <c r="Q26" s="375" t="str">
        <f>IFERROR(IF(compras_mes5[[#This Row],[CUIT]]="","-",VLOOKUP(compras_mes5[[#This Row],[CUIT]],Lista_CUIT[#All],3,0)),"CUIT NO CARGADO")</f>
        <v>Productos Ortopedicos</v>
      </c>
      <c r="R26" s="375">
        <f>IFERROR(IF(compras_mes5[[#This Row],[CUIT]]="","-",VLOOKUP(compras_mes5[[#This Row],[CUIT]],Lista_CUIT[#All],4,0)),"CUIT NO CARGADO")</f>
        <v>0</v>
      </c>
    </row>
    <row r="27" spans="2:18" x14ac:dyDescent="0.25">
      <c r="B27" s="367">
        <v>45051</v>
      </c>
      <c r="C27" s="368">
        <v>3</v>
      </c>
      <c r="D27" s="369">
        <v>6</v>
      </c>
      <c r="E27" s="370">
        <v>2062</v>
      </c>
      <c r="F27" s="371">
        <v>30710177658</v>
      </c>
      <c r="G27" s="372" t="str">
        <f>IFERROR(IF(compras_mes5[[#This Row],[CUIT]]="","-",VLOOKUP(compras_mes5[[#This Row],[CUIT]],Lista_CUIT[#All],2,0)),"CUIT NO CARGADO")</f>
        <v>TARGET MEDICAL SA</v>
      </c>
      <c r="H27" s="373">
        <v>-168495</v>
      </c>
      <c r="I27" s="339">
        <f>IF(compras_mes5[[#This Row],[NETO GRAVADO]]="","",compras_mes5[[#This Row],[NETO GRAVADO]]*0.21)</f>
        <v>-35383.949999999997</v>
      </c>
      <c r="J27" s="339"/>
      <c r="K27" s="339"/>
      <c r="L27" s="339"/>
      <c r="M27" s="339"/>
      <c r="N27" s="339">
        <v>-5897.3249999999998</v>
      </c>
      <c r="O27" s="339"/>
      <c r="P27" s="374">
        <f>SUM(compras_mes5[[#This Row],[NETO GRAVADO]:[Otros / No Grav.]])</f>
        <v>-209776.27500000002</v>
      </c>
      <c r="Q27" s="375" t="str">
        <f>IFERROR(IF(compras_mes5[[#This Row],[CUIT]]="","-",VLOOKUP(compras_mes5[[#This Row],[CUIT]],Lista_CUIT[#All],3,0)),"CUIT NO CARGADO")</f>
        <v>Productos Ortopedicos</v>
      </c>
      <c r="R27" s="375">
        <f>IFERROR(IF(compras_mes5[[#This Row],[CUIT]]="","-",VLOOKUP(compras_mes5[[#This Row],[CUIT]],Lista_CUIT[#All],4,0)),"CUIT NO CARGADO")</f>
        <v>0</v>
      </c>
    </row>
    <row r="28" spans="2:18" x14ac:dyDescent="0.25">
      <c r="B28" s="40">
        <v>45051</v>
      </c>
      <c r="C28" s="41">
        <v>1</v>
      </c>
      <c r="D28" s="42">
        <v>5</v>
      </c>
      <c r="E28" s="43">
        <v>2508</v>
      </c>
      <c r="F28" s="44">
        <v>33714662819</v>
      </c>
      <c r="G28" s="45" t="str">
        <f>IFERROR(IF(compras_mes5[[#This Row],[CUIT]]="","-",VLOOKUP(compras_mes5[[#This Row],[CUIT]],Lista_CUIT[#All],2,0)),"CUIT NO CARGADO")</f>
        <v>AYUDAS TECNICAS SRL</v>
      </c>
      <c r="H28" s="46">
        <v>637580</v>
      </c>
      <c r="I28" s="85">
        <f>IF(compras_mes5[[#This Row],[NETO GRAVADO]]="","",compras_mes5[[#This Row],[NETO GRAVADO]]*0.21)</f>
        <v>133891.79999999999</v>
      </c>
      <c r="J28" s="85"/>
      <c r="K28" s="85"/>
      <c r="L28" s="85"/>
      <c r="M28" s="85"/>
      <c r="N28" s="85"/>
      <c r="O28" s="85"/>
      <c r="P28" s="48">
        <f>SUM(compras_mes5[[#This Row],[NETO GRAVADO]:[Otros / No Grav.]])</f>
        <v>771471.8</v>
      </c>
      <c r="Q28" s="49" t="str">
        <f>IFERROR(IF(compras_mes5[[#This Row],[CUIT]]="","-",VLOOKUP(compras_mes5[[#This Row],[CUIT]],Lista_CUIT[#All],3,0)),"CUIT NO CARGADO")</f>
        <v>Productos Ortopedicos</v>
      </c>
      <c r="R28" s="49">
        <f>IFERROR(IF(compras_mes5[[#This Row],[CUIT]]="","-",VLOOKUP(compras_mes5[[#This Row],[CUIT]],Lista_CUIT[#All],4,0)),"CUIT NO CARGADO")</f>
        <v>0</v>
      </c>
    </row>
    <row r="29" spans="2:18" x14ac:dyDescent="0.25">
      <c r="B29" s="367">
        <v>45051</v>
      </c>
      <c r="C29" s="41">
        <v>1</v>
      </c>
      <c r="D29" s="369">
        <v>7</v>
      </c>
      <c r="E29" s="370">
        <v>26899</v>
      </c>
      <c r="F29" s="371">
        <v>20271532483</v>
      </c>
      <c r="G29" s="372" t="str">
        <f>IFERROR(IF(compras_mes5[[#This Row],[CUIT]]="","-",VLOOKUP(compras_mes5[[#This Row],[CUIT]],Lista_CUIT[#All],2,0)),"CUIT NO CARGADO")</f>
        <v>DIEGO MARTIN RIOS</v>
      </c>
      <c r="H29" s="373">
        <v>129000</v>
      </c>
      <c r="I29" s="339">
        <f>IF(compras_mes5[[#This Row],[NETO GRAVADO]]="","",compras_mes5[[#This Row],[NETO GRAVADO]]*0.21)</f>
        <v>27090</v>
      </c>
      <c r="J29" s="339"/>
      <c r="K29" s="339"/>
      <c r="L29" s="339"/>
      <c r="M29" s="339"/>
      <c r="N29" s="339">
        <v>4515</v>
      </c>
      <c r="O29" s="339"/>
      <c r="P29" s="374">
        <f>SUM(compras_mes5[[#This Row],[NETO GRAVADO]:[Otros / No Grav.]])</f>
        <v>160605</v>
      </c>
      <c r="Q29" s="375" t="str">
        <f>IFERROR(IF(compras_mes5[[#This Row],[CUIT]]="","-",VLOOKUP(compras_mes5[[#This Row],[CUIT]],Lista_CUIT[#All],3,0)),"CUIT NO CARGADO")</f>
        <v>Productos Ortopedicos</v>
      </c>
      <c r="R29" s="375">
        <f>IFERROR(IF(compras_mes5[[#This Row],[CUIT]]="","-",VLOOKUP(compras_mes5[[#This Row],[CUIT]],Lista_CUIT[#All],4,0)),"CUIT NO CARGADO")</f>
        <v>0</v>
      </c>
    </row>
    <row r="30" spans="2:18" x14ac:dyDescent="0.25">
      <c r="B30" s="367">
        <v>45051</v>
      </c>
      <c r="C30" s="41">
        <v>1</v>
      </c>
      <c r="D30" s="369">
        <v>6</v>
      </c>
      <c r="E30" s="370">
        <v>48214</v>
      </c>
      <c r="F30" s="371">
        <v>30710177658</v>
      </c>
      <c r="G30" s="372" t="str">
        <f>IFERROR(IF(compras_mes5[[#This Row],[CUIT]]="","-",VLOOKUP(compras_mes5[[#This Row],[CUIT]],Lista_CUIT[#All],2,0)),"CUIT NO CARGADO")</f>
        <v>TARGET MEDICAL SA</v>
      </c>
      <c r="H30" s="373">
        <v>424316</v>
      </c>
      <c r="I30" s="339">
        <f>IF(compras_mes5[[#This Row],[NETO GRAVADO]]="","",compras_mes5[[#This Row],[NETO GRAVADO]]*0.21)</f>
        <v>89106.36</v>
      </c>
      <c r="J30" s="339"/>
      <c r="K30" s="339"/>
      <c r="L30" s="339"/>
      <c r="M30" s="339"/>
      <c r="N30" s="339">
        <v>14851.06</v>
      </c>
      <c r="O30" s="339"/>
      <c r="P30" s="374">
        <f>SUM(compras_mes5[[#This Row],[NETO GRAVADO]:[Otros / No Grav.]])</f>
        <v>528273.42000000004</v>
      </c>
      <c r="Q30" s="375" t="str">
        <f>IFERROR(IF(compras_mes5[[#This Row],[CUIT]]="","-",VLOOKUP(compras_mes5[[#This Row],[CUIT]],Lista_CUIT[#All],3,0)),"CUIT NO CARGADO")</f>
        <v>Productos Ortopedicos</v>
      </c>
      <c r="R30" s="375">
        <f>IFERROR(IF(compras_mes5[[#This Row],[CUIT]]="","-",VLOOKUP(compras_mes5[[#This Row],[CUIT]],Lista_CUIT[#All],4,0)),"CUIT NO CARGADO")</f>
        <v>0</v>
      </c>
    </row>
    <row r="31" spans="2:18" x14ac:dyDescent="0.25">
      <c r="B31" s="367">
        <v>45051</v>
      </c>
      <c r="C31" s="368">
        <v>1</v>
      </c>
      <c r="D31" s="369">
        <v>6</v>
      </c>
      <c r="E31" s="370">
        <v>48216</v>
      </c>
      <c r="F31" s="371">
        <v>30710177658</v>
      </c>
      <c r="G31" s="372" t="str">
        <f>IFERROR(IF(compras_mes5[[#This Row],[CUIT]]="","-",VLOOKUP(compras_mes5[[#This Row],[CUIT]],Lista_CUIT[#All],2,0)),"CUIT NO CARGADO")</f>
        <v>TARGET MEDICAL SA</v>
      </c>
      <c r="H31" s="373">
        <v>424316</v>
      </c>
      <c r="I31" s="339">
        <f>IF(compras_mes5[[#This Row],[NETO GRAVADO]]="","",compras_mes5[[#This Row],[NETO GRAVADO]]*0.21)</f>
        <v>89106.36</v>
      </c>
      <c r="J31" s="339"/>
      <c r="K31" s="339"/>
      <c r="L31" s="339"/>
      <c r="M31" s="339"/>
      <c r="N31" s="339">
        <v>14851.06</v>
      </c>
      <c r="O31" s="339"/>
      <c r="P31" s="374">
        <f>SUM(compras_mes5[[#This Row],[NETO GRAVADO]:[Otros / No Grav.]])</f>
        <v>528273.42000000004</v>
      </c>
      <c r="Q31" s="375" t="str">
        <f>IFERROR(IF(compras_mes5[[#This Row],[CUIT]]="","-",VLOOKUP(compras_mes5[[#This Row],[CUIT]],Lista_CUIT[#All],3,0)),"CUIT NO CARGADO")</f>
        <v>Productos Ortopedicos</v>
      </c>
      <c r="R31" s="375">
        <f>IFERROR(IF(compras_mes5[[#This Row],[CUIT]]="","-",VLOOKUP(compras_mes5[[#This Row],[CUIT]],Lista_CUIT[#All],4,0)),"CUIT NO CARGADO")</f>
        <v>0</v>
      </c>
    </row>
    <row r="32" spans="2:18" x14ac:dyDescent="0.25">
      <c r="B32" s="40">
        <v>45052</v>
      </c>
      <c r="C32" s="41">
        <v>1</v>
      </c>
      <c r="D32" s="42">
        <v>5</v>
      </c>
      <c r="E32" s="43">
        <v>142312</v>
      </c>
      <c r="F32" s="44">
        <v>30598960093</v>
      </c>
      <c r="G32" s="45" t="str">
        <f>IFERROR(IF(compras_mes5[[#This Row],[CUIT]]="","-",VLOOKUP(compras_mes5[[#This Row],[CUIT]],Lista_CUIT[#All],2,0)),"CUIT NO CARGADO")</f>
        <v>SILVESTRIN FABRIS SRL</v>
      </c>
      <c r="H32" s="46">
        <v>783819.2</v>
      </c>
      <c r="I32" s="85">
        <f>IF(compras_mes5[[#This Row],[NETO GRAVADO]]="","",compras_mes5[[#This Row],[NETO GRAVADO]]*0.21)</f>
        <v>164602.03199999998</v>
      </c>
      <c r="J32" s="85"/>
      <c r="K32" s="85"/>
      <c r="L32" s="85"/>
      <c r="M32" s="85"/>
      <c r="N32" s="85">
        <v>27433.67</v>
      </c>
      <c r="O32" s="85"/>
      <c r="P32" s="48">
        <f>SUM(compras_mes5[[#This Row],[NETO GRAVADO]:[Otros / No Grav.]])</f>
        <v>975854.902</v>
      </c>
      <c r="Q32" s="49" t="str">
        <f>IFERROR(IF(compras_mes5[[#This Row],[CUIT]]="","-",VLOOKUP(compras_mes5[[#This Row],[CUIT]],Lista_CUIT[#All],3,0)),"CUIT NO CARGADO")</f>
        <v>Productos Ortopedicos</v>
      </c>
      <c r="R32" s="49">
        <f>IFERROR(IF(compras_mes5[[#This Row],[CUIT]]="","-",VLOOKUP(compras_mes5[[#This Row],[CUIT]],Lista_CUIT[#All],4,0)),"CUIT NO CARGADO")</f>
        <v>0</v>
      </c>
    </row>
    <row r="33" spans="2:18" x14ac:dyDescent="0.25">
      <c r="B33" s="367">
        <v>45054</v>
      </c>
      <c r="C33" s="41">
        <v>1</v>
      </c>
      <c r="D33" s="369">
        <v>3</v>
      </c>
      <c r="E33" s="370">
        <v>71</v>
      </c>
      <c r="F33" s="371">
        <v>20334976433</v>
      </c>
      <c r="G33" s="372" t="str">
        <f>IFERROR(IF(compras_mes5[[#This Row],[CUIT]]="","-",VLOOKUP(compras_mes5[[#This Row],[CUIT]],Lista_CUIT[#All],2,0)),"CUIT NO CARGADO")</f>
        <v>NARDOMARINO EZEQUIEL EDUARDO</v>
      </c>
      <c r="H33" s="373">
        <v>115690.08</v>
      </c>
      <c r="I33" s="339">
        <f>IF(compras_mes5[[#This Row],[NETO GRAVADO]]="","",compras_mes5[[#This Row],[NETO GRAVADO]]*0.21)</f>
        <v>24294.916799999999</v>
      </c>
      <c r="J33" s="339"/>
      <c r="K33" s="339"/>
      <c r="L33" s="339"/>
      <c r="M33" s="339"/>
      <c r="N33" s="339"/>
      <c r="O33" s="339"/>
      <c r="P33" s="374">
        <f>SUM(compras_mes5[[#This Row],[NETO GRAVADO]:[Otros / No Grav.]])</f>
        <v>139984.99679999999</v>
      </c>
      <c r="Q33" s="375" t="str">
        <f>IFERROR(IF(compras_mes5[[#This Row],[CUIT]]="","-",VLOOKUP(compras_mes5[[#This Row],[CUIT]],Lista_CUIT[#All],3,0)),"CUIT NO CARGADO")</f>
        <v>FLETE</v>
      </c>
      <c r="R33" s="375">
        <f>IFERROR(IF(compras_mes5[[#This Row],[CUIT]]="","-",VLOOKUP(compras_mes5[[#This Row],[CUIT]],Lista_CUIT[#All],4,0)),"CUIT NO CARGADO")</f>
        <v>0</v>
      </c>
    </row>
    <row r="34" spans="2:18" x14ac:dyDescent="0.25">
      <c r="B34" s="367">
        <v>45054</v>
      </c>
      <c r="C34" s="41">
        <v>3</v>
      </c>
      <c r="D34" s="369">
        <v>6</v>
      </c>
      <c r="E34" s="370">
        <v>2068</v>
      </c>
      <c r="F34" s="371">
        <v>30710177658</v>
      </c>
      <c r="G34" s="372" t="str">
        <f>IFERROR(IF(compras_mes5[[#This Row],[CUIT]]="","-",VLOOKUP(compras_mes5[[#This Row],[CUIT]],Lista_CUIT[#All],2,0)),"CUIT NO CARGADO")</f>
        <v>TARGET MEDICAL SA</v>
      </c>
      <c r="H34" s="373">
        <v>-51855</v>
      </c>
      <c r="I34" s="339">
        <f>IF(compras_mes5[[#This Row],[NETO GRAVADO]]="","",compras_mes5[[#This Row],[NETO GRAVADO]]*0.21)</f>
        <v>-10889.55</v>
      </c>
      <c r="J34" s="339"/>
      <c r="K34" s="339"/>
      <c r="L34" s="339"/>
      <c r="M34" s="339"/>
      <c r="N34" s="339"/>
      <c r="O34" s="339"/>
      <c r="P34" s="374">
        <f>SUM(compras_mes5[[#This Row],[NETO GRAVADO]:[Otros / No Grav.]])</f>
        <v>-62744.55</v>
      </c>
      <c r="Q34" s="375" t="str">
        <f>IFERROR(IF(compras_mes5[[#This Row],[CUIT]]="","-",VLOOKUP(compras_mes5[[#This Row],[CUIT]],Lista_CUIT[#All],3,0)),"CUIT NO CARGADO")</f>
        <v>Productos Ortopedicos</v>
      </c>
      <c r="R34" s="375">
        <f>IFERROR(IF(compras_mes5[[#This Row],[CUIT]]="","-",VLOOKUP(compras_mes5[[#This Row],[CUIT]],Lista_CUIT[#All],4,0)),"CUIT NO CARGADO")</f>
        <v>0</v>
      </c>
    </row>
    <row r="35" spans="2:18" x14ac:dyDescent="0.25">
      <c r="B35" s="367">
        <v>45054</v>
      </c>
      <c r="C35" s="368">
        <v>1</v>
      </c>
      <c r="D35" s="369">
        <v>6</v>
      </c>
      <c r="E35" s="370">
        <v>48226</v>
      </c>
      <c r="F35" s="371">
        <v>30710177658</v>
      </c>
      <c r="G35" s="372" t="str">
        <f>IFERROR(IF(compras_mes5[[#This Row],[CUIT]]="","-",VLOOKUP(compras_mes5[[#This Row],[CUIT]],Lista_CUIT[#All],2,0)),"CUIT NO CARGADO")</f>
        <v>TARGET MEDICAL SA</v>
      </c>
      <c r="H35" s="373">
        <v>113125</v>
      </c>
      <c r="I35" s="339">
        <f>IF(compras_mes5[[#This Row],[NETO GRAVADO]]="","",compras_mes5[[#This Row],[NETO GRAVADO]]*0.21)</f>
        <v>23756.25</v>
      </c>
      <c r="J35" s="339"/>
      <c r="K35" s="339"/>
      <c r="L35" s="339"/>
      <c r="M35" s="339"/>
      <c r="N35" s="339"/>
      <c r="O35" s="339"/>
      <c r="P35" s="374">
        <f>SUM(compras_mes5[[#This Row],[NETO GRAVADO]:[Otros / No Grav.]])</f>
        <v>136881.25</v>
      </c>
      <c r="Q35" s="375" t="str">
        <f>IFERROR(IF(compras_mes5[[#This Row],[CUIT]]="","-",VLOOKUP(compras_mes5[[#This Row],[CUIT]],Lista_CUIT[#All],3,0)),"CUIT NO CARGADO")</f>
        <v>Productos Ortopedicos</v>
      </c>
      <c r="R35" s="375">
        <f>IFERROR(IF(compras_mes5[[#This Row],[CUIT]]="","-",VLOOKUP(compras_mes5[[#This Row],[CUIT]],Lista_CUIT[#All],4,0)),"CUIT NO CARGADO")</f>
        <v>0</v>
      </c>
    </row>
    <row r="36" spans="2:18" x14ac:dyDescent="0.25">
      <c r="B36" s="219">
        <v>45054</v>
      </c>
      <c r="C36" s="209">
        <v>1</v>
      </c>
      <c r="D36" s="220">
        <v>26</v>
      </c>
      <c r="E36" s="221">
        <v>172543</v>
      </c>
      <c r="F36" s="222">
        <v>30708847247</v>
      </c>
      <c r="G36" s="223" t="str">
        <f>IFERROR(IF(compras_mes5[[#This Row],[CUIT]]="","-",VLOOKUP(compras_mes5[[#This Row],[CUIT]],Lista_CUIT[#All],2,0)),"CUIT NO CARGADO")</f>
        <v>TOAGRA SRL</v>
      </c>
      <c r="H36" s="224">
        <v>6671.62</v>
      </c>
      <c r="I36" s="225">
        <f>IF(compras_mes5[[#This Row],[NETO GRAVADO]]="","",compras_mes5[[#This Row],[NETO GRAVADO]]*0.21)</f>
        <v>1401.0401999999999</v>
      </c>
      <c r="J36" s="225"/>
      <c r="K36" s="225"/>
      <c r="L36" s="225"/>
      <c r="M36" s="225"/>
      <c r="N36" s="225">
        <v>233.51</v>
      </c>
      <c r="O36" s="225"/>
      <c r="P36" s="226">
        <f>SUM(compras_mes5[[#This Row],[NETO GRAVADO]:[Otros / No Grav.]])</f>
        <v>8306.1702000000005</v>
      </c>
      <c r="Q36" s="227" t="str">
        <f>IFERROR(IF(compras_mes5[[#This Row],[CUIT]]="","-",VLOOKUP(compras_mes5[[#This Row],[CUIT]],Lista_CUIT[#All],3,0)),"CUIT NO CARGADO")</f>
        <v>GASTOS VARIOS</v>
      </c>
      <c r="R36" s="227">
        <f>IFERROR(IF(compras_mes5[[#This Row],[CUIT]]="","-",VLOOKUP(compras_mes5[[#This Row],[CUIT]],Lista_CUIT[#All],4,0)),"CUIT NO CARGADO")</f>
        <v>0</v>
      </c>
    </row>
    <row r="37" spans="2:18" x14ac:dyDescent="0.25">
      <c r="B37" s="367">
        <v>45054</v>
      </c>
      <c r="C37" s="41">
        <v>1</v>
      </c>
      <c r="D37" s="369">
        <v>12</v>
      </c>
      <c r="E37" s="370">
        <v>1604758</v>
      </c>
      <c r="F37" s="371">
        <v>30709776564</v>
      </c>
      <c r="G37" s="372" t="str">
        <f>IFERROR(IF(compras_mes5[[#This Row],[CUIT]]="","-",VLOOKUP(compras_mes5[[#This Row],[CUIT]],Lista_CUIT[#All],2,0)),"CUIT NO CARGADO")</f>
        <v>PROSEGUR ACTIVA ARG SA</v>
      </c>
      <c r="H37" s="373">
        <v>16492.2</v>
      </c>
      <c r="I37" s="339">
        <f>IF(compras_mes5[[#This Row],[NETO GRAVADO]]="","",compras_mes5[[#This Row],[NETO GRAVADO]]*0.21)</f>
        <v>3463.3620000000001</v>
      </c>
      <c r="J37" s="339"/>
      <c r="K37" s="339"/>
      <c r="L37" s="339"/>
      <c r="M37" s="339"/>
      <c r="N37" s="339">
        <v>577.23</v>
      </c>
      <c r="O37" s="339"/>
      <c r="P37" s="374">
        <f>SUM(compras_mes5[[#This Row],[NETO GRAVADO]:[Otros / No Grav.]])</f>
        <v>20532.792000000001</v>
      </c>
      <c r="Q37" s="375" t="str">
        <f>IFERROR(IF(compras_mes5[[#This Row],[CUIT]]="","-",VLOOKUP(compras_mes5[[#This Row],[CUIT]],Lista_CUIT[#All],3,0)),"CUIT NO CARGADO")</f>
        <v>SEGURIDAD</v>
      </c>
      <c r="R37" s="375">
        <f>IFERROR(IF(compras_mes5[[#This Row],[CUIT]]="","-",VLOOKUP(compras_mes5[[#This Row],[CUIT]],Lista_CUIT[#All],4,0)),"CUIT NO CARGADO")</f>
        <v>0</v>
      </c>
    </row>
    <row r="38" spans="2:18" x14ac:dyDescent="0.25">
      <c r="B38" s="367">
        <v>45055</v>
      </c>
      <c r="C38" s="41">
        <v>1</v>
      </c>
      <c r="D38" s="369">
        <v>2</v>
      </c>
      <c r="E38" s="370">
        <v>689</v>
      </c>
      <c r="F38" s="371">
        <v>20140958213</v>
      </c>
      <c r="G38" s="372" t="str">
        <f>IFERROR(IF(compras_mes5[[#This Row],[CUIT]]="","-",VLOOKUP(compras_mes5[[#This Row],[CUIT]],Lista_CUIT[#All],2,0)),"CUIT NO CARGADO")</f>
        <v>ESPAÑA ALEJANDRO JORGE</v>
      </c>
      <c r="H38" s="373">
        <v>266115.7</v>
      </c>
      <c r="I38" s="339">
        <f>IF(compras_mes5[[#This Row],[NETO GRAVADO]]="","",compras_mes5[[#This Row],[NETO GRAVADO]]*0.21)</f>
        <v>55884.296999999999</v>
      </c>
      <c r="J38" s="339"/>
      <c r="K38" s="339"/>
      <c r="L38" s="339"/>
      <c r="M38" s="339"/>
      <c r="N38" s="339"/>
      <c r="O38" s="339"/>
      <c r="P38" s="374">
        <f>SUM(compras_mes5[[#This Row],[NETO GRAVADO]:[Otros / No Grav.]])</f>
        <v>321999.99700000003</v>
      </c>
      <c r="Q38" s="375" t="str">
        <f>IFERROR(IF(compras_mes5[[#This Row],[CUIT]]="","-",VLOOKUP(compras_mes5[[#This Row],[CUIT]],Lista_CUIT[#All],3,0)),"CUIT NO CARGADO")</f>
        <v>Productos Ortopedicos</v>
      </c>
      <c r="R38" s="375">
        <f>IFERROR(IF(compras_mes5[[#This Row],[CUIT]]="","-",VLOOKUP(compras_mes5[[#This Row],[CUIT]],Lista_CUIT[#All],4,0)),"CUIT NO CARGADO")</f>
        <v>0</v>
      </c>
    </row>
    <row r="39" spans="2:18" x14ac:dyDescent="0.25">
      <c r="B39" s="367">
        <v>45055</v>
      </c>
      <c r="C39" s="41">
        <v>1</v>
      </c>
      <c r="D39" s="369">
        <v>1</v>
      </c>
      <c r="E39" s="370">
        <v>830</v>
      </c>
      <c r="F39" s="371">
        <v>30715224468</v>
      </c>
      <c r="G39" s="372" t="str">
        <f>IFERROR(IF(compras_mes5[[#This Row],[CUIT]]="","-",VLOOKUP(compras_mes5[[#This Row],[CUIT]],Lista_CUIT[#All],2,0)),"CUIT NO CARGADO")</f>
        <v>MLND SRL</v>
      </c>
      <c r="H39" s="373">
        <v>33600</v>
      </c>
      <c r="I39" s="339">
        <f>IF(compras_mes5[[#This Row],[NETO GRAVADO]]="","",compras_mes5[[#This Row],[NETO GRAVADO]]*0.21)</f>
        <v>7056</v>
      </c>
      <c r="J39" s="339"/>
      <c r="K39" s="339"/>
      <c r="L39" s="339"/>
      <c r="M39" s="339"/>
      <c r="N39" s="339"/>
      <c r="O39" s="339"/>
      <c r="P39" s="374">
        <f>SUM(compras_mes5[[#This Row],[NETO GRAVADO]:[Otros / No Grav.]])</f>
        <v>40656</v>
      </c>
      <c r="Q39" s="375" t="str">
        <f>IFERROR(IF(compras_mes5[[#This Row],[CUIT]]="","-",VLOOKUP(compras_mes5[[#This Row],[CUIT]],Lista_CUIT[#All],3,0)),"CUIT NO CARGADO")</f>
        <v>Productos Ortopedicos</v>
      </c>
      <c r="R39" s="375">
        <f>IFERROR(IF(compras_mes5[[#This Row],[CUIT]]="","-",VLOOKUP(compras_mes5[[#This Row],[CUIT]],Lista_CUIT[#All],4,0)),"CUIT NO CARGADO")</f>
        <v>0</v>
      </c>
    </row>
    <row r="40" spans="2:18" x14ac:dyDescent="0.25">
      <c r="B40" s="367">
        <v>45055</v>
      </c>
      <c r="C40" s="41">
        <v>1</v>
      </c>
      <c r="D40" s="369">
        <v>17</v>
      </c>
      <c r="E40" s="370">
        <v>983</v>
      </c>
      <c r="F40" s="371">
        <v>30711764921</v>
      </c>
      <c r="G40" s="372" t="str">
        <f>IFERROR(IF(compras_mes5[[#This Row],[CUIT]]="","-",VLOOKUP(compras_mes5[[#This Row],[CUIT]],Lista_CUIT[#All],2,0)),"CUIT NO CARGADO")</f>
        <v>RELIEF CENTER SRL</v>
      </c>
      <c r="H40" s="373">
        <v>25748</v>
      </c>
      <c r="I40" s="339">
        <f>IF(compras_mes5[[#This Row],[NETO GRAVADO]]="","",compras_mes5[[#This Row],[NETO GRAVADO]]*0.21)</f>
        <v>5407.08</v>
      </c>
      <c r="J40" s="339"/>
      <c r="K40" s="339"/>
      <c r="L40" s="339"/>
      <c r="M40" s="339"/>
      <c r="N40" s="339"/>
      <c r="O40" s="339"/>
      <c r="P40" s="374">
        <f>SUM(compras_mes5[[#This Row],[NETO GRAVADO]:[Otros / No Grav.]])</f>
        <v>31155.08</v>
      </c>
      <c r="Q40" s="375" t="str">
        <f>IFERROR(IF(compras_mes5[[#This Row],[CUIT]]="","-",VLOOKUP(compras_mes5[[#This Row],[CUIT]],Lista_CUIT[#All],3,0)),"CUIT NO CARGADO")</f>
        <v>Productos Ortopedicos</v>
      </c>
      <c r="R40" s="375">
        <f>IFERROR(IF(compras_mes5[[#This Row],[CUIT]]="","-",VLOOKUP(compras_mes5[[#This Row],[CUIT]],Lista_CUIT[#All],4,0)),"CUIT NO CARGADO")</f>
        <v>0</v>
      </c>
    </row>
    <row r="41" spans="2:18" x14ac:dyDescent="0.25">
      <c r="B41" s="367">
        <v>45055</v>
      </c>
      <c r="C41" s="368">
        <v>1</v>
      </c>
      <c r="D41" s="369">
        <v>948</v>
      </c>
      <c r="E41" s="370">
        <v>965123</v>
      </c>
      <c r="F41" s="371">
        <v>30639453975</v>
      </c>
      <c r="G41" s="372" t="str">
        <f>IFERROR(IF(compras_mes5[[#This Row],[CUIT]]="","-",VLOOKUP(compras_mes5[[#This Row],[CUIT]],Lista_CUIT[#All],2,0)),"CUIT NO CARGADO")</f>
        <v>TELEFONICA ARG SA</v>
      </c>
      <c r="H41" s="373">
        <v>10468.68</v>
      </c>
      <c r="I41" s="339"/>
      <c r="J41" s="339">
        <v>2826.54</v>
      </c>
      <c r="K41" s="339"/>
      <c r="L41" s="339">
        <v>314.06</v>
      </c>
      <c r="M41" s="339"/>
      <c r="N41" s="339">
        <v>366.4</v>
      </c>
      <c r="O41" s="339"/>
      <c r="P41" s="374">
        <f>SUM(compras_mes5[[#This Row],[NETO GRAVADO]:[Otros / No Grav.]])</f>
        <v>13975.68</v>
      </c>
      <c r="Q41" s="375" t="str">
        <f>IFERROR(IF(compras_mes5[[#This Row],[CUIT]]="","-",VLOOKUP(compras_mes5[[#This Row],[CUIT]],Lista_CUIT[#All],3,0)),"CUIT NO CARGADO")</f>
        <v>TELEFONIA</v>
      </c>
      <c r="R41" s="375">
        <f>IFERROR(IF(compras_mes5[[#This Row],[CUIT]]="","-",VLOOKUP(compras_mes5[[#This Row],[CUIT]],Lista_CUIT[#All],4,0)),"CUIT NO CARGADO")</f>
        <v>0</v>
      </c>
    </row>
    <row r="42" spans="2:18" x14ac:dyDescent="0.25">
      <c r="B42" s="40">
        <v>45056</v>
      </c>
      <c r="C42" s="41">
        <v>1</v>
      </c>
      <c r="D42" s="42">
        <v>5</v>
      </c>
      <c r="E42" s="43">
        <v>142500</v>
      </c>
      <c r="F42" s="44">
        <v>30598960093</v>
      </c>
      <c r="G42" s="45" t="str">
        <f>IFERROR(IF(compras_mes5[[#This Row],[CUIT]]="","-",VLOOKUP(compras_mes5[[#This Row],[CUIT]],Lista_CUIT[#All],2,0)),"CUIT NO CARGADO")</f>
        <v>SILVESTRIN FABRIS SRL</v>
      </c>
      <c r="H42" s="46">
        <v>363520</v>
      </c>
      <c r="I42" s="85">
        <f>IF(compras_mes5[[#This Row],[NETO GRAVADO]]="","",compras_mes5[[#This Row],[NETO GRAVADO]]*0.21)</f>
        <v>76339.199999999997</v>
      </c>
      <c r="J42" s="85"/>
      <c r="K42" s="85"/>
      <c r="L42" s="85"/>
      <c r="M42" s="85"/>
      <c r="N42" s="85">
        <v>12723.2</v>
      </c>
      <c r="O42" s="85"/>
      <c r="P42" s="48">
        <f>SUM(compras_mes5[[#This Row],[NETO GRAVADO]:[Otros / No Grav.]])</f>
        <v>452582.40000000002</v>
      </c>
      <c r="Q42" s="49" t="str">
        <f>IFERROR(IF(compras_mes5[[#This Row],[CUIT]]="","-",VLOOKUP(compras_mes5[[#This Row],[CUIT]],Lista_CUIT[#All],3,0)),"CUIT NO CARGADO")</f>
        <v>Productos Ortopedicos</v>
      </c>
      <c r="R42" s="49">
        <f>IFERROR(IF(compras_mes5[[#This Row],[CUIT]]="","-",VLOOKUP(compras_mes5[[#This Row],[CUIT]],Lista_CUIT[#All],4,0)),"CUIT NO CARGADO")</f>
        <v>0</v>
      </c>
    </row>
    <row r="43" spans="2:18" x14ac:dyDescent="0.25">
      <c r="B43" s="219">
        <v>45057</v>
      </c>
      <c r="C43" s="209">
        <v>1</v>
      </c>
      <c r="D43" s="220">
        <v>3</v>
      </c>
      <c r="E43" s="221">
        <v>7770</v>
      </c>
      <c r="F43" s="222">
        <v>20045615473</v>
      </c>
      <c r="G43" s="223" t="str">
        <f>IFERROR(IF(compras_mes5[[#This Row],[CUIT]]="","-",VLOOKUP(compras_mes5[[#This Row],[CUIT]],Lista_CUIT[#All],2,0)),"CUIT NO CARGADO")</f>
        <v xml:space="preserve">DI FEO HUGO PASCUAL </v>
      </c>
      <c r="H43" s="224">
        <v>55030</v>
      </c>
      <c r="I43" s="225">
        <f>IF(compras_mes5[[#This Row],[NETO GRAVADO]]="","",compras_mes5[[#This Row],[NETO GRAVADO]]*0.21)</f>
        <v>11556.3</v>
      </c>
      <c r="J43" s="225"/>
      <c r="K43" s="225"/>
      <c r="L43" s="225"/>
      <c r="M43" s="225"/>
      <c r="N43" s="225"/>
      <c r="O43" s="225"/>
      <c r="P43" s="226">
        <f>SUM(compras_mes5[[#This Row],[NETO GRAVADO]:[Otros / No Grav.]])</f>
        <v>66586.3</v>
      </c>
      <c r="Q43" s="227" t="str">
        <f>IFERROR(IF(compras_mes5[[#This Row],[CUIT]]="","-",VLOOKUP(compras_mes5[[#This Row],[CUIT]],Lista_CUIT[#All],3,0)),"CUIT NO CARGADO")</f>
        <v>Productos Ortopedicos</v>
      </c>
      <c r="R43" s="227">
        <f>IFERROR(IF(compras_mes5[[#This Row],[CUIT]]="","-",VLOOKUP(compras_mes5[[#This Row],[CUIT]],Lista_CUIT[#All],4,0)),"CUIT NO CARGADO")</f>
        <v>0</v>
      </c>
    </row>
    <row r="44" spans="2:18" x14ac:dyDescent="0.25">
      <c r="B44" s="367">
        <v>45058</v>
      </c>
      <c r="C44" s="41">
        <v>1</v>
      </c>
      <c r="D44" s="369">
        <v>120</v>
      </c>
      <c r="E44" s="370">
        <v>2612</v>
      </c>
      <c r="F44" s="371">
        <v>30587197215</v>
      </c>
      <c r="G44" s="372" t="str">
        <f>IFERROR(IF(compras_mes5[[#This Row],[CUIT]]="","-",VLOOKUP(compras_mes5[[#This Row],[CUIT]],Lista_CUIT[#All],2,0)),"CUIT NO CARGADO")</f>
        <v>PANATEL SOCIEDAD ANONIMA</v>
      </c>
      <c r="H44" s="373">
        <v>16528.93</v>
      </c>
      <c r="I44" s="339">
        <f>IF(compras_mes5[[#This Row],[NETO GRAVADO]]="","",compras_mes5[[#This Row],[NETO GRAVADO]]*0.21)</f>
        <v>3471.0753</v>
      </c>
      <c r="J44" s="339"/>
      <c r="K44" s="339"/>
      <c r="L44" s="339"/>
      <c r="M44" s="339"/>
      <c r="N44" s="339"/>
      <c r="O44" s="339"/>
      <c r="P44" s="374">
        <f>SUM(compras_mes5[[#This Row],[NETO GRAVADO]:[Otros / No Grav.]])</f>
        <v>20000.005300000001</v>
      </c>
      <c r="Q44" s="375" t="str">
        <f>IFERROR(IF(compras_mes5[[#This Row],[CUIT]]="","-",VLOOKUP(compras_mes5[[#This Row],[CUIT]],Lista_CUIT[#All],3,0)),"CUIT NO CARGADO")</f>
        <v>Gastos Varios</v>
      </c>
      <c r="R44" s="375">
        <f>IFERROR(IF(compras_mes5[[#This Row],[CUIT]]="","-",VLOOKUP(compras_mes5[[#This Row],[CUIT]],Lista_CUIT[#All],4,0)),"CUIT NO CARGADO")</f>
        <v>0</v>
      </c>
    </row>
    <row r="45" spans="2:18" x14ac:dyDescent="0.25">
      <c r="B45" s="367">
        <v>45061</v>
      </c>
      <c r="C45" s="41">
        <v>1</v>
      </c>
      <c r="D45" s="369">
        <v>3</v>
      </c>
      <c r="E45" s="370">
        <v>73</v>
      </c>
      <c r="F45" s="371">
        <v>20334976433</v>
      </c>
      <c r="G45" s="372" t="str">
        <f>IFERROR(IF(compras_mes5[[#This Row],[CUIT]]="","-",VLOOKUP(compras_mes5[[#This Row],[CUIT]],Lista_CUIT[#All],2,0)),"CUIT NO CARGADO")</f>
        <v>NARDOMARINO EZEQUIEL EDUARDO</v>
      </c>
      <c r="H45" s="373">
        <v>147241.32</v>
      </c>
      <c r="I45" s="339">
        <f>IF(compras_mes5[[#This Row],[NETO GRAVADO]]="","",compras_mes5[[#This Row],[NETO GRAVADO]]*0.21)</f>
        <v>30920.677200000002</v>
      </c>
      <c r="J45" s="339"/>
      <c r="K45" s="339"/>
      <c r="L45" s="339"/>
      <c r="M45" s="339"/>
      <c r="N45" s="339"/>
      <c r="O45" s="339"/>
      <c r="P45" s="374">
        <f>SUM(compras_mes5[[#This Row],[NETO GRAVADO]:[Otros / No Grav.]])</f>
        <v>178161.99720000001</v>
      </c>
      <c r="Q45" s="375" t="str">
        <f>IFERROR(IF(compras_mes5[[#This Row],[CUIT]]="","-",VLOOKUP(compras_mes5[[#This Row],[CUIT]],Lista_CUIT[#All],3,0)),"CUIT NO CARGADO")</f>
        <v>FLETE</v>
      </c>
      <c r="R45" s="375">
        <f>IFERROR(IF(compras_mes5[[#This Row],[CUIT]]="","-",VLOOKUP(compras_mes5[[#This Row],[CUIT]],Lista_CUIT[#All],4,0)),"CUIT NO CARGADO")</f>
        <v>0</v>
      </c>
    </row>
    <row r="46" spans="2:18" ht="14.45" customHeight="1" x14ac:dyDescent="0.25">
      <c r="B46" s="367">
        <v>45061</v>
      </c>
      <c r="C46" s="41">
        <v>1</v>
      </c>
      <c r="D46" s="369">
        <v>2</v>
      </c>
      <c r="E46" s="370">
        <v>7909</v>
      </c>
      <c r="F46" s="371">
        <v>30643862928</v>
      </c>
      <c r="G46" s="372" t="str">
        <f>IFERROR(IF(compras_mes5[[#This Row],[CUIT]]="","-",VLOOKUP(compras_mes5[[#This Row],[CUIT]],Lista_CUIT[#All],2,0)),"CUIT NO CARGADO")</f>
        <v>OUTLANDISH SRL</v>
      </c>
      <c r="H46" s="373">
        <v>35537.19</v>
      </c>
      <c r="I46" s="339">
        <f>IF(compras_mes5[[#This Row],[NETO GRAVADO]]="","",compras_mes5[[#This Row],[NETO GRAVADO]]*0.21)</f>
        <v>7462.8099000000002</v>
      </c>
      <c r="J46" s="339"/>
      <c r="K46" s="339"/>
      <c r="L46" s="339"/>
      <c r="M46" s="339"/>
      <c r="N46" s="339"/>
      <c r="O46" s="339"/>
      <c r="P46" s="374">
        <f>SUM(compras_mes5[[#This Row],[NETO GRAVADO]:[Otros / No Grav.]])</f>
        <v>42999.999900000003</v>
      </c>
      <c r="Q46" s="375" t="str">
        <f>IFERROR(IF(compras_mes5[[#This Row],[CUIT]]="","-",VLOOKUP(compras_mes5[[#This Row],[CUIT]],Lista_CUIT[#All],3,0)),"CUIT NO CARGADO")</f>
        <v>Productos Ortopedicos</v>
      </c>
      <c r="R46" s="375">
        <f>IFERROR(IF(compras_mes5[[#This Row],[CUIT]]="","-",VLOOKUP(compras_mes5[[#This Row],[CUIT]],Lista_CUIT[#All],4,0)),"CUIT NO CARGADO")</f>
        <v>0</v>
      </c>
    </row>
    <row r="47" spans="2:18" ht="15" customHeight="1" x14ac:dyDescent="0.25">
      <c r="B47" s="367">
        <v>45062</v>
      </c>
      <c r="C47" s="41">
        <v>1</v>
      </c>
      <c r="D47" s="369">
        <v>5</v>
      </c>
      <c r="E47" s="370">
        <v>1212</v>
      </c>
      <c r="F47" s="371">
        <v>30712187316</v>
      </c>
      <c r="G47" s="372" t="str">
        <f>IFERROR(IF(compras_mes5[[#This Row],[CUIT]]="","-",VLOOKUP(compras_mes5[[#This Row],[CUIT]],Lista_CUIT[#All],2,0)),"CUIT NO CARGADO")</f>
        <v>ITALOMED PRODUCTOS SRL</v>
      </c>
      <c r="H47" s="373">
        <v>144738.71</v>
      </c>
      <c r="I47" s="339">
        <f>IF(compras_mes5[[#This Row],[NETO GRAVADO]]="","",compras_mes5[[#This Row],[NETO GRAVADO]]*0.21)</f>
        <v>30395.129099999998</v>
      </c>
      <c r="J47" s="339"/>
      <c r="K47" s="339"/>
      <c r="L47" s="339"/>
      <c r="M47" s="339"/>
      <c r="N47" s="339"/>
      <c r="O47" s="339"/>
      <c r="P47" s="374">
        <f>SUM(compras_mes5[[#This Row],[NETO GRAVADO]:[Otros / No Grav.]])</f>
        <v>175133.83909999998</v>
      </c>
      <c r="Q47" s="375" t="str">
        <f>IFERROR(IF(compras_mes5[[#This Row],[CUIT]]="","-",VLOOKUP(compras_mes5[[#This Row],[CUIT]],Lista_CUIT[#All],3,0)),"CUIT NO CARGADO")</f>
        <v>Productos Ortopedicos</v>
      </c>
      <c r="R47" s="375">
        <f>IFERROR(IF(compras_mes5[[#This Row],[CUIT]]="","-",VLOOKUP(compras_mes5[[#This Row],[CUIT]],Lista_CUIT[#All],4,0)),"CUIT NO CARGADO")</f>
        <v>0</v>
      </c>
    </row>
    <row r="48" spans="2:18" ht="15" customHeight="1" x14ac:dyDescent="0.25">
      <c r="B48" s="367">
        <v>45062</v>
      </c>
      <c r="C48" s="41">
        <v>1</v>
      </c>
      <c r="D48" s="369">
        <v>5</v>
      </c>
      <c r="E48" s="370">
        <v>1213</v>
      </c>
      <c r="F48" s="371">
        <v>30712187316</v>
      </c>
      <c r="G48" s="372" t="str">
        <f>IFERROR(IF(compras_mes5[[#This Row],[CUIT]]="","-",VLOOKUP(compras_mes5[[#This Row],[CUIT]],Lista_CUIT[#All],2,0)),"CUIT NO CARGADO")</f>
        <v>ITALOMED PRODUCTOS SRL</v>
      </c>
      <c r="H48" s="373">
        <v>12872.45</v>
      </c>
      <c r="I48" s="339">
        <f>IF(compras_mes5[[#This Row],[NETO GRAVADO]]="","",compras_mes5[[#This Row],[NETO GRAVADO]]*0.21)</f>
        <v>2703.2145</v>
      </c>
      <c r="J48" s="339"/>
      <c r="K48" s="339"/>
      <c r="L48" s="339"/>
      <c r="M48" s="339"/>
      <c r="N48" s="339"/>
      <c r="O48" s="339"/>
      <c r="P48" s="374">
        <f>SUM(compras_mes5[[#This Row],[NETO GRAVADO]:[Otros / No Grav.]])</f>
        <v>15575.664500000001</v>
      </c>
      <c r="Q48" s="375" t="str">
        <f>IFERROR(IF(compras_mes5[[#This Row],[CUIT]]="","-",VLOOKUP(compras_mes5[[#This Row],[CUIT]],Lista_CUIT[#All],3,0)),"CUIT NO CARGADO")</f>
        <v>Productos Ortopedicos</v>
      </c>
      <c r="R48" s="375">
        <f>IFERROR(IF(compras_mes5[[#This Row],[CUIT]]="","-",VLOOKUP(compras_mes5[[#This Row],[CUIT]],Lista_CUIT[#All],4,0)),"CUIT NO CARGADO")</f>
        <v>0</v>
      </c>
    </row>
    <row r="49" spans="2:18" ht="15" customHeight="1" x14ac:dyDescent="0.25">
      <c r="B49" s="367">
        <v>45062</v>
      </c>
      <c r="C49" s="41">
        <v>1</v>
      </c>
      <c r="D49" s="369">
        <v>7</v>
      </c>
      <c r="E49" s="370">
        <v>26983</v>
      </c>
      <c r="F49" s="371">
        <v>20271532483</v>
      </c>
      <c r="G49" s="372" t="str">
        <f>IFERROR(IF(compras_mes5[[#This Row],[CUIT]]="","-",VLOOKUP(compras_mes5[[#This Row],[CUIT]],Lista_CUIT[#All],2,0)),"CUIT NO CARGADO")</f>
        <v>DIEGO MARTIN RIOS</v>
      </c>
      <c r="H49" s="373">
        <v>1222106.47</v>
      </c>
      <c r="I49" s="339">
        <f>IF(compras_mes5[[#This Row],[NETO GRAVADO]]="","",compras_mes5[[#This Row],[NETO GRAVADO]]*0.21)</f>
        <v>256642.35869999998</v>
      </c>
      <c r="J49" s="339"/>
      <c r="K49" s="339"/>
      <c r="L49" s="339"/>
      <c r="M49" s="339"/>
      <c r="N49" s="339">
        <v>42773.73</v>
      </c>
      <c r="O49" s="339"/>
      <c r="P49" s="374">
        <f>SUM(compras_mes5[[#This Row],[NETO GRAVADO]:[Otros / No Grav.]])</f>
        <v>1521522.5586999999</v>
      </c>
      <c r="Q49" s="375" t="str">
        <f>IFERROR(IF(compras_mes5[[#This Row],[CUIT]]="","-",VLOOKUP(compras_mes5[[#This Row],[CUIT]],Lista_CUIT[#All],3,0)),"CUIT NO CARGADO")</f>
        <v>Productos Ortopedicos</v>
      </c>
      <c r="R49" s="375">
        <f>IFERROR(IF(compras_mes5[[#This Row],[CUIT]]="","-",VLOOKUP(compras_mes5[[#This Row],[CUIT]],Lista_CUIT[#All],4,0)),"CUIT NO CARGADO")</f>
        <v>0</v>
      </c>
    </row>
    <row r="50" spans="2:18" ht="15" customHeight="1" x14ac:dyDescent="0.25">
      <c r="B50" s="367">
        <v>45062</v>
      </c>
      <c r="C50" s="41">
        <v>1</v>
      </c>
      <c r="D50" s="369">
        <v>7</v>
      </c>
      <c r="E50" s="370">
        <v>26984</v>
      </c>
      <c r="F50" s="371">
        <v>20271532483</v>
      </c>
      <c r="G50" s="372" t="str">
        <f>IFERROR(IF(compras_mes5[[#This Row],[CUIT]]="","-",VLOOKUP(compras_mes5[[#This Row],[CUIT]],Lista_CUIT[#All],2,0)),"CUIT NO CARGADO")</f>
        <v>DIEGO MARTIN RIOS</v>
      </c>
      <c r="H50" s="373">
        <v>482281.46</v>
      </c>
      <c r="I50" s="339">
        <f>IF(compras_mes5[[#This Row],[NETO GRAVADO]]="","",compras_mes5[[#This Row],[NETO GRAVADO]]*0.21)</f>
        <v>101279.1066</v>
      </c>
      <c r="J50" s="339"/>
      <c r="K50" s="339"/>
      <c r="L50" s="339"/>
      <c r="M50" s="339"/>
      <c r="N50" s="339">
        <v>16879.849999999999</v>
      </c>
      <c r="O50" s="339"/>
      <c r="P50" s="374">
        <f>SUM(compras_mes5[[#This Row],[NETO GRAVADO]:[Otros / No Grav.]])</f>
        <v>600440.4166</v>
      </c>
      <c r="Q50" s="375" t="str">
        <f>IFERROR(IF(compras_mes5[[#This Row],[CUIT]]="","-",VLOOKUP(compras_mes5[[#This Row],[CUIT]],Lista_CUIT[#All],3,0)),"CUIT NO CARGADO")</f>
        <v>Productos Ortopedicos</v>
      </c>
      <c r="R50" s="375">
        <f>IFERROR(IF(compras_mes5[[#This Row],[CUIT]]="","-",VLOOKUP(compras_mes5[[#This Row],[CUIT]],Lista_CUIT[#All],4,0)),"CUIT NO CARGADO")</f>
        <v>0</v>
      </c>
    </row>
    <row r="51" spans="2:18" ht="15" customHeight="1" x14ac:dyDescent="0.25">
      <c r="B51" s="367">
        <v>45062</v>
      </c>
      <c r="C51" s="41">
        <v>1</v>
      </c>
      <c r="D51" s="369">
        <v>7</v>
      </c>
      <c r="E51" s="370">
        <v>26985</v>
      </c>
      <c r="F51" s="371">
        <v>20271532483</v>
      </c>
      <c r="G51" s="372" t="str">
        <f>IFERROR(IF(compras_mes5[[#This Row],[CUIT]]="","-",VLOOKUP(compras_mes5[[#This Row],[CUIT]],Lista_CUIT[#All],2,0)),"CUIT NO CARGADO")</f>
        <v>DIEGO MARTIN RIOS</v>
      </c>
      <c r="H51" s="373">
        <v>1500536.88</v>
      </c>
      <c r="I51" s="339">
        <f>IF(compras_mes5[[#This Row],[NETO GRAVADO]]="","",compras_mes5[[#This Row],[NETO GRAVADO]]*0.21)</f>
        <v>315112.74479999999</v>
      </c>
      <c r="J51" s="339"/>
      <c r="K51" s="339"/>
      <c r="L51" s="339"/>
      <c r="M51" s="339"/>
      <c r="N51" s="339">
        <v>52518.79</v>
      </c>
      <c r="O51" s="339"/>
      <c r="P51" s="374">
        <f>SUM(compras_mes5[[#This Row],[NETO GRAVADO]:[Otros / No Grav.]])</f>
        <v>1868168.4147999999</v>
      </c>
      <c r="Q51" s="375" t="str">
        <f>IFERROR(IF(compras_mes5[[#This Row],[CUIT]]="","-",VLOOKUP(compras_mes5[[#This Row],[CUIT]],Lista_CUIT[#All],3,0)),"CUIT NO CARGADO")</f>
        <v>Productos Ortopedicos</v>
      </c>
      <c r="R51" s="375">
        <f>IFERROR(IF(compras_mes5[[#This Row],[CUIT]]="","-",VLOOKUP(compras_mes5[[#This Row],[CUIT]],Lista_CUIT[#All],4,0)),"CUIT NO CARGADO")</f>
        <v>0</v>
      </c>
    </row>
    <row r="52" spans="2:18" ht="15" customHeight="1" x14ac:dyDescent="0.25">
      <c r="B52" s="367">
        <v>45062</v>
      </c>
      <c r="C52" s="41">
        <v>1</v>
      </c>
      <c r="D52" s="369">
        <v>7</v>
      </c>
      <c r="E52" s="370">
        <v>26986</v>
      </c>
      <c r="F52" s="371">
        <v>20271532483</v>
      </c>
      <c r="G52" s="372" t="str">
        <f>IFERROR(IF(compras_mes5[[#This Row],[CUIT]]="","-",VLOOKUP(compras_mes5[[#This Row],[CUIT]],Lista_CUIT[#All],2,0)),"CUIT NO CARGADO")</f>
        <v>DIEGO MARTIN RIOS</v>
      </c>
      <c r="H52" s="373">
        <v>527419.30000000005</v>
      </c>
      <c r="I52" s="339">
        <f>IF(compras_mes5[[#This Row],[NETO GRAVADO]]="","",compras_mes5[[#This Row],[NETO GRAVADO]]*0.21)</f>
        <v>110758.053</v>
      </c>
      <c r="J52" s="339"/>
      <c r="K52" s="339"/>
      <c r="L52" s="339"/>
      <c r="M52" s="339"/>
      <c r="N52" s="339">
        <v>18459.68</v>
      </c>
      <c r="O52" s="339"/>
      <c r="P52" s="374">
        <f>SUM(compras_mes5[[#This Row],[NETO GRAVADO]:[Otros / No Grav.]])</f>
        <v>656637.03300000005</v>
      </c>
      <c r="Q52" s="375" t="str">
        <f>IFERROR(IF(compras_mes5[[#This Row],[CUIT]]="","-",VLOOKUP(compras_mes5[[#This Row],[CUIT]],Lista_CUIT[#All],3,0)),"CUIT NO CARGADO")</f>
        <v>Productos Ortopedicos</v>
      </c>
      <c r="R52" s="375">
        <f>IFERROR(IF(compras_mes5[[#This Row],[CUIT]]="","-",VLOOKUP(compras_mes5[[#This Row],[CUIT]],Lista_CUIT[#All],4,0)),"CUIT NO CARGADO")</f>
        <v>0</v>
      </c>
    </row>
    <row r="53" spans="2:18" ht="15" customHeight="1" x14ac:dyDescent="0.25">
      <c r="B53" s="367">
        <v>45063</v>
      </c>
      <c r="C53" s="41">
        <v>1</v>
      </c>
      <c r="D53" s="369">
        <v>3</v>
      </c>
      <c r="E53" s="370">
        <v>5679</v>
      </c>
      <c r="F53" s="371">
        <v>33708218699</v>
      </c>
      <c r="G53" s="372" t="str">
        <f>IFERROR(IF(compras_mes5[[#This Row],[CUIT]]="","-",VLOOKUP(compras_mes5[[#This Row],[CUIT]],Lista_CUIT[#All],2,0)),"CUIT NO CARGADO")</f>
        <v>MANGGINI PABLO Y MANGGINI ULISES SOC. DE HECHO.</v>
      </c>
      <c r="H53" s="373">
        <v>3500</v>
      </c>
      <c r="I53" s="339">
        <f>IF(compras_mes5[[#This Row],[NETO GRAVADO]]="","",compras_mes5[[#This Row],[NETO GRAVADO]]*0.21)</f>
        <v>735</v>
      </c>
      <c r="J53" s="339"/>
      <c r="K53" s="339"/>
      <c r="L53" s="339"/>
      <c r="M53" s="339"/>
      <c r="N53" s="339"/>
      <c r="O53" s="339"/>
      <c r="P53" s="374">
        <f>SUM(compras_mes5[[#This Row],[NETO GRAVADO]:[Otros / No Grav.]])</f>
        <v>4235</v>
      </c>
      <c r="Q53" s="375" t="str">
        <f>IFERROR(IF(compras_mes5[[#This Row],[CUIT]]="","-",VLOOKUP(compras_mes5[[#This Row],[CUIT]],Lista_CUIT[#All],3,0)),"CUIT NO CARGADO")</f>
        <v>Gastos Varios</v>
      </c>
      <c r="R53" s="375">
        <f>IFERROR(IF(compras_mes5[[#This Row],[CUIT]]="","-",VLOOKUP(compras_mes5[[#This Row],[CUIT]],Lista_CUIT[#All],4,0)),"CUIT NO CARGADO")</f>
        <v>0</v>
      </c>
    </row>
    <row r="54" spans="2:18" ht="15" customHeight="1" x14ac:dyDescent="0.25">
      <c r="B54" s="367">
        <v>45063</v>
      </c>
      <c r="C54" s="41">
        <v>1</v>
      </c>
      <c r="D54" s="369">
        <v>4</v>
      </c>
      <c r="E54" s="370">
        <v>63990</v>
      </c>
      <c r="F54" s="371">
        <v>33709738459</v>
      </c>
      <c r="G54" s="372" t="str">
        <f>IFERROR(IF(compras_mes5[[#This Row],[CUIT]]="","-",VLOOKUP(compras_mes5[[#This Row],[CUIT]],Lista_CUIT[#All],2,0)),"CUIT NO CARGADO")</f>
        <v>ORTOPEDICOS ALFOLATEX S.A</v>
      </c>
      <c r="H54" s="373">
        <v>53989.56</v>
      </c>
      <c r="I54" s="339">
        <f>IF(compras_mes5[[#This Row],[NETO GRAVADO]]="","",compras_mes5[[#This Row],[NETO GRAVADO]]*0.21)</f>
        <v>11337.807599999998</v>
      </c>
      <c r="J54" s="339"/>
      <c r="K54" s="339"/>
      <c r="L54" s="339"/>
      <c r="M54" s="339"/>
      <c r="N54" s="339"/>
      <c r="O54" s="339"/>
      <c r="P54" s="374">
        <f>SUM(compras_mes5[[#This Row],[NETO GRAVADO]:[Otros / No Grav.]])</f>
        <v>65327.367599999998</v>
      </c>
      <c r="Q54" s="375" t="str">
        <f>IFERROR(IF(compras_mes5[[#This Row],[CUIT]]="","-",VLOOKUP(compras_mes5[[#This Row],[CUIT]],Lista_CUIT[#All],3,0)),"CUIT NO CARGADO")</f>
        <v>Productos Ortopedicos</v>
      </c>
      <c r="R54" s="375">
        <f>IFERROR(IF(compras_mes5[[#This Row],[CUIT]]="","-",VLOOKUP(compras_mes5[[#This Row],[CUIT]],Lista_CUIT[#All],4,0)),"CUIT NO CARGADO")</f>
        <v>0</v>
      </c>
    </row>
    <row r="55" spans="2:18" ht="15" customHeight="1" x14ac:dyDescent="0.25">
      <c r="B55" s="219">
        <v>45063</v>
      </c>
      <c r="C55" s="209">
        <v>1</v>
      </c>
      <c r="D55" s="220">
        <v>5009</v>
      </c>
      <c r="E55" s="221">
        <v>672608</v>
      </c>
      <c r="F55" s="222">
        <v>30574876474</v>
      </c>
      <c r="G55" s="223" t="str">
        <f>IFERROR(IF(compras_mes5[[#This Row],[CUIT]]="","-",VLOOKUP(compras_mes5[[#This Row],[CUIT]],Lista_CUIT[#All],2,0)),"CUIT NO CARGADO")</f>
        <v>AUTOP. URBANAS SA</v>
      </c>
      <c r="H55" s="224">
        <v>329.13</v>
      </c>
      <c r="I55" s="225">
        <f>IF(compras_mes5[[#This Row],[NETO GRAVADO]]="","",compras_mes5[[#This Row],[NETO GRAVADO]]*0.21)</f>
        <v>69.1173</v>
      </c>
      <c r="J55" s="225"/>
      <c r="K55" s="225"/>
      <c r="L55" s="225"/>
      <c r="M55" s="225"/>
      <c r="N55" s="225"/>
      <c r="O55" s="225">
        <v>32.909999999999997</v>
      </c>
      <c r="P55" s="226">
        <f>SUM(compras_mes5[[#This Row],[NETO GRAVADO]:[Otros / No Grav.]])</f>
        <v>431.15729999999996</v>
      </c>
      <c r="Q55" s="227" t="str">
        <f>IFERROR(IF(compras_mes5[[#This Row],[CUIT]]="","-",VLOOKUP(compras_mes5[[#This Row],[CUIT]],Lista_CUIT[#All],3,0)),"CUIT NO CARGADO")</f>
        <v>PEAJE</v>
      </c>
      <c r="R55" s="227">
        <f>IFERROR(IF(compras_mes5[[#This Row],[CUIT]]="","-",VLOOKUP(compras_mes5[[#This Row],[CUIT]],Lista_CUIT[#All],4,0)),"CUIT NO CARGADO")</f>
        <v>0</v>
      </c>
    </row>
    <row r="56" spans="2:18" ht="15" customHeight="1" x14ac:dyDescent="0.25">
      <c r="B56" s="367">
        <v>45064</v>
      </c>
      <c r="C56" s="41">
        <v>1</v>
      </c>
      <c r="D56" s="369">
        <v>1001</v>
      </c>
      <c r="E56" s="370">
        <v>248</v>
      </c>
      <c r="F56" s="371">
        <v>30707370552</v>
      </c>
      <c r="G56" s="372" t="str">
        <f>IFERROR(IF(compras_mes5[[#This Row],[CUIT]]="","-",VLOOKUP(compras_mes5[[#This Row],[CUIT]],Lista_CUIT[#All],2,0)),"CUIT NO CARGADO")</f>
        <v>RAKE SA</v>
      </c>
      <c r="H56" s="373">
        <v>82231.400000000009</v>
      </c>
      <c r="I56" s="339">
        <f>IF(compras_mes5[[#This Row],[NETO GRAVADO]]="","",compras_mes5[[#This Row],[NETO GRAVADO]]*0.21)</f>
        <v>17268.594000000001</v>
      </c>
      <c r="J56" s="339"/>
      <c r="K56" s="339"/>
      <c r="L56" s="339"/>
      <c r="M56" s="339"/>
      <c r="N56" s="339"/>
      <c r="O56" s="339"/>
      <c r="P56" s="374">
        <f>SUM(compras_mes5[[#This Row],[NETO GRAVADO]:[Otros / No Grav.]])</f>
        <v>99499.994000000006</v>
      </c>
      <c r="Q56" s="375" t="str">
        <f>IFERROR(IF(compras_mes5[[#This Row],[CUIT]]="","-",VLOOKUP(compras_mes5[[#This Row],[CUIT]],Lista_CUIT[#All],3,0)),"CUIT NO CARGADO")</f>
        <v>Alquileres</v>
      </c>
      <c r="R56" s="375">
        <f>IFERROR(IF(compras_mes5[[#This Row],[CUIT]]="","-",VLOOKUP(compras_mes5[[#This Row],[CUIT]],Lista_CUIT[#All],4,0)),"CUIT NO CARGADO")</f>
        <v>0</v>
      </c>
    </row>
    <row r="57" spans="2:18" ht="15" customHeight="1" x14ac:dyDescent="0.25">
      <c r="B57" s="367">
        <v>45064</v>
      </c>
      <c r="C57" s="41">
        <v>1</v>
      </c>
      <c r="D57" s="369">
        <v>1001</v>
      </c>
      <c r="E57" s="370">
        <v>249</v>
      </c>
      <c r="F57" s="371">
        <v>30707370552</v>
      </c>
      <c r="G57" s="372" t="str">
        <f>IFERROR(IF(compras_mes5[[#This Row],[CUIT]]="","-",VLOOKUP(compras_mes5[[#This Row],[CUIT]],Lista_CUIT[#All],2,0)),"CUIT NO CARGADO")</f>
        <v>RAKE SA</v>
      </c>
      <c r="H57" s="373">
        <v>114876.03</v>
      </c>
      <c r="I57" s="339">
        <f>IF(compras_mes5[[#This Row],[NETO GRAVADO]]="","",compras_mes5[[#This Row],[NETO GRAVADO]]*0.21)</f>
        <v>24123.9663</v>
      </c>
      <c r="J57" s="339"/>
      <c r="K57" s="339"/>
      <c r="L57" s="339"/>
      <c r="M57" s="339"/>
      <c r="N57" s="339"/>
      <c r="O57" s="339"/>
      <c r="P57" s="374">
        <f>SUM(compras_mes5[[#This Row],[NETO GRAVADO]:[Otros / No Grav.]])</f>
        <v>138999.9963</v>
      </c>
      <c r="Q57" s="375" t="str">
        <f>IFERROR(IF(compras_mes5[[#This Row],[CUIT]]="","-",VLOOKUP(compras_mes5[[#This Row],[CUIT]],Lista_CUIT[#All],3,0)),"CUIT NO CARGADO")</f>
        <v>Alquileres</v>
      </c>
      <c r="R57" s="375">
        <f>IFERROR(IF(compras_mes5[[#This Row],[CUIT]]="","-",VLOOKUP(compras_mes5[[#This Row],[CUIT]],Lista_CUIT[#All],4,0)),"CUIT NO CARGADO")</f>
        <v>0</v>
      </c>
    </row>
    <row r="58" spans="2:18" ht="15" customHeight="1" x14ac:dyDescent="0.25">
      <c r="B58" s="367">
        <v>45064</v>
      </c>
      <c r="C58" s="41">
        <v>1</v>
      </c>
      <c r="D58" s="369">
        <v>1001</v>
      </c>
      <c r="E58" s="370">
        <v>250</v>
      </c>
      <c r="F58" s="371">
        <v>30707370552</v>
      </c>
      <c r="G58" s="372" t="str">
        <f>IFERROR(IF(compras_mes5[[#This Row],[CUIT]]="","-",VLOOKUP(compras_mes5[[#This Row],[CUIT]],Lista_CUIT[#All],2,0)),"CUIT NO CARGADO")</f>
        <v>RAKE SA</v>
      </c>
      <c r="H58" s="373">
        <v>258768.6</v>
      </c>
      <c r="I58" s="339">
        <f>IF(compras_mes5[[#This Row],[NETO GRAVADO]]="","",compras_mes5[[#This Row],[NETO GRAVADO]]*0.21)</f>
        <v>54341.406000000003</v>
      </c>
      <c r="J58" s="339"/>
      <c r="K58" s="339"/>
      <c r="L58" s="339"/>
      <c r="M58" s="339"/>
      <c r="N58" s="339"/>
      <c r="O58" s="339"/>
      <c r="P58" s="374">
        <f>SUM(compras_mes5[[#This Row],[NETO GRAVADO]:[Otros / No Grav.]])</f>
        <v>313110.00599999999</v>
      </c>
      <c r="Q58" s="375" t="str">
        <f>IFERROR(IF(compras_mes5[[#This Row],[CUIT]]="","-",VLOOKUP(compras_mes5[[#This Row],[CUIT]],Lista_CUIT[#All],3,0)),"CUIT NO CARGADO")</f>
        <v>Alquileres</v>
      </c>
      <c r="R58" s="375">
        <f>IFERROR(IF(compras_mes5[[#This Row],[CUIT]]="","-",VLOOKUP(compras_mes5[[#This Row],[CUIT]],Lista_CUIT[#All],4,0)),"CUIT NO CARGADO")</f>
        <v>0</v>
      </c>
    </row>
    <row r="59" spans="2:18" ht="15" customHeight="1" x14ac:dyDescent="0.25">
      <c r="B59" s="40">
        <v>45064</v>
      </c>
      <c r="C59" s="41">
        <v>1</v>
      </c>
      <c r="D59" s="42">
        <v>2</v>
      </c>
      <c r="E59" s="43">
        <v>651</v>
      </c>
      <c r="F59" s="44">
        <v>20268417762</v>
      </c>
      <c r="G59" s="45" t="str">
        <f>IFERROR(IF(compras_mes5[[#This Row],[CUIT]]="","-",VLOOKUP(compras_mes5[[#This Row],[CUIT]],Lista_CUIT[#All],2,0)),"CUIT NO CARGADO")</f>
        <v>SCHIANO MORIELLO LUIS ANDRES</v>
      </c>
      <c r="H59" s="46">
        <v>31406.23</v>
      </c>
      <c r="I59" s="85">
        <f>IF(compras_mes5[[#This Row],[NETO GRAVADO]]="","",compras_mes5[[#This Row],[NETO GRAVADO]]*0.21)</f>
        <v>6595.3082999999997</v>
      </c>
      <c r="J59" s="85"/>
      <c r="K59" s="85"/>
      <c r="L59" s="85"/>
      <c r="M59" s="85"/>
      <c r="N59" s="85"/>
      <c r="O59" s="85"/>
      <c r="P59" s="48">
        <f>SUM(compras_mes5[[#This Row],[NETO GRAVADO]:[Otros / No Grav.]])</f>
        <v>38001.5383</v>
      </c>
      <c r="Q59" s="49" t="str">
        <f>IFERROR(IF(compras_mes5[[#This Row],[CUIT]]="","-",VLOOKUP(compras_mes5[[#This Row],[CUIT]],Lista_CUIT[#All],3,0)),"CUIT NO CARGADO")</f>
        <v>Gastos Varios</v>
      </c>
      <c r="R59" s="49">
        <f>IFERROR(IF(compras_mes5[[#This Row],[CUIT]]="","-",VLOOKUP(compras_mes5[[#This Row],[CUIT]],Lista_CUIT[#All],4,0)),"CUIT NO CARGADO")</f>
        <v>0</v>
      </c>
    </row>
    <row r="60" spans="2:18" ht="15" customHeight="1" x14ac:dyDescent="0.25">
      <c r="B60" s="219">
        <v>45064</v>
      </c>
      <c r="C60" s="209">
        <v>1</v>
      </c>
      <c r="D60" s="220">
        <v>2</v>
      </c>
      <c r="E60" s="221">
        <v>652</v>
      </c>
      <c r="F60" s="222">
        <v>20268417762</v>
      </c>
      <c r="G60" s="223" t="str">
        <f>IFERROR(IF(compras_mes5[[#This Row],[CUIT]]="","-",VLOOKUP(compras_mes5[[#This Row],[CUIT]],Lista_CUIT[#All],2,0)),"CUIT NO CARGADO")</f>
        <v>SCHIANO MORIELLO LUIS ANDRES</v>
      </c>
      <c r="H60" s="224">
        <v>31406.29</v>
      </c>
      <c r="I60" s="225">
        <f>IF(compras_mes5[[#This Row],[NETO GRAVADO]]="","",compras_mes5[[#This Row],[NETO GRAVADO]]*0.21)</f>
        <v>6595.3208999999997</v>
      </c>
      <c r="J60" s="225"/>
      <c r="K60" s="225"/>
      <c r="L60" s="225"/>
      <c r="M60" s="225"/>
      <c r="N60" s="225"/>
      <c r="O60" s="225"/>
      <c r="P60" s="226">
        <f>SUM(compras_mes5[[#This Row],[NETO GRAVADO]:[Otros / No Grav.]])</f>
        <v>38001.6109</v>
      </c>
      <c r="Q60" s="227" t="str">
        <f>IFERROR(IF(compras_mes5[[#This Row],[CUIT]]="","-",VLOOKUP(compras_mes5[[#This Row],[CUIT]],Lista_CUIT[#All],3,0)),"CUIT NO CARGADO")</f>
        <v>Gastos Varios</v>
      </c>
      <c r="R60" s="227">
        <f>IFERROR(IF(compras_mes5[[#This Row],[CUIT]]="","-",VLOOKUP(compras_mes5[[#This Row],[CUIT]],Lista_CUIT[#All],4,0)),"CUIT NO CARGADO")</f>
        <v>0</v>
      </c>
    </row>
    <row r="61" spans="2:18" ht="15" customHeight="1" x14ac:dyDescent="0.25">
      <c r="B61" s="367">
        <v>45064</v>
      </c>
      <c r="C61" s="41">
        <v>1</v>
      </c>
      <c r="D61" s="369">
        <v>5</v>
      </c>
      <c r="E61" s="370">
        <v>890</v>
      </c>
      <c r="F61" s="371">
        <v>30710374801</v>
      </c>
      <c r="G61" s="372" t="str">
        <f>IFERROR(IF(compras_mes5[[#This Row],[CUIT]]="","-",VLOOKUP(compras_mes5[[#This Row],[CUIT]],Lista_CUIT[#All],2,0)),"CUIT NO CARGADO")</f>
        <v>DISTRIBUIDORA LARREA SA</v>
      </c>
      <c r="H61" s="373">
        <v>5053.72</v>
      </c>
      <c r="I61" s="339">
        <f>IF(compras_mes5[[#This Row],[NETO GRAVADO]]="","",compras_mes5[[#This Row],[NETO GRAVADO]]*0.21)</f>
        <v>1061.2812000000001</v>
      </c>
      <c r="J61" s="339"/>
      <c r="K61" s="339"/>
      <c r="L61" s="339"/>
      <c r="M61" s="339"/>
      <c r="N61" s="339"/>
      <c r="O61" s="339"/>
      <c r="P61" s="374">
        <f>SUM(compras_mes5[[#This Row],[NETO GRAVADO]:[Otros / No Grav.]])</f>
        <v>6115.0012000000006</v>
      </c>
      <c r="Q61" s="375" t="str">
        <f>IFERROR(IF(compras_mes5[[#This Row],[CUIT]]="","-",VLOOKUP(compras_mes5[[#This Row],[CUIT]],Lista_CUIT[#All],3,0)),"CUIT NO CARGADO")</f>
        <v>gastos varios</v>
      </c>
      <c r="R61" s="375">
        <f>IFERROR(IF(compras_mes5[[#This Row],[CUIT]]="","-",VLOOKUP(compras_mes5[[#This Row],[CUIT]],Lista_CUIT[#All],4,0)),"CUIT NO CARGADO")</f>
        <v>0</v>
      </c>
    </row>
    <row r="62" spans="2:18" ht="15" customHeight="1" x14ac:dyDescent="0.25">
      <c r="B62" s="40">
        <v>45064</v>
      </c>
      <c r="C62" s="41">
        <v>1</v>
      </c>
      <c r="D62" s="42">
        <v>5</v>
      </c>
      <c r="E62" s="43">
        <v>2315</v>
      </c>
      <c r="F62" s="44">
        <v>30707267077</v>
      </c>
      <c r="G62" s="45" t="str">
        <f>IFERROR(IF(compras_mes5[[#This Row],[CUIT]]="","-",VLOOKUP(compras_mes5[[#This Row],[CUIT]],Lista_CUIT[#All],2,0)),"CUIT NO CARGADO")</f>
        <v>BARBARO SOCIEDAD COLECTIVA</v>
      </c>
      <c r="H62" s="46">
        <v>192000</v>
      </c>
      <c r="I62" s="85">
        <f>IF(compras_mes5[[#This Row],[NETO GRAVADO]]="","",compras_mes5[[#This Row],[NETO GRAVADO]]*0.21)</f>
        <v>40320</v>
      </c>
      <c r="J62" s="85"/>
      <c r="K62" s="85"/>
      <c r="L62" s="85"/>
      <c r="M62" s="85"/>
      <c r="N62" s="85"/>
      <c r="O62" s="85"/>
      <c r="P62" s="48">
        <f>SUM(compras_mes5[[#This Row],[NETO GRAVADO]:[Otros / No Grav.]])</f>
        <v>232320</v>
      </c>
      <c r="Q62" s="49" t="str">
        <f>IFERROR(IF(compras_mes5[[#This Row],[CUIT]]="","-",VLOOKUP(compras_mes5[[#This Row],[CUIT]],Lista_CUIT[#All],3,0)),"CUIT NO CARGADO")</f>
        <v>PROD ORTOP P/ALQ</v>
      </c>
      <c r="R62" s="49">
        <f>IFERROR(IF(compras_mes5[[#This Row],[CUIT]]="","-",VLOOKUP(compras_mes5[[#This Row],[CUIT]],Lista_CUIT[#All],4,0)),"CUIT NO CARGADO")</f>
        <v>0</v>
      </c>
    </row>
    <row r="63" spans="2:18" ht="15" customHeight="1" x14ac:dyDescent="0.25">
      <c r="B63" s="89">
        <v>45064</v>
      </c>
      <c r="C63" s="41">
        <v>1</v>
      </c>
      <c r="D63" s="91">
        <v>5</v>
      </c>
      <c r="E63" s="92">
        <v>4133</v>
      </c>
      <c r="F63" s="93">
        <v>30715833243</v>
      </c>
      <c r="G63" s="94" t="str">
        <f>IFERROR(IF(compras_mes5[[#This Row],[CUIT]]="","-",VLOOKUP(compras_mes5[[#This Row],[CUIT]],Lista_CUIT[#All],2,0)),"CUIT NO CARGADO")</f>
        <v>BIODINAMICA ASIST E INSUMOS</v>
      </c>
      <c r="H63" s="95">
        <v>11477.72</v>
      </c>
      <c r="I63" s="86">
        <f>IF(compras_mes5[[#This Row],[NETO GRAVADO]]="","",compras_mes5[[#This Row],[NETO GRAVADO]]*0.21)</f>
        <v>2410.3211999999999</v>
      </c>
      <c r="J63" s="86"/>
      <c r="K63" s="86"/>
      <c r="L63" s="86"/>
      <c r="M63" s="86"/>
      <c r="N63" s="86"/>
      <c r="O63" s="86"/>
      <c r="P63" s="87">
        <f>SUM(compras_mes5[[#This Row],[NETO GRAVADO]:[Otros / No Grav.]])</f>
        <v>13888.0412</v>
      </c>
      <c r="Q63" s="88" t="str">
        <f>IFERROR(IF(compras_mes5[[#This Row],[CUIT]]="","-",VLOOKUP(compras_mes5[[#This Row],[CUIT]],Lista_CUIT[#All],3,0)),"CUIT NO CARGADO")</f>
        <v>INSUMO</v>
      </c>
      <c r="R63" s="88">
        <f>IFERROR(IF(compras_mes5[[#This Row],[CUIT]]="","-",VLOOKUP(compras_mes5[[#This Row],[CUIT]],Lista_CUIT[#All],4,0)),"CUIT NO CARGADO")</f>
        <v>0</v>
      </c>
    </row>
    <row r="64" spans="2:18" ht="15" customHeight="1" x14ac:dyDescent="0.25">
      <c r="B64" s="367">
        <v>45064</v>
      </c>
      <c r="C64" s="41">
        <v>1</v>
      </c>
      <c r="D64" s="369">
        <v>3</v>
      </c>
      <c r="E64" s="370">
        <v>7789</v>
      </c>
      <c r="F64" s="371">
        <v>20045615473</v>
      </c>
      <c r="G64" s="372" t="str">
        <f>IFERROR(IF(compras_mes5[[#This Row],[CUIT]]="","-",VLOOKUP(compras_mes5[[#This Row],[CUIT]],Lista_CUIT[#All],2,0)),"CUIT NO CARGADO")</f>
        <v xml:space="preserve">DI FEO HUGO PASCUAL </v>
      </c>
      <c r="H64" s="373">
        <v>62020</v>
      </c>
      <c r="I64" s="339">
        <f>IF(compras_mes5[[#This Row],[NETO GRAVADO]]="","",compras_mes5[[#This Row],[NETO GRAVADO]]*0.21)</f>
        <v>13024.199999999999</v>
      </c>
      <c r="J64" s="339"/>
      <c r="K64" s="339"/>
      <c r="L64" s="339"/>
      <c r="M64" s="339"/>
      <c r="N64" s="339"/>
      <c r="O64" s="339"/>
      <c r="P64" s="374">
        <f>SUM(compras_mes5[[#This Row],[NETO GRAVADO]:[Otros / No Grav.]])</f>
        <v>75044.2</v>
      </c>
      <c r="Q64" s="375" t="str">
        <f>IFERROR(IF(compras_mes5[[#This Row],[CUIT]]="","-",VLOOKUP(compras_mes5[[#This Row],[CUIT]],Lista_CUIT[#All],3,0)),"CUIT NO CARGADO")</f>
        <v>Productos Ortopedicos</v>
      </c>
      <c r="R64" s="375">
        <f>IFERROR(IF(compras_mes5[[#This Row],[CUIT]]="","-",VLOOKUP(compras_mes5[[#This Row],[CUIT]],Lista_CUIT[#All],4,0)),"CUIT NO CARGADO")</f>
        <v>0</v>
      </c>
    </row>
    <row r="65" spans="2:18" ht="15" customHeight="1" x14ac:dyDescent="0.25">
      <c r="B65" s="367">
        <v>45064</v>
      </c>
      <c r="C65" s="41">
        <v>1</v>
      </c>
      <c r="D65" s="369">
        <v>3</v>
      </c>
      <c r="E65" s="370">
        <v>7790</v>
      </c>
      <c r="F65" s="371">
        <v>20045615473</v>
      </c>
      <c r="G65" s="372" t="str">
        <f>IFERROR(IF(compras_mes5[[#This Row],[CUIT]]="","-",VLOOKUP(compras_mes5[[#This Row],[CUIT]],Lista_CUIT[#All],2,0)),"CUIT NO CARGADO")</f>
        <v xml:space="preserve">DI FEO HUGO PASCUAL </v>
      </c>
      <c r="H65" s="373">
        <v>87000</v>
      </c>
      <c r="I65" s="339">
        <f>IF(compras_mes5[[#This Row],[NETO GRAVADO]]="","",compras_mes5[[#This Row],[NETO GRAVADO]]*0.21)</f>
        <v>18270</v>
      </c>
      <c r="J65" s="339"/>
      <c r="K65" s="339"/>
      <c r="L65" s="339"/>
      <c r="M65" s="339"/>
      <c r="N65" s="339"/>
      <c r="O65" s="339"/>
      <c r="P65" s="374">
        <f>SUM(compras_mes5[[#This Row],[NETO GRAVADO]:[Otros / No Grav.]])</f>
        <v>105270</v>
      </c>
      <c r="Q65" s="375" t="str">
        <f>IFERROR(IF(compras_mes5[[#This Row],[CUIT]]="","-",VLOOKUP(compras_mes5[[#This Row],[CUIT]],Lista_CUIT[#All],3,0)),"CUIT NO CARGADO")</f>
        <v>Productos Ortopedicos</v>
      </c>
      <c r="R65" s="375">
        <f>IFERROR(IF(compras_mes5[[#This Row],[CUIT]]="","-",VLOOKUP(compras_mes5[[#This Row],[CUIT]],Lista_CUIT[#All],4,0)),"CUIT NO CARGADO")</f>
        <v>0</v>
      </c>
    </row>
    <row r="66" spans="2:18" ht="15" customHeight="1" x14ac:dyDescent="0.25">
      <c r="B66" s="367">
        <v>45065</v>
      </c>
      <c r="C66" s="41">
        <v>1</v>
      </c>
      <c r="D66" s="369">
        <v>5</v>
      </c>
      <c r="E66" s="370">
        <v>589</v>
      </c>
      <c r="F66" s="371">
        <v>20242126158</v>
      </c>
      <c r="G66" s="372" t="str">
        <f>IFERROR(IF(compras_mes5[[#This Row],[CUIT]]="","-",VLOOKUP(compras_mes5[[#This Row],[CUIT]],Lista_CUIT[#All],2,0)),"CUIT NO CARGADO")</f>
        <v>IALLONARDO SERGIO</v>
      </c>
      <c r="H66" s="373">
        <v>741348</v>
      </c>
      <c r="I66" s="339"/>
      <c r="J66" s="339"/>
      <c r="K66" s="339">
        <v>77841.539999999994</v>
      </c>
      <c r="L66" s="339"/>
      <c r="M66" s="339"/>
      <c r="N66" s="339"/>
      <c r="O66" s="339"/>
      <c r="P66" s="374">
        <f>SUM(compras_mes5[[#This Row],[NETO GRAVADO]:[Otros / No Grav.]])</f>
        <v>819189.54</v>
      </c>
      <c r="Q66" s="375" t="str">
        <f>IFERROR(IF(compras_mes5[[#This Row],[CUIT]]="","-",VLOOKUP(compras_mes5[[#This Row],[CUIT]],Lista_CUIT[#All],3,0)),"CUIT NO CARGADO")</f>
        <v>PROD ORTOP P/ALQ</v>
      </c>
      <c r="R66" s="375">
        <f>IFERROR(IF(compras_mes5[[#This Row],[CUIT]]="","-",VLOOKUP(compras_mes5[[#This Row],[CUIT]],Lista_CUIT[#All],4,0)),"CUIT NO CARGADO")</f>
        <v>0</v>
      </c>
    </row>
    <row r="67" spans="2:18" ht="15" customHeight="1" x14ac:dyDescent="0.25">
      <c r="B67" s="367">
        <v>45065</v>
      </c>
      <c r="C67" s="41">
        <v>1</v>
      </c>
      <c r="D67" s="369">
        <v>7</v>
      </c>
      <c r="E67" s="370">
        <v>1824</v>
      </c>
      <c r="F67" s="371">
        <v>20284183534</v>
      </c>
      <c r="G67" s="372" t="str">
        <f>IFERROR(IF(compras_mes5[[#This Row],[CUIT]]="","-",VLOOKUP(compras_mes5[[#This Row],[CUIT]],Lista_CUIT[#All],2,0)),"CUIT NO CARGADO")</f>
        <v>FURLANETTO MARTIN</v>
      </c>
      <c r="H67" s="373">
        <v>925.62</v>
      </c>
      <c r="I67" s="339">
        <f>IF(compras_mes5[[#This Row],[NETO GRAVADO]]="","",compras_mes5[[#This Row],[NETO GRAVADO]]*0.21)</f>
        <v>194.3802</v>
      </c>
      <c r="J67" s="339"/>
      <c r="K67" s="339"/>
      <c r="L67" s="339"/>
      <c r="M67" s="339"/>
      <c r="N67" s="339"/>
      <c r="O67" s="339"/>
      <c r="P67" s="374">
        <f>SUM(compras_mes5[[#This Row],[NETO GRAVADO]:[Otros / No Grav.]])</f>
        <v>1120.0001999999999</v>
      </c>
      <c r="Q67" s="375" t="str">
        <f>IFERROR(IF(compras_mes5[[#This Row],[CUIT]]="","-",VLOOKUP(compras_mes5[[#This Row],[CUIT]],Lista_CUIT[#All],3,0)),"CUIT NO CARGADO")</f>
        <v>PAPELERIA</v>
      </c>
      <c r="R67" s="375">
        <f>IFERROR(IF(compras_mes5[[#This Row],[CUIT]]="","-",VLOOKUP(compras_mes5[[#This Row],[CUIT]],Lista_CUIT[#All],4,0)),"CUIT NO CARGADO")</f>
        <v>0</v>
      </c>
    </row>
    <row r="68" spans="2:18" ht="15" customHeight="1" x14ac:dyDescent="0.25">
      <c r="B68" s="367">
        <v>45065</v>
      </c>
      <c r="C68" s="368">
        <v>1</v>
      </c>
      <c r="D68" s="369">
        <v>4264</v>
      </c>
      <c r="E68" s="370">
        <v>2036054</v>
      </c>
      <c r="F68" s="371">
        <v>30639453738</v>
      </c>
      <c r="G68" s="372" t="str">
        <f>IFERROR(IF(compras_mes5[[#This Row],[CUIT]]="","-",VLOOKUP(compras_mes5[[#This Row],[CUIT]],Lista_CUIT[#All],2,0)),"CUIT NO CARGADO")</f>
        <v>TELECOM ARGENTINA SA</v>
      </c>
      <c r="H68" s="373">
        <v>12289.25</v>
      </c>
      <c r="I68" s="339">
        <f>IF(compras_mes5[[#This Row],[NETO GRAVADO]]="","",compras_mes5[[#This Row],[NETO GRAVADO]]*0.21)</f>
        <v>2580.7424999999998</v>
      </c>
      <c r="J68" s="339"/>
      <c r="K68" s="339"/>
      <c r="L68" s="339">
        <v>368.68</v>
      </c>
      <c r="M68" s="339"/>
      <c r="N68" s="339">
        <v>430.12</v>
      </c>
      <c r="O68" s="339"/>
      <c r="P68" s="374">
        <f>SUM(compras_mes5[[#This Row],[NETO GRAVADO]:[Otros / No Grav.]])</f>
        <v>15668.792500000001</v>
      </c>
      <c r="Q68" s="375" t="str">
        <f>IFERROR(IF(compras_mes5[[#This Row],[CUIT]]="","-",VLOOKUP(compras_mes5[[#This Row],[CUIT]],Lista_CUIT[#All],3,0)),"CUIT NO CARGADO")</f>
        <v>TELEFONIA</v>
      </c>
      <c r="R68" s="375">
        <f>IFERROR(IF(compras_mes5[[#This Row],[CUIT]]="","-",VLOOKUP(compras_mes5[[#This Row],[CUIT]],Lista_CUIT[#All],4,0)),"CUIT NO CARGADO")</f>
        <v>0</v>
      </c>
    </row>
    <row r="69" spans="2:18" ht="15" customHeight="1" x14ac:dyDescent="0.25">
      <c r="B69" s="367">
        <v>45068</v>
      </c>
      <c r="C69" s="41">
        <v>1</v>
      </c>
      <c r="D69" s="369">
        <v>3</v>
      </c>
      <c r="E69" s="370">
        <v>75</v>
      </c>
      <c r="F69" s="371">
        <v>20334976433</v>
      </c>
      <c r="G69" s="372" t="str">
        <f>IFERROR(IF(compras_mes5[[#This Row],[CUIT]]="","-",VLOOKUP(compras_mes5[[#This Row],[CUIT]],Lista_CUIT[#All],2,0)),"CUIT NO CARGADO")</f>
        <v>NARDOMARINO EZEQUIEL EDUARDO</v>
      </c>
      <c r="H69" s="373">
        <v>183573.55</v>
      </c>
      <c r="I69" s="339">
        <f>IF(compras_mes5[[#This Row],[NETO GRAVADO]]="","",compras_mes5[[#This Row],[NETO GRAVADO]]*0.21)</f>
        <v>38550.445499999994</v>
      </c>
      <c r="J69" s="339"/>
      <c r="K69" s="339"/>
      <c r="L69" s="339"/>
      <c r="M69" s="339"/>
      <c r="N69" s="339"/>
      <c r="O69" s="339"/>
      <c r="P69" s="374">
        <f>SUM(compras_mes5[[#This Row],[NETO GRAVADO]:[Otros / No Grav.]])</f>
        <v>222123.99549999999</v>
      </c>
      <c r="Q69" s="375" t="str">
        <f>IFERROR(IF(compras_mes5[[#This Row],[CUIT]]="","-",VLOOKUP(compras_mes5[[#This Row],[CUIT]],Lista_CUIT[#All],3,0)),"CUIT NO CARGADO")</f>
        <v>FLETE</v>
      </c>
      <c r="R69" s="375">
        <f>IFERROR(IF(compras_mes5[[#This Row],[CUIT]]="","-",VLOOKUP(compras_mes5[[#This Row],[CUIT]],Lista_CUIT[#All],4,0)),"CUIT NO CARGADO")</f>
        <v>0</v>
      </c>
    </row>
    <row r="70" spans="2:18" ht="15" customHeight="1" x14ac:dyDescent="0.25">
      <c r="B70" s="367">
        <v>45068</v>
      </c>
      <c r="C70" s="41">
        <v>1</v>
      </c>
      <c r="D70" s="369">
        <v>1</v>
      </c>
      <c r="E70" s="370">
        <v>877</v>
      </c>
      <c r="F70" s="371">
        <v>20160503336</v>
      </c>
      <c r="G70" s="372" t="str">
        <f>IFERROR(IF(compras_mes5[[#This Row],[CUIT]]="","-",VLOOKUP(compras_mes5[[#This Row],[CUIT]],Lista_CUIT[#All],2,0)),"CUIT NO CARGADO")</f>
        <v>LIROLA FABIAN ALEJANDRO</v>
      </c>
      <c r="H70" s="373">
        <v>5785.12</v>
      </c>
      <c r="I70" s="339">
        <f>IF(compras_mes5[[#This Row],[NETO GRAVADO]]="","",compras_mes5[[#This Row],[NETO GRAVADO]]*0.21)</f>
        <v>1214.8751999999999</v>
      </c>
      <c r="J70" s="339"/>
      <c r="K70" s="339"/>
      <c r="L70" s="339"/>
      <c r="M70" s="339"/>
      <c r="N70" s="339"/>
      <c r="O70" s="339"/>
      <c r="P70" s="374">
        <f>SUM(compras_mes5[[#This Row],[NETO GRAVADO]:[Otros / No Grav.]])</f>
        <v>6999.9951999999994</v>
      </c>
      <c r="Q70" s="375" t="str">
        <f>IFERROR(IF(compras_mes5[[#This Row],[CUIT]]="","-",VLOOKUP(compras_mes5[[#This Row],[CUIT]],Lista_CUIT[#All],3,0)),"CUIT NO CARGADO")</f>
        <v>Gastos Varios</v>
      </c>
      <c r="R70" s="375">
        <f>IFERROR(IF(compras_mes5[[#This Row],[CUIT]]="","-",VLOOKUP(compras_mes5[[#This Row],[CUIT]],Lista_CUIT[#All],4,0)),"CUIT NO CARGADO")</f>
        <v>0</v>
      </c>
    </row>
    <row r="71" spans="2:18" ht="15" customHeight="1" x14ac:dyDescent="0.25">
      <c r="B71" s="367">
        <v>45068</v>
      </c>
      <c r="C71" s="41">
        <v>1</v>
      </c>
      <c r="D71" s="369">
        <v>1</v>
      </c>
      <c r="E71" s="370">
        <v>878</v>
      </c>
      <c r="F71" s="371">
        <v>20160503336</v>
      </c>
      <c r="G71" s="372" t="str">
        <f>IFERROR(IF(compras_mes5[[#This Row],[CUIT]]="","-",VLOOKUP(compras_mes5[[#This Row],[CUIT]],Lista_CUIT[#All],2,0)),"CUIT NO CARGADO")</f>
        <v>LIROLA FABIAN ALEJANDRO</v>
      </c>
      <c r="H71" s="373">
        <v>5818.18</v>
      </c>
      <c r="I71" s="339">
        <f>IF(compras_mes5[[#This Row],[NETO GRAVADO]]="","",compras_mes5[[#This Row],[NETO GRAVADO]]*0.21)</f>
        <v>1221.8178</v>
      </c>
      <c r="J71" s="339"/>
      <c r="K71" s="339"/>
      <c r="L71" s="339"/>
      <c r="M71" s="339"/>
      <c r="N71" s="339"/>
      <c r="O71" s="339"/>
      <c r="P71" s="374">
        <f>SUM(compras_mes5[[#This Row],[NETO GRAVADO]:[Otros / No Grav.]])</f>
        <v>7039.9978000000001</v>
      </c>
      <c r="Q71" s="375" t="str">
        <f>IFERROR(IF(compras_mes5[[#This Row],[CUIT]]="","-",VLOOKUP(compras_mes5[[#This Row],[CUIT]],Lista_CUIT[#All],3,0)),"CUIT NO CARGADO")</f>
        <v>Gastos Varios</v>
      </c>
      <c r="R71" s="375">
        <f>IFERROR(IF(compras_mes5[[#This Row],[CUIT]]="","-",VLOOKUP(compras_mes5[[#This Row],[CUIT]],Lista_CUIT[#All],4,0)),"CUIT NO CARGADO")</f>
        <v>0</v>
      </c>
    </row>
    <row r="72" spans="2:18" ht="15" customHeight="1" x14ac:dyDescent="0.25">
      <c r="B72" s="367">
        <v>45068</v>
      </c>
      <c r="C72" s="41">
        <v>1</v>
      </c>
      <c r="D72" s="369">
        <v>3</v>
      </c>
      <c r="E72" s="370">
        <v>7799</v>
      </c>
      <c r="F72" s="371">
        <v>20045615473</v>
      </c>
      <c r="G72" s="372" t="str">
        <f>IFERROR(IF(compras_mes5[[#This Row],[CUIT]]="","-",VLOOKUP(compras_mes5[[#This Row],[CUIT]],Lista_CUIT[#All],2,0)),"CUIT NO CARGADO")</f>
        <v xml:space="preserve">DI FEO HUGO PASCUAL </v>
      </c>
      <c r="H72" s="373">
        <v>76870</v>
      </c>
      <c r="I72" s="339">
        <f>IF(compras_mes5[[#This Row],[NETO GRAVADO]]="","",compras_mes5[[#This Row],[NETO GRAVADO]]*0.21)</f>
        <v>16142.699999999999</v>
      </c>
      <c r="J72" s="339"/>
      <c r="K72" s="339"/>
      <c r="L72" s="339"/>
      <c r="M72" s="339"/>
      <c r="N72" s="339"/>
      <c r="O72" s="339"/>
      <c r="P72" s="374">
        <f>SUM(compras_mes5[[#This Row],[NETO GRAVADO]:[Otros / No Grav.]])</f>
        <v>93012.7</v>
      </c>
      <c r="Q72" s="375" t="str">
        <f>IFERROR(IF(compras_mes5[[#This Row],[CUIT]]="","-",VLOOKUP(compras_mes5[[#This Row],[CUIT]],Lista_CUIT[#All],3,0)),"CUIT NO CARGADO")</f>
        <v>Productos Ortopedicos</v>
      </c>
      <c r="R72" s="375">
        <f>IFERROR(IF(compras_mes5[[#This Row],[CUIT]]="","-",VLOOKUP(compras_mes5[[#This Row],[CUIT]],Lista_CUIT[#All],4,0)),"CUIT NO CARGADO")</f>
        <v>0</v>
      </c>
    </row>
    <row r="73" spans="2:18" ht="15" customHeight="1" x14ac:dyDescent="0.25">
      <c r="B73" s="367">
        <v>45068</v>
      </c>
      <c r="C73" s="41">
        <v>1</v>
      </c>
      <c r="D73" s="369">
        <v>3</v>
      </c>
      <c r="E73" s="370">
        <v>7800</v>
      </c>
      <c r="F73" s="371">
        <v>20045615473</v>
      </c>
      <c r="G73" s="372" t="str">
        <f>IFERROR(IF(compras_mes5[[#This Row],[CUIT]]="","-",VLOOKUP(compras_mes5[[#This Row],[CUIT]],Lista_CUIT[#All],2,0)),"CUIT NO CARGADO")</f>
        <v xml:space="preserve">DI FEO HUGO PASCUAL </v>
      </c>
      <c r="H73" s="373">
        <v>3390</v>
      </c>
      <c r="I73" s="339">
        <f>IF(compras_mes5[[#This Row],[NETO GRAVADO]]="","",compras_mes5[[#This Row],[NETO GRAVADO]]*0.21)</f>
        <v>711.9</v>
      </c>
      <c r="J73" s="339"/>
      <c r="K73" s="339"/>
      <c r="L73" s="339"/>
      <c r="M73" s="339"/>
      <c r="N73" s="339"/>
      <c r="O73" s="339"/>
      <c r="P73" s="374">
        <f>SUM(compras_mes5[[#This Row],[NETO GRAVADO]:[Otros / No Grav.]])</f>
        <v>4101.8999999999996</v>
      </c>
      <c r="Q73" s="375" t="str">
        <f>IFERROR(IF(compras_mes5[[#This Row],[CUIT]]="","-",VLOOKUP(compras_mes5[[#This Row],[CUIT]],Lista_CUIT[#All],3,0)),"CUIT NO CARGADO")</f>
        <v>Productos Ortopedicos</v>
      </c>
      <c r="R73" s="375">
        <f>IFERROR(IF(compras_mes5[[#This Row],[CUIT]]="","-",VLOOKUP(compras_mes5[[#This Row],[CUIT]],Lista_CUIT[#All],4,0)),"CUIT NO CARGADO")</f>
        <v>0</v>
      </c>
    </row>
    <row r="74" spans="2:18" ht="15" customHeight="1" x14ac:dyDescent="0.25">
      <c r="B74" s="367">
        <v>45068</v>
      </c>
      <c r="C74" s="41">
        <v>1</v>
      </c>
      <c r="D74" s="369">
        <v>3</v>
      </c>
      <c r="E74" s="370">
        <v>7802</v>
      </c>
      <c r="F74" s="371">
        <v>20045615473</v>
      </c>
      <c r="G74" s="372" t="str">
        <f>IFERROR(IF(compras_mes5[[#This Row],[CUIT]]="","-",VLOOKUP(compras_mes5[[#This Row],[CUIT]],Lista_CUIT[#All],2,0)),"CUIT NO CARGADO")</f>
        <v xml:space="preserve">DI FEO HUGO PASCUAL </v>
      </c>
      <c r="H74" s="373">
        <v>3390</v>
      </c>
      <c r="I74" s="339">
        <f>IF(compras_mes5[[#This Row],[NETO GRAVADO]]="","",compras_mes5[[#This Row],[NETO GRAVADO]]*0.21)</f>
        <v>711.9</v>
      </c>
      <c r="J74" s="339"/>
      <c r="K74" s="339"/>
      <c r="L74" s="339"/>
      <c r="M74" s="339"/>
      <c r="N74" s="339"/>
      <c r="O74" s="339"/>
      <c r="P74" s="374">
        <f>SUM(compras_mes5[[#This Row],[NETO GRAVADO]:[Otros / No Grav.]])</f>
        <v>4101.8999999999996</v>
      </c>
      <c r="Q74" s="375" t="str">
        <f>IFERROR(IF(compras_mes5[[#This Row],[CUIT]]="","-",VLOOKUP(compras_mes5[[#This Row],[CUIT]],Lista_CUIT[#All],3,0)),"CUIT NO CARGADO")</f>
        <v>Productos Ortopedicos</v>
      </c>
      <c r="R74" s="375">
        <f>IFERROR(IF(compras_mes5[[#This Row],[CUIT]]="","-",VLOOKUP(compras_mes5[[#This Row],[CUIT]],Lista_CUIT[#All],4,0)),"CUIT NO CARGADO")</f>
        <v>0</v>
      </c>
    </row>
    <row r="75" spans="2:18" ht="15" customHeight="1" x14ac:dyDescent="0.25">
      <c r="B75" s="367">
        <v>45068</v>
      </c>
      <c r="C75" s="41">
        <v>1</v>
      </c>
      <c r="D75" s="369">
        <v>3</v>
      </c>
      <c r="E75" s="370">
        <v>46944</v>
      </c>
      <c r="F75" s="371">
        <v>30577744579</v>
      </c>
      <c r="G75" s="372" t="str">
        <f>IFERROR(IF(compras_mes5[[#This Row],[CUIT]]="","-",VLOOKUP(compras_mes5[[#This Row],[CUIT]],Lista_CUIT[#All],2,0)),"CUIT NO CARGADO")</f>
        <v>EXPRESO TROLE SRL</v>
      </c>
      <c r="H75" s="373">
        <v>5044.01</v>
      </c>
      <c r="I75" s="339">
        <f>IF(compras_mes5[[#This Row],[NETO GRAVADO]]="","",compras_mes5[[#This Row],[NETO GRAVADO]]*0.21)</f>
        <v>1059.2420999999999</v>
      </c>
      <c r="J75" s="339"/>
      <c r="K75" s="339"/>
      <c r="L75" s="339"/>
      <c r="M75" s="339"/>
      <c r="N75" s="339"/>
      <c r="O75" s="339"/>
      <c r="P75" s="374">
        <f>SUM(compras_mes5[[#This Row],[NETO GRAVADO]:[Otros / No Grav.]])</f>
        <v>6103.2520999999997</v>
      </c>
      <c r="Q75" s="375" t="str">
        <f>IFERROR(IF(compras_mes5[[#This Row],[CUIT]]="","-",VLOOKUP(compras_mes5[[#This Row],[CUIT]],Lista_CUIT[#All],3,0)),"CUIT NO CARGADO")</f>
        <v>FLETE</v>
      </c>
      <c r="R75" s="375">
        <f>IFERROR(IF(compras_mes5[[#This Row],[CUIT]]="","-",VLOOKUP(compras_mes5[[#This Row],[CUIT]],Lista_CUIT[#All],4,0)),"CUIT NO CARGADO")</f>
        <v>0</v>
      </c>
    </row>
    <row r="76" spans="2:18" ht="15" customHeight="1" x14ac:dyDescent="0.25">
      <c r="B76" s="367">
        <v>45068</v>
      </c>
      <c r="C76" s="41">
        <v>1</v>
      </c>
      <c r="D76" s="369">
        <v>5</v>
      </c>
      <c r="E76" s="370">
        <v>2778409</v>
      </c>
      <c r="F76" s="371">
        <v>30702652975</v>
      </c>
      <c r="G76" s="372" t="str">
        <f>IFERROR(IF(compras_mes5[[#This Row],[CUIT]]="","-",VLOOKUP(compras_mes5[[#This Row],[CUIT]],Lista_CUIT[#All],2,0)),"CUIT NO CARGADO")</f>
        <v>NSS SA</v>
      </c>
      <c r="H76" s="373">
        <v>6248.38</v>
      </c>
      <c r="I76" s="339">
        <f>IF(compras_mes5[[#This Row],[NETO GRAVADO]]="","",compras_mes5[[#This Row],[NETO GRAVADO]]*0.21)</f>
        <v>1312.1597999999999</v>
      </c>
      <c r="J76" s="339"/>
      <c r="K76" s="339"/>
      <c r="L76" s="339"/>
      <c r="M76" s="339"/>
      <c r="N76" s="339">
        <v>218.69</v>
      </c>
      <c r="O76" s="339"/>
      <c r="P76" s="374">
        <f>SUM(compras_mes5[[#This Row],[NETO GRAVADO]:[Otros / No Grav.]])</f>
        <v>7779.2298000000001</v>
      </c>
      <c r="Q76" s="375" t="str">
        <f>IFERROR(IF(compras_mes5[[#This Row],[CUIT]]="","-",VLOOKUP(compras_mes5[[#This Row],[CUIT]],Lista_CUIT[#All],3,0)),"CUIT NO CARGADO")</f>
        <v>TELEFONIA</v>
      </c>
      <c r="R76" s="375">
        <f>IFERROR(IF(compras_mes5[[#This Row],[CUIT]]="","-",VLOOKUP(compras_mes5[[#This Row],[CUIT]],Lista_CUIT[#All],4,0)),"CUIT NO CARGADO")</f>
        <v>0</v>
      </c>
    </row>
    <row r="77" spans="2:18" ht="15" customHeight="1" x14ac:dyDescent="0.25">
      <c r="B77" s="367">
        <v>45069</v>
      </c>
      <c r="C77" s="41">
        <v>1</v>
      </c>
      <c r="D77" s="369">
        <v>12</v>
      </c>
      <c r="E77" s="370">
        <v>15</v>
      </c>
      <c r="F77" s="371">
        <v>27202892936</v>
      </c>
      <c r="G77" s="372" t="str">
        <f>IFERROR(IF(compras_mes5[[#This Row],[CUIT]]="","-",VLOOKUP(compras_mes5[[#This Row],[CUIT]],Lista_CUIT[#All],2,0)),"CUIT NO CARGADO")</f>
        <v>Moriondo, Adriana Ines</v>
      </c>
      <c r="H77" s="373">
        <v>883868.63</v>
      </c>
      <c r="I77" s="339">
        <f>IF(compras_mes5[[#This Row],[NETO GRAVADO]]="","",compras_mes5[[#This Row],[NETO GRAVADO]]*0.21)</f>
        <v>185612.4123</v>
      </c>
      <c r="J77" s="339"/>
      <c r="K77" s="339"/>
      <c r="L77" s="339"/>
      <c r="M77" s="339"/>
      <c r="N77" s="339"/>
      <c r="O77" s="339"/>
      <c r="P77" s="374">
        <f>SUM(compras_mes5[[#This Row],[NETO GRAVADO]:[Otros / No Grav.]])</f>
        <v>1069481.0423000001</v>
      </c>
      <c r="Q77" s="375" t="str">
        <f>IFERROR(IF(compras_mes5[[#This Row],[CUIT]]="","-",VLOOKUP(compras_mes5[[#This Row],[CUIT]],Lista_CUIT[#All],3,0)),"CUIT NO CARGADO")</f>
        <v>PATENTES</v>
      </c>
      <c r="R77" s="375">
        <f>IFERROR(IF(compras_mes5[[#This Row],[CUIT]]="","-",VLOOKUP(compras_mes5[[#This Row],[CUIT]],Lista_CUIT[#All],4,0)),"CUIT NO CARGADO")</f>
        <v>0</v>
      </c>
    </row>
    <row r="78" spans="2:18" ht="15" customHeight="1" x14ac:dyDescent="0.25">
      <c r="B78" s="89">
        <v>45069</v>
      </c>
      <c r="C78" s="41">
        <v>1</v>
      </c>
      <c r="D78" s="91">
        <v>5</v>
      </c>
      <c r="E78" s="92">
        <v>2319</v>
      </c>
      <c r="F78" s="93">
        <v>30707267077</v>
      </c>
      <c r="G78" s="94" t="str">
        <f>IFERROR(IF(compras_mes5[[#This Row],[CUIT]]="","-",VLOOKUP(compras_mes5[[#This Row],[CUIT]],Lista_CUIT[#All],2,0)),"CUIT NO CARGADO")</f>
        <v>BARBARO SOCIEDAD COLECTIVA</v>
      </c>
      <c r="H78" s="95">
        <v>48000</v>
      </c>
      <c r="I78" s="86">
        <f>IF(compras_mes5[[#This Row],[NETO GRAVADO]]="","",compras_mes5[[#This Row],[NETO GRAVADO]]*0.21)</f>
        <v>10080</v>
      </c>
      <c r="J78" s="86"/>
      <c r="K78" s="86"/>
      <c r="L78" s="86"/>
      <c r="M78" s="86"/>
      <c r="N78" s="86"/>
      <c r="O78" s="86"/>
      <c r="P78" s="87">
        <f>SUM(compras_mes5[[#This Row],[NETO GRAVADO]:[Otros / No Grav.]])</f>
        <v>58080</v>
      </c>
      <c r="Q78" s="88" t="str">
        <f>IFERROR(IF(compras_mes5[[#This Row],[CUIT]]="","-",VLOOKUP(compras_mes5[[#This Row],[CUIT]],Lista_CUIT[#All],3,0)),"CUIT NO CARGADO")</f>
        <v>PROD ORTOP P/ALQ</v>
      </c>
      <c r="R78" s="88">
        <f>IFERROR(IF(compras_mes5[[#This Row],[CUIT]]="","-",VLOOKUP(compras_mes5[[#This Row],[CUIT]],Lista_CUIT[#All],4,0)),"CUIT NO CARGADO")</f>
        <v>0</v>
      </c>
    </row>
    <row r="79" spans="2:18" ht="15" customHeight="1" x14ac:dyDescent="0.25">
      <c r="B79" s="367">
        <v>45069</v>
      </c>
      <c r="C79" s="41">
        <v>1</v>
      </c>
      <c r="D79" s="369">
        <v>7</v>
      </c>
      <c r="E79" s="370">
        <v>27036</v>
      </c>
      <c r="F79" s="371">
        <v>20271532483</v>
      </c>
      <c r="G79" s="372" t="str">
        <f>IFERROR(IF(compras_mes5[[#This Row],[CUIT]]="","-",VLOOKUP(compras_mes5[[#This Row],[CUIT]],Lista_CUIT[#All],2,0)),"CUIT NO CARGADO")</f>
        <v>DIEGO MARTIN RIOS</v>
      </c>
      <c r="H79" s="373">
        <v>12050</v>
      </c>
      <c r="I79" s="339">
        <f>IF(compras_mes5[[#This Row],[NETO GRAVADO]]="","",compras_mes5[[#This Row],[NETO GRAVADO]]*0.21)</f>
        <v>2530.5</v>
      </c>
      <c r="J79" s="339"/>
      <c r="K79" s="339"/>
      <c r="L79" s="339"/>
      <c r="M79" s="339"/>
      <c r="N79" s="339">
        <v>421.75</v>
      </c>
      <c r="O79" s="339"/>
      <c r="P79" s="374">
        <f>SUM(compras_mes5[[#This Row],[NETO GRAVADO]:[Otros / No Grav.]])</f>
        <v>15002.25</v>
      </c>
      <c r="Q79" s="375" t="str">
        <f>IFERROR(IF(compras_mes5[[#This Row],[CUIT]]="","-",VLOOKUP(compras_mes5[[#This Row],[CUIT]],Lista_CUIT[#All],3,0)),"CUIT NO CARGADO")</f>
        <v>Productos Ortopedicos</v>
      </c>
      <c r="R79" s="375">
        <f>IFERROR(IF(compras_mes5[[#This Row],[CUIT]]="","-",VLOOKUP(compras_mes5[[#This Row],[CUIT]],Lista_CUIT[#All],4,0)),"CUIT NO CARGADO")</f>
        <v>0</v>
      </c>
    </row>
    <row r="80" spans="2:18" ht="15" customHeight="1" x14ac:dyDescent="0.25">
      <c r="B80" s="367">
        <v>45069</v>
      </c>
      <c r="C80" s="41">
        <v>1</v>
      </c>
      <c r="D80" s="369">
        <v>4</v>
      </c>
      <c r="E80" s="370">
        <v>64130</v>
      </c>
      <c r="F80" s="371">
        <v>33709738459</v>
      </c>
      <c r="G80" s="372" t="str">
        <f>IFERROR(IF(compras_mes5[[#This Row],[CUIT]]="","-",VLOOKUP(compras_mes5[[#This Row],[CUIT]],Lista_CUIT[#All],2,0)),"CUIT NO CARGADO")</f>
        <v>ORTOPEDICOS ALFOLATEX S.A</v>
      </c>
      <c r="H80" s="373">
        <v>62559.76</v>
      </c>
      <c r="I80" s="339">
        <f>IF(compras_mes5[[#This Row],[NETO GRAVADO]]="","",compras_mes5[[#This Row],[NETO GRAVADO]]*0.21)</f>
        <v>13137.5496</v>
      </c>
      <c r="J80" s="339"/>
      <c r="K80" s="339"/>
      <c r="L80" s="339"/>
      <c r="M80" s="339"/>
      <c r="N80" s="339"/>
      <c r="O80" s="339"/>
      <c r="P80" s="374">
        <f>SUM(compras_mes5[[#This Row],[NETO GRAVADO]:[Otros / No Grav.]])</f>
        <v>75697.309600000008</v>
      </c>
      <c r="Q80" s="375" t="str">
        <f>IFERROR(IF(compras_mes5[[#This Row],[CUIT]]="","-",VLOOKUP(compras_mes5[[#This Row],[CUIT]],Lista_CUIT[#All],3,0)),"CUIT NO CARGADO")</f>
        <v>Productos Ortopedicos</v>
      </c>
      <c r="R80" s="375">
        <f>IFERROR(IF(compras_mes5[[#This Row],[CUIT]]="","-",VLOOKUP(compras_mes5[[#This Row],[CUIT]],Lista_CUIT[#All],4,0)),"CUIT NO CARGADO")</f>
        <v>0</v>
      </c>
    </row>
    <row r="81" spans="2:18" ht="15" customHeight="1" x14ac:dyDescent="0.25">
      <c r="B81" s="89">
        <v>45069</v>
      </c>
      <c r="C81" s="41">
        <v>1</v>
      </c>
      <c r="D81" s="91">
        <v>5</v>
      </c>
      <c r="E81" s="92">
        <v>143215</v>
      </c>
      <c r="F81" s="93">
        <v>30598960093</v>
      </c>
      <c r="G81" s="94" t="str">
        <f>IFERROR(IF(compras_mes5[[#This Row],[CUIT]]="","-",VLOOKUP(compras_mes5[[#This Row],[CUIT]],Lista_CUIT[#All],2,0)),"CUIT NO CARGADO")</f>
        <v>SILVESTRIN FABRIS SRL</v>
      </c>
      <c r="H81" s="95">
        <v>56328.480000000003</v>
      </c>
      <c r="I81" s="86">
        <f>IF(compras_mes5[[#This Row],[NETO GRAVADO]]="","",compras_mes5[[#This Row],[NETO GRAVADO]]*0.21)</f>
        <v>11828.980799999999</v>
      </c>
      <c r="J81" s="86"/>
      <c r="K81" s="86"/>
      <c r="L81" s="86"/>
      <c r="M81" s="86"/>
      <c r="N81" s="86">
        <v>1971.5</v>
      </c>
      <c r="O81" s="86"/>
      <c r="P81" s="87">
        <f>SUM(compras_mes5[[#This Row],[NETO GRAVADO]:[Otros / No Grav.]])</f>
        <v>70128.960800000001</v>
      </c>
      <c r="Q81" s="88" t="str">
        <f>IFERROR(IF(compras_mes5[[#This Row],[CUIT]]="","-",VLOOKUP(compras_mes5[[#This Row],[CUIT]],Lista_CUIT[#All],3,0)),"CUIT NO CARGADO")</f>
        <v>Productos Ortopedicos</v>
      </c>
      <c r="R81" s="88">
        <f>IFERROR(IF(compras_mes5[[#This Row],[CUIT]]="","-",VLOOKUP(compras_mes5[[#This Row],[CUIT]],Lista_CUIT[#All],4,0)),"CUIT NO CARGADO")</f>
        <v>0</v>
      </c>
    </row>
    <row r="82" spans="2:18" ht="15" customHeight="1" x14ac:dyDescent="0.25">
      <c r="B82" s="367">
        <v>45070</v>
      </c>
      <c r="C82" s="41">
        <v>1</v>
      </c>
      <c r="D82" s="369">
        <v>366</v>
      </c>
      <c r="E82" s="370">
        <v>24120</v>
      </c>
      <c r="F82" s="371">
        <v>30646512952</v>
      </c>
      <c r="G82" s="372" t="str">
        <f>IFERROR(IF(compras_mes5[[#This Row],[CUIT]]="","-",VLOOKUP(compras_mes5[[#This Row],[CUIT]],Lista_CUIT[#All],2,0)),"CUIT NO CARGADO")</f>
        <v xml:space="preserve">PINTURERIA REX </v>
      </c>
      <c r="H82" s="373">
        <v>6747.52</v>
      </c>
      <c r="I82" s="339">
        <f>IF(compras_mes5[[#This Row],[NETO GRAVADO]]="","",compras_mes5[[#This Row],[NETO GRAVADO]]*0.21)</f>
        <v>1416.9792</v>
      </c>
      <c r="J82" s="339"/>
      <c r="K82" s="339"/>
      <c r="L82" s="339"/>
      <c r="M82" s="339"/>
      <c r="N82" s="339">
        <v>236.15</v>
      </c>
      <c r="O82" s="339"/>
      <c r="P82" s="374">
        <f>SUM(compras_mes5[[#This Row],[NETO GRAVADO]:[Otros / No Grav.]])</f>
        <v>8400.6491999999998</v>
      </c>
      <c r="Q82" s="375" t="str">
        <f>IFERROR(IF(compras_mes5[[#This Row],[CUIT]]="","-",VLOOKUP(compras_mes5[[#This Row],[CUIT]],Lista_CUIT[#All],3,0)),"CUIT NO CARGADO")</f>
        <v>GASTOS ADMINISTRATIVOS</v>
      </c>
      <c r="R82" s="375">
        <f>IFERROR(IF(compras_mes5[[#This Row],[CUIT]]="","-",VLOOKUP(compras_mes5[[#This Row],[CUIT]],Lista_CUIT[#All],4,0)),"CUIT NO CARGADO")</f>
        <v>0</v>
      </c>
    </row>
    <row r="83" spans="2:18" ht="15" customHeight="1" x14ac:dyDescent="0.25">
      <c r="B83" s="219">
        <v>45070</v>
      </c>
      <c r="C83" s="209">
        <v>1</v>
      </c>
      <c r="D83" s="220">
        <v>700</v>
      </c>
      <c r="E83" s="221">
        <v>953297</v>
      </c>
      <c r="F83" s="222">
        <v>30715804812</v>
      </c>
      <c r="G83" s="223" t="str">
        <f>IFERROR(IF(compras_mes5[[#This Row],[CUIT]]="","-",VLOOKUP(compras_mes5[[#This Row],[CUIT]],Lista_CUIT[#All],2,0)),"CUIT NO CARGADO")</f>
        <v>CORREDORES VIALES SOCIEDAD ANONIMA</v>
      </c>
      <c r="H83" s="224">
        <v>421.49</v>
      </c>
      <c r="I83" s="225">
        <f>IF(compras_mes5[[#This Row],[NETO GRAVADO]]="","",compras_mes5[[#This Row],[NETO GRAVADO]]*0.21)</f>
        <v>88.512900000000002</v>
      </c>
      <c r="J83" s="225"/>
      <c r="K83" s="225"/>
      <c r="L83" s="225"/>
      <c r="M83" s="225"/>
      <c r="N83" s="225"/>
      <c r="O83" s="225"/>
      <c r="P83" s="226">
        <f>SUM(compras_mes5[[#This Row],[NETO GRAVADO]:[Otros / No Grav.]])</f>
        <v>510.00290000000001</v>
      </c>
      <c r="Q83" s="227" t="str">
        <f>IFERROR(IF(compras_mes5[[#This Row],[CUIT]]="","-",VLOOKUP(compras_mes5[[#This Row],[CUIT]],Lista_CUIT[#All],3,0)),"CUIT NO CARGADO")</f>
        <v>Autopista</v>
      </c>
      <c r="R83" s="227">
        <f>IFERROR(IF(compras_mes5[[#This Row],[CUIT]]="","-",VLOOKUP(compras_mes5[[#This Row],[CUIT]],Lista_CUIT[#All],4,0)),"CUIT NO CARGADO")</f>
        <v>0</v>
      </c>
    </row>
    <row r="84" spans="2:18" ht="15" customHeight="1" x14ac:dyDescent="0.25">
      <c r="B84" s="219">
        <v>45070</v>
      </c>
      <c r="C84" s="209">
        <v>1</v>
      </c>
      <c r="D84" s="220">
        <v>700</v>
      </c>
      <c r="E84" s="221">
        <v>953298</v>
      </c>
      <c r="F84" s="222">
        <v>30715804812</v>
      </c>
      <c r="G84" s="223" t="str">
        <f>IFERROR(IF(compras_mes5[[#This Row],[CUIT]]="","-",VLOOKUP(compras_mes5[[#This Row],[CUIT]],Lista_CUIT[#All],2,0)),"CUIT NO CARGADO")</f>
        <v>CORREDORES VIALES SOCIEDAD ANONIMA</v>
      </c>
      <c r="H84" s="224">
        <v>561.98</v>
      </c>
      <c r="I84" s="225">
        <f>IF(compras_mes5[[#This Row],[NETO GRAVADO]]="","",compras_mes5[[#This Row],[NETO GRAVADO]]*0.21)</f>
        <v>118.0158</v>
      </c>
      <c r="J84" s="225"/>
      <c r="K84" s="225"/>
      <c r="L84" s="225"/>
      <c r="M84" s="225"/>
      <c r="N84" s="225"/>
      <c r="O84" s="225">
        <v>19.670000000000002</v>
      </c>
      <c r="P84" s="226">
        <f>SUM(compras_mes5[[#This Row],[NETO GRAVADO]:[Otros / No Grav.]])</f>
        <v>699.66579999999999</v>
      </c>
      <c r="Q84" s="227" t="str">
        <f>IFERROR(IF(compras_mes5[[#This Row],[CUIT]]="","-",VLOOKUP(compras_mes5[[#This Row],[CUIT]],Lista_CUIT[#All],3,0)),"CUIT NO CARGADO")</f>
        <v>Autopista</v>
      </c>
      <c r="R84" s="227">
        <f>IFERROR(IF(compras_mes5[[#This Row],[CUIT]]="","-",VLOOKUP(compras_mes5[[#This Row],[CUIT]],Lista_CUIT[#All],4,0)),"CUIT NO CARGADO")</f>
        <v>0</v>
      </c>
    </row>
    <row r="85" spans="2:18" ht="15" customHeight="1" x14ac:dyDescent="0.25">
      <c r="B85" s="367">
        <v>45075</v>
      </c>
      <c r="C85" s="41">
        <v>1</v>
      </c>
      <c r="D85" s="369">
        <v>3</v>
      </c>
      <c r="E85" s="370">
        <v>76</v>
      </c>
      <c r="F85" s="371">
        <v>20334976433</v>
      </c>
      <c r="G85" s="372" t="str">
        <f>IFERROR(IF(compras_mes5[[#This Row],[CUIT]]="","-",VLOOKUP(compras_mes5[[#This Row],[CUIT]],Lista_CUIT[#All],2,0)),"CUIT NO CARGADO")</f>
        <v>NARDOMARINO EZEQUIEL EDUARDO</v>
      </c>
      <c r="H85" s="373">
        <v>103995.87</v>
      </c>
      <c r="I85" s="339">
        <f>IF(compras_mes5[[#This Row],[NETO GRAVADO]]="","",compras_mes5[[#This Row],[NETO GRAVADO]]*0.21)</f>
        <v>21839.132699999998</v>
      </c>
      <c r="J85" s="339"/>
      <c r="K85" s="339"/>
      <c r="L85" s="339"/>
      <c r="M85" s="339"/>
      <c r="N85" s="339"/>
      <c r="O85" s="339"/>
      <c r="P85" s="374">
        <f>SUM(compras_mes5[[#This Row],[NETO GRAVADO]:[Otros / No Grav.]])</f>
        <v>125835.0027</v>
      </c>
      <c r="Q85" s="375" t="str">
        <f>IFERROR(IF(compras_mes5[[#This Row],[CUIT]]="","-",VLOOKUP(compras_mes5[[#This Row],[CUIT]],Lista_CUIT[#All],3,0)),"CUIT NO CARGADO")</f>
        <v>FLETE</v>
      </c>
      <c r="R85" s="375">
        <f>IFERROR(IF(compras_mes5[[#This Row],[CUIT]]="","-",VLOOKUP(compras_mes5[[#This Row],[CUIT]],Lista_CUIT[#All],4,0)),"CUIT NO CARGADO")</f>
        <v>0</v>
      </c>
    </row>
    <row r="86" spans="2:18" ht="15" customHeight="1" x14ac:dyDescent="0.25">
      <c r="B86" s="367">
        <v>45075</v>
      </c>
      <c r="C86" s="41">
        <v>1</v>
      </c>
      <c r="D86" s="369">
        <v>5</v>
      </c>
      <c r="E86" s="370">
        <v>1412</v>
      </c>
      <c r="F86" s="371">
        <v>30716815710</v>
      </c>
      <c r="G86" s="372" t="str">
        <f>IFERROR(IF(compras_mes5[[#This Row],[CUIT]]="","-",VLOOKUP(compras_mes5[[#This Row],[CUIT]],Lista_CUIT[#All],2,0)),"CUIT NO CARGADO")</f>
        <v>PAPELERA GEOPEL SRL</v>
      </c>
      <c r="H86" s="373">
        <v>2932.22</v>
      </c>
      <c r="I86" s="339">
        <f>IF(compras_mes5[[#This Row],[NETO GRAVADO]]="","",compras_mes5[[#This Row],[NETO GRAVADO]]*0.21)</f>
        <v>615.76619999999991</v>
      </c>
      <c r="J86" s="339"/>
      <c r="K86" s="339"/>
      <c r="L86" s="339"/>
      <c r="M86" s="339"/>
      <c r="N86" s="339"/>
      <c r="O86" s="339"/>
      <c r="P86" s="374">
        <f>SUM(compras_mes5[[#This Row],[NETO GRAVADO]:[Otros / No Grav.]])</f>
        <v>3547.9861999999998</v>
      </c>
      <c r="Q86" s="375" t="str">
        <f>IFERROR(IF(compras_mes5[[#This Row],[CUIT]]="","-",VLOOKUP(compras_mes5[[#This Row],[CUIT]],Lista_CUIT[#All],3,0)),"CUIT NO CARGADO")</f>
        <v>PAPELERIA</v>
      </c>
      <c r="R86" s="375">
        <f>IFERROR(IF(compras_mes5[[#This Row],[CUIT]]="","-",VLOOKUP(compras_mes5[[#This Row],[CUIT]],Lista_CUIT[#All],4,0)),"CUIT NO CARGADO")</f>
        <v>0</v>
      </c>
    </row>
    <row r="87" spans="2:18" ht="15" customHeight="1" x14ac:dyDescent="0.25">
      <c r="B87" s="219">
        <v>45075</v>
      </c>
      <c r="C87" s="209">
        <v>1</v>
      </c>
      <c r="D87" s="220">
        <v>23</v>
      </c>
      <c r="E87" s="221">
        <v>1266292</v>
      </c>
      <c r="F87" s="222">
        <v>30703088534</v>
      </c>
      <c r="G87" s="223" t="str">
        <f>IFERROR(IF(compras_mes5[[#This Row],[CUIT]]="","-",VLOOKUP(compras_mes5[[#This Row],[CUIT]],Lista_CUIT[#All],2,0)),"CUIT NO CARGADO")</f>
        <v>MERCADO LIBRE SRL</v>
      </c>
      <c r="H87" s="224">
        <v>9714.92</v>
      </c>
      <c r="I87" s="225">
        <f>IF(compras_mes5[[#This Row],[NETO GRAVADO]]="","",compras_mes5[[#This Row],[NETO GRAVADO]]*0.21)</f>
        <v>2040.1332</v>
      </c>
      <c r="J87" s="225"/>
      <c r="K87" s="225"/>
      <c r="L87" s="225"/>
      <c r="M87" s="225"/>
      <c r="N87" s="225"/>
      <c r="O87" s="225">
        <v>631.47</v>
      </c>
      <c r="P87" s="226">
        <f>SUM(compras_mes5[[#This Row],[NETO GRAVADO]:[Otros / No Grav.]])</f>
        <v>12386.5232</v>
      </c>
      <c r="Q87" s="227" t="str">
        <f>IFERROR(IF(compras_mes5[[#This Row],[CUIT]]="","-",VLOOKUP(compras_mes5[[#This Row],[CUIT]],Lista_CUIT[#All],3,0)),"CUIT NO CARGADO")</f>
        <v>GASTOS COMERCIALIZACION</v>
      </c>
      <c r="R87" s="227">
        <f>IFERROR(IF(compras_mes5[[#This Row],[CUIT]]="","-",VLOOKUP(compras_mes5[[#This Row],[CUIT]],Lista_CUIT[#All],4,0)),"CUIT NO CARGADO")</f>
        <v>0</v>
      </c>
    </row>
    <row r="88" spans="2:18" ht="15" customHeight="1" x14ac:dyDescent="0.25">
      <c r="B88" s="367">
        <v>45076</v>
      </c>
      <c r="C88" s="41">
        <v>1</v>
      </c>
      <c r="D88" s="369">
        <v>5</v>
      </c>
      <c r="E88" s="370">
        <v>16</v>
      </c>
      <c r="F88" s="371">
        <v>20929183143</v>
      </c>
      <c r="G88" s="372" t="str">
        <f>IFERROR(IF(compras_mes5[[#This Row],[CUIT]]="","-",VLOOKUP(compras_mes5[[#This Row],[CUIT]],Lista_CUIT[#All],2,0)),"CUIT NO CARGADO")</f>
        <v>MA JUN</v>
      </c>
      <c r="H88" s="373">
        <v>12000</v>
      </c>
      <c r="I88" s="339">
        <f>IF(compras_mes5[[#This Row],[NETO GRAVADO]]="","",compras_mes5[[#This Row],[NETO GRAVADO]]*0.21)</f>
        <v>2520</v>
      </c>
      <c r="J88" s="339"/>
      <c r="K88" s="339"/>
      <c r="L88" s="339"/>
      <c r="M88" s="339"/>
      <c r="N88" s="339"/>
      <c r="O88" s="339"/>
      <c r="P88" s="374">
        <f>SUM(compras_mes5[[#This Row],[NETO GRAVADO]:[Otros / No Grav.]])</f>
        <v>14520</v>
      </c>
      <c r="Q88" s="375" t="str">
        <f>IFERROR(IF(compras_mes5[[#This Row],[CUIT]]="","-",VLOOKUP(compras_mes5[[#This Row],[CUIT]],Lista_CUIT[#All],3,0)),"CUIT NO CARGADO")</f>
        <v>Gastos Varios</v>
      </c>
      <c r="R88" s="375">
        <f>IFERROR(IF(compras_mes5[[#This Row],[CUIT]]="","-",VLOOKUP(compras_mes5[[#This Row],[CUIT]],Lista_CUIT[#All],4,0)),"CUIT NO CARGADO")</f>
        <v>0</v>
      </c>
    </row>
    <row r="89" spans="2:18" ht="15" customHeight="1" x14ac:dyDescent="0.25">
      <c r="B89" s="367">
        <v>45076</v>
      </c>
      <c r="C89" s="41">
        <v>1</v>
      </c>
      <c r="D89" s="369">
        <v>1</v>
      </c>
      <c r="E89" s="370">
        <v>479</v>
      </c>
      <c r="F89" s="371">
        <v>33716711469</v>
      </c>
      <c r="G89" s="372" t="str">
        <f>IFERROR(IF(compras_mes5[[#This Row],[CUIT]]="","-",VLOOKUP(compras_mes5[[#This Row],[CUIT]],Lista_CUIT[#All],2,0)),"CUIT NO CARGADO")</f>
        <v>ORTOPEDIA SOLER SRL</v>
      </c>
      <c r="H89" s="373">
        <v>75000</v>
      </c>
      <c r="I89" s="339">
        <f>IF(compras_mes5[[#This Row],[NETO GRAVADO]]="","",compras_mes5[[#This Row],[NETO GRAVADO]]*0.21)</f>
        <v>15750</v>
      </c>
      <c r="J89" s="339"/>
      <c r="K89" s="339"/>
      <c r="L89" s="339"/>
      <c r="M89" s="339"/>
      <c r="N89" s="339"/>
      <c r="O89" s="339"/>
      <c r="P89" s="374">
        <f>SUM(compras_mes5[[#This Row],[NETO GRAVADO]:[Otros / No Grav.]])</f>
        <v>90750</v>
      </c>
      <c r="Q89" s="375" t="str">
        <f>IFERROR(IF(compras_mes5[[#This Row],[CUIT]]="","-",VLOOKUP(compras_mes5[[#This Row],[CUIT]],Lista_CUIT[#All],3,0)),"CUIT NO CARGADO")</f>
        <v>Productos Ortopedicos</v>
      </c>
      <c r="R89" s="375">
        <f>IFERROR(IF(compras_mes5[[#This Row],[CUIT]]="","-",VLOOKUP(compras_mes5[[#This Row],[CUIT]],Lista_CUIT[#All],4,0)),"CUIT NO CARGADO")</f>
        <v>0</v>
      </c>
    </row>
    <row r="90" spans="2:18" ht="15" customHeight="1" x14ac:dyDescent="0.25">
      <c r="B90" s="367">
        <v>45076</v>
      </c>
      <c r="C90" s="41">
        <v>1</v>
      </c>
      <c r="D90" s="369">
        <v>7</v>
      </c>
      <c r="E90" s="370">
        <v>831</v>
      </c>
      <c r="F90" s="371">
        <v>30712187316</v>
      </c>
      <c r="G90" s="372" t="str">
        <f>IFERROR(IF(compras_mes5[[#This Row],[CUIT]]="","-",VLOOKUP(compras_mes5[[#This Row],[CUIT]],Lista_CUIT[#All],2,0)),"CUIT NO CARGADO")</f>
        <v>ITALOMED PRODUCTOS SRL</v>
      </c>
      <c r="H90" s="373">
        <v>54842.1</v>
      </c>
      <c r="I90" s="339">
        <f>IF(compras_mes5[[#This Row],[NETO GRAVADO]]="","",compras_mes5[[#This Row],[NETO GRAVADO]]*0.21)</f>
        <v>11516.840999999999</v>
      </c>
      <c r="J90" s="339"/>
      <c r="K90" s="339"/>
      <c r="L90" s="339"/>
      <c r="M90" s="339"/>
      <c r="N90" s="339"/>
      <c r="O90" s="339"/>
      <c r="P90" s="374">
        <f>SUM(compras_mes5[[#This Row],[NETO GRAVADO]:[Otros / No Grav.]])</f>
        <v>66358.940999999992</v>
      </c>
      <c r="Q90" s="375" t="str">
        <f>IFERROR(IF(compras_mes5[[#This Row],[CUIT]]="","-",VLOOKUP(compras_mes5[[#This Row],[CUIT]],Lista_CUIT[#All],3,0)),"CUIT NO CARGADO")</f>
        <v>Productos Ortopedicos</v>
      </c>
      <c r="R90" s="375">
        <f>IFERROR(IF(compras_mes5[[#This Row],[CUIT]]="","-",VLOOKUP(compras_mes5[[#This Row],[CUIT]],Lista_CUIT[#All],4,0)),"CUIT NO CARGADO")</f>
        <v>0</v>
      </c>
    </row>
    <row r="91" spans="2:18" ht="15" customHeight="1" x14ac:dyDescent="0.25">
      <c r="B91" s="367">
        <v>45076</v>
      </c>
      <c r="C91" s="41">
        <v>1</v>
      </c>
      <c r="D91" s="369">
        <v>7</v>
      </c>
      <c r="E91" s="370">
        <v>832</v>
      </c>
      <c r="F91" s="371">
        <v>30712187316</v>
      </c>
      <c r="G91" s="372" t="str">
        <f>IFERROR(IF(compras_mes5[[#This Row],[CUIT]]="","-",VLOOKUP(compras_mes5[[#This Row],[CUIT]],Lista_CUIT[#All],2,0)),"CUIT NO CARGADO")</f>
        <v>ITALOMED PRODUCTOS SRL</v>
      </c>
      <c r="H91" s="373">
        <v>42899.81</v>
      </c>
      <c r="I91" s="339">
        <f>IF(compras_mes5[[#This Row],[NETO GRAVADO]]="","",compras_mes5[[#This Row],[NETO GRAVADO]]*0.21)</f>
        <v>9008.9600999999984</v>
      </c>
      <c r="J91" s="339"/>
      <c r="K91" s="339"/>
      <c r="L91" s="339"/>
      <c r="M91" s="339"/>
      <c r="N91" s="339"/>
      <c r="O91" s="339"/>
      <c r="P91" s="374">
        <f>SUM(compras_mes5[[#This Row],[NETO GRAVADO]:[Otros / No Grav.]])</f>
        <v>51908.770099999994</v>
      </c>
      <c r="Q91" s="375" t="str">
        <f>IFERROR(IF(compras_mes5[[#This Row],[CUIT]]="","-",VLOOKUP(compras_mes5[[#This Row],[CUIT]],Lista_CUIT[#All],3,0)),"CUIT NO CARGADO")</f>
        <v>Productos Ortopedicos</v>
      </c>
      <c r="R91" s="375">
        <f>IFERROR(IF(compras_mes5[[#This Row],[CUIT]]="","-",VLOOKUP(compras_mes5[[#This Row],[CUIT]],Lista_CUIT[#All],4,0)),"CUIT NO CARGADO")</f>
        <v>0</v>
      </c>
    </row>
    <row r="92" spans="2:18" ht="15" customHeight="1" x14ac:dyDescent="0.25">
      <c r="B92" s="367">
        <v>45076</v>
      </c>
      <c r="C92" s="41">
        <v>1</v>
      </c>
      <c r="D92" s="369">
        <v>5</v>
      </c>
      <c r="E92" s="370">
        <v>1238</v>
      </c>
      <c r="F92" s="371">
        <v>30712187316</v>
      </c>
      <c r="G92" s="372" t="str">
        <f>IFERROR(IF(compras_mes5[[#This Row],[CUIT]]="","-",VLOOKUP(compras_mes5[[#This Row],[CUIT]],Lista_CUIT[#All],2,0)),"CUIT NO CARGADO")</f>
        <v>ITALOMED PRODUCTOS SRL</v>
      </c>
      <c r="H92" s="373">
        <v>78805.58</v>
      </c>
      <c r="I92" s="339">
        <f>IF(compras_mes5[[#This Row],[NETO GRAVADO]]="","",compras_mes5[[#This Row],[NETO GRAVADO]]*0.21)</f>
        <v>16549.1718</v>
      </c>
      <c r="J92" s="339"/>
      <c r="K92" s="339"/>
      <c r="L92" s="339"/>
      <c r="M92" s="339"/>
      <c r="N92" s="339"/>
      <c r="O92" s="339"/>
      <c r="P92" s="374">
        <f>SUM(compras_mes5[[#This Row],[NETO GRAVADO]:[Otros / No Grav.]])</f>
        <v>95354.751799999998</v>
      </c>
      <c r="Q92" s="375" t="str">
        <f>IFERROR(IF(compras_mes5[[#This Row],[CUIT]]="","-",VLOOKUP(compras_mes5[[#This Row],[CUIT]],Lista_CUIT[#All],3,0)),"CUIT NO CARGADO")</f>
        <v>Productos Ortopedicos</v>
      </c>
      <c r="R92" s="375">
        <f>IFERROR(IF(compras_mes5[[#This Row],[CUIT]]="","-",VLOOKUP(compras_mes5[[#This Row],[CUIT]],Lista_CUIT[#All],4,0)),"CUIT NO CARGADO")</f>
        <v>0</v>
      </c>
    </row>
    <row r="93" spans="2:18" ht="15" customHeight="1" x14ac:dyDescent="0.25">
      <c r="B93" s="367">
        <v>45076</v>
      </c>
      <c r="C93" s="41">
        <v>1</v>
      </c>
      <c r="D93" s="369">
        <v>2</v>
      </c>
      <c r="E93" s="370">
        <v>7925</v>
      </c>
      <c r="F93" s="371">
        <v>30643862928</v>
      </c>
      <c r="G93" s="372" t="str">
        <f>IFERROR(IF(compras_mes5[[#This Row],[CUIT]]="","-",VLOOKUP(compras_mes5[[#This Row],[CUIT]],Lista_CUIT[#All],2,0)),"CUIT NO CARGADO")</f>
        <v>OUTLANDISH SRL</v>
      </c>
      <c r="H93" s="373">
        <v>256836.36</v>
      </c>
      <c r="I93" s="339">
        <f>IF(compras_mes5[[#This Row],[NETO GRAVADO]]="","",compras_mes5[[#This Row],[NETO GRAVADO]]*0.21)</f>
        <v>53935.635599999994</v>
      </c>
      <c r="J93" s="339"/>
      <c r="K93" s="339"/>
      <c r="L93" s="339"/>
      <c r="M93" s="339"/>
      <c r="N93" s="339"/>
      <c r="O93" s="339"/>
      <c r="P93" s="374">
        <f>SUM(compras_mes5[[#This Row],[NETO GRAVADO]:[Otros / No Grav.]])</f>
        <v>310771.99559999997</v>
      </c>
      <c r="Q93" s="375" t="str">
        <f>IFERROR(IF(compras_mes5[[#This Row],[CUIT]]="","-",VLOOKUP(compras_mes5[[#This Row],[CUIT]],Lista_CUIT[#All],3,0)),"CUIT NO CARGADO")</f>
        <v>Productos Ortopedicos</v>
      </c>
      <c r="R93" s="375">
        <f>IFERROR(IF(compras_mes5[[#This Row],[CUIT]]="","-",VLOOKUP(compras_mes5[[#This Row],[CUIT]],Lista_CUIT[#All],4,0)),"CUIT NO CARGADO")</f>
        <v>0</v>
      </c>
    </row>
    <row r="94" spans="2:18" ht="15" customHeight="1" x14ac:dyDescent="0.25">
      <c r="B94" s="367">
        <v>45076</v>
      </c>
      <c r="C94" s="41">
        <v>1</v>
      </c>
      <c r="D94" s="369">
        <v>2</v>
      </c>
      <c r="E94" s="370">
        <v>8504</v>
      </c>
      <c r="F94" s="371">
        <v>30714331082</v>
      </c>
      <c r="G94" s="372" t="str">
        <f>IFERROR(IF(compras_mes5[[#This Row],[CUIT]]="","-",VLOOKUP(compras_mes5[[#This Row],[CUIT]],Lista_CUIT[#All],2,0)),"CUIT NO CARGADO")</f>
        <v>ORTOPEDIA CASA ESCALADA SRL</v>
      </c>
      <c r="H94" s="373">
        <v>1760503.15</v>
      </c>
      <c r="I94" s="339">
        <f>IF(compras_mes5[[#This Row],[NETO GRAVADO]]="","",compras_mes5[[#This Row],[NETO GRAVADO]]*0.21)</f>
        <v>369705.66149999999</v>
      </c>
      <c r="J94" s="339"/>
      <c r="K94" s="339"/>
      <c r="L94" s="339"/>
      <c r="M94" s="339"/>
      <c r="N94" s="339"/>
      <c r="O94" s="339"/>
      <c r="P94" s="374">
        <f>SUM(compras_mes5[[#This Row],[NETO GRAVADO]:[Otros / No Grav.]])</f>
        <v>2130208.8114999998</v>
      </c>
      <c r="Q94" s="375" t="str">
        <f>IFERROR(IF(compras_mes5[[#This Row],[CUIT]]="","-",VLOOKUP(compras_mes5[[#This Row],[CUIT]],Lista_CUIT[#All],3,0)),"CUIT NO CARGADO")</f>
        <v>Productos Ortopedicos</v>
      </c>
      <c r="R94" s="375">
        <f>IFERROR(IF(compras_mes5[[#This Row],[CUIT]]="","-",VLOOKUP(compras_mes5[[#This Row],[CUIT]],Lista_CUIT[#All],4,0)),"CUIT NO CARGADO")</f>
        <v>0</v>
      </c>
    </row>
    <row r="95" spans="2:18" ht="15" customHeight="1" x14ac:dyDescent="0.25">
      <c r="B95" s="367">
        <v>45077</v>
      </c>
      <c r="C95" s="368">
        <v>1</v>
      </c>
      <c r="D95" s="369">
        <v>4</v>
      </c>
      <c r="E95" s="370">
        <v>42</v>
      </c>
      <c r="F95" s="371">
        <v>20317488476</v>
      </c>
      <c r="G95" s="372" t="str">
        <f>IFERROR(IF(compras_mes5[[#This Row],[CUIT]]="","-",VLOOKUP(compras_mes5[[#This Row],[CUIT]],Lista_CUIT[#All],2,0)),"CUIT NO CARGADO")</f>
        <v>MIGUEL ANGEL VILLALBA</v>
      </c>
      <c r="H95" s="373">
        <v>30000</v>
      </c>
      <c r="I95" s="339">
        <f>IF(compras_mes5[[#This Row],[NETO GRAVADO]]="","",compras_mes5[[#This Row],[NETO GRAVADO]]*0.21)</f>
        <v>6300</v>
      </c>
      <c r="J95" s="339"/>
      <c r="K95" s="339"/>
      <c r="L95" s="339"/>
      <c r="M95" s="339"/>
      <c r="N95" s="339"/>
      <c r="O95" s="339"/>
      <c r="P95" s="374">
        <f>SUM(compras_mes5[[#This Row],[NETO GRAVADO]:[Otros / No Grav.]])</f>
        <v>36300</v>
      </c>
      <c r="Q95" s="375" t="str">
        <f>IFERROR(IF(compras_mes5[[#This Row],[CUIT]]="","-",VLOOKUP(compras_mes5[[#This Row],[CUIT]],Lista_CUIT[#All],3,0)),"CUIT NO CARGADO")</f>
        <v>Recupero P. Ortopedicos</v>
      </c>
      <c r="R95" s="375">
        <f>IFERROR(IF(compras_mes5[[#This Row],[CUIT]]="","-",VLOOKUP(compras_mes5[[#This Row],[CUIT]],Lista_CUIT[#All],4,0)),"CUIT NO CARGADO")</f>
        <v>0</v>
      </c>
    </row>
    <row r="96" spans="2:18" ht="15" customHeight="1" x14ac:dyDescent="0.25">
      <c r="B96" s="367">
        <v>45077</v>
      </c>
      <c r="C96" s="41">
        <v>1</v>
      </c>
      <c r="D96" s="369">
        <v>44</v>
      </c>
      <c r="E96" s="370">
        <v>14822</v>
      </c>
      <c r="F96" s="371">
        <v>30708847247</v>
      </c>
      <c r="G96" s="372" t="str">
        <f>IFERROR(IF(compras_mes5[[#This Row],[CUIT]]="","-",VLOOKUP(compras_mes5[[#This Row],[CUIT]],Lista_CUIT[#All],2,0)),"CUIT NO CARGADO")</f>
        <v>TOAGRA SRL</v>
      </c>
      <c r="H96" s="373">
        <v>5768.8</v>
      </c>
      <c r="I96" s="339">
        <f>IF(compras_mes5[[#This Row],[NETO GRAVADO]]="","",compras_mes5[[#This Row],[NETO GRAVADO]]*0.21)</f>
        <v>1211.4480000000001</v>
      </c>
      <c r="J96" s="339"/>
      <c r="K96" s="339"/>
      <c r="L96" s="339"/>
      <c r="M96" s="339"/>
      <c r="N96" s="339">
        <v>201.91</v>
      </c>
      <c r="O96" s="339"/>
      <c r="P96" s="374">
        <f>SUM(compras_mes5[[#This Row],[NETO GRAVADO]:[Otros / No Grav.]])</f>
        <v>7182.1580000000004</v>
      </c>
      <c r="Q96" s="375" t="str">
        <f>IFERROR(IF(compras_mes5[[#This Row],[CUIT]]="","-",VLOOKUP(compras_mes5[[#This Row],[CUIT]],Lista_CUIT[#All],3,0)),"CUIT NO CARGADO")</f>
        <v>GASTOS VARIOS</v>
      </c>
      <c r="R96" s="375">
        <f>IFERROR(IF(compras_mes5[[#This Row],[CUIT]]="","-",VLOOKUP(compras_mes5[[#This Row],[CUIT]],Lista_CUIT[#All],4,0)),"CUIT NO CARGADO")</f>
        <v>0</v>
      </c>
    </row>
    <row r="97" spans="2:18" ht="15" customHeight="1" x14ac:dyDescent="0.25">
      <c r="B97" s="367">
        <v>45077</v>
      </c>
      <c r="C97" s="41">
        <v>1</v>
      </c>
      <c r="D97" s="369">
        <v>7</v>
      </c>
      <c r="E97" s="370">
        <v>27093</v>
      </c>
      <c r="F97" s="371">
        <v>20271532483</v>
      </c>
      <c r="G97" s="372" t="str">
        <f>IFERROR(IF(compras_mes5[[#This Row],[CUIT]]="","-",VLOOKUP(compras_mes5[[#This Row],[CUIT]],Lista_CUIT[#All],2,0)),"CUIT NO CARGADO")</f>
        <v>DIEGO MARTIN RIOS</v>
      </c>
      <c r="H97" s="373">
        <v>159474.79</v>
      </c>
      <c r="I97" s="339">
        <f>IF(compras_mes5[[#This Row],[NETO GRAVADO]]="","",compras_mes5[[#This Row],[NETO GRAVADO]]*0.21)</f>
        <v>33489.705900000001</v>
      </c>
      <c r="J97" s="339"/>
      <c r="K97" s="339"/>
      <c r="L97" s="339"/>
      <c r="M97" s="339"/>
      <c r="N97" s="339">
        <v>5581.62</v>
      </c>
      <c r="O97" s="339"/>
      <c r="P97" s="374">
        <f>SUM(compras_mes5[[#This Row],[NETO GRAVADO]:[Otros / No Grav.]])</f>
        <v>198546.1159</v>
      </c>
      <c r="Q97" s="375" t="str">
        <f>IFERROR(IF(compras_mes5[[#This Row],[CUIT]]="","-",VLOOKUP(compras_mes5[[#This Row],[CUIT]],Lista_CUIT[#All],3,0)),"CUIT NO CARGADO")</f>
        <v>Productos Ortopedicos</v>
      </c>
      <c r="R97" s="375">
        <f>IFERROR(IF(compras_mes5[[#This Row],[CUIT]]="","-",VLOOKUP(compras_mes5[[#This Row],[CUIT]],Lista_CUIT[#All],4,0)),"CUIT NO CARGADO")</f>
        <v>0</v>
      </c>
    </row>
    <row r="98" spans="2:18" ht="15" customHeight="1" x14ac:dyDescent="0.25">
      <c r="B98" s="367">
        <v>45077</v>
      </c>
      <c r="C98" s="41">
        <v>1</v>
      </c>
      <c r="D98" s="369">
        <v>7</v>
      </c>
      <c r="E98" s="370">
        <v>27094</v>
      </c>
      <c r="F98" s="371">
        <v>20271532483</v>
      </c>
      <c r="G98" s="372" t="str">
        <f>IFERROR(IF(compras_mes5[[#This Row],[CUIT]]="","-",VLOOKUP(compras_mes5[[#This Row],[CUIT]],Lista_CUIT[#All],2,0)),"CUIT NO CARGADO")</f>
        <v>DIEGO MARTIN RIOS</v>
      </c>
      <c r="H98" s="373">
        <v>1287225.54</v>
      </c>
      <c r="I98" s="339">
        <f>IF(compras_mes5[[#This Row],[NETO GRAVADO]]="","",compras_mes5[[#This Row],[NETO GRAVADO]]*0.21)</f>
        <v>270317.36339999997</v>
      </c>
      <c r="J98" s="339"/>
      <c r="K98" s="339"/>
      <c r="L98" s="339"/>
      <c r="M98" s="339"/>
      <c r="N98" s="339">
        <v>45052.89</v>
      </c>
      <c r="O98" s="339"/>
      <c r="P98" s="374">
        <f>SUM(compras_mes5[[#This Row],[NETO GRAVADO]:[Otros / No Grav.]])</f>
        <v>1602595.7933999998</v>
      </c>
      <c r="Q98" s="375" t="str">
        <f>IFERROR(IF(compras_mes5[[#This Row],[CUIT]]="","-",VLOOKUP(compras_mes5[[#This Row],[CUIT]],Lista_CUIT[#All],3,0)),"CUIT NO CARGADO")</f>
        <v>Productos Ortopedicos</v>
      </c>
      <c r="R98" s="375">
        <f>IFERROR(IF(compras_mes5[[#This Row],[CUIT]]="","-",VLOOKUP(compras_mes5[[#This Row],[CUIT]],Lista_CUIT[#All],4,0)),"CUIT NO CARGADO")</f>
        <v>0</v>
      </c>
    </row>
    <row r="99" spans="2:18" ht="15" customHeight="1" x14ac:dyDescent="0.25">
      <c r="B99" s="367">
        <v>45077</v>
      </c>
      <c r="C99" s="41">
        <v>1</v>
      </c>
      <c r="D99" s="369">
        <v>11</v>
      </c>
      <c r="E99" s="370">
        <v>82437</v>
      </c>
      <c r="F99" s="371">
        <v>30526582884</v>
      </c>
      <c r="G99" s="372" t="str">
        <f>IFERROR(IF(compras_mes5[[#This Row],[CUIT]]="","-",VLOOKUP(compras_mes5[[#This Row],[CUIT]],Lista_CUIT[#All],2,0)),"CUIT NO CARGADO")</f>
        <v>EXPRESO MAR DEL PLATA S.A.</v>
      </c>
      <c r="H99" s="373">
        <v>8264.4600000000009</v>
      </c>
      <c r="I99" s="339">
        <f>IF(compras_mes5[[#This Row],[NETO GRAVADO]]="","",compras_mes5[[#This Row],[NETO GRAVADO]]*0.21)</f>
        <v>1735.5366000000001</v>
      </c>
      <c r="J99" s="339"/>
      <c r="K99" s="339"/>
      <c r="L99" s="339"/>
      <c r="M99" s="339"/>
      <c r="N99" s="339"/>
      <c r="O99" s="339"/>
      <c r="P99" s="374">
        <f>SUM(compras_mes5[[#This Row],[NETO GRAVADO]:[Otros / No Grav.]])</f>
        <v>9999.9966000000004</v>
      </c>
      <c r="Q99" s="375" t="str">
        <f>IFERROR(IF(compras_mes5[[#This Row],[CUIT]]="","-",VLOOKUP(compras_mes5[[#This Row],[CUIT]],Lista_CUIT[#All],3,0)),"CUIT NO CARGADO")</f>
        <v>FLETE</v>
      </c>
      <c r="R99" s="375">
        <f>IFERROR(IF(compras_mes5[[#This Row],[CUIT]]="","-",VLOOKUP(compras_mes5[[#This Row],[CUIT]],Lista_CUIT[#All],4,0)),"CUIT NO CARGADO")</f>
        <v>0</v>
      </c>
    </row>
    <row r="100" spans="2:18" ht="15" customHeight="1" x14ac:dyDescent="0.25">
      <c r="B100" s="219">
        <v>45077</v>
      </c>
      <c r="C100" s="209">
        <v>1</v>
      </c>
      <c r="D100" s="220">
        <v>20</v>
      </c>
      <c r="E100" s="221">
        <v>149906</v>
      </c>
      <c r="F100" s="222">
        <v>30696850972</v>
      </c>
      <c r="G100" s="223" t="str">
        <f>IFERROR(IF(compras_mes5[[#This Row],[CUIT]]="","-",VLOOKUP(compras_mes5[[#This Row],[CUIT]],Lista_CUIT[#All],2,0)),"CUIT NO CARGADO")</f>
        <v>CPS COMUNICACIONES SA</v>
      </c>
      <c r="H100" s="224">
        <v>3601.42</v>
      </c>
      <c r="I100" s="225"/>
      <c r="J100" s="225">
        <v>972.38</v>
      </c>
      <c r="K100" s="225"/>
      <c r="L100" s="225"/>
      <c r="M100" s="225"/>
      <c r="N100" s="225">
        <v>126.05</v>
      </c>
      <c r="O100" s="225"/>
      <c r="P100" s="226">
        <f>SUM(compras_mes5[[#This Row],[NETO GRAVADO]:[Otros / No Grav.]])</f>
        <v>4699.8500000000004</v>
      </c>
      <c r="Q100" s="227" t="str">
        <f>IFERROR(IF(compras_mes5[[#This Row],[CUIT]]="","-",VLOOKUP(compras_mes5[[#This Row],[CUIT]],Lista_CUIT[#All],3,0)),"CUIT NO CARGADO")</f>
        <v>SERVICIO DE TELEFONIA</v>
      </c>
      <c r="R100" s="227">
        <f>IFERROR(IF(compras_mes5[[#This Row],[CUIT]]="","-",VLOOKUP(compras_mes5[[#This Row],[CUIT]],Lista_CUIT[#All],4,0)),"CUIT NO CARGADO")</f>
        <v>0</v>
      </c>
    </row>
    <row r="101" spans="2:18" ht="15" customHeight="1" x14ac:dyDescent="0.25">
      <c r="B101" s="219">
        <v>45077</v>
      </c>
      <c r="C101" s="209">
        <v>1</v>
      </c>
      <c r="D101" s="220">
        <v>6</v>
      </c>
      <c r="E101" s="221">
        <v>14221383</v>
      </c>
      <c r="F101" s="222">
        <v>30620177497</v>
      </c>
      <c r="G101" s="223" t="str">
        <f>IFERROR(IF(compras_mes5[[#This Row],[CUIT]]="","-",VLOOKUP(compras_mes5[[#This Row],[CUIT]],Lista_CUIT[#All],2,0)),"CUIT NO CARGADO")</f>
        <v>POSNET SOCIEDAD DE RESPONSABILIDAD LIMITADA</v>
      </c>
      <c r="H101" s="224">
        <v>4555.59</v>
      </c>
      <c r="I101" s="225">
        <f>IF(compras_mes5[[#This Row],[NETO GRAVADO]]="","",compras_mes5[[#This Row],[NETO GRAVADO]]*0.21)</f>
        <v>956.6739</v>
      </c>
      <c r="J101" s="225"/>
      <c r="K101" s="225"/>
      <c r="L101" s="225"/>
      <c r="M101" s="225"/>
      <c r="N101" s="225"/>
      <c r="O101" s="225">
        <v>296.12</v>
      </c>
      <c r="P101" s="226">
        <f>SUM(compras_mes5[[#This Row],[NETO GRAVADO]:[Otros / No Grav.]])</f>
        <v>5808.3838999999998</v>
      </c>
      <c r="Q101" s="227" t="str">
        <f>IFERROR(IF(compras_mes5[[#This Row],[CUIT]]="","-",VLOOKUP(compras_mes5[[#This Row],[CUIT]],Lista_CUIT[#All],3,0)),"CUIT NO CARGADO")</f>
        <v>GASTOS VARIOS</v>
      </c>
      <c r="R101" s="227">
        <f>IFERROR(IF(compras_mes5[[#This Row],[CUIT]]="","-",VLOOKUP(compras_mes5[[#This Row],[CUIT]],Lista_CUIT[#All],4,0)),"CUIT NO CARGADO")</f>
        <v>0</v>
      </c>
    </row>
    <row r="102" spans="2:18" x14ac:dyDescent="0.25">
      <c r="B102" s="96" t="s">
        <v>110</v>
      </c>
      <c r="C102" s="96"/>
      <c r="D102" s="96"/>
      <c r="E102" s="96"/>
      <c r="F102" s="96"/>
      <c r="G102" s="97"/>
      <c r="H102" s="98">
        <f>SUBTOTAL(109,compras_mes5[NETO GRAVADO])</f>
        <v>16800447.540000007</v>
      </c>
      <c r="I102" s="98">
        <f>SUBTOTAL(109,compras_mes5[IVA 21 %])</f>
        <v>3349362.2576000011</v>
      </c>
      <c r="J102" s="98">
        <f>SUBTOTAL(109,compras_mes5[IVA 27%])</f>
        <v>4973.42</v>
      </c>
      <c r="K102" s="98">
        <f>SUBTOTAL(109,compras_mes5[IVA 10,5%])</f>
        <v>85359.212399999989</v>
      </c>
      <c r="L102" s="98">
        <f>SUBTOTAL(109,compras_mes5[PERC. IVA])</f>
        <v>934.74</v>
      </c>
      <c r="M102" s="98">
        <f>SUBTOTAL(109,compras_mes5[PERC IIBB 
BS AS])</f>
        <v>0</v>
      </c>
      <c r="N102" s="98">
        <f>SUBTOTAL(109,compras_mes5[PERC. IIBB CABA])</f>
        <v>318642.88400000002</v>
      </c>
      <c r="O102" s="98">
        <f>SUBTOTAL(109,compras_mes5[Otros / No Grav.])</f>
        <v>1526.5299999999997</v>
      </c>
      <c r="P102" s="98">
        <f>SUBTOTAL(109,compras_mes5[TOTAL])</f>
        <v>20561246.583999999</v>
      </c>
      <c r="Q102" s="96"/>
      <c r="R102" s="96"/>
    </row>
    <row r="103" spans="2:18" x14ac:dyDescent="0.25">
      <c r="B103" s="40"/>
      <c r="C103" s="41"/>
      <c r="D103" s="42"/>
      <c r="E103" s="43"/>
      <c r="F103" s="44"/>
      <c r="G103" s="45"/>
      <c r="H103" s="46"/>
      <c r="I103" s="47"/>
      <c r="J103" s="47"/>
      <c r="K103" s="47"/>
      <c r="L103" s="47"/>
      <c r="M103" s="47"/>
      <c r="N103" s="47"/>
      <c r="O103" s="47"/>
      <c r="P103" s="48"/>
      <c r="Q103" s="49"/>
      <c r="R103" s="49"/>
    </row>
    <row r="104" spans="2:18" x14ac:dyDescent="0.25">
      <c r="B104" s="40"/>
      <c r="C104" s="41"/>
      <c r="D104" s="42"/>
      <c r="E104" s="43"/>
      <c r="F104" s="44"/>
      <c r="G104" s="45"/>
      <c r="H104" s="46"/>
      <c r="I104" s="47"/>
      <c r="J104" s="47"/>
      <c r="K104" s="47"/>
      <c r="L104" s="47"/>
      <c r="M104" s="47"/>
      <c r="N104" s="47"/>
      <c r="O104" s="47"/>
      <c r="P104" s="48"/>
      <c r="Q104" s="49"/>
      <c r="R104" s="49"/>
    </row>
    <row r="105" spans="2:18" x14ac:dyDescent="0.25">
      <c r="B105" s="40"/>
      <c r="C105" s="41"/>
      <c r="D105" s="42"/>
      <c r="E105" s="43"/>
      <c r="F105" s="44"/>
      <c r="G105" s="45"/>
      <c r="H105" s="46"/>
      <c r="I105" s="47"/>
      <c r="J105" s="47"/>
      <c r="K105" s="47"/>
      <c r="L105" s="47"/>
      <c r="M105" s="47"/>
      <c r="N105" s="47"/>
      <c r="O105" s="47"/>
      <c r="P105" s="48"/>
      <c r="Q105" s="49"/>
      <c r="R105" s="49"/>
    </row>
    <row r="106" spans="2:18" x14ac:dyDescent="0.25">
      <c r="B106" s="40"/>
      <c r="C106" s="41"/>
      <c r="D106" s="42"/>
      <c r="E106" s="43"/>
      <c r="F106" s="44"/>
      <c r="G106" s="45"/>
      <c r="H106" s="46"/>
      <c r="I106" s="47"/>
      <c r="J106" s="47"/>
      <c r="K106" s="47"/>
      <c r="L106" s="47"/>
    </row>
    <row r="107" spans="2:18" ht="21" x14ac:dyDescent="0.25">
      <c r="D107" s="524" t="s">
        <v>15</v>
      </c>
      <c r="E107" s="524"/>
      <c r="F107" s="524"/>
      <c r="G107" s="524"/>
      <c r="H107" s="524"/>
      <c r="I107" s="524"/>
      <c r="J107" s="524"/>
      <c r="K107" s="524"/>
      <c r="L107" s="524"/>
    </row>
    <row r="108" spans="2:18" ht="15.75" x14ac:dyDescent="0.25">
      <c r="D108" s="73" t="s">
        <v>0</v>
      </c>
      <c r="E108" s="74" t="s">
        <v>26</v>
      </c>
      <c r="F108" s="74" t="s">
        <v>16</v>
      </c>
      <c r="G108" s="74" t="s">
        <v>5</v>
      </c>
      <c r="H108" s="74" t="s">
        <v>17</v>
      </c>
      <c r="I108" s="74" t="s">
        <v>7</v>
      </c>
      <c r="J108" s="75" t="s">
        <v>18</v>
      </c>
      <c r="K108" s="75" t="s">
        <v>19</v>
      </c>
      <c r="L108" s="76" t="s">
        <v>20</v>
      </c>
    </row>
    <row r="109" spans="2:18" x14ac:dyDescent="0.25">
      <c r="D109" s="50">
        <v>45077</v>
      </c>
      <c r="E109" s="80">
        <v>310523</v>
      </c>
      <c r="F109" s="80" t="s">
        <v>2227</v>
      </c>
      <c r="G109" s="81">
        <v>4257</v>
      </c>
      <c r="H109" s="81">
        <v>893.97</v>
      </c>
      <c r="I109" s="81"/>
      <c r="J109" s="81">
        <v>126</v>
      </c>
      <c r="K109" s="81">
        <v>108</v>
      </c>
      <c r="L109" s="81"/>
    </row>
    <row r="110" spans="2:18" x14ac:dyDescent="0.25">
      <c r="D110" s="50">
        <v>45077</v>
      </c>
      <c r="E110" s="80">
        <v>230531</v>
      </c>
      <c r="F110" s="80" t="s">
        <v>2228</v>
      </c>
      <c r="G110" s="81">
        <v>6561</v>
      </c>
      <c r="H110" s="81">
        <v>1377.8099999999995</v>
      </c>
      <c r="I110" s="81"/>
      <c r="J110" s="81">
        <v>168</v>
      </c>
      <c r="K110" s="81">
        <v>144</v>
      </c>
      <c r="L110" s="81"/>
    </row>
    <row r="111" spans="2:18" x14ac:dyDescent="0.25">
      <c r="D111" s="50"/>
      <c r="E111" s="79"/>
      <c r="F111" s="80"/>
      <c r="G111" s="81"/>
      <c r="H111" s="81"/>
      <c r="I111" s="81"/>
      <c r="J111" s="81"/>
      <c r="K111" s="81"/>
      <c r="L111" s="81"/>
    </row>
    <row r="112" spans="2:18" x14ac:dyDescent="0.25">
      <c r="D112" s="82" t="s">
        <v>110</v>
      </c>
      <c r="E112" s="80"/>
      <c r="F112" s="80"/>
      <c r="G112" s="83">
        <f>SUBTOTAL(109,extracto_banco_mes5[NETO])</f>
        <v>10818</v>
      </c>
      <c r="H112" s="83">
        <f>SUBTOTAL(109,extracto_banco_mes5[IVA 21%])</f>
        <v>2271.7799999999997</v>
      </c>
      <c r="I112" s="83">
        <f>SUBTOTAL(109,extracto_banco_mes5[IVA 10,5%])</f>
        <v>0</v>
      </c>
      <c r="J112" s="83">
        <f>SUBTOTAL(109,extracto_banco_mes5[RET IIBB CABA])</f>
        <v>294</v>
      </c>
      <c r="K112" s="83">
        <f>SUBTOTAL(109,extracto_banco_mes5[PERC IVA])</f>
        <v>252</v>
      </c>
      <c r="L112" s="83">
        <f>SUBTOTAL(109,extracto_banco_mes5[PERC IIBB])</f>
        <v>0</v>
      </c>
    </row>
    <row r="116" spans="4:11" ht="21" x14ac:dyDescent="0.25">
      <c r="D116" s="524" t="s">
        <v>25</v>
      </c>
      <c r="E116" s="524"/>
      <c r="F116" s="524"/>
      <c r="G116" s="524"/>
      <c r="H116" s="524"/>
      <c r="I116" s="524"/>
      <c r="J116" s="524"/>
      <c r="K116" s="524"/>
    </row>
    <row r="117" spans="4:11" ht="18" customHeight="1" x14ac:dyDescent="0.25">
      <c r="D117" s="51" t="s">
        <v>0</v>
      </c>
      <c r="E117" s="51" t="s">
        <v>2</v>
      </c>
      <c r="F117" s="51" t="s">
        <v>74</v>
      </c>
      <c r="G117" s="51" t="s">
        <v>3</v>
      </c>
      <c r="H117" s="51" t="s">
        <v>4</v>
      </c>
      <c r="I117" s="52" t="s">
        <v>10</v>
      </c>
      <c r="J117" s="51" t="s">
        <v>13</v>
      </c>
      <c r="K117" s="51" t="s">
        <v>38</v>
      </c>
    </row>
    <row r="118" spans="4:11" x14ac:dyDescent="0.25">
      <c r="D118" s="386">
        <v>45027</v>
      </c>
      <c r="E118" s="387">
        <v>1</v>
      </c>
      <c r="F118" s="388">
        <v>132</v>
      </c>
      <c r="G118" s="389">
        <v>27217606255</v>
      </c>
      <c r="H118" s="390" t="str">
        <f>IFERROR(IF(factura_c_mes5[[#This Row],[CUIT]]="","-",VLOOKUP(factura_c_mes5[[#This Row],[CUIT]],Lista_CUIT[#All],2,0)),"CUIT NO CARGADO")</f>
        <v>SAPUNA MARIAN KARINA</v>
      </c>
      <c r="I118" s="391">
        <v>20000</v>
      </c>
      <c r="J118" s="392" t="str">
        <f>IFERROR(IF(factura_c_mes5[[#This Row],[CUIT]]="","-",VLOOKUP(factura_c_mes5[[#This Row],[CUIT]],Lista_CUIT[#All],3,0)),"CUIT NO CARGADO")</f>
        <v>GASTOS MANTENIMIENTO</v>
      </c>
      <c r="K118" s="392">
        <f>IFERROR(IF(factura_c_mes5[[#This Row],[CUIT]]="","-",VLOOKUP(factura_c_mes5[[#This Row],[CUIT]],Lista_CUIT[#All],4,0)),"CUIT NO CARGADO")</f>
        <v>0</v>
      </c>
    </row>
    <row r="119" spans="4:11" x14ac:dyDescent="0.25">
      <c r="D119" s="386">
        <v>45028</v>
      </c>
      <c r="E119" s="387">
        <v>1</v>
      </c>
      <c r="F119" s="388">
        <v>133</v>
      </c>
      <c r="G119" s="389">
        <v>27217606255</v>
      </c>
      <c r="H119" s="390" t="str">
        <f>IFERROR(IF(factura_c_mes5[[#This Row],[CUIT]]="","-",VLOOKUP(factura_c_mes5[[#This Row],[CUIT]],Lista_CUIT[#All],2,0)),"CUIT NO CARGADO")</f>
        <v>SAPUNA MARIAN KARINA</v>
      </c>
      <c r="I119" s="391">
        <v>40000</v>
      </c>
      <c r="J119" s="392" t="str">
        <f>IFERROR(IF(factura_c_mes5[[#This Row],[CUIT]]="","-",VLOOKUP(factura_c_mes5[[#This Row],[CUIT]],Lista_CUIT[#All],3,0)),"CUIT NO CARGADO")</f>
        <v>GASTOS MANTENIMIENTO</v>
      </c>
      <c r="K119" s="392">
        <f>IFERROR(IF(factura_c_mes5[[#This Row],[CUIT]]="","-",VLOOKUP(factura_c_mes5[[#This Row],[CUIT]],Lista_CUIT[#All],4,0)),"CUIT NO CARGADO")</f>
        <v>0</v>
      </c>
    </row>
    <row r="120" spans="4:11" x14ac:dyDescent="0.25">
      <c r="D120" s="386">
        <v>45029</v>
      </c>
      <c r="E120" s="387">
        <v>1</v>
      </c>
      <c r="F120" s="388">
        <v>134</v>
      </c>
      <c r="G120" s="389">
        <v>27217606255</v>
      </c>
      <c r="H120" s="390" t="str">
        <f>IFERROR(IF(factura_c_mes5[[#This Row],[CUIT]]="","-",VLOOKUP(factura_c_mes5[[#This Row],[CUIT]],Lista_CUIT[#All],2,0)),"CUIT NO CARGADO")</f>
        <v>SAPUNA MARIAN KARINA</v>
      </c>
      <c r="I120" s="391">
        <v>45000</v>
      </c>
      <c r="J120" s="392" t="str">
        <f>IFERROR(IF(factura_c_mes5[[#This Row],[CUIT]]="","-",VLOOKUP(factura_c_mes5[[#This Row],[CUIT]],Lista_CUIT[#All],3,0)),"CUIT NO CARGADO")</f>
        <v>GASTOS MANTENIMIENTO</v>
      </c>
      <c r="K120" s="392">
        <f>IFERROR(IF(factura_c_mes5[[#This Row],[CUIT]]="","-",VLOOKUP(factura_c_mes5[[#This Row],[CUIT]],Lista_CUIT[#All],4,0)),"CUIT NO CARGADO")</f>
        <v>0</v>
      </c>
    </row>
    <row r="121" spans="4:11" x14ac:dyDescent="0.25">
      <c r="D121" s="386">
        <v>45029</v>
      </c>
      <c r="E121" s="387">
        <v>1</v>
      </c>
      <c r="F121" s="388">
        <v>135</v>
      </c>
      <c r="G121" s="389">
        <v>27217606255</v>
      </c>
      <c r="H121" s="390" t="str">
        <f>IFERROR(IF(factura_c_mes5[[#This Row],[CUIT]]="","-",VLOOKUP(factura_c_mes5[[#This Row],[CUIT]],Lista_CUIT[#All],2,0)),"CUIT NO CARGADO")</f>
        <v>SAPUNA MARIAN KARINA</v>
      </c>
      <c r="I121" s="391">
        <v>30000</v>
      </c>
      <c r="J121" s="392" t="str">
        <f>IFERROR(IF(factura_c_mes5[[#This Row],[CUIT]]="","-",VLOOKUP(factura_c_mes5[[#This Row],[CUIT]],Lista_CUIT[#All],3,0)),"CUIT NO CARGADO")</f>
        <v>GASTOS MANTENIMIENTO</v>
      </c>
      <c r="K121" s="392">
        <f>IFERROR(IF(factura_c_mes5[[#This Row],[CUIT]]="","-",VLOOKUP(factura_c_mes5[[#This Row],[CUIT]],Lista_CUIT[#All],4,0)),"CUIT NO CARGADO")</f>
        <v>0</v>
      </c>
    </row>
    <row r="122" spans="4:11" x14ac:dyDescent="0.25">
      <c r="D122" s="386">
        <v>45030</v>
      </c>
      <c r="E122" s="387">
        <v>1</v>
      </c>
      <c r="F122" s="388">
        <v>136</v>
      </c>
      <c r="G122" s="389">
        <v>27217606255</v>
      </c>
      <c r="H122" s="390" t="str">
        <f>IFERROR(IF(factura_c_mes5[[#This Row],[CUIT]]="","-",VLOOKUP(factura_c_mes5[[#This Row],[CUIT]],Lista_CUIT[#All],2,0)),"CUIT NO CARGADO")</f>
        <v>SAPUNA MARIAN KARINA</v>
      </c>
      <c r="I122" s="391">
        <v>15000</v>
      </c>
      <c r="J122" s="392" t="str">
        <f>IFERROR(IF(factura_c_mes5[[#This Row],[CUIT]]="","-",VLOOKUP(factura_c_mes5[[#This Row],[CUIT]],Lista_CUIT[#All],3,0)),"CUIT NO CARGADO")</f>
        <v>GASTOS MANTENIMIENTO</v>
      </c>
      <c r="K122" s="392">
        <f>IFERROR(IF(factura_c_mes5[[#This Row],[CUIT]]="","-",VLOOKUP(factura_c_mes5[[#This Row],[CUIT]],Lista_CUIT[#All],4,0)),"CUIT NO CARGADO")</f>
        <v>0</v>
      </c>
    </row>
    <row r="123" spans="4:11" x14ac:dyDescent="0.25">
      <c r="D123" s="386">
        <v>45040</v>
      </c>
      <c r="E123" s="387">
        <v>1</v>
      </c>
      <c r="F123" s="388">
        <v>137</v>
      </c>
      <c r="G123" s="389">
        <v>27217606255</v>
      </c>
      <c r="H123" s="390" t="str">
        <f>IFERROR(IF(factura_c_mes5[[#This Row],[CUIT]]="","-",VLOOKUP(factura_c_mes5[[#This Row],[CUIT]],Lista_CUIT[#All],2,0)),"CUIT NO CARGADO")</f>
        <v>SAPUNA MARIAN KARINA</v>
      </c>
      <c r="I123" s="391">
        <v>30000</v>
      </c>
      <c r="J123" s="392" t="str">
        <f>IFERROR(IF(factura_c_mes5[[#This Row],[CUIT]]="","-",VLOOKUP(factura_c_mes5[[#This Row],[CUIT]],Lista_CUIT[#All],3,0)),"CUIT NO CARGADO")</f>
        <v>GASTOS MANTENIMIENTO</v>
      </c>
      <c r="K123" s="392">
        <f>IFERROR(IF(factura_c_mes5[[#This Row],[CUIT]]="","-",VLOOKUP(factura_c_mes5[[#This Row],[CUIT]],Lista_CUIT[#All],4,0)),"CUIT NO CARGADO")</f>
        <v>0</v>
      </c>
    </row>
    <row r="124" spans="4:11" x14ac:dyDescent="0.25">
      <c r="D124" s="386">
        <v>45041</v>
      </c>
      <c r="E124" s="387">
        <v>2</v>
      </c>
      <c r="F124" s="388">
        <v>89</v>
      </c>
      <c r="G124" s="389">
        <v>20220423655</v>
      </c>
      <c r="H124" s="390" t="str">
        <f>IFERROR(IF(factura_c_mes5[[#This Row],[CUIT]]="","-",VLOOKUP(factura_c_mes5[[#This Row],[CUIT]],Lista_CUIT[#All],2,0)),"CUIT NO CARGADO")</f>
        <v>LANDRO FERNANDO GABRIEL</v>
      </c>
      <c r="I124" s="391">
        <v>201405</v>
      </c>
      <c r="J124" s="392" t="str">
        <f>IFERROR(IF(factura_c_mes5[[#This Row],[CUIT]]="","-",VLOOKUP(factura_c_mes5[[#This Row],[CUIT]],Lista_CUIT[#All],3,0)),"CUIT NO CARGADO")</f>
        <v>GESTION COBRANZAS</v>
      </c>
      <c r="K124" s="392">
        <f>IFERROR(IF(factura_c_mes5[[#This Row],[CUIT]]="","-",VLOOKUP(factura_c_mes5[[#This Row],[CUIT]],Lista_CUIT[#All],4,0)),"CUIT NO CARGADO")</f>
        <v>0</v>
      </c>
    </row>
    <row r="125" spans="4:11" x14ac:dyDescent="0.25">
      <c r="D125" s="386">
        <v>45041</v>
      </c>
      <c r="E125" s="387">
        <v>2</v>
      </c>
      <c r="F125" s="388">
        <v>90</v>
      </c>
      <c r="G125" s="389">
        <v>20220423655</v>
      </c>
      <c r="H125" s="390" t="str">
        <f>IFERROR(IF(factura_c_mes5[[#This Row],[CUIT]]="","-",VLOOKUP(factura_c_mes5[[#This Row],[CUIT]],Lista_CUIT[#All],2,0)),"CUIT NO CARGADO")</f>
        <v>LANDRO FERNANDO GABRIEL</v>
      </c>
      <c r="I125" s="391">
        <v>197090</v>
      </c>
      <c r="J125" s="392" t="str">
        <f>IFERROR(IF(factura_c_mes5[[#This Row],[CUIT]]="","-",VLOOKUP(factura_c_mes5[[#This Row],[CUIT]],Lista_CUIT[#All],3,0)),"CUIT NO CARGADO")</f>
        <v>GESTION COBRANZAS</v>
      </c>
      <c r="K125" s="392">
        <f>IFERROR(IF(factura_c_mes5[[#This Row],[CUIT]]="","-",VLOOKUP(factura_c_mes5[[#This Row],[CUIT]],Lista_CUIT[#All],4,0)),"CUIT NO CARGADO")</f>
        <v>0</v>
      </c>
    </row>
    <row r="126" spans="4:11" x14ac:dyDescent="0.25">
      <c r="D126" s="386">
        <v>45041</v>
      </c>
      <c r="E126" s="387">
        <v>1</v>
      </c>
      <c r="F126" s="388">
        <v>138</v>
      </c>
      <c r="G126" s="389">
        <v>27217606255</v>
      </c>
      <c r="H126" s="390" t="str">
        <f>IFERROR(IF(factura_c_mes5[[#This Row],[CUIT]]="","-",VLOOKUP(factura_c_mes5[[#This Row],[CUIT]],Lista_CUIT[#All],2,0)),"CUIT NO CARGADO")</f>
        <v>SAPUNA MARIAN KARINA</v>
      </c>
      <c r="I126" s="391">
        <v>45000</v>
      </c>
      <c r="J126" s="392" t="str">
        <f>IFERROR(IF(factura_c_mes5[[#This Row],[CUIT]]="","-",VLOOKUP(factura_c_mes5[[#This Row],[CUIT]],Lista_CUIT[#All],3,0)),"CUIT NO CARGADO")</f>
        <v>GASTOS MANTENIMIENTO</v>
      </c>
      <c r="K126" s="392">
        <f>IFERROR(IF(factura_c_mes5[[#This Row],[CUIT]]="","-",VLOOKUP(factura_c_mes5[[#This Row],[CUIT]],Lista_CUIT[#All],4,0)),"CUIT NO CARGADO")</f>
        <v>0</v>
      </c>
    </row>
    <row r="127" spans="4:11" ht="25.9" customHeight="1" x14ac:dyDescent="0.25">
      <c r="D127" s="386">
        <v>45043</v>
      </c>
      <c r="E127" s="387">
        <v>1</v>
      </c>
      <c r="F127" s="388">
        <v>139</v>
      </c>
      <c r="G127" s="389">
        <v>27217606255</v>
      </c>
      <c r="H127" s="390" t="str">
        <f>IFERROR(IF(factura_c_mes5[[#This Row],[CUIT]]="","-",VLOOKUP(factura_c_mes5[[#This Row],[CUIT]],Lista_CUIT[#All],2,0)),"CUIT NO CARGADO")</f>
        <v>SAPUNA MARIAN KARINA</v>
      </c>
      <c r="I127" s="391">
        <v>35000</v>
      </c>
      <c r="J127" s="392" t="str">
        <f>IFERROR(IF(factura_c_mes5[[#This Row],[CUIT]]="","-",VLOOKUP(factura_c_mes5[[#This Row],[CUIT]],Lista_CUIT[#All],3,0)),"CUIT NO CARGADO")</f>
        <v>GASTOS MANTENIMIENTO</v>
      </c>
      <c r="K127" s="392">
        <f>IFERROR(IF(factura_c_mes5[[#This Row],[CUIT]]="","-",VLOOKUP(factura_c_mes5[[#This Row],[CUIT]],Lista_CUIT[#All],4,0)),"CUIT NO CARGADO")</f>
        <v>0</v>
      </c>
    </row>
    <row r="128" spans="4:11" x14ac:dyDescent="0.25">
      <c r="D128" s="50">
        <v>45047</v>
      </c>
      <c r="E128" s="42">
        <v>2</v>
      </c>
      <c r="F128" s="43">
        <v>183</v>
      </c>
      <c r="G128" s="44">
        <v>27265832178</v>
      </c>
      <c r="H128" s="53" t="str">
        <f>IFERROR(IF(factura_c_mes5[[#This Row],[CUIT]]="","-",VLOOKUP(factura_c_mes5[[#This Row],[CUIT]],Lista_CUIT[#All],2,0)),"CUIT NO CARGADO")</f>
        <v>BLASCO MARIA GUADALUPE</v>
      </c>
      <c r="I128" s="81">
        <v>60000</v>
      </c>
      <c r="J128" s="54" t="str">
        <f>IFERROR(IF(factura_c_mes5[[#This Row],[CUIT]]="","-",VLOOKUP(factura_c_mes5[[#This Row],[CUIT]],Lista_CUIT[#All],3,0)),"CUIT NO CARGADO")</f>
        <v>Gastos Varios</v>
      </c>
      <c r="K128" s="54">
        <f>IFERROR(IF(factura_c_mes5[[#This Row],[CUIT]]="","-",VLOOKUP(factura_c_mes5[[#This Row],[CUIT]],Lista_CUIT[#All],4,0)),"CUIT NO CARGADO")</f>
        <v>0</v>
      </c>
    </row>
    <row r="129" spans="4:11" ht="17.25" customHeight="1" x14ac:dyDescent="0.25">
      <c r="D129" s="50">
        <v>45048</v>
      </c>
      <c r="E129" s="42">
        <v>2</v>
      </c>
      <c r="F129" s="43">
        <v>43</v>
      </c>
      <c r="G129" s="44">
        <v>20314536852</v>
      </c>
      <c r="H129" s="53" t="str">
        <f>IFERROR(IF(factura_c_mes5[[#This Row],[CUIT]]="","-",VLOOKUP(factura_c_mes5[[#This Row],[CUIT]],Lista_CUIT[#All],2,0)),"CUIT NO CARGADO")</f>
        <v>FRANCESE GONZALO ROMAN</v>
      </c>
      <c r="I129" s="266">
        <v>23400</v>
      </c>
      <c r="J129" s="54" t="str">
        <f>IFERROR(IF(factura_c_mes5[[#This Row],[CUIT]]="","-",VLOOKUP(factura_c_mes5[[#This Row],[CUIT]],Lista_CUIT[#All],3,0)),"CUIT NO CARGADO")</f>
        <v>FLETE</v>
      </c>
      <c r="K129" s="54">
        <f>IFERROR(IF(factura_c_mes5[[#This Row],[CUIT]]="","-",VLOOKUP(factura_c_mes5[[#This Row],[CUIT]],Lista_CUIT[#All],4,0)),"CUIT NO CARGADO")</f>
        <v>0</v>
      </c>
    </row>
    <row r="130" spans="4:11" ht="17.25" customHeight="1" x14ac:dyDescent="0.25">
      <c r="D130" s="50">
        <v>45048</v>
      </c>
      <c r="E130" s="42">
        <v>3</v>
      </c>
      <c r="F130" s="43">
        <v>725</v>
      </c>
      <c r="G130" s="44">
        <v>20086277523</v>
      </c>
      <c r="H130" s="53" t="str">
        <f>IFERROR(IF(factura_c_mes5[[#This Row],[CUIT]]="","-",VLOOKUP(factura_c_mes5[[#This Row],[CUIT]],Lista_CUIT[#All],2,0)),"CUIT NO CARGADO")</f>
        <v>BOTINDARI JUAN CARLOS</v>
      </c>
      <c r="I130" s="266">
        <v>98500</v>
      </c>
      <c r="J130" s="54" t="str">
        <f>IFERROR(IF(factura_c_mes5[[#This Row],[CUIT]]="","-",VLOOKUP(factura_c_mes5[[#This Row],[CUIT]],Lista_CUIT[#All],3,0)),"CUIT NO CARGADO")</f>
        <v>HONORARIOS CONTABLES</v>
      </c>
      <c r="K130" s="54">
        <f>IFERROR(IF(factura_c_mes5[[#This Row],[CUIT]]="","-",VLOOKUP(factura_c_mes5[[#This Row],[CUIT]],Lista_CUIT[#All],4,0)),"CUIT NO CARGADO")</f>
        <v>0</v>
      </c>
    </row>
    <row r="131" spans="4:11" ht="17.25" customHeight="1" x14ac:dyDescent="0.25">
      <c r="D131" s="360">
        <v>45048</v>
      </c>
      <c r="E131" s="220">
        <v>3</v>
      </c>
      <c r="F131" s="221">
        <v>230</v>
      </c>
      <c r="G131" s="222">
        <v>23306035444</v>
      </c>
      <c r="H131" s="362" t="str">
        <f>IFERROR(IF(factura_c_mes5[[#This Row],[CUIT]]="","-",VLOOKUP(factura_c_mes5[[#This Row],[CUIT]],Lista_CUIT[#All],2,0)),"CUIT NO CARGADO")</f>
        <v>NADIA TARANTINO</v>
      </c>
      <c r="I131" s="363">
        <v>25615</v>
      </c>
      <c r="J131" s="364" t="str">
        <f>IFERROR(IF(factura_c_mes5[[#This Row],[CUIT]]="","-",VLOOKUP(factura_c_mes5[[#This Row],[CUIT]],Lista_CUIT[#All],3,0)),"CUIT NO CARGADO")</f>
        <v>GASTOS CONTABLES</v>
      </c>
      <c r="K131" s="364">
        <f>IFERROR(IF(factura_c_mes5[[#This Row],[CUIT]]="","-",VLOOKUP(factura_c_mes5[[#This Row],[CUIT]],Lista_CUIT[#All],4,0)),"CUIT NO CARGADO")</f>
        <v>0</v>
      </c>
    </row>
    <row r="132" spans="4:11" ht="17.25" customHeight="1" x14ac:dyDescent="0.25">
      <c r="D132" s="360">
        <v>45049</v>
      </c>
      <c r="E132" s="220">
        <v>1</v>
      </c>
      <c r="F132" s="361">
        <v>3</v>
      </c>
      <c r="G132" s="365">
        <v>23383224829</v>
      </c>
      <c r="H132" s="362" t="str">
        <f>IFERROR(IF(factura_c_mes5[[#This Row],[CUIT]]="","-",VLOOKUP(factura_c_mes5[[#This Row],[CUIT]],Lista_CUIT[#All],2,0)),"CUIT NO CARGADO")</f>
        <v>OLIVA JUAN PABLO</v>
      </c>
      <c r="I132" s="366">
        <v>-149707.16</v>
      </c>
      <c r="J132" s="364" t="str">
        <f>IFERROR(IF(factura_c_mes5[[#This Row],[CUIT]]="","-",VLOOKUP(factura_c_mes5[[#This Row],[CUIT]],Lista_CUIT[#All],3,0)),"CUIT NO CARGADO")</f>
        <v>GASTOS ADMINISTRATIVOS</v>
      </c>
      <c r="K132" s="364">
        <f>IFERROR(IF(factura_c_mes5[[#This Row],[CUIT]]="","-",VLOOKUP(factura_c_mes5[[#This Row],[CUIT]],Lista_CUIT[#All],4,0)),"CUIT NO CARGADO")</f>
        <v>0</v>
      </c>
    </row>
    <row r="133" spans="4:11" ht="17.25" customHeight="1" x14ac:dyDescent="0.25">
      <c r="D133" s="360">
        <v>45049</v>
      </c>
      <c r="E133" s="220">
        <v>1</v>
      </c>
      <c r="F133" s="361">
        <v>95</v>
      </c>
      <c r="G133" s="365">
        <v>23383224829</v>
      </c>
      <c r="H133" s="362" t="str">
        <f>IFERROR(IF(factura_c_mes5[[#This Row],[CUIT]]="","-",VLOOKUP(factura_c_mes5[[#This Row],[CUIT]],Lista_CUIT[#All],2,0)),"CUIT NO CARGADO")</f>
        <v>OLIVA JUAN PABLO</v>
      </c>
      <c r="I133" s="366">
        <v>149707.16</v>
      </c>
      <c r="J133" s="364" t="str">
        <f>IFERROR(IF(factura_c_mes5[[#This Row],[CUIT]]="","-",VLOOKUP(factura_c_mes5[[#This Row],[CUIT]],Lista_CUIT[#All],3,0)),"CUIT NO CARGADO")</f>
        <v>GASTOS ADMINISTRATIVOS</v>
      </c>
      <c r="K133" s="364">
        <f>IFERROR(IF(factura_c_mes5[[#This Row],[CUIT]]="","-",VLOOKUP(factura_c_mes5[[#This Row],[CUIT]],Lista_CUIT[#All],4,0)),"CUIT NO CARGADO")</f>
        <v>0</v>
      </c>
    </row>
    <row r="134" spans="4:11" ht="17.25" customHeight="1" x14ac:dyDescent="0.25">
      <c r="D134" s="360">
        <v>45050</v>
      </c>
      <c r="E134" s="220">
        <v>2</v>
      </c>
      <c r="F134" s="361">
        <v>5</v>
      </c>
      <c r="G134" s="365">
        <v>27206941419</v>
      </c>
      <c r="H134" s="362" t="str">
        <f>IFERROR(IF(factura_c_mes5[[#This Row],[CUIT]]="","-",VLOOKUP(factura_c_mes5[[#This Row],[CUIT]],Lista_CUIT[#All],2,0)),"CUIT NO CARGADO")</f>
        <v>DOBARRO PAULA MARCELA</v>
      </c>
      <c r="I134" s="366">
        <v>-28980</v>
      </c>
      <c r="J134" s="364" t="str">
        <f>IFERROR(IF(factura_c_mes5[[#This Row],[CUIT]]="","-",VLOOKUP(factura_c_mes5[[#This Row],[CUIT]],Lista_CUIT[#All],3,0)),"CUIT NO CARGADO")</f>
        <v>HONORARIOS CONTABLES</v>
      </c>
      <c r="K134" s="364">
        <f>IFERROR(IF(factura_c_mes5[[#This Row],[CUIT]]="","-",VLOOKUP(factura_c_mes5[[#This Row],[CUIT]],Lista_CUIT[#All],4,0)),"CUIT NO CARGADO")</f>
        <v>0</v>
      </c>
    </row>
    <row r="135" spans="4:11" ht="17.25" customHeight="1" x14ac:dyDescent="0.25">
      <c r="D135" s="360">
        <v>45050</v>
      </c>
      <c r="E135" s="220">
        <v>2</v>
      </c>
      <c r="F135" s="361">
        <v>248</v>
      </c>
      <c r="G135" s="365">
        <v>27206941419</v>
      </c>
      <c r="H135" s="362" t="str">
        <f>IFERROR(IF(factura_c_mes5[[#This Row],[CUIT]]="","-",VLOOKUP(factura_c_mes5[[#This Row],[CUIT]],Lista_CUIT[#All],2,0)),"CUIT NO CARGADO")</f>
        <v>DOBARRO PAULA MARCELA</v>
      </c>
      <c r="I135" s="366">
        <v>28980</v>
      </c>
      <c r="J135" s="364" t="str">
        <f>IFERROR(IF(factura_c_mes5[[#This Row],[CUIT]]="","-",VLOOKUP(factura_c_mes5[[#This Row],[CUIT]],Lista_CUIT[#All],3,0)),"CUIT NO CARGADO")</f>
        <v>HONORARIOS CONTABLES</v>
      </c>
      <c r="K135" s="364">
        <f>IFERROR(IF(factura_c_mes5[[#This Row],[CUIT]]="","-",VLOOKUP(factura_c_mes5[[#This Row],[CUIT]],Lista_CUIT[#All],4,0)),"CUIT NO CARGADO")</f>
        <v>0</v>
      </c>
    </row>
    <row r="136" spans="4:11" ht="17.25" customHeight="1" x14ac:dyDescent="0.25">
      <c r="D136" s="50">
        <v>45054</v>
      </c>
      <c r="E136" s="42">
        <v>2</v>
      </c>
      <c r="F136" s="43">
        <v>44</v>
      </c>
      <c r="G136" s="44">
        <v>20314536852</v>
      </c>
      <c r="H136" s="53" t="str">
        <f>IFERROR(IF(factura_c_mes5[[#This Row],[CUIT]]="","-",VLOOKUP(factura_c_mes5[[#This Row],[CUIT]],Lista_CUIT[#All],2,0)),"CUIT NO CARGADO")</f>
        <v>FRANCESE GONZALO ROMAN</v>
      </c>
      <c r="I136" s="266">
        <v>42000</v>
      </c>
      <c r="J136" s="54" t="str">
        <f>IFERROR(IF(factura_c_mes5[[#This Row],[CUIT]]="","-",VLOOKUP(factura_c_mes5[[#This Row],[CUIT]],Lista_CUIT[#All],3,0)),"CUIT NO CARGADO")</f>
        <v>FLETE</v>
      </c>
      <c r="K136" s="54">
        <f>IFERROR(IF(factura_c_mes5[[#This Row],[CUIT]]="","-",VLOOKUP(factura_c_mes5[[#This Row],[CUIT]],Lista_CUIT[#All],4,0)),"CUIT NO CARGADO")</f>
        <v>0</v>
      </c>
    </row>
    <row r="137" spans="4:11" ht="17.25" customHeight="1" x14ac:dyDescent="0.25">
      <c r="D137" s="50">
        <v>45062</v>
      </c>
      <c r="E137" s="42">
        <v>2</v>
      </c>
      <c r="F137" s="43">
        <v>46</v>
      </c>
      <c r="G137" s="44">
        <v>20314536852</v>
      </c>
      <c r="H137" s="53" t="str">
        <f>IFERROR(IF(factura_c_mes5[[#This Row],[CUIT]]="","-",VLOOKUP(factura_c_mes5[[#This Row],[CUIT]],Lista_CUIT[#All],2,0)),"CUIT NO CARGADO")</f>
        <v>FRANCESE GONZALO ROMAN</v>
      </c>
      <c r="I137" s="266">
        <v>37200</v>
      </c>
      <c r="J137" s="54" t="str">
        <f>IFERROR(IF(factura_c_mes5[[#This Row],[CUIT]]="","-",VLOOKUP(factura_c_mes5[[#This Row],[CUIT]],Lista_CUIT[#All],3,0)),"CUIT NO CARGADO")</f>
        <v>FLETE</v>
      </c>
      <c r="K137" s="54">
        <f>IFERROR(IF(factura_c_mes5[[#This Row],[CUIT]]="","-",VLOOKUP(factura_c_mes5[[#This Row],[CUIT]],Lista_CUIT[#All],4,0)),"CUIT NO CARGADO")</f>
        <v>0</v>
      </c>
    </row>
    <row r="138" spans="4:11" ht="17.25" customHeight="1" x14ac:dyDescent="0.25">
      <c r="D138" s="50">
        <v>45062</v>
      </c>
      <c r="E138" s="42">
        <v>1</v>
      </c>
      <c r="F138" s="43">
        <v>54</v>
      </c>
      <c r="G138" s="44">
        <v>23281233084</v>
      </c>
      <c r="H138" s="53" t="str">
        <f>IFERROR(IF(factura_c_mes5[[#This Row],[CUIT]]="","-",VLOOKUP(factura_c_mes5[[#This Row],[CUIT]],Lista_CUIT[#All],2,0)),"CUIT NO CARGADO")</f>
        <v>DRUETTA ANDREA MARIEL</v>
      </c>
      <c r="I138" s="266">
        <v>46700</v>
      </c>
      <c r="J138" s="54" t="str">
        <f>IFERROR(IF(factura_c_mes5[[#This Row],[CUIT]]="","-",VLOOKUP(factura_c_mes5[[#This Row],[CUIT]],Lista_CUIT[#All],3,0)),"CUIT NO CARGADO")</f>
        <v>HONORARIOS TECNICOS</v>
      </c>
      <c r="K138" s="54">
        <f>IFERROR(IF(factura_c_mes5[[#This Row],[CUIT]]="","-",VLOOKUP(factura_c_mes5[[#This Row],[CUIT]],Lista_CUIT[#All],4,0)),"CUIT NO CARGADO")</f>
        <v>0</v>
      </c>
    </row>
    <row r="139" spans="4:11" ht="17.25" customHeight="1" x14ac:dyDescent="0.25">
      <c r="D139" s="360">
        <v>45062</v>
      </c>
      <c r="E139" s="220">
        <v>2</v>
      </c>
      <c r="F139" s="361">
        <v>2</v>
      </c>
      <c r="G139" s="365">
        <v>20314536852</v>
      </c>
      <c r="H139" s="362" t="str">
        <f>IFERROR(IF(factura_c_mes5[[#This Row],[CUIT]]="","-",VLOOKUP(factura_c_mes5[[#This Row],[CUIT]],Lista_CUIT[#All],2,0)),"CUIT NO CARGADO")</f>
        <v>FRANCESE GONZALO ROMAN</v>
      </c>
      <c r="I139" s="366">
        <v>-37200</v>
      </c>
      <c r="J139" s="364" t="str">
        <f>IFERROR(IF(factura_c_mes5[[#This Row],[CUIT]]="","-",VLOOKUP(factura_c_mes5[[#This Row],[CUIT]],Lista_CUIT[#All],3,0)),"CUIT NO CARGADO")</f>
        <v>FLETE</v>
      </c>
      <c r="K139" s="364">
        <f>IFERROR(IF(factura_c_mes5[[#This Row],[CUIT]]="","-",VLOOKUP(factura_c_mes5[[#This Row],[CUIT]],Lista_CUIT[#All],4,0)),"CUIT NO CARGADO")</f>
        <v>0</v>
      </c>
    </row>
    <row r="140" spans="4:11" ht="17.25" customHeight="1" x14ac:dyDescent="0.25">
      <c r="D140" s="360">
        <v>45062</v>
      </c>
      <c r="E140" s="220">
        <v>2</v>
      </c>
      <c r="F140" s="361">
        <v>45</v>
      </c>
      <c r="G140" s="365">
        <v>20314536852</v>
      </c>
      <c r="H140" s="362" t="str">
        <f>IFERROR(IF(factura_c_mes5[[#This Row],[CUIT]]="","-",VLOOKUP(factura_c_mes5[[#This Row],[CUIT]],Lista_CUIT[#All],2,0)),"CUIT NO CARGADO")</f>
        <v>FRANCESE GONZALO ROMAN</v>
      </c>
      <c r="I140" s="366">
        <v>37200</v>
      </c>
      <c r="J140" s="364" t="str">
        <f>IFERROR(IF(factura_c_mes5[[#This Row],[CUIT]]="","-",VLOOKUP(factura_c_mes5[[#This Row],[CUIT]],Lista_CUIT[#All],3,0)),"CUIT NO CARGADO")</f>
        <v>FLETE</v>
      </c>
      <c r="K140" s="364">
        <f>IFERROR(IF(factura_c_mes5[[#This Row],[CUIT]]="","-",VLOOKUP(factura_c_mes5[[#This Row],[CUIT]],Lista_CUIT[#All],4,0)),"CUIT NO CARGADO")</f>
        <v>0</v>
      </c>
    </row>
    <row r="141" spans="4:11" ht="17.25" customHeight="1" x14ac:dyDescent="0.25">
      <c r="D141" s="50">
        <v>45064</v>
      </c>
      <c r="E141" s="42">
        <v>3</v>
      </c>
      <c r="F141" s="43">
        <v>676</v>
      </c>
      <c r="G141" s="44">
        <v>20216451679</v>
      </c>
      <c r="H141" s="53" t="str">
        <f>IFERROR(IF(factura_c_mes5[[#This Row],[CUIT]]="","-",VLOOKUP(factura_c_mes5[[#This Row],[CUIT]],Lista_CUIT[#All],2,0)),"CUIT NO CARGADO")</f>
        <v>VAZQUEZ RICARDO OSCAR</v>
      </c>
      <c r="I141" s="266">
        <v>28000</v>
      </c>
      <c r="J141" s="54" t="str">
        <f>IFERROR(IF(factura_c_mes5[[#This Row],[CUIT]]="","-",VLOOKUP(factura_c_mes5[[#This Row],[CUIT]],Lista_CUIT[#All],3,0)),"CUIT NO CARGADO")</f>
        <v>Productos Ortopedicos</v>
      </c>
      <c r="K141" s="54">
        <f>IFERROR(IF(factura_c_mes5[[#This Row],[CUIT]]="","-",VLOOKUP(factura_c_mes5[[#This Row],[CUIT]],Lista_CUIT[#All],4,0)),"CUIT NO CARGADO")</f>
        <v>0</v>
      </c>
    </row>
    <row r="142" spans="4:11" ht="17.25" customHeight="1" x14ac:dyDescent="0.25">
      <c r="D142" s="50">
        <v>45064</v>
      </c>
      <c r="E142" s="42">
        <v>3</v>
      </c>
      <c r="F142" s="43">
        <v>677</v>
      </c>
      <c r="G142" s="44">
        <v>20216451679</v>
      </c>
      <c r="H142" s="53" t="str">
        <f>IFERROR(IF(factura_c_mes5[[#This Row],[CUIT]]="","-",VLOOKUP(factura_c_mes5[[#This Row],[CUIT]],Lista_CUIT[#All],2,0)),"CUIT NO CARGADO")</f>
        <v>VAZQUEZ RICARDO OSCAR</v>
      </c>
      <c r="I142" s="266">
        <v>25000</v>
      </c>
      <c r="J142" s="54" t="str">
        <f>IFERROR(IF(factura_c_mes5[[#This Row],[CUIT]]="","-",VLOOKUP(factura_c_mes5[[#This Row],[CUIT]],Lista_CUIT[#All],3,0)),"CUIT NO CARGADO")</f>
        <v>Productos Ortopedicos</v>
      </c>
      <c r="K142" s="54">
        <f>IFERROR(IF(factura_c_mes5[[#This Row],[CUIT]]="","-",VLOOKUP(factura_c_mes5[[#This Row],[CUIT]],Lista_CUIT[#All],4,0)),"CUIT NO CARGADO")</f>
        <v>0</v>
      </c>
    </row>
    <row r="143" spans="4:11" ht="17.25" customHeight="1" x14ac:dyDescent="0.25">
      <c r="D143" s="360">
        <v>45065</v>
      </c>
      <c r="E143" s="220">
        <v>1</v>
      </c>
      <c r="F143" s="361">
        <v>36</v>
      </c>
      <c r="G143" s="365">
        <v>20403969886</v>
      </c>
      <c r="H143" s="362" t="str">
        <f>IFERROR(IF(factura_c_mes5[[#This Row],[CUIT]]="","-",VLOOKUP(factura_c_mes5[[#This Row],[CUIT]],Lista_CUIT[#All],2,0)),"CUIT NO CARGADO")</f>
        <v>DEL GESSO FRANCO JESUS</v>
      </c>
      <c r="I143" s="366">
        <v>249070</v>
      </c>
      <c r="J143" s="364" t="str">
        <f>IFERROR(IF(factura_c_mes5[[#This Row],[CUIT]]="","-",VLOOKUP(factura_c_mes5[[#This Row],[CUIT]],Lista_CUIT[#All],3,0)),"CUIT NO CARGADO")</f>
        <v>GASTOS ADMINISTRATIVOS</v>
      </c>
      <c r="K143" s="364">
        <f>IFERROR(IF(factura_c_mes5[[#This Row],[CUIT]]="","-",VLOOKUP(factura_c_mes5[[#This Row],[CUIT]],Lista_CUIT[#All],4,0)),"CUIT NO CARGADO")</f>
        <v>0</v>
      </c>
    </row>
    <row r="144" spans="4:11" ht="17.25" customHeight="1" x14ac:dyDescent="0.25">
      <c r="D144" s="50">
        <v>45067</v>
      </c>
      <c r="E144" s="42">
        <v>2</v>
      </c>
      <c r="F144" s="43">
        <v>47</v>
      </c>
      <c r="G144" s="44">
        <v>20314536852</v>
      </c>
      <c r="H144" s="53" t="str">
        <f>IFERROR(IF(factura_c_mes5[[#This Row],[CUIT]]="","-",VLOOKUP(factura_c_mes5[[#This Row],[CUIT]],Lista_CUIT[#All],2,0)),"CUIT NO CARGADO")</f>
        <v>FRANCESE GONZALO ROMAN</v>
      </c>
      <c r="I144" s="266">
        <v>36700</v>
      </c>
      <c r="J144" s="54" t="str">
        <f>IFERROR(IF(factura_c_mes5[[#This Row],[CUIT]]="","-",VLOOKUP(factura_c_mes5[[#This Row],[CUIT]],Lista_CUIT[#All],3,0)),"CUIT NO CARGADO")</f>
        <v>FLETE</v>
      </c>
      <c r="K144" s="54">
        <f>IFERROR(IF(factura_c_mes5[[#This Row],[CUIT]]="","-",VLOOKUP(factura_c_mes5[[#This Row],[CUIT]],Lista_CUIT[#All],4,0)),"CUIT NO CARGADO")</f>
        <v>0</v>
      </c>
    </row>
    <row r="145" spans="2:18" ht="17.25" customHeight="1" x14ac:dyDescent="0.25">
      <c r="D145" s="360">
        <v>45068</v>
      </c>
      <c r="E145" s="220">
        <v>2</v>
      </c>
      <c r="F145" s="361">
        <v>91</v>
      </c>
      <c r="G145" s="365">
        <v>20220423655</v>
      </c>
      <c r="H145" s="362" t="str">
        <f>IFERROR(IF(factura_c_mes5[[#This Row],[CUIT]]="","-",VLOOKUP(factura_c_mes5[[#This Row],[CUIT]],Lista_CUIT[#All],2,0)),"CUIT NO CARGADO")</f>
        <v>LANDRO FERNANDO GABRIEL</v>
      </c>
      <c r="I145" s="366">
        <v>207580</v>
      </c>
      <c r="J145" s="364" t="str">
        <f>IFERROR(IF(factura_c_mes5[[#This Row],[CUIT]]="","-",VLOOKUP(factura_c_mes5[[#This Row],[CUIT]],Lista_CUIT[#All],3,0)),"CUIT NO CARGADO")</f>
        <v>GESTION COBRANZAS</v>
      </c>
      <c r="K145" s="364">
        <f>IFERROR(IF(factura_c_mes5[[#This Row],[CUIT]]="","-",VLOOKUP(factura_c_mes5[[#This Row],[CUIT]],Lista_CUIT[#All],4,0)),"CUIT NO CARGADO")</f>
        <v>0</v>
      </c>
    </row>
    <row r="146" spans="2:18" ht="17.25" customHeight="1" x14ac:dyDescent="0.25">
      <c r="D146" s="360">
        <v>45068</v>
      </c>
      <c r="E146" s="220">
        <v>2</v>
      </c>
      <c r="F146" s="221">
        <v>92</v>
      </c>
      <c r="G146" s="222">
        <v>20220423655</v>
      </c>
      <c r="H146" s="362" t="str">
        <f>IFERROR(IF(factura_c_mes5[[#This Row],[CUIT]]="","-",VLOOKUP(factura_c_mes5[[#This Row],[CUIT]],Lista_CUIT[#All],2,0)),"CUIT NO CARGADO")</f>
        <v>LANDRO FERNANDO GABRIEL</v>
      </c>
      <c r="I146" s="363">
        <v>200060</v>
      </c>
      <c r="J146" s="364" t="str">
        <f>IFERROR(IF(factura_c_mes5[[#This Row],[CUIT]]="","-",VLOOKUP(factura_c_mes5[[#This Row],[CUIT]],Lista_CUIT[#All],3,0)),"CUIT NO CARGADO")</f>
        <v>GESTION COBRANZAS</v>
      </c>
      <c r="K146" s="364">
        <f>IFERROR(IF(factura_c_mes5[[#This Row],[CUIT]]="","-",VLOOKUP(factura_c_mes5[[#This Row],[CUIT]],Lista_CUIT[#All],4,0)),"CUIT NO CARGADO")</f>
        <v>0</v>
      </c>
    </row>
    <row r="147" spans="2:18" ht="17.25" customHeight="1" x14ac:dyDescent="0.25">
      <c r="D147" s="360">
        <v>45071</v>
      </c>
      <c r="E147" s="220">
        <v>1</v>
      </c>
      <c r="F147" s="361">
        <v>80</v>
      </c>
      <c r="G147" s="365">
        <v>27385671526</v>
      </c>
      <c r="H147" s="362" t="str">
        <f>IFERROR(IF(factura_c_mes5[[#This Row],[CUIT]]="","-",VLOOKUP(factura_c_mes5[[#This Row],[CUIT]],Lista_CUIT[#All],2,0)),"CUIT NO CARGADO")</f>
        <v>MACHADO ELIANA NOEMI</v>
      </c>
      <c r="I147" s="366">
        <v>182280</v>
      </c>
      <c r="J147" s="364" t="str">
        <f>IFERROR(IF(factura_c_mes5[[#This Row],[CUIT]]="","-",VLOOKUP(factura_c_mes5[[#This Row],[CUIT]],Lista_CUIT[#All],3,0)),"CUIT NO CARGADO")</f>
        <v>MEDIDAS</v>
      </c>
      <c r="K147" s="364">
        <f>IFERROR(IF(factura_c_mes5[[#This Row],[CUIT]]="","-",VLOOKUP(factura_c_mes5[[#This Row],[CUIT]],Lista_CUIT[#All],4,0)),"CUIT NO CARGADO")</f>
        <v>0</v>
      </c>
    </row>
    <row r="148" spans="2:18" ht="17.25" customHeight="1" x14ac:dyDescent="0.25">
      <c r="D148" s="360">
        <v>45071</v>
      </c>
      <c r="E148" s="220">
        <v>1</v>
      </c>
      <c r="F148" s="361">
        <v>81</v>
      </c>
      <c r="G148" s="365">
        <v>27385671526</v>
      </c>
      <c r="H148" s="362" t="str">
        <f>IFERROR(IF(factura_c_mes5[[#This Row],[CUIT]]="","-",VLOOKUP(factura_c_mes5[[#This Row],[CUIT]],Lista_CUIT[#All],2,0)),"CUIT NO CARGADO")</f>
        <v>MACHADO ELIANA NOEMI</v>
      </c>
      <c r="I148" s="366">
        <v>134380</v>
      </c>
      <c r="J148" s="364" t="str">
        <f>IFERROR(IF(factura_c_mes5[[#This Row],[CUIT]]="","-",VLOOKUP(factura_c_mes5[[#This Row],[CUIT]],Lista_CUIT[#All],3,0)),"CUIT NO CARGADO")</f>
        <v>MEDIDAS</v>
      </c>
      <c r="K148" s="364">
        <f>IFERROR(IF(factura_c_mes5[[#This Row],[CUIT]]="","-",VLOOKUP(factura_c_mes5[[#This Row],[CUIT]],Lista_CUIT[#All],4,0)),"CUIT NO CARGADO")</f>
        <v>0</v>
      </c>
    </row>
    <row r="149" spans="2:18" ht="17.25" customHeight="1" x14ac:dyDescent="0.25">
      <c r="D149" s="50">
        <v>45072</v>
      </c>
      <c r="E149" s="42">
        <v>2</v>
      </c>
      <c r="F149" s="43">
        <v>48</v>
      </c>
      <c r="G149" s="44">
        <v>20314536852</v>
      </c>
      <c r="H149" s="53" t="str">
        <f>IFERROR(IF(factura_c_mes5[[#This Row],[CUIT]]="","-",VLOOKUP(factura_c_mes5[[#This Row],[CUIT]],Lista_CUIT[#All],2,0)),"CUIT NO CARGADO")</f>
        <v>FRANCESE GONZALO ROMAN</v>
      </c>
      <c r="I149" s="266">
        <v>27000</v>
      </c>
      <c r="J149" s="54" t="str">
        <f>IFERROR(IF(factura_c_mes5[[#This Row],[CUIT]]="","-",VLOOKUP(factura_c_mes5[[#This Row],[CUIT]],Lista_CUIT[#All],3,0)),"CUIT NO CARGADO")</f>
        <v>FLETE</v>
      </c>
      <c r="K149" s="54">
        <f>IFERROR(IF(factura_c_mes5[[#This Row],[CUIT]]="","-",VLOOKUP(factura_c_mes5[[#This Row],[CUIT]],Lista_CUIT[#All],4,0)),"CUIT NO CARGADO")</f>
        <v>0</v>
      </c>
    </row>
    <row r="150" spans="2:18" ht="17.25" customHeight="1" x14ac:dyDescent="0.25">
      <c r="D150" s="50">
        <v>45075</v>
      </c>
      <c r="E150" s="42">
        <v>3</v>
      </c>
      <c r="F150" s="43">
        <v>682</v>
      </c>
      <c r="G150" s="44">
        <v>20216451679</v>
      </c>
      <c r="H150" s="53" t="str">
        <f>IFERROR(IF(factura_c_mes5[[#This Row],[CUIT]]="","-",VLOOKUP(factura_c_mes5[[#This Row],[CUIT]],Lista_CUIT[#All],2,0)),"CUIT NO CARGADO")</f>
        <v>VAZQUEZ RICARDO OSCAR</v>
      </c>
      <c r="I150" s="266">
        <v>18000</v>
      </c>
      <c r="J150" s="54" t="str">
        <f>IFERROR(IF(factura_c_mes5[[#This Row],[CUIT]]="","-",VLOOKUP(factura_c_mes5[[#This Row],[CUIT]],Lista_CUIT[#All],3,0)),"CUIT NO CARGADO")</f>
        <v>Productos Ortopedicos</v>
      </c>
      <c r="K150" s="54">
        <f>IFERROR(IF(factura_c_mes5[[#This Row],[CUIT]]="","-",VLOOKUP(factura_c_mes5[[#This Row],[CUIT]],Lista_CUIT[#All],4,0)),"CUIT NO CARGADO")</f>
        <v>0</v>
      </c>
    </row>
    <row r="151" spans="2:18" ht="17.25" customHeight="1" x14ac:dyDescent="0.25">
      <c r="D151" s="50">
        <v>45075</v>
      </c>
      <c r="E151" s="42">
        <v>3</v>
      </c>
      <c r="F151" s="43">
        <v>683</v>
      </c>
      <c r="G151" s="44">
        <v>20216451679</v>
      </c>
      <c r="H151" s="53" t="str">
        <f>IFERROR(IF(factura_c_mes5[[#This Row],[CUIT]]="","-",VLOOKUP(factura_c_mes5[[#This Row],[CUIT]],Lista_CUIT[#All],2,0)),"CUIT NO CARGADO")</f>
        <v>VAZQUEZ RICARDO OSCAR</v>
      </c>
      <c r="I151" s="266">
        <v>60000</v>
      </c>
      <c r="J151" s="54" t="str">
        <f>IFERROR(IF(factura_c_mes5[[#This Row],[CUIT]]="","-",VLOOKUP(factura_c_mes5[[#This Row],[CUIT]],Lista_CUIT[#All],3,0)),"CUIT NO CARGADO")</f>
        <v>Productos Ortopedicos</v>
      </c>
      <c r="K151" s="54">
        <f>IFERROR(IF(factura_c_mes5[[#This Row],[CUIT]]="","-",VLOOKUP(factura_c_mes5[[#This Row],[CUIT]],Lista_CUIT[#All],4,0)),"CUIT NO CARGADO")</f>
        <v>0</v>
      </c>
    </row>
    <row r="152" spans="2:18" ht="17.25" customHeight="1" x14ac:dyDescent="0.25">
      <c r="B152" s="56"/>
      <c r="C152" s="56"/>
      <c r="D152" s="55" t="s">
        <v>110</v>
      </c>
      <c r="E152" s="55"/>
      <c r="F152" s="55"/>
      <c r="G152" s="55"/>
      <c r="H152" s="57"/>
      <c r="I152" s="58">
        <f>SUBTOTAL(109,factura_c_mes5[TOTAL])</f>
        <v>2159980</v>
      </c>
      <c r="J152" s="55"/>
      <c r="K152" s="55"/>
      <c r="L152" s="56"/>
      <c r="M152" s="56"/>
      <c r="N152" s="56"/>
      <c r="O152" s="56"/>
      <c r="P152" s="56"/>
      <c r="Q152" s="56"/>
      <c r="R152" s="56"/>
    </row>
    <row r="153" spans="2:18" ht="17.25" customHeight="1" x14ac:dyDescent="0.25"/>
    <row r="154" spans="2:18" ht="17.25" customHeight="1" x14ac:dyDescent="0.25"/>
    <row r="155" spans="2:18" ht="17.25" customHeight="1" x14ac:dyDescent="0.25"/>
    <row r="156" spans="2:18" ht="17.25" customHeight="1" x14ac:dyDescent="0.25"/>
    <row r="157" spans="2:18" ht="17.25" customHeight="1" x14ac:dyDescent="0.25">
      <c r="B157" s="532" t="s">
        <v>29</v>
      </c>
      <c r="C157" s="532"/>
      <c r="D157" s="532"/>
      <c r="E157" s="532"/>
      <c r="F157" s="532"/>
      <c r="G157" s="532"/>
      <c r="H157" s="532"/>
      <c r="I157" s="532"/>
      <c r="J157" s="532"/>
      <c r="K157" s="528">
        <f>N1</f>
        <v>45047</v>
      </c>
      <c r="L157" s="528"/>
      <c r="M157" s="528"/>
    </row>
    <row r="158" spans="2:18" ht="17.25" customHeight="1" x14ac:dyDescent="0.25"/>
    <row r="159" spans="2:18" ht="17.25" customHeight="1" x14ac:dyDescent="0.25">
      <c r="B159" s="525" t="s">
        <v>30</v>
      </c>
      <c r="C159" s="525"/>
    </row>
    <row r="160" spans="2:18" ht="17.25" customHeight="1" x14ac:dyDescent="0.25">
      <c r="B160" s="60" t="s">
        <v>0</v>
      </c>
      <c r="C160" s="61" t="s">
        <v>1</v>
      </c>
      <c r="D160" s="61" t="s">
        <v>21</v>
      </c>
      <c r="E160" s="61" t="s">
        <v>22</v>
      </c>
      <c r="F160" s="61" t="s">
        <v>3</v>
      </c>
      <c r="G160" s="61" t="s">
        <v>4</v>
      </c>
      <c r="H160" s="61" t="s">
        <v>23</v>
      </c>
      <c r="I160" s="61" t="s">
        <v>17</v>
      </c>
      <c r="J160" s="61" t="s">
        <v>7</v>
      </c>
      <c r="K160" s="61" t="s">
        <v>24</v>
      </c>
      <c r="L160" s="61" t="s">
        <v>10</v>
      </c>
      <c r="M160" s="62" t="s">
        <v>38</v>
      </c>
    </row>
    <row r="161" spans="2:13" ht="17.25" customHeight="1" x14ac:dyDescent="0.25">
      <c r="B161" s="109">
        <v>45048</v>
      </c>
      <c r="C161" s="110">
        <v>1</v>
      </c>
      <c r="D161" s="111">
        <v>7</v>
      </c>
      <c r="E161" s="112">
        <v>1430</v>
      </c>
      <c r="F161" s="113">
        <v>30716157586</v>
      </c>
      <c r="G161" s="99" t="str">
        <f>IFERROR(IF(venta_a_mes5[[#This Row],[CUIT]]="","-",VLOOKUP(venta_a_mes5[[#This Row],[CUIT]],Lista_CUIT[#All],2,0)),"CUIT NO CARGADO")</f>
        <v>La Manola Moda Srl</v>
      </c>
      <c r="H161" s="100">
        <v>105785.12</v>
      </c>
      <c r="I161" s="101">
        <f>venta_a_mes5[[#This Row],[IMPORTE NETO]]*0.21</f>
        <v>22214.875199999999</v>
      </c>
      <c r="J161" s="65"/>
      <c r="K161" s="65"/>
      <c r="L161" s="65">
        <f>SUM(venta_a_mes5[[#This Row],[IMPORTE NETO]:[EXENTO]])</f>
        <v>127999.99519999999</v>
      </c>
      <c r="M161" s="59"/>
    </row>
    <row r="162" spans="2:13" ht="17.25" customHeight="1" x14ac:dyDescent="0.25">
      <c r="B162" s="109">
        <v>45049</v>
      </c>
      <c r="C162" s="110">
        <v>1</v>
      </c>
      <c r="D162" s="111">
        <v>7</v>
      </c>
      <c r="E162" s="112">
        <v>1433</v>
      </c>
      <c r="F162" s="113">
        <v>30522428163</v>
      </c>
      <c r="G162" s="99" t="str">
        <f>IFERROR(IF(venta_a_mes5[[#This Row],[CUIT]]="","-",VLOOKUP(venta_a_mes5[[#This Row],[CUIT]],Lista_CUIT[#All],2,0)),"CUIT NO CARGADO")</f>
        <v>GALENO ARGENTINA SA</v>
      </c>
      <c r="H162" s="100">
        <v>344263.8</v>
      </c>
      <c r="I162" s="101">
        <f>venta_a_mes5[[#This Row],[IMPORTE NETO]]*0.21</f>
        <v>72295.398000000001</v>
      </c>
      <c r="J162" s="65"/>
      <c r="K162" s="65"/>
      <c r="L162" s="65">
        <f>SUM(venta_a_mes5[[#This Row],[IMPORTE NETO]:[EXENTO]])</f>
        <v>416559.19799999997</v>
      </c>
      <c r="M162" s="59"/>
    </row>
    <row r="163" spans="2:13" ht="17.25" customHeight="1" x14ac:dyDescent="0.25">
      <c r="B163" s="109">
        <v>45049</v>
      </c>
      <c r="C163" s="110">
        <v>1</v>
      </c>
      <c r="D163" s="111">
        <v>7</v>
      </c>
      <c r="E163" s="112">
        <v>1435</v>
      </c>
      <c r="F163" s="113">
        <v>30522428163</v>
      </c>
      <c r="G163" s="99" t="str">
        <f>IFERROR(IF(venta_a_mes5[[#This Row],[CUIT]]="","-",VLOOKUP(venta_a_mes5[[#This Row],[CUIT]],Lista_CUIT[#All],2,0)),"CUIT NO CARGADO")</f>
        <v>GALENO ARGENTINA SA</v>
      </c>
      <c r="H163" s="100">
        <v>133899.54999999999</v>
      </c>
      <c r="I163" s="101">
        <f>venta_a_mes5[[#This Row],[IMPORTE NETO]]*0.21</f>
        <v>28118.905499999997</v>
      </c>
      <c r="J163" s="65"/>
      <c r="K163" s="65"/>
      <c r="L163" s="65">
        <f>SUM(venta_a_mes5[[#This Row],[IMPORTE NETO]:[EXENTO]])</f>
        <v>162018.45549999998</v>
      </c>
      <c r="M163" s="59"/>
    </row>
    <row r="164" spans="2:13" ht="17.25" customHeight="1" x14ac:dyDescent="0.25">
      <c r="B164" s="109">
        <v>45049</v>
      </c>
      <c r="C164" s="110">
        <v>1</v>
      </c>
      <c r="D164" s="111">
        <v>7</v>
      </c>
      <c r="E164" s="112">
        <v>1434</v>
      </c>
      <c r="F164" s="113">
        <v>30522428163</v>
      </c>
      <c r="G164" s="99" t="str">
        <f>IFERROR(IF(venta_a_mes5[[#This Row],[CUIT]]="","-",VLOOKUP(venta_a_mes5[[#This Row],[CUIT]],Lista_CUIT[#All],2,0)),"CUIT NO CARGADO")</f>
        <v>GALENO ARGENTINA SA</v>
      </c>
      <c r="H164" s="100">
        <v>36033.06</v>
      </c>
      <c r="I164" s="101">
        <f>venta_a_mes5[[#This Row],[IMPORTE NETO]]*0.21</f>
        <v>7566.9425999999994</v>
      </c>
      <c r="J164" s="65"/>
      <c r="K164" s="65"/>
      <c r="L164" s="65">
        <f>SUM(venta_a_mes5[[#This Row],[IMPORTE NETO]:[EXENTO]])</f>
        <v>43600.0026</v>
      </c>
      <c r="M164" s="59"/>
    </row>
    <row r="165" spans="2:13" ht="17.25" customHeight="1" x14ac:dyDescent="0.25">
      <c r="B165" s="109">
        <v>45049</v>
      </c>
      <c r="C165" s="110">
        <v>1</v>
      </c>
      <c r="D165" s="111">
        <v>7</v>
      </c>
      <c r="E165" s="112">
        <v>1432</v>
      </c>
      <c r="F165" s="113">
        <v>30522428163</v>
      </c>
      <c r="G165" s="99" t="str">
        <f>IFERROR(IF(venta_a_mes5[[#This Row],[CUIT]]="","-",VLOOKUP(venta_a_mes5[[#This Row],[CUIT]],Lista_CUIT[#All],2,0)),"CUIT NO CARGADO")</f>
        <v>GALENO ARGENTINA SA</v>
      </c>
      <c r="H165" s="100">
        <v>336997.36</v>
      </c>
      <c r="I165" s="101">
        <f>venta_a_mes5[[#This Row],[IMPORTE NETO]]*0.21</f>
        <v>70769.445599999992</v>
      </c>
      <c r="J165" s="65"/>
      <c r="K165" s="65"/>
      <c r="L165" s="65">
        <f>SUM(venta_a_mes5[[#This Row],[IMPORTE NETO]:[EXENTO]])</f>
        <v>407766.80559999996</v>
      </c>
      <c r="M165" s="59"/>
    </row>
    <row r="166" spans="2:13" ht="17.25" customHeight="1" x14ac:dyDescent="0.25">
      <c r="B166" s="109">
        <v>45049</v>
      </c>
      <c r="C166" s="110">
        <v>1</v>
      </c>
      <c r="D166" s="111">
        <v>7</v>
      </c>
      <c r="E166" s="112">
        <v>1431</v>
      </c>
      <c r="F166" s="113">
        <v>30522428163</v>
      </c>
      <c r="G166" s="99" t="str">
        <f>IFERROR(IF(venta_a_mes5[[#This Row],[CUIT]]="","-",VLOOKUP(venta_a_mes5[[#This Row],[CUIT]],Lista_CUIT[#All],2,0)),"CUIT NO CARGADO")</f>
        <v>GALENO ARGENTINA SA</v>
      </c>
      <c r="H166" s="100">
        <v>42544.3</v>
      </c>
      <c r="I166" s="101">
        <f>venta_a_mes5[[#This Row],[IMPORTE NETO]]*0.21</f>
        <v>8934.3029999999999</v>
      </c>
      <c r="J166" s="65"/>
      <c r="K166" s="65"/>
      <c r="L166" s="65">
        <f>SUM(venta_a_mes5[[#This Row],[IMPORTE NETO]:[EXENTO]])</f>
        <v>51478.603000000003</v>
      </c>
      <c r="M166" s="59"/>
    </row>
    <row r="167" spans="2:13" ht="17.25" customHeight="1" x14ac:dyDescent="0.25">
      <c r="B167" s="109">
        <v>45050</v>
      </c>
      <c r="C167" s="110">
        <v>1</v>
      </c>
      <c r="D167" s="111">
        <v>7</v>
      </c>
      <c r="E167" s="112">
        <v>1436</v>
      </c>
      <c r="F167" s="113">
        <v>30522428163</v>
      </c>
      <c r="G167" s="99" t="str">
        <f>IFERROR(IF(venta_a_mes5[[#This Row],[CUIT]]="","-",VLOOKUP(venta_a_mes5[[#This Row],[CUIT]],Lista_CUIT[#All],2,0)),"CUIT NO CARGADO")</f>
        <v>GALENO ARGENTINA SA</v>
      </c>
      <c r="H167" s="100">
        <v>280171.8</v>
      </c>
      <c r="I167" s="101">
        <f>venta_a_mes5[[#This Row],[IMPORTE NETO]]*0.21</f>
        <v>58836.077999999994</v>
      </c>
      <c r="J167" s="65"/>
      <c r="K167" s="65"/>
      <c r="L167" s="65">
        <f>SUM(venta_a_mes5[[#This Row],[IMPORTE NETO]:[EXENTO]])</f>
        <v>339007.87799999997</v>
      </c>
      <c r="M167" s="59"/>
    </row>
    <row r="168" spans="2:13" ht="17.25" customHeight="1" x14ac:dyDescent="0.25">
      <c r="B168" s="109">
        <v>45050</v>
      </c>
      <c r="C168" s="110">
        <v>1</v>
      </c>
      <c r="D168" s="111">
        <v>7</v>
      </c>
      <c r="E168" s="112">
        <v>1437</v>
      </c>
      <c r="F168" s="113">
        <v>30522428163</v>
      </c>
      <c r="G168" s="99" t="str">
        <f>IFERROR(IF(venta_a_mes5[[#This Row],[CUIT]]="","-",VLOOKUP(venta_a_mes5[[#This Row],[CUIT]],Lista_CUIT[#All],2,0)),"CUIT NO CARGADO")</f>
        <v>GALENO ARGENTINA SA</v>
      </c>
      <c r="H168" s="100">
        <v>59586.78</v>
      </c>
      <c r="I168" s="101">
        <f>venta_a_mes5[[#This Row],[IMPORTE NETO]]*0.21</f>
        <v>12513.2238</v>
      </c>
      <c r="J168" s="65"/>
      <c r="K168" s="65"/>
      <c r="L168" s="65">
        <f>SUM(venta_a_mes5[[#This Row],[IMPORTE NETO]:[EXENTO]])</f>
        <v>72100.003800000006</v>
      </c>
      <c r="M168" s="59"/>
    </row>
    <row r="169" spans="2:13" ht="17.25" customHeight="1" x14ac:dyDescent="0.25">
      <c r="B169" s="109">
        <v>45051</v>
      </c>
      <c r="C169" s="110">
        <v>1</v>
      </c>
      <c r="D169" s="111">
        <v>7</v>
      </c>
      <c r="E169" s="112">
        <v>1440</v>
      </c>
      <c r="F169" s="113">
        <v>30713669004</v>
      </c>
      <c r="G169" s="99" t="str">
        <f>IFERROR(IF(venta_a_mes5[[#This Row],[CUIT]]="","-",VLOOKUP(venta_a_mes5[[#This Row],[CUIT]],Lista_CUIT[#All],2,0)),"CUIT NO CARGADO")</f>
        <v>Medincare Argentina S.A.</v>
      </c>
      <c r="H169" s="100">
        <v>13541.32</v>
      </c>
      <c r="I169" s="101">
        <f>venta_a_mes5[[#This Row],[IMPORTE NETO]]*0.21</f>
        <v>2843.6771999999996</v>
      </c>
      <c r="J169" s="65"/>
      <c r="K169" s="65"/>
      <c r="L169" s="65">
        <f>SUM(venta_a_mes5[[#This Row],[IMPORTE NETO]:[EXENTO]])</f>
        <v>16384.997199999998</v>
      </c>
      <c r="M169" s="59"/>
    </row>
    <row r="170" spans="2:13" ht="17.25" customHeight="1" x14ac:dyDescent="0.25">
      <c r="B170" s="109">
        <v>45051</v>
      </c>
      <c r="C170" s="110">
        <v>1</v>
      </c>
      <c r="D170" s="111">
        <v>7</v>
      </c>
      <c r="E170" s="112">
        <v>1439</v>
      </c>
      <c r="F170" s="113">
        <v>30710538014</v>
      </c>
      <c r="G170" s="99" t="str">
        <f>IFERROR(IF(venta_a_mes5[[#This Row],[CUIT]]="","-",VLOOKUP(venta_a_mes5[[#This Row],[CUIT]],Lista_CUIT[#All],2,0)),"CUIT NO CARGADO")</f>
        <v>Hc Homecare Internacion Domiciliaria S.A.</v>
      </c>
      <c r="H170" s="100">
        <v>16202.48</v>
      </c>
      <c r="I170" s="101">
        <f>venta_a_mes5[[#This Row],[IMPORTE NETO]]*0.21</f>
        <v>3402.5207999999998</v>
      </c>
      <c r="J170" s="65"/>
      <c r="K170" s="65"/>
      <c r="L170" s="65">
        <f>SUM(venta_a_mes5[[#This Row],[IMPORTE NETO]:[EXENTO]])</f>
        <v>19605.000799999998</v>
      </c>
      <c r="M170" s="59"/>
    </row>
    <row r="171" spans="2:13" ht="17.25" customHeight="1" x14ac:dyDescent="0.25">
      <c r="B171" s="109">
        <v>45051</v>
      </c>
      <c r="C171" s="110">
        <v>1</v>
      </c>
      <c r="D171" s="111">
        <v>7</v>
      </c>
      <c r="E171" s="112">
        <v>1438</v>
      </c>
      <c r="F171" s="113">
        <v>30657418877</v>
      </c>
      <c r="G171" s="99" t="str">
        <f>IFERROR(IF(venta_a_mes5[[#This Row],[CUIT]]="","-",VLOOKUP(venta_a_mes5[[#This Row],[CUIT]],Lista_CUIT[#All],2,0)),"CUIT NO CARGADO")</f>
        <v>FUNDAC EMPRESARIA MADERERA</v>
      </c>
      <c r="H171" s="100">
        <v>2892.56</v>
      </c>
      <c r="I171" s="101">
        <f>venta_a_mes5[[#This Row],[IMPORTE NETO]]*0.21</f>
        <v>607.43759999999997</v>
      </c>
      <c r="J171" s="65"/>
      <c r="K171" s="65"/>
      <c r="L171" s="65">
        <f>SUM(venta_a_mes5[[#This Row],[IMPORTE NETO]:[EXENTO]])</f>
        <v>3499.9975999999997</v>
      </c>
      <c r="M171" s="59"/>
    </row>
    <row r="172" spans="2:13" ht="17.25" customHeight="1" x14ac:dyDescent="0.25">
      <c r="B172" s="109">
        <v>45055</v>
      </c>
      <c r="C172" s="110">
        <v>1</v>
      </c>
      <c r="D172" s="111">
        <v>7</v>
      </c>
      <c r="E172" s="112">
        <v>1445</v>
      </c>
      <c r="F172" s="113">
        <v>30683032227</v>
      </c>
      <c r="G172" s="99" t="str">
        <f>IFERROR(IF(venta_a_mes5[[#This Row],[CUIT]]="","-",VLOOKUP(venta_a_mes5[[#This Row],[CUIT]],Lista_CUIT[#All],2,0)),"CUIT NO CARGADO")</f>
        <v>OBRA SOCIAL UNION PERSONAL DE LA UNION DEL PERSONAL CIVIL D</v>
      </c>
      <c r="H172" s="100">
        <v>17101.599999999999</v>
      </c>
      <c r="I172" s="101">
        <f>venta_a_mes5[[#This Row],[IMPORTE NETO]]*0.21</f>
        <v>3591.3359999999998</v>
      </c>
      <c r="J172" s="65"/>
      <c r="K172" s="65"/>
      <c r="L172" s="65">
        <f>SUM(venta_a_mes5[[#This Row],[IMPORTE NETO]:[EXENTO]])</f>
        <v>20692.935999999998</v>
      </c>
      <c r="M172" s="59"/>
    </row>
    <row r="173" spans="2:13" ht="17.25" customHeight="1" x14ac:dyDescent="0.25">
      <c r="B173" s="109">
        <v>45055</v>
      </c>
      <c r="C173" s="110">
        <v>1</v>
      </c>
      <c r="D173" s="111">
        <v>7</v>
      </c>
      <c r="E173" s="112">
        <v>1449</v>
      </c>
      <c r="F173" s="113">
        <v>30707612971</v>
      </c>
      <c r="G173" s="99" t="str">
        <f>IFERROR(IF(venta_a_mes5[[#This Row],[CUIT]]="","-",VLOOKUP(venta_a_mes5[[#This Row],[CUIT]],Lista_CUIT[#All],2,0)),"CUIT NO CARGADO")</f>
        <v>CENTRO MEDICO AMENABAR SRL</v>
      </c>
      <c r="H173" s="100">
        <v>9465.2099999999991</v>
      </c>
      <c r="I173" s="101">
        <f>venta_a_mes5[[#This Row],[IMPORTE NETO]]*0.21</f>
        <v>1987.6940999999997</v>
      </c>
      <c r="J173" s="65"/>
      <c r="K173" s="65"/>
      <c r="L173" s="65">
        <f>SUM(venta_a_mes5[[#This Row],[IMPORTE NETO]:[EXENTO]])</f>
        <v>11452.9041</v>
      </c>
      <c r="M173" s="59"/>
    </row>
    <row r="174" spans="2:13" ht="17.25" customHeight="1" x14ac:dyDescent="0.25">
      <c r="B174" s="109">
        <v>45055</v>
      </c>
      <c r="C174" s="110">
        <v>1</v>
      </c>
      <c r="D174" s="111">
        <v>7</v>
      </c>
      <c r="E174" s="112">
        <v>1442</v>
      </c>
      <c r="F174" s="113">
        <v>30715186655</v>
      </c>
      <c r="G174" s="99" t="str">
        <f>IFERROR(IF(venta_a_mes5[[#This Row],[CUIT]]="","-",VLOOKUP(venta_a_mes5[[#This Row],[CUIT]],Lista_CUIT[#All],2,0)),"CUIT NO CARGADO")</f>
        <v>Amparo Salud S.R.L.</v>
      </c>
      <c r="H174" s="100">
        <v>2066.12</v>
      </c>
      <c r="I174" s="101">
        <f>venta_a_mes5[[#This Row],[IMPORTE NETO]]*0.21</f>
        <v>433.88519999999994</v>
      </c>
      <c r="J174" s="65"/>
      <c r="K174" s="65"/>
      <c r="L174" s="65">
        <f>SUM(venta_a_mes5[[#This Row],[IMPORTE NETO]:[EXENTO]])</f>
        <v>2500.0051999999996</v>
      </c>
      <c r="M174" s="59"/>
    </row>
    <row r="175" spans="2:13" ht="17.25" customHeight="1" x14ac:dyDescent="0.25">
      <c r="B175" s="109">
        <v>45055</v>
      </c>
      <c r="C175" s="110">
        <v>1</v>
      </c>
      <c r="D175" s="111">
        <v>7</v>
      </c>
      <c r="E175" s="112">
        <v>1451</v>
      </c>
      <c r="F175" s="113">
        <v>30683032227</v>
      </c>
      <c r="G175" s="99" t="str">
        <f>IFERROR(IF(venta_a_mes5[[#This Row],[CUIT]]="","-",VLOOKUP(venta_a_mes5[[#This Row],[CUIT]],Lista_CUIT[#All],2,0)),"CUIT NO CARGADO")</f>
        <v>OBRA SOCIAL UNION PERSONAL DE LA UNION DEL PERSONAL CIVIL D</v>
      </c>
      <c r="H175" s="100">
        <v>18595.04</v>
      </c>
      <c r="I175" s="101">
        <f>venta_a_mes5[[#This Row],[IMPORTE NETO]]*0.21</f>
        <v>3904.9584</v>
      </c>
      <c r="J175" s="65"/>
      <c r="K175" s="65"/>
      <c r="L175" s="65">
        <f>SUM(venta_a_mes5[[#This Row],[IMPORTE NETO]:[EXENTO]])</f>
        <v>22499.9984</v>
      </c>
      <c r="M175" s="59"/>
    </row>
    <row r="176" spans="2:13" ht="17.25" customHeight="1" x14ac:dyDescent="0.25">
      <c r="B176" s="109">
        <v>45055</v>
      </c>
      <c r="C176" s="110">
        <v>1</v>
      </c>
      <c r="D176" s="111">
        <v>7</v>
      </c>
      <c r="E176" s="112">
        <v>1446</v>
      </c>
      <c r="F176" s="113">
        <v>30546771314</v>
      </c>
      <c r="G176" s="99" t="str">
        <f>IFERROR(IF(venta_a_mes5[[#This Row],[CUIT]]="","-",VLOOKUP(venta_a_mes5[[#This Row],[CUIT]],Lista_CUIT[#All],2,0)),"CUIT NO CARGADO")</f>
        <v>MEDICUS S.A DE ASIST. MEDICA</v>
      </c>
      <c r="H176" s="100">
        <v>10360.33</v>
      </c>
      <c r="I176" s="101">
        <f>venta_a_mes5[[#This Row],[IMPORTE NETO]]*0.21</f>
        <v>2175.6693</v>
      </c>
      <c r="J176" s="65"/>
      <c r="K176" s="65"/>
      <c r="L176" s="65">
        <f>SUM(venta_a_mes5[[#This Row],[IMPORTE NETO]:[EXENTO]])</f>
        <v>12535.999299999999</v>
      </c>
      <c r="M176" s="59"/>
    </row>
    <row r="177" spans="2:13" ht="17.25" customHeight="1" x14ac:dyDescent="0.25">
      <c r="B177" s="109">
        <v>45055</v>
      </c>
      <c r="C177" s="110">
        <v>1</v>
      </c>
      <c r="D177" s="111">
        <v>7</v>
      </c>
      <c r="E177" s="112">
        <v>1452</v>
      </c>
      <c r="F177" s="113">
        <v>30707118454</v>
      </c>
      <c r="G177" s="99" t="str">
        <f>IFERROR(IF(venta_a_mes5[[#This Row],[CUIT]]="","-",VLOOKUP(venta_a_mes5[[#This Row],[CUIT]],Lista_CUIT[#All],2,0)),"CUIT NO CARGADO")</f>
        <v>Ensalud S.A</v>
      </c>
      <c r="H177" s="100">
        <v>4331.41</v>
      </c>
      <c r="I177" s="101">
        <f>venta_a_mes5[[#This Row],[IMPORTE NETO]]*0.21</f>
        <v>909.59609999999998</v>
      </c>
      <c r="J177" s="65"/>
      <c r="K177" s="65"/>
      <c r="L177" s="65">
        <f>SUM(venta_a_mes5[[#This Row],[IMPORTE NETO]:[EXENTO]])</f>
        <v>5241.0060999999996</v>
      </c>
      <c r="M177" s="59"/>
    </row>
    <row r="178" spans="2:13" ht="17.25" customHeight="1" x14ac:dyDescent="0.25">
      <c r="B178" s="109">
        <v>45055</v>
      </c>
      <c r="C178" s="110">
        <v>1</v>
      </c>
      <c r="D178" s="111">
        <v>7</v>
      </c>
      <c r="E178" s="112">
        <v>1448</v>
      </c>
      <c r="F178" s="113">
        <v>30645337979</v>
      </c>
      <c r="G178" s="99" t="str">
        <f>IFERROR(IF(venta_a_mes5[[#This Row],[CUIT]]="","-",VLOOKUP(venta_a_mes5[[#This Row],[CUIT]],Lista_CUIT[#All],2,0)),"CUIT NO CARGADO")</f>
        <v>ALEXANDER FLEMING SA</v>
      </c>
      <c r="H178" s="100">
        <v>11215.39</v>
      </c>
      <c r="I178" s="101">
        <f>venta_a_mes5[[#This Row],[IMPORTE NETO]]*0.21</f>
        <v>2355.2318999999998</v>
      </c>
      <c r="J178" s="65"/>
      <c r="K178" s="65"/>
      <c r="L178" s="65">
        <f>SUM(venta_a_mes5[[#This Row],[IMPORTE NETO]:[EXENTO]])</f>
        <v>13570.621899999998</v>
      </c>
      <c r="M178" s="59"/>
    </row>
    <row r="179" spans="2:13" ht="17.25" customHeight="1" x14ac:dyDescent="0.25">
      <c r="B179" s="109">
        <v>45055</v>
      </c>
      <c r="C179" s="110">
        <v>1</v>
      </c>
      <c r="D179" s="111">
        <v>7</v>
      </c>
      <c r="E179" s="112">
        <v>1447</v>
      </c>
      <c r="F179" s="113">
        <v>30711244383</v>
      </c>
      <c r="G179" s="99" t="str">
        <f>IFERROR(IF(venta_a_mes5[[#This Row],[CUIT]]="","-",VLOOKUP(venta_a_mes5[[#This Row],[CUIT]],Lista_CUIT[#All],2,0)),"CUIT NO CARGADO")</f>
        <v>LOGIN DOOR SA</v>
      </c>
      <c r="H179" s="100">
        <v>6085.69</v>
      </c>
      <c r="I179" s="101">
        <f>venta_a_mes5[[#This Row],[IMPORTE NETO]]*0.21</f>
        <v>1277.9948999999999</v>
      </c>
      <c r="J179" s="65"/>
      <c r="K179" s="65"/>
      <c r="L179" s="65">
        <f>SUM(venta_a_mes5[[#This Row],[IMPORTE NETO]:[EXENTO]])</f>
        <v>7363.6848999999993</v>
      </c>
      <c r="M179" s="59"/>
    </row>
    <row r="180" spans="2:13" ht="17.25" customHeight="1" x14ac:dyDescent="0.25">
      <c r="B180" s="109">
        <v>45055</v>
      </c>
      <c r="C180" s="110">
        <v>1</v>
      </c>
      <c r="D180" s="111">
        <v>7</v>
      </c>
      <c r="E180" s="112">
        <v>1444</v>
      </c>
      <c r="F180" s="113">
        <v>30683032227</v>
      </c>
      <c r="G180" s="99" t="str">
        <f>IFERROR(IF(venta_a_mes5[[#This Row],[CUIT]]="","-",VLOOKUP(venta_a_mes5[[#This Row],[CUIT]],Lista_CUIT[#All],2,0)),"CUIT NO CARGADO")</f>
        <v>OBRA SOCIAL UNION PERSONAL DE LA UNION DEL PERSONAL CIVIL D</v>
      </c>
      <c r="H180" s="100">
        <v>254838.27</v>
      </c>
      <c r="I180" s="101">
        <f>venta_a_mes5[[#This Row],[IMPORTE NETO]]*0.21</f>
        <v>53516.036699999997</v>
      </c>
      <c r="J180" s="65"/>
      <c r="K180" s="65"/>
      <c r="L180" s="65">
        <f>SUM(venta_a_mes5[[#This Row],[IMPORTE NETO]:[EXENTO]])</f>
        <v>308354.30669999996</v>
      </c>
      <c r="M180" s="59"/>
    </row>
    <row r="181" spans="2:13" ht="17.25" customHeight="1" x14ac:dyDescent="0.25">
      <c r="B181" s="109">
        <v>45055</v>
      </c>
      <c r="C181" s="110">
        <v>1</v>
      </c>
      <c r="D181" s="111">
        <v>7</v>
      </c>
      <c r="E181" s="112">
        <v>1443</v>
      </c>
      <c r="F181" s="113">
        <v>30710961790</v>
      </c>
      <c r="G181" s="99" t="str">
        <f>IFERROR(IF(venta_a_mes5[[#This Row],[CUIT]]="","-",VLOOKUP(venta_a_mes5[[#This Row],[CUIT]],Lista_CUIT[#All],2,0)),"CUIT NO CARGADO")</f>
        <v>ZC DIABETES SRL</v>
      </c>
      <c r="H181" s="100">
        <v>49104.3</v>
      </c>
      <c r="I181" s="101">
        <f>venta_a_mes5[[#This Row],[IMPORTE NETO]]*0.21</f>
        <v>10311.903</v>
      </c>
      <c r="J181" s="65"/>
      <c r="K181" s="65"/>
      <c r="L181" s="65">
        <f>SUM(venta_a_mes5[[#This Row],[IMPORTE NETO]:[EXENTO]])</f>
        <v>59416.203000000001</v>
      </c>
      <c r="M181" s="59"/>
    </row>
    <row r="182" spans="2:13" ht="17.25" customHeight="1" x14ac:dyDescent="0.25">
      <c r="B182" s="109">
        <v>45055</v>
      </c>
      <c r="C182" s="110">
        <v>1</v>
      </c>
      <c r="D182" s="111">
        <v>7</v>
      </c>
      <c r="E182" s="112">
        <v>1441</v>
      </c>
      <c r="F182" s="113">
        <v>30715186655</v>
      </c>
      <c r="G182" s="99" t="str">
        <f>IFERROR(IF(venta_a_mes5[[#This Row],[CUIT]]="","-",VLOOKUP(venta_a_mes5[[#This Row],[CUIT]],Lista_CUIT[#All],2,0)),"CUIT NO CARGADO")</f>
        <v>Amparo Salud S.R.L.</v>
      </c>
      <c r="H182" s="100">
        <v>68300</v>
      </c>
      <c r="I182" s="101">
        <f>venta_a_mes5[[#This Row],[IMPORTE NETO]]*0.21</f>
        <v>14343</v>
      </c>
      <c r="J182" s="65"/>
      <c r="K182" s="65"/>
      <c r="L182" s="65">
        <f>SUM(venta_a_mes5[[#This Row],[IMPORTE NETO]:[EXENTO]])</f>
        <v>82643</v>
      </c>
      <c r="M182" s="59"/>
    </row>
    <row r="183" spans="2:13" ht="17.25" customHeight="1" x14ac:dyDescent="0.25">
      <c r="B183" s="109">
        <v>45055</v>
      </c>
      <c r="C183" s="110">
        <v>1</v>
      </c>
      <c r="D183" s="111">
        <v>7</v>
      </c>
      <c r="E183" s="112">
        <v>1450</v>
      </c>
      <c r="F183" s="113">
        <v>30683032227</v>
      </c>
      <c r="G183" s="99" t="str">
        <f>IFERROR(IF(venta_a_mes5[[#This Row],[CUIT]]="","-",VLOOKUP(venta_a_mes5[[#This Row],[CUIT]],Lista_CUIT[#All],2,0)),"CUIT NO CARGADO")</f>
        <v>OBRA SOCIAL UNION PERSONAL DE LA UNION DEL PERSONAL CIVIL D</v>
      </c>
      <c r="H183" s="100">
        <v>95206.6</v>
      </c>
      <c r="I183" s="101">
        <f>venta_a_mes5[[#This Row],[IMPORTE NETO]]*0.21</f>
        <v>19993.386000000002</v>
      </c>
      <c r="J183" s="65"/>
      <c r="K183" s="65"/>
      <c r="L183" s="65">
        <f>SUM(venta_a_mes5[[#This Row],[IMPORTE NETO]:[EXENTO]])</f>
        <v>115199.986</v>
      </c>
      <c r="M183" s="59"/>
    </row>
    <row r="184" spans="2:13" ht="17.25" customHeight="1" x14ac:dyDescent="0.25">
      <c r="B184" s="109">
        <v>45056</v>
      </c>
      <c r="C184" s="110">
        <v>1</v>
      </c>
      <c r="D184" s="111">
        <v>7</v>
      </c>
      <c r="E184" s="112">
        <v>1453</v>
      </c>
      <c r="F184" s="113">
        <v>30709016012</v>
      </c>
      <c r="G184" s="99" t="str">
        <f>IFERROR(IF(venta_a_mes5[[#This Row],[CUIT]]="","-",VLOOKUP(venta_a_mes5[[#This Row],[CUIT]],Lista_CUIT[#All],2,0)),"CUIT NO CARGADO")</f>
        <v>MGR IMPLANTES S.A</v>
      </c>
      <c r="H184" s="100">
        <v>48809.9</v>
      </c>
      <c r="I184" s="101">
        <f>venta_a_mes5[[#This Row],[IMPORTE NETO]]*0.21</f>
        <v>10250.079</v>
      </c>
      <c r="J184" s="65"/>
      <c r="K184" s="65"/>
      <c r="L184" s="65">
        <f>SUM(venta_a_mes5[[#This Row],[IMPORTE NETO]:[EXENTO]])</f>
        <v>59059.978999999999</v>
      </c>
      <c r="M184" s="59"/>
    </row>
    <row r="185" spans="2:13" ht="17.25" customHeight="1" x14ac:dyDescent="0.25">
      <c r="B185" s="109">
        <v>45056</v>
      </c>
      <c r="C185" s="110">
        <v>1</v>
      </c>
      <c r="D185" s="111">
        <v>7</v>
      </c>
      <c r="E185" s="112">
        <v>1458</v>
      </c>
      <c r="F185" s="113">
        <v>30608716390</v>
      </c>
      <c r="G185" s="99" t="str">
        <f>IFERROR(IF(venta_a_mes5[[#This Row],[CUIT]]="","-",VLOOKUP(venta_a_mes5[[#This Row],[CUIT]],Lista_CUIT[#All],2,0)),"CUIT NO CARGADO")</f>
        <v>OBRA SOCIAL DEL PERSONAL DE LAS TELECOMUNICACIONES DE LA REP. ARGENTINA</v>
      </c>
      <c r="H185" s="100">
        <v>3471.08</v>
      </c>
      <c r="I185" s="101">
        <f>venta_a_mes5[[#This Row],[IMPORTE NETO]]*0.21</f>
        <v>728.92679999999996</v>
      </c>
      <c r="J185" s="65"/>
      <c r="K185" s="65"/>
      <c r="L185" s="65">
        <f>SUM(venta_a_mes5[[#This Row],[IMPORTE NETO]:[EXENTO]])</f>
        <v>4200.0068000000001</v>
      </c>
      <c r="M185" s="59"/>
    </row>
    <row r="186" spans="2:13" ht="17.25" customHeight="1" x14ac:dyDescent="0.25">
      <c r="B186" s="109">
        <v>45056</v>
      </c>
      <c r="C186" s="110">
        <v>1</v>
      </c>
      <c r="D186" s="111">
        <v>7</v>
      </c>
      <c r="E186" s="112">
        <v>1457</v>
      </c>
      <c r="F186" s="113">
        <v>30608716390</v>
      </c>
      <c r="G186" s="99" t="str">
        <f>IFERROR(IF(venta_a_mes5[[#This Row],[CUIT]]="","-",VLOOKUP(venta_a_mes5[[#This Row],[CUIT]],Lista_CUIT[#All],2,0)),"CUIT NO CARGADO")</f>
        <v>OBRA SOCIAL DEL PERSONAL DE LAS TELECOMUNICACIONES DE LA REP. ARGENTINA</v>
      </c>
      <c r="H186" s="100">
        <v>6942.15</v>
      </c>
      <c r="I186" s="101">
        <f>venta_a_mes5[[#This Row],[IMPORTE NETO]]*0.21</f>
        <v>1457.8514999999998</v>
      </c>
      <c r="J186" s="65"/>
      <c r="K186" s="65"/>
      <c r="L186" s="65">
        <f>SUM(venta_a_mes5[[#This Row],[IMPORTE NETO]:[EXENTO]])</f>
        <v>8400.0014999999985</v>
      </c>
      <c r="M186" s="59"/>
    </row>
    <row r="187" spans="2:13" ht="17.25" customHeight="1" x14ac:dyDescent="0.25">
      <c r="B187" s="109">
        <v>45056</v>
      </c>
      <c r="C187" s="110">
        <v>1</v>
      </c>
      <c r="D187" s="111">
        <v>7</v>
      </c>
      <c r="E187" s="112">
        <v>1454</v>
      </c>
      <c r="F187" s="113">
        <v>30709016012</v>
      </c>
      <c r="G187" s="99" t="str">
        <f>IFERROR(IF(venta_a_mes5[[#This Row],[CUIT]]="","-",VLOOKUP(venta_a_mes5[[#This Row],[CUIT]],Lista_CUIT[#All],2,0)),"CUIT NO CARGADO")</f>
        <v>MGR IMPLANTES S.A</v>
      </c>
      <c r="H187" s="100">
        <v>10008.26</v>
      </c>
      <c r="I187" s="101">
        <f>venta_a_mes5[[#This Row],[IMPORTE NETO]]*0.21</f>
        <v>2101.7345999999998</v>
      </c>
      <c r="J187" s="65"/>
      <c r="K187" s="65"/>
      <c r="L187" s="65">
        <f>SUM(venta_a_mes5[[#This Row],[IMPORTE NETO]:[EXENTO]])</f>
        <v>12109.9946</v>
      </c>
      <c r="M187" s="59"/>
    </row>
    <row r="188" spans="2:13" ht="17.25" customHeight="1" x14ac:dyDescent="0.25">
      <c r="B188" s="109">
        <v>45056</v>
      </c>
      <c r="C188" s="110">
        <v>1</v>
      </c>
      <c r="D188" s="111">
        <v>7</v>
      </c>
      <c r="E188" s="112">
        <v>1455</v>
      </c>
      <c r="F188" s="113">
        <v>30608716390</v>
      </c>
      <c r="G188" s="99" t="str">
        <f>IFERROR(IF(venta_a_mes5[[#This Row],[CUIT]]="","-",VLOOKUP(venta_a_mes5[[#This Row],[CUIT]],Lista_CUIT[#All],2,0)),"CUIT NO CARGADO")</f>
        <v>OBRA SOCIAL DEL PERSONAL DE LAS TELECOMUNICACIONES DE LA REP. ARGENTINA</v>
      </c>
      <c r="H188" s="100">
        <v>5950.42</v>
      </c>
      <c r="I188" s="101">
        <f>venta_a_mes5[[#This Row],[IMPORTE NETO]]*0.21</f>
        <v>1249.5881999999999</v>
      </c>
      <c r="J188" s="65"/>
      <c r="K188" s="65"/>
      <c r="L188" s="65">
        <f>SUM(venta_a_mes5[[#This Row],[IMPORTE NETO]:[EXENTO]])</f>
        <v>7200.0082000000002</v>
      </c>
      <c r="M188" s="59"/>
    </row>
    <row r="189" spans="2:13" ht="17.25" customHeight="1" x14ac:dyDescent="0.25">
      <c r="B189" s="109">
        <v>45056</v>
      </c>
      <c r="C189" s="110">
        <v>1</v>
      </c>
      <c r="D189" s="111">
        <v>7</v>
      </c>
      <c r="E189" s="112">
        <v>1456</v>
      </c>
      <c r="F189" s="113">
        <v>30608716390</v>
      </c>
      <c r="G189" s="99" t="str">
        <f>IFERROR(IF(venta_a_mes5[[#This Row],[CUIT]]="","-",VLOOKUP(venta_a_mes5[[#This Row],[CUIT]],Lista_CUIT[#All],2,0)),"CUIT NO CARGADO")</f>
        <v>OBRA SOCIAL DEL PERSONAL DE LAS TELECOMUNICACIONES DE LA REP. ARGENTINA</v>
      </c>
      <c r="H189" s="100">
        <v>1723.14</v>
      </c>
      <c r="I189" s="101">
        <f>venta_a_mes5[[#This Row],[IMPORTE NETO]]*0.21</f>
        <v>361.85939999999999</v>
      </c>
      <c r="J189" s="65"/>
      <c r="K189" s="65"/>
      <c r="L189" s="65">
        <f>SUM(venta_a_mes5[[#This Row],[IMPORTE NETO]:[EXENTO]])</f>
        <v>2084.9994000000002</v>
      </c>
      <c r="M189" s="59"/>
    </row>
    <row r="190" spans="2:13" ht="17.25" customHeight="1" x14ac:dyDescent="0.25">
      <c r="B190" s="109">
        <v>45057</v>
      </c>
      <c r="C190" s="110">
        <v>1</v>
      </c>
      <c r="D190" s="111">
        <v>7</v>
      </c>
      <c r="E190" s="112">
        <v>1459</v>
      </c>
      <c r="F190" s="113">
        <v>30608716390</v>
      </c>
      <c r="G190" s="99" t="str">
        <f>IFERROR(IF(venta_a_mes5[[#This Row],[CUIT]]="","-",VLOOKUP(venta_a_mes5[[#This Row],[CUIT]],Lista_CUIT[#All],2,0)),"CUIT NO CARGADO")</f>
        <v>OBRA SOCIAL DEL PERSONAL DE LAS TELECOMUNICACIONES DE LA REP. ARGENTINA</v>
      </c>
      <c r="H190" s="100">
        <v>1487.61</v>
      </c>
      <c r="I190" s="101">
        <f>venta_a_mes5[[#This Row],[IMPORTE NETO]]*0.21</f>
        <v>312.39809999999994</v>
      </c>
      <c r="J190" s="65"/>
      <c r="K190" s="65"/>
      <c r="L190" s="65">
        <f>SUM(venta_a_mes5[[#This Row],[IMPORTE NETO]:[EXENTO]])</f>
        <v>1800.0080999999998</v>
      </c>
      <c r="M190" s="59"/>
    </row>
    <row r="191" spans="2:13" ht="17.25" customHeight="1" x14ac:dyDescent="0.25">
      <c r="B191" s="109">
        <v>45058</v>
      </c>
      <c r="C191" s="110">
        <v>1</v>
      </c>
      <c r="D191" s="111">
        <v>7</v>
      </c>
      <c r="E191" s="112">
        <v>1460</v>
      </c>
      <c r="F191" s="113">
        <v>30608716390</v>
      </c>
      <c r="G191" s="99" t="str">
        <f>IFERROR(IF(venta_a_mes5[[#This Row],[CUIT]]="","-",VLOOKUP(venta_a_mes5[[#This Row],[CUIT]],Lista_CUIT[#All],2,0)),"CUIT NO CARGADO")</f>
        <v>OBRA SOCIAL DEL PERSONAL DE LAS TELECOMUNICACIONES DE LA REP. ARGENTINA</v>
      </c>
      <c r="H191" s="100">
        <v>4685.95</v>
      </c>
      <c r="I191" s="101">
        <f>venta_a_mes5[[#This Row],[IMPORTE NETO]]*0.21</f>
        <v>984.04949999999997</v>
      </c>
      <c r="J191" s="65"/>
      <c r="K191" s="65"/>
      <c r="L191" s="65">
        <f>SUM(venta_a_mes5[[#This Row],[IMPORTE NETO]:[EXENTO]])</f>
        <v>5669.9994999999999</v>
      </c>
      <c r="M191" s="59"/>
    </row>
    <row r="192" spans="2:13" ht="17.25" customHeight="1" x14ac:dyDescent="0.25">
      <c r="B192" s="109">
        <v>45061</v>
      </c>
      <c r="C192" s="110">
        <v>1</v>
      </c>
      <c r="D192" s="111">
        <v>7</v>
      </c>
      <c r="E192" s="112">
        <v>1461</v>
      </c>
      <c r="F192" s="113">
        <v>30711289778</v>
      </c>
      <c r="G192" s="99" t="str">
        <f>IFERROR(IF(venta_a_mes5[[#This Row],[CUIT]]="","-",VLOOKUP(venta_a_mes5[[#This Row],[CUIT]],Lista_CUIT[#All],2,0)),"CUIT NO CARGADO")</f>
        <v>Vignati Eduardo Alberto Y Rossetti Pablo Manuel Sociedad De Hecho</v>
      </c>
      <c r="H192" s="100">
        <v>44628.1</v>
      </c>
      <c r="I192" s="101">
        <f>venta_a_mes5[[#This Row],[IMPORTE NETO]]*0.21</f>
        <v>9371.9009999999998</v>
      </c>
      <c r="J192" s="65"/>
      <c r="K192" s="65"/>
      <c r="L192" s="65">
        <f>SUM(venta_a_mes5[[#This Row],[IMPORTE NETO]:[EXENTO]])</f>
        <v>54000.000999999997</v>
      </c>
      <c r="M192" s="59"/>
    </row>
    <row r="193" spans="2:13" ht="17.25" customHeight="1" x14ac:dyDescent="0.25">
      <c r="B193" s="109">
        <v>45063</v>
      </c>
      <c r="C193" s="110">
        <v>1</v>
      </c>
      <c r="D193" s="111">
        <v>7</v>
      </c>
      <c r="E193" s="112">
        <v>1462</v>
      </c>
      <c r="F193" s="113">
        <v>30522428163</v>
      </c>
      <c r="G193" s="99" t="str">
        <f>IFERROR(IF(venta_a_mes5[[#This Row],[CUIT]]="","-",VLOOKUP(venta_a_mes5[[#This Row],[CUIT]],Lista_CUIT[#All],2,0)),"CUIT NO CARGADO")</f>
        <v>GALENO ARGENTINA SA</v>
      </c>
      <c r="H193" s="100">
        <v>68000</v>
      </c>
      <c r="I193" s="101">
        <f>venta_a_mes5[[#This Row],[IMPORTE NETO]]*0.21</f>
        <v>14280</v>
      </c>
      <c r="J193" s="65"/>
      <c r="K193" s="65"/>
      <c r="L193" s="65">
        <f>SUM(venta_a_mes5[[#This Row],[IMPORTE NETO]:[EXENTO]])</f>
        <v>82280</v>
      </c>
      <c r="M193" s="59"/>
    </row>
    <row r="194" spans="2:13" ht="17.25" customHeight="1" x14ac:dyDescent="0.25">
      <c r="B194" s="109">
        <v>45063</v>
      </c>
      <c r="C194" s="110">
        <v>1</v>
      </c>
      <c r="D194" s="111">
        <v>7</v>
      </c>
      <c r="E194" s="112">
        <v>1463</v>
      </c>
      <c r="F194" s="113">
        <v>30522428163</v>
      </c>
      <c r="G194" s="99" t="str">
        <f>IFERROR(IF(venta_a_mes5[[#This Row],[CUIT]]="","-",VLOOKUP(venta_a_mes5[[#This Row],[CUIT]],Lista_CUIT[#All],2,0)),"CUIT NO CARGADO")</f>
        <v>GALENO ARGENTINA SA</v>
      </c>
      <c r="H194" s="100">
        <v>33884.300000000003</v>
      </c>
      <c r="I194" s="101">
        <f>venta_a_mes5[[#This Row],[IMPORTE NETO]]*0.21</f>
        <v>7115.7030000000004</v>
      </c>
      <c r="J194" s="65"/>
      <c r="K194" s="65"/>
      <c r="L194" s="65">
        <f>SUM(venta_a_mes5[[#This Row],[IMPORTE NETO]:[EXENTO]])</f>
        <v>41000.003000000004</v>
      </c>
      <c r="M194" s="59"/>
    </row>
    <row r="195" spans="2:13" ht="17.25" customHeight="1" x14ac:dyDescent="0.25">
      <c r="B195" s="109">
        <v>45064</v>
      </c>
      <c r="C195" s="110">
        <v>1</v>
      </c>
      <c r="D195" s="111">
        <v>7</v>
      </c>
      <c r="E195" s="112">
        <v>1464</v>
      </c>
      <c r="F195" s="113">
        <v>30522428163</v>
      </c>
      <c r="G195" s="99" t="str">
        <f>IFERROR(IF(venta_a_mes5[[#This Row],[CUIT]]="","-",VLOOKUP(venta_a_mes5[[#This Row],[CUIT]],Lista_CUIT[#All],2,0)),"CUIT NO CARGADO")</f>
        <v>GALENO ARGENTINA SA</v>
      </c>
      <c r="H195" s="100">
        <v>55000</v>
      </c>
      <c r="I195" s="101">
        <f>venta_a_mes5[[#This Row],[IMPORTE NETO]]*0.21</f>
        <v>11550</v>
      </c>
      <c r="J195" s="65"/>
      <c r="K195" s="65"/>
      <c r="L195" s="65">
        <f>SUM(venta_a_mes5[[#This Row],[IMPORTE NETO]:[EXENTO]])</f>
        <v>66550</v>
      </c>
      <c r="M195" s="59"/>
    </row>
    <row r="196" spans="2:13" ht="17.25" customHeight="1" x14ac:dyDescent="0.25">
      <c r="B196" s="109">
        <v>45068</v>
      </c>
      <c r="C196" s="110">
        <v>1</v>
      </c>
      <c r="D196" s="111">
        <v>7</v>
      </c>
      <c r="E196" s="112">
        <v>1465</v>
      </c>
      <c r="F196" s="113">
        <v>30608716390</v>
      </c>
      <c r="G196" s="99" t="str">
        <f>IFERROR(IF(venta_a_mes5[[#This Row],[CUIT]]="","-",VLOOKUP(venta_a_mes5[[#This Row],[CUIT]],Lista_CUIT[#All],2,0)),"CUIT NO CARGADO")</f>
        <v>OBRA SOCIAL DEL PERSONAL DE LAS TELECOMUNICACIONES DE LA REP. ARGENTINA</v>
      </c>
      <c r="H196" s="100">
        <v>1198.3499999999999</v>
      </c>
      <c r="I196" s="101">
        <f>venta_a_mes5[[#This Row],[IMPORTE NETO]]*0.21</f>
        <v>251.65349999999998</v>
      </c>
      <c r="J196" s="65"/>
      <c r="K196" s="65"/>
      <c r="L196" s="65">
        <f>SUM(venta_a_mes5[[#This Row],[IMPORTE NETO]:[EXENTO]])</f>
        <v>1450.0034999999998</v>
      </c>
      <c r="M196" s="59"/>
    </row>
    <row r="197" spans="2:13" x14ac:dyDescent="0.25">
      <c r="B197" s="109">
        <v>45070</v>
      </c>
      <c r="C197" s="110">
        <v>1</v>
      </c>
      <c r="D197" s="111">
        <v>7</v>
      </c>
      <c r="E197" s="112">
        <v>1466</v>
      </c>
      <c r="F197" s="113">
        <v>30500053522</v>
      </c>
      <c r="G197" s="99" t="str">
        <f>IFERROR(IF(venta_a_mes5[[#This Row],[CUIT]]="","-",VLOOKUP(venta_a_mes5[[#This Row],[CUIT]],Lista_CUIT[#All],2,0)),"CUIT NO CARGADO")</f>
        <v>O.SOC ACT.CARLOS PELEGRINI 575</v>
      </c>
      <c r="H197" s="100">
        <v>2218.1799999999998</v>
      </c>
      <c r="I197" s="101">
        <f>venta_a_mes5[[#This Row],[IMPORTE NETO]]*0.21</f>
        <v>465.81779999999992</v>
      </c>
      <c r="J197" s="65"/>
      <c r="K197" s="65"/>
      <c r="L197" s="65">
        <f>SUM(venta_a_mes5[[#This Row],[IMPORTE NETO]:[EXENTO]])</f>
        <v>2683.9977999999996</v>
      </c>
      <c r="M197" s="59"/>
    </row>
    <row r="198" spans="2:13" x14ac:dyDescent="0.25">
      <c r="B198" s="109">
        <v>45070</v>
      </c>
      <c r="C198" s="110">
        <v>1</v>
      </c>
      <c r="D198" s="111">
        <v>7</v>
      </c>
      <c r="E198" s="112">
        <v>1467</v>
      </c>
      <c r="F198" s="113">
        <v>30500053522</v>
      </c>
      <c r="G198" s="99" t="str">
        <f>IFERROR(IF(venta_a_mes5[[#This Row],[CUIT]]="","-",VLOOKUP(venta_a_mes5[[#This Row],[CUIT]],Lista_CUIT[#All],2,0)),"CUIT NO CARGADO")</f>
        <v>O.SOC ACT.CARLOS PELEGRINI 575</v>
      </c>
      <c r="H198" s="100">
        <v>3171.9</v>
      </c>
      <c r="I198" s="101">
        <f>venta_a_mes5[[#This Row],[IMPORTE NETO]]*0.21</f>
        <v>666.09900000000005</v>
      </c>
      <c r="J198" s="65"/>
      <c r="K198" s="65"/>
      <c r="L198" s="65">
        <f>SUM(venta_a_mes5[[#This Row],[IMPORTE NETO]:[EXENTO]])</f>
        <v>3837.9990000000003</v>
      </c>
      <c r="M198" s="59"/>
    </row>
    <row r="199" spans="2:13" ht="19.149999999999999" customHeight="1" x14ac:dyDescent="0.25">
      <c r="B199" s="109">
        <v>45048</v>
      </c>
      <c r="C199" s="110">
        <v>1</v>
      </c>
      <c r="D199" s="111">
        <v>6</v>
      </c>
      <c r="E199" s="112">
        <v>342</v>
      </c>
      <c r="F199" s="113">
        <v>30522428163</v>
      </c>
      <c r="G199" s="99" t="str">
        <f>IFERROR(IF(venta_a_mes5[[#This Row],[CUIT]]="","-",VLOOKUP(venta_a_mes5[[#This Row],[CUIT]],Lista_CUIT[#All],2,0)),"CUIT NO CARGADO")</f>
        <v>GALENO ARGENTINA SA</v>
      </c>
      <c r="H199" s="100">
        <v>2255702.48</v>
      </c>
      <c r="I199" s="101">
        <f>venta_a_mes5[[#This Row],[IMPORTE NETO]]*0.21</f>
        <v>473697.5208</v>
      </c>
      <c r="J199" s="65"/>
      <c r="K199" s="65"/>
      <c r="L199" s="65">
        <f>SUM(venta_a_mes5[[#This Row],[IMPORTE NETO]:[EXENTO]])</f>
        <v>2729400.0008</v>
      </c>
      <c r="M199" s="59"/>
    </row>
    <row r="200" spans="2:13" ht="28.9" customHeight="1" x14ac:dyDescent="0.25">
      <c r="B200" s="109">
        <v>45049</v>
      </c>
      <c r="C200" s="110">
        <v>1</v>
      </c>
      <c r="D200" s="111">
        <v>6</v>
      </c>
      <c r="E200" s="112">
        <v>343</v>
      </c>
      <c r="F200" s="113">
        <v>30522428163</v>
      </c>
      <c r="G200" s="99" t="str">
        <f>IFERROR(IF(venta_a_mes5[[#This Row],[CUIT]]="","-",VLOOKUP(venta_a_mes5[[#This Row],[CUIT]],Lista_CUIT[#All],2,0)),"CUIT NO CARGADO")</f>
        <v>GALENO ARGENTINA SA</v>
      </c>
      <c r="H200" s="100">
        <v>2277296.4900000002</v>
      </c>
      <c r="I200" s="101">
        <f>venta_a_mes5[[#This Row],[IMPORTE NETO]]*0.21</f>
        <v>478232.26290000003</v>
      </c>
      <c r="J200" s="65"/>
      <c r="K200" s="65"/>
      <c r="L200" s="65">
        <f>SUM(venta_a_mes5[[#This Row],[IMPORTE NETO]:[EXENTO]])</f>
        <v>2755528.7529000002</v>
      </c>
      <c r="M200" s="59"/>
    </row>
    <row r="201" spans="2:13" x14ac:dyDescent="0.25">
      <c r="B201" s="109">
        <v>45054</v>
      </c>
      <c r="C201" s="110">
        <v>1</v>
      </c>
      <c r="D201" s="111">
        <v>6</v>
      </c>
      <c r="E201" s="112">
        <v>344</v>
      </c>
      <c r="F201" s="113">
        <v>30522428163</v>
      </c>
      <c r="G201" s="99" t="str">
        <f>IFERROR(IF(venta_a_mes5[[#This Row],[CUIT]]="","-",VLOOKUP(venta_a_mes5[[#This Row],[CUIT]],Lista_CUIT[#All],2,0)),"CUIT NO CARGADO")</f>
        <v>GALENO ARGENTINA SA</v>
      </c>
      <c r="H201" s="100">
        <v>3709834.71</v>
      </c>
      <c r="I201" s="101">
        <f>venta_a_mes5[[#This Row],[IMPORTE NETO]]*0.21</f>
        <v>779065.28909999994</v>
      </c>
      <c r="J201" s="65"/>
      <c r="K201" s="65"/>
      <c r="L201" s="65">
        <f>SUM(venta_a_mes5[[#This Row],[IMPORTE NETO]:[EXENTO]])</f>
        <v>4488899.9990999997</v>
      </c>
      <c r="M201" s="59"/>
    </row>
    <row r="202" spans="2:13" x14ac:dyDescent="0.25">
      <c r="B202" s="109">
        <v>45061</v>
      </c>
      <c r="C202" s="110">
        <v>1</v>
      </c>
      <c r="D202" s="111">
        <v>6</v>
      </c>
      <c r="E202" s="112">
        <v>345</v>
      </c>
      <c r="F202" s="113">
        <v>30522428163</v>
      </c>
      <c r="G202" s="99" t="str">
        <f>IFERROR(IF(venta_a_mes5[[#This Row],[CUIT]]="","-",VLOOKUP(venta_a_mes5[[#This Row],[CUIT]],Lista_CUIT[#All],2,0)),"CUIT NO CARGADO")</f>
        <v>GALENO ARGENTINA SA</v>
      </c>
      <c r="H202" s="100">
        <v>4331404.95</v>
      </c>
      <c r="I202" s="101">
        <f>venta_a_mes5[[#This Row],[IMPORTE NETO]]*0.21</f>
        <v>909595.03949999996</v>
      </c>
      <c r="J202" s="65"/>
      <c r="K202" s="65"/>
      <c r="L202" s="65">
        <f>SUM(venta_a_mes5[[#This Row],[IMPORTE NETO]:[EXENTO]])</f>
        <v>5240999.9895000001</v>
      </c>
      <c r="M202" s="59"/>
    </row>
    <row r="203" spans="2:13" x14ac:dyDescent="0.25">
      <c r="B203" s="109">
        <v>45061</v>
      </c>
      <c r="C203" s="110">
        <v>1</v>
      </c>
      <c r="D203" s="111">
        <v>7</v>
      </c>
      <c r="E203" s="112">
        <v>2</v>
      </c>
      <c r="F203" s="113">
        <v>30522428163</v>
      </c>
      <c r="G203" s="99" t="str">
        <f>IFERROR(IF(venta_a_mes5[[#This Row],[CUIT]]="","-",VLOOKUP(venta_a_mes5[[#This Row],[CUIT]],Lista_CUIT[#All],2,0)),"CUIT NO CARGADO")</f>
        <v>GALENO ARGENTINA SA</v>
      </c>
      <c r="H203" s="100">
        <v>2763719</v>
      </c>
      <c r="I203" s="101">
        <f>venta_a_mes5[[#This Row],[IMPORTE NETO]]*0.21</f>
        <v>580380.99</v>
      </c>
      <c r="J203" s="65"/>
      <c r="K203" s="65"/>
      <c r="L203" s="65">
        <f>SUM(venta_a_mes5[[#This Row],[IMPORTE NETO]:[EXENTO]])</f>
        <v>3344099.99</v>
      </c>
      <c r="M203" s="59"/>
    </row>
    <row r="204" spans="2:13" x14ac:dyDescent="0.25">
      <c r="B204" s="109">
        <v>45065</v>
      </c>
      <c r="C204" s="110">
        <v>1</v>
      </c>
      <c r="D204" s="111">
        <v>6</v>
      </c>
      <c r="E204" s="112">
        <v>346</v>
      </c>
      <c r="F204" s="113">
        <v>30522428163</v>
      </c>
      <c r="G204" s="99" t="str">
        <f>IFERROR(IF(venta_a_mes5[[#This Row],[CUIT]]="","-",VLOOKUP(venta_a_mes5[[#This Row],[CUIT]],Lista_CUIT[#All],2,0)),"CUIT NO CARGADO")</f>
        <v>GALENO ARGENTINA SA</v>
      </c>
      <c r="H204" s="100">
        <v>3596198.36</v>
      </c>
      <c r="I204" s="101">
        <f>venta_a_mes5[[#This Row],[IMPORTE NETO]]*0.21</f>
        <v>755201.65559999994</v>
      </c>
      <c r="J204" s="65"/>
      <c r="K204" s="65"/>
      <c r="L204" s="65">
        <f>SUM(venta_a_mes5[[#This Row],[IMPORTE NETO]:[EXENTO]])</f>
        <v>4351400.0155999996</v>
      </c>
      <c r="M204" s="59"/>
    </row>
    <row r="205" spans="2:13" x14ac:dyDescent="0.25">
      <c r="B205" s="109">
        <v>45070</v>
      </c>
      <c r="C205" s="110">
        <v>1</v>
      </c>
      <c r="D205" s="111">
        <v>6</v>
      </c>
      <c r="E205" s="112">
        <v>347</v>
      </c>
      <c r="F205" s="113">
        <v>30522428163</v>
      </c>
      <c r="G205" s="99" t="str">
        <f>IFERROR(IF(venta_a_mes5[[#This Row],[CUIT]]="","-",VLOOKUP(venta_a_mes5[[#This Row],[CUIT]],Lista_CUIT[#All],2,0)),"CUIT NO CARGADO")</f>
        <v>GALENO ARGENTINA SA</v>
      </c>
      <c r="H205" s="100">
        <v>5489495.8700000001</v>
      </c>
      <c r="I205" s="101">
        <f>venta_a_mes5[[#This Row],[IMPORTE NETO]]*0.21</f>
        <v>1152794.1327</v>
      </c>
      <c r="J205" s="65"/>
      <c r="K205" s="65"/>
      <c r="L205" s="65">
        <f>SUM(venta_a_mes5[[#This Row],[IMPORTE NETO]:[EXENTO]])</f>
        <v>6642290.0027000001</v>
      </c>
      <c r="M205" s="59"/>
    </row>
    <row r="206" spans="2:13" x14ac:dyDescent="0.25">
      <c r="B206" s="376">
        <v>45069</v>
      </c>
      <c r="C206" s="377">
        <v>3</v>
      </c>
      <c r="D206" s="378">
        <v>3</v>
      </c>
      <c r="E206" s="379">
        <v>20</v>
      </c>
      <c r="F206" s="380">
        <v>30522428163</v>
      </c>
      <c r="G206" s="381" t="str">
        <f>IFERROR(IF(venta_a_mes5[[#This Row],[CUIT]]="","-",VLOOKUP(venta_a_mes5[[#This Row],[CUIT]],Lista_CUIT[#All],2,0)),"CUIT NO CARGADO")</f>
        <v>GALENO ARGENTINA SA</v>
      </c>
      <c r="H206" s="382">
        <v>-532727.29</v>
      </c>
      <c r="I206" s="383">
        <f>venta_a_mes5[[#This Row],[IMPORTE NETO]]*0.21</f>
        <v>-111872.73090000001</v>
      </c>
      <c r="J206" s="384"/>
      <c r="K206" s="384"/>
      <c r="L206" s="384">
        <f>SUM(venta_a_mes5[[#This Row],[IMPORTE NETO]:[EXENTO]])</f>
        <v>-644600.0209</v>
      </c>
      <c r="M206" s="385"/>
    </row>
    <row r="207" spans="2:13" x14ac:dyDescent="0.25">
      <c r="B207" s="109">
        <v>45069</v>
      </c>
      <c r="C207" s="110">
        <v>3</v>
      </c>
      <c r="D207" s="111">
        <v>6</v>
      </c>
      <c r="E207" s="112">
        <v>30</v>
      </c>
      <c r="F207" s="113">
        <v>30522428163</v>
      </c>
      <c r="G207" s="99" t="str">
        <f>IFERROR(IF(venta_a_mes5[[#This Row],[CUIT]]="","-",VLOOKUP(venta_a_mes5[[#This Row],[CUIT]],Lista_CUIT[#All],2,0)),"CUIT NO CARGADO")</f>
        <v>GALENO ARGENTINA SA</v>
      </c>
      <c r="H207" s="100">
        <v>-95206.6</v>
      </c>
      <c r="I207" s="101">
        <f>venta_a_mes5[[#This Row],[IMPORTE NETO]]*0.21</f>
        <v>-19993.386000000002</v>
      </c>
      <c r="J207" s="65"/>
      <c r="K207" s="65"/>
      <c r="L207" s="65">
        <f>SUM(venta_a_mes5[[#This Row],[IMPORTE NETO]:[EXENTO]])</f>
        <v>-115199.986</v>
      </c>
      <c r="M207" s="59"/>
    </row>
    <row r="208" spans="2:13" x14ac:dyDescent="0.25">
      <c r="B208" s="109">
        <v>45069</v>
      </c>
      <c r="C208" s="110">
        <v>3</v>
      </c>
      <c r="D208" s="111">
        <v>6</v>
      </c>
      <c r="E208" s="112">
        <v>32</v>
      </c>
      <c r="F208" s="113">
        <v>30522428163</v>
      </c>
      <c r="G208" s="99" t="str">
        <f>IFERROR(IF(venta_a_mes5[[#This Row],[CUIT]]="","-",VLOOKUP(venta_a_mes5[[#This Row],[CUIT]],Lista_CUIT[#All],2,0)),"CUIT NO CARGADO")</f>
        <v>GALENO ARGENTINA SA</v>
      </c>
      <c r="H208" s="100">
        <v>-21211.99</v>
      </c>
      <c r="I208" s="101">
        <f>venta_a_mes5[[#This Row],[IMPORTE NETO]]*0.21</f>
        <v>-4454.5178999999998</v>
      </c>
      <c r="J208" s="65"/>
      <c r="K208" s="65"/>
      <c r="L208" s="65">
        <f>SUM(venta_a_mes5[[#This Row],[IMPORTE NETO]:[EXENTO]])</f>
        <v>-25666.507900000001</v>
      </c>
      <c r="M208" s="59"/>
    </row>
    <row r="209" spans="2:13" x14ac:dyDescent="0.25">
      <c r="B209" s="109">
        <v>45069</v>
      </c>
      <c r="C209" s="110">
        <v>3</v>
      </c>
      <c r="D209" s="111">
        <v>6</v>
      </c>
      <c r="E209" s="112">
        <v>29</v>
      </c>
      <c r="F209" s="113">
        <v>30522428163</v>
      </c>
      <c r="G209" s="99" t="str">
        <f>IFERROR(IF(venta_a_mes5[[#This Row],[CUIT]]="","-",VLOOKUP(venta_a_mes5[[#This Row],[CUIT]],Lista_CUIT[#All],2,0)),"CUIT NO CARGADO")</f>
        <v>GALENO ARGENTINA SA</v>
      </c>
      <c r="H209" s="100">
        <v>-143801.65</v>
      </c>
      <c r="I209" s="101">
        <f>venta_a_mes5[[#This Row],[IMPORTE NETO]]*0.21</f>
        <v>-30198.346499999996</v>
      </c>
      <c r="J209" s="65"/>
      <c r="K209" s="65"/>
      <c r="L209" s="65">
        <f>SUM(venta_a_mes5[[#This Row],[IMPORTE NETO]:[EXENTO]])</f>
        <v>-173999.99649999998</v>
      </c>
      <c r="M209" s="59"/>
    </row>
    <row r="210" spans="2:13" x14ac:dyDescent="0.25">
      <c r="B210" s="109">
        <v>45069</v>
      </c>
      <c r="C210" s="110">
        <v>3</v>
      </c>
      <c r="D210" s="111">
        <v>6</v>
      </c>
      <c r="E210" s="112">
        <v>31</v>
      </c>
      <c r="F210" s="113">
        <v>30522428163</v>
      </c>
      <c r="G210" s="99" t="str">
        <f>IFERROR(IF(venta_a_mes5[[#This Row],[CUIT]]="","-",VLOOKUP(venta_a_mes5[[#This Row],[CUIT]],Lista_CUIT[#All],2,0)),"CUIT NO CARGADO")</f>
        <v>GALENO ARGENTINA SA</v>
      </c>
      <c r="H210" s="100">
        <v>-76142.23</v>
      </c>
      <c r="I210" s="101">
        <f>venta_a_mes5[[#This Row],[IMPORTE NETO]]*0.21</f>
        <v>-15989.868299999998</v>
      </c>
      <c r="J210" s="65"/>
      <c r="K210" s="65"/>
      <c r="L210" s="65">
        <f>SUM(venta_a_mes5[[#This Row],[IMPORTE NETO]:[EXENTO]])</f>
        <v>-92132.098299999998</v>
      </c>
      <c r="M210" s="59"/>
    </row>
    <row r="211" spans="2:13" x14ac:dyDescent="0.25">
      <c r="B211" s="109">
        <v>45069</v>
      </c>
      <c r="C211" s="110">
        <v>3</v>
      </c>
      <c r="D211" s="111">
        <v>6</v>
      </c>
      <c r="E211" s="112">
        <v>33</v>
      </c>
      <c r="F211" s="113">
        <v>30522428163</v>
      </c>
      <c r="G211" s="99" t="str">
        <f>IFERROR(IF(venta_a_mes5[[#This Row],[CUIT]]="","-",VLOOKUP(venta_a_mes5[[#This Row],[CUIT]],Lista_CUIT[#All],2,0)),"CUIT NO CARGADO")</f>
        <v>GALENO ARGENTINA SA</v>
      </c>
      <c r="H211" s="100">
        <v>-8413.2000000000007</v>
      </c>
      <c r="I211" s="101">
        <f>venta_a_mes5[[#This Row],[IMPORTE NETO]]*0.21</f>
        <v>-1766.7720000000002</v>
      </c>
      <c r="J211" s="65"/>
      <c r="K211" s="65"/>
      <c r="L211" s="65">
        <f>SUM(venta_a_mes5[[#This Row],[IMPORTE NETO]:[EXENTO]])</f>
        <v>-10179.972000000002</v>
      </c>
      <c r="M211" s="59"/>
    </row>
    <row r="212" spans="2:13" x14ac:dyDescent="0.25">
      <c r="B212" s="109">
        <v>45050</v>
      </c>
      <c r="C212" s="110">
        <v>3</v>
      </c>
      <c r="D212" s="111">
        <v>7</v>
      </c>
      <c r="E212" s="112">
        <v>91</v>
      </c>
      <c r="F212" s="113">
        <v>30522428163</v>
      </c>
      <c r="G212" s="99" t="str">
        <f>IFERROR(IF(venta_a_mes5[[#This Row],[CUIT]]="","-",VLOOKUP(venta_a_mes5[[#This Row],[CUIT]],Lista_CUIT[#All],2,0)),"CUIT NO CARGADO")</f>
        <v>GALENO ARGENTINA SA</v>
      </c>
      <c r="H212" s="100">
        <v>-36033.06</v>
      </c>
      <c r="I212" s="101">
        <f>venta_a_mes5[[#This Row],[IMPORTE NETO]]*0.21</f>
        <v>-7566.9425999999994</v>
      </c>
      <c r="J212" s="65"/>
      <c r="K212" s="65"/>
      <c r="L212" s="65">
        <f>SUM(venta_a_mes5[[#This Row],[IMPORTE NETO]:[EXENTO]])</f>
        <v>-43600.0026</v>
      </c>
      <c r="M212" s="59"/>
    </row>
    <row r="213" spans="2:13" x14ac:dyDescent="0.25">
      <c r="B213" s="109">
        <v>45050</v>
      </c>
      <c r="C213" s="110">
        <v>3</v>
      </c>
      <c r="D213" s="111">
        <v>7</v>
      </c>
      <c r="E213" s="112">
        <v>90</v>
      </c>
      <c r="F213" s="113">
        <v>30522428163</v>
      </c>
      <c r="G213" s="99" t="str">
        <f>IFERROR(IF(venta_a_mes5[[#This Row],[CUIT]]="","-",VLOOKUP(venta_a_mes5[[#This Row],[CUIT]],Lista_CUIT[#All],2,0)),"CUIT NO CARGADO")</f>
        <v>GALENO ARGENTINA SA</v>
      </c>
      <c r="H213" s="100">
        <v>-344263.8</v>
      </c>
      <c r="I213" s="101">
        <f>venta_a_mes5[[#This Row],[IMPORTE NETO]]*0.21</f>
        <v>-72295.398000000001</v>
      </c>
      <c r="J213" s="65"/>
      <c r="K213" s="65"/>
      <c r="L213" s="65">
        <f>SUM(venta_a_mes5[[#This Row],[IMPORTE NETO]:[EXENTO]])</f>
        <v>-416559.19799999997</v>
      </c>
      <c r="M213" s="59"/>
    </row>
    <row r="214" spans="2:13" x14ac:dyDescent="0.25">
      <c r="B214" s="109">
        <v>45064</v>
      </c>
      <c r="C214" s="110">
        <v>3</v>
      </c>
      <c r="D214" s="111">
        <v>7</v>
      </c>
      <c r="E214" s="112">
        <v>92</v>
      </c>
      <c r="F214" s="113">
        <v>30522428163</v>
      </c>
      <c r="G214" s="99" t="str">
        <f>IFERROR(IF(venta_a_mes5[[#This Row],[CUIT]]="","-",VLOOKUP(venta_a_mes5[[#This Row],[CUIT]],Lista_CUIT[#All],2,0)),"CUIT NO CARGADO")</f>
        <v>GALENO ARGENTINA SA</v>
      </c>
      <c r="H214" s="100">
        <v>-68000</v>
      </c>
      <c r="I214" s="101">
        <f>venta_a_mes5[[#This Row],[IMPORTE NETO]]*0.21</f>
        <v>-14280</v>
      </c>
      <c r="J214" s="65"/>
      <c r="K214" s="65"/>
      <c r="L214" s="65">
        <f>SUM(venta_a_mes5[[#This Row],[IMPORTE NETO]:[EXENTO]])</f>
        <v>-82280</v>
      </c>
      <c r="M214" s="59"/>
    </row>
    <row r="215" spans="2:13" x14ac:dyDescent="0.25">
      <c r="B215" s="109">
        <v>45069</v>
      </c>
      <c r="C215" s="110">
        <v>3</v>
      </c>
      <c r="D215" s="111">
        <v>7</v>
      </c>
      <c r="E215" s="112">
        <v>93</v>
      </c>
      <c r="F215" s="113">
        <v>30522428163</v>
      </c>
      <c r="G215" s="99" t="str">
        <f>IFERROR(IF(venta_a_mes5[[#This Row],[CUIT]]="","-",VLOOKUP(venta_a_mes5[[#This Row],[CUIT]],Lista_CUIT[#All],2,0)),"CUIT NO CARGADO")</f>
        <v>GALENO ARGENTINA SA</v>
      </c>
      <c r="H215" s="100">
        <v>-19358.560000000001</v>
      </c>
      <c r="I215" s="101">
        <f>venta_a_mes5[[#This Row],[IMPORTE NETO]]*0.21</f>
        <v>-4065.2976000000003</v>
      </c>
      <c r="J215" s="65"/>
      <c r="K215" s="65"/>
      <c r="L215" s="65">
        <f>SUM(venta_a_mes5[[#This Row],[IMPORTE NETO]:[EXENTO]])</f>
        <v>-23423.857600000003</v>
      </c>
      <c r="M215" s="59"/>
    </row>
    <row r="216" spans="2:13" x14ac:dyDescent="0.25">
      <c r="B216" s="109"/>
      <c r="C216" s="110"/>
      <c r="D216" s="111"/>
      <c r="E216" s="112"/>
      <c r="F216" s="113"/>
      <c r="G216" s="99" t="str">
        <f>IFERROR(IF(venta_a_mes5[[#This Row],[CUIT]]="","-",VLOOKUP(venta_a_mes5[[#This Row],[CUIT]],Lista_CUIT[#All],2,0)),"CUIT NO CARGADO")</f>
        <v>-</v>
      </c>
      <c r="H216" s="100"/>
      <c r="I216" s="101">
        <f>venta_a_mes5[[#This Row],[IMPORTE NETO]]*0.21</f>
        <v>0</v>
      </c>
      <c r="J216" s="65"/>
      <c r="K216" s="65"/>
      <c r="L216" s="65">
        <f>SUM(venta_a_mes5[[#This Row],[IMPORTE NETO]:[EXENTO]])</f>
        <v>0</v>
      </c>
      <c r="M216" s="59"/>
    </row>
    <row r="217" spans="2:13" x14ac:dyDescent="0.25">
      <c r="B217" s="109"/>
      <c r="C217" s="110"/>
      <c r="D217" s="111"/>
      <c r="E217" s="112"/>
      <c r="F217" s="113"/>
      <c r="G217" s="99" t="str">
        <f>IFERROR(IF(venta_a_mes5[[#This Row],[CUIT]]="","-",VLOOKUP(venta_a_mes5[[#This Row],[CUIT]],Lista_CUIT[#All],2,0)),"CUIT NO CARGADO")</f>
        <v>-</v>
      </c>
      <c r="H217" s="100"/>
      <c r="I217" s="101">
        <f>venta_a_mes5[[#This Row],[IMPORTE NETO]]*0.21</f>
        <v>0</v>
      </c>
      <c r="J217" s="65"/>
      <c r="K217" s="65"/>
      <c r="L217" s="65">
        <f>SUM(venta_a_mes5[[#This Row],[IMPORTE NETO]:[EXENTO]])</f>
        <v>0</v>
      </c>
      <c r="M217" s="59"/>
    </row>
    <row r="218" spans="2:13" x14ac:dyDescent="0.25">
      <c r="B218" s="109"/>
      <c r="C218" s="110"/>
      <c r="D218" s="111"/>
      <c r="E218" s="112"/>
      <c r="F218" s="113"/>
      <c r="G218" s="99" t="str">
        <f>IFERROR(IF(venta_a_mes5[[#This Row],[CUIT]]="","-",VLOOKUP(venta_a_mes5[[#This Row],[CUIT]],Lista_CUIT[#All],2,0)),"CUIT NO CARGADO")</f>
        <v>-</v>
      </c>
      <c r="H218" s="100"/>
      <c r="I218" s="101">
        <f>venta_a_mes5[[#This Row],[IMPORTE NETO]]*0.21</f>
        <v>0</v>
      </c>
      <c r="J218" s="65"/>
      <c r="K218" s="65"/>
      <c r="L218" s="65">
        <f>SUM(venta_a_mes5[[#This Row],[IMPORTE NETO]:[EXENTO]])</f>
        <v>0</v>
      </c>
      <c r="M218" s="59"/>
    </row>
    <row r="219" spans="2:13" x14ac:dyDescent="0.25">
      <c r="B219" s="109"/>
      <c r="C219" s="110"/>
      <c r="D219" s="111"/>
      <c r="E219" s="112"/>
      <c r="F219" s="113"/>
      <c r="G219" s="99" t="str">
        <f>IFERROR(IF(venta_a_mes5[[#This Row],[CUIT]]="","-",VLOOKUP(venta_a_mes5[[#This Row],[CUIT]],Lista_CUIT[#All],2,0)),"CUIT NO CARGADO")</f>
        <v>-</v>
      </c>
      <c r="H219" s="100"/>
      <c r="I219" s="101">
        <f>venta_a_mes5[[#This Row],[IMPORTE NETO]]*0.21</f>
        <v>0</v>
      </c>
      <c r="J219" s="65"/>
      <c r="K219" s="65"/>
      <c r="L219" s="65">
        <f>SUM(venta_a_mes5[[#This Row],[IMPORTE NETO]:[EXENTO]])</f>
        <v>0</v>
      </c>
      <c r="M219" s="59"/>
    </row>
    <row r="220" spans="2:13" x14ac:dyDescent="0.25">
      <c r="B220" s="109"/>
      <c r="C220" s="110"/>
      <c r="D220" s="111"/>
      <c r="E220" s="112"/>
      <c r="F220" s="113"/>
      <c r="G220" s="99" t="str">
        <f>IFERROR(IF(venta_a_mes5[[#This Row],[CUIT]]="","-",VLOOKUP(venta_a_mes5[[#This Row],[CUIT]],Lista_CUIT[#All],2,0)),"CUIT NO CARGADO")</f>
        <v>-</v>
      </c>
      <c r="H220" s="100"/>
      <c r="I220" s="101">
        <f>venta_a_mes5[[#This Row],[IMPORTE NETO]]*0.21</f>
        <v>0</v>
      </c>
      <c r="J220" s="65"/>
      <c r="K220" s="65"/>
      <c r="L220" s="65">
        <f>SUM(venta_a_mes5[[#This Row],[IMPORTE NETO]:[EXENTO]])</f>
        <v>0</v>
      </c>
      <c r="M220" s="59"/>
    </row>
    <row r="221" spans="2:13" x14ac:dyDescent="0.25">
      <c r="B221" s="66" t="s">
        <v>110</v>
      </c>
      <c r="C221" s="67"/>
      <c r="D221" s="67"/>
      <c r="E221" s="67"/>
      <c r="F221" s="67"/>
      <c r="G221" s="67"/>
      <c r="H221" s="69">
        <f>SUBTOTAL(109,venta_a_mes5[IMPORTE NETO])</f>
        <v>25288260.910000004</v>
      </c>
      <c r="I221" s="70">
        <f>SUBTOTAL(109,venta_a_mes5[IVA 21%])</f>
        <v>5310534.7911</v>
      </c>
      <c r="J221" s="71">
        <f>SUBTOTAL(109,venta_a_mes5[IVA 10,5%])</f>
        <v>0</v>
      </c>
      <c r="K221" s="71">
        <f>SUBTOTAL(109,venta_a_mes5[EXENTO])</f>
        <v>0</v>
      </c>
      <c r="L221" s="71">
        <f>SUBTOTAL(109,venta_a_mes5[TOTAL])</f>
        <v>30598795.701100003</v>
      </c>
      <c r="M221" s="68">
        <f>SUBTOTAL(103,venta_a_mes5[Provincia])</f>
        <v>0</v>
      </c>
    </row>
    <row r="224" spans="2:13" ht="21" x14ac:dyDescent="0.25">
      <c r="B224" s="525" t="s">
        <v>31</v>
      </c>
      <c r="C224" s="525"/>
    </row>
    <row r="225" spans="2:13" ht="15.75" x14ac:dyDescent="0.25">
      <c r="B225" s="60" t="s">
        <v>0</v>
      </c>
      <c r="C225" s="61" t="s">
        <v>1</v>
      </c>
      <c r="D225" s="61" t="s">
        <v>21</v>
      </c>
      <c r="E225" s="61" t="s">
        <v>22</v>
      </c>
      <c r="F225" s="61" t="s">
        <v>3</v>
      </c>
      <c r="G225" s="61" t="s">
        <v>4</v>
      </c>
      <c r="H225" s="61" t="s">
        <v>23</v>
      </c>
      <c r="I225" s="61" t="s">
        <v>17</v>
      </c>
      <c r="J225" s="61" t="s">
        <v>7</v>
      </c>
      <c r="K225" s="61" t="s">
        <v>24</v>
      </c>
      <c r="L225" s="61" t="s">
        <v>10</v>
      </c>
      <c r="M225" s="62" t="s">
        <v>38</v>
      </c>
    </row>
    <row r="226" spans="2:13" x14ac:dyDescent="0.25">
      <c r="B226" s="40">
        <v>45048</v>
      </c>
      <c r="C226" s="41">
        <v>6</v>
      </c>
      <c r="D226" s="42">
        <v>7</v>
      </c>
      <c r="E226" s="43">
        <v>4310</v>
      </c>
      <c r="F226" s="44"/>
      <c r="G226" s="1" t="str">
        <f>IFERROR(IF(ventas_b_mes5[[#This Row],[CUIT]]="","-",VLOOKUP(ventas_b_mes5[[#This Row],[CUIT]],Lista_CUIT[#All],2,0)),"CUIT NO CARGADO")</f>
        <v>-</v>
      </c>
      <c r="H226" s="64">
        <v>4132.2299999999996</v>
      </c>
      <c r="I226" s="64">
        <f>ventas_b_mes5[[#This Row],[IMPORTE NETO]]*0.21</f>
        <v>867.76829999999984</v>
      </c>
      <c r="J226" s="64"/>
      <c r="K226" s="64"/>
      <c r="L226" s="64">
        <f>SUM(ventas_b_mes5[[#This Row],[IMPORTE NETO]:[EXENTO]])</f>
        <v>4999.9982999999993</v>
      </c>
      <c r="M226" s="59"/>
    </row>
    <row r="227" spans="2:13" x14ac:dyDescent="0.25">
      <c r="B227" s="186">
        <v>45048</v>
      </c>
      <c r="C227" s="41">
        <v>6</v>
      </c>
      <c r="D227" s="188">
        <v>5</v>
      </c>
      <c r="E227" s="189">
        <v>7833</v>
      </c>
      <c r="F227" s="190"/>
      <c r="G227" s="1" t="str">
        <f>IFERROR(IF(ventas_b_mes5[[#This Row],[CUIT]]="","-",VLOOKUP(ventas_b_mes5[[#This Row],[CUIT]],Lista_CUIT[#All],2,0)),"CUIT NO CARGADO")</f>
        <v>-</v>
      </c>
      <c r="H227" s="64">
        <v>6611.57</v>
      </c>
      <c r="I227" s="191">
        <f>ventas_b_mes5[[#This Row],[IMPORTE NETO]]*0.21</f>
        <v>1388.4296999999999</v>
      </c>
      <c r="J227" s="192"/>
      <c r="K227" s="192"/>
      <c r="L227" s="192">
        <f>SUM(ventas_b_mes5[[#This Row],[IMPORTE NETO]:[EXENTO]])</f>
        <v>7999.9996999999994</v>
      </c>
      <c r="M227" s="59"/>
    </row>
    <row r="228" spans="2:13" x14ac:dyDescent="0.25">
      <c r="B228" s="186">
        <v>45048</v>
      </c>
      <c r="C228" s="41">
        <v>6</v>
      </c>
      <c r="D228" s="188">
        <v>7</v>
      </c>
      <c r="E228" s="189">
        <v>4311</v>
      </c>
      <c r="F228" s="190"/>
      <c r="G228" s="1" t="str">
        <f>IFERROR(IF(ventas_b_mes5[[#This Row],[CUIT]]="","-",VLOOKUP(ventas_b_mes5[[#This Row],[CUIT]],Lista_CUIT[#All],2,0)),"CUIT NO CARGADO")</f>
        <v>-</v>
      </c>
      <c r="H228" s="64">
        <v>7024.79</v>
      </c>
      <c r="I228" s="191">
        <f>ventas_b_mes5[[#This Row],[IMPORTE NETO]]*0.21</f>
        <v>1475.2058999999999</v>
      </c>
      <c r="J228" s="192"/>
      <c r="K228" s="192"/>
      <c r="L228" s="192">
        <f>SUM(ventas_b_mes5[[#This Row],[IMPORTE NETO]:[EXENTO]])</f>
        <v>8499.9958999999999</v>
      </c>
      <c r="M228" s="59"/>
    </row>
    <row r="229" spans="2:13" x14ac:dyDescent="0.25">
      <c r="B229" s="186">
        <v>45048</v>
      </c>
      <c r="C229" s="41">
        <v>6</v>
      </c>
      <c r="D229" s="188">
        <v>5</v>
      </c>
      <c r="E229" s="189">
        <v>7825</v>
      </c>
      <c r="F229" s="190"/>
      <c r="G229" s="1" t="str">
        <f>IFERROR(IF(ventas_b_mes5[[#This Row],[CUIT]]="","-",VLOOKUP(ventas_b_mes5[[#This Row],[CUIT]],Lista_CUIT[#All],2,0)),"CUIT NO CARGADO")</f>
        <v>-</v>
      </c>
      <c r="H229" s="64">
        <v>13057.85</v>
      </c>
      <c r="I229" s="191">
        <f>ventas_b_mes5[[#This Row],[IMPORTE NETO]]*0.21</f>
        <v>2742.1484999999998</v>
      </c>
      <c r="J229" s="192"/>
      <c r="K229" s="192"/>
      <c r="L229" s="192">
        <f>SUM(ventas_b_mes5[[#This Row],[IMPORTE NETO]:[EXENTO]])</f>
        <v>15799.9985</v>
      </c>
      <c r="M229" s="59"/>
    </row>
    <row r="230" spans="2:13" x14ac:dyDescent="0.25">
      <c r="B230" s="186">
        <v>45048</v>
      </c>
      <c r="C230" s="41">
        <v>6</v>
      </c>
      <c r="D230" s="188">
        <v>5</v>
      </c>
      <c r="E230" s="189">
        <v>7829</v>
      </c>
      <c r="F230" s="190"/>
      <c r="G230" s="1" t="str">
        <f>IFERROR(IF(ventas_b_mes5[[#This Row],[CUIT]]="","-",VLOOKUP(ventas_b_mes5[[#This Row],[CUIT]],Lista_CUIT[#All],2,0)),"CUIT NO CARGADO")</f>
        <v>-</v>
      </c>
      <c r="H230" s="64">
        <v>2066.12</v>
      </c>
      <c r="I230" s="191">
        <f>ventas_b_mes5[[#This Row],[IMPORTE NETO]]*0.21</f>
        <v>433.88519999999994</v>
      </c>
      <c r="J230" s="192"/>
      <c r="K230" s="192"/>
      <c r="L230" s="192">
        <f>SUM(ventas_b_mes5[[#This Row],[IMPORTE NETO]:[EXENTO]])</f>
        <v>2500.0051999999996</v>
      </c>
      <c r="M230" s="59"/>
    </row>
    <row r="231" spans="2:13" x14ac:dyDescent="0.25">
      <c r="B231" s="186">
        <v>45048</v>
      </c>
      <c r="C231" s="41">
        <v>6</v>
      </c>
      <c r="D231" s="188">
        <v>7</v>
      </c>
      <c r="E231" s="189">
        <v>4309</v>
      </c>
      <c r="F231" s="190"/>
      <c r="G231" s="1" t="str">
        <f>IFERROR(IF(ventas_b_mes5[[#This Row],[CUIT]]="","-",VLOOKUP(ventas_b_mes5[[#This Row],[CUIT]],Lista_CUIT[#All],2,0)),"CUIT NO CARGADO")</f>
        <v>-</v>
      </c>
      <c r="H231" s="64">
        <v>4958.68</v>
      </c>
      <c r="I231" s="191">
        <f>ventas_b_mes5[[#This Row],[IMPORTE NETO]]*0.21</f>
        <v>1041.3227999999999</v>
      </c>
      <c r="J231" s="192"/>
      <c r="K231" s="192"/>
      <c r="L231" s="192">
        <f>SUM(ventas_b_mes5[[#This Row],[IMPORTE NETO]:[EXENTO]])</f>
        <v>6000.0028000000002</v>
      </c>
      <c r="M231" s="59"/>
    </row>
    <row r="232" spans="2:13" x14ac:dyDescent="0.25">
      <c r="B232" s="186">
        <v>45048</v>
      </c>
      <c r="C232" s="41">
        <v>6</v>
      </c>
      <c r="D232" s="188">
        <v>5</v>
      </c>
      <c r="E232" s="189">
        <v>7835</v>
      </c>
      <c r="F232" s="190"/>
      <c r="G232" s="1" t="str">
        <f>IFERROR(IF(ventas_b_mes5[[#This Row],[CUIT]]="","-",VLOOKUP(ventas_b_mes5[[#This Row],[CUIT]],Lista_CUIT[#All],2,0)),"CUIT NO CARGADO")</f>
        <v>-</v>
      </c>
      <c r="H232" s="64">
        <v>2066.12</v>
      </c>
      <c r="I232" s="191">
        <f>ventas_b_mes5[[#This Row],[IMPORTE NETO]]*0.21</f>
        <v>433.88519999999994</v>
      </c>
      <c r="J232" s="192"/>
      <c r="K232" s="192"/>
      <c r="L232" s="192">
        <f>SUM(ventas_b_mes5[[#This Row],[IMPORTE NETO]:[EXENTO]])</f>
        <v>2500.0051999999996</v>
      </c>
      <c r="M232" s="59"/>
    </row>
    <row r="233" spans="2:13" x14ac:dyDescent="0.25">
      <c r="B233" s="186">
        <v>45048</v>
      </c>
      <c r="C233" s="41">
        <v>6</v>
      </c>
      <c r="D233" s="188">
        <v>5</v>
      </c>
      <c r="E233" s="189">
        <v>7828</v>
      </c>
      <c r="F233" s="190"/>
      <c r="G233" s="1" t="str">
        <f>IFERROR(IF(ventas_b_mes5[[#This Row],[CUIT]]="","-",VLOOKUP(ventas_b_mes5[[#This Row],[CUIT]],Lista_CUIT[#All],2,0)),"CUIT NO CARGADO")</f>
        <v>-</v>
      </c>
      <c r="H233" s="64">
        <v>2809.92</v>
      </c>
      <c r="I233" s="191">
        <f>ventas_b_mes5[[#This Row],[IMPORTE NETO]]*0.21</f>
        <v>590.08320000000003</v>
      </c>
      <c r="J233" s="192"/>
      <c r="K233" s="192"/>
      <c r="L233" s="192">
        <f>SUM(ventas_b_mes5[[#This Row],[IMPORTE NETO]:[EXENTO]])</f>
        <v>3400.0032000000001</v>
      </c>
      <c r="M233" s="59"/>
    </row>
    <row r="234" spans="2:13" x14ac:dyDescent="0.25">
      <c r="B234" s="186">
        <v>45048</v>
      </c>
      <c r="C234" s="41">
        <v>6</v>
      </c>
      <c r="D234" s="188">
        <v>5</v>
      </c>
      <c r="E234" s="189">
        <v>7834</v>
      </c>
      <c r="F234" s="190"/>
      <c r="G234" s="1" t="str">
        <f>IFERROR(IF(ventas_b_mes5[[#This Row],[CUIT]]="","-",VLOOKUP(ventas_b_mes5[[#This Row],[CUIT]],Lista_CUIT[#All],2,0)),"CUIT NO CARGADO")</f>
        <v>-</v>
      </c>
      <c r="H234" s="64">
        <v>1652.89</v>
      </c>
      <c r="I234" s="191">
        <f>ventas_b_mes5[[#This Row],[IMPORTE NETO]]*0.21</f>
        <v>347.1069</v>
      </c>
      <c r="J234" s="192"/>
      <c r="K234" s="192"/>
      <c r="L234" s="192">
        <f>SUM(ventas_b_mes5[[#This Row],[IMPORTE NETO]:[EXENTO]])</f>
        <v>1999.9969000000001</v>
      </c>
      <c r="M234" s="59"/>
    </row>
    <row r="235" spans="2:13" x14ac:dyDescent="0.25">
      <c r="B235" s="186">
        <v>45048</v>
      </c>
      <c r="C235" s="41">
        <v>6</v>
      </c>
      <c r="D235" s="188">
        <v>5</v>
      </c>
      <c r="E235" s="189">
        <v>7831</v>
      </c>
      <c r="F235" s="190"/>
      <c r="G235" s="1" t="str">
        <f>IFERROR(IF(ventas_b_mes5[[#This Row],[CUIT]]="","-",VLOOKUP(ventas_b_mes5[[#This Row],[CUIT]],Lista_CUIT[#All],2,0)),"CUIT NO CARGADO")</f>
        <v>-</v>
      </c>
      <c r="H235" s="64">
        <v>7454.55</v>
      </c>
      <c r="I235" s="191">
        <f>ventas_b_mes5[[#This Row],[IMPORTE NETO]]*0.21</f>
        <v>1565.4555</v>
      </c>
      <c r="J235" s="192"/>
      <c r="K235" s="192"/>
      <c r="L235" s="192">
        <f>SUM(ventas_b_mes5[[#This Row],[IMPORTE NETO]:[EXENTO]])</f>
        <v>9020.0054999999993</v>
      </c>
      <c r="M235" s="59"/>
    </row>
    <row r="236" spans="2:13" x14ac:dyDescent="0.25">
      <c r="B236" s="186">
        <v>45048</v>
      </c>
      <c r="C236" s="41">
        <v>6</v>
      </c>
      <c r="D236" s="188">
        <v>5</v>
      </c>
      <c r="E236" s="189">
        <v>7830</v>
      </c>
      <c r="F236" s="190"/>
      <c r="G236" s="1" t="str">
        <f>IFERROR(IF(ventas_b_mes5[[#This Row],[CUIT]]="","-",VLOOKUP(ventas_b_mes5[[#This Row],[CUIT]],Lista_CUIT[#All],2,0)),"CUIT NO CARGADO")</f>
        <v>-</v>
      </c>
      <c r="H236" s="64">
        <v>9917.36</v>
      </c>
      <c r="I236" s="191">
        <f>ventas_b_mes5[[#This Row],[IMPORTE NETO]]*0.21</f>
        <v>2082.6455999999998</v>
      </c>
      <c r="J236" s="192"/>
      <c r="K236" s="192"/>
      <c r="L236" s="192">
        <f>SUM(ventas_b_mes5[[#This Row],[IMPORTE NETO]:[EXENTO]])</f>
        <v>12000.0056</v>
      </c>
      <c r="M236" s="59"/>
    </row>
    <row r="237" spans="2:13" x14ac:dyDescent="0.25">
      <c r="B237" s="186">
        <v>45048</v>
      </c>
      <c r="C237" s="41">
        <v>6</v>
      </c>
      <c r="D237" s="188">
        <v>5</v>
      </c>
      <c r="E237" s="189">
        <v>7826</v>
      </c>
      <c r="F237" s="190"/>
      <c r="G237" s="1" t="str">
        <f>IFERROR(IF(ventas_b_mes5[[#This Row],[CUIT]]="","-",VLOOKUP(ventas_b_mes5[[#This Row],[CUIT]],Lista_CUIT[#All],2,0)),"CUIT NO CARGADO")</f>
        <v>-</v>
      </c>
      <c r="H237" s="64">
        <v>14876.03</v>
      </c>
      <c r="I237" s="191">
        <f>ventas_b_mes5[[#This Row],[IMPORTE NETO]]*0.21</f>
        <v>3123.9663</v>
      </c>
      <c r="J237" s="192"/>
      <c r="K237" s="192"/>
      <c r="L237" s="192">
        <f>SUM(ventas_b_mes5[[#This Row],[IMPORTE NETO]:[EXENTO]])</f>
        <v>17999.996299999999</v>
      </c>
      <c r="M237" s="59"/>
    </row>
    <row r="238" spans="2:13" x14ac:dyDescent="0.25">
      <c r="B238" s="186">
        <v>45048</v>
      </c>
      <c r="C238" s="41">
        <v>6</v>
      </c>
      <c r="D238" s="188">
        <v>5</v>
      </c>
      <c r="E238" s="189">
        <v>7827</v>
      </c>
      <c r="F238" s="190"/>
      <c r="G238" s="1" t="str">
        <f>IFERROR(IF(ventas_b_mes5[[#This Row],[CUIT]]="","-",VLOOKUP(ventas_b_mes5[[#This Row],[CUIT]],Lista_CUIT[#All],2,0)),"CUIT NO CARGADO")</f>
        <v>-</v>
      </c>
      <c r="H238" s="64">
        <v>1239.67</v>
      </c>
      <c r="I238" s="191">
        <f>ventas_b_mes5[[#This Row],[IMPORTE NETO]]*0.21</f>
        <v>260.33069999999998</v>
      </c>
      <c r="J238" s="192"/>
      <c r="K238" s="192"/>
      <c r="L238" s="192">
        <f>SUM(ventas_b_mes5[[#This Row],[IMPORTE NETO]:[EXENTO]])</f>
        <v>1500.0007000000001</v>
      </c>
      <c r="M238" s="59"/>
    </row>
    <row r="239" spans="2:13" x14ac:dyDescent="0.25">
      <c r="B239" s="186">
        <v>45048</v>
      </c>
      <c r="C239" s="41">
        <v>6</v>
      </c>
      <c r="D239" s="188">
        <v>5</v>
      </c>
      <c r="E239" s="189">
        <v>7832</v>
      </c>
      <c r="F239" s="190"/>
      <c r="G239" s="1" t="str">
        <f>IFERROR(IF(ventas_b_mes5[[#This Row],[CUIT]]="","-",VLOOKUP(ventas_b_mes5[[#This Row],[CUIT]],Lista_CUIT[#All],2,0)),"CUIT NO CARGADO")</f>
        <v>-</v>
      </c>
      <c r="H239" s="64">
        <v>4495.87</v>
      </c>
      <c r="I239" s="191">
        <f>ventas_b_mes5[[#This Row],[IMPORTE NETO]]*0.21</f>
        <v>944.13269999999989</v>
      </c>
      <c r="J239" s="192"/>
      <c r="K239" s="192"/>
      <c r="L239" s="192">
        <f>SUM(ventas_b_mes5[[#This Row],[IMPORTE NETO]:[EXENTO]])</f>
        <v>5440.0027</v>
      </c>
      <c r="M239" s="59"/>
    </row>
    <row r="240" spans="2:13" x14ac:dyDescent="0.25">
      <c r="B240" s="186">
        <v>45049</v>
      </c>
      <c r="C240" s="41">
        <v>6</v>
      </c>
      <c r="D240" s="188">
        <v>5</v>
      </c>
      <c r="E240" s="189">
        <v>7846</v>
      </c>
      <c r="F240" s="190"/>
      <c r="G240" s="1" t="str">
        <f>IFERROR(IF(ventas_b_mes5[[#This Row],[CUIT]]="","-",VLOOKUP(ventas_b_mes5[[#This Row],[CUIT]],Lista_CUIT[#All],2,0)),"CUIT NO CARGADO")</f>
        <v>-</v>
      </c>
      <c r="H240" s="64">
        <v>4132.2299999999996</v>
      </c>
      <c r="I240" s="191">
        <f>ventas_b_mes5[[#This Row],[IMPORTE NETO]]*0.21</f>
        <v>867.76829999999984</v>
      </c>
      <c r="J240" s="192"/>
      <c r="K240" s="192"/>
      <c r="L240" s="192">
        <f>SUM(ventas_b_mes5[[#This Row],[IMPORTE NETO]:[EXENTO]])</f>
        <v>4999.9982999999993</v>
      </c>
      <c r="M240" s="59"/>
    </row>
    <row r="241" spans="2:13" x14ac:dyDescent="0.25">
      <c r="B241" s="186">
        <v>45049</v>
      </c>
      <c r="C241" s="41">
        <v>6</v>
      </c>
      <c r="D241" s="188">
        <v>5</v>
      </c>
      <c r="E241" s="189">
        <v>7839</v>
      </c>
      <c r="F241" s="190"/>
      <c r="G241" s="1" t="str">
        <f>IFERROR(IF(ventas_b_mes5[[#This Row],[CUIT]]="","-",VLOOKUP(ventas_b_mes5[[#This Row],[CUIT]],Lista_CUIT[#All],2,0)),"CUIT NO CARGADO")</f>
        <v>-</v>
      </c>
      <c r="H241" s="64">
        <v>2809.92</v>
      </c>
      <c r="I241" s="191">
        <f>ventas_b_mes5[[#This Row],[IMPORTE NETO]]*0.21</f>
        <v>590.08320000000003</v>
      </c>
      <c r="J241" s="192"/>
      <c r="K241" s="192"/>
      <c r="L241" s="192">
        <f>SUM(ventas_b_mes5[[#This Row],[IMPORTE NETO]:[EXENTO]])</f>
        <v>3400.0032000000001</v>
      </c>
      <c r="M241" s="59"/>
    </row>
    <row r="242" spans="2:13" x14ac:dyDescent="0.25">
      <c r="B242" s="186">
        <v>45049</v>
      </c>
      <c r="C242" s="41">
        <v>6</v>
      </c>
      <c r="D242" s="188">
        <v>5</v>
      </c>
      <c r="E242" s="189">
        <v>7837</v>
      </c>
      <c r="F242" s="190"/>
      <c r="G242" s="1" t="str">
        <f>IFERROR(IF(ventas_b_mes5[[#This Row],[CUIT]]="","-",VLOOKUP(ventas_b_mes5[[#This Row],[CUIT]],Lista_CUIT[#All],2,0)),"CUIT NO CARGADO")</f>
        <v>-</v>
      </c>
      <c r="H242" s="64">
        <v>14049.59</v>
      </c>
      <c r="I242" s="191">
        <f>ventas_b_mes5[[#This Row],[IMPORTE NETO]]*0.21</f>
        <v>2950.4139</v>
      </c>
      <c r="J242" s="192"/>
      <c r="K242" s="192"/>
      <c r="L242" s="192">
        <f>SUM(ventas_b_mes5[[#This Row],[IMPORTE NETO]:[EXENTO]])</f>
        <v>17000.0039</v>
      </c>
      <c r="M242" s="59"/>
    </row>
    <row r="243" spans="2:13" x14ac:dyDescent="0.25">
      <c r="B243" s="186">
        <v>45049</v>
      </c>
      <c r="C243" s="41">
        <v>6</v>
      </c>
      <c r="D243" s="188">
        <v>5</v>
      </c>
      <c r="E243" s="189">
        <v>7844</v>
      </c>
      <c r="F243" s="190"/>
      <c r="G243" s="1" t="str">
        <f>IFERROR(IF(ventas_b_mes5[[#This Row],[CUIT]]="","-",VLOOKUP(ventas_b_mes5[[#This Row],[CUIT]],Lista_CUIT[#All],2,0)),"CUIT NO CARGADO")</f>
        <v>-</v>
      </c>
      <c r="H243" s="64">
        <v>4876.03</v>
      </c>
      <c r="I243" s="191">
        <f>ventas_b_mes5[[#This Row],[IMPORTE NETO]]*0.21</f>
        <v>1023.9662999999999</v>
      </c>
      <c r="J243" s="192"/>
      <c r="K243" s="192"/>
      <c r="L243" s="192">
        <f>SUM(ventas_b_mes5[[#This Row],[IMPORTE NETO]:[EXENTO]])</f>
        <v>5899.9962999999998</v>
      </c>
      <c r="M243" s="59"/>
    </row>
    <row r="244" spans="2:13" x14ac:dyDescent="0.25">
      <c r="B244" s="186">
        <v>45049</v>
      </c>
      <c r="C244" s="41">
        <v>6</v>
      </c>
      <c r="D244" s="188">
        <v>5</v>
      </c>
      <c r="E244" s="189">
        <v>7845</v>
      </c>
      <c r="F244" s="190"/>
      <c r="G244" s="1" t="str">
        <f>IFERROR(IF(ventas_b_mes5[[#This Row],[CUIT]]="","-",VLOOKUP(ventas_b_mes5[[#This Row],[CUIT]],Lista_CUIT[#All],2,0)),"CUIT NO CARGADO")</f>
        <v>-</v>
      </c>
      <c r="H244" s="64">
        <v>2479.34</v>
      </c>
      <c r="I244" s="191">
        <f>ventas_b_mes5[[#This Row],[IMPORTE NETO]]*0.21</f>
        <v>520.66139999999996</v>
      </c>
      <c r="J244" s="192"/>
      <c r="K244" s="192"/>
      <c r="L244" s="192">
        <f>SUM(ventas_b_mes5[[#This Row],[IMPORTE NETO]:[EXENTO]])</f>
        <v>3000.0014000000001</v>
      </c>
      <c r="M244" s="59"/>
    </row>
    <row r="245" spans="2:13" x14ac:dyDescent="0.25">
      <c r="B245" s="186">
        <v>45049</v>
      </c>
      <c r="C245" s="41">
        <v>6</v>
      </c>
      <c r="D245" s="188">
        <v>5</v>
      </c>
      <c r="E245" s="189">
        <v>7836</v>
      </c>
      <c r="F245" s="190"/>
      <c r="G245" s="1" t="str">
        <f>IFERROR(IF(ventas_b_mes5[[#This Row],[CUIT]]="","-",VLOOKUP(ventas_b_mes5[[#This Row],[CUIT]],Lista_CUIT[#All],2,0)),"CUIT NO CARGADO")</f>
        <v>-</v>
      </c>
      <c r="H245" s="64">
        <v>7438.02</v>
      </c>
      <c r="I245" s="191">
        <f>ventas_b_mes5[[#This Row],[IMPORTE NETO]]*0.21</f>
        <v>1561.9842000000001</v>
      </c>
      <c r="J245" s="192"/>
      <c r="K245" s="192"/>
      <c r="L245" s="192">
        <f>SUM(ventas_b_mes5[[#This Row],[IMPORTE NETO]:[EXENTO]])</f>
        <v>9000.0042000000012</v>
      </c>
      <c r="M245" s="59"/>
    </row>
    <row r="246" spans="2:13" x14ac:dyDescent="0.25">
      <c r="B246" s="186">
        <v>45049</v>
      </c>
      <c r="C246" s="41">
        <v>6</v>
      </c>
      <c r="D246" s="188">
        <v>5</v>
      </c>
      <c r="E246" s="189">
        <v>7841</v>
      </c>
      <c r="F246" s="190"/>
      <c r="G246" s="1" t="str">
        <f>IFERROR(IF(ventas_b_mes5[[#This Row],[CUIT]]="","-",VLOOKUP(ventas_b_mes5[[#This Row],[CUIT]],Lista_CUIT[#All],2,0)),"CUIT NO CARGADO")</f>
        <v>-</v>
      </c>
      <c r="H246" s="64">
        <v>19008.27</v>
      </c>
      <c r="I246" s="191">
        <f>ventas_b_mes5[[#This Row],[IMPORTE NETO]]*0.21</f>
        <v>3991.7366999999999</v>
      </c>
      <c r="J246" s="192"/>
      <c r="K246" s="192"/>
      <c r="L246" s="192">
        <f>SUM(ventas_b_mes5[[#This Row],[IMPORTE NETO]:[EXENTO]])</f>
        <v>23000.006700000002</v>
      </c>
      <c r="M246" s="59"/>
    </row>
    <row r="247" spans="2:13" x14ac:dyDescent="0.25">
      <c r="B247" s="186">
        <v>45049</v>
      </c>
      <c r="C247" s="41">
        <v>6</v>
      </c>
      <c r="D247" s="188">
        <v>5</v>
      </c>
      <c r="E247" s="189">
        <v>7842</v>
      </c>
      <c r="F247" s="190"/>
      <c r="G247" s="1" t="str">
        <f>IFERROR(IF(ventas_b_mes5[[#This Row],[CUIT]]="","-",VLOOKUP(ventas_b_mes5[[#This Row],[CUIT]],Lista_CUIT[#All],2,0)),"CUIT NO CARGADO")</f>
        <v>-</v>
      </c>
      <c r="H247" s="64">
        <v>2479.34</v>
      </c>
      <c r="I247" s="191">
        <f>ventas_b_mes5[[#This Row],[IMPORTE NETO]]*0.21</f>
        <v>520.66139999999996</v>
      </c>
      <c r="J247" s="192"/>
      <c r="K247" s="192"/>
      <c r="L247" s="192">
        <f>SUM(ventas_b_mes5[[#This Row],[IMPORTE NETO]:[EXENTO]])</f>
        <v>3000.0014000000001</v>
      </c>
      <c r="M247" s="59"/>
    </row>
    <row r="248" spans="2:13" x14ac:dyDescent="0.25">
      <c r="B248" s="186">
        <v>45049</v>
      </c>
      <c r="C248" s="41">
        <v>6</v>
      </c>
      <c r="D248" s="188">
        <v>5</v>
      </c>
      <c r="E248" s="189">
        <v>7843</v>
      </c>
      <c r="F248" s="190"/>
      <c r="G248" s="1" t="str">
        <f>IFERROR(IF(ventas_b_mes5[[#This Row],[CUIT]]="","-",VLOOKUP(ventas_b_mes5[[#This Row],[CUIT]],Lista_CUIT[#All],2,0)),"CUIT NO CARGADO")</f>
        <v>-</v>
      </c>
      <c r="H248" s="64">
        <v>13057.85</v>
      </c>
      <c r="I248" s="191">
        <f>ventas_b_mes5[[#This Row],[IMPORTE NETO]]*0.21</f>
        <v>2742.1484999999998</v>
      </c>
      <c r="J248" s="192"/>
      <c r="K248" s="192"/>
      <c r="L248" s="192">
        <f>SUM(ventas_b_mes5[[#This Row],[IMPORTE NETO]:[EXENTO]])</f>
        <v>15799.9985</v>
      </c>
      <c r="M248" s="59"/>
    </row>
    <row r="249" spans="2:13" x14ac:dyDescent="0.25">
      <c r="B249" s="186">
        <v>45049</v>
      </c>
      <c r="C249" s="41">
        <v>6</v>
      </c>
      <c r="D249" s="188">
        <v>5</v>
      </c>
      <c r="E249" s="189">
        <v>7838</v>
      </c>
      <c r="F249" s="190"/>
      <c r="G249" s="1" t="str">
        <f>IFERROR(IF(ventas_b_mes5[[#This Row],[CUIT]]="","-",VLOOKUP(ventas_b_mes5[[#This Row],[CUIT]],Lista_CUIT[#All],2,0)),"CUIT NO CARGADO")</f>
        <v>-</v>
      </c>
      <c r="H249" s="64">
        <v>2479.34</v>
      </c>
      <c r="I249" s="191">
        <f>ventas_b_mes5[[#This Row],[IMPORTE NETO]]*0.21</f>
        <v>520.66139999999996</v>
      </c>
      <c r="J249" s="192"/>
      <c r="K249" s="192"/>
      <c r="L249" s="192">
        <f>SUM(ventas_b_mes5[[#This Row],[IMPORTE NETO]:[EXENTO]])</f>
        <v>3000.0014000000001</v>
      </c>
      <c r="M249" s="59"/>
    </row>
    <row r="250" spans="2:13" x14ac:dyDescent="0.25">
      <c r="B250" s="186">
        <v>45049</v>
      </c>
      <c r="C250" s="41">
        <v>6</v>
      </c>
      <c r="D250" s="188">
        <v>5</v>
      </c>
      <c r="E250" s="189">
        <v>7840</v>
      </c>
      <c r="F250" s="190"/>
      <c r="G250" s="1" t="str">
        <f>IFERROR(IF(ventas_b_mes5[[#This Row],[CUIT]]="","-",VLOOKUP(ventas_b_mes5[[#This Row],[CUIT]],Lista_CUIT[#All],2,0)),"CUIT NO CARGADO")</f>
        <v>-</v>
      </c>
      <c r="H250" s="64">
        <v>4132.2299999999996</v>
      </c>
      <c r="I250" s="191">
        <f>ventas_b_mes5[[#This Row],[IMPORTE NETO]]*0.21</f>
        <v>867.76829999999984</v>
      </c>
      <c r="J250" s="192"/>
      <c r="K250" s="192"/>
      <c r="L250" s="192">
        <f>SUM(ventas_b_mes5[[#This Row],[IMPORTE NETO]:[EXENTO]])</f>
        <v>4999.9982999999993</v>
      </c>
      <c r="M250" s="59"/>
    </row>
    <row r="251" spans="2:13" x14ac:dyDescent="0.25">
      <c r="B251" s="186">
        <v>45049</v>
      </c>
      <c r="C251" s="41">
        <v>6</v>
      </c>
      <c r="D251" s="188">
        <v>7</v>
      </c>
      <c r="E251" s="189">
        <v>4312</v>
      </c>
      <c r="F251" s="190"/>
      <c r="G251" s="1" t="str">
        <f>IFERROR(IF(ventas_b_mes5[[#This Row],[CUIT]]="","-",VLOOKUP(ventas_b_mes5[[#This Row],[CUIT]],Lista_CUIT[#All],2,0)),"CUIT NO CARGADO")</f>
        <v>-</v>
      </c>
      <c r="H251" s="64">
        <v>4958.68</v>
      </c>
      <c r="I251" s="191">
        <f>ventas_b_mes5[[#This Row],[IMPORTE NETO]]*0.21</f>
        <v>1041.3227999999999</v>
      </c>
      <c r="J251" s="192"/>
      <c r="K251" s="192"/>
      <c r="L251" s="192">
        <f>SUM(ventas_b_mes5[[#This Row],[IMPORTE NETO]:[EXENTO]])</f>
        <v>6000.0028000000002</v>
      </c>
      <c r="M251" s="59"/>
    </row>
    <row r="252" spans="2:13" x14ac:dyDescent="0.25">
      <c r="B252" s="186">
        <v>45050</v>
      </c>
      <c r="C252" s="41">
        <v>6</v>
      </c>
      <c r="D252" s="188">
        <v>7</v>
      </c>
      <c r="E252" s="189">
        <v>4313</v>
      </c>
      <c r="F252" s="190"/>
      <c r="G252" s="1" t="str">
        <f>IFERROR(IF(ventas_b_mes5[[#This Row],[CUIT]]="","-",VLOOKUP(ventas_b_mes5[[#This Row],[CUIT]],Lista_CUIT[#All],2,0)),"CUIT NO CARGADO")</f>
        <v>-</v>
      </c>
      <c r="H252" s="64">
        <v>12396.7</v>
      </c>
      <c r="I252" s="191">
        <f>ventas_b_mes5[[#This Row],[IMPORTE NETO]]*0.21</f>
        <v>2603.3070000000002</v>
      </c>
      <c r="J252" s="192"/>
      <c r="K252" s="192"/>
      <c r="L252" s="192">
        <f>SUM(ventas_b_mes5[[#This Row],[IMPORTE NETO]:[EXENTO]])</f>
        <v>15000.007000000001</v>
      </c>
      <c r="M252" s="59"/>
    </row>
    <row r="253" spans="2:13" x14ac:dyDescent="0.25">
      <c r="B253" s="186">
        <v>45050</v>
      </c>
      <c r="C253" s="41">
        <v>6</v>
      </c>
      <c r="D253" s="188">
        <v>7</v>
      </c>
      <c r="E253" s="189">
        <v>4315</v>
      </c>
      <c r="F253" s="190"/>
      <c r="G253" s="1" t="str">
        <f>IFERROR(IF(ventas_b_mes5[[#This Row],[CUIT]]="","-",VLOOKUP(ventas_b_mes5[[#This Row],[CUIT]],Lista_CUIT[#All],2,0)),"CUIT NO CARGADO")</f>
        <v>-</v>
      </c>
      <c r="H253" s="64">
        <v>46649.59</v>
      </c>
      <c r="I253" s="191">
        <f>ventas_b_mes5[[#This Row],[IMPORTE NETO]]*0.21</f>
        <v>9796.4138999999996</v>
      </c>
      <c r="J253" s="192"/>
      <c r="K253" s="192"/>
      <c r="L253" s="192">
        <f>SUM(ventas_b_mes5[[#This Row],[IMPORTE NETO]:[EXENTO]])</f>
        <v>56446.003899999996</v>
      </c>
      <c r="M253" s="59"/>
    </row>
    <row r="254" spans="2:13" x14ac:dyDescent="0.25">
      <c r="B254" s="186">
        <v>45050</v>
      </c>
      <c r="C254" s="41">
        <v>6</v>
      </c>
      <c r="D254" s="188">
        <v>5</v>
      </c>
      <c r="E254" s="189">
        <v>7849</v>
      </c>
      <c r="F254" s="190"/>
      <c r="G254" s="1" t="str">
        <f>IFERROR(IF(ventas_b_mes5[[#This Row],[CUIT]]="","-",VLOOKUP(ventas_b_mes5[[#This Row],[CUIT]],Lista_CUIT[#All],2,0)),"CUIT NO CARGADO")</f>
        <v>-</v>
      </c>
      <c r="H254" s="64">
        <v>5619.83</v>
      </c>
      <c r="I254" s="191">
        <f>ventas_b_mes5[[#This Row],[IMPORTE NETO]]*0.21</f>
        <v>1180.1642999999999</v>
      </c>
      <c r="J254" s="192"/>
      <c r="K254" s="192"/>
      <c r="L254" s="192">
        <f>SUM(ventas_b_mes5[[#This Row],[IMPORTE NETO]:[EXENTO]])</f>
        <v>6799.9943000000003</v>
      </c>
      <c r="M254" s="59"/>
    </row>
    <row r="255" spans="2:13" x14ac:dyDescent="0.25">
      <c r="B255" s="186">
        <v>45050</v>
      </c>
      <c r="C255" s="41">
        <v>6</v>
      </c>
      <c r="D255" s="188">
        <v>5</v>
      </c>
      <c r="E255" s="189">
        <v>7848</v>
      </c>
      <c r="F255" s="190"/>
      <c r="G255" s="1" t="str">
        <f>IFERROR(IF(ventas_b_mes5[[#This Row],[CUIT]]="","-",VLOOKUP(ventas_b_mes5[[#This Row],[CUIT]],Lista_CUIT[#All],2,0)),"CUIT NO CARGADO")</f>
        <v>-</v>
      </c>
      <c r="H255" s="64">
        <v>14876.04</v>
      </c>
      <c r="I255" s="191">
        <f>ventas_b_mes5[[#This Row],[IMPORTE NETO]]*0.21</f>
        <v>3123.9684000000002</v>
      </c>
      <c r="J255" s="192"/>
      <c r="K255" s="192"/>
      <c r="L255" s="192">
        <f>SUM(ventas_b_mes5[[#This Row],[IMPORTE NETO]:[EXENTO]])</f>
        <v>18000.008400000002</v>
      </c>
      <c r="M255" s="59"/>
    </row>
    <row r="256" spans="2:13" x14ac:dyDescent="0.25">
      <c r="B256" s="186">
        <v>45050</v>
      </c>
      <c r="C256" s="41">
        <v>6</v>
      </c>
      <c r="D256" s="188">
        <v>7</v>
      </c>
      <c r="E256" s="189">
        <v>4314</v>
      </c>
      <c r="F256" s="190"/>
      <c r="G256" s="1" t="str">
        <f>IFERROR(IF(ventas_b_mes5[[#This Row],[CUIT]]="","-",VLOOKUP(ventas_b_mes5[[#This Row],[CUIT]],Lista_CUIT[#All],2,0)),"CUIT NO CARGADO")</f>
        <v>-</v>
      </c>
      <c r="H256" s="64">
        <v>279217.08</v>
      </c>
      <c r="I256" s="191">
        <f>ventas_b_mes5[[#This Row],[IMPORTE NETO]]*0.21</f>
        <v>58635.586800000005</v>
      </c>
      <c r="J256" s="192"/>
      <c r="K256" s="192"/>
      <c r="L256" s="192">
        <f>SUM(ventas_b_mes5[[#This Row],[IMPORTE NETO]:[EXENTO]])</f>
        <v>337852.66680000001</v>
      </c>
      <c r="M256" s="59"/>
    </row>
    <row r="257" spans="2:13" x14ac:dyDescent="0.25">
      <c r="B257" s="186">
        <v>45050</v>
      </c>
      <c r="C257" s="41">
        <v>6</v>
      </c>
      <c r="D257" s="188">
        <v>7</v>
      </c>
      <c r="E257" s="189">
        <v>4316</v>
      </c>
      <c r="F257" s="190"/>
      <c r="G257" s="1" t="str">
        <f>IFERROR(IF(ventas_b_mes5[[#This Row],[CUIT]]="","-",VLOOKUP(ventas_b_mes5[[#This Row],[CUIT]],Lista_CUIT[#All],2,0)),"CUIT NO CARGADO")</f>
        <v>-</v>
      </c>
      <c r="H257" s="64">
        <v>46649.59</v>
      </c>
      <c r="I257" s="191">
        <f>ventas_b_mes5[[#This Row],[IMPORTE NETO]]*0.21</f>
        <v>9796.4138999999996</v>
      </c>
      <c r="J257" s="192"/>
      <c r="K257" s="192"/>
      <c r="L257" s="192">
        <f>SUM(ventas_b_mes5[[#This Row],[IMPORTE NETO]:[EXENTO]])</f>
        <v>56446.003899999996</v>
      </c>
      <c r="M257" s="59"/>
    </row>
    <row r="258" spans="2:13" x14ac:dyDescent="0.25">
      <c r="B258" s="186">
        <v>45050</v>
      </c>
      <c r="C258" s="41">
        <v>6</v>
      </c>
      <c r="D258" s="188">
        <v>5</v>
      </c>
      <c r="E258" s="189">
        <v>7847</v>
      </c>
      <c r="F258" s="190"/>
      <c r="G258" s="1" t="str">
        <f>IFERROR(IF(ventas_b_mes5[[#This Row],[CUIT]]="","-",VLOOKUP(ventas_b_mes5[[#This Row],[CUIT]],Lista_CUIT[#All],2,0)),"CUIT NO CARGADO")</f>
        <v>-</v>
      </c>
      <c r="H258" s="64">
        <v>3603.31</v>
      </c>
      <c r="I258" s="191">
        <f>ventas_b_mes5[[#This Row],[IMPORTE NETO]]*0.21</f>
        <v>756.69509999999991</v>
      </c>
      <c r="J258" s="192"/>
      <c r="K258" s="192"/>
      <c r="L258" s="192">
        <f>SUM(ventas_b_mes5[[#This Row],[IMPORTE NETO]:[EXENTO]])</f>
        <v>4360.0051000000003</v>
      </c>
      <c r="M258" s="59"/>
    </row>
    <row r="259" spans="2:13" x14ac:dyDescent="0.25">
      <c r="B259" s="186">
        <v>45051</v>
      </c>
      <c r="C259" s="41">
        <v>6</v>
      </c>
      <c r="D259" s="188">
        <v>5</v>
      </c>
      <c r="E259" s="189">
        <v>7855</v>
      </c>
      <c r="F259" s="190"/>
      <c r="G259" s="1" t="str">
        <f>IFERROR(IF(ventas_b_mes5[[#This Row],[CUIT]]="","-",VLOOKUP(ventas_b_mes5[[#This Row],[CUIT]],Lista_CUIT[#All],2,0)),"CUIT NO CARGADO")</f>
        <v>-</v>
      </c>
      <c r="H259" s="64">
        <v>2809.92</v>
      </c>
      <c r="I259" s="191">
        <f>ventas_b_mes5[[#This Row],[IMPORTE NETO]]*0.21</f>
        <v>590.08320000000003</v>
      </c>
      <c r="J259" s="192"/>
      <c r="K259" s="192"/>
      <c r="L259" s="192">
        <f>SUM(ventas_b_mes5[[#This Row],[IMPORTE NETO]:[EXENTO]])</f>
        <v>3400.0032000000001</v>
      </c>
      <c r="M259" s="59"/>
    </row>
    <row r="260" spans="2:13" x14ac:dyDescent="0.25">
      <c r="B260" s="186">
        <v>45051</v>
      </c>
      <c r="C260" s="41">
        <v>6</v>
      </c>
      <c r="D260" s="188">
        <v>5</v>
      </c>
      <c r="E260" s="189">
        <v>7853</v>
      </c>
      <c r="F260" s="190"/>
      <c r="G260" s="1" t="str">
        <f>IFERROR(IF(ventas_b_mes5[[#This Row],[CUIT]]="","-",VLOOKUP(ventas_b_mes5[[#This Row],[CUIT]],Lista_CUIT[#All],2,0)),"CUIT NO CARGADO")</f>
        <v>-</v>
      </c>
      <c r="H260" s="64">
        <v>8677.69</v>
      </c>
      <c r="I260" s="191">
        <f>ventas_b_mes5[[#This Row],[IMPORTE NETO]]*0.21</f>
        <v>1822.3149000000001</v>
      </c>
      <c r="J260" s="192"/>
      <c r="K260" s="192"/>
      <c r="L260" s="192">
        <f>SUM(ventas_b_mes5[[#This Row],[IMPORTE NETO]:[EXENTO]])</f>
        <v>10500.0049</v>
      </c>
      <c r="M260" s="59"/>
    </row>
    <row r="261" spans="2:13" x14ac:dyDescent="0.25">
      <c r="B261" s="186">
        <v>45051</v>
      </c>
      <c r="C261" s="41">
        <v>6</v>
      </c>
      <c r="D261" s="188">
        <v>5</v>
      </c>
      <c r="E261" s="189">
        <v>7857</v>
      </c>
      <c r="F261" s="190"/>
      <c r="G261" s="1" t="str">
        <f>IFERROR(IF(ventas_b_mes5[[#This Row],[CUIT]]="","-",VLOOKUP(ventas_b_mes5[[#This Row],[CUIT]],Lista_CUIT[#All],2,0)),"CUIT NO CARGADO")</f>
        <v>-</v>
      </c>
      <c r="H261" s="64">
        <v>3719.01</v>
      </c>
      <c r="I261" s="191">
        <f>ventas_b_mes5[[#This Row],[IMPORTE NETO]]*0.21</f>
        <v>780.99210000000005</v>
      </c>
      <c r="J261" s="192"/>
      <c r="K261" s="192"/>
      <c r="L261" s="192">
        <f>SUM(ventas_b_mes5[[#This Row],[IMPORTE NETO]:[EXENTO]])</f>
        <v>4500.0021000000006</v>
      </c>
      <c r="M261" s="59"/>
    </row>
    <row r="262" spans="2:13" x14ac:dyDescent="0.25">
      <c r="B262" s="186">
        <v>45051</v>
      </c>
      <c r="C262" s="41">
        <v>6</v>
      </c>
      <c r="D262" s="188">
        <v>5</v>
      </c>
      <c r="E262" s="189">
        <v>7860</v>
      </c>
      <c r="F262" s="190"/>
      <c r="G262" s="1" t="str">
        <f>IFERROR(IF(ventas_b_mes5[[#This Row],[CUIT]]="","-",VLOOKUP(ventas_b_mes5[[#This Row],[CUIT]],Lista_CUIT[#All],2,0)),"CUIT NO CARGADO")</f>
        <v>-</v>
      </c>
      <c r="H262" s="64">
        <v>6942.15</v>
      </c>
      <c r="I262" s="191">
        <f>ventas_b_mes5[[#This Row],[IMPORTE NETO]]*0.21</f>
        <v>1457.8514999999998</v>
      </c>
      <c r="J262" s="192"/>
      <c r="K262" s="192"/>
      <c r="L262" s="192">
        <f>SUM(ventas_b_mes5[[#This Row],[IMPORTE NETO]:[EXENTO]])</f>
        <v>8400.0014999999985</v>
      </c>
      <c r="M262" s="59"/>
    </row>
    <row r="263" spans="2:13" x14ac:dyDescent="0.25">
      <c r="B263" s="186">
        <v>45051</v>
      </c>
      <c r="C263" s="41">
        <v>6</v>
      </c>
      <c r="D263" s="188">
        <v>5</v>
      </c>
      <c r="E263" s="189">
        <v>7851</v>
      </c>
      <c r="F263" s="190"/>
      <c r="G263" s="1" t="str">
        <f>IFERROR(IF(ventas_b_mes5[[#This Row],[CUIT]]="","-",VLOOKUP(ventas_b_mes5[[#This Row],[CUIT]],Lista_CUIT[#All],2,0)),"CUIT NO CARGADO")</f>
        <v>-</v>
      </c>
      <c r="H263" s="64">
        <v>3057.85</v>
      </c>
      <c r="I263" s="191">
        <f>ventas_b_mes5[[#This Row],[IMPORTE NETO]]*0.21</f>
        <v>642.14850000000001</v>
      </c>
      <c r="J263" s="192"/>
      <c r="K263" s="192"/>
      <c r="L263" s="192">
        <f>SUM(ventas_b_mes5[[#This Row],[IMPORTE NETO]:[EXENTO]])</f>
        <v>3699.9984999999997</v>
      </c>
      <c r="M263" s="59"/>
    </row>
    <row r="264" spans="2:13" x14ac:dyDescent="0.25">
      <c r="B264" s="186">
        <v>45051</v>
      </c>
      <c r="C264" s="41">
        <v>6</v>
      </c>
      <c r="D264" s="188">
        <v>5</v>
      </c>
      <c r="E264" s="189">
        <v>7863</v>
      </c>
      <c r="F264" s="190"/>
      <c r="G264" s="1" t="str">
        <f>IFERROR(IF(ventas_b_mes5[[#This Row],[CUIT]]="","-",VLOOKUP(ventas_b_mes5[[#This Row],[CUIT]],Lista_CUIT[#All],2,0)),"CUIT NO CARGADO")</f>
        <v>-</v>
      </c>
      <c r="H264" s="64">
        <v>4876.03</v>
      </c>
      <c r="I264" s="191">
        <f>ventas_b_mes5[[#This Row],[IMPORTE NETO]]*0.21</f>
        <v>1023.9662999999999</v>
      </c>
      <c r="J264" s="192"/>
      <c r="K264" s="192"/>
      <c r="L264" s="192">
        <f>SUM(ventas_b_mes5[[#This Row],[IMPORTE NETO]:[EXENTO]])</f>
        <v>5899.9962999999998</v>
      </c>
      <c r="M264" s="59"/>
    </row>
    <row r="265" spans="2:13" x14ac:dyDescent="0.25">
      <c r="B265" s="186">
        <v>45051</v>
      </c>
      <c r="C265" s="41">
        <v>6</v>
      </c>
      <c r="D265" s="188">
        <v>5</v>
      </c>
      <c r="E265" s="189">
        <v>7850</v>
      </c>
      <c r="F265" s="190"/>
      <c r="G265" s="1" t="str">
        <f>IFERROR(IF(ventas_b_mes5[[#This Row],[CUIT]]="","-",VLOOKUP(ventas_b_mes5[[#This Row],[CUIT]],Lista_CUIT[#All],2,0)),"CUIT NO CARGADO")</f>
        <v>-</v>
      </c>
      <c r="H265" s="64">
        <v>16528.93</v>
      </c>
      <c r="I265" s="191">
        <f>ventas_b_mes5[[#This Row],[IMPORTE NETO]]*0.21</f>
        <v>3471.0753</v>
      </c>
      <c r="J265" s="192"/>
      <c r="K265" s="192"/>
      <c r="L265" s="192">
        <f>SUM(ventas_b_mes5[[#This Row],[IMPORTE NETO]:[EXENTO]])</f>
        <v>20000.005300000001</v>
      </c>
      <c r="M265" s="59"/>
    </row>
    <row r="266" spans="2:13" x14ac:dyDescent="0.25">
      <c r="B266" s="186">
        <v>45051</v>
      </c>
      <c r="C266" s="41">
        <v>6</v>
      </c>
      <c r="D266" s="188">
        <v>5</v>
      </c>
      <c r="E266" s="189">
        <v>7858</v>
      </c>
      <c r="F266" s="190"/>
      <c r="G266" s="1" t="str">
        <f>IFERROR(IF(ventas_b_mes5[[#This Row],[CUIT]]="","-",VLOOKUP(ventas_b_mes5[[#This Row],[CUIT]],Lista_CUIT[#All],2,0)),"CUIT NO CARGADO")</f>
        <v>-</v>
      </c>
      <c r="H266" s="64">
        <v>2892.56</v>
      </c>
      <c r="I266" s="191">
        <f>ventas_b_mes5[[#This Row],[IMPORTE NETO]]*0.21</f>
        <v>607.43759999999997</v>
      </c>
      <c r="J266" s="192"/>
      <c r="K266" s="192"/>
      <c r="L266" s="192">
        <f>SUM(ventas_b_mes5[[#This Row],[IMPORTE NETO]:[EXENTO]])</f>
        <v>3499.9975999999997</v>
      </c>
      <c r="M266" s="59"/>
    </row>
    <row r="267" spans="2:13" x14ac:dyDescent="0.25">
      <c r="B267" s="186">
        <v>45051</v>
      </c>
      <c r="C267" s="41">
        <v>6</v>
      </c>
      <c r="D267" s="188">
        <v>5</v>
      </c>
      <c r="E267" s="189">
        <v>7862</v>
      </c>
      <c r="F267" s="190"/>
      <c r="G267" s="1" t="str">
        <f>IFERROR(IF(ventas_b_mes5[[#This Row],[CUIT]]="","-",VLOOKUP(ventas_b_mes5[[#This Row],[CUIT]],Lista_CUIT[#All],2,0)),"CUIT NO CARGADO")</f>
        <v>-</v>
      </c>
      <c r="H267" s="64">
        <v>6198.35</v>
      </c>
      <c r="I267" s="191">
        <f>ventas_b_mes5[[#This Row],[IMPORTE NETO]]*0.21</f>
        <v>1301.6535000000001</v>
      </c>
      <c r="J267" s="192"/>
      <c r="K267" s="192"/>
      <c r="L267" s="192">
        <f>SUM(ventas_b_mes5[[#This Row],[IMPORTE NETO]:[EXENTO]])</f>
        <v>7500.0035000000007</v>
      </c>
      <c r="M267" s="59"/>
    </row>
    <row r="268" spans="2:13" x14ac:dyDescent="0.25">
      <c r="B268" s="186">
        <v>45051</v>
      </c>
      <c r="C268" s="41">
        <v>6</v>
      </c>
      <c r="D268" s="188">
        <v>5</v>
      </c>
      <c r="E268" s="189">
        <v>7852</v>
      </c>
      <c r="F268" s="190"/>
      <c r="G268" s="1" t="str">
        <f>IFERROR(IF(ventas_b_mes5[[#This Row],[CUIT]]="","-",VLOOKUP(ventas_b_mes5[[#This Row],[CUIT]],Lista_CUIT[#All],2,0)),"CUIT NO CARGADO")</f>
        <v>-</v>
      </c>
      <c r="H268" s="64">
        <v>10330.58</v>
      </c>
      <c r="I268" s="191">
        <f>ventas_b_mes5[[#This Row],[IMPORTE NETO]]*0.21</f>
        <v>2169.4218000000001</v>
      </c>
      <c r="J268" s="192"/>
      <c r="K268" s="192"/>
      <c r="L268" s="192">
        <f>SUM(ventas_b_mes5[[#This Row],[IMPORTE NETO]:[EXENTO]])</f>
        <v>12500.0018</v>
      </c>
      <c r="M268" s="59"/>
    </row>
    <row r="269" spans="2:13" x14ac:dyDescent="0.25">
      <c r="B269" s="186">
        <v>45051</v>
      </c>
      <c r="C269" s="41">
        <v>6</v>
      </c>
      <c r="D269" s="188">
        <v>5</v>
      </c>
      <c r="E269" s="189">
        <v>7854</v>
      </c>
      <c r="F269" s="190"/>
      <c r="G269" s="1" t="str">
        <f>IFERROR(IF(ventas_b_mes5[[#This Row],[CUIT]]="","-",VLOOKUP(ventas_b_mes5[[#This Row],[CUIT]],Lista_CUIT[#All],2,0)),"CUIT NO CARGADO")</f>
        <v>-</v>
      </c>
      <c r="H269" s="64">
        <v>4132.2299999999996</v>
      </c>
      <c r="I269" s="191">
        <f>ventas_b_mes5[[#This Row],[IMPORTE NETO]]*0.21</f>
        <v>867.76829999999984</v>
      </c>
      <c r="J269" s="192"/>
      <c r="K269" s="192"/>
      <c r="L269" s="192">
        <f>SUM(ventas_b_mes5[[#This Row],[IMPORTE NETO]:[EXENTO]])</f>
        <v>4999.9982999999993</v>
      </c>
      <c r="M269" s="59"/>
    </row>
    <row r="270" spans="2:13" x14ac:dyDescent="0.25">
      <c r="B270" s="186">
        <v>45051</v>
      </c>
      <c r="C270" s="41">
        <v>6</v>
      </c>
      <c r="D270" s="188">
        <v>5</v>
      </c>
      <c r="E270" s="189">
        <v>7859</v>
      </c>
      <c r="F270" s="190"/>
      <c r="G270" s="1" t="str">
        <f>IFERROR(IF(ventas_b_mes5[[#This Row],[CUIT]]="","-",VLOOKUP(ventas_b_mes5[[#This Row],[CUIT]],Lista_CUIT[#All],2,0)),"CUIT NO CARGADO")</f>
        <v>-</v>
      </c>
      <c r="H270" s="64">
        <v>15371.9</v>
      </c>
      <c r="I270" s="191">
        <f>ventas_b_mes5[[#This Row],[IMPORTE NETO]]*0.21</f>
        <v>3228.0989999999997</v>
      </c>
      <c r="J270" s="192"/>
      <c r="K270" s="192"/>
      <c r="L270" s="192">
        <f>SUM(ventas_b_mes5[[#This Row],[IMPORTE NETO]:[EXENTO]])</f>
        <v>18599.999</v>
      </c>
      <c r="M270" s="59"/>
    </row>
    <row r="271" spans="2:13" x14ac:dyDescent="0.25">
      <c r="B271" s="186">
        <v>45051</v>
      </c>
      <c r="C271" s="41">
        <v>6</v>
      </c>
      <c r="D271" s="188">
        <v>5</v>
      </c>
      <c r="E271" s="189">
        <v>7856</v>
      </c>
      <c r="F271" s="190"/>
      <c r="G271" s="1" t="str">
        <f>IFERROR(IF(ventas_b_mes5[[#This Row],[CUIT]]="","-",VLOOKUP(ventas_b_mes5[[#This Row],[CUIT]],Lista_CUIT[#All],2,0)),"CUIT NO CARGADO")</f>
        <v>-</v>
      </c>
      <c r="H271" s="64">
        <v>5785.12</v>
      </c>
      <c r="I271" s="191">
        <f>ventas_b_mes5[[#This Row],[IMPORTE NETO]]*0.21</f>
        <v>1214.8751999999999</v>
      </c>
      <c r="J271" s="192"/>
      <c r="K271" s="192"/>
      <c r="L271" s="192">
        <f>SUM(ventas_b_mes5[[#This Row],[IMPORTE NETO]:[EXENTO]])</f>
        <v>6999.9951999999994</v>
      </c>
      <c r="M271" s="59"/>
    </row>
    <row r="272" spans="2:13" x14ac:dyDescent="0.25">
      <c r="B272" s="186">
        <v>45051</v>
      </c>
      <c r="C272" s="41">
        <v>6</v>
      </c>
      <c r="D272" s="188">
        <v>5</v>
      </c>
      <c r="E272" s="189">
        <v>7861</v>
      </c>
      <c r="F272" s="190"/>
      <c r="G272" s="1" t="str">
        <f>IFERROR(IF(ventas_b_mes5[[#This Row],[CUIT]]="","-",VLOOKUP(ventas_b_mes5[[#This Row],[CUIT]],Lista_CUIT[#All],2,0)),"CUIT NO CARGADO")</f>
        <v>-</v>
      </c>
      <c r="H272" s="64">
        <v>4545.45</v>
      </c>
      <c r="I272" s="191">
        <f>ventas_b_mes5[[#This Row],[IMPORTE NETO]]*0.21</f>
        <v>954.54449999999997</v>
      </c>
      <c r="J272" s="192"/>
      <c r="K272" s="192"/>
      <c r="L272" s="192">
        <f>SUM(ventas_b_mes5[[#This Row],[IMPORTE NETO]:[EXENTO]])</f>
        <v>5499.9944999999998</v>
      </c>
      <c r="M272" s="59"/>
    </row>
    <row r="273" spans="2:13" x14ac:dyDescent="0.25">
      <c r="B273" s="186">
        <v>45054</v>
      </c>
      <c r="C273" s="41">
        <v>6</v>
      </c>
      <c r="D273" s="188">
        <v>5</v>
      </c>
      <c r="E273" s="189">
        <v>7867</v>
      </c>
      <c r="F273" s="190"/>
      <c r="G273" s="1" t="str">
        <f>IFERROR(IF(ventas_b_mes5[[#This Row],[CUIT]]="","-",VLOOKUP(ventas_b_mes5[[#This Row],[CUIT]],Lista_CUIT[#All],2,0)),"CUIT NO CARGADO")</f>
        <v>-</v>
      </c>
      <c r="H273" s="64">
        <v>2809.92</v>
      </c>
      <c r="I273" s="191">
        <f>ventas_b_mes5[[#This Row],[IMPORTE NETO]]*0.21</f>
        <v>590.08320000000003</v>
      </c>
      <c r="J273" s="192"/>
      <c r="K273" s="192"/>
      <c r="L273" s="192">
        <f>SUM(ventas_b_mes5[[#This Row],[IMPORTE NETO]:[EXENTO]])</f>
        <v>3400.0032000000001</v>
      </c>
      <c r="M273" s="59"/>
    </row>
    <row r="274" spans="2:13" x14ac:dyDescent="0.25">
      <c r="B274" s="186">
        <v>45054</v>
      </c>
      <c r="C274" s="41">
        <v>6</v>
      </c>
      <c r="D274" s="188">
        <v>5</v>
      </c>
      <c r="E274" s="189">
        <v>7869</v>
      </c>
      <c r="F274" s="190"/>
      <c r="G274" s="1" t="str">
        <f>IFERROR(IF(ventas_b_mes5[[#This Row],[CUIT]]="","-",VLOOKUP(ventas_b_mes5[[#This Row],[CUIT]],Lista_CUIT[#All],2,0)),"CUIT NO CARGADO")</f>
        <v>-</v>
      </c>
      <c r="H274" s="64">
        <v>3099.17</v>
      </c>
      <c r="I274" s="191">
        <f>ventas_b_mes5[[#This Row],[IMPORTE NETO]]*0.21</f>
        <v>650.82569999999998</v>
      </c>
      <c r="J274" s="192"/>
      <c r="K274" s="192"/>
      <c r="L274" s="192">
        <f>SUM(ventas_b_mes5[[#This Row],[IMPORTE NETO]:[EXENTO]])</f>
        <v>3749.9956999999999</v>
      </c>
      <c r="M274" s="59"/>
    </row>
    <row r="275" spans="2:13" x14ac:dyDescent="0.25">
      <c r="B275" s="186">
        <v>45054</v>
      </c>
      <c r="C275" s="41">
        <v>6</v>
      </c>
      <c r="D275" s="188">
        <v>7</v>
      </c>
      <c r="E275" s="189">
        <v>4321</v>
      </c>
      <c r="F275" s="190"/>
      <c r="G275" s="1" t="str">
        <f>IFERROR(IF(ventas_b_mes5[[#This Row],[CUIT]]="","-",VLOOKUP(ventas_b_mes5[[#This Row],[CUIT]],Lista_CUIT[#All],2,0)),"CUIT NO CARGADO")</f>
        <v>-</v>
      </c>
      <c r="H275" s="64">
        <v>3719.01</v>
      </c>
      <c r="I275" s="191">
        <f>ventas_b_mes5[[#This Row],[IMPORTE NETO]]*0.21</f>
        <v>780.99210000000005</v>
      </c>
      <c r="J275" s="192"/>
      <c r="K275" s="192"/>
      <c r="L275" s="192">
        <f>SUM(ventas_b_mes5[[#This Row],[IMPORTE NETO]:[EXENTO]])</f>
        <v>4500.0021000000006</v>
      </c>
      <c r="M275" s="59"/>
    </row>
    <row r="276" spans="2:13" x14ac:dyDescent="0.25">
      <c r="B276" s="186">
        <v>45054</v>
      </c>
      <c r="C276" s="41">
        <v>6</v>
      </c>
      <c r="D276" s="188">
        <v>5</v>
      </c>
      <c r="E276" s="189">
        <v>7872</v>
      </c>
      <c r="F276" s="190"/>
      <c r="G276" s="1" t="str">
        <f>IFERROR(IF(ventas_b_mes5[[#This Row],[CUIT]]="","-",VLOOKUP(ventas_b_mes5[[#This Row],[CUIT]],Lista_CUIT[#All],2,0)),"CUIT NO CARGADO")</f>
        <v>-</v>
      </c>
      <c r="H276" s="64">
        <v>1652.89</v>
      </c>
      <c r="I276" s="191">
        <f>ventas_b_mes5[[#This Row],[IMPORTE NETO]]*0.21</f>
        <v>347.1069</v>
      </c>
      <c r="J276" s="192"/>
      <c r="K276" s="192"/>
      <c r="L276" s="192">
        <f>SUM(ventas_b_mes5[[#This Row],[IMPORTE NETO]:[EXENTO]])</f>
        <v>1999.9969000000001</v>
      </c>
      <c r="M276" s="59"/>
    </row>
    <row r="277" spans="2:13" x14ac:dyDescent="0.25">
      <c r="B277" s="186">
        <v>45054</v>
      </c>
      <c r="C277" s="41">
        <v>6</v>
      </c>
      <c r="D277" s="188">
        <v>7</v>
      </c>
      <c r="E277" s="189">
        <v>4326</v>
      </c>
      <c r="F277" s="190"/>
      <c r="G277" s="1" t="str">
        <f>IFERROR(IF(ventas_b_mes5[[#This Row],[CUIT]]="","-",VLOOKUP(ventas_b_mes5[[#This Row],[CUIT]],Lista_CUIT[#All],2,0)),"CUIT NO CARGADO")</f>
        <v>-</v>
      </c>
      <c r="H277" s="64">
        <v>4132.2299999999996</v>
      </c>
      <c r="I277" s="191">
        <f>ventas_b_mes5[[#This Row],[IMPORTE NETO]]*0.21</f>
        <v>867.76829999999984</v>
      </c>
      <c r="J277" s="192"/>
      <c r="K277" s="192"/>
      <c r="L277" s="192">
        <f>SUM(ventas_b_mes5[[#This Row],[IMPORTE NETO]:[EXENTO]])</f>
        <v>4999.9982999999993</v>
      </c>
      <c r="M277" s="59"/>
    </row>
    <row r="278" spans="2:13" x14ac:dyDescent="0.25">
      <c r="B278" s="186">
        <v>45054</v>
      </c>
      <c r="C278" s="41">
        <v>6</v>
      </c>
      <c r="D278" s="188">
        <v>5</v>
      </c>
      <c r="E278" s="189">
        <v>7868</v>
      </c>
      <c r="F278" s="190"/>
      <c r="G278" s="1" t="str">
        <f>IFERROR(IF(ventas_b_mes5[[#This Row],[CUIT]]="","-",VLOOKUP(ventas_b_mes5[[#This Row],[CUIT]],Lista_CUIT[#All],2,0)),"CUIT NO CARGADO")</f>
        <v>-</v>
      </c>
      <c r="H278" s="64">
        <v>3099.17</v>
      </c>
      <c r="I278" s="191">
        <f>ventas_b_mes5[[#This Row],[IMPORTE NETO]]*0.21</f>
        <v>650.82569999999998</v>
      </c>
      <c r="J278" s="192"/>
      <c r="K278" s="192"/>
      <c r="L278" s="192">
        <f>SUM(ventas_b_mes5[[#This Row],[IMPORTE NETO]:[EXENTO]])</f>
        <v>3749.9956999999999</v>
      </c>
      <c r="M278" s="59"/>
    </row>
    <row r="279" spans="2:13" x14ac:dyDescent="0.25">
      <c r="B279" s="186">
        <v>45054</v>
      </c>
      <c r="C279" s="41">
        <v>6</v>
      </c>
      <c r="D279" s="188">
        <v>5</v>
      </c>
      <c r="E279" s="189">
        <v>7864</v>
      </c>
      <c r="F279" s="190"/>
      <c r="G279" s="1" t="str">
        <f>IFERROR(IF(ventas_b_mes5[[#This Row],[CUIT]]="","-",VLOOKUP(ventas_b_mes5[[#This Row],[CUIT]],Lista_CUIT[#All],2,0)),"CUIT NO CARGADO")</f>
        <v>-</v>
      </c>
      <c r="H279" s="64">
        <v>1735.54</v>
      </c>
      <c r="I279" s="191">
        <f>ventas_b_mes5[[#This Row],[IMPORTE NETO]]*0.21</f>
        <v>364.46339999999998</v>
      </c>
      <c r="J279" s="192"/>
      <c r="K279" s="192"/>
      <c r="L279" s="192">
        <f>SUM(ventas_b_mes5[[#This Row],[IMPORTE NETO]:[EXENTO]])</f>
        <v>2100.0034000000001</v>
      </c>
      <c r="M279" s="59"/>
    </row>
    <row r="280" spans="2:13" x14ac:dyDescent="0.25">
      <c r="B280" s="186">
        <v>45054</v>
      </c>
      <c r="C280" s="41">
        <v>6</v>
      </c>
      <c r="D280" s="188">
        <v>5</v>
      </c>
      <c r="E280" s="189">
        <v>7875</v>
      </c>
      <c r="F280" s="190"/>
      <c r="G280" s="1" t="str">
        <f>IFERROR(IF(ventas_b_mes5[[#This Row],[CUIT]]="","-",VLOOKUP(ventas_b_mes5[[#This Row],[CUIT]],Lista_CUIT[#All],2,0)),"CUIT NO CARGADO")</f>
        <v>-</v>
      </c>
      <c r="H280" s="64">
        <v>2884.3</v>
      </c>
      <c r="I280" s="191">
        <f>ventas_b_mes5[[#This Row],[IMPORTE NETO]]*0.21</f>
        <v>605.70299999999997</v>
      </c>
      <c r="J280" s="192"/>
      <c r="K280" s="192"/>
      <c r="L280" s="192">
        <f>SUM(ventas_b_mes5[[#This Row],[IMPORTE NETO]:[EXENTO]])</f>
        <v>3490.0030000000002</v>
      </c>
      <c r="M280" s="59"/>
    </row>
    <row r="281" spans="2:13" x14ac:dyDescent="0.25">
      <c r="B281" s="186">
        <v>45054</v>
      </c>
      <c r="C281" s="41">
        <v>6</v>
      </c>
      <c r="D281" s="188">
        <v>7</v>
      </c>
      <c r="E281" s="189">
        <v>4322</v>
      </c>
      <c r="F281" s="190"/>
      <c r="G281" s="1" t="str">
        <f>IFERROR(IF(ventas_b_mes5[[#This Row],[CUIT]]="","-",VLOOKUP(ventas_b_mes5[[#This Row],[CUIT]],Lista_CUIT[#All],2,0)),"CUIT NO CARGADO")</f>
        <v>-</v>
      </c>
      <c r="H281" s="64">
        <v>3719.01</v>
      </c>
      <c r="I281" s="191">
        <f>ventas_b_mes5[[#This Row],[IMPORTE NETO]]*0.21</f>
        <v>780.99210000000005</v>
      </c>
      <c r="J281" s="192"/>
      <c r="K281" s="192"/>
      <c r="L281" s="192">
        <f>SUM(ventas_b_mes5[[#This Row],[IMPORTE NETO]:[EXENTO]])</f>
        <v>4500.0021000000006</v>
      </c>
      <c r="M281" s="59"/>
    </row>
    <row r="282" spans="2:13" x14ac:dyDescent="0.25">
      <c r="B282" s="186">
        <v>45054</v>
      </c>
      <c r="C282" s="41">
        <v>6</v>
      </c>
      <c r="D282" s="188">
        <v>5</v>
      </c>
      <c r="E282" s="189">
        <v>7874</v>
      </c>
      <c r="F282" s="190"/>
      <c r="G282" s="1" t="str">
        <f>IFERROR(IF(ventas_b_mes5[[#This Row],[CUIT]]="","-",VLOOKUP(ventas_b_mes5[[#This Row],[CUIT]],Lista_CUIT[#All],2,0)),"CUIT NO CARGADO")</f>
        <v>-</v>
      </c>
      <c r="H282" s="64">
        <v>2396.69</v>
      </c>
      <c r="I282" s="191">
        <f>ventas_b_mes5[[#This Row],[IMPORTE NETO]]*0.21</f>
        <v>503.30489999999998</v>
      </c>
      <c r="J282" s="192"/>
      <c r="K282" s="192"/>
      <c r="L282" s="192">
        <f>SUM(ventas_b_mes5[[#This Row],[IMPORTE NETO]:[EXENTO]])</f>
        <v>2899.9949000000001</v>
      </c>
      <c r="M282" s="59"/>
    </row>
    <row r="283" spans="2:13" x14ac:dyDescent="0.25">
      <c r="B283" s="186">
        <v>45054</v>
      </c>
      <c r="C283" s="41">
        <v>6</v>
      </c>
      <c r="D283" s="188">
        <v>7</v>
      </c>
      <c r="E283" s="189">
        <v>4318</v>
      </c>
      <c r="F283" s="190"/>
      <c r="G283" s="1" t="str">
        <f>IFERROR(IF(ventas_b_mes5[[#This Row],[CUIT]]="","-",VLOOKUP(ventas_b_mes5[[#This Row],[CUIT]],Lista_CUIT[#All],2,0)),"CUIT NO CARGADO")</f>
        <v>-</v>
      </c>
      <c r="H283" s="64">
        <v>7438.02</v>
      </c>
      <c r="I283" s="191">
        <f>ventas_b_mes5[[#This Row],[IMPORTE NETO]]*0.21</f>
        <v>1561.9842000000001</v>
      </c>
      <c r="J283" s="192"/>
      <c r="K283" s="192"/>
      <c r="L283" s="192">
        <f>SUM(ventas_b_mes5[[#This Row],[IMPORTE NETO]:[EXENTO]])</f>
        <v>9000.0042000000012</v>
      </c>
      <c r="M283" s="59"/>
    </row>
    <row r="284" spans="2:13" x14ac:dyDescent="0.25">
      <c r="B284" s="186">
        <v>45054</v>
      </c>
      <c r="C284" s="41">
        <v>6</v>
      </c>
      <c r="D284" s="188">
        <v>7</v>
      </c>
      <c r="E284" s="189">
        <v>4327</v>
      </c>
      <c r="F284" s="190"/>
      <c r="G284" s="1" t="str">
        <f>IFERROR(IF(ventas_b_mes5[[#This Row],[CUIT]]="","-",VLOOKUP(ventas_b_mes5[[#This Row],[CUIT]],Lista_CUIT[#All],2,0)),"CUIT NO CARGADO")</f>
        <v>-</v>
      </c>
      <c r="H284" s="64">
        <v>7438.02</v>
      </c>
      <c r="I284" s="191">
        <f>ventas_b_mes5[[#This Row],[IMPORTE NETO]]*0.21</f>
        <v>1561.9842000000001</v>
      </c>
      <c r="J284" s="192"/>
      <c r="K284" s="192"/>
      <c r="L284" s="192">
        <f>SUM(ventas_b_mes5[[#This Row],[IMPORTE NETO]:[EXENTO]])</f>
        <v>9000.0042000000012</v>
      </c>
      <c r="M284" s="59"/>
    </row>
    <row r="285" spans="2:13" x14ac:dyDescent="0.25">
      <c r="B285" s="186">
        <v>45054</v>
      </c>
      <c r="C285" s="41">
        <v>6</v>
      </c>
      <c r="D285" s="188">
        <v>5</v>
      </c>
      <c r="E285" s="189">
        <v>7873</v>
      </c>
      <c r="F285" s="190"/>
      <c r="G285" s="1" t="str">
        <f>IFERROR(IF(ventas_b_mes5[[#This Row],[CUIT]]="","-",VLOOKUP(ventas_b_mes5[[#This Row],[CUIT]],Lista_CUIT[#All],2,0)),"CUIT NO CARGADO")</f>
        <v>-</v>
      </c>
      <c r="H285" s="64">
        <v>5454.55</v>
      </c>
      <c r="I285" s="191">
        <f>ventas_b_mes5[[#This Row],[IMPORTE NETO]]*0.21</f>
        <v>1145.4555</v>
      </c>
      <c r="J285" s="192"/>
      <c r="K285" s="192"/>
      <c r="L285" s="192">
        <f>SUM(ventas_b_mes5[[#This Row],[IMPORTE NETO]:[EXENTO]])</f>
        <v>6600.0055000000002</v>
      </c>
      <c r="M285" s="59"/>
    </row>
    <row r="286" spans="2:13" x14ac:dyDescent="0.25">
      <c r="B286" s="186">
        <v>45054</v>
      </c>
      <c r="C286" s="41">
        <v>6</v>
      </c>
      <c r="D286" s="188">
        <v>7</v>
      </c>
      <c r="E286" s="189">
        <v>4319</v>
      </c>
      <c r="F286" s="190"/>
      <c r="G286" s="1" t="str">
        <f>IFERROR(IF(ventas_b_mes5[[#This Row],[CUIT]]="","-",VLOOKUP(ventas_b_mes5[[#This Row],[CUIT]],Lista_CUIT[#All],2,0)),"CUIT NO CARGADO")</f>
        <v>-</v>
      </c>
      <c r="H286" s="64">
        <v>9917.35</v>
      </c>
      <c r="I286" s="191">
        <f>ventas_b_mes5[[#This Row],[IMPORTE NETO]]*0.21</f>
        <v>2082.6435000000001</v>
      </c>
      <c r="J286" s="192"/>
      <c r="K286" s="192"/>
      <c r="L286" s="192">
        <f>SUM(ventas_b_mes5[[#This Row],[IMPORTE NETO]:[EXENTO]])</f>
        <v>11999.9935</v>
      </c>
      <c r="M286" s="59"/>
    </row>
    <row r="287" spans="2:13" x14ac:dyDescent="0.25">
      <c r="B287" s="186">
        <v>45054</v>
      </c>
      <c r="C287" s="41">
        <v>6</v>
      </c>
      <c r="D287" s="188">
        <v>7</v>
      </c>
      <c r="E287" s="189">
        <v>4320</v>
      </c>
      <c r="F287" s="190"/>
      <c r="G287" s="1" t="str">
        <f>IFERROR(IF(ventas_b_mes5[[#This Row],[CUIT]]="","-",VLOOKUP(ventas_b_mes5[[#This Row],[CUIT]],Lista_CUIT[#All],2,0)),"CUIT NO CARGADO")</f>
        <v>-</v>
      </c>
      <c r="H287" s="64">
        <v>4958.68</v>
      </c>
      <c r="I287" s="191">
        <f>ventas_b_mes5[[#This Row],[IMPORTE NETO]]*0.21</f>
        <v>1041.3227999999999</v>
      </c>
      <c r="J287" s="192"/>
      <c r="K287" s="192"/>
      <c r="L287" s="192">
        <f>SUM(ventas_b_mes5[[#This Row],[IMPORTE NETO]:[EXENTO]])</f>
        <v>6000.0028000000002</v>
      </c>
      <c r="M287" s="59"/>
    </row>
    <row r="288" spans="2:13" x14ac:dyDescent="0.25">
      <c r="B288" s="186">
        <v>45054</v>
      </c>
      <c r="C288" s="41">
        <v>6</v>
      </c>
      <c r="D288" s="188">
        <v>5</v>
      </c>
      <c r="E288" s="189">
        <v>7876</v>
      </c>
      <c r="F288" s="190"/>
      <c r="G288" s="1" t="str">
        <f>IFERROR(IF(ventas_b_mes5[[#This Row],[CUIT]]="","-",VLOOKUP(ventas_b_mes5[[#This Row],[CUIT]],Lista_CUIT[#All],2,0)),"CUIT NO CARGADO")</f>
        <v>-</v>
      </c>
      <c r="H288" s="64">
        <v>9917.36</v>
      </c>
      <c r="I288" s="191">
        <f>ventas_b_mes5[[#This Row],[IMPORTE NETO]]*0.21</f>
        <v>2082.6455999999998</v>
      </c>
      <c r="J288" s="192"/>
      <c r="K288" s="192"/>
      <c r="L288" s="192">
        <f>SUM(ventas_b_mes5[[#This Row],[IMPORTE NETO]:[EXENTO]])</f>
        <v>12000.0056</v>
      </c>
      <c r="M288" s="59"/>
    </row>
    <row r="289" spans="2:13" x14ac:dyDescent="0.25">
      <c r="B289" s="186">
        <v>45054</v>
      </c>
      <c r="C289" s="41">
        <v>6</v>
      </c>
      <c r="D289" s="188">
        <v>7</v>
      </c>
      <c r="E289" s="189">
        <v>4328</v>
      </c>
      <c r="F289" s="190"/>
      <c r="G289" s="1" t="str">
        <f>IFERROR(IF(ventas_b_mes5[[#This Row],[CUIT]]="","-",VLOOKUP(ventas_b_mes5[[#This Row],[CUIT]],Lista_CUIT[#All],2,0)),"CUIT NO CARGADO")</f>
        <v>-</v>
      </c>
      <c r="H289" s="64">
        <v>7438.02</v>
      </c>
      <c r="I289" s="191">
        <f>ventas_b_mes5[[#This Row],[IMPORTE NETO]]*0.21</f>
        <v>1561.9842000000001</v>
      </c>
      <c r="J289" s="192"/>
      <c r="K289" s="192"/>
      <c r="L289" s="192">
        <f>SUM(ventas_b_mes5[[#This Row],[IMPORTE NETO]:[EXENTO]])</f>
        <v>9000.0042000000012</v>
      </c>
      <c r="M289" s="59"/>
    </row>
    <row r="290" spans="2:13" x14ac:dyDescent="0.25">
      <c r="B290" s="186">
        <v>45054</v>
      </c>
      <c r="C290" s="41">
        <v>6</v>
      </c>
      <c r="D290" s="188">
        <v>7</v>
      </c>
      <c r="E290" s="189">
        <v>4317</v>
      </c>
      <c r="F290" s="190"/>
      <c r="G290" s="1" t="str">
        <f>IFERROR(IF(ventas_b_mes5[[#This Row],[CUIT]]="","-",VLOOKUP(ventas_b_mes5[[#This Row],[CUIT]],Lista_CUIT[#All],2,0)),"CUIT NO CARGADO")</f>
        <v>-</v>
      </c>
      <c r="H290" s="64">
        <v>7438.02</v>
      </c>
      <c r="I290" s="191">
        <f>ventas_b_mes5[[#This Row],[IMPORTE NETO]]*0.21</f>
        <v>1561.9842000000001</v>
      </c>
      <c r="J290" s="192"/>
      <c r="K290" s="192"/>
      <c r="L290" s="192">
        <f>SUM(ventas_b_mes5[[#This Row],[IMPORTE NETO]:[EXENTO]])</f>
        <v>9000.0042000000012</v>
      </c>
      <c r="M290" s="59"/>
    </row>
    <row r="291" spans="2:13" x14ac:dyDescent="0.25">
      <c r="B291" s="186">
        <v>45054</v>
      </c>
      <c r="C291" s="41">
        <v>6</v>
      </c>
      <c r="D291" s="188">
        <v>7</v>
      </c>
      <c r="E291" s="189">
        <v>4324</v>
      </c>
      <c r="F291" s="190"/>
      <c r="G291" s="1" t="str">
        <f>IFERROR(IF(ventas_b_mes5[[#This Row],[CUIT]]="","-",VLOOKUP(ventas_b_mes5[[#This Row],[CUIT]],Lista_CUIT[#All],2,0)),"CUIT NO CARGADO")</f>
        <v>-</v>
      </c>
      <c r="H291" s="64">
        <v>3719.01</v>
      </c>
      <c r="I291" s="191">
        <f>ventas_b_mes5[[#This Row],[IMPORTE NETO]]*0.21</f>
        <v>780.99210000000005</v>
      </c>
      <c r="J291" s="192"/>
      <c r="K291" s="192"/>
      <c r="L291" s="192">
        <f>SUM(ventas_b_mes5[[#This Row],[IMPORTE NETO]:[EXENTO]])</f>
        <v>4500.0021000000006</v>
      </c>
      <c r="M291" s="59"/>
    </row>
    <row r="292" spans="2:13" x14ac:dyDescent="0.25">
      <c r="B292" s="186">
        <v>45054</v>
      </c>
      <c r="C292" s="41">
        <v>6</v>
      </c>
      <c r="D292" s="188">
        <v>5</v>
      </c>
      <c r="E292" s="189">
        <v>7870</v>
      </c>
      <c r="F292" s="190"/>
      <c r="G292" s="1" t="str">
        <f>IFERROR(IF(ventas_b_mes5[[#This Row],[CUIT]]="","-",VLOOKUP(ventas_b_mes5[[#This Row],[CUIT]],Lista_CUIT[#All],2,0)),"CUIT NO CARGADO")</f>
        <v>-</v>
      </c>
      <c r="H292" s="64">
        <v>2644.63</v>
      </c>
      <c r="I292" s="191">
        <f>ventas_b_mes5[[#This Row],[IMPORTE NETO]]*0.21</f>
        <v>555.3723</v>
      </c>
      <c r="J292" s="192"/>
      <c r="K292" s="192"/>
      <c r="L292" s="192">
        <f>SUM(ventas_b_mes5[[#This Row],[IMPORTE NETO]:[EXENTO]])</f>
        <v>3200.0023000000001</v>
      </c>
      <c r="M292" s="59"/>
    </row>
    <row r="293" spans="2:13" x14ac:dyDescent="0.25">
      <c r="B293" s="186">
        <v>45054</v>
      </c>
      <c r="C293" s="41">
        <v>6</v>
      </c>
      <c r="D293" s="188">
        <v>5</v>
      </c>
      <c r="E293" s="189">
        <v>7865</v>
      </c>
      <c r="F293" s="190"/>
      <c r="G293" s="1" t="str">
        <f>IFERROR(IF(ventas_b_mes5[[#This Row],[CUIT]]="","-",VLOOKUP(ventas_b_mes5[[#This Row],[CUIT]],Lista_CUIT[#All],2,0)),"CUIT NO CARGADO")</f>
        <v>-</v>
      </c>
      <c r="H293" s="64">
        <v>9917.36</v>
      </c>
      <c r="I293" s="191">
        <f>ventas_b_mes5[[#This Row],[IMPORTE NETO]]*0.21</f>
        <v>2082.6455999999998</v>
      </c>
      <c r="J293" s="192"/>
      <c r="K293" s="192"/>
      <c r="L293" s="192">
        <f>SUM(ventas_b_mes5[[#This Row],[IMPORTE NETO]:[EXENTO]])</f>
        <v>12000.0056</v>
      </c>
      <c r="M293" s="59"/>
    </row>
    <row r="294" spans="2:13" x14ac:dyDescent="0.25">
      <c r="B294" s="186">
        <v>45054</v>
      </c>
      <c r="C294" s="41">
        <v>6</v>
      </c>
      <c r="D294" s="188">
        <v>5</v>
      </c>
      <c r="E294" s="189">
        <v>7871</v>
      </c>
      <c r="F294" s="190"/>
      <c r="G294" s="1" t="str">
        <f>IFERROR(IF(ventas_b_mes5[[#This Row],[CUIT]]="","-",VLOOKUP(ventas_b_mes5[[#This Row],[CUIT]],Lista_CUIT[#All],2,0)),"CUIT NO CARGADO")</f>
        <v>-</v>
      </c>
      <c r="H294" s="64">
        <v>6198.35</v>
      </c>
      <c r="I294" s="191">
        <f>ventas_b_mes5[[#This Row],[IMPORTE NETO]]*0.21</f>
        <v>1301.6535000000001</v>
      </c>
      <c r="J294" s="192"/>
      <c r="K294" s="192"/>
      <c r="L294" s="192">
        <f>SUM(ventas_b_mes5[[#This Row],[IMPORTE NETO]:[EXENTO]])</f>
        <v>7500.0035000000007</v>
      </c>
      <c r="M294" s="59"/>
    </row>
    <row r="295" spans="2:13" x14ac:dyDescent="0.25">
      <c r="B295" s="186">
        <v>45054</v>
      </c>
      <c r="C295" s="41">
        <v>6</v>
      </c>
      <c r="D295" s="188">
        <v>7</v>
      </c>
      <c r="E295" s="189">
        <v>4325</v>
      </c>
      <c r="F295" s="190"/>
      <c r="G295" s="1" t="str">
        <f>IFERROR(IF(ventas_b_mes5[[#This Row],[CUIT]]="","-",VLOOKUP(ventas_b_mes5[[#This Row],[CUIT]],Lista_CUIT[#All],2,0)),"CUIT NO CARGADO")</f>
        <v>-</v>
      </c>
      <c r="H295" s="64">
        <v>8925.6200000000008</v>
      </c>
      <c r="I295" s="191">
        <f>ventas_b_mes5[[#This Row],[IMPORTE NETO]]*0.21</f>
        <v>1874.3802000000001</v>
      </c>
      <c r="J295" s="192"/>
      <c r="K295" s="192"/>
      <c r="L295" s="192">
        <f>SUM(ventas_b_mes5[[#This Row],[IMPORTE NETO]:[EXENTO]])</f>
        <v>10800.0002</v>
      </c>
      <c r="M295" s="59"/>
    </row>
    <row r="296" spans="2:13" x14ac:dyDescent="0.25">
      <c r="B296" s="186">
        <v>45054</v>
      </c>
      <c r="C296" s="41">
        <v>6</v>
      </c>
      <c r="D296" s="188">
        <v>5</v>
      </c>
      <c r="E296" s="189">
        <v>7866</v>
      </c>
      <c r="F296" s="190"/>
      <c r="G296" s="1" t="str">
        <f>IFERROR(IF(ventas_b_mes5[[#This Row],[CUIT]]="","-",VLOOKUP(ventas_b_mes5[[#This Row],[CUIT]],Lista_CUIT[#All],2,0)),"CUIT NO CARGADO")</f>
        <v>-</v>
      </c>
      <c r="H296" s="64">
        <v>2892.56</v>
      </c>
      <c r="I296" s="191">
        <f>ventas_b_mes5[[#This Row],[IMPORTE NETO]]*0.21</f>
        <v>607.43759999999997</v>
      </c>
      <c r="J296" s="192"/>
      <c r="K296" s="192"/>
      <c r="L296" s="192">
        <f>SUM(ventas_b_mes5[[#This Row],[IMPORTE NETO]:[EXENTO]])</f>
        <v>3499.9975999999997</v>
      </c>
      <c r="M296" s="59"/>
    </row>
    <row r="297" spans="2:13" x14ac:dyDescent="0.25">
      <c r="B297" s="186">
        <v>45054</v>
      </c>
      <c r="C297" s="41">
        <v>6</v>
      </c>
      <c r="D297" s="188">
        <v>7</v>
      </c>
      <c r="E297" s="189">
        <v>4323</v>
      </c>
      <c r="F297" s="190"/>
      <c r="G297" s="1" t="str">
        <f>IFERROR(IF(ventas_b_mes5[[#This Row],[CUIT]]="","-",VLOOKUP(ventas_b_mes5[[#This Row],[CUIT]],Lista_CUIT[#All],2,0)),"CUIT NO CARGADO")</f>
        <v>-</v>
      </c>
      <c r="H297" s="64">
        <v>3719.01</v>
      </c>
      <c r="I297" s="191">
        <f>ventas_b_mes5[[#This Row],[IMPORTE NETO]]*0.21</f>
        <v>780.99210000000005</v>
      </c>
      <c r="J297" s="192"/>
      <c r="K297" s="192"/>
      <c r="L297" s="192">
        <f>SUM(ventas_b_mes5[[#This Row],[IMPORTE NETO]:[EXENTO]])</f>
        <v>4500.0021000000006</v>
      </c>
      <c r="M297" s="59"/>
    </row>
    <row r="298" spans="2:13" x14ac:dyDescent="0.25">
      <c r="B298" s="186">
        <v>45055</v>
      </c>
      <c r="C298" s="41">
        <v>6</v>
      </c>
      <c r="D298" s="188">
        <v>5</v>
      </c>
      <c r="E298" s="189">
        <v>7884</v>
      </c>
      <c r="F298" s="190"/>
      <c r="G298" s="1" t="str">
        <f>IFERROR(IF(ventas_b_mes5[[#This Row],[CUIT]]="","-",VLOOKUP(ventas_b_mes5[[#This Row],[CUIT]],Lista_CUIT[#All],2,0)),"CUIT NO CARGADO")</f>
        <v>-</v>
      </c>
      <c r="H298" s="64">
        <v>10991.74</v>
      </c>
      <c r="I298" s="191">
        <f>ventas_b_mes5[[#This Row],[IMPORTE NETO]]*0.21</f>
        <v>2308.2653999999998</v>
      </c>
      <c r="J298" s="192"/>
      <c r="K298" s="192"/>
      <c r="L298" s="192">
        <f>SUM(ventas_b_mes5[[#This Row],[IMPORTE NETO]:[EXENTO]])</f>
        <v>13300.0054</v>
      </c>
      <c r="M298" s="59"/>
    </row>
    <row r="299" spans="2:13" x14ac:dyDescent="0.25">
      <c r="B299" s="186">
        <v>45055</v>
      </c>
      <c r="C299" s="41">
        <v>6</v>
      </c>
      <c r="D299" s="188">
        <v>7</v>
      </c>
      <c r="E299" s="189">
        <v>4335</v>
      </c>
      <c r="F299" s="190"/>
      <c r="G299" s="1" t="str">
        <f>IFERROR(IF(ventas_b_mes5[[#This Row],[CUIT]]="","-",VLOOKUP(ventas_b_mes5[[#This Row],[CUIT]],Lista_CUIT[#All],2,0)),"CUIT NO CARGADO")</f>
        <v>-</v>
      </c>
      <c r="H299" s="64">
        <v>23523.97</v>
      </c>
      <c r="I299" s="191">
        <f>ventas_b_mes5[[#This Row],[IMPORTE NETO]]*0.21</f>
        <v>4940.0337</v>
      </c>
      <c r="J299" s="192"/>
      <c r="K299" s="192"/>
      <c r="L299" s="192">
        <f>SUM(ventas_b_mes5[[#This Row],[IMPORTE NETO]:[EXENTO]])</f>
        <v>28464.003700000001</v>
      </c>
      <c r="M299" s="59"/>
    </row>
    <row r="300" spans="2:13" x14ac:dyDescent="0.25">
      <c r="B300" s="186">
        <v>45055</v>
      </c>
      <c r="C300" s="41">
        <v>6</v>
      </c>
      <c r="D300" s="188">
        <v>5</v>
      </c>
      <c r="E300" s="189">
        <v>7890</v>
      </c>
      <c r="F300" s="190"/>
      <c r="G300" s="1" t="str">
        <f>IFERROR(IF(ventas_b_mes5[[#This Row],[CUIT]]="","-",VLOOKUP(ventas_b_mes5[[#This Row],[CUIT]],Lista_CUIT[#All],2,0)),"CUIT NO CARGADO")</f>
        <v>-</v>
      </c>
      <c r="H300" s="64">
        <v>2892.56</v>
      </c>
      <c r="I300" s="191">
        <f>ventas_b_mes5[[#This Row],[IMPORTE NETO]]*0.21</f>
        <v>607.43759999999997</v>
      </c>
      <c r="J300" s="192"/>
      <c r="K300" s="192"/>
      <c r="L300" s="192">
        <f>SUM(ventas_b_mes5[[#This Row],[IMPORTE NETO]:[EXENTO]])</f>
        <v>3499.9975999999997</v>
      </c>
      <c r="M300" s="59"/>
    </row>
    <row r="301" spans="2:13" x14ac:dyDescent="0.25">
      <c r="B301" s="186">
        <v>45055</v>
      </c>
      <c r="C301" s="41">
        <v>6</v>
      </c>
      <c r="D301" s="188">
        <v>5</v>
      </c>
      <c r="E301" s="189">
        <v>7891</v>
      </c>
      <c r="F301" s="190"/>
      <c r="G301" s="1" t="str">
        <f>IFERROR(IF(ventas_b_mes5[[#This Row],[CUIT]]="","-",VLOOKUP(ventas_b_mes5[[#This Row],[CUIT]],Lista_CUIT[#All],2,0)),"CUIT NO CARGADO")</f>
        <v>-</v>
      </c>
      <c r="H301" s="64">
        <v>2644.63</v>
      </c>
      <c r="I301" s="191">
        <f>ventas_b_mes5[[#This Row],[IMPORTE NETO]]*0.21</f>
        <v>555.3723</v>
      </c>
      <c r="J301" s="192"/>
      <c r="K301" s="192"/>
      <c r="L301" s="192">
        <f>SUM(ventas_b_mes5[[#This Row],[IMPORTE NETO]:[EXENTO]])</f>
        <v>3200.0023000000001</v>
      </c>
      <c r="M301" s="59"/>
    </row>
    <row r="302" spans="2:13" x14ac:dyDescent="0.25">
      <c r="B302" s="186">
        <v>45055</v>
      </c>
      <c r="C302" s="41">
        <v>6</v>
      </c>
      <c r="D302" s="188">
        <v>5</v>
      </c>
      <c r="E302" s="189">
        <v>7877</v>
      </c>
      <c r="F302" s="190"/>
      <c r="G302" s="1" t="str">
        <f>IFERROR(IF(ventas_b_mes5[[#This Row],[CUIT]]="","-",VLOOKUP(ventas_b_mes5[[#This Row],[CUIT]],Lista_CUIT[#All],2,0)),"CUIT NO CARGADO")</f>
        <v>-</v>
      </c>
      <c r="H302" s="64">
        <v>4462.8100000000004</v>
      </c>
      <c r="I302" s="191">
        <f>ventas_b_mes5[[#This Row],[IMPORTE NETO]]*0.21</f>
        <v>937.19010000000003</v>
      </c>
      <c r="J302" s="192"/>
      <c r="K302" s="192"/>
      <c r="L302" s="192">
        <f>SUM(ventas_b_mes5[[#This Row],[IMPORTE NETO]:[EXENTO]])</f>
        <v>5400.0001000000002</v>
      </c>
      <c r="M302" s="59"/>
    </row>
    <row r="303" spans="2:13" x14ac:dyDescent="0.25">
      <c r="B303" s="186">
        <v>45055</v>
      </c>
      <c r="C303" s="41">
        <v>6</v>
      </c>
      <c r="D303" s="188">
        <v>5</v>
      </c>
      <c r="E303" s="189">
        <v>7879</v>
      </c>
      <c r="F303" s="190"/>
      <c r="G303" s="1" t="str">
        <f>IFERROR(IF(ventas_b_mes5[[#This Row],[CUIT]]="","-",VLOOKUP(ventas_b_mes5[[#This Row],[CUIT]],Lista_CUIT[#All],2,0)),"CUIT NO CARGADO")</f>
        <v>-</v>
      </c>
      <c r="H303" s="64">
        <v>10661.16</v>
      </c>
      <c r="I303" s="191">
        <f>ventas_b_mes5[[#This Row],[IMPORTE NETO]]*0.21</f>
        <v>2238.8435999999997</v>
      </c>
      <c r="J303" s="192"/>
      <c r="K303" s="192"/>
      <c r="L303" s="192">
        <f>SUM(ventas_b_mes5[[#This Row],[IMPORTE NETO]:[EXENTO]])</f>
        <v>12900.0036</v>
      </c>
      <c r="M303" s="59"/>
    </row>
    <row r="304" spans="2:13" x14ac:dyDescent="0.25">
      <c r="B304" s="186">
        <v>45055</v>
      </c>
      <c r="C304" s="41">
        <v>6</v>
      </c>
      <c r="D304" s="188">
        <v>7</v>
      </c>
      <c r="E304" s="189">
        <v>4330</v>
      </c>
      <c r="F304" s="190"/>
      <c r="G304" s="1" t="str">
        <f>IFERROR(IF(ventas_b_mes5[[#This Row],[CUIT]]="","-",VLOOKUP(ventas_b_mes5[[#This Row],[CUIT]],Lista_CUIT[#All],2,0)),"CUIT NO CARGADO")</f>
        <v>-</v>
      </c>
      <c r="H304" s="64">
        <v>9917.36</v>
      </c>
      <c r="I304" s="191">
        <f>ventas_b_mes5[[#This Row],[IMPORTE NETO]]*0.21</f>
        <v>2082.6455999999998</v>
      </c>
      <c r="J304" s="192"/>
      <c r="K304" s="192"/>
      <c r="L304" s="192">
        <f>SUM(ventas_b_mes5[[#This Row],[IMPORTE NETO]:[EXENTO]])</f>
        <v>12000.0056</v>
      </c>
      <c r="M304" s="59"/>
    </row>
    <row r="305" spans="2:13" x14ac:dyDescent="0.25">
      <c r="B305" s="186">
        <v>45055</v>
      </c>
      <c r="C305" s="41">
        <v>6</v>
      </c>
      <c r="D305" s="188">
        <v>7</v>
      </c>
      <c r="E305" s="189">
        <v>4333</v>
      </c>
      <c r="F305" s="190"/>
      <c r="G305" s="1" t="str">
        <f>IFERROR(IF(ventas_b_mes5[[#This Row],[CUIT]]="","-",VLOOKUP(ventas_b_mes5[[#This Row],[CUIT]],Lista_CUIT[#All],2,0)),"CUIT NO CARGADO")</f>
        <v>-</v>
      </c>
      <c r="H305" s="64">
        <v>6198.35</v>
      </c>
      <c r="I305" s="191">
        <f>ventas_b_mes5[[#This Row],[IMPORTE NETO]]*0.21</f>
        <v>1301.6535000000001</v>
      </c>
      <c r="J305" s="192"/>
      <c r="K305" s="192"/>
      <c r="L305" s="192">
        <f>SUM(ventas_b_mes5[[#This Row],[IMPORTE NETO]:[EXENTO]])</f>
        <v>7500.0035000000007</v>
      </c>
      <c r="M305" s="59"/>
    </row>
    <row r="306" spans="2:13" x14ac:dyDescent="0.25">
      <c r="B306" s="186">
        <v>45055</v>
      </c>
      <c r="C306" s="41">
        <v>6</v>
      </c>
      <c r="D306" s="188">
        <v>5</v>
      </c>
      <c r="E306" s="189">
        <v>7882</v>
      </c>
      <c r="F306" s="190"/>
      <c r="G306" s="1" t="str">
        <f>IFERROR(IF(ventas_b_mes5[[#This Row],[CUIT]]="","-",VLOOKUP(ventas_b_mes5[[#This Row],[CUIT]],Lista_CUIT[#All],2,0)),"CUIT NO CARGADO")</f>
        <v>-</v>
      </c>
      <c r="H306" s="64">
        <v>2396.69</v>
      </c>
      <c r="I306" s="191">
        <f>ventas_b_mes5[[#This Row],[IMPORTE NETO]]*0.21</f>
        <v>503.30489999999998</v>
      </c>
      <c r="J306" s="192"/>
      <c r="K306" s="192"/>
      <c r="L306" s="192">
        <f>SUM(ventas_b_mes5[[#This Row],[IMPORTE NETO]:[EXENTO]])</f>
        <v>2899.9949000000001</v>
      </c>
      <c r="M306" s="59"/>
    </row>
    <row r="307" spans="2:13" x14ac:dyDescent="0.25">
      <c r="B307" s="186">
        <v>45055</v>
      </c>
      <c r="C307" s="41">
        <v>6</v>
      </c>
      <c r="D307" s="188">
        <v>7</v>
      </c>
      <c r="E307" s="189">
        <v>4334</v>
      </c>
      <c r="F307" s="190"/>
      <c r="G307" s="1" t="str">
        <f>IFERROR(IF(ventas_b_mes5[[#This Row],[CUIT]]="","-",VLOOKUP(ventas_b_mes5[[#This Row],[CUIT]],Lista_CUIT[#All],2,0)),"CUIT NO CARGADO")</f>
        <v>-</v>
      </c>
      <c r="H307" s="64">
        <v>11570.25</v>
      </c>
      <c r="I307" s="191">
        <f>ventas_b_mes5[[#This Row],[IMPORTE NETO]]*0.21</f>
        <v>2429.7525000000001</v>
      </c>
      <c r="J307" s="192"/>
      <c r="K307" s="192"/>
      <c r="L307" s="192">
        <f>SUM(ventas_b_mes5[[#This Row],[IMPORTE NETO]:[EXENTO]])</f>
        <v>14000.002500000001</v>
      </c>
      <c r="M307" s="59"/>
    </row>
    <row r="308" spans="2:13" x14ac:dyDescent="0.25">
      <c r="B308" s="186">
        <v>45055</v>
      </c>
      <c r="C308" s="41">
        <v>6</v>
      </c>
      <c r="D308" s="188">
        <v>5</v>
      </c>
      <c r="E308" s="189">
        <v>7885</v>
      </c>
      <c r="F308" s="190"/>
      <c r="G308" s="1" t="str">
        <f>IFERROR(IF(ventas_b_mes5[[#This Row],[CUIT]]="","-",VLOOKUP(ventas_b_mes5[[#This Row],[CUIT]],Lista_CUIT[#All],2,0)),"CUIT NO CARGADO")</f>
        <v>-</v>
      </c>
      <c r="H308" s="64">
        <v>4942.1499999999996</v>
      </c>
      <c r="I308" s="191">
        <f>ventas_b_mes5[[#This Row],[IMPORTE NETO]]*0.21</f>
        <v>1037.8515</v>
      </c>
      <c r="J308" s="192"/>
      <c r="K308" s="192"/>
      <c r="L308" s="192">
        <f>SUM(ventas_b_mes5[[#This Row],[IMPORTE NETO]:[EXENTO]])</f>
        <v>5980.0014999999994</v>
      </c>
      <c r="M308" s="59"/>
    </row>
    <row r="309" spans="2:13" x14ac:dyDescent="0.25">
      <c r="B309" s="186">
        <v>45055</v>
      </c>
      <c r="C309" s="41">
        <v>6</v>
      </c>
      <c r="D309" s="188">
        <v>5</v>
      </c>
      <c r="E309" s="189">
        <v>7887</v>
      </c>
      <c r="F309" s="190"/>
      <c r="G309" s="1" t="str">
        <f>IFERROR(IF(ventas_b_mes5[[#This Row],[CUIT]]="","-",VLOOKUP(ventas_b_mes5[[#This Row],[CUIT]],Lista_CUIT[#All],2,0)),"CUIT NO CARGADO")</f>
        <v>-</v>
      </c>
      <c r="H309" s="64">
        <v>4958.68</v>
      </c>
      <c r="I309" s="191">
        <f>ventas_b_mes5[[#This Row],[IMPORTE NETO]]*0.21</f>
        <v>1041.3227999999999</v>
      </c>
      <c r="J309" s="192"/>
      <c r="K309" s="192"/>
      <c r="L309" s="192">
        <f>SUM(ventas_b_mes5[[#This Row],[IMPORTE NETO]:[EXENTO]])</f>
        <v>6000.0028000000002</v>
      </c>
      <c r="M309" s="59"/>
    </row>
    <row r="310" spans="2:13" x14ac:dyDescent="0.25">
      <c r="B310" s="186">
        <v>45055</v>
      </c>
      <c r="C310" s="41">
        <v>6</v>
      </c>
      <c r="D310" s="188">
        <v>5</v>
      </c>
      <c r="E310" s="189">
        <v>7881</v>
      </c>
      <c r="F310" s="190"/>
      <c r="G310" s="1" t="str">
        <f>IFERROR(IF(ventas_b_mes5[[#This Row],[CUIT]]="","-",VLOOKUP(ventas_b_mes5[[#This Row],[CUIT]],Lista_CUIT[#All],2,0)),"CUIT NO CARGADO")</f>
        <v>-</v>
      </c>
      <c r="H310" s="64">
        <v>2801.66</v>
      </c>
      <c r="I310" s="191">
        <f>ventas_b_mes5[[#This Row],[IMPORTE NETO]]*0.21</f>
        <v>588.34859999999992</v>
      </c>
      <c r="J310" s="192"/>
      <c r="K310" s="192"/>
      <c r="L310" s="192">
        <f>SUM(ventas_b_mes5[[#This Row],[IMPORTE NETO]:[EXENTO]])</f>
        <v>3390.0085999999997</v>
      </c>
      <c r="M310" s="59"/>
    </row>
    <row r="311" spans="2:13" x14ac:dyDescent="0.25">
      <c r="B311" s="186">
        <v>45055</v>
      </c>
      <c r="C311" s="41">
        <v>6</v>
      </c>
      <c r="D311" s="188">
        <v>5</v>
      </c>
      <c r="E311" s="189">
        <v>7888</v>
      </c>
      <c r="F311" s="190"/>
      <c r="G311" s="1" t="str">
        <f>IFERROR(IF(ventas_b_mes5[[#This Row],[CUIT]]="","-",VLOOKUP(ventas_b_mes5[[#This Row],[CUIT]],Lista_CUIT[#All],2,0)),"CUIT NO CARGADO")</f>
        <v>-</v>
      </c>
      <c r="H311" s="64">
        <v>12396.69</v>
      </c>
      <c r="I311" s="191">
        <f>ventas_b_mes5[[#This Row],[IMPORTE NETO]]*0.21</f>
        <v>2603.3049000000001</v>
      </c>
      <c r="J311" s="192"/>
      <c r="K311" s="192"/>
      <c r="L311" s="192">
        <f>SUM(ventas_b_mes5[[#This Row],[IMPORTE NETO]:[EXENTO]])</f>
        <v>14999.994900000002</v>
      </c>
      <c r="M311" s="59"/>
    </row>
    <row r="312" spans="2:13" x14ac:dyDescent="0.25">
      <c r="B312" s="186">
        <v>45055</v>
      </c>
      <c r="C312" s="41">
        <v>6</v>
      </c>
      <c r="D312" s="188">
        <v>5</v>
      </c>
      <c r="E312" s="189">
        <v>7889</v>
      </c>
      <c r="F312" s="190"/>
      <c r="G312" s="1" t="str">
        <f>IFERROR(IF(ventas_b_mes5[[#This Row],[CUIT]]="","-",VLOOKUP(ventas_b_mes5[[#This Row],[CUIT]],Lista_CUIT[#All],2,0)),"CUIT NO CARGADO")</f>
        <v>-</v>
      </c>
      <c r="H312" s="64">
        <v>3099.17</v>
      </c>
      <c r="I312" s="191">
        <f>ventas_b_mes5[[#This Row],[IMPORTE NETO]]*0.21</f>
        <v>650.82569999999998</v>
      </c>
      <c r="J312" s="192"/>
      <c r="K312" s="192"/>
      <c r="L312" s="192">
        <f>SUM(ventas_b_mes5[[#This Row],[IMPORTE NETO]:[EXENTO]])</f>
        <v>3749.9956999999999</v>
      </c>
      <c r="M312" s="59"/>
    </row>
    <row r="313" spans="2:13" x14ac:dyDescent="0.25">
      <c r="B313" s="186">
        <v>45055</v>
      </c>
      <c r="C313" s="41">
        <v>6</v>
      </c>
      <c r="D313" s="188">
        <v>5</v>
      </c>
      <c r="E313" s="189">
        <v>7892</v>
      </c>
      <c r="F313" s="190"/>
      <c r="G313" s="1" t="str">
        <f>IFERROR(IF(ventas_b_mes5[[#This Row],[CUIT]]="","-",VLOOKUP(ventas_b_mes5[[#This Row],[CUIT]],Lista_CUIT[#All],2,0)),"CUIT NO CARGADO")</f>
        <v>-</v>
      </c>
      <c r="H313" s="64">
        <v>2396.69</v>
      </c>
      <c r="I313" s="191">
        <f>ventas_b_mes5[[#This Row],[IMPORTE NETO]]*0.21</f>
        <v>503.30489999999998</v>
      </c>
      <c r="J313" s="192"/>
      <c r="K313" s="192"/>
      <c r="L313" s="192">
        <f>SUM(ventas_b_mes5[[#This Row],[IMPORTE NETO]:[EXENTO]])</f>
        <v>2899.9949000000001</v>
      </c>
      <c r="M313" s="59"/>
    </row>
    <row r="314" spans="2:13" x14ac:dyDescent="0.25">
      <c r="B314" s="186">
        <v>45055</v>
      </c>
      <c r="C314" s="41">
        <v>6</v>
      </c>
      <c r="D314" s="188">
        <v>5</v>
      </c>
      <c r="E314" s="189">
        <v>7878</v>
      </c>
      <c r="F314" s="190"/>
      <c r="G314" s="1" t="str">
        <f>IFERROR(IF(ventas_b_mes5[[#This Row],[CUIT]]="","-",VLOOKUP(ventas_b_mes5[[#This Row],[CUIT]],Lista_CUIT[#All],2,0)),"CUIT NO CARGADO")</f>
        <v>-</v>
      </c>
      <c r="H314" s="64">
        <v>19834.71</v>
      </c>
      <c r="I314" s="191">
        <f>ventas_b_mes5[[#This Row],[IMPORTE NETO]]*0.21</f>
        <v>4165.2891</v>
      </c>
      <c r="J314" s="192"/>
      <c r="K314" s="192"/>
      <c r="L314" s="192">
        <f>SUM(ventas_b_mes5[[#This Row],[IMPORTE NETO]:[EXENTO]])</f>
        <v>23999.999100000001</v>
      </c>
      <c r="M314" s="59"/>
    </row>
    <row r="315" spans="2:13" x14ac:dyDescent="0.25">
      <c r="B315" s="186">
        <v>45055</v>
      </c>
      <c r="C315" s="41">
        <v>6</v>
      </c>
      <c r="D315" s="188">
        <v>5</v>
      </c>
      <c r="E315" s="189">
        <v>7883</v>
      </c>
      <c r="F315" s="190"/>
      <c r="G315" s="1" t="str">
        <f>IFERROR(IF(ventas_b_mes5[[#This Row],[CUIT]]="","-",VLOOKUP(ventas_b_mes5[[#This Row],[CUIT]],Lista_CUIT[#All],2,0)),"CUIT NO CARGADO")</f>
        <v>-</v>
      </c>
      <c r="H315" s="64">
        <v>1198.3499999999999</v>
      </c>
      <c r="I315" s="191">
        <f>ventas_b_mes5[[#This Row],[IMPORTE NETO]]*0.21</f>
        <v>251.65349999999998</v>
      </c>
      <c r="J315" s="192"/>
      <c r="K315" s="192"/>
      <c r="L315" s="192">
        <f>SUM(ventas_b_mes5[[#This Row],[IMPORTE NETO]:[EXENTO]])</f>
        <v>1450.0034999999998</v>
      </c>
      <c r="M315" s="59"/>
    </row>
    <row r="316" spans="2:13" x14ac:dyDescent="0.25">
      <c r="B316" s="186">
        <v>45055</v>
      </c>
      <c r="C316" s="41">
        <v>6</v>
      </c>
      <c r="D316" s="188">
        <v>7</v>
      </c>
      <c r="E316" s="189">
        <v>4331</v>
      </c>
      <c r="F316" s="190"/>
      <c r="G316" s="1" t="str">
        <f>IFERROR(IF(ventas_b_mes5[[#This Row],[CUIT]]="","-",VLOOKUP(ventas_b_mes5[[#This Row],[CUIT]],Lista_CUIT[#All],2,0)),"CUIT NO CARGADO")</f>
        <v>-</v>
      </c>
      <c r="H316" s="64">
        <v>9917.36</v>
      </c>
      <c r="I316" s="191">
        <f>ventas_b_mes5[[#This Row],[IMPORTE NETO]]*0.21</f>
        <v>2082.6455999999998</v>
      </c>
      <c r="J316" s="192"/>
      <c r="K316" s="192"/>
      <c r="L316" s="192">
        <f>SUM(ventas_b_mes5[[#This Row],[IMPORTE NETO]:[EXENTO]])</f>
        <v>12000.0056</v>
      </c>
      <c r="M316" s="59"/>
    </row>
    <row r="317" spans="2:13" x14ac:dyDescent="0.25">
      <c r="B317" s="186">
        <v>45055</v>
      </c>
      <c r="C317" s="41">
        <v>6</v>
      </c>
      <c r="D317" s="188">
        <v>5</v>
      </c>
      <c r="E317" s="189">
        <v>7880</v>
      </c>
      <c r="F317" s="190"/>
      <c r="G317" s="1" t="str">
        <f>IFERROR(IF(ventas_b_mes5[[#This Row],[CUIT]]="","-",VLOOKUP(ventas_b_mes5[[#This Row],[CUIT]],Lista_CUIT[#All],2,0)),"CUIT NO CARGADO")</f>
        <v>-</v>
      </c>
      <c r="H317" s="64">
        <v>3719.01</v>
      </c>
      <c r="I317" s="191">
        <f>ventas_b_mes5[[#This Row],[IMPORTE NETO]]*0.21</f>
        <v>780.99210000000005</v>
      </c>
      <c r="J317" s="192"/>
      <c r="K317" s="192"/>
      <c r="L317" s="192">
        <f>SUM(ventas_b_mes5[[#This Row],[IMPORTE NETO]:[EXENTO]])</f>
        <v>4500.0021000000006</v>
      </c>
      <c r="M317" s="59"/>
    </row>
    <row r="318" spans="2:13" x14ac:dyDescent="0.25">
      <c r="B318" s="186">
        <v>45055</v>
      </c>
      <c r="C318" s="41">
        <v>6</v>
      </c>
      <c r="D318" s="188">
        <v>7</v>
      </c>
      <c r="E318" s="189">
        <v>4332</v>
      </c>
      <c r="F318" s="190"/>
      <c r="G318" s="1" t="str">
        <f>IFERROR(IF(ventas_b_mes5[[#This Row],[CUIT]]="","-",VLOOKUP(ventas_b_mes5[[#This Row],[CUIT]],Lista_CUIT[#All],2,0)),"CUIT NO CARGADO")</f>
        <v>-</v>
      </c>
      <c r="H318" s="64">
        <v>5371.9</v>
      </c>
      <c r="I318" s="191">
        <f>ventas_b_mes5[[#This Row],[IMPORTE NETO]]*0.21</f>
        <v>1128.0989999999999</v>
      </c>
      <c r="J318" s="192"/>
      <c r="K318" s="192"/>
      <c r="L318" s="192">
        <f>SUM(ventas_b_mes5[[#This Row],[IMPORTE NETO]:[EXENTO]])</f>
        <v>6499.9989999999998</v>
      </c>
      <c r="M318" s="59"/>
    </row>
    <row r="319" spans="2:13" x14ac:dyDescent="0.25">
      <c r="B319" s="186">
        <v>45055</v>
      </c>
      <c r="C319" s="41">
        <v>6</v>
      </c>
      <c r="D319" s="188">
        <v>7</v>
      </c>
      <c r="E319" s="189">
        <v>4329</v>
      </c>
      <c r="F319" s="190"/>
      <c r="G319" s="1" t="str">
        <f>IFERROR(IF(ventas_b_mes5[[#This Row],[CUIT]]="","-",VLOOKUP(ventas_b_mes5[[#This Row],[CUIT]],Lista_CUIT[#All],2,0)),"CUIT NO CARGADO")</f>
        <v>-</v>
      </c>
      <c r="H319" s="64">
        <v>3719.01</v>
      </c>
      <c r="I319" s="191">
        <f>ventas_b_mes5[[#This Row],[IMPORTE NETO]]*0.21</f>
        <v>780.99210000000005</v>
      </c>
      <c r="J319" s="192"/>
      <c r="K319" s="192"/>
      <c r="L319" s="192">
        <f>SUM(ventas_b_mes5[[#This Row],[IMPORTE NETO]:[EXENTO]])</f>
        <v>4500.0021000000006</v>
      </c>
      <c r="M319" s="59"/>
    </row>
    <row r="320" spans="2:13" x14ac:dyDescent="0.25">
      <c r="B320" s="186">
        <v>45055</v>
      </c>
      <c r="C320" s="41">
        <v>6</v>
      </c>
      <c r="D320" s="188">
        <v>5</v>
      </c>
      <c r="E320" s="189">
        <v>7886</v>
      </c>
      <c r="F320" s="190"/>
      <c r="G320" s="1" t="str">
        <f>IFERROR(IF(ventas_b_mes5[[#This Row],[CUIT]]="","-",VLOOKUP(ventas_b_mes5[[#This Row],[CUIT]],Lista_CUIT[#All],2,0)),"CUIT NO CARGADO")</f>
        <v>-</v>
      </c>
      <c r="H320" s="64">
        <v>2644.63</v>
      </c>
      <c r="I320" s="191">
        <f>ventas_b_mes5[[#This Row],[IMPORTE NETO]]*0.21</f>
        <v>555.3723</v>
      </c>
      <c r="J320" s="192"/>
      <c r="K320" s="192"/>
      <c r="L320" s="192">
        <f>SUM(ventas_b_mes5[[#This Row],[IMPORTE NETO]:[EXENTO]])</f>
        <v>3200.0023000000001</v>
      </c>
      <c r="M320" s="59"/>
    </row>
    <row r="321" spans="2:13" x14ac:dyDescent="0.25">
      <c r="B321" s="186">
        <v>45056</v>
      </c>
      <c r="C321" s="41">
        <v>6</v>
      </c>
      <c r="D321" s="188">
        <v>5</v>
      </c>
      <c r="E321" s="189">
        <v>7893</v>
      </c>
      <c r="F321" s="190"/>
      <c r="G321" s="1" t="str">
        <f>IFERROR(IF(ventas_b_mes5[[#This Row],[CUIT]]="","-",VLOOKUP(ventas_b_mes5[[#This Row],[CUIT]],Lista_CUIT[#All],2,0)),"CUIT NO CARGADO")</f>
        <v>-</v>
      </c>
      <c r="H321" s="64">
        <v>3140.5</v>
      </c>
      <c r="I321" s="191">
        <f>ventas_b_mes5[[#This Row],[IMPORTE NETO]]*0.21</f>
        <v>659.505</v>
      </c>
      <c r="J321" s="192"/>
      <c r="K321" s="192"/>
      <c r="L321" s="192">
        <f>SUM(ventas_b_mes5[[#This Row],[IMPORTE NETO]:[EXENTO]])</f>
        <v>3800.0050000000001</v>
      </c>
      <c r="M321" s="59"/>
    </row>
    <row r="322" spans="2:13" x14ac:dyDescent="0.25">
      <c r="B322" s="186">
        <v>45056</v>
      </c>
      <c r="C322" s="41">
        <v>6</v>
      </c>
      <c r="D322" s="188">
        <v>5</v>
      </c>
      <c r="E322" s="189">
        <v>7897</v>
      </c>
      <c r="F322" s="190"/>
      <c r="G322" s="1" t="str">
        <f>IFERROR(IF(ventas_b_mes5[[#This Row],[CUIT]]="","-",VLOOKUP(ventas_b_mes5[[#This Row],[CUIT]],Lista_CUIT[#All],2,0)),"CUIT NO CARGADO")</f>
        <v>-</v>
      </c>
      <c r="H322" s="64">
        <v>1900.83</v>
      </c>
      <c r="I322" s="191">
        <f>ventas_b_mes5[[#This Row],[IMPORTE NETO]]*0.21</f>
        <v>399.17429999999996</v>
      </c>
      <c r="J322" s="192"/>
      <c r="K322" s="192"/>
      <c r="L322" s="192">
        <f>SUM(ventas_b_mes5[[#This Row],[IMPORTE NETO]:[EXENTO]])</f>
        <v>2300.0043000000001</v>
      </c>
      <c r="M322" s="59"/>
    </row>
    <row r="323" spans="2:13" x14ac:dyDescent="0.25">
      <c r="B323" s="186">
        <v>45056</v>
      </c>
      <c r="C323" s="41">
        <v>6</v>
      </c>
      <c r="D323" s="188">
        <v>7</v>
      </c>
      <c r="E323" s="189">
        <v>4336</v>
      </c>
      <c r="F323" s="190"/>
      <c r="G323" s="1" t="str">
        <f>IFERROR(IF(ventas_b_mes5[[#This Row],[CUIT]]="","-",VLOOKUP(ventas_b_mes5[[#This Row],[CUIT]],Lista_CUIT[#All],2,0)),"CUIT NO CARGADO")</f>
        <v>-</v>
      </c>
      <c r="H323" s="64">
        <v>4545.45</v>
      </c>
      <c r="I323" s="191">
        <f>ventas_b_mes5[[#This Row],[IMPORTE NETO]]*0.21</f>
        <v>954.54449999999997</v>
      </c>
      <c r="J323" s="192"/>
      <c r="K323" s="192"/>
      <c r="L323" s="192">
        <f>SUM(ventas_b_mes5[[#This Row],[IMPORTE NETO]:[EXENTO]])</f>
        <v>5499.9944999999998</v>
      </c>
      <c r="M323" s="59"/>
    </row>
    <row r="324" spans="2:13" x14ac:dyDescent="0.25">
      <c r="B324" s="186">
        <v>45056</v>
      </c>
      <c r="C324" s="41">
        <v>6</v>
      </c>
      <c r="D324" s="188">
        <v>5</v>
      </c>
      <c r="E324" s="189">
        <v>7902</v>
      </c>
      <c r="F324" s="190"/>
      <c r="G324" s="1" t="str">
        <f>IFERROR(IF(ventas_b_mes5[[#This Row],[CUIT]]="","-",VLOOKUP(ventas_b_mes5[[#This Row],[CUIT]],Lista_CUIT[#All],2,0)),"CUIT NO CARGADO")</f>
        <v>-</v>
      </c>
      <c r="H324" s="64">
        <v>4958.68</v>
      </c>
      <c r="I324" s="191">
        <f>ventas_b_mes5[[#This Row],[IMPORTE NETO]]*0.21</f>
        <v>1041.3227999999999</v>
      </c>
      <c r="J324" s="192"/>
      <c r="K324" s="192"/>
      <c r="L324" s="192">
        <f>SUM(ventas_b_mes5[[#This Row],[IMPORTE NETO]:[EXENTO]])</f>
        <v>6000.0028000000002</v>
      </c>
      <c r="M324" s="59"/>
    </row>
    <row r="325" spans="2:13" x14ac:dyDescent="0.25">
      <c r="B325" s="186">
        <v>45056</v>
      </c>
      <c r="C325" s="41">
        <v>6</v>
      </c>
      <c r="D325" s="188">
        <v>5</v>
      </c>
      <c r="E325" s="189">
        <v>7901</v>
      </c>
      <c r="F325" s="190"/>
      <c r="G325" s="1" t="str">
        <f>IFERROR(IF(ventas_b_mes5[[#This Row],[CUIT]]="","-",VLOOKUP(ventas_b_mes5[[#This Row],[CUIT]],Lista_CUIT[#All],2,0)),"CUIT NO CARGADO")</f>
        <v>-</v>
      </c>
      <c r="H325" s="64">
        <v>8512.4</v>
      </c>
      <c r="I325" s="191">
        <f>ventas_b_mes5[[#This Row],[IMPORTE NETO]]*0.21</f>
        <v>1787.6039999999998</v>
      </c>
      <c r="J325" s="192"/>
      <c r="K325" s="192"/>
      <c r="L325" s="192">
        <f>SUM(ventas_b_mes5[[#This Row],[IMPORTE NETO]:[EXENTO]])</f>
        <v>10300.003999999999</v>
      </c>
      <c r="M325" s="59"/>
    </row>
    <row r="326" spans="2:13" x14ac:dyDescent="0.25">
      <c r="B326" s="186">
        <v>45056</v>
      </c>
      <c r="C326" s="41">
        <v>6</v>
      </c>
      <c r="D326" s="188">
        <v>5</v>
      </c>
      <c r="E326" s="189">
        <v>7898</v>
      </c>
      <c r="F326" s="190"/>
      <c r="G326" s="1" t="str">
        <f>IFERROR(IF(ventas_b_mes5[[#This Row],[CUIT]]="","-",VLOOKUP(ventas_b_mes5[[#This Row],[CUIT]],Lista_CUIT[#All],2,0)),"CUIT NO CARGADO")</f>
        <v>-</v>
      </c>
      <c r="H326" s="64">
        <v>3305.79</v>
      </c>
      <c r="I326" s="191">
        <f>ventas_b_mes5[[#This Row],[IMPORTE NETO]]*0.21</f>
        <v>694.21589999999992</v>
      </c>
      <c r="J326" s="192"/>
      <c r="K326" s="192"/>
      <c r="L326" s="192">
        <f>SUM(ventas_b_mes5[[#This Row],[IMPORTE NETO]:[EXENTO]])</f>
        <v>4000.0059000000001</v>
      </c>
      <c r="M326" s="59"/>
    </row>
    <row r="327" spans="2:13" x14ac:dyDescent="0.25">
      <c r="B327" s="186">
        <v>45056</v>
      </c>
      <c r="C327" s="41">
        <v>6</v>
      </c>
      <c r="D327" s="188">
        <v>7</v>
      </c>
      <c r="E327" s="189">
        <v>4340</v>
      </c>
      <c r="F327" s="190"/>
      <c r="G327" s="1" t="str">
        <f>IFERROR(IF(ventas_b_mes5[[#This Row],[CUIT]]="","-",VLOOKUP(ventas_b_mes5[[#This Row],[CUIT]],Lista_CUIT[#All],2,0)),"CUIT NO CARGADO")</f>
        <v>-</v>
      </c>
      <c r="H327" s="64">
        <v>9338.85</v>
      </c>
      <c r="I327" s="191">
        <f>ventas_b_mes5[[#This Row],[IMPORTE NETO]]*0.21</f>
        <v>1961.1585</v>
      </c>
      <c r="J327" s="192"/>
      <c r="K327" s="192"/>
      <c r="L327" s="192">
        <f>SUM(ventas_b_mes5[[#This Row],[IMPORTE NETO]:[EXENTO]])</f>
        <v>11300.0085</v>
      </c>
      <c r="M327" s="59"/>
    </row>
    <row r="328" spans="2:13" x14ac:dyDescent="0.25">
      <c r="B328" s="186">
        <v>45056</v>
      </c>
      <c r="C328" s="41">
        <v>6</v>
      </c>
      <c r="D328" s="188">
        <v>5</v>
      </c>
      <c r="E328" s="189">
        <v>7899</v>
      </c>
      <c r="F328" s="190"/>
      <c r="G328" s="1" t="str">
        <f>IFERROR(IF(ventas_b_mes5[[#This Row],[CUIT]]="","-",VLOOKUP(ventas_b_mes5[[#This Row],[CUIT]],Lista_CUIT[#All],2,0)),"CUIT NO CARGADO")</f>
        <v>-</v>
      </c>
      <c r="H328" s="64">
        <v>7438.02</v>
      </c>
      <c r="I328" s="191">
        <f>ventas_b_mes5[[#This Row],[IMPORTE NETO]]*0.21</f>
        <v>1561.9842000000001</v>
      </c>
      <c r="J328" s="192"/>
      <c r="K328" s="192"/>
      <c r="L328" s="192">
        <f>SUM(ventas_b_mes5[[#This Row],[IMPORTE NETO]:[EXENTO]])</f>
        <v>9000.0042000000012</v>
      </c>
      <c r="M328" s="59"/>
    </row>
    <row r="329" spans="2:13" x14ac:dyDescent="0.25">
      <c r="B329" s="186">
        <v>45056</v>
      </c>
      <c r="C329" s="41">
        <v>6</v>
      </c>
      <c r="D329" s="188">
        <v>5</v>
      </c>
      <c r="E329" s="189">
        <v>7900</v>
      </c>
      <c r="F329" s="190"/>
      <c r="G329" s="1" t="str">
        <f>IFERROR(IF(ventas_b_mes5[[#This Row],[CUIT]]="","-",VLOOKUP(ventas_b_mes5[[#This Row],[CUIT]],Lista_CUIT[#All],2,0)),"CUIT NO CARGADO")</f>
        <v>-</v>
      </c>
      <c r="H329" s="64">
        <v>4462.8100000000004</v>
      </c>
      <c r="I329" s="191">
        <f>ventas_b_mes5[[#This Row],[IMPORTE NETO]]*0.21</f>
        <v>937.19010000000003</v>
      </c>
      <c r="J329" s="192"/>
      <c r="K329" s="192"/>
      <c r="L329" s="192">
        <f>SUM(ventas_b_mes5[[#This Row],[IMPORTE NETO]:[EXENTO]])</f>
        <v>5400.0001000000002</v>
      </c>
      <c r="M329" s="59"/>
    </row>
    <row r="330" spans="2:13" x14ac:dyDescent="0.25">
      <c r="B330" s="186">
        <v>45056</v>
      </c>
      <c r="C330" s="41">
        <v>6</v>
      </c>
      <c r="D330" s="188">
        <v>7</v>
      </c>
      <c r="E330" s="189">
        <v>4337</v>
      </c>
      <c r="F330" s="190"/>
      <c r="G330" s="1" t="str">
        <f>IFERROR(IF(ventas_b_mes5[[#This Row],[CUIT]]="","-",VLOOKUP(ventas_b_mes5[[#This Row],[CUIT]],Lista_CUIT[#All],2,0)),"CUIT NO CARGADO")</f>
        <v>-</v>
      </c>
      <c r="H330" s="64">
        <v>4132.2299999999996</v>
      </c>
      <c r="I330" s="191">
        <f>ventas_b_mes5[[#This Row],[IMPORTE NETO]]*0.21</f>
        <v>867.76829999999984</v>
      </c>
      <c r="J330" s="192"/>
      <c r="K330" s="192"/>
      <c r="L330" s="192">
        <f>SUM(ventas_b_mes5[[#This Row],[IMPORTE NETO]:[EXENTO]])</f>
        <v>4999.9982999999993</v>
      </c>
      <c r="M330" s="59"/>
    </row>
    <row r="331" spans="2:13" x14ac:dyDescent="0.25">
      <c r="B331" s="186">
        <v>45056</v>
      </c>
      <c r="C331" s="41">
        <v>6</v>
      </c>
      <c r="D331" s="188">
        <v>5</v>
      </c>
      <c r="E331" s="189">
        <v>7894</v>
      </c>
      <c r="F331" s="190"/>
      <c r="G331" s="1" t="str">
        <f>IFERROR(IF(ventas_b_mes5[[#This Row],[CUIT]]="","-",VLOOKUP(ventas_b_mes5[[#This Row],[CUIT]],Lista_CUIT[#All],2,0)),"CUIT NO CARGADO")</f>
        <v>-</v>
      </c>
      <c r="H331" s="64">
        <v>6198.35</v>
      </c>
      <c r="I331" s="191">
        <f>ventas_b_mes5[[#This Row],[IMPORTE NETO]]*0.21</f>
        <v>1301.6535000000001</v>
      </c>
      <c r="J331" s="192"/>
      <c r="K331" s="192"/>
      <c r="L331" s="192">
        <f>SUM(ventas_b_mes5[[#This Row],[IMPORTE NETO]:[EXENTO]])</f>
        <v>7500.0035000000007</v>
      </c>
      <c r="M331" s="59"/>
    </row>
    <row r="332" spans="2:13" x14ac:dyDescent="0.25">
      <c r="B332" s="186">
        <v>45056</v>
      </c>
      <c r="C332" s="41">
        <v>6</v>
      </c>
      <c r="D332" s="188">
        <v>5</v>
      </c>
      <c r="E332" s="189">
        <v>7896</v>
      </c>
      <c r="F332" s="190"/>
      <c r="G332" s="1" t="str">
        <f>IFERROR(IF(ventas_b_mes5[[#This Row],[CUIT]]="","-",VLOOKUP(ventas_b_mes5[[#This Row],[CUIT]],Lista_CUIT[#All],2,0)),"CUIT NO CARGADO")</f>
        <v>-</v>
      </c>
      <c r="H332" s="64">
        <v>5165.29</v>
      </c>
      <c r="I332" s="191">
        <f>ventas_b_mes5[[#This Row],[IMPORTE NETO]]*0.21</f>
        <v>1084.7109</v>
      </c>
      <c r="J332" s="192"/>
      <c r="K332" s="192"/>
      <c r="L332" s="192">
        <f>SUM(ventas_b_mes5[[#This Row],[IMPORTE NETO]:[EXENTO]])</f>
        <v>6250.0009</v>
      </c>
      <c r="M332" s="59"/>
    </row>
    <row r="333" spans="2:13" x14ac:dyDescent="0.25">
      <c r="B333" s="186">
        <v>45056</v>
      </c>
      <c r="C333" s="41">
        <v>6</v>
      </c>
      <c r="D333" s="188">
        <v>5</v>
      </c>
      <c r="E333" s="189">
        <v>7895</v>
      </c>
      <c r="F333" s="190"/>
      <c r="G333" s="1" t="str">
        <f>IFERROR(IF(ventas_b_mes5[[#This Row],[CUIT]]="","-",VLOOKUP(ventas_b_mes5[[#This Row],[CUIT]],Lista_CUIT[#All],2,0)),"CUIT NO CARGADO")</f>
        <v>-</v>
      </c>
      <c r="H333" s="64">
        <v>2479.34</v>
      </c>
      <c r="I333" s="191">
        <f>ventas_b_mes5[[#This Row],[IMPORTE NETO]]*0.21</f>
        <v>520.66139999999996</v>
      </c>
      <c r="J333" s="192"/>
      <c r="K333" s="192"/>
      <c r="L333" s="192">
        <f>SUM(ventas_b_mes5[[#This Row],[IMPORTE NETO]:[EXENTO]])</f>
        <v>3000.0014000000001</v>
      </c>
      <c r="M333" s="59"/>
    </row>
    <row r="334" spans="2:13" x14ac:dyDescent="0.25">
      <c r="B334" s="186">
        <v>45056</v>
      </c>
      <c r="C334" s="41">
        <v>6</v>
      </c>
      <c r="D334" s="188">
        <v>7</v>
      </c>
      <c r="E334" s="189">
        <v>4338</v>
      </c>
      <c r="F334" s="190"/>
      <c r="G334" s="1" t="str">
        <f>IFERROR(IF(ventas_b_mes5[[#This Row],[CUIT]]="","-",VLOOKUP(ventas_b_mes5[[#This Row],[CUIT]],Lista_CUIT[#All],2,0)),"CUIT NO CARGADO")</f>
        <v>-</v>
      </c>
      <c r="H334" s="64">
        <v>3471.08</v>
      </c>
      <c r="I334" s="191">
        <f>ventas_b_mes5[[#This Row],[IMPORTE NETO]]*0.21</f>
        <v>728.92679999999996</v>
      </c>
      <c r="J334" s="192"/>
      <c r="K334" s="192"/>
      <c r="L334" s="192">
        <f>SUM(ventas_b_mes5[[#This Row],[IMPORTE NETO]:[EXENTO]])</f>
        <v>4200.0068000000001</v>
      </c>
      <c r="M334" s="59"/>
    </row>
    <row r="335" spans="2:13" x14ac:dyDescent="0.25">
      <c r="B335" s="186">
        <v>45056</v>
      </c>
      <c r="C335" s="41">
        <v>6</v>
      </c>
      <c r="D335" s="188">
        <v>7</v>
      </c>
      <c r="E335" s="189">
        <v>4343</v>
      </c>
      <c r="F335" s="190"/>
      <c r="G335" s="1" t="str">
        <f>IFERROR(IF(ventas_b_mes5[[#This Row],[CUIT]]="","-",VLOOKUP(ventas_b_mes5[[#This Row],[CUIT]],Lista_CUIT[#All],2,0)),"CUIT NO CARGADO")</f>
        <v>-</v>
      </c>
      <c r="H335" s="64">
        <v>8925.6200000000008</v>
      </c>
      <c r="I335" s="191">
        <f>ventas_b_mes5[[#This Row],[IMPORTE NETO]]*0.21</f>
        <v>1874.3802000000001</v>
      </c>
      <c r="J335" s="192"/>
      <c r="K335" s="192"/>
      <c r="L335" s="192">
        <f>SUM(ventas_b_mes5[[#This Row],[IMPORTE NETO]:[EXENTO]])</f>
        <v>10800.0002</v>
      </c>
      <c r="M335" s="59"/>
    </row>
    <row r="336" spans="2:13" x14ac:dyDescent="0.25">
      <c r="B336" s="186">
        <v>45056</v>
      </c>
      <c r="C336" s="41">
        <v>6</v>
      </c>
      <c r="D336" s="188">
        <v>7</v>
      </c>
      <c r="E336" s="189">
        <v>4342</v>
      </c>
      <c r="F336" s="190"/>
      <c r="G336" s="1" t="str">
        <f>IFERROR(IF(ventas_b_mes5[[#This Row],[CUIT]]="","-",VLOOKUP(ventas_b_mes5[[#This Row],[CUIT]],Lista_CUIT[#All],2,0)),"CUIT NO CARGADO")</f>
        <v>-</v>
      </c>
      <c r="H336" s="64">
        <v>8925.6200000000008</v>
      </c>
      <c r="I336" s="191">
        <f>ventas_b_mes5[[#This Row],[IMPORTE NETO]]*0.21</f>
        <v>1874.3802000000001</v>
      </c>
      <c r="J336" s="192"/>
      <c r="K336" s="192"/>
      <c r="L336" s="192">
        <f>SUM(ventas_b_mes5[[#This Row],[IMPORTE NETO]:[EXENTO]])</f>
        <v>10800.0002</v>
      </c>
      <c r="M336" s="59"/>
    </row>
    <row r="337" spans="2:13" x14ac:dyDescent="0.25">
      <c r="B337" s="186">
        <v>45056</v>
      </c>
      <c r="C337" s="41">
        <v>6</v>
      </c>
      <c r="D337" s="188">
        <v>7</v>
      </c>
      <c r="E337" s="189">
        <v>4339</v>
      </c>
      <c r="F337" s="190"/>
      <c r="G337" s="1" t="str">
        <f>IFERROR(IF(ventas_b_mes5[[#This Row],[CUIT]]="","-",VLOOKUP(ventas_b_mes5[[#This Row],[CUIT]],Lista_CUIT[#All],2,0)),"CUIT NO CARGADO")</f>
        <v>-</v>
      </c>
      <c r="H337" s="64">
        <v>5785.12</v>
      </c>
      <c r="I337" s="191">
        <f>ventas_b_mes5[[#This Row],[IMPORTE NETO]]*0.21</f>
        <v>1214.8751999999999</v>
      </c>
      <c r="J337" s="192"/>
      <c r="K337" s="192"/>
      <c r="L337" s="192">
        <f>SUM(ventas_b_mes5[[#This Row],[IMPORTE NETO]:[EXENTO]])</f>
        <v>6999.9951999999994</v>
      </c>
      <c r="M337" s="59"/>
    </row>
    <row r="338" spans="2:13" x14ac:dyDescent="0.25">
      <c r="B338" s="186">
        <v>45056</v>
      </c>
      <c r="C338" s="41">
        <v>6</v>
      </c>
      <c r="D338" s="188">
        <v>7</v>
      </c>
      <c r="E338" s="189">
        <v>4341</v>
      </c>
      <c r="F338" s="190"/>
      <c r="G338" s="1" t="str">
        <f>IFERROR(IF(ventas_b_mes5[[#This Row],[CUIT]]="","-",VLOOKUP(ventas_b_mes5[[#This Row],[CUIT]],Lista_CUIT[#All],2,0)),"CUIT NO CARGADO")</f>
        <v>-</v>
      </c>
      <c r="H338" s="64">
        <v>19421.490000000002</v>
      </c>
      <c r="I338" s="191">
        <f>ventas_b_mes5[[#This Row],[IMPORTE NETO]]*0.21</f>
        <v>4078.5129000000002</v>
      </c>
      <c r="J338" s="192"/>
      <c r="K338" s="192"/>
      <c r="L338" s="192">
        <f>SUM(ventas_b_mes5[[#This Row],[IMPORTE NETO]:[EXENTO]])</f>
        <v>23500.002900000003</v>
      </c>
      <c r="M338" s="59"/>
    </row>
    <row r="339" spans="2:13" x14ac:dyDescent="0.25">
      <c r="B339" s="186">
        <v>45057</v>
      </c>
      <c r="C339" s="41">
        <v>6</v>
      </c>
      <c r="D339" s="188">
        <v>7</v>
      </c>
      <c r="E339" s="189">
        <v>4348</v>
      </c>
      <c r="F339" s="190"/>
      <c r="G339" s="1" t="str">
        <f>IFERROR(IF(ventas_b_mes5[[#This Row],[CUIT]]="","-",VLOOKUP(ventas_b_mes5[[#This Row],[CUIT]],Lista_CUIT[#All],2,0)),"CUIT NO CARGADO")</f>
        <v>-</v>
      </c>
      <c r="H339" s="64">
        <v>4958.68</v>
      </c>
      <c r="I339" s="191">
        <f>ventas_b_mes5[[#This Row],[IMPORTE NETO]]*0.21</f>
        <v>1041.3227999999999</v>
      </c>
      <c r="J339" s="192"/>
      <c r="K339" s="192"/>
      <c r="L339" s="192">
        <f>SUM(ventas_b_mes5[[#This Row],[IMPORTE NETO]:[EXENTO]])</f>
        <v>6000.0028000000002</v>
      </c>
      <c r="M339" s="59"/>
    </row>
    <row r="340" spans="2:13" x14ac:dyDescent="0.25">
      <c r="B340" s="186">
        <v>45057</v>
      </c>
      <c r="C340" s="41">
        <v>6</v>
      </c>
      <c r="D340" s="188">
        <v>7</v>
      </c>
      <c r="E340" s="189">
        <v>4352</v>
      </c>
      <c r="F340" s="190"/>
      <c r="G340" s="1" t="str">
        <f>IFERROR(IF(ventas_b_mes5[[#This Row],[CUIT]]="","-",VLOOKUP(ventas_b_mes5[[#This Row],[CUIT]],Lista_CUIT[#All],2,0)),"CUIT NO CARGADO")</f>
        <v>-</v>
      </c>
      <c r="H340" s="64">
        <v>5619.83</v>
      </c>
      <c r="I340" s="191">
        <f>ventas_b_mes5[[#This Row],[IMPORTE NETO]]*0.21</f>
        <v>1180.1642999999999</v>
      </c>
      <c r="J340" s="192"/>
      <c r="K340" s="192"/>
      <c r="L340" s="192">
        <f>SUM(ventas_b_mes5[[#This Row],[IMPORTE NETO]:[EXENTO]])</f>
        <v>6799.9943000000003</v>
      </c>
      <c r="M340" s="59"/>
    </row>
    <row r="341" spans="2:13" x14ac:dyDescent="0.25">
      <c r="B341" s="186">
        <v>45057</v>
      </c>
      <c r="C341" s="41">
        <v>6</v>
      </c>
      <c r="D341" s="188">
        <v>5</v>
      </c>
      <c r="E341" s="189">
        <v>7908</v>
      </c>
      <c r="F341" s="190"/>
      <c r="G341" s="1" t="str">
        <f>IFERROR(IF(ventas_b_mes5[[#This Row],[CUIT]]="","-",VLOOKUP(ventas_b_mes5[[#This Row],[CUIT]],Lista_CUIT[#All],2,0)),"CUIT NO CARGADO")</f>
        <v>-</v>
      </c>
      <c r="H341" s="64">
        <v>5330.58</v>
      </c>
      <c r="I341" s="191">
        <f>ventas_b_mes5[[#This Row],[IMPORTE NETO]]*0.21</f>
        <v>1119.4217999999998</v>
      </c>
      <c r="J341" s="192"/>
      <c r="K341" s="192"/>
      <c r="L341" s="192">
        <f>SUM(ventas_b_mes5[[#This Row],[IMPORTE NETO]:[EXENTO]])</f>
        <v>6450.0018</v>
      </c>
      <c r="M341" s="59"/>
    </row>
    <row r="342" spans="2:13" x14ac:dyDescent="0.25">
      <c r="B342" s="186">
        <v>45057</v>
      </c>
      <c r="C342" s="41">
        <v>6</v>
      </c>
      <c r="D342" s="188">
        <v>5</v>
      </c>
      <c r="E342" s="189">
        <v>7913</v>
      </c>
      <c r="F342" s="190"/>
      <c r="G342" s="1" t="str">
        <f>IFERROR(IF(ventas_b_mes5[[#This Row],[CUIT]]="","-",VLOOKUP(ventas_b_mes5[[#This Row],[CUIT]],Lista_CUIT[#All],2,0)),"CUIT NO CARGADO")</f>
        <v>-</v>
      </c>
      <c r="H342" s="64">
        <v>2809.92</v>
      </c>
      <c r="I342" s="191">
        <f>ventas_b_mes5[[#This Row],[IMPORTE NETO]]*0.21</f>
        <v>590.08320000000003</v>
      </c>
      <c r="J342" s="192"/>
      <c r="K342" s="192"/>
      <c r="L342" s="192">
        <f>SUM(ventas_b_mes5[[#This Row],[IMPORTE NETO]:[EXENTO]])</f>
        <v>3400.0032000000001</v>
      </c>
      <c r="M342" s="59"/>
    </row>
    <row r="343" spans="2:13" x14ac:dyDescent="0.25">
      <c r="B343" s="186">
        <v>45057</v>
      </c>
      <c r="C343" s="41">
        <v>6</v>
      </c>
      <c r="D343" s="188">
        <v>7</v>
      </c>
      <c r="E343" s="189">
        <v>4344</v>
      </c>
      <c r="F343" s="190"/>
      <c r="G343" s="1" t="str">
        <f>IFERROR(IF(ventas_b_mes5[[#This Row],[CUIT]]="","-",VLOOKUP(ventas_b_mes5[[#This Row],[CUIT]],Lista_CUIT[#All],2,0)),"CUIT NO CARGADO")</f>
        <v>-</v>
      </c>
      <c r="H343" s="64">
        <v>1719.01</v>
      </c>
      <c r="I343" s="191">
        <f>ventas_b_mes5[[#This Row],[IMPORTE NETO]]*0.21</f>
        <v>360.99209999999999</v>
      </c>
      <c r="J343" s="192"/>
      <c r="K343" s="192"/>
      <c r="L343" s="192">
        <f>SUM(ventas_b_mes5[[#This Row],[IMPORTE NETO]:[EXENTO]])</f>
        <v>2080.0021000000002</v>
      </c>
      <c r="M343" s="59"/>
    </row>
    <row r="344" spans="2:13" x14ac:dyDescent="0.25">
      <c r="B344" s="186">
        <v>45057</v>
      </c>
      <c r="C344" s="41">
        <v>6</v>
      </c>
      <c r="D344" s="188">
        <v>5</v>
      </c>
      <c r="E344" s="189">
        <v>7904</v>
      </c>
      <c r="F344" s="190"/>
      <c r="G344" s="1" t="str">
        <f>IFERROR(IF(ventas_b_mes5[[#This Row],[CUIT]]="","-",VLOOKUP(ventas_b_mes5[[#This Row],[CUIT]],Lista_CUIT[#All],2,0)),"CUIT NO CARGADO")</f>
        <v>-</v>
      </c>
      <c r="H344" s="64">
        <v>3305.79</v>
      </c>
      <c r="I344" s="191">
        <f>ventas_b_mes5[[#This Row],[IMPORTE NETO]]*0.21</f>
        <v>694.21589999999992</v>
      </c>
      <c r="J344" s="192"/>
      <c r="K344" s="192"/>
      <c r="L344" s="192">
        <f>SUM(ventas_b_mes5[[#This Row],[IMPORTE NETO]:[EXENTO]])</f>
        <v>4000.0059000000001</v>
      </c>
      <c r="M344" s="59"/>
    </row>
    <row r="345" spans="2:13" x14ac:dyDescent="0.25">
      <c r="B345" s="186">
        <v>45057</v>
      </c>
      <c r="C345" s="41">
        <v>6</v>
      </c>
      <c r="D345" s="188">
        <v>5</v>
      </c>
      <c r="E345" s="189">
        <v>7909</v>
      </c>
      <c r="F345" s="190"/>
      <c r="G345" s="1" t="str">
        <f>IFERROR(IF(ventas_b_mes5[[#This Row],[CUIT]]="","-",VLOOKUP(ventas_b_mes5[[#This Row],[CUIT]],Lista_CUIT[#All],2,0)),"CUIT NO CARGADO")</f>
        <v>-</v>
      </c>
      <c r="H345" s="64">
        <v>2809.92</v>
      </c>
      <c r="I345" s="191">
        <f>ventas_b_mes5[[#This Row],[IMPORTE NETO]]*0.21</f>
        <v>590.08320000000003</v>
      </c>
      <c r="J345" s="192"/>
      <c r="K345" s="192"/>
      <c r="L345" s="192">
        <f>SUM(ventas_b_mes5[[#This Row],[IMPORTE NETO]:[EXENTO]])</f>
        <v>3400.0032000000001</v>
      </c>
      <c r="M345" s="59"/>
    </row>
    <row r="346" spans="2:13" x14ac:dyDescent="0.25">
      <c r="B346" s="186">
        <v>45057</v>
      </c>
      <c r="C346" s="41">
        <v>6</v>
      </c>
      <c r="D346" s="188">
        <v>5</v>
      </c>
      <c r="E346" s="189">
        <v>7912</v>
      </c>
      <c r="F346" s="190"/>
      <c r="G346" s="1" t="str">
        <f>IFERROR(IF(ventas_b_mes5[[#This Row],[CUIT]]="","-",VLOOKUP(ventas_b_mes5[[#This Row],[CUIT]],Lista_CUIT[#All],2,0)),"CUIT NO CARGADO")</f>
        <v>-</v>
      </c>
      <c r="H346" s="64">
        <v>5330.58</v>
      </c>
      <c r="I346" s="191">
        <f>ventas_b_mes5[[#This Row],[IMPORTE NETO]]*0.21</f>
        <v>1119.4217999999998</v>
      </c>
      <c r="J346" s="192"/>
      <c r="K346" s="192"/>
      <c r="L346" s="192">
        <f>SUM(ventas_b_mes5[[#This Row],[IMPORTE NETO]:[EXENTO]])</f>
        <v>6450.0018</v>
      </c>
      <c r="M346" s="59"/>
    </row>
    <row r="347" spans="2:13" x14ac:dyDescent="0.25">
      <c r="B347" s="186">
        <v>45057</v>
      </c>
      <c r="C347" s="41">
        <v>6</v>
      </c>
      <c r="D347" s="188">
        <v>7</v>
      </c>
      <c r="E347" s="189">
        <v>4346</v>
      </c>
      <c r="F347" s="190"/>
      <c r="G347" s="1" t="str">
        <f>IFERROR(IF(ventas_b_mes5[[#This Row],[CUIT]]="","-",VLOOKUP(ventas_b_mes5[[#This Row],[CUIT]],Lista_CUIT[#All],2,0)),"CUIT NO CARGADO")</f>
        <v>-</v>
      </c>
      <c r="H347" s="64">
        <v>24793.39</v>
      </c>
      <c r="I347" s="191">
        <f>ventas_b_mes5[[#This Row],[IMPORTE NETO]]*0.21</f>
        <v>5206.6118999999999</v>
      </c>
      <c r="J347" s="192"/>
      <c r="K347" s="192"/>
      <c r="L347" s="192">
        <f>SUM(ventas_b_mes5[[#This Row],[IMPORTE NETO]:[EXENTO]])</f>
        <v>30000.001899999999</v>
      </c>
      <c r="M347" s="59"/>
    </row>
    <row r="348" spans="2:13" x14ac:dyDescent="0.25">
      <c r="B348" s="40">
        <v>45057</v>
      </c>
      <c r="C348" s="41">
        <v>6</v>
      </c>
      <c r="D348" s="42">
        <v>7</v>
      </c>
      <c r="E348" s="43">
        <v>4350</v>
      </c>
      <c r="F348" s="44"/>
      <c r="G348" s="1"/>
      <c r="H348" s="64">
        <v>45371.9</v>
      </c>
      <c r="I348" s="64">
        <f>ventas_b_mes5[[#This Row],[IMPORTE NETO]]*0.21</f>
        <v>9528.0990000000002</v>
      </c>
      <c r="J348" s="64"/>
      <c r="K348" s="64"/>
      <c r="L348" s="64">
        <f>SUM(ventas_b_mes5[[#This Row],[IMPORTE NETO]:[EXENTO]])</f>
        <v>54899.999000000003</v>
      </c>
      <c r="M348" s="59"/>
    </row>
    <row r="349" spans="2:13" x14ac:dyDescent="0.25">
      <c r="B349" s="40">
        <v>45057</v>
      </c>
      <c r="C349" s="41">
        <v>6</v>
      </c>
      <c r="D349" s="42">
        <v>5</v>
      </c>
      <c r="E349" s="43">
        <v>7916</v>
      </c>
      <c r="F349" s="44"/>
      <c r="G349" s="1"/>
      <c r="H349" s="64">
        <v>3057.85</v>
      </c>
      <c r="I349" s="64">
        <f>ventas_b_mes5[[#This Row],[IMPORTE NETO]]*0.21</f>
        <v>642.14850000000001</v>
      </c>
      <c r="J349" s="64"/>
      <c r="K349" s="64"/>
      <c r="L349" s="64">
        <f>SUM(ventas_b_mes5[[#This Row],[IMPORTE NETO]:[EXENTO]])</f>
        <v>3699.9984999999997</v>
      </c>
      <c r="M349" s="59"/>
    </row>
    <row r="350" spans="2:13" x14ac:dyDescent="0.25">
      <c r="B350" s="40">
        <v>45057</v>
      </c>
      <c r="C350" s="41">
        <v>6</v>
      </c>
      <c r="D350" s="42">
        <v>7</v>
      </c>
      <c r="E350" s="43">
        <v>4353</v>
      </c>
      <c r="F350" s="44"/>
      <c r="G350" s="1"/>
      <c r="H350" s="64">
        <v>5702.48</v>
      </c>
      <c r="I350" s="64">
        <f>ventas_b_mes5[[#This Row],[IMPORTE NETO]]*0.21</f>
        <v>1197.5207999999998</v>
      </c>
      <c r="J350" s="64"/>
      <c r="K350" s="64"/>
      <c r="L350" s="64">
        <f>SUM(ventas_b_mes5[[#This Row],[IMPORTE NETO]:[EXENTO]])</f>
        <v>6900.0007999999998</v>
      </c>
      <c r="M350" s="59"/>
    </row>
    <row r="351" spans="2:13" x14ac:dyDescent="0.25">
      <c r="B351" s="40">
        <v>45057</v>
      </c>
      <c r="C351" s="41">
        <v>6</v>
      </c>
      <c r="D351" s="42">
        <v>5</v>
      </c>
      <c r="E351" s="43">
        <v>7907</v>
      </c>
      <c r="F351" s="44"/>
      <c r="G351" s="1"/>
      <c r="H351" s="64">
        <v>7851.24</v>
      </c>
      <c r="I351" s="64">
        <f>ventas_b_mes5[[#This Row],[IMPORTE NETO]]*0.21</f>
        <v>1648.7603999999999</v>
      </c>
      <c r="J351" s="64"/>
      <c r="K351" s="64"/>
      <c r="L351" s="64">
        <f>SUM(ventas_b_mes5[[#This Row],[IMPORTE NETO]:[EXENTO]])</f>
        <v>9500.000399999999</v>
      </c>
      <c r="M351" s="59"/>
    </row>
    <row r="352" spans="2:13" x14ac:dyDescent="0.25">
      <c r="B352" s="40">
        <v>45057</v>
      </c>
      <c r="C352" s="41">
        <v>6</v>
      </c>
      <c r="D352" s="42">
        <v>5</v>
      </c>
      <c r="E352" s="43">
        <v>7906</v>
      </c>
      <c r="F352" s="44"/>
      <c r="G352" s="1"/>
      <c r="H352" s="64">
        <v>7851.24</v>
      </c>
      <c r="I352" s="64">
        <f>ventas_b_mes5[[#This Row],[IMPORTE NETO]]*0.21</f>
        <v>1648.7603999999999</v>
      </c>
      <c r="J352" s="64"/>
      <c r="K352" s="64"/>
      <c r="L352" s="64">
        <f>SUM(ventas_b_mes5[[#This Row],[IMPORTE NETO]:[EXENTO]])</f>
        <v>9500.000399999999</v>
      </c>
      <c r="M352" s="59"/>
    </row>
    <row r="353" spans="2:13" x14ac:dyDescent="0.25">
      <c r="B353" s="186">
        <v>45057</v>
      </c>
      <c r="C353" s="41">
        <v>6</v>
      </c>
      <c r="D353" s="188">
        <v>5</v>
      </c>
      <c r="E353" s="189">
        <v>7903</v>
      </c>
      <c r="F353" s="190"/>
      <c r="G353" s="1" t="str">
        <f>IFERROR(IF(ventas_b_mes5[[#This Row],[CUIT]]="","-",VLOOKUP(ventas_b_mes5[[#This Row],[CUIT]],Lista_CUIT[#All],2,0)),"CUIT NO CARGADO")</f>
        <v>-</v>
      </c>
      <c r="H353" s="64">
        <v>3099.17</v>
      </c>
      <c r="I353" s="191">
        <f>ventas_b_mes5[[#This Row],[IMPORTE NETO]]*0.21</f>
        <v>650.82569999999998</v>
      </c>
      <c r="J353" s="192"/>
      <c r="K353" s="192"/>
      <c r="L353" s="192">
        <f>SUM(ventas_b_mes5[[#This Row],[IMPORTE NETO]:[EXENTO]])</f>
        <v>3749.9956999999999</v>
      </c>
      <c r="M353" s="59"/>
    </row>
    <row r="354" spans="2:13" x14ac:dyDescent="0.25">
      <c r="B354" s="186">
        <v>45057</v>
      </c>
      <c r="C354" s="41">
        <v>6</v>
      </c>
      <c r="D354" s="188">
        <v>7</v>
      </c>
      <c r="E354" s="189">
        <v>4354</v>
      </c>
      <c r="F354" s="190"/>
      <c r="G354" s="1" t="str">
        <f>IFERROR(IF(ventas_b_mes5[[#This Row],[CUIT]]="","-",VLOOKUP(ventas_b_mes5[[#This Row],[CUIT]],Lista_CUIT[#All],2,0)),"CUIT NO CARGADO")</f>
        <v>-</v>
      </c>
      <c r="H354" s="64">
        <v>3966.94</v>
      </c>
      <c r="I354" s="191">
        <f>ventas_b_mes5[[#This Row],[IMPORTE NETO]]*0.21</f>
        <v>833.05740000000003</v>
      </c>
      <c r="J354" s="192"/>
      <c r="K354" s="192"/>
      <c r="L354" s="192">
        <f>SUM(ventas_b_mes5[[#This Row],[IMPORTE NETO]:[EXENTO]])</f>
        <v>4799.9974000000002</v>
      </c>
      <c r="M354" s="59"/>
    </row>
    <row r="355" spans="2:13" x14ac:dyDescent="0.25">
      <c r="B355" s="186">
        <v>45057</v>
      </c>
      <c r="C355" s="41">
        <v>6</v>
      </c>
      <c r="D355" s="188">
        <v>5</v>
      </c>
      <c r="E355" s="189">
        <v>7905</v>
      </c>
      <c r="F355" s="190"/>
      <c r="G355" s="1" t="str">
        <f>IFERROR(IF(ventas_b_mes5[[#This Row],[CUIT]]="","-",VLOOKUP(ventas_b_mes5[[#This Row],[CUIT]],Lista_CUIT[#All],2,0)),"CUIT NO CARGADO")</f>
        <v>-</v>
      </c>
      <c r="H355" s="64">
        <v>2809.92</v>
      </c>
      <c r="I355" s="191">
        <f>ventas_b_mes5[[#This Row],[IMPORTE NETO]]*0.21</f>
        <v>590.08320000000003</v>
      </c>
      <c r="J355" s="192"/>
      <c r="K355" s="192"/>
      <c r="L355" s="192">
        <f>SUM(ventas_b_mes5[[#This Row],[IMPORTE NETO]:[EXENTO]])</f>
        <v>3400.0032000000001</v>
      </c>
      <c r="M355" s="59"/>
    </row>
    <row r="356" spans="2:13" x14ac:dyDescent="0.25">
      <c r="B356" s="186">
        <v>45057</v>
      </c>
      <c r="C356" s="41">
        <v>6</v>
      </c>
      <c r="D356" s="188">
        <v>5</v>
      </c>
      <c r="E356" s="189">
        <v>7911</v>
      </c>
      <c r="F356" s="190"/>
      <c r="G356" s="1" t="str">
        <f>IFERROR(IF(ventas_b_mes5[[#This Row],[CUIT]]="","-",VLOOKUP(ventas_b_mes5[[#This Row],[CUIT]],Lista_CUIT[#All],2,0)),"CUIT NO CARGADO")</f>
        <v>-</v>
      </c>
      <c r="H356" s="64">
        <v>5454.55</v>
      </c>
      <c r="I356" s="191">
        <f>ventas_b_mes5[[#This Row],[IMPORTE NETO]]*0.21</f>
        <v>1145.4555</v>
      </c>
      <c r="J356" s="192"/>
      <c r="K356" s="192"/>
      <c r="L356" s="192">
        <f>SUM(ventas_b_mes5[[#This Row],[IMPORTE NETO]:[EXENTO]])</f>
        <v>6600.0055000000002</v>
      </c>
      <c r="M356" s="59"/>
    </row>
    <row r="357" spans="2:13" x14ac:dyDescent="0.25">
      <c r="B357" s="186">
        <v>45057</v>
      </c>
      <c r="C357" s="41">
        <v>6</v>
      </c>
      <c r="D357" s="188">
        <v>7</v>
      </c>
      <c r="E357" s="189">
        <v>4349</v>
      </c>
      <c r="F357" s="190"/>
      <c r="G357" s="1" t="str">
        <f>IFERROR(IF(ventas_b_mes5[[#This Row],[CUIT]]="","-",VLOOKUP(ventas_b_mes5[[#This Row],[CUIT]],Lista_CUIT[#All],2,0)),"CUIT NO CARGADO")</f>
        <v>-</v>
      </c>
      <c r="H357" s="64">
        <v>3057.85</v>
      </c>
      <c r="I357" s="191">
        <f>ventas_b_mes5[[#This Row],[IMPORTE NETO]]*0.21</f>
        <v>642.14850000000001</v>
      </c>
      <c r="J357" s="192"/>
      <c r="K357" s="192"/>
      <c r="L357" s="192">
        <f>SUM(ventas_b_mes5[[#This Row],[IMPORTE NETO]:[EXENTO]])</f>
        <v>3699.9984999999997</v>
      </c>
      <c r="M357" s="59"/>
    </row>
    <row r="358" spans="2:13" x14ac:dyDescent="0.25">
      <c r="B358" s="186">
        <v>45057</v>
      </c>
      <c r="C358" s="41">
        <v>6</v>
      </c>
      <c r="D358" s="188">
        <v>7</v>
      </c>
      <c r="E358" s="189">
        <v>4345</v>
      </c>
      <c r="F358" s="190"/>
      <c r="G358" s="1" t="str">
        <f>IFERROR(IF(ventas_b_mes5[[#This Row],[CUIT]]="","-",VLOOKUP(ventas_b_mes5[[#This Row],[CUIT]],Lista_CUIT[#All],2,0)),"CUIT NO CARGADO")</f>
        <v>-</v>
      </c>
      <c r="H358" s="64">
        <v>4214.88</v>
      </c>
      <c r="I358" s="191">
        <f>ventas_b_mes5[[#This Row],[IMPORTE NETO]]*0.21</f>
        <v>885.12479999999994</v>
      </c>
      <c r="J358" s="192"/>
      <c r="K358" s="192"/>
      <c r="L358" s="192">
        <f>SUM(ventas_b_mes5[[#This Row],[IMPORTE NETO]:[EXENTO]])</f>
        <v>5100.0047999999997</v>
      </c>
      <c r="M358" s="59"/>
    </row>
    <row r="359" spans="2:13" x14ac:dyDescent="0.25">
      <c r="B359" s="186">
        <v>45057</v>
      </c>
      <c r="C359" s="41">
        <v>6</v>
      </c>
      <c r="D359" s="188">
        <v>7</v>
      </c>
      <c r="E359" s="189">
        <v>4347</v>
      </c>
      <c r="F359" s="190"/>
      <c r="G359" s="1" t="str">
        <f>IFERROR(IF(ventas_b_mes5[[#This Row],[CUIT]]="","-",VLOOKUP(ventas_b_mes5[[#This Row],[CUIT]],Lista_CUIT[#All],2,0)),"CUIT NO CARGADO")</f>
        <v>-</v>
      </c>
      <c r="H359" s="64">
        <v>4958.68</v>
      </c>
      <c r="I359" s="191">
        <f>ventas_b_mes5[[#This Row],[IMPORTE NETO]]*0.21</f>
        <v>1041.3227999999999</v>
      </c>
      <c r="J359" s="192"/>
      <c r="K359" s="192"/>
      <c r="L359" s="192">
        <f>SUM(ventas_b_mes5[[#This Row],[IMPORTE NETO]:[EXENTO]])</f>
        <v>6000.0028000000002</v>
      </c>
      <c r="M359" s="59"/>
    </row>
    <row r="360" spans="2:13" x14ac:dyDescent="0.25">
      <c r="B360" s="186">
        <v>45057</v>
      </c>
      <c r="C360" s="41">
        <v>6</v>
      </c>
      <c r="D360" s="188">
        <v>7</v>
      </c>
      <c r="E360" s="189">
        <v>4351</v>
      </c>
      <c r="F360" s="190"/>
      <c r="G360" s="1" t="str">
        <f>IFERROR(IF(ventas_b_mes5[[#This Row],[CUIT]]="","-",VLOOKUP(ventas_b_mes5[[#This Row],[CUIT]],Lista_CUIT[#All],2,0)),"CUIT NO CARGADO")</f>
        <v>-</v>
      </c>
      <c r="H360" s="64">
        <v>8677.69</v>
      </c>
      <c r="I360" s="191">
        <f>ventas_b_mes5[[#This Row],[IMPORTE NETO]]*0.21</f>
        <v>1822.3149000000001</v>
      </c>
      <c r="J360" s="192"/>
      <c r="K360" s="192"/>
      <c r="L360" s="192">
        <f>SUM(ventas_b_mes5[[#This Row],[IMPORTE NETO]:[EXENTO]])</f>
        <v>10500.0049</v>
      </c>
      <c r="M360" s="59"/>
    </row>
    <row r="361" spans="2:13" x14ac:dyDescent="0.25">
      <c r="B361" s="186">
        <v>45057</v>
      </c>
      <c r="C361" s="41">
        <v>6</v>
      </c>
      <c r="D361" s="188">
        <v>5</v>
      </c>
      <c r="E361" s="189">
        <v>7910</v>
      </c>
      <c r="F361" s="190"/>
      <c r="G361" s="1" t="str">
        <f>IFERROR(IF(ventas_b_mes5[[#This Row],[CUIT]]="","-",VLOOKUP(ventas_b_mes5[[#This Row],[CUIT]],Lista_CUIT[#All],2,0)),"CUIT NO CARGADO")</f>
        <v>-</v>
      </c>
      <c r="H361" s="64">
        <v>5371.9</v>
      </c>
      <c r="I361" s="191">
        <f>ventas_b_mes5[[#This Row],[IMPORTE NETO]]*0.21</f>
        <v>1128.0989999999999</v>
      </c>
      <c r="J361" s="192"/>
      <c r="K361" s="192"/>
      <c r="L361" s="192">
        <f>SUM(ventas_b_mes5[[#This Row],[IMPORTE NETO]:[EXENTO]])</f>
        <v>6499.9989999999998</v>
      </c>
      <c r="M361" s="59"/>
    </row>
    <row r="362" spans="2:13" x14ac:dyDescent="0.25">
      <c r="B362" s="186">
        <v>45057</v>
      </c>
      <c r="C362" s="41">
        <v>6</v>
      </c>
      <c r="D362" s="188">
        <v>5</v>
      </c>
      <c r="E362" s="189">
        <v>7914</v>
      </c>
      <c r="F362" s="190"/>
      <c r="G362" s="1" t="str">
        <f>IFERROR(IF(ventas_b_mes5[[#This Row],[CUIT]]="","-",VLOOKUP(ventas_b_mes5[[#This Row],[CUIT]],Lista_CUIT[#All],2,0)),"CUIT NO CARGADO")</f>
        <v>-</v>
      </c>
      <c r="H362" s="64">
        <v>7851.24</v>
      </c>
      <c r="I362" s="191">
        <f>ventas_b_mes5[[#This Row],[IMPORTE NETO]]*0.21</f>
        <v>1648.7603999999999</v>
      </c>
      <c r="J362" s="192"/>
      <c r="K362" s="192"/>
      <c r="L362" s="192">
        <f>SUM(ventas_b_mes5[[#This Row],[IMPORTE NETO]:[EXENTO]])</f>
        <v>9500.000399999999</v>
      </c>
      <c r="M362" s="59"/>
    </row>
    <row r="363" spans="2:13" x14ac:dyDescent="0.25">
      <c r="B363" s="186">
        <v>45057</v>
      </c>
      <c r="C363" s="41">
        <v>6</v>
      </c>
      <c r="D363" s="188">
        <v>5</v>
      </c>
      <c r="E363" s="189">
        <v>7915</v>
      </c>
      <c r="F363" s="190"/>
      <c r="G363" s="1" t="str">
        <f>IFERROR(IF(ventas_b_mes5[[#This Row],[CUIT]]="","-",VLOOKUP(ventas_b_mes5[[#This Row],[CUIT]],Lista_CUIT[#All],2,0)),"CUIT NO CARGADO")</f>
        <v>-</v>
      </c>
      <c r="H363" s="64">
        <v>7768.6</v>
      </c>
      <c r="I363" s="191">
        <f>ventas_b_mes5[[#This Row],[IMPORTE NETO]]*0.21</f>
        <v>1631.4059999999999</v>
      </c>
      <c r="J363" s="192"/>
      <c r="K363" s="192"/>
      <c r="L363" s="192">
        <f>SUM(ventas_b_mes5[[#This Row],[IMPORTE NETO]:[EXENTO]])</f>
        <v>9400.0060000000012</v>
      </c>
      <c r="M363" s="59"/>
    </row>
    <row r="364" spans="2:13" x14ac:dyDescent="0.25">
      <c r="B364" s="186">
        <v>45058</v>
      </c>
      <c r="C364" s="41">
        <v>6</v>
      </c>
      <c r="D364" s="188">
        <v>5</v>
      </c>
      <c r="E364" s="189">
        <v>7932</v>
      </c>
      <c r="F364" s="190"/>
      <c r="G364" s="1" t="str">
        <f>IFERROR(IF(ventas_b_mes5[[#This Row],[CUIT]]="","-",VLOOKUP(ventas_b_mes5[[#This Row],[CUIT]],Lista_CUIT[#All],2,0)),"CUIT NO CARGADO")</f>
        <v>-</v>
      </c>
      <c r="H364" s="64">
        <v>6611.57</v>
      </c>
      <c r="I364" s="191">
        <f>ventas_b_mes5[[#This Row],[IMPORTE NETO]]*0.21</f>
        <v>1388.4296999999999</v>
      </c>
      <c r="J364" s="192"/>
      <c r="K364" s="192"/>
      <c r="L364" s="192">
        <f>SUM(ventas_b_mes5[[#This Row],[IMPORTE NETO]:[EXENTO]])</f>
        <v>7999.9996999999994</v>
      </c>
      <c r="M364" s="59"/>
    </row>
    <row r="365" spans="2:13" x14ac:dyDescent="0.25">
      <c r="B365" s="186">
        <v>45058</v>
      </c>
      <c r="C365" s="41">
        <v>6</v>
      </c>
      <c r="D365" s="188">
        <v>5</v>
      </c>
      <c r="E365" s="189">
        <v>7925</v>
      </c>
      <c r="F365" s="190"/>
      <c r="G365" s="1" t="str">
        <f>IFERROR(IF(ventas_b_mes5[[#This Row],[CUIT]]="","-",VLOOKUP(ventas_b_mes5[[#This Row],[CUIT]],Lista_CUIT[#All],2,0)),"CUIT NO CARGADO")</f>
        <v>-</v>
      </c>
      <c r="H365" s="64">
        <v>2314.0500000000002</v>
      </c>
      <c r="I365" s="191">
        <f>ventas_b_mes5[[#This Row],[IMPORTE NETO]]*0.21</f>
        <v>485.95050000000003</v>
      </c>
      <c r="J365" s="192"/>
      <c r="K365" s="192"/>
      <c r="L365" s="192">
        <f>SUM(ventas_b_mes5[[#This Row],[IMPORTE NETO]:[EXENTO]])</f>
        <v>2800.0005000000001</v>
      </c>
      <c r="M365" s="59"/>
    </row>
    <row r="366" spans="2:13" x14ac:dyDescent="0.25">
      <c r="B366" s="186">
        <v>45058</v>
      </c>
      <c r="C366" s="41">
        <v>6</v>
      </c>
      <c r="D366" s="188">
        <v>5</v>
      </c>
      <c r="E366" s="189">
        <v>7921</v>
      </c>
      <c r="F366" s="190"/>
      <c r="G366" s="1" t="str">
        <f>IFERROR(IF(ventas_b_mes5[[#This Row],[CUIT]]="","-",VLOOKUP(ventas_b_mes5[[#This Row],[CUIT]],Lista_CUIT[#All],2,0)),"CUIT NO CARGADO")</f>
        <v>-</v>
      </c>
      <c r="H366" s="64">
        <v>5619.83</v>
      </c>
      <c r="I366" s="191">
        <f>ventas_b_mes5[[#This Row],[IMPORTE NETO]]*0.21</f>
        <v>1180.1642999999999</v>
      </c>
      <c r="J366" s="192"/>
      <c r="K366" s="192"/>
      <c r="L366" s="192">
        <f>SUM(ventas_b_mes5[[#This Row],[IMPORTE NETO]:[EXENTO]])</f>
        <v>6799.9943000000003</v>
      </c>
      <c r="M366" s="59"/>
    </row>
    <row r="367" spans="2:13" x14ac:dyDescent="0.25">
      <c r="B367" s="186">
        <v>45058</v>
      </c>
      <c r="C367" s="41">
        <v>6</v>
      </c>
      <c r="D367" s="188">
        <v>7</v>
      </c>
      <c r="E367" s="189">
        <v>4355</v>
      </c>
      <c r="F367" s="190"/>
      <c r="G367" s="1" t="str">
        <f>IFERROR(IF(ventas_b_mes5[[#This Row],[CUIT]]="","-",VLOOKUP(ventas_b_mes5[[#This Row],[CUIT]],Lista_CUIT[#All],2,0)),"CUIT NO CARGADO")</f>
        <v>-</v>
      </c>
      <c r="H367" s="64">
        <v>4702.4799999999996</v>
      </c>
      <c r="I367" s="191">
        <f>ventas_b_mes5[[#This Row],[IMPORTE NETO]]*0.21</f>
        <v>987.52079999999989</v>
      </c>
      <c r="J367" s="192"/>
      <c r="K367" s="192"/>
      <c r="L367" s="192">
        <f>SUM(ventas_b_mes5[[#This Row],[IMPORTE NETO]:[EXENTO]])</f>
        <v>5690.0007999999998</v>
      </c>
      <c r="M367" s="59"/>
    </row>
    <row r="368" spans="2:13" x14ac:dyDescent="0.25">
      <c r="B368" s="186">
        <v>45058</v>
      </c>
      <c r="C368" s="41">
        <v>6</v>
      </c>
      <c r="D368" s="188">
        <v>5</v>
      </c>
      <c r="E368" s="189">
        <v>7924</v>
      </c>
      <c r="F368" s="190"/>
      <c r="G368" s="1" t="str">
        <f>IFERROR(IF(ventas_b_mes5[[#This Row],[CUIT]]="","-",VLOOKUP(ventas_b_mes5[[#This Row],[CUIT]],Lista_CUIT[#All],2,0)),"CUIT NO CARGADO")</f>
        <v>-</v>
      </c>
      <c r="H368" s="64">
        <v>7190.07</v>
      </c>
      <c r="I368" s="191">
        <f>ventas_b_mes5[[#This Row],[IMPORTE NETO]]*0.21</f>
        <v>1509.9146999999998</v>
      </c>
      <c r="J368" s="192"/>
      <c r="K368" s="192"/>
      <c r="L368" s="192">
        <f>SUM(ventas_b_mes5[[#This Row],[IMPORTE NETO]:[EXENTO]])</f>
        <v>8699.9846999999991</v>
      </c>
      <c r="M368" s="59"/>
    </row>
    <row r="369" spans="2:13" x14ac:dyDescent="0.25">
      <c r="B369" s="186">
        <v>45058</v>
      </c>
      <c r="C369" s="41">
        <v>6</v>
      </c>
      <c r="D369" s="188">
        <v>5</v>
      </c>
      <c r="E369" s="189">
        <v>7926</v>
      </c>
      <c r="F369" s="190"/>
      <c r="G369" s="1" t="str">
        <f>IFERROR(IF(ventas_b_mes5[[#This Row],[CUIT]]="","-",VLOOKUP(ventas_b_mes5[[#This Row],[CUIT]],Lista_CUIT[#All],2,0)),"CUIT NO CARGADO")</f>
        <v>-</v>
      </c>
      <c r="H369" s="64">
        <v>8512.4</v>
      </c>
      <c r="I369" s="191">
        <f>ventas_b_mes5[[#This Row],[IMPORTE NETO]]*0.21</f>
        <v>1787.6039999999998</v>
      </c>
      <c r="J369" s="192"/>
      <c r="K369" s="192"/>
      <c r="L369" s="192">
        <f>SUM(ventas_b_mes5[[#This Row],[IMPORTE NETO]:[EXENTO]])</f>
        <v>10300.003999999999</v>
      </c>
      <c r="M369" s="59"/>
    </row>
    <row r="370" spans="2:13" x14ac:dyDescent="0.25">
      <c r="B370" s="186">
        <v>45058</v>
      </c>
      <c r="C370" s="41">
        <v>6</v>
      </c>
      <c r="D370" s="188">
        <v>5</v>
      </c>
      <c r="E370" s="189">
        <v>7919</v>
      </c>
      <c r="F370" s="190"/>
      <c r="G370" s="1" t="str">
        <f>IFERROR(IF(ventas_b_mes5[[#This Row],[CUIT]]="","-",VLOOKUP(ventas_b_mes5[[#This Row],[CUIT]],Lista_CUIT[#All],2,0)),"CUIT NO CARGADO")</f>
        <v>-</v>
      </c>
      <c r="H370" s="64">
        <v>5619.83</v>
      </c>
      <c r="I370" s="191">
        <f>ventas_b_mes5[[#This Row],[IMPORTE NETO]]*0.21</f>
        <v>1180.1642999999999</v>
      </c>
      <c r="J370" s="192"/>
      <c r="K370" s="192"/>
      <c r="L370" s="192">
        <f>SUM(ventas_b_mes5[[#This Row],[IMPORTE NETO]:[EXENTO]])</f>
        <v>6799.9943000000003</v>
      </c>
      <c r="M370" s="59"/>
    </row>
    <row r="371" spans="2:13" x14ac:dyDescent="0.25">
      <c r="B371" s="186">
        <v>45058</v>
      </c>
      <c r="C371" s="41">
        <v>6</v>
      </c>
      <c r="D371" s="188">
        <v>5</v>
      </c>
      <c r="E371" s="189">
        <v>7922</v>
      </c>
      <c r="F371" s="190"/>
      <c r="G371" s="1" t="str">
        <f>IFERROR(IF(ventas_b_mes5[[#This Row],[CUIT]]="","-",VLOOKUP(ventas_b_mes5[[#This Row],[CUIT]],Lista_CUIT[#All],2,0)),"CUIT NO CARGADO")</f>
        <v>-</v>
      </c>
      <c r="H371" s="64">
        <v>7107.44</v>
      </c>
      <c r="I371" s="191">
        <f>ventas_b_mes5[[#This Row],[IMPORTE NETO]]*0.21</f>
        <v>1492.5623999999998</v>
      </c>
      <c r="J371" s="192"/>
      <c r="K371" s="192"/>
      <c r="L371" s="192">
        <f>SUM(ventas_b_mes5[[#This Row],[IMPORTE NETO]:[EXENTO]])</f>
        <v>8600.0023999999994</v>
      </c>
      <c r="M371" s="59"/>
    </row>
    <row r="372" spans="2:13" x14ac:dyDescent="0.25">
      <c r="B372" s="186">
        <v>45058</v>
      </c>
      <c r="C372" s="41">
        <v>6</v>
      </c>
      <c r="D372" s="188">
        <v>5</v>
      </c>
      <c r="E372" s="189">
        <v>7929</v>
      </c>
      <c r="F372" s="190"/>
      <c r="G372" s="1" t="str">
        <f>IFERROR(IF(ventas_b_mes5[[#This Row],[CUIT]]="","-",VLOOKUP(ventas_b_mes5[[#This Row],[CUIT]],Lista_CUIT[#All],2,0)),"CUIT NO CARGADO")</f>
        <v>-</v>
      </c>
      <c r="H372" s="64">
        <v>12148.77</v>
      </c>
      <c r="I372" s="191">
        <f>ventas_b_mes5[[#This Row],[IMPORTE NETO]]*0.21</f>
        <v>2551.2417</v>
      </c>
      <c r="J372" s="192"/>
      <c r="K372" s="192"/>
      <c r="L372" s="192">
        <f>SUM(ventas_b_mes5[[#This Row],[IMPORTE NETO]:[EXENTO]])</f>
        <v>14700.011700000001</v>
      </c>
      <c r="M372" s="59"/>
    </row>
    <row r="373" spans="2:13" x14ac:dyDescent="0.25">
      <c r="B373" s="186">
        <v>45058</v>
      </c>
      <c r="C373" s="41">
        <v>6</v>
      </c>
      <c r="D373" s="188">
        <v>5</v>
      </c>
      <c r="E373" s="189">
        <v>7923</v>
      </c>
      <c r="F373" s="190"/>
      <c r="G373" s="1" t="str">
        <f>IFERROR(IF(ventas_b_mes5[[#This Row],[CUIT]]="","-",VLOOKUP(ventas_b_mes5[[#This Row],[CUIT]],Lista_CUIT[#All],2,0)),"CUIT NO CARGADO")</f>
        <v>-</v>
      </c>
      <c r="H373" s="64">
        <v>6198.35</v>
      </c>
      <c r="I373" s="191">
        <f>ventas_b_mes5[[#This Row],[IMPORTE NETO]]*0.21</f>
        <v>1301.6535000000001</v>
      </c>
      <c r="J373" s="192"/>
      <c r="K373" s="192"/>
      <c r="L373" s="192">
        <f>SUM(ventas_b_mes5[[#This Row],[IMPORTE NETO]:[EXENTO]])</f>
        <v>7500.0035000000007</v>
      </c>
      <c r="M373" s="59"/>
    </row>
    <row r="374" spans="2:13" x14ac:dyDescent="0.25">
      <c r="B374" s="186">
        <v>45058</v>
      </c>
      <c r="C374" s="41">
        <v>6</v>
      </c>
      <c r="D374" s="188">
        <v>5</v>
      </c>
      <c r="E374" s="189">
        <v>7928</v>
      </c>
      <c r="F374" s="190"/>
      <c r="G374" s="1" t="str">
        <f>IFERROR(IF(ventas_b_mes5[[#This Row],[CUIT]]="","-",VLOOKUP(ventas_b_mes5[[#This Row],[CUIT]],Lista_CUIT[#All],2,0)),"CUIT NO CARGADO")</f>
        <v>-</v>
      </c>
      <c r="H374" s="64">
        <v>5330.57</v>
      </c>
      <c r="I374" s="191">
        <f>ventas_b_mes5[[#This Row],[IMPORTE NETO]]*0.21</f>
        <v>1119.4196999999999</v>
      </c>
      <c r="J374" s="192"/>
      <c r="K374" s="192"/>
      <c r="L374" s="192">
        <f>SUM(ventas_b_mes5[[#This Row],[IMPORTE NETO]:[EXENTO]])</f>
        <v>6449.9897000000001</v>
      </c>
      <c r="M374" s="59"/>
    </row>
    <row r="375" spans="2:13" x14ac:dyDescent="0.25">
      <c r="B375" s="186">
        <v>45058</v>
      </c>
      <c r="C375" s="41">
        <v>6</v>
      </c>
      <c r="D375" s="188">
        <v>5</v>
      </c>
      <c r="E375" s="189">
        <v>7918</v>
      </c>
      <c r="F375" s="190"/>
      <c r="G375" s="1" t="str">
        <f>IFERROR(IF(ventas_b_mes5[[#This Row],[CUIT]]="","-",VLOOKUP(ventas_b_mes5[[#This Row],[CUIT]],Lista_CUIT[#All],2,0)),"CUIT NO CARGADO")</f>
        <v>-</v>
      </c>
      <c r="H375" s="64">
        <v>7851.24</v>
      </c>
      <c r="I375" s="191">
        <f>ventas_b_mes5[[#This Row],[IMPORTE NETO]]*0.21</f>
        <v>1648.7603999999999</v>
      </c>
      <c r="J375" s="192"/>
      <c r="K375" s="192"/>
      <c r="L375" s="192">
        <f>SUM(ventas_b_mes5[[#This Row],[IMPORTE NETO]:[EXENTO]])</f>
        <v>9500.000399999999</v>
      </c>
      <c r="M375" s="59"/>
    </row>
    <row r="376" spans="2:13" x14ac:dyDescent="0.25">
      <c r="B376" s="186">
        <v>45058</v>
      </c>
      <c r="C376" s="41">
        <v>6</v>
      </c>
      <c r="D376" s="188">
        <v>7</v>
      </c>
      <c r="E376" s="189">
        <v>4356</v>
      </c>
      <c r="F376" s="190"/>
      <c r="G376" s="1" t="str">
        <f>IFERROR(IF(ventas_b_mes5[[#This Row],[CUIT]]="","-",VLOOKUP(ventas_b_mes5[[#This Row],[CUIT]],Lista_CUIT[#All],2,0)),"CUIT NO CARGADO")</f>
        <v>-</v>
      </c>
      <c r="H376" s="64">
        <v>14958.68</v>
      </c>
      <c r="I376" s="191">
        <f>ventas_b_mes5[[#This Row],[IMPORTE NETO]]*0.21</f>
        <v>3141.3227999999999</v>
      </c>
      <c r="J376" s="192"/>
      <c r="K376" s="192"/>
      <c r="L376" s="192">
        <f>SUM(ventas_b_mes5[[#This Row],[IMPORTE NETO]:[EXENTO]])</f>
        <v>18100.002800000002</v>
      </c>
      <c r="M376" s="59"/>
    </row>
    <row r="377" spans="2:13" x14ac:dyDescent="0.25">
      <c r="B377" s="186">
        <v>45058</v>
      </c>
      <c r="C377" s="41">
        <v>6</v>
      </c>
      <c r="D377" s="188">
        <v>5</v>
      </c>
      <c r="E377" s="189">
        <v>7930</v>
      </c>
      <c r="F377" s="190"/>
      <c r="G377" s="1" t="str">
        <f>IFERROR(IF(ventas_b_mes5[[#This Row],[CUIT]]="","-",VLOOKUP(ventas_b_mes5[[#This Row],[CUIT]],Lista_CUIT[#All],2,0)),"CUIT NO CARGADO")</f>
        <v>-</v>
      </c>
      <c r="H377" s="64">
        <v>10661.16</v>
      </c>
      <c r="I377" s="191">
        <f>ventas_b_mes5[[#This Row],[IMPORTE NETO]]*0.21</f>
        <v>2238.8435999999997</v>
      </c>
      <c r="J377" s="192"/>
      <c r="K377" s="192"/>
      <c r="L377" s="192">
        <f>SUM(ventas_b_mes5[[#This Row],[IMPORTE NETO]:[EXENTO]])</f>
        <v>12900.0036</v>
      </c>
      <c r="M377" s="59"/>
    </row>
    <row r="378" spans="2:13" x14ac:dyDescent="0.25">
      <c r="B378" s="186">
        <v>45058</v>
      </c>
      <c r="C378" s="41">
        <v>6</v>
      </c>
      <c r="D378" s="188">
        <v>5</v>
      </c>
      <c r="E378" s="189">
        <v>7920</v>
      </c>
      <c r="F378" s="190"/>
      <c r="G378" s="1" t="str">
        <f>IFERROR(IF(ventas_b_mes5[[#This Row],[CUIT]]="","-",VLOOKUP(ventas_b_mes5[[#This Row],[CUIT]],Lista_CUIT[#All],2,0)),"CUIT NO CARGADO")</f>
        <v>-</v>
      </c>
      <c r="H378" s="64">
        <v>2066.12</v>
      </c>
      <c r="I378" s="191">
        <f>ventas_b_mes5[[#This Row],[IMPORTE NETO]]*0.21</f>
        <v>433.88519999999994</v>
      </c>
      <c r="J378" s="192"/>
      <c r="K378" s="192"/>
      <c r="L378" s="192">
        <f>SUM(ventas_b_mes5[[#This Row],[IMPORTE NETO]:[EXENTO]])</f>
        <v>2500.0051999999996</v>
      </c>
      <c r="M378" s="59"/>
    </row>
    <row r="379" spans="2:13" x14ac:dyDescent="0.25">
      <c r="B379" s="186">
        <v>45058</v>
      </c>
      <c r="C379" s="41">
        <v>6</v>
      </c>
      <c r="D379" s="188">
        <v>5</v>
      </c>
      <c r="E379" s="189">
        <v>7933</v>
      </c>
      <c r="F379" s="190"/>
      <c r="G379" s="1" t="str">
        <f>IFERROR(IF(ventas_b_mes5[[#This Row],[CUIT]]="","-",VLOOKUP(ventas_b_mes5[[#This Row],[CUIT]],Lista_CUIT[#All],2,0)),"CUIT NO CARGADO")</f>
        <v>-</v>
      </c>
      <c r="H379" s="64">
        <v>2702.48</v>
      </c>
      <c r="I379" s="191">
        <f>ventas_b_mes5[[#This Row],[IMPORTE NETO]]*0.21</f>
        <v>567.52080000000001</v>
      </c>
      <c r="J379" s="192"/>
      <c r="K379" s="192"/>
      <c r="L379" s="192">
        <f>SUM(ventas_b_mes5[[#This Row],[IMPORTE NETO]:[EXENTO]])</f>
        <v>3270.0007999999998</v>
      </c>
      <c r="M379" s="59"/>
    </row>
    <row r="380" spans="2:13" x14ac:dyDescent="0.25">
      <c r="B380" s="186">
        <v>45058</v>
      </c>
      <c r="C380" s="41">
        <v>6</v>
      </c>
      <c r="D380" s="188">
        <v>5</v>
      </c>
      <c r="E380" s="189">
        <v>7927</v>
      </c>
      <c r="F380" s="190"/>
      <c r="G380" s="1" t="str">
        <f>IFERROR(IF(ventas_b_mes5[[#This Row],[CUIT]]="","-",VLOOKUP(ventas_b_mes5[[#This Row],[CUIT]],Lista_CUIT[#All],2,0)),"CUIT NO CARGADO")</f>
        <v>-</v>
      </c>
      <c r="H380" s="64">
        <v>2066.12</v>
      </c>
      <c r="I380" s="191">
        <f>ventas_b_mes5[[#This Row],[IMPORTE NETO]]*0.21</f>
        <v>433.88519999999994</v>
      </c>
      <c r="J380" s="192"/>
      <c r="K380" s="192"/>
      <c r="L380" s="192">
        <f>SUM(ventas_b_mes5[[#This Row],[IMPORTE NETO]:[EXENTO]])</f>
        <v>2500.0051999999996</v>
      </c>
      <c r="M380" s="59"/>
    </row>
    <row r="381" spans="2:13" x14ac:dyDescent="0.25">
      <c r="B381" s="186">
        <v>45058</v>
      </c>
      <c r="C381" s="41">
        <v>6</v>
      </c>
      <c r="D381" s="188">
        <v>5</v>
      </c>
      <c r="E381" s="189">
        <v>7917</v>
      </c>
      <c r="F381" s="190"/>
      <c r="G381" s="1" t="str">
        <f>IFERROR(IF(ventas_b_mes5[[#This Row],[CUIT]]="","-",VLOOKUP(ventas_b_mes5[[#This Row],[CUIT]],Lista_CUIT[#All],2,0)),"CUIT NO CARGADO")</f>
        <v>-</v>
      </c>
      <c r="H381" s="64">
        <v>6198.35</v>
      </c>
      <c r="I381" s="191">
        <f>ventas_b_mes5[[#This Row],[IMPORTE NETO]]*0.21</f>
        <v>1301.6535000000001</v>
      </c>
      <c r="J381" s="192"/>
      <c r="K381" s="192"/>
      <c r="L381" s="192">
        <f>SUM(ventas_b_mes5[[#This Row],[IMPORTE NETO]:[EXENTO]])</f>
        <v>7500.0035000000007</v>
      </c>
      <c r="M381" s="59"/>
    </row>
    <row r="382" spans="2:13" x14ac:dyDescent="0.25">
      <c r="B382" s="186">
        <v>45058</v>
      </c>
      <c r="C382" s="41">
        <v>6</v>
      </c>
      <c r="D382" s="188">
        <v>5</v>
      </c>
      <c r="E382" s="189">
        <v>7931</v>
      </c>
      <c r="F382" s="190"/>
      <c r="G382" s="1" t="str">
        <f>IFERROR(IF(ventas_b_mes5[[#This Row],[CUIT]]="","-",VLOOKUP(ventas_b_mes5[[#This Row],[CUIT]],Lista_CUIT[#All],2,0)),"CUIT NO CARGADO")</f>
        <v>-</v>
      </c>
      <c r="H382" s="64">
        <v>2396.69</v>
      </c>
      <c r="I382" s="191">
        <f>ventas_b_mes5[[#This Row],[IMPORTE NETO]]*0.21</f>
        <v>503.30489999999998</v>
      </c>
      <c r="J382" s="192"/>
      <c r="K382" s="192"/>
      <c r="L382" s="192">
        <f>SUM(ventas_b_mes5[[#This Row],[IMPORTE NETO]:[EXENTO]])</f>
        <v>2899.9949000000001</v>
      </c>
      <c r="M382" s="59"/>
    </row>
    <row r="383" spans="2:13" x14ac:dyDescent="0.25">
      <c r="B383" s="186">
        <v>45061</v>
      </c>
      <c r="C383" s="41">
        <v>6</v>
      </c>
      <c r="D383" s="188">
        <v>7</v>
      </c>
      <c r="E383" s="189">
        <v>4357</v>
      </c>
      <c r="F383" s="190"/>
      <c r="G383" s="1" t="str">
        <f>IFERROR(IF(ventas_b_mes5[[#This Row],[CUIT]]="","-",VLOOKUP(ventas_b_mes5[[#This Row],[CUIT]],Lista_CUIT[#All],2,0)),"CUIT NO CARGADO")</f>
        <v>-</v>
      </c>
      <c r="H383" s="64">
        <v>4132.2299999999996</v>
      </c>
      <c r="I383" s="191">
        <f>ventas_b_mes5[[#This Row],[IMPORTE NETO]]*0.21</f>
        <v>867.76829999999984</v>
      </c>
      <c r="J383" s="192"/>
      <c r="K383" s="192"/>
      <c r="L383" s="192">
        <f>SUM(ventas_b_mes5[[#This Row],[IMPORTE NETO]:[EXENTO]])</f>
        <v>4999.9982999999993</v>
      </c>
      <c r="M383" s="59"/>
    </row>
    <row r="384" spans="2:13" x14ac:dyDescent="0.25">
      <c r="B384" s="186">
        <v>45061</v>
      </c>
      <c r="C384" s="41">
        <v>6</v>
      </c>
      <c r="D384" s="188">
        <v>5</v>
      </c>
      <c r="E384" s="189">
        <v>7943</v>
      </c>
      <c r="F384" s="190"/>
      <c r="G384" s="1" t="str">
        <f>IFERROR(IF(ventas_b_mes5[[#This Row],[CUIT]]="","-",VLOOKUP(ventas_b_mes5[[#This Row],[CUIT]],Lista_CUIT[#All],2,0)),"CUIT NO CARGADO")</f>
        <v>-</v>
      </c>
      <c r="H384" s="64">
        <v>2644.63</v>
      </c>
      <c r="I384" s="191">
        <f>ventas_b_mes5[[#This Row],[IMPORTE NETO]]*0.21</f>
        <v>555.3723</v>
      </c>
      <c r="J384" s="192"/>
      <c r="K384" s="192"/>
      <c r="L384" s="192">
        <f>SUM(ventas_b_mes5[[#This Row],[IMPORTE NETO]:[EXENTO]])</f>
        <v>3200.0023000000001</v>
      </c>
      <c r="M384" s="59"/>
    </row>
    <row r="385" spans="2:13" x14ac:dyDescent="0.25">
      <c r="B385" s="186">
        <v>45061</v>
      </c>
      <c r="C385" s="41">
        <v>6</v>
      </c>
      <c r="D385" s="188">
        <v>5</v>
      </c>
      <c r="E385" s="189">
        <v>7937</v>
      </c>
      <c r="F385" s="190"/>
      <c r="G385" s="1" t="str">
        <f>IFERROR(IF(ventas_b_mes5[[#This Row],[CUIT]]="","-",VLOOKUP(ventas_b_mes5[[#This Row],[CUIT]],Lista_CUIT[#All],2,0)),"CUIT NO CARGADO")</f>
        <v>-</v>
      </c>
      <c r="H385" s="64">
        <v>3057.85</v>
      </c>
      <c r="I385" s="191">
        <f>ventas_b_mes5[[#This Row],[IMPORTE NETO]]*0.21</f>
        <v>642.14850000000001</v>
      </c>
      <c r="J385" s="192"/>
      <c r="K385" s="192"/>
      <c r="L385" s="192">
        <f>SUM(ventas_b_mes5[[#This Row],[IMPORTE NETO]:[EXENTO]])</f>
        <v>3699.9984999999997</v>
      </c>
      <c r="M385" s="59"/>
    </row>
    <row r="386" spans="2:13" x14ac:dyDescent="0.25">
      <c r="B386" s="186">
        <v>45061</v>
      </c>
      <c r="C386" s="41">
        <v>6</v>
      </c>
      <c r="D386" s="188">
        <v>5</v>
      </c>
      <c r="E386" s="189">
        <v>7942</v>
      </c>
      <c r="F386" s="190"/>
      <c r="G386" s="1" t="str">
        <f>IFERROR(IF(ventas_b_mes5[[#This Row],[CUIT]]="","-",VLOOKUP(ventas_b_mes5[[#This Row],[CUIT]],Lista_CUIT[#All],2,0)),"CUIT NO CARGADO")</f>
        <v>-</v>
      </c>
      <c r="H386" s="64">
        <v>5785.12</v>
      </c>
      <c r="I386" s="191">
        <f>ventas_b_mes5[[#This Row],[IMPORTE NETO]]*0.21</f>
        <v>1214.8751999999999</v>
      </c>
      <c r="J386" s="192"/>
      <c r="K386" s="192"/>
      <c r="L386" s="192">
        <f>SUM(ventas_b_mes5[[#This Row],[IMPORTE NETO]:[EXENTO]])</f>
        <v>6999.9951999999994</v>
      </c>
      <c r="M386" s="59"/>
    </row>
    <row r="387" spans="2:13" x14ac:dyDescent="0.25">
      <c r="B387" s="186">
        <v>45061</v>
      </c>
      <c r="C387" s="41">
        <v>6</v>
      </c>
      <c r="D387" s="188">
        <v>5</v>
      </c>
      <c r="E387" s="189">
        <v>7945</v>
      </c>
      <c r="F387" s="190"/>
      <c r="G387" s="1" t="str">
        <f>IFERROR(IF(ventas_b_mes5[[#This Row],[CUIT]]="","-",VLOOKUP(ventas_b_mes5[[#This Row],[CUIT]],Lista_CUIT[#All],2,0)),"CUIT NO CARGADO")</f>
        <v>-</v>
      </c>
      <c r="H387" s="64">
        <v>6942.15</v>
      </c>
      <c r="I387" s="191">
        <f>ventas_b_mes5[[#This Row],[IMPORTE NETO]]*0.21</f>
        <v>1457.8514999999998</v>
      </c>
      <c r="J387" s="192"/>
      <c r="K387" s="192"/>
      <c r="L387" s="192">
        <f>SUM(ventas_b_mes5[[#This Row],[IMPORTE NETO]:[EXENTO]])</f>
        <v>8400.0014999999985</v>
      </c>
      <c r="M387" s="59"/>
    </row>
    <row r="388" spans="2:13" x14ac:dyDescent="0.25">
      <c r="B388" s="186">
        <v>45061</v>
      </c>
      <c r="C388" s="41">
        <v>6</v>
      </c>
      <c r="D388" s="188">
        <v>5</v>
      </c>
      <c r="E388" s="189">
        <v>7949</v>
      </c>
      <c r="F388" s="190"/>
      <c r="G388" s="1" t="str">
        <f>IFERROR(IF(ventas_b_mes5[[#This Row],[CUIT]]="","-",VLOOKUP(ventas_b_mes5[[#This Row],[CUIT]],Lista_CUIT[#All],2,0)),"CUIT NO CARGADO")</f>
        <v>-</v>
      </c>
      <c r="H388" s="64">
        <v>4876.03</v>
      </c>
      <c r="I388" s="191">
        <f>ventas_b_mes5[[#This Row],[IMPORTE NETO]]*0.21</f>
        <v>1023.9662999999999</v>
      </c>
      <c r="J388" s="192"/>
      <c r="K388" s="192"/>
      <c r="L388" s="192">
        <f>SUM(ventas_b_mes5[[#This Row],[IMPORTE NETO]:[EXENTO]])</f>
        <v>5899.9962999999998</v>
      </c>
      <c r="M388" s="59"/>
    </row>
    <row r="389" spans="2:13" x14ac:dyDescent="0.25">
      <c r="B389" s="186">
        <v>45061</v>
      </c>
      <c r="C389" s="41">
        <v>6</v>
      </c>
      <c r="D389" s="188">
        <v>5</v>
      </c>
      <c r="E389" s="189">
        <v>7948</v>
      </c>
      <c r="F389" s="190"/>
      <c r="G389" s="1" t="str">
        <f>IFERROR(IF(ventas_b_mes5[[#This Row],[CUIT]]="","-",VLOOKUP(ventas_b_mes5[[#This Row],[CUIT]],Lista_CUIT[#All],2,0)),"CUIT NO CARGADO")</f>
        <v>-</v>
      </c>
      <c r="H389" s="64">
        <v>5619.83</v>
      </c>
      <c r="I389" s="191">
        <f>ventas_b_mes5[[#This Row],[IMPORTE NETO]]*0.21</f>
        <v>1180.1642999999999</v>
      </c>
      <c r="J389" s="192"/>
      <c r="K389" s="192"/>
      <c r="L389" s="192">
        <f>SUM(ventas_b_mes5[[#This Row],[IMPORTE NETO]:[EXENTO]])</f>
        <v>6799.9943000000003</v>
      </c>
      <c r="M389" s="59"/>
    </row>
    <row r="390" spans="2:13" x14ac:dyDescent="0.25">
      <c r="B390" s="186">
        <v>45061</v>
      </c>
      <c r="C390" s="41">
        <v>6</v>
      </c>
      <c r="D390" s="188">
        <v>5</v>
      </c>
      <c r="E390" s="189">
        <v>7934</v>
      </c>
      <c r="F390" s="190"/>
      <c r="G390" s="1" t="str">
        <f>IFERROR(IF(ventas_b_mes5[[#This Row],[CUIT]]="","-",VLOOKUP(ventas_b_mes5[[#This Row],[CUIT]],Lista_CUIT[#All],2,0)),"CUIT NO CARGADO")</f>
        <v>-</v>
      </c>
      <c r="H390" s="64">
        <v>13553.72</v>
      </c>
      <c r="I390" s="191">
        <f>ventas_b_mes5[[#This Row],[IMPORTE NETO]]*0.21</f>
        <v>2846.2811999999999</v>
      </c>
      <c r="J390" s="192"/>
      <c r="K390" s="192"/>
      <c r="L390" s="192">
        <f>SUM(ventas_b_mes5[[#This Row],[IMPORTE NETO]:[EXENTO]])</f>
        <v>16400.001199999999</v>
      </c>
      <c r="M390" s="59"/>
    </row>
    <row r="391" spans="2:13" x14ac:dyDescent="0.25">
      <c r="B391" s="186">
        <v>45061</v>
      </c>
      <c r="C391" s="41">
        <v>6</v>
      </c>
      <c r="D391" s="188">
        <v>7</v>
      </c>
      <c r="E391" s="189">
        <v>4362</v>
      </c>
      <c r="F391" s="190"/>
      <c r="G391" s="1" t="str">
        <f>IFERROR(IF(ventas_b_mes5[[#This Row],[CUIT]]="","-",VLOOKUP(ventas_b_mes5[[#This Row],[CUIT]],Lista_CUIT[#All],2,0)),"CUIT NO CARGADO")</f>
        <v>-</v>
      </c>
      <c r="H391" s="64">
        <v>31404.959999999999</v>
      </c>
      <c r="I391" s="191">
        <f>ventas_b_mes5[[#This Row],[IMPORTE NETO]]*0.21</f>
        <v>6595.0415999999996</v>
      </c>
      <c r="J391" s="192"/>
      <c r="K391" s="192"/>
      <c r="L391" s="192">
        <f>SUM(ventas_b_mes5[[#This Row],[IMPORTE NETO]:[EXENTO]])</f>
        <v>38000.001599999996</v>
      </c>
      <c r="M391" s="59"/>
    </row>
    <row r="392" spans="2:13" x14ac:dyDescent="0.25">
      <c r="B392" s="186">
        <v>45061</v>
      </c>
      <c r="C392" s="41">
        <v>6</v>
      </c>
      <c r="D392" s="188">
        <v>7</v>
      </c>
      <c r="E392" s="189">
        <v>4358</v>
      </c>
      <c r="F392" s="190"/>
      <c r="G392" s="1" t="str">
        <f>IFERROR(IF(ventas_b_mes5[[#This Row],[CUIT]]="","-",VLOOKUP(ventas_b_mes5[[#This Row],[CUIT]],Lista_CUIT[#All],2,0)),"CUIT NO CARGADO")</f>
        <v>-</v>
      </c>
      <c r="H392" s="64">
        <v>7024.79</v>
      </c>
      <c r="I392" s="191">
        <f>ventas_b_mes5[[#This Row],[IMPORTE NETO]]*0.21</f>
        <v>1475.2058999999999</v>
      </c>
      <c r="J392" s="192"/>
      <c r="K392" s="192"/>
      <c r="L392" s="192">
        <f>SUM(ventas_b_mes5[[#This Row],[IMPORTE NETO]:[EXENTO]])</f>
        <v>8499.9958999999999</v>
      </c>
      <c r="M392" s="59"/>
    </row>
    <row r="393" spans="2:13" x14ac:dyDescent="0.25">
      <c r="B393" s="186">
        <v>45061</v>
      </c>
      <c r="C393" s="41">
        <v>6</v>
      </c>
      <c r="D393" s="188">
        <v>5</v>
      </c>
      <c r="E393" s="189">
        <v>7951</v>
      </c>
      <c r="F393" s="190"/>
      <c r="G393" s="1" t="str">
        <f>IFERROR(IF(ventas_b_mes5[[#This Row],[CUIT]]="","-",VLOOKUP(ventas_b_mes5[[#This Row],[CUIT]],Lista_CUIT[#All],2,0)),"CUIT NO CARGADO")</f>
        <v>-</v>
      </c>
      <c r="H393" s="64">
        <v>909.09</v>
      </c>
      <c r="I393" s="191">
        <f>ventas_b_mes5[[#This Row],[IMPORTE NETO]]*0.21</f>
        <v>190.90889999999999</v>
      </c>
      <c r="J393" s="192"/>
      <c r="K393" s="192"/>
      <c r="L393" s="192">
        <f>SUM(ventas_b_mes5[[#This Row],[IMPORTE NETO]:[EXENTO]])</f>
        <v>1099.9989</v>
      </c>
      <c r="M393" s="59"/>
    </row>
    <row r="394" spans="2:13" x14ac:dyDescent="0.25">
      <c r="B394" s="186">
        <v>45061</v>
      </c>
      <c r="C394" s="41">
        <v>6</v>
      </c>
      <c r="D394" s="188">
        <v>5</v>
      </c>
      <c r="E394" s="189">
        <v>7950</v>
      </c>
      <c r="F394" s="190"/>
      <c r="G394" s="1" t="str">
        <f>IFERROR(IF(ventas_b_mes5[[#This Row],[CUIT]]="","-",VLOOKUP(ventas_b_mes5[[#This Row],[CUIT]],Lista_CUIT[#All],2,0)),"CUIT NO CARGADO")</f>
        <v>-</v>
      </c>
      <c r="H394" s="64">
        <v>909.09</v>
      </c>
      <c r="I394" s="191">
        <f>ventas_b_mes5[[#This Row],[IMPORTE NETO]]*0.21</f>
        <v>190.90889999999999</v>
      </c>
      <c r="J394" s="192"/>
      <c r="K394" s="192"/>
      <c r="L394" s="192">
        <f>SUM(ventas_b_mes5[[#This Row],[IMPORTE NETO]:[EXENTO]])</f>
        <v>1099.9989</v>
      </c>
      <c r="M394" s="59"/>
    </row>
    <row r="395" spans="2:13" x14ac:dyDescent="0.25">
      <c r="B395" s="186">
        <v>45061</v>
      </c>
      <c r="C395" s="41">
        <v>6</v>
      </c>
      <c r="D395" s="188">
        <v>5</v>
      </c>
      <c r="E395" s="189">
        <v>7935</v>
      </c>
      <c r="F395" s="190"/>
      <c r="G395" s="1" t="str">
        <f>IFERROR(IF(ventas_b_mes5[[#This Row],[CUIT]]="","-",VLOOKUP(ventas_b_mes5[[#This Row],[CUIT]],Lista_CUIT[#All],2,0)),"CUIT NO CARGADO")</f>
        <v>-</v>
      </c>
      <c r="H395" s="64">
        <v>2066.12</v>
      </c>
      <c r="I395" s="191">
        <f>ventas_b_mes5[[#This Row],[IMPORTE NETO]]*0.21</f>
        <v>433.88519999999994</v>
      </c>
      <c r="J395" s="192"/>
      <c r="K395" s="192"/>
      <c r="L395" s="192">
        <f>SUM(ventas_b_mes5[[#This Row],[IMPORTE NETO]:[EXENTO]])</f>
        <v>2500.0051999999996</v>
      </c>
      <c r="M395" s="59"/>
    </row>
    <row r="396" spans="2:13" x14ac:dyDescent="0.25">
      <c r="B396" s="186">
        <v>45061</v>
      </c>
      <c r="C396" s="41">
        <v>6</v>
      </c>
      <c r="D396" s="188">
        <v>5</v>
      </c>
      <c r="E396" s="189">
        <v>7944</v>
      </c>
      <c r="F396" s="190"/>
      <c r="G396" s="1" t="str">
        <f>IFERROR(IF(ventas_b_mes5[[#This Row],[CUIT]]="","-",VLOOKUP(ventas_b_mes5[[#This Row],[CUIT]],Lista_CUIT[#All],2,0)),"CUIT NO CARGADO")</f>
        <v>-</v>
      </c>
      <c r="H396" s="64">
        <v>8925.6200000000008</v>
      </c>
      <c r="I396" s="191">
        <f>ventas_b_mes5[[#This Row],[IMPORTE NETO]]*0.21</f>
        <v>1874.3802000000001</v>
      </c>
      <c r="J396" s="192"/>
      <c r="K396" s="192"/>
      <c r="L396" s="192">
        <f>SUM(ventas_b_mes5[[#This Row],[IMPORTE NETO]:[EXENTO]])</f>
        <v>10800.0002</v>
      </c>
      <c r="M396" s="59"/>
    </row>
    <row r="397" spans="2:13" x14ac:dyDescent="0.25">
      <c r="B397" s="186">
        <v>45061</v>
      </c>
      <c r="C397" s="41">
        <v>6</v>
      </c>
      <c r="D397" s="188">
        <v>5</v>
      </c>
      <c r="E397" s="189">
        <v>7936</v>
      </c>
      <c r="F397" s="190"/>
      <c r="G397" s="1" t="str">
        <f>IFERROR(IF(ventas_b_mes5[[#This Row],[CUIT]]="","-",VLOOKUP(ventas_b_mes5[[#This Row],[CUIT]],Lista_CUIT[#All],2,0)),"CUIT NO CARGADO")</f>
        <v>-</v>
      </c>
      <c r="H397" s="64">
        <v>7438.02</v>
      </c>
      <c r="I397" s="191">
        <f>ventas_b_mes5[[#This Row],[IMPORTE NETO]]*0.21</f>
        <v>1561.9842000000001</v>
      </c>
      <c r="J397" s="192"/>
      <c r="K397" s="192"/>
      <c r="L397" s="192">
        <f>SUM(ventas_b_mes5[[#This Row],[IMPORTE NETO]:[EXENTO]])</f>
        <v>9000.0042000000012</v>
      </c>
      <c r="M397" s="59"/>
    </row>
    <row r="398" spans="2:13" x14ac:dyDescent="0.25">
      <c r="B398" s="186">
        <v>45061</v>
      </c>
      <c r="C398" s="41">
        <v>6</v>
      </c>
      <c r="D398" s="188">
        <v>5</v>
      </c>
      <c r="E398" s="189">
        <v>7952</v>
      </c>
      <c r="F398" s="190"/>
      <c r="G398" s="1" t="str">
        <f>IFERROR(IF(ventas_b_mes5[[#This Row],[CUIT]]="","-",VLOOKUP(ventas_b_mes5[[#This Row],[CUIT]],Lista_CUIT[#All],2,0)),"CUIT NO CARGADO")</f>
        <v>-</v>
      </c>
      <c r="H398" s="64">
        <v>5785.12</v>
      </c>
      <c r="I398" s="191">
        <f>ventas_b_mes5[[#This Row],[IMPORTE NETO]]*0.21</f>
        <v>1214.8751999999999</v>
      </c>
      <c r="J398" s="192"/>
      <c r="K398" s="192"/>
      <c r="L398" s="192">
        <f>SUM(ventas_b_mes5[[#This Row],[IMPORTE NETO]:[EXENTO]])</f>
        <v>6999.9951999999994</v>
      </c>
      <c r="M398" s="59"/>
    </row>
    <row r="399" spans="2:13" x14ac:dyDescent="0.25">
      <c r="B399" s="186">
        <v>45061</v>
      </c>
      <c r="C399" s="41">
        <v>6</v>
      </c>
      <c r="D399" s="188">
        <v>7</v>
      </c>
      <c r="E399" s="189">
        <v>4360</v>
      </c>
      <c r="F399" s="190"/>
      <c r="G399" s="1" t="str">
        <f>IFERROR(IF(ventas_b_mes5[[#This Row],[CUIT]]="","-",VLOOKUP(ventas_b_mes5[[#This Row],[CUIT]],Lista_CUIT[#All],2,0)),"CUIT NO CARGADO")</f>
        <v>-</v>
      </c>
      <c r="H399" s="64">
        <v>12148.76</v>
      </c>
      <c r="I399" s="191">
        <f>ventas_b_mes5[[#This Row],[IMPORTE NETO]]*0.21</f>
        <v>2551.2395999999999</v>
      </c>
      <c r="J399" s="192"/>
      <c r="K399" s="192"/>
      <c r="L399" s="192">
        <f>SUM(ventas_b_mes5[[#This Row],[IMPORTE NETO]:[EXENTO]])</f>
        <v>14699.999599999999</v>
      </c>
      <c r="M399" s="59"/>
    </row>
    <row r="400" spans="2:13" x14ac:dyDescent="0.25">
      <c r="B400" s="186">
        <v>45061</v>
      </c>
      <c r="C400" s="41">
        <v>6</v>
      </c>
      <c r="D400" s="188">
        <v>5</v>
      </c>
      <c r="E400" s="189">
        <v>7940</v>
      </c>
      <c r="F400" s="190"/>
      <c r="G400" s="1" t="str">
        <f>IFERROR(IF(ventas_b_mes5[[#This Row],[CUIT]]="","-",VLOOKUP(ventas_b_mes5[[#This Row],[CUIT]],Lista_CUIT[#All],2,0)),"CUIT NO CARGADO")</f>
        <v>-</v>
      </c>
      <c r="H400" s="64">
        <v>2148.7600000000002</v>
      </c>
      <c r="I400" s="191">
        <f>ventas_b_mes5[[#This Row],[IMPORTE NETO]]*0.21</f>
        <v>451.23960000000005</v>
      </c>
      <c r="J400" s="192"/>
      <c r="K400" s="192"/>
      <c r="L400" s="192">
        <f>SUM(ventas_b_mes5[[#This Row],[IMPORTE NETO]:[EXENTO]])</f>
        <v>2599.9996000000001</v>
      </c>
      <c r="M400" s="59"/>
    </row>
    <row r="401" spans="2:13" x14ac:dyDescent="0.25">
      <c r="B401" s="186">
        <v>45061</v>
      </c>
      <c r="C401" s="41">
        <v>6</v>
      </c>
      <c r="D401" s="188">
        <v>7</v>
      </c>
      <c r="E401" s="189">
        <v>4361</v>
      </c>
      <c r="F401" s="190"/>
      <c r="G401" s="1" t="str">
        <f>IFERROR(IF(ventas_b_mes5[[#This Row],[CUIT]]="","-",VLOOKUP(ventas_b_mes5[[#This Row],[CUIT]],Lista_CUIT[#All],2,0)),"CUIT NO CARGADO")</f>
        <v>-</v>
      </c>
      <c r="H401" s="64">
        <v>16528.919999999998</v>
      </c>
      <c r="I401" s="191">
        <f>ventas_b_mes5[[#This Row],[IMPORTE NETO]]*0.21</f>
        <v>3471.0731999999994</v>
      </c>
      <c r="J401" s="192"/>
      <c r="K401" s="192"/>
      <c r="L401" s="192">
        <f>SUM(ventas_b_mes5[[#This Row],[IMPORTE NETO]:[EXENTO]])</f>
        <v>19999.993199999997</v>
      </c>
      <c r="M401" s="59"/>
    </row>
    <row r="402" spans="2:13" x14ac:dyDescent="0.25">
      <c r="B402" s="186">
        <v>45061</v>
      </c>
      <c r="C402" s="41">
        <v>6</v>
      </c>
      <c r="D402" s="188">
        <v>5</v>
      </c>
      <c r="E402" s="189">
        <v>7941</v>
      </c>
      <c r="F402" s="190"/>
      <c r="G402" s="1" t="str">
        <f>IFERROR(IF(ventas_b_mes5[[#This Row],[CUIT]]="","-",VLOOKUP(ventas_b_mes5[[#This Row],[CUIT]],Lista_CUIT[#All],2,0)),"CUIT NO CARGADO")</f>
        <v>-</v>
      </c>
      <c r="H402" s="64">
        <v>4876.03</v>
      </c>
      <c r="I402" s="191">
        <f>ventas_b_mes5[[#This Row],[IMPORTE NETO]]*0.21</f>
        <v>1023.9662999999999</v>
      </c>
      <c r="J402" s="192"/>
      <c r="K402" s="192"/>
      <c r="L402" s="192">
        <f>SUM(ventas_b_mes5[[#This Row],[IMPORTE NETO]:[EXENTO]])</f>
        <v>5899.9962999999998</v>
      </c>
      <c r="M402" s="59"/>
    </row>
    <row r="403" spans="2:13" x14ac:dyDescent="0.25">
      <c r="B403" s="186">
        <v>45061</v>
      </c>
      <c r="C403" s="41">
        <v>6</v>
      </c>
      <c r="D403" s="188">
        <v>5</v>
      </c>
      <c r="E403" s="189">
        <v>7947</v>
      </c>
      <c r="F403" s="190"/>
      <c r="G403" s="1" t="str">
        <f>IFERROR(IF(ventas_b_mes5[[#This Row],[CUIT]]="","-",VLOOKUP(ventas_b_mes5[[#This Row],[CUIT]],Lista_CUIT[#All],2,0)),"CUIT NO CARGADO")</f>
        <v>-</v>
      </c>
      <c r="H403" s="64">
        <v>1900.83</v>
      </c>
      <c r="I403" s="191">
        <f>ventas_b_mes5[[#This Row],[IMPORTE NETO]]*0.21</f>
        <v>399.17429999999996</v>
      </c>
      <c r="J403" s="192"/>
      <c r="K403" s="192"/>
      <c r="L403" s="192">
        <f>SUM(ventas_b_mes5[[#This Row],[IMPORTE NETO]:[EXENTO]])</f>
        <v>2300.0043000000001</v>
      </c>
      <c r="M403" s="59"/>
    </row>
    <row r="404" spans="2:13" x14ac:dyDescent="0.25">
      <c r="B404" s="186">
        <v>45061</v>
      </c>
      <c r="C404" s="41">
        <v>6</v>
      </c>
      <c r="D404" s="188">
        <v>5</v>
      </c>
      <c r="E404" s="189">
        <v>7946</v>
      </c>
      <c r="F404" s="190"/>
      <c r="G404" s="1" t="str">
        <f>IFERROR(IF(ventas_b_mes5[[#This Row],[CUIT]]="","-",VLOOKUP(ventas_b_mes5[[#This Row],[CUIT]],Lista_CUIT[#All],2,0)),"CUIT NO CARGADO")</f>
        <v>-</v>
      </c>
      <c r="H404" s="64">
        <v>7355.37</v>
      </c>
      <c r="I404" s="191">
        <f>ventas_b_mes5[[#This Row],[IMPORTE NETO]]*0.21</f>
        <v>1544.6277</v>
      </c>
      <c r="J404" s="192"/>
      <c r="K404" s="192"/>
      <c r="L404" s="192">
        <f>SUM(ventas_b_mes5[[#This Row],[IMPORTE NETO]:[EXENTO]])</f>
        <v>8899.9976999999999</v>
      </c>
      <c r="M404" s="59"/>
    </row>
    <row r="405" spans="2:13" x14ac:dyDescent="0.25">
      <c r="B405" s="186">
        <v>45061</v>
      </c>
      <c r="C405" s="41">
        <v>6</v>
      </c>
      <c r="D405" s="188">
        <v>5</v>
      </c>
      <c r="E405" s="189">
        <v>7939</v>
      </c>
      <c r="F405" s="190"/>
      <c r="G405" s="1" t="str">
        <f>IFERROR(IF(ventas_b_mes5[[#This Row],[CUIT]]="","-",VLOOKUP(ventas_b_mes5[[#This Row],[CUIT]],Lista_CUIT[#All],2,0)),"CUIT NO CARGADO")</f>
        <v>-</v>
      </c>
      <c r="H405" s="64">
        <v>5619.83</v>
      </c>
      <c r="I405" s="191">
        <f>ventas_b_mes5[[#This Row],[IMPORTE NETO]]*0.21</f>
        <v>1180.1642999999999</v>
      </c>
      <c r="J405" s="192"/>
      <c r="K405" s="192"/>
      <c r="L405" s="192">
        <f>SUM(ventas_b_mes5[[#This Row],[IMPORTE NETO]:[EXENTO]])</f>
        <v>6799.9943000000003</v>
      </c>
      <c r="M405" s="59"/>
    </row>
    <row r="406" spans="2:13" x14ac:dyDescent="0.25">
      <c r="B406" s="186">
        <v>45061</v>
      </c>
      <c r="C406" s="41">
        <v>6</v>
      </c>
      <c r="D406" s="188">
        <v>7</v>
      </c>
      <c r="E406" s="189">
        <v>4359</v>
      </c>
      <c r="F406" s="190"/>
      <c r="G406" s="1" t="str">
        <f>IFERROR(IF(ventas_b_mes5[[#This Row],[CUIT]]="","-",VLOOKUP(ventas_b_mes5[[#This Row],[CUIT]],Lista_CUIT[#All],2,0)),"CUIT NO CARGADO")</f>
        <v>-</v>
      </c>
      <c r="H406" s="64">
        <v>8099.18</v>
      </c>
      <c r="I406" s="191">
        <f>ventas_b_mes5[[#This Row],[IMPORTE NETO]]*0.21</f>
        <v>1700.8278</v>
      </c>
      <c r="J406" s="192"/>
      <c r="K406" s="192"/>
      <c r="L406" s="192">
        <f>SUM(ventas_b_mes5[[#This Row],[IMPORTE NETO]:[EXENTO]])</f>
        <v>9800.0077999999994</v>
      </c>
      <c r="M406" s="59"/>
    </row>
    <row r="407" spans="2:13" x14ac:dyDescent="0.25">
      <c r="B407" s="186">
        <v>45061</v>
      </c>
      <c r="C407" s="41">
        <v>6</v>
      </c>
      <c r="D407" s="188">
        <v>5</v>
      </c>
      <c r="E407" s="189">
        <v>7938</v>
      </c>
      <c r="F407" s="190"/>
      <c r="G407" s="1" t="str">
        <f>IFERROR(IF(ventas_b_mes5[[#This Row],[CUIT]]="","-",VLOOKUP(ventas_b_mes5[[#This Row],[CUIT]],Lista_CUIT[#All],2,0)),"CUIT NO CARGADO")</f>
        <v>-</v>
      </c>
      <c r="H407" s="64">
        <v>2975.21</v>
      </c>
      <c r="I407" s="191">
        <f>ventas_b_mes5[[#This Row],[IMPORTE NETO]]*0.21</f>
        <v>624.79409999999996</v>
      </c>
      <c r="J407" s="192"/>
      <c r="K407" s="192"/>
      <c r="L407" s="192">
        <f>SUM(ventas_b_mes5[[#This Row],[IMPORTE NETO]:[EXENTO]])</f>
        <v>3600.0041000000001</v>
      </c>
      <c r="M407" s="59"/>
    </row>
    <row r="408" spans="2:13" x14ac:dyDescent="0.25">
      <c r="B408" s="186">
        <v>45062</v>
      </c>
      <c r="C408" s="41">
        <v>6</v>
      </c>
      <c r="D408" s="188">
        <v>5</v>
      </c>
      <c r="E408" s="189">
        <v>7966</v>
      </c>
      <c r="F408" s="190"/>
      <c r="G408" s="1" t="str">
        <f>IFERROR(IF(ventas_b_mes5[[#This Row],[CUIT]]="","-",VLOOKUP(ventas_b_mes5[[#This Row],[CUIT]],Lista_CUIT[#All],2,0)),"CUIT NO CARGADO")</f>
        <v>-</v>
      </c>
      <c r="H408" s="64">
        <v>3140.5</v>
      </c>
      <c r="I408" s="191">
        <f>ventas_b_mes5[[#This Row],[IMPORTE NETO]]*0.21</f>
        <v>659.505</v>
      </c>
      <c r="J408" s="192"/>
      <c r="K408" s="192"/>
      <c r="L408" s="192">
        <f>SUM(ventas_b_mes5[[#This Row],[IMPORTE NETO]:[EXENTO]])</f>
        <v>3800.0050000000001</v>
      </c>
      <c r="M408" s="59"/>
    </row>
    <row r="409" spans="2:13" x14ac:dyDescent="0.25">
      <c r="B409" s="186">
        <v>45062</v>
      </c>
      <c r="C409" s="41">
        <v>6</v>
      </c>
      <c r="D409" s="188">
        <v>5</v>
      </c>
      <c r="E409" s="189">
        <v>7958</v>
      </c>
      <c r="F409" s="190"/>
      <c r="G409" s="1" t="str">
        <f>IFERROR(IF(ventas_b_mes5[[#This Row],[CUIT]]="","-",VLOOKUP(ventas_b_mes5[[#This Row],[CUIT]],Lista_CUIT[#All],2,0)),"CUIT NO CARGADO")</f>
        <v>-</v>
      </c>
      <c r="H409" s="64">
        <v>7438.02</v>
      </c>
      <c r="I409" s="191">
        <f>ventas_b_mes5[[#This Row],[IMPORTE NETO]]*0.21</f>
        <v>1561.9842000000001</v>
      </c>
      <c r="J409" s="192"/>
      <c r="K409" s="192"/>
      <c r="L409" s="192">
        <f>SUM(ventas_b_mes5[[#This Row],[IMPORTE NETO]:[EXENTO]])</f>
        <v>9000.0042000000012</v>
      </c>
      <c r="M409" s="59"/>
    </row>
    <row r="410" spans="2:13" x14ac:dyDescent="0.25">
      <c r="B410" s="186">
        <v>45062</v>
      </c>
      <c r="C410" s="41">
        <v>6</v>
      </c>
      <c r="D410" s="188">
        <v>5</v>
      </c>
      <c r="E410" s="189">
        <v>7953</v>
      </c>
      <c r="F410" s="190"/>
      <c r="G410" s="1" t="str">
        <f>IFERROR(IF(ventas_b_mes5[[#This Row],[CUIT]]="","-",VLOOKUP(ventas_b_mes5[[#This Row],[CUIT]],Lista_CUIT[#All],2,0)),"CUIT NO CARGADO")</f>
        <v>-</v>
      </c>
      <c r="H410" s="64">
        <v>5454.55</v>
      </c>
      <c r="I410" s="191">
        <f>ventas_b_mes5[[#This Row],[IMPORTE NETO]]*0.21</f>
        <v>1145.4555</v>
      </c>
      <c r="J410" s="192"/>
      <c r="K410" s="192"/>
      <c r="L410" s="192">
        <f>SUM(ventas_b_mes5[[#This Row],[IMPORTE NETO]:[EXENTO]])</f>
        <v>6600.0055000000002</v>
      </c>
      <c r="M410" s="59"/>
    </row>
    <row r="411" spans="2:13" x14ac:dyDescent="0.25">
      <c r="B411" s="186">
        <v>45062</v>
      </c>
      <c r="C411" s="41">
        <v>6</v>
      </c>
      <c r="D411" s="188">
        <v>7</v>
      </c>
      <c r="E411" s="189">
        <v>4364</v>
      </c>
      <c r="F411" s="190"/>
      <c r="G411" s="1" t="str">
        <f>IFERROR(IF(ventas_b_mes5[[#This Row],[CUIT]]="","-",VLOOKUP(ventas_b_mes5[[#This Row],[CUIT]],Lista_CUIT[#All],2,0)),"CUIT NO CARGADO")</f>
        <v>-</v>
      </c>
      <c r="H411" s="64">
        <v>6776.86</v>
      </c>
      <c r="I411" s="191">
        <f>ventas_b_mes5[[#This Row],[IMPORTE NETO]]*0.21</f>
        <v>1423.1405999999999</v>
      </c>
      <c r="J411" s="192"/>
      <c r="K411" s="192"/>
      <c r="L411" s="192">
        <f>SUM(ventas_b_mes5[[#This Row],[IMPORTE NETO]:[EXENTO]])</f>
        <v>8200.0005999999994</v>
      </c>
      <c r="M411" s="59"/>
    </row>
    <row r="412" spans="2:13" x14ac:dyDescent="0.25">
      <c r="B412" s="186">
        <v>45062</v>
      </c>
      <c r="C412" s="41">
        <v>6</v>
      </c>
      <c r="D412" s="188">
        <v>5</v>
      </c>
      <c r="E412" s="189">
        <v>7967</v>
      </c>
      <c r="F412" s="190"/>
      <c r="G412" s="1" t="str">
        <f>IFERROR(IF(ventas_b_mes5[[#This Row],[CUIT]]="","-",VLOOKUP(ventas_b_mes5[[#This Row],[CUIT]],Lista_CUIT[#All],2,0)),"CUIT NO CARGADO")</f>
        <v>-</v>
      </c>
      <c r="H412" s="64">
        <v>2644.63</v>
      </c>
      <c r="I412" s="191">
        <f>ventas_b_mes5[[#This Row],[IMPORTE NETO]]*0.21</f>
        <v>555.3723</v>
      </c>
      <c r="J412" s="192"/>
      <c r="K412" s="192"/>
      <c r="L412" s="192">
        <f>SUM(ventas_b_mes5[[#This Row],[IMPORTE NETO]:[EXENTO]])</f>
        <v>3200.0023000000001</v>
      </c>
      <c r="M412" s="59"/>
    </row>
    <row r="413" spans="2:13" x14ac:dyDescent="0.25">
      <c r="B413" s="186">
        <v>45062</v>
      </c>
      <c r="C413" s="41">
        <v>6</v>
      </c>
      <c r="D413" s="188">
        <v>5</v>
      </c>
      <c r="E413" s="189">
        <v>7957</v>
      </c>
      <c r="F413" s="190"/>
      <c r="G413" s="1" t="str">
        <f>IFERROR(IF(ventas_b_mes5[[#This Row],[CUIT]]="","-",VLOOKUP(ventas_b_mes5[[#This Row],[CUIT]],Lista_CUIT[#All],2,0)),"CUIT NO CARGADO")</f>
        <v>-</v>
      </c>
      <c r="H413" s="64">
        <v>8099.17</v>
      </c>
      <c r="I413" s="191">
        <f>ventas_b_mes5[[#This Row],[IMPORTE NETO]]*0.21</f>
        <v>1700.8256999999999</v>
      </c>
      <c r="J413" s="192"/>
      <c r="K413" s="192"/>
      <c r="L413" s="192">
        <f>SUM(ventas_b_mes5[[#This Row],[IMPORTE NETO]:[EXENTO]])</f>
        <v>9799.9956999999995</v>
      </c>
      <c r="M413" s="59"/>
    </row>
    <row r="414" spans="2:13" x14ac:dyDescent="0.25">
      <c r="B414" s="186">
        <v>45062</v>
      </c>
      <c r="C414" s="41">
        <v>6</v>
      </c>
      <c r="D414" s="188">
        <v>5</v>
      </c>
      <c r="E414" s="189">
        <v>7959</v>
      </c>
      <c r="F414" s="190"/>
      <c r="G414" s="1" t="str">
        <f>IFERROR(IF(ventas_b_mes5[[#This Row],[CUIT]]="","-",VLOOKUP(ventas_b_mes5[[#This Row],[CUIT]],Lista_CUIT[#All],2,0)),"CUIT NO CARGADO")</f>
        <v>-</v>
      </c>
      <c r="H414" s="64">
        <v>8347.11</v>
      </c>
      <c r="I414" s="191">
        <f>ventas_b_mes5[[#This Row],[IMPORTE NETO]]*0.21</f>
        <v>1752.8931</v>
      </c>
      <c r="J414" s="192"/>
      <c r="K414" s="192"/>
      <c r="L414" s="192">
        <f>SUM(ventas_b_mes5[[#This Row],[IMPORTE NETO]:[EXENTO]])</f>
        <v>10100.0031</v>
      </c>
      <c r="M414" s="59"/>
    </row>
    <row r="415" spans="2:13" x14ac:dyDescent="0.25">
      <c r="B415" s="186">
        <v>45062</v>
      </c>
      <c r="C415" s="41">
        <v>6</v>
      </c>
      <c r="D415" s="188">
        <v>5</v>
      </c>
      <c r="E415" s="189">
        <v>7955</v>
      </c>
      <c r="F415" s="190"/>
      <c r="G415" s="1" t="str">
        <f>IFERROR(IF(ventas_b_mes5[[#This Row],[CUIT]]="","-",VLOOKUP(ventas_b_mes5[[#This Row],[CUIT]],Lista_CUIT[#All],2,0)),"CUIT NO CARGADO")</f>
        <v>-</v>
      </c>
      <c r="H415" s="64">
        <v>7438.02</v>
      </c>
      <c r="I415" s="191">
        <f>ventas_b_mes5[[#This Row],[IMPORTE NETO]]*0.21</f>
        <v>1561.9842000000001</v>
      </c>
      <c r="J415" s="192"/>
      <c r="K415" s="192"/>
      <c r="L415" s="192">
        <f>SUM(ventas_b_mes5[[#This Row],[IMPORTE NETO]:[EXENTO]])</f>
        <v>9000.0042000000012</v>
      </c>
      <c r="M415" s="59"/>
    </row>
    <row r="416" spans="2:13" x14ac:dyDescent="0.25">
      <c r="B416" s="186">
        <v>45062</v>
      </c>
      <c r="C416" s="41">
        <v>6</v>
      </c>
      <c r="D416" s="188">
        <v>5</v>
      </c>
      <c r="E416" s="189">
        <v>7961</v>
      </c>
      <c r="F416" s="190"/>
      <c r="G416" s="1" t="str">
        <f>IFERROR(IF(ventas_b_mes5[[#This Row],[CUIT]]="","-",VLOOKUP(ventas_b_mes5[[#This Row],[CUIT]],Lista_CUIT[#All],2,0)),"CUIT NO CARGADO")</f>
        <v>-</v>
      </c>
      <c r="H416" s="64">
        <v>3099.17</v>
      </c>
      <c r="I416" s="191">
        <f>ventas_b_mes5[[#This Row],[IMPORTE NETO]]*0.21</f>
        <v>650.82569999999998</v>
      </c>
      <c r="J416" s="192"/>
      <c r="K416" s="192"/>
      <c r="L416" s="192">
        <f>SUM(ventas_b_mes5[[#This Row],[IMPORTE NETO]:[EXENTO]])</f>
        <v>3749.9956999999999</v>
      </c>
      <c r="M416" s="59"/>
    </row>
    <row r="417" spans="2:13" x14ac:dyDescent="0.25">
      <c r="B417" s="186">
        <v>45062</v>
      </c>
      <c r="C417" s="41">
        <v>6</v>
      </c>
      <c r="D417" s="188">
        <v>5</v>
      </c>
      <c r="E417" s="189">
        <v>7962</v>
      </c>
      <c r="F417" s="190"/>
      <c r="G417" s="1" t="str">
        <f>IFERROR(IF(ventas_b_mes5[[#This Row],[CUIT]]="","-",VLOOKUP(ventas_b_mes5[[#This Row],[CUIT]],Lista_CUIT[#All],2,0)),"CUIT NO CARGADO")</f>
        <v>-</v>
      </c>
      <c r="H417" s="64">
        <v>2231.4</v>
      </c>
      <c r="I417" s="191">
        <f>ventas_b_mes5[[#This Row],[IMPORTE NETO]]*0.21</f>
        <v>468.59399999999999</v>
      </c>
      <c r="J417" s="192"/>
      <c r="K417" s="192"/>
      <c r="L417" s="192">
        <f>SUM(ventas_b_mes5[[#This Row],[IMPORTE NETO]:[EXENTO]])</f>
        <v>2699.9940000000001</v>
      </c>
      <c r="M417" s="59"/>
    </row>
    <row r="418" spans="2:13" x14ac:dyDescent="0.25">
      <c r="B418" s="186">
        <v>45062</v>
      </c>
      <c r="C418" s="41">
        <v>6</v>
      </c>
      <c r="D418" s="188">
        <v>5</v>
      </c>
      <c r="E418" s="189">
        <v>7956</v>
      </c>
      <c r="F418" s="190"/>
      <c r="G418" s="1" t="str">
        <f>IFERROR(IF(ventas_b_mes5[[#This Row],[CUIT]]="","-",VLOOKUP(ventas_b_mes5[[#This Row],[CUIT]],Lista_CUIT[#All],2,0)),"CUIT NO CARGADO")</f>
        <v>-</v>
      </c>
      <c r="H418" s="64">
        <v>6611.58</v>
      </c>
      <c r="I418" s="191">
        <f>ventas_b_mes5[[#This Row],[IMPORTE NETO]]*0.21</f>
        <v>1388.4317999999998</v>
      </c>
      <c r="J418" s="192"/>
      <c r="K418" s="192"/>
      <c r="L418" s="192">
        <f>SUM(ventas_b_mes5[[#This Row],[IMPORTE NETO]:[EXENTO]])</f>
        <v>8000.0118000000002</v>
      </c>
      <c r="M418" s="59"/>
    </row>
    <row r="419" spans="2:13" x14ac:dyDescent="0.25">
      <c r="B419" s="186">
        <v>45062</v>
      </c>
      <c r="C419" s="41">
        <v>6</v>
      </c>
      <c r="D419" s="188">
        <v>7</v>
      </c>
      <c r="E419" s="189">
        <v>4363</v>
      </c>
      <c r="F419" s="190"/>
      <c r="G419" s="1" t="str">
        <f>IFERROR(IF(ventas_b_mes5[[#This Row],[CUIT]]="","-",VLOOKUP(ventas_b_mes5[[#This Row],[CUIT]],Lista_CUIT[#All],2,0)),"CUIT NO CARGADO")</f>
        <v>-</v>
      </c>
      <c r="H419" s="64">
        <v>6611.57</v>
      </c>
      <c r="I419" s="191">
        <f>ventas_b_mes5[[#This Row],[IMPORTE NETO]]*0.21</f>
        <v>1388.4296999999999</v>
      </c>
      <c r="J419" s="192"/>
      <c r="K419" s="192"/>
      <c r="L419" s="192">
        <f>SUM(ventas_b_mes5[[#This Row],[IMPORTE NETO]:[EXENTO]])</f>
        <v>7999.9996999999994</v>
      </c>
      <c r="M419" s="59"/>
    </row>
    <row r="420" spans="2:13" x14ac:dyDescent="0.25">
      <c r="B420" s="186">
        <v>45062</v>
      </c>
      <c r="C420" s="41">
        <v>6</v>
      </c>
      <c r="D420" s="188">
        <v>7</v>
      </c>
      <c r="E420" s="189">
        <v>4365</v>
      </c>
      <c r="F420" s="190"/>
      <c r="G420" s="1" t="str">
        <f>IFERROR(IF(ventas_b_mes5[[#This Row],[CUIT]]="","-",VLOOKUP(ventas_b_mes5[[#This Row],[CUIT]],Lista_CUIT[#All],2,0)),"CUIT NO CARGADO")</f>
        <v>-</v>
      </c>
      <c r="H420" s="64">
        <v>64710.74</v>
      </c>
      <c r="I420" s="191">
        <f>ventas_b_mes5[[#This Row],[IMPORTE NETO]]*0.21</f>
        <v>13589.255399999998</v>
      </c>
      <c r="J420" s="192"/>
      <c r="K420" s="192"/>
      <c r="L420" s="192">
        <f>SUM(ventas_b_mes5[[#This Row],[IMPORTE NETO]:[EXENTO]])</f>
        <v>78299.9954</v>
      </c>
      <c r="M420" s="59"/>
    </row>
    <row r="421" spans="2:13" x14ac:dyDescent="0.25">
      <c r="B421" s="186">
        <v>45062</v>
      </c>
      <c r="C421" s="41">
        <v>6</v>
      </c>
      <c r="D421" s="188">
        <v>5</v>
      </c>
      <c r="E421" s="189">
        <v>7963</v>
      </c>
      <c r="F421" s="190"/>
      <c r="G421" s="1" t="str">
        <f>IFERROR(IF(ventas_b_mes5[[#This Row],[CUIT]]="","-",VLOOKUP(ventas_b_mes5[[#This Row],[CUIT]],Lista_CUIT[#All],2,0)),"CUIT NO CARGADO")</f>
        <v>-</v>
      </c>
      <c r="H421" s="64">
        <v>5619.83</v>
      </c>
      <c r="I421" s="191">
        <f>ventas_b_mes5[[#This Row],[IMPORTE NETO]]*0.21</f>
        <v>1180.1642999999999</v>
      </c>
      <c r="J421" s="192"/>
      <c r="K421" s="192"/>
      <c r="L421" s="192">
        <f>SUM(ventas_b_mes5[[#This Row],[IMPORTE NETO]:[EXENTO]])</f>
        <v>6799.9943000000003</v>
      </c>
      <c r="M421" s="59"/>
    </row>
    <row r="422" spans="2:13" x14ac:dyDescent="0.25">
      <c r="B422" s="186">
        <v>45062</v>
      </c>
      <c r="C422" s="41">
        <v>6</v>
      </c>
      <c r="D422" s="188">
        <v>5</v>
      </c>
      <c r="E422" s="189">
        <v>7964</v>
      </c>
      <c r="F422" s="190"/>
      <c r="G422" s="1" t="str">
        <f>IFERROR(IF(ventas_b_mes5[[#This Row],[CUIT]]="","-",VLOOKUP(ventas_b_mes5[[#This Row],[CUIT]],Lista_CUIT[#All],2,0)),"CUIT NO CARGADO")</f>
        <v>-</v>
      </c>
      <c r="H422" s="64">
        <v>2809.92</v>
      </c>
      <c r="I422" s="191">
        <f>ventas_b_mes5[[#This Row],[IMPORTE NETO]]*0.21</f>
        <v>590.08320000000003</v>
      </c>
      <c r="J422" s="192"/>
      <c r="K422" s="192"/>
      <c r="L422" s="192">
        <f>SUM(ventas_b_mes5[[#This Row],[IMPORTE NETO]:[EXENTO]])</f>
        <v>3400.0032000000001</v>
      </c>
      <c r="M422" s="59"/>
    </row>
    <row r="423" spans="2:13" x14ac:dyDescent="0.25">
      <c r="B423" s="186">
        <v>45062</v>
      </c>
      <c r="C423" s="41">
        <v>6</v>
      </c>
      <c r="D423" s="188">
        <v>5</v>
      </c>
      <c r="E423" s="189">
        <v>7965</v>
      </c>
      <c r="F423" s="190"/>
      <c r="G423" s="1" t="str">
        <f>IFERROR(IF(ventas_b_mes5[[#This Row],[CUIT]]="","-",VLOOKUP(ventas_b_mes5[[#This Row],[CUIT]],Lista_CUIT[#All],2,0)),"CUIT NO CARGADO")</f>
        <v>-</v>
      </c>
      <c r="H423" s="64">
        <v>11570.25</v>
      </c>
      <c r="I423" s="191">
        <f>ventas_b_mes5[[#This Row],[IMPORTE NETO]]*0.21</f>
        <v>2429.7525000000001</v>
      </c>
      <c r="J423" s="192"/>
      <c r="K423" s="192"/>
      <c r="L423" s="192">
        <f>SUM(ventas_b_mes5[[#This Row],[IMPORTE NETO]:[EXENTO]])</f>
        <v>14000.002500000001</v>
      </c>
      <c r="M423" s="59"/>
    </row>
    <row r="424" spans="2:13" x14ac:dyDescent="0.25">
      <c r="B424" s="186">
        <v>45062</v>
      </c>
      <c r="C424" s="41">
        <v>6</v>
      </c>
      <c r="D424" s="188">
        <v>5</v>
      </c>
      <c r="E424" s="189">
        <v>7954</v>
      </c>
      <c r="F424" s="190"/>
      <c r="G424" s="1" t="str">
        <f>IFERROR(IF(ventas_b_mes5[[#This Row],[CUIT]]="","-",VLOOKUP(ventas_b_mes5[[#This Row],[CUIT]],Lista_CUIT[#All],2,0)),"CUIT NO CARGADO")</f>
        <v>-</v>
      </c>
      <c r="H424" s="64">
        <v>2454.5500000000002</v>
      </c>
      <c r="I424" s="191">
        <f>ventas_b_mes5[[#This Row],[IMPORTE NETO]]*0.21</f>
        <v>515.45550000000003</v>
      </c>
      <c r="J424" s="192"/>
      <c r="K424" s="192"/>
      <c r="L424" s="192">
        <f>SUM(ventas_b_mes5[[#This Row],[IMPORTE NETO]:[EXENTO]])</f>
        <v>2970.0055000000002</v>
      </c>
      <c r="M424" s="59"/>
    </row>
    <row r="425" spans="2:13" x14ac:dyDescent="0.25">
      <c r="B425" s="186">
        <v>45062</v>
      </c>
      <c r="C425" s="41">
        <v>6</v>
      </c>
      <c r="D425" s="188">
        <v>5</v>
      </c>
      <c r="E425" s="189">
        <v>7960</v>
      </c>
      <c r="F425" s="190"/>
      <c r="G425" s="1" t="str">
        <f>IFERROR(IF(ventas_b_mes5[[#This Row],[CUIT]]="","-",VLOOKUP(ventas_b_mes5[[#This Row],[CUIT]],Lista_CUIT[#All],2,0)),"CUIT NO CARGADO")</f>
        <v>-</v>
      </c>
      <c r="H425" s="64">
        <v>5198.3500000000004</v>
      </c>
      <c r="I425" s="191">
        <f>ventas_b_mes5[[#This Row],[IMPORTE NETO]]*0.21</f>
        <v>1091.6535000000001</v>
      </c>
      <c r="J425" s="192"/>
      <c r="K425" s="192"/>
      <c r="L425" s="192">
        <f>SUM(ventas_b_mes5[[#This Row],[IMPORTE NETO]:[EXENTO]])</f>
        <v>6290.0035000000007</v>
      </c>
      <c r="M425" s="59"/>
    </row>
    <row r="426" spans="2:13" x14ac:dyDescent="0.25">
      <c r="B426" s="186">
        <v>45063</v>
      </c>
      <c r="C426" s="41">
        <v>6</v>
      </c>
      <c r="D426" s="188">
        <v>5</v>
      </c>
      <c r="E426" s="189">
        <v>7974</v>
      </c>
      <c r="F426" s="190"/>
      <c r="G426" s="1" t="str">
        <f>IFERROR(IF(ventas_b_mes5[[#This Row],[CUIT]]="","-",VLOOKUP(ventas_b_mes5[[#This Row],[CUIT]],Lista_CUIT[#All],2,0)),"CUIT NO CARGADO")</f>
        <v>-</v>
      </c>
      <c r="H426" s="64">
        <v>4628.1000000000004</v>
      </c>
      <c r="I426" s="191">
        <f>ventas_b_mes5[[#This Row],[IMPORTE NETO]]*0.21</f>
        <v>971.90100000000007</v>
      </c>
      <c r="J426" s="192"/>
      <c r="K426" s="192"/>
      <c r="L426" s="192">
        <f>SUM(ventas_b_mes5[[#This Row],[IMPORTE NETO]:[EXENTO]])</f>
        <v>5600.0010000000002</v>
      </c>
      <c r="M426" s="59"/>
    </row>
    <row r="427" spans="2:13" x14ac:dyDescent="0.25">
      <c r="B427" s="186">
        <v>45063</v>
      </c>
      <c r="C427" s="41">
        <v>6</v>
      </c>
      <c r="D427" s="188">
        <v>7</v>
      </c>
      <c r="E427" s="189">
        <v>4366</v>
      </c>
      <c r="F427" s="190"/>
      <c r="G427" s="1" t="str">
        <f>IFERROR(IF(ventas_b_mes5[[#This Row],[CUIT]]="","-",VLOOKUP(ventas_b_mes5[[#This Row],[CUIT]],Lista_CUIT[#All],2,0)),"CUIT NO CARGADO")</f>
        <v>-</v>
      </c>
      <c r="H427" s="64">
        <v>10661.16</v>
      </c>
      <c r="I427" s="191">
        <f>ventas_b_mes5[[#This Row],[IMPORTE NETO]]*0.21</f>
        <v>2238.8435999999997</v>
      </c>
      <c r="J427" s="192"/>
      <c r="K427" s="192"/>
      <c r="L427" s="192">
        <f>SUM(ventas_b_mes5[[#This Row],[IMPORTE NETO]:[EXENTO]])</f>
        <v>12900.0036</v>
      </c>
      <c r="M427" s="59"/>
    </row>
    <row r="428" spans="2:13" x14ac:dyDescent="0.25">
      <c r="B428" s="186">
        <v>45063</v>
      </c>
      <c r="C428" s="41">
        <v>6</v>
      </c>
      <c r="D428" s="188">
        <v>5</v>
      </c>
      <c r="E428" s="189">
        <v>7973</v>
      </c>
      <c r="F428" s="190"/>
      <c r="G428" s="1" t="str">
        <f>IFERROR(IF(ventas_b_mes5[[#This Row],[CUIT]]="","-",VLOOKUP(ventas_b_mes5[[#This Row],[CUIT]],Lista_CUIT[#All],2,0)),"CUIT NO CARGADO")</f>
        <v>-</v>
      </c>
      <c r="H428" s="64">
        <v>8925.6200000000008</v>
      </c>
      <c r="I428" s="191">
        <f>ventas_b_mes5[[#This Row],[IMPORTE NETO]]*0.21</f>
        <v>1874.3802000000001</v>
      </c>
      <c r="J428" s="192"/>
      <c r="K428" s="192"/>
      <c r="L428" s="192">
        <f>SUM(ventas_b_mes5[[#This Row],[IMPORTE NETO]:[EXENTO]])</f>
        <v>10800.0002</v>
      </c>
      <c r="M428" s="59"/>
    </row>
    <row r="429" spans="2:13" x14ac:dyDescent="0.25">
      <c r="B429" s="186">
        <v>45063</v>
      </c>
      <c r="C429" s="41">
        <v>6</v>
      </c>
      <c r="D429" s="188">
        <v>5</v>
      </c>
      <c r="E429" s="189">
        <v>7972</v>
      </c>
      <c r="F429" s="190"/>
      <c r="G429" s="1" t="str">
        <f>IFERROR(IF(ventas_b_mes5[[#This Row],[CUIT]]="","-",VLOOKUP(ventas_b_mes5[[#This Row],[CUIT]],Lista_CUIT[#All],2,0)),"CUIT NO CARGADO")</f>
        <v>-</v>
      </c>
      <c r="H429" s="64">
        <v>3966.94</v>
      </c>
      <c r="I429" s="191">
        <f>ventas_b_mes5[[#This Row],[IMPORTE NETO]]*0.21</f>
        <v>833.05740000000003</v>
      </c>
      <c r="J429" s="192"/>
      <c r="K429" s="192"/>
      <c r="L429" s="192">
        <f>SUM(ventas_b_mes5[[#This Row],[IMPORTE NETO]:[EXENTO]])</f>
        <v>4799.9974000000002</v>
      </c>
      <c r="M429" s="59"/>
    </row>
    <row r="430" spans="2:13" x14ac:dyDescent="0.25">
      <c r="B430" s="186">
        <v>45063</v>
      </c>
      <c r="C430" s="41">
        <v>6</v>
      </c>
      <c r="D430" s="188">
        <v>5</v>
      </c>
      <c r="E430" s="189">
        <v>7975</v>
      </c>
      <c r="F430" s="190"/>
      <c r="G430" s="1" t="str">
        <f>IFERROR(IF(ventas_b_mes5[[#This Row],[CUIT]]="","-",VLOOKUP(ventas_b_mes5[[#This Row],[CUIT]],Lista_CUIT[#All],2,0)),"CUIT NO CARGADO")</f>
        <v>-</v>
      </c>
      <c r="H430" s="64">
        <v>2933.88</v>
      </c>
      <c r="I430" s="191">
        <f>ventas_b_mes5[[#This Row],[IMPORTE NETO]]*0.21</f>
        <v>616.11479999999995</v>
      </c>
      <c r="J430" s="192"/>
      <c r="K430" s="192"/>
      <c r="L430" s="192">
        <f>SUM(ventas_b_mes5[[#This Row],[IMPORTE NETO]:[EXENTO]])</f>
        <v>3549.9947999999999</v>
      </c>
      <c r="M430" s="59"/>
    </row>
    <row r="431" spans="2:13" x14ac:dyDescent="0.25">
      <c r="B431" s="186">
        <v>45063</v>
      </c>
      <c r="C431" s="41">
        <v>6</v>
      </c>
      <c r="D431" s="188">
        <v>5</v>
      </c>
      <c r="E431" s="189">
        <v>7971</v>
      </c>
      <c r="F431" s="190"/>
      <c r="G431" s="1" t="str">
        <f>IFERROR(IF(ventas_b_mes5[[#This Row],[CUIT]]="","-",VLOOKUP(ventas_b_mes5[[#This Row],[CUIT]],Lista_CUIT[#All],2,0)),"CUIT NO CARGADO")</f>
        <v>-</v>
      </c>
      <c r="H431" s="64">
        <v>3099.17</v>
      </c>
      <c r="I431" s="191">
        <f>ventas_b_mes5[[#This Row],[IMPORTE NETO]]*0.21</f>
        <v>650.82569999999998</v>
      </c>
      <c r="J431" s="192"/>
      <c r="K431" s="192"/>
      <c r="L431" s="192">
        <f>SUM(ventas_b_mes5[[#This Row],[IMPORTE NETO]:[EXENTO]])</f>
        <v>3749.9956999999999</v>
      </c>
      <c r="M431" s="59"/>
    </row>
    <row r="432" spans="2:13" x14ac:dyDescent="0.25">
      <c r="B432" s="186">
        <v>45063</v>
      </c>
      <c r="C432" s="41">
        <v>6</v>
      </c>
      <c r="D432" s="188">
        <v>7</v>
      </c>
      <c r="E432" s="189">
        <v>4367</v>
      </c>
      <c r="F432" s="190"/>
      <c r="G432" s="1" t="str">
        <f>IFERROR(IF(ventas_b_mes5[[#This Row],[CUIT]]="","-",VLOOKUP(ventas_b_mes5[[#This Row],[CUIT]],Lista_CUIT[#All],2,0)),"CUIT NO CARGADO")</f>
        <v>-</v>
      </c>
      <c r="H432" s="64">
        <v>42975.199999999997</v>
      </c>
      <c r="I432" s="191">
        <f>ventas_b_mes5[[#This Row],[IMPORTE NETO]]*0.21</f>
        <v>9024.7919999999995</v>
      </c>
      <c r="J432" s="192"/>
      <c r="K432" s="192"/>
      <c r="L432" s="192">
        <f>SUM(ventas_b_mes5[[#This Row],[IMPORTE NETO]:[EXENTO]])</f>
        <v>51999.991999999998</v>
      </c>
      <c r="M432" s="59"/>
    </row>
    <row r="433" spans="2:13" x14ac:dyDescent="0.25">
      <c r="B433" s="186">
        <v>45063</v>
      </c>
      <c r="C433" s="41">
        <v>6</v>
      </c>
      <c r="D433" s="188">
        <v>5</v>
      </c>
      <c r="E433" s="189">
        <v>7970</v>
      </c>
      <c r="F433" s="190"/>
      <c r="G433" s="1" t="str">
        <f>IFERROR(IF(ventas_b_mes5[[#This Row],[CUIT]]="","-",VLOOKUP(ventas_b_mes5[[#This Row],[CUIT]],Lista_CUIT[#All],2,0)),"CUIT NO CARGADO")</f>
        <v>-</v>
      </c>
      <c r="H433" s="64">
        <v>2644.63</v>
      </c>
      <c r="I433" s="191">
        <f>ventas_b_mes5[[#This Row],[IMPORTE NETO]]*0.21</f>
        <v>555.3723</v>
      </c>
      <c r="J433" s="192"/>
      <c r="K433" s="192"/>
      <c r="L433" s="192">
        <f>SUM(ventas_b_mes5[[#This Row],[IMPORTE NETO]:[EXENTO]])</f>
        <v>3200.0023000000001</v>
      </c>
      <c r="M433" s="59"/>
    </row>
    <row r="434" spans="2:13" x14ac:dyDescent="0.25">
      <c r="B434" s="186">
        <v>45063</v>
      </c>
      <c r="C434" s="41">
        <v>6</v>
      </c>
      <c r="D434" s="188">
        <v>5</v>
      </c>
      <c r="E434" s="189">
        <v>7969</v>
      </c>
      <c r="F434" s="190"/>
      <c r="G434" s="1" t="str">
        <f>IFERROR(IF(ventas_b_mes5[[#This Row],[CUIT]]="","-",VLOOKUP(ventas_b_mes5[[#This Row],[CUIT]],Lista_CUIT[#All],2,0)),"CUIT NO CARGADO")</f>
        <v>-</v>
      </c>
      <c r="H434" s="64">
        <v>8099.17</v>
      </c>
      <c r="I434" s="191">
        <f>ventas_b_mes5[[#This Row],[IMPORTE NETO]]*0.21</f>
        <v>1700.8256999999999</v>
      </c>
      <c r="J434" s="192"/>
      <c r="K434" s="192"/>
      <c r="L434" s="192">
        <f>SUM(ventas_b_mes5[[#This Row],[IMPORTE NETO]:[EXENTO]])</f>
        <v>9799.9956999999995</v>
      </c>
      <c r="M434" s="59"/>
    </row>
    <row r="435" spans="2:13" x14ac:dyDescent="0.25">
      <c r="B435" s="186">
        <v>45063</v>
      </c>
      <c r="C435" s="41">
        <v>6</v>
      </c>
      <c r="D435" s="188">
        <v>5</v>
      </c>
      <c r="E435" s="189">
        <v>7968</v>
      </c>
      <c r="F435" s="190"/>
      <c r="G435" s="1" t="str">
        <f>IFERROR(IF(ventas_b_mes5[[#This Row],[CUIT]]="","-",VLOOKUP(ventas_b_mes5[[#This Row],[CUIT]],Lista_CUIT[#All],2,0)),"CUIT NO CARGADO")</f>
        <v>-</v>
      </c>
      <c r="H435" s="64">
        <v>3099.17</v>
      </c>
      <c r="I435" s="191">
        <f>ventas_b_mes5[[#This Row],[IMPORTE NETO]]*0.21</f>
        <v>650.82569999999998</v>
      </c>
      <c r="J435" s="192"/>
      <c r="K435" s="192"/>
      <c r="L435" s="192">
        <f>SUM(ventas_b_mes5[[#This Row],[IMPORTE NETO]:[EXENTO]])</f>
        <v>3749.9956999999999</v>
      </c>
      <c r="M435" s="59"/>
    </row>
    <row r="436" spans="2:13" x14ac:dyDescent="0.25">
      <c r="B436" s="186">
        <v>45064</v>
      </c>
      <c r="C436" s="41">
        <v>6</v>
      </c>
      <c r="D436" s="188">
        <v>7</v>
      </c>
      <c r="E436" s="189">
        <v>4369</v>
      </c>
      <c r="F436" s="190"/>
      <c r="G436" s="1" t="str">
        <f>IFERROR(IF(ventas_b_mes5[[#This Row],[CUIT]]="","-",VLOOKUP(ventas_b_mes5[[#This Row],[CUIT]],Lista_CUIT[#All],2,0)),"CUIT NO CARGADO")</f>
        <v>-</v>
      </c>
      <c r="H436" s="64">
        <v>4958.68</v>
      </c>
      <c r="I436" s="191">
        <f>ventas_b_mes5[[#This Row],[IMPORTE NETO]]*0.21</f>
        <v>1041.3227999999999</v>
      </c>
      <c r="J436" s="192"/>
      <c r="K436" s="192"/>
      <c r="L436" s="192">
        <f>SUM(ventas_b_mes5[[#This Row],[IMPORTE NETO]:[EXENTO]])</f>
        <v>6000.0028000000002</v>
      </c>
      <c r="M436" s="59"/>
    </row>
    <row r="437" spans="2:13" x14ac:dyDescent="0.25">
      <c r="B437" s="186">
        <v>45064</v>
      </c>
      <c r="C437" s="41">
        <v>6</v>
      </c>
      <c r="D437" s="188">
        <v>5</v>
      </c>
      <c r="E437" s="189">
        <v>7981</v>
      </c>
      <c r="F437" s="190"/>
      <c r="G437" s="1" t="str">
        <f>IFERROR(IF(ventas_b_mes5[[#This Row],[CUIT]]="","-",VLOOKUP(ventas_b_mes5[[#This Row],[CUIT]],Lista_CUIT[#All],2,0)),"CUIT NO CARGADO")</f>
        <v>-</v>
      </c>
      <c r="H437" s="64">
        <v>6528.93</v>
      </c>
      <c r="I437" s="191">
        <f>ventas_b_mes5[[#This Row],[IMPORTE NETO]]*0.21</f>
        <v>1371.0753</v>
      </c>
      <c r="J437" s="192"/>
      <c r="K437" s="192"/>
      <c r="L437" s="192">
        <f>SUM(ventas_b_mes5[[#This Row],[IMPORTE NETO]:[EXENTO]])</f>
        <v>7900.0053000000007</v>
      </c>
      <c r="M437" s="59"/>
    </row>
    <row r="438" spans="2:13" x14ac:dyDescent="0.25">
      <c r="B438" s="186">
        <v>45064</v>
      </c>
      <c r="C438" s="41">
        <v>6</v>
      </c>
      <c r="D438" s="188">
        <v>5</v>
      </c>
      <c r="E438" s="189">
        <v>7985</v>
      </c>
      <c r="F438" s="190"/>
      <c r="G438" s="1" t="str">
        <f>IFERROR(IF(ventas_b_mes5[[#This Row],[CUIT]]="","-",VLOOKUP(ventas_b_mes5[[#This Row],[CUIT]],Lista_CUIT[#All],2,0)),"CUIT NO CARGADO")</f>
        <v>-</v>
      </c>
      <c r="H438" s="64">
        <v>4132.2299999999996</v>
      </c>
      <c r="I438" s="191">
        <f>ventas_b_mes5[[#This Row],[IMPORTE NETO]]*0.21</f>
        <v>867.76829999999984</v>
      </c>
      <c r="J438" s="192"/>
      <c r="K438" s="192"/>
      <c r="L438" s="192">
        <f>SUM(ventas_b_mes5[[#This Row],[IMPORTE NETO]:[EXENTO]])</f>
        <v>4999.9982999999993</v>
      </c>
      <c r="M438" s="59"/>
    </row>
    <row r="439" spans="2:13" x14ac:dyDescent="0.25">
      <c r="B439" s="186">
        <v>45064</v>
      </c>
      <c r="C439" s="41">
        <v>6</v>
      </c>
      <c r="D439" s="188">
        <v>5</v>
      </c>
      <c r="E439" s="189">
        <v>7980</v>
      </c>
      <c r="F439" s="190"/>
      <c r="G439" s="1" t="str">
        <f>IFERROR(IF(ventas_b_mes5[[#This Row],[CUIT]]="","-",VLOOKUP(ventas_b_mes5[[#This Row],[CUIT]],Lista_CUIT[#All],2,0)),"CUIT NO CARGADO")</f>
        <v>-</v>
      </c>
      <c r="H439" s="64">
        <v>17190.09</v>
      </c>
      <c r="I439" s="191">
        <f>ventas_b_mes5[[#This Row],[IMPORTE NETO]]*0.21</f>
        <v>3609.9189000000001</v>
      </c>
      <c r="J439" s="192"/>
      <c r="K439" s="192"/>
      <c r="L439" s="192">
        <f>SUM(ventas_b_mes5[[#This Row],[IMPORTE NETO]:[EXENTO]])</f>
        <v>20800.008900000001</v>
      </c>
      <c r="M439" s="59"/>
    </row>
    <row r="440" spans="2:13" x14ac:dyDescent="0.25">
      <c r="B440" s="186">
        <v>45064</v>
      </c>
      <c r="C440" s="41">
        <v>6</v>
      </c>
      <c r="D440" s="188">
        <v>5</v>
      </c>
      <c r="E440" s="189">
        <v>7986</v>
      </c>
      <c r="F440" s="190"/>
      <c r="G440" s="1" t="str">
        <f>IFERROR(IF(ventas_b_mes5[[#This Row],[CUIT]]="","-",VLOOKUP(ventas_b_mes5[[#This Row],[CUIT]],Lista_CUIT[#All],2,0)),"CUIT NO CARGADO")</f>
        <v>-</v>
      </c>
      <c r="H440" s="64">
        <v>4876.03</v>
      </c>
      <c r="I440" s="191">
        <f>ventas_b_mes5[[#This Row],[IMPORTE NETO]]*0.21</f>
        <v>1023.9662999999999</v>
      </c>
      <c r="J440" s="192"/>
      <c r="K440" s="192"/>
      <c r="L440" s="192">
        <f>SUM(ventas_b_mes5[[#This Row],[IMPORTE NETO]:[EXENTO]])</f>
        <v>5899.9962999999998</v>
      </c>
      <c r="M440" s="59"/>
    </row>
    <row r="441" spans="2:13" x14ac:dyDescent="0.25">
      <c r="B441" s="186">
        <v>45064</v>
      </c>
      <c r="C441" s="41">
        <v>6</v>
      </c>
      <c r="D441" s="188">
        <v>5</v>
      </c>
      <c r="E441" s="189">
        <v>7976</v>
      </c>
      <c r="F441" s="190"/>
      <c r="G441" s="1" t="str">
        <f>IFERROR(IF(ventas_b_mes5[[#This Row],[CUIT]]="","-",VLOOKUP(ventas_b_mes5[[#This Row],[CUIT]],Lista_CUIT[#All],2,0)),"CUIT NO CARGADO")</f>
        <v>-</v>
      </c>
      <c r="H441" s="64">
        <v>1652.89</v>
      </c>
      <c r="I441" s="191">
        <f>ventas_b_mes5[[#This Row],[IMPORTE NETO]]*0.21</f>
        <v>347.1069</v>
      </c>
      <c r="J441" s="192"/>
      <c r="K441" s="192"/>
      <c r="L441" s="192">
        <f>SUM(ventas_b_mes5[[#This Row],[IMPORTE NETO]:[EXENTO]])</f>
        <v>1999.9969000000001</v>
      </c>
      <c r="M441" s="59"/>
    </row>
    <row r="442" spans="2:13" x14ac:dyDescent="0.25">
      <c r="B442" s="186">
        <v>45064</v>
      </c>
      <c r="C442" s="41">
        <v>6</v>
      </c>
      <c r="D442" s="188">
        <v>5</v>
      </c>
      <c r="E442" s="189">
        <v>7979</v>
      </c>
      <c r="F442" s="190"/>
      <c r="G442" s="1" t="str">
        <f>IFERROR(IF(ventas_b_mes5[[#This Row],[CUIT]]="","-",VLOOKUP(ventas_b_mes5[[#This Row],[CUIT]],Lista_CUIT[#All],2,0)),"CUIT NO CARGADO")</f>
        <v>-</v>
      </c>
      <c r="H442" s="64">
        <v>3057.85</v>
      </c>
      <c r="I442" s="191">
        <f>ventas_b_mes5[[#This Row],[IMPORTE NETO]]*0.21</f>
        <v>642.14850000000001</v>
      </c>
      <c r="J442" s="192"/>
      <c r="K442" s="192"/>
      <c r="L442" s="192">
        <f>SUM(ventas_b_mes5[[#This Row],[IMPORTE NETO]:[EXENTO]])</f>
        <v>3699.9984999999997</v>
      </c>
      <c r="M442" s="59"/>
    </row>
    <row r="443" spans="2:13" x14ac:dyDescent="0.25">
      <c r="B443" s="186">
        <v>45064</v>
      </c>
      <c r="C443" s="41">
        <v>6</v>
      </c>
      <c r="D443" s="188">
        <v>5</v>
      </c>
      <c r="E443" s="189">
        <v>7984</v>
      </c>
      <c r="F443" s="190"/>
      <c r="G443" s="1" t="str">
        <f>IFERROR(IF(ventas_b_mes5[[#This Row],[CUIT]]="","-",VLOOKUP(ventas_b_mes5[[#This Row],[CUIT]],Lista_CUIT[#All],2,0)),"CUIT NO CARGADO")</f>
        <v>-</v>
      </c>
      <c r="H443" s="64">
        <v>11157.02</v>
      </c>
      <c r="I443" s="191">
        <f>ventas_b_mes5[[#This Row],[IMPORTE NETO]]*0.21</f>
        <v>2342.9742000000001</v>
      </c>
      <c r="J443" s="192"/>
      <c r="K443" s="192"/>
      <c r="L443" s="192">
        <f>SUM(ventas_b_mes5[[#This Row],[IMPORTE NETO]:[EXENTO]])</f>
        <v>13499.994200000001</v>
      </c>
      <c r="M443" s="59"/>
    </row>
    <row r="444" spans="2:13" x14ac:dyDescent="0.25">
      <c r="B444" s="186">
        <v>45064</v>
      </c>
      <c r="C444" s="41">
        <v>6</v>
      </c>
      <c r="D444" s="188">
        <v>5</v>
      </c>
      <c r="E444" s="189">
        <v>7977</v>
      </c>
      <c r="F444" s="190"/>
      <c r="G444" s="1" t="str">
        <f>IFERROR(IF(ventas_b_mes5[[#This Row],[CUIT]]="","-",VLOOKUP(ventas_b_mes5[[#This Row],[CUIT]],Lista_CUIT[#All],2,0)),"CUIT NO CARGADO")</f>
        <v>-</v>
      </c>
      <c r="H444" s="64">
        <v>8264.4599999999991</v>
      </c>
      <c r="I444" s="191">
        <f>ventas_b_mes5[[#This Row],[IMPORTE NETO]]*0.21</f>
        <v>1735.5365999999997</v>
      </c>
      <c r="J444" s="192"/>
      <c r="K444" s="192"/>
      <c r="L444" s="192">
        <f>SUM(ventas_b_mes5[[#This Row],[IMPORTE NETO]:[EXENTO]])</f>
        <v>9999.9965999999986</v>
      </c>
      <c r="M444" s="59"/>
    </row>
    <row r="445" spans="2:13" x14ac:dyDescent="0.25">
      <c r="B445" s="186">
        <v>45064</v>
      </c>
      <c r="C445" s="41">
        <v>6</v>
      </c>
      <c r="D445" s="188">
        <v>7</v>
      </c>
      <c r="E445" s="189">
        <v>4368</v>
      </c>
      <c r="F445" s="190"/>
      <c r="G445" s="1" t="str">
        <f>IFERROR(IF(ventas_b_mes5[[#This Row],[CUIT]]="","-",VLOOKUP(ventas_b_mes5[[#This Row],[CUIT]],Lista_CUIT[#All],2,0)),"CUIT NO CARGADO")</f>
        <v>-</v>
      </c>
      <c r="H445" s="64">
        <v>20661.16</v>
      </c>
      <c r="I445" s="191">
        <f>ventas_b_mes5[[#This Row],[IMPORTE NETO]]*0.21</f>
        <v>4338.8436000000002</v>
      </c>
      <c r="J445" s="192"/>
      <c r="K445" s="192"/>
      <c r="L445" s="192">
        <f>SUM(ventas_b_mes5[[#This Row],[IMPORTE NETO]:[EXENTO]])</f>
        <v>25000.0036</v>
      </c>
      <c r="M445" s="59"/>
    </row>
    <row r="446" spans="2:13" x14ac:dyDescent="0.25">
      <c r="B446" s="186">
        <v>45064</v>
      </c>
      <c r="C446" s="41">
        <v>6</v>
      </c>
      <c r="D446" s="188">
        <v>5</v>
      </c>
      <c r="E446" s="189">
        <v>7978</v>
      </c>
      <c r="F446" s="190"/>
      <c r="G446" s="1" t="str">
        <f>IFERROR(IF(ventas_b_mes5[[#This Row],[CUIT]]="","-",VLOOKUP(ventas_b_mes5[[#This Row],[CUIT]],Lista_CUIT[#All],2,0)),"CUIT NO CARGADO")</f>
        <v>-</v>
      </c>
      <c r="H446" s="64">
        <v>2066.12</v>
      </c>
      <c r="I446" s="191">
        <f>ventas_b_mes5[[#This Row],[IMPORTE NETO]]*0.21</f>
        <v>433.88519999999994</v>
      </c>
      <c r="J446" s="192"/>
      <c r="K446" s="192"/>
      <c r="L446" s="192">
        <f>SUM(ventas_b_mes5[[#This Row],[IMPORTE NETO]:[EXENTO]])</f>
        <v>2500.0051999999996</v>
      </c>
      <c r="M446" s="59"/>
    </row>
    <row r="447" spans="2:13" x14ac:dyDescent="0.25">
      <c r="B447" s="186">
        <v>45064</v>
      </c>
      <c r="C447" s="41">
        <v>6</v>
      </c>
      <c r="D447" s="188">
        <v>5</v>
      </c>
      <c r="E447" s="189">
        <v>7982</v>
      </c>
      <c r="F447" s="190"/>
      <c r="G447" s="1" t="str">
        <f>IFERROR(IF(ventas_b_mes5[[#This Row],[CUIT]]="","-",VLOOKUP(ventas_b_mes5[[#This Row],[CUIT]],Lista_CUIT[#All],2,0)),"CUIT NO CARGADO")</f>
        <v>-</v>
      </c>
      <c r="H447" s="64">
        <v>10661.16</v>
      </c>
      <c r="I447" s="191">
        <f>ventas_b_mes5[[#This Row],[IMPORTE NETO]]*0.21</f>
        <v>2238.8435999999997</v>
      </c>
      <c r="J447" s="192"/>
      <c r="K447" s="192"/>
      <c r="L447" s="192">
        <f>SUM(ventas_b_mes5[[#This Row],[IMPORTE NETO]:[EXENTO]])</f>
        <v>12900.0036</v>
      </c>
      <c r="M447" s="59"/>
    </row>
    <row r="448" spans="2:13" x14ac:dyDescent="0.25">
      <c r="B448" s="186">
        <v>45064</v>
      </c>
      <c r="C448" s="41">
        <v>6</v>
      </c>
      <c r="D448" s="188">
        <v>5</v>
      </c>
      <c r="E448" s="189">
        <v>7983</v>
      </c>
      <c r="F448" s="190"/>
      <c r="G448" s="1" t="str">
        <f>IFERROR(IF(ventas_b_mes5[[#This Row],[CUIT]]="","-",VLOOKUP(ventas_b_mes5[[#This Row],[CUIT]],Lista_CUIT[#All],2,0)),"CUIT NO CARGADO")</f>
        <v>-</v>
      </c>
      <c r="H448" s="64">
        <v>2479.34</v>
      </c>
      <c r="I448" s="191">
        <f>ventas_b_mes5[[#This Row],[IMPORTE NETO]]*0.21</f>
        <v>520.66139999999996</v>
      </c>
      <c r="J448" s="192"/>
      <c r="K448" s="192"/>
      <c r="L448" s="192">
        <f>SUM(ventas_b_mes5[[#This Row],[IMPORTE NETO]:[EXENTO]])</f>
        <v>3000.0014000000001</v>
      </c>
      <c r="M448" s="59"/>
    </row>
    <row r="449" spans="2:13" x14ac:dyDescent="0.25">
      <c r="B449" s="186">
        <v>45065</v>
      </c>
      <c r="C449" s="41">
        <v>6</v>
      </c>
      <c r="D449" s="188">
        <v>7</v>
      </c>
      <c r="E449" s="189">
        <v>4372</v>
      </c>
      <c r="F449" s="190"/>
      <c r="G449" s="1" t="str">
        <f>IFERROR(IF(ventas_b_mes5[[#This Row],[CUIT]]="","-",VLOOKUP(ventas_b_mes5[[#This Row],[CUIT]],Lista_CUIT[#All],2,0)),"CUIT NO CARGADO")</f>
        <v>-</v>
      </c>
      <c r="H449" s="64">
        <v>12644.63</v>
      </c>
      <c r="I449" s="191">
        <f>ventas_b_mes5[[#This Row],[IMPORTE NETO]]*0.21</f>
        <v>2655.3722999999995</v>
      </c>
      <c r="J449" s="192"/>
      <c r="K449" s="192"/>
      <c r="L449" s="192">
        <f>SUM(ventas_b_mes5[[#This Row],[IMPORTE NETO]:[EXENTO]])</f>
        <v>15300.002299999998</v>
      </c>
      <c r="M449" s="59"/>
    </row>
    <row r="450" spans="2:13" x14ac:dyDescent="0.25">
      <c r="B450" s="186">
        <v>45065</v>
      </c>
      <c r="C450" s="41">
        <v>6</v>
      </c>
      <c r="D450" s="188">
        <v>7</v>
      </c>
      <c r="E450" s="189">
        <v>4371</v>
      </c>
      <c r="F450" s="190"/>
      <c r="G450" s="1" t="str">
        <f>IFERROR(IF(ventas_b_mes5[[#This Row],[CUIT]]="","-",VLOOKUP(ventas_b_mes5[[#This Row],[CUIT]],Lista_CUIT[#All],2,0)),"CUIT NO CARGADO")</f>
        <v>-</v>
      </c>
      <c r="H450" s="64">
        <v>4462.8100000000004</v>
      </c>
      <c r="I450" s="191">
        <f>ventas_b_mes5[[#This Row],[IMPORTE NETO]]*0.21</f>
        <v>937.19010000000003</v>
      </c>
      <c r="J450" s="192"/>
      <c r="K450" s="192"/>
      <c r="L450" s="192">
        <f>SUM(ventas_b_mes5[[#This Row],[IMPORTE NETO]:[EXENTO]])</f>
        <v>5400.0001000000002</v>
      </c>
      <c r="M450" s="59"/>
    </row>
    <row r="451" spans="2:13" x14ac:dyDescent="0.25">
      <c r="B451" s="186">
        <v>45065</v>
      </c>
      <c r="C451" s="41">
        <v>6</v>
      </c>
      <c r="D451" s="188">
        <v>5</v>
      </c>
      <c r="E451" s="189">
        <v>7989</v>
      </c>
      <c r="F451" s="190"/>
      <c r="G451" s="1" t="str">
        <f>IFERROR(IF(ventas_b_mes5[[#This Row],[CUIT]]="","-",VLOOKUP(ventas_b_mes5[[#This Row],[CUIT]],Lista_CUIT[#All],2,0)),"CUIT NO CARGADO")</f>
        <v>-</v>
      </c>
      <c r="H451" s="64">
        <v>9504.1299999999992</v>
      </c>
      <c r="I451" s="191">
        <f>ventas_b_mes5[[#This Row],[IMPORTE NETO]]*0.21</f>
        <v>1995.8672999999997</v>
      </c>
      <c r="J451" s="192"/>
      <c r="K451" s="192"/>
      <c r="L451" s="192">
        <f>SUM(ventas_b_mes5[[#This Row],[IMPORTE NETO]:[EXENTO]])</f>
        <v>11499.997299999999</v>
      </c>
      <c r="M451" s="59"/>
    </row>
    <row r="452" spans="2:13" x14ac:dyDescent="0.25">
      <c r="B452" s="186">
        <v>45065</v>
      </c>
      <c r="C452" s="41">
        <v>6</v>
      </c>
      <c r="D452" s="188">
        <v>5</v>
      </c>
      <c r="E452" s="189">
        <v>7995</v>
      </c>
      <c r="F452" s="190"/>
      <c r="G452" s="1" t="str">
        <f>IFERROR(IF(ventas_b_mes5[[#This Row],[CUIT]]="","-",VLOOKUP(ventas_b_mes5[[#This Row],[CUIT]],Lista_CUIT[#All],2,0)),"CUIT NO CARGADO")</f>
        <v>-</v>
      </c>
      <c r="H452" s="64">
        <v>7024.79</v>
      </c>
      <c r="I452" s="191">
        <f>ventas_b_mes5[[#This Row],[IMPORTE NETO]]*0.21</f>
        <v>1475.2058999999999</v>
      </c>
      <c r="J452" s="192"/>
      <c r="K452" s="192"/>
      <c r="L452" s="192">
        <f>SUM(ventas_b_mes5[[#This Row],[IMPORTE NETO]:[EXENTO]])</f>
        <v>8499.9958999999999</v>
      </c>
      <c r="M452" s="59"/>
    </row>
    <row r="453" spans="2:13" x14ac:dyDescent="0.25">
      <c r="B453" s="186">
        <v>45065</v>
      </c>
      <c r="C453" s="41">
        <v>6</v>
      </c>
      <c r="D453" s="188">
        <v>5</v>
      </c>
      <c r="E453" s="189">
        <v>7992</v>
      </c>
      <c r="F453" s="190"/>
      <c r="G453" s="1" t="str">
        <f>IFERROR(IF(ventas_b_mes5[[#This Row],[CUIT]]="","-",VLOOKUP(ventas_b_mes5[[#This Row],[CUIT]],Lista_CUIT[#All],2,0)),"CUIT NO CARGADO")</f>
        <v>-</v>
      </c>
      <c r="H453" s="64">
        <v>5330.58</v>
      </c>
      <c r="I453" s="191">
        <f>ventas_b_mes5[[#This Row],[IMPORTE NETO]]*0.21</f>
        <v>1119.4217999999998</v>
      </c>
      <c r="J453" s="192"/>
      <c r="K453" s="192"/>
      <c r="L453" s="192">
        <f>SUM(ventas_b_mes5[[#This Row],[IMPORTE NETO]:[EXENTO]])</f>
        <v>6450.0018</v>
      </c>
      <c r="M453" s="59"/>
    </row>
    <row r="454" spans="2:13" x14ac:dyDescent="0.25">
      <c r="B454" s="186">
        <v>45065</v>
      </c>
      <c r="C454" s="41">
        <v>6</v>
      </c>
      <c r="D454" s="188">
        <v>5</v>
      </c>
      <c r="E454" s="189">
        <v>7991</v>
      </c>
      <c r="F454" s="190"/>
      <c r="G454" s="1" t="str">
        <f>IFERROR(IF(ventas_b_mes5[[#This Row],[CUIT]]="","-",VLOOKUP(ventas_b_mes5[[#This Row],[CUIT]],Lista_CUIT[#All],2,0)),"CUIT NO CARGADO")</f>
        <v>-</v>
      </c>
      <c r="H454" s="64">
        <v>9669.42</v>
      </c>
      <c r="I454" s="191">
        <f>ventas_b_mes5[[#This Row],[IMPORTE NETO]]*0.21</f>
        <v>2030.5781999999999</v>
      </c>
      <c r="J454" s="192"/>
      <c r="K454" s="192"/>
      <c r="L454" s="192">
        <f>SUM(ventas_b_mes5[[#This Row],[IMPORTE NETO]:[EXENTO]])</f>
        <v>11699.9982</v>
      </c>
      <c r="M454" s="59"/>
    </row>
    <row r="455" spans="2:13" x14ac:dyDescent="0.25">
      <c r="B455" s="186">
        <v>45065</v>
      </c>
      <c r="C455" s="41">
        <v>6</v>
      </c>
      <c r="D455" s="188">
        <v>5</v>
      </c>
      <c r="E455" s="189">
        <v>7990</v>
      </c>
      <c r="F455" s="190"/>
      <c r="G455" s="1" t="str">
        <f>IFERROR(IF(ventas_b_mes5[[#This Row],[CUIT]]="","-",VLOOKUP(ventas_b_mes5[[#This Row],[CUIT]],Lista_CUIT[#All],2,0)),"CUIT NO CARGADO")</f>
        <v>-</v>
      </c>
      <c r="H455" s="64">
        <v>11157.02</v>
      </c>
      <c r="I455" s="191">
        <f>ventas_b_mes5[[#This Row],[IMPORTE NETO]]*0.21</f>
        <v>2342.9742000000001</v>
      </c>
      <c r="J455" s="192"/>
      <c r="K455" s="192"/>
      <c r="L455" s="192">
        <f>SUM(ventas_b_mes5[[#This Row],[IMPORTE NETO]:[EXENTO]])</f>
        <v>13499.994200000001</v>
      </c>
      <c r="M455" s="59"/>
    </row>
    <row r="456" spans="2:13" x14ac:dyDescent="0.25">
      <c r="B456" s="186">
        <v>45065</v>
      </c>
      <c r="C456" s="41">
        <v>6</v>
      </c>
      <c r="D456" s="188">
        <v>5</v>
      </c>
      <c r="E456" s="189">
        <v>7994</v>
      </c>
      <c r="F456" s="190"/>
      <c r="G456" s="1" t="str">
        <f>IFERROR(IF(ventas_b_mes5[[#This Row],[CUIT]]="","-",VLOOKUP(ventas_b_mes5[[#This Row],[CUIT]],Lista_CUIT[#All],2,0)),"CUIT NO CARGADO")</f>
        <v>-</v>
      </c>
      <c r="H456" s="64">
        <v>3305.79</v>
      </c>
      <c r="I456" s="191">
        <f>ventas_b_mes5[[#This Row],[IMPORTE NETO]]*0.21</f>
        <v>694.21589999999992</v>
      </c>
      <c r="J456" s="192"/>
      <c r="K456" s="192"/>
      <c r="L456" s="192">
        <f>SUM(ventas_b_mes5[[#This Row],[IMPORTE NETO]:[EXENTO]])</f>
        <v>4000.0059000000001</v>
      </c>
      <c r="M456" s="59"/>
    </row>
    <row r="457" spans="2:13" x14ac:dyDescent="0.25">
      <c r="B457" s="186">
        <v>45065</v>
      </c>
      <c r="C457" s="41">
        <v>6</v>
      </c>
      <c r="D457" s="188">
        <v>5</v>
      </c>
      <c r="E457" s="189">
        <v>7988</v>
      </c>
      <c r="F457" s="190"/>
      <c r="G457" s="1" t="str">
        <f>IFERROR(IF(ventas_b_mes5[[#This Row],[CUIT]]="","-",VLOOKUP(ventas_b_mes5[[#This Row],[CUIT]],Lista_CUIT[#All],2,0)),"CUIT NO CARGADO")</f>
        <v>-</v>
      </c>
      <c r="H457" s="64">
        <v>5454.55</v>
      </c>
      <c r="I457" s="191">
        <f>ventas_b_mes5[[#This Row],[IMPORTE NETO]]*0.21</f>
        <v>1145.4555</v>
      </c>
      <c r="J457" s="192"/>
      <c r="K457" s="192"/>
      <c r="L457" s="192">
        <f>SUM(ventas_b_mes5[[#This Row],[IMPORTE NETO]:[EXENTO]])</f>
        <v>6600.0055000000002</v>
      </c>
      <c r="M457" s="59"/>
    </row>
    <row r="458" spans="2:13" x14ac:dyDescent="0.25">
      <c r="B458" s="186">
        <v>45065</v>
      </c>
      <c r="C458" s="41">
        <v>6</v>
      </c>
      <c r="D458" s="188">
        <v>5</v>
      </c>
      <c r="E458" s="189">
        <v>7993</v>
      </c>
      <c r="F458" s="190"/>
      <c r="G458" s="1" t="str">
        <f>IFERROR(IF(ventas_b_mes5[[#This Row],[CUIT]]="","-",VLOOKUP(ventas_b_mes5[[#This Row],[CUIT]],Lista_CUIT[#All],2,0)),"CUIT NO CARGADO")</f>
        <v>-</v>
      </c>
      <c r="H458" s="64">
        <v>2479.34</v>
      </c>
      <c r="I458" s="191">
        <f>ventas_b_mes5[[#This Row],[IMPORTE NETO]]*0.21</f>
        <v>520.66139999999996</v>
      </c>
      <c r="J458" s="192"/>
      <c r="K458" s="192"/>
      <c r="L458" s="192">
        <f>SUM(ventas_b_mes5[[#This Row],[IMPORTE NETO]:[EXENTO]])</f>
        <v>3000.0014000000001</v>
      </c>
      <c r="M458" s="59"/>
    </row>
    <row r="459" spans="2:13" x14ac:dyDescent="0.25">
      <c r="B459" s="186">
        <v>45065</v>
      </c>
      <c r="C459" s="41">
        <v>6</v>
      </c>
      <c r="D459" s="188">
        <v>7</v>
      </c>
      <c r="E459" s="189">
        <v>4370</v>
      </c>
      <c r="F459" s="190"/>
      <c r="G459" s="1" t="str">
        <f>IFERROR(IF(ventas_b_mes5[[#This Row],[CUIT]]="","-",VLOOKUP(ventas_b_mes5[[#This Row],[CUIT]],Lista_CUIT[#All],2,0)),"CUIT NO CARGADO")</f>
        <v>-</v>
      </c>
      <c r="H459" s="64">
        <v>24132.23</v>
      </c>
      <c r="I459" s="191">
        <f>ventas_b_mes5[[#This Row],[IMPORTE NETO]]*0.21</f>
        <v>5067.7682999999997</v>
      </c>
      <c r="J459" s="192"/>
      <c r="K459" s="192"/>
      <c r="L459" s="192">
        <f>SUM(ventas_b_mes5[[#This Row],[IMPORTE NETO]:[EXENTO]])</f>
        <v>29199.998299999999</v>
      </c>
      <c r="M459" s="59"/>
    </row>
    <row r="460" spans="2:13" x14ac:dyDescent="0.25">
      <c r="B460" s="186">
        <v>45065</v>
      </c>
      <c r="C460" s="41">
        <v>6</v>
      </c>
      <c r="D460" s="188">
        <v>5</v>
      </c>
      <c r="E460" s="189">
        <v>7987</v>
      </c>
      <c r="F460" s="190"/>
      <c r="G460" s="1" t="str">
        <f>IFERROR(IF(ventas_b_mes5[[#This Row],[CUIT]]="","-",VLOOKUP(ventas_b_mes5[[#This Row],[CUIT]],Lista_CUIT[#All],2,0)),"CUIT NO CARGADO")</f>
        <v>-</v>
      </c>
      <c r="H460" s="64">
        <v>2479.34</v>
      </c>
      <c r="I460" s="191">
        <f>ventas_b_mes5[[#This Row],[IMPORTE NETO]]*0.21</f>
        <v>520.66139999999996</v>
      </c>
      <c r="J460" s="192"/>
      <c r="K460" s="192"/>
      <c r="L460" s="192">
        <f>SUM(ventas_b_mes5[[#This Row],[IMPORTE NETO]:[EXENTO]])</f>
        <v>3000.0014000000001</v>
      </c>
      <c r="M460" s="59"/>
    </row>
    <row r="461" spans="2:13" x14ac:dyDescent="0.25">
      <c r="B461" s="186">
        <v>45068</v>
      </c>
      <c r="C461" s="41">
        <v>6</v>
      </c>
      <c r="D461" s="188">
        <v>5</v>
      </c>
      <c r="E461" s="189">
        <v>7998</v>
      </c>
      <c r="F461" s="190"/>
      <c r="G461" s="1" t="str">
        <f>IFERROR(IF(ventas_b_mes5[[#This Row],[CUIT]]="","-",VLOOKUP(ventas_b_mes5[[#This Row],[CUIT]],Lista_CUIT[#All],2,0)),"CUIT NO CARGADO")</f>
        <v>-</v>
      </c>
      <c r="H461" s="64">
        <v>4132.2299999999996</v>
      </c>
      <c r="I461" s="191">
        <f>ventas_b_mes5[[#This Row],[IMPORTE NETO]]*0.21</f>
        <v>867.76829999999984</v>
      </c>
      <c r="J461" s="192"/>
      <c r="K461" s="192"/>
      <c r="L461" s="192">
        <f>SUM(ventas_b_mes5[[#This Row],[IMPORTE NETO]:[EXENTO]])</f>
        <v>4999.9982999999993</v>
      </c>
      <c r="M461" s="59"/>
    </row>
    <row r="462" spans="2:13" x14ac:dyDescent="0.25">
      <c r="B462" s="186">
        <v>45068</v>
      </c>
      <c r="C462" s="41">
        <v>6</v>
      </c>
      <c r="D462" s="188">
        <v>5</v>
      </c>
      <c r="E462" s="189">
        <v>7996</v>
      </c>
      <c r="F462" s="190"/>
      <c r="G462" s="1" t="str">
        <f>IFERROR(IF(ventas_b_mes5[[#This Row],[CUIT]]="","-",VLOOKUP(ventas_b_mes5[[#This Row],[CUIT]],Lista_CUIT[#All],2,0)),"CUIT NO CARGADO")</f>
        <v>-</v>
      </c>
      <c r="H462" s="64">
        <v>7851.24</v>
      </c>
      <c r="I462" s="191">
        <f>ventas_b_mes5[[#This Row],[IMPORTE NETO]]*0.21</f>
        <v>1648.7603999999999</v>
      </c>
      <c r="J462" s="192"/>
      <c r="K462" s="192"/>
      <c r="L462" s="192">
        <f>SUM(ventas_b_mes5[[#This Row],[IMPORTE NETO]:[EXENTO]])</f>
        <v>9500.000399999999</v>
      </c>
      <c r="M462" s="59"/>
    </row>
    <row r="463" spans="2:13" x14ac:dyDescent="0.25">
      <c r="B463" s="186">
        <v>45068</v>
      </c>
      <c r="C463" s="41">
        <v>6</v>
      </c>
      <c r="D463" s="188">
        <v>7</v>
      </c>
      <c r="E463" s="189">
        <v>4373</v>
      </c>
      <c r="F463" s="190"/>
      <c r="G463" s="1" t="str">
        <f>IFERROR(IF(ventas_b_mes5[[#This Row],[CUIT]]="","-",VLOOKUP(ventas_b_mes5[[#This Row],[CUIT]],Lista_CUIT[#All],2,0)),"CUIT NO CARGADO")</f>
        <v>-</v>
      </c>
      <c r="H463" s="64">
        <v>20330.580000000002</v>
      </c>
      <c r="I463" s="191">
        <f>ventas_b_mes5[[#This Row],[IMPORTE NETO]]*0.21</f>
        <v>4269.4218000000001</v>
      </c>
      <c r="J463" s="192"/>
      <c r="K463" s="192"/>
      <c r="L463" s="192">
        <f>SUM(ventas_b_mes5[[#This Row],[IMPORTE NETO]:[EXENTO]])</f>
        <v>24600.001800000002</v>
      </c>
      <c r="M463" s="59"/>
    </row>
    <row r="464" spans="2:13" x14ac:dyDescent="0.25">
      <c r="B464" s="186">
        <v>45068</v>
      </c>
      <c r="C464" s="41">
        <v>6</v>
      </c>
      <c r="D464" s="188">
        <v>5</v>
      </c>
      <c r="E464" s="189">
        <v>7997</v>
      </c>
      <c r="F464" s="190"/>
      <c r="G464" s="1" t="str">
        <f>IFERROR(IF(ventas_b_mes5[[#This Row],[CUIT]]="","-",VLOOKUP(ventas_b_mes5[[#This Row],[CUIT]],Lista_CUIT[#All],2,0)),"CUIT NO CARGADO")</f>
        <v>-</v>
      </c>
      <c r="H464" s="64">
        <v>4958.68</v>
      </c>
      <c r="I464" s="191">
        <f>ventas_b_mes5[[#This Row],[IMPORTE NETO]]*0.21</f>
        <v>1041.3227999999999</v>
      </c>
      <c r="J464" s="192"/>
      <c r="K464" s="192"/>
      <c r="L464" s="192">
        <f>SUM(ventas_b_mes5[[#This Row],[IMPORTE NETO]:[EXENTO]])</f>
        <v>6000.0028000000002</v>
      </c>
      <c r="M464" s="59"/>
    </row>
    <row r="465" spans="2:13" x14ac:dyDescent="0.25">
      <c r="B465" s="186">
        <v>45068</v>
      </c>
      <c r="C465" s="41">
        <v>6</v>
      </c>
      <c r="D465" s="188">
        <v>5</v>
      </c>
      <c r="E465" s="189">
        <v>8002</v>
      </c>
      <c r="F465" s="190"/>
      <c r="G465" s="1" t="str">
        <f>IFERROR(IF(ventas_b_mes5[[#This Row],[CUIT]]="","-",VLOOKUP(ventas_b_mes5[[#This Row],[CUIT]],Lista_CUIT[#All],2,0)),"CUIT NO CARGADO")</f>
        <v>-</v>
      </c>
      <c r="H465" s="64">
        <v>5165.29</v>
      </c>
      <c r="I465" s="191">
        <f>ventas_b_mes5[[#This Row],[IMPORTE NETO]]*0.21</f>
        <v>1084.7109</v>
      </c>
      <c r="J465" s="192"/>
      <c r="K465" s="192"/>
      <c r="L465" s="192">
        <f>SUM(ventas_b_mes5[[#This Row],[IMPORTE NETO]:[EXENTO]])</f>
        <v>6250.0009</v>
      </c>
      <c r="M465" s="59"/>
    </row>
    <row r="466" spans="2:13" x14ac:dyDescent="0.25">
      <c r="B466" s="186">
        <v>45068</v>
      </c>
      <c r="C466" s="41">
        <v>6</v>
      </c>
      <c r="D466" s="188">
        <v>5</v>
      </c>
      <c r="E466" s="189">
        <v>8008</v>
      </c>
      <c r="F466" s="190"/>
      <c r="G466" s="1" t="str">
        <f>IFERROR(IF(ventas_b_mes5[[#This Row],[CUIT]]="","-",VLOOKUP(ventas_b_mes5[[#This Row],[CUIT]],Lista_CUIT[#All],2,0)),"CUIT NO CARGADO")</f>
        <v>-</v>
      </c>
      <c r="H466" s="64">
        <v>2231.4</v>
      </c>
      <c r="I466" s="191">
        <f>ventas_b_mes5[[#This Row],[IMPORTE NETO]]*0.21</f>
        <v>468.59399999999999</v>
      </c>
      <c r="J466" s="192"/>
      <c r="K466" s="192"/>
      <c r="L466" s="192">
        <f>SUM(ventas_b_mes5[[#This Row],[IMPORTE NETO]:[EXENTO]])</f>
        <v>2699.9940000000001</v>
      </c>
      <c r="M466" s="59"/>
    </row>
    <row r="467" spans="2:13" x14ac:dyDescent="0.25">
      <c r="B467" s="186">
        <v>45068</v>
      </c>
      <c r="C467" s="41">
        <v>6</v>
      </c>
      <c r="D467" s="188">
        <v>5</v>
      </c>
      <c r="E467" s="189">
        <v>7999</v>
      </c>
      <c r="F467" s="190"/>
      <c r="G467" s="1" t="str">
        <f>IFERROR(IF(ventas_b_mes5[[#This Row],[CUIT]]="","-",VLOOKUP(ventas_b_mes5[[#This Row],[CUIT]],Lista_CUIT[#All],2,0)),"CUIT NO CARGADO")</f>
        <v>-</v>
      </c>
      <c r="H467" s="64">
        <v>6198.35</v>
      </c>
      <c r="I467" s="191">
        <f>ventas_b_mes5[[#This Row],[IMPORTE NETO]]*0.21</f>
        <v>1301.6535000000001</v>
      </c>
      <c r="J467" s="192"/>
      <c r="K467" s="192"/>
      <c r="L467" s="192">
        <f>SUM(ventas_b_mes5[[#This Row],[IMPORTE NETO]:[EXENTO]])</f>
        <v>7500.0035000000007</v>
      </c>
      <c r="M467" s="59"/>
    </row>
    <row r="468" spans="2:13" x14ac:dyDescent="0.25">
      <c r="B468" s="186">
        <v>45068</v>
      </c>
      <c r="C468" s="41">
        <v>6</v>
      </c>
      <c r="D468" s="188">
        <v>5</v>
      </c>
      <c r="E468" s="189">
        <v>8007</v>
      </c>
      <c r="F468" s="190"/>
      <c r="G468" s="1" t="str">
        <f>IFERROR(IF(ventas_b_mes5[[#This Row],[CUIT]]="","-",VLOOKUP(ventas_b_mes5[[#This Row],[CUIT]],Lista_CUIT[#All],2,0)),"CUIT NO CARGADO")</f>
        <v>-</v>
      </c>
      <c r="H468" s="64">
        <v>5330.58</v>
      </c>
      <c r="I468" s="191">
        <f>ventas_b_mes5[[#This Row],[IMPORTE NETO]]*0.21</f>
        <v>1119.4217999999998</v>
      </c>
      <c r="J468" s="192"/>
      <c r="K468" s="192"/>
      <c r="L468" s="192">
        <f>SUM(ventas_b_mes5[[#This Row],[IMPORTE NETO]:[EXENTO]])</f>
        <v>6450.0018</v>
      </c>
      <c r="M468" s="59"/>
    </row>
    <row r="469" spans="2:13" x14ac:dyDescent="0.25">
      <c r="B469" s="186">
        <v>45068</v>
      </c>
      <c r="C469" s="41">
        <v>6</v>
      </c>
      <c r="D469" s="188">
        <v>7</v>
      </c>
      <c r="E469" s="189">
        <v>4374</v>
      </c>
      <c r="F469" s="190"/>
      <c r="G469" s="1" t="str">
        <f>IFERROR(IF(ventas_b_mes5[[#This Row],[CUIT]]="","-",VLOOKUP(ventas_b_mes5[[#This Row],[CUIT]],Lista_CUIT[#All],2,0)),"CUIT NO CARGADO")</f>
        <v>-</v>
      </c>
      <c r="H469" s="64">
        <v>14876.03</v>
      </c>
      <c r="I469" s="191">
        <f>ventas_b_mes5[[#This Row],[IMPORTE NETO]]*0.21</f>
        <v>3123.9663</v>
      </c>
      <c r="J469" s="192"/>
      <c r="K469" s="192"/>
      <c r="L469" s="192">
        <f>SUM(ventas_b_mes5[[#This Row],[IMPORTE NETO]:[EXENTO]])</f>
        <v>17999.996299999999</v>
      </c>
      <c r="M469" s="59"/>
    </row>
    <row r="470" spans="2:13" x14ac:dyDescent="0.25">
      <c r="B470" s="186">
        <v>45068</v>
      </c>
      <c r="C470" s="41">
        <v>6</v>
      </c>
      <c r="D470" s="188">
        <v>5</v>
      </c>
      <c r="E470" s="189">
        <v>8005</v>
      </c>
      <c r="F470" s="190"/>
      <c r="G470" s="1" t="str">
        <f>IFERROR(IF(ventas_b_mes5[[#This Row],[CUIT]]="","-",VLOOKUP(ventas_b_mes5[[#This Row],[CUIT]],Lista_CUIT[#All],2,0)),"CUIT NO CARGADO")</f>
        <v>-</v>
      </c>
      <c r="H470" s="64">
        <v>3198.35</v>
      </c>
      <c r="I470" s="191">
        <f>ventas_b_mes5[[#This Row],[IMPORTE NETO]]*0.21</f>
        <v>671.65350000000001</v>
      </c>
      <c r="J470" s="192"/>
      <c r="K470" s="192"/>
      <c r="L470" s="192">
        <f>SUM(ventas_b_mes5[[#This Row],[IMPORTE NETO]:[EXENTO]])</f>
        <v>3870.0034999999998</v>
      </c>
      <c r="M470" s="59"/>
    </row>
    <row r="471" spans="2:13" x14ac:dyDescent="0.25">
      <c r="B471" s="186">
        <v>45068</v>
      </c>
      <c r="C471" s="41">
        <v>6</v>
      </c>
      <c r="D471" s="188">
        <v>7</v>
      </c>
      <c r="E471" s="189">
        <v>4375</v>
      </c>
      <c r="F471" s="190"/>
      <c r="G471" s="1" t="str">
        <f>IFERROR(IF(ventas_b_mes5[[#This Row],[CUIT]]="","-",VLOOKUP(ventas_b_mes5[[#This Row],[CUIT]],Lista_CUIT[#All],2,0)),"CUIT NO CARGADO")</f>
        <v>-</v>
      </c>
      <c r="H471" s="64">
        <v>4958.68</v>
      </c>
      <c r="I471" s="191">
        <f>ventas_b_mes5[[#This Row],[IMPORTE NETO]]*0.21</f>
        <v>1041.3227999999999</v>
      </c>
      <c r="J471" s="192"/>
      <c r="K471" s="192"/>
      <c r="L471" s="192">
        <f>SUM(ventas_b_mes5[[#This Row],[IMPORTE NETO]:[EXENTO]])</f>
        <v>6000.0028000000002</v>
      </c>
      <c r="M471" s="59"/>
    </row>
    <row r="472" spans="2:13" x14ac:dyDescent="0.25">
      <c r="B472" s="186">
        <v>45068</v>
      </c>
      <c r="C472" s="41">
        <v>6</v>
      </c>
      <c r="D472" s="188">
        <v>5</v>
      </c>
      <c r="E472" s="189">
        <v>8000</v>
      </c>
      <c r="F472" s="190"/>
      <c r="G472" s="1" t="str">
        <f>IFERROR(IF(ventas_b_mes5[[#This Row],[CUIT]]="","-",VLOOKUP(ventas_b_mes5[[#This Row],[CUIT]],Lista_CUIT[#All],2,0)),"CUIT NO CARGADO")</f>
        <v>-</v>
      </c>
      <c r="H472" s="64">
        <v>3000</v>
      </c>
      <c r="I472" s="191">
        <f>ventas_b_mes5[[#This Row],[IMPORTE NETO]]*0.21</f>
        <v>630</v>
      </c>
      <c r="J472" s="192"/>
      <c r="K472" s="192"/>
      <c r="L472" s="192">
        <f>SUM(ventas_b_mes5[[#This Row],[IMPORTE NETO]:[EXENTO]])</f>
        <v>3630</v>
      </c>
      <c r="M472" s="59"/>
    </row>
    <row r="473" spans="2:13" x14ac:dyDescent="0.25">
      <c r="B473" s="186">
        <v>45068</v>
      </c>
      <c r="C473" s="41">
        <v>6</v>
      </c>
      <c r="D473" s="188">
        <v>5</v>
      </c>
      <c r="E473" s="189">
        <v>8001</v>
      </c>
      <c r="F473" s="190"/>
      <c r="G473" s="1" t="str">
        <f>IFERROR(IF(ventas_b_mes5[[#This Row],[CUIT]]="","-",VLOOKUP(ventas_b_mes5[[#This Row],[CUIT]],Lista_CUIT[#All],2,0)),"CUIT NO CARGADO")</f>
        <v>-</v>
      </c>
      <c r="H473" s="64">
        <v>3719.01</v>
      </c>
      <c r="I473" s="191">
        <f>ventas_b_mes5[[#This Row],[IMPORTE NETO]]*0.21</f>
        <v>780.99210000000005</v>
      </c>
      <c r="J473" s="192"/>
      <c r="K473" s="192"/>
      <c r="L473" s="192">
        <f>SUM(ventas_b_mes5[[#This Row],[IMPORTE NETO]:[EXENTO]])</f>
        <v>4500.0021000000006</v>
      </c>
      <c r="M473" s="59"/>
    </row>
    <row r="474" spans="2:13" x14ac:dyDescent="0.25">
      <c r="B474" s="186">
        <v>45068</v>
      </c>
      <c r="C474" s="41">
        <v>6</v>
      </c>
      <c r="D474" s="188">
        <v>5</v>
      </c>
      <c r="E474" s="189">
        <v>8006</v>
      </c>
      <c r="F474" s="190"/>
      <c r="G474" s="1" t="str">
        <f>IFERROR(IF(ventas_b_mes5[[#This Row],[CUIT]]="","-",VLOOKUP(ventas_b_mes5[[#This Row],[CUIT]],Lista_CUIT[#All],2,0)),"CUIT NO CARGADO")</f>
        <v>-</v>
      </c>
      <c r="H474" s="64">
        <v>2231.4</v>
      </c>
      <c r="I474" s="191">
        <f>ventas_b_mes5[[#This Row],[IMPORTE NETO]]*0.21</f>
        <v>468.59399999999999</v>
      </c>
      <c r="J474" s="192"/>
      <c r="K474" s="192"/>
      <c r="L474" s="192">
        <f>SUM(ventas_b_mes5[[#This Row],[IMPORTE NETO]:[EXENTO]])</f>
        <v>2699.9940000000001</v>
      </c>
      <c r="M474" s="59"/>
    </row>
    <row r="475" spans="2:13" x14ac:dyDescent="0.25">
      <c r="B475" s="186">
        <v>45068</v>
      </c>
      <c r="C475" s="41">
        <v>6</v>
      </c>
      <c r="D475" s="188">
        <v>5</v>
      </c>
      <c r="E475" s="189">
        <v>8003</v>
      </c>
      <c r="F475" s="190"/>
      <c r="G475" s="1" t="str">
        <f>IFERROR(IF(ventas_b_mes5[[#This Row],[CUIT]]="","-",VLOOKUP(ventas_b_mes5[[#This Row],[CUIT]],Lista_CUIT[#All],2,0)),"CUIT NO CARGADO")</f>
        <v>-</v>
      </c>
      <c r="H475" s="64">
        <v>7355.37</v>
      </c>
      <c r="I475" s="191">
        <f>ventas_b_mes5[[#This Row],[IMPORTE NETO]]*0.21</f>
        <v>1544.6277</v>
      </c>
      <c r="J475" s="192"/>
      <c r="K475" s="192"/>
      <c r="L475" s="192">
        <f>SUM(ventas_b_mes5[[#This Row],[IMPORTE NETO]:[EXENTO]])</f>
        <v>8899.9976999999999</v>
      </c>
      <c r="M475" s="59"/>
    </row>
    <row r="476" spans="2:13" x14ac:dyDescent="0.25">
      <c r="B476" s="186">
        <v>45068</v>
      </c>
      <c r="C476" s="41">
        <v>6</v>
      </c>
      <c r="D476" s="188">
        <v>5</v>
      </c>
      <c r="E476" s="189">
        <v>8004</v>
      </c>
      <c r="F476" s="190"/>
      <c r="G476" s="1" t="str">
        <f>IFERROR(IF(ventas_b_mes5[[#This Row],[CUIT]]="","-",VLOOKUP(ventas_b_mes5[[#This Row],[CUIT]],Lista_CUIT[#All],2,0)),"CUIT NO CARGADO")</f>
        <v>-</v>
      </c>
      <c r="H476" s="64">
        <v>5330.58</v>
      </c>
      <c r="I476" s="191">
        <f>ventas_b_mes5[[#This Row],[IMPORTE NETO]]*0.21</f>
        <v>1119.4217999999998</v>
      </c>
      <c r="J476" s="192"/>
      <c r="K476" s="192"/>
      <c r="L476" s="192">
        <f>SUM(ventas_b_mes5[[#This Row],[IMPORTE NETO]:[EXENTO]])</f>
        <v>6450.0018</v>
      </c>
      <c r="M476" s="59"/>
    </row>
    <row r="477" spans="2:13" x14ac:dyDescent="0.25">
      <c r="B477" s="186">
        <v>45068</v>
      </c>
      <c r="C477" s="41">
        <v>6</v>
      </c>
      <c r="D477" s="188">
        <v>5</v>
      </c>
      <c r="E477" s="189">
        <v>8009</v>
      </c>
      <c r="F477" s="190"/>
      <c r="G477" s="1" t="str">
        <f>IFERROR(IF(ventas_b_mes5[[#This Row],[CUIT]]="","-",VLOOKUP(ventas_b_mes5[[#This Row],[CUIT]],Lista_CUIT[#All],2,0)),"CUIT NO CARGADO")</f>
        <v>-</v>
      </c>
      <c r="H477" s="64">
        <v>2809.92</v>
      </c>
      <c r="I477" s="191">
        <f>ventas_b_mes5[[#This Row],[IMPORTE NETO]]*0.21</f>
        <v>590.08320000000003</v>
      </c>
      <c r="J477" s="192"/>
      <c r="K477" s="192"/>
      <c r="L477" s="192">
        <f>SUM(ventas_b_mes5[[#This Row],[IMPORTE NETO]:[EXENTO]])</f>
        <v>3400.0032000000001</v>
      </c>
      <c r="M477" s="59"/>
    </row>
    <row r="478" spans="2:13" x14ac:dyDescent="0.25">
      <c r="B478" s="186">
        <v>45068</v>
      </c>
      <c r="C478" s="41">
        <v>6</v>
      </c>
      <c r="D478" s="188">
        <v>7</v>
      </c>
      <c r="E478" s="189">
        <v>4376</v>
      </c>
      <c r="F478" s="190"/>
      <c r="G478" s="1" t="str">
        <f>IFERROR(IF(ventas_b_mes5[[#This Row],[CUIT]]="","-",VLOOKUP(ventas_b_mes5[[#This Row],[CUIT]],Lista_CUIT[#All],2,0)),"CUIT NO CARGADO")</f>
        <v>-</v>
      </c>
      <c r="H478" s="64">
        <v>2892.56</v>
      </c>
      <c r="I478" s="191">
        <f>ventas_b_mes5[[#This Row],[IMPORTE NETO]]*0.21</f>
        <v>607.43759999999997</v>
      </c>
      <c r="J478" s="192"/>
      <c r="K478" s="192"/>
      <c r="L478" s="192">
        <f>SUM(ventas_b_mes5[[#This Row],[IMPORTE NETO]:[EXENTO]])</f>
        <v>3499.9975999999997</v>
      </c>
      <c r="M478" s="59"/>
    </row>
    <row r="479" spans="2:13" x14ac:dyDescent="0.25">
      <c r="B479" s="186">
        <v>45069</v>
      </c>
      <c r="C479" s="41">
        <v>6</v>
      </c>
      <c r="D479" s="188">
        <v>5</v>
      </c>
      <c r="E479" s="189">
        <v>8012</v>
      </c>
      <c r="F479" s="190"/>
      <c r="G479" s="1" t="str">
        <f>IFERROR(IF(ventas_b_mes5[[#This Row],[CUIT]]="","-",VLOOKUP(ventas_b_mes5[[#This Row],[CUIT]],Lista_CUIT[#All],2,0)),"CUIT NO CARGADO")</f>
        <v>-</v>
      </c>
      <c r="H479" s="64">
        <v>6454.55</v>
      </c>
      <c r="I479" s="191">
        <f>ventas_b_mes5[[#This Row],[IMPORTE NETO]]*0.21</f>
        <v>1355.4555</v>
      </c>
      <c r="J479" s="192"/>
      <c r="K479" s="192"/>
      <c r="L479" s="192">
        <f>SUM(ventas_b_mes5[[#This Row],[IMPORTE NETO]:[EXENTO]])</f>
        <v>7810.0055000000002</v>
      </c>
      <c r="M479" s="59"/>
    </row>
    <row r="480" spans="2:13" x14ac:dyDescent="0.25">
      <c r="B480" s="186">
        <v>45069</v>
      </c>
      <c r="C480" s="41">
        <v>6</v>
      </c>
      <c r="D480" s="188">
        <v>5</v>
      </c>
      <c r="E480" s="189">
        <v>8011</v>
      </c>
      <c r="F480" s="190"/>
      <c r="G480" s="1" t="str">
        <f>IFERROR(IF(ventas_b_mes5[[#This Row],[CUIT]]="","-",VLOOKUP(ventas_b_mes5[[#This Row],[CUIT]],Lista_CUIT[#All],2,0)),"CUIT NO CARGADO")</f>
        <v>-</v>
      </c>
      <c r="H480" s="64">
        <v>6198.35</v>
      </c>
      <c r="I480" s="191">
        <f>ventas_b_mes5[[#This Row],[IMPORTE NETO]]*0.21</f>
        <v>1301.6535000000001</v>
      </c>
      <c r="J480" s="192"/>
      <c r="K480" s="192"/>
      <c r="L480" s="192">
        <f>SUM(ventas_b_mes5[[#This Row],[IMPORTE NETO]:[EXENTO]])</f>
        <v>7500.0035000000007</v>
      </c>
      <c r="M480" s="59"/>
    </row>
    <row r="481" spans="2:13" x14ac:dyDescent="0.25">
      <c r="B481" s="186">
        <v>45069</v>
      </c>
      <c r="C481" s="41">
        <v>6</v>
      </c>
      <c r="D481" s="188">
        <v>7</v>
      </c>
      <c r="E481" s="189">
        <v>4378</v>
      </c>
      <c r="F481" s="190"/>
      <c r="G481" s="1" t="str">
        <f>IFERROR(IF(ventas_b_mes5[[#This Row],[CUIT]]="","-",VLOOKUP(ventas_b_mes5[[#This Row],[CUIT]],Lista_CUIT[#All],2,0)),"CUIT NO CARGADO")</f>
        <v>-</v>
      </c>
      <c r="H481" s="64">
        <v>23140.5</v>
      </c>
      <c r="I481" s="191">
        <f>ventas_b_mes5[[#This Row],[IMPORTE NETO]]*0.21</f>
        <v>4859.5050000000001</v>
      </c>
      <c r="J481" s="192"/>
      <c r="K481" s="192"/>
      <c r="L481" s="192">
        <f>SUM(ventas_b_mes5[[#This Row],[IMPORTE NETO]:[EXENTO]])</f>
        <v>28000.005000000001</v>
      </c>
      <c r="M481" s="59"/>
    </row>
    <row r="482" spans="2:13" x14ac:dyDescent="0.25">
      <c r="B482" s="186">
        <v>45069</v>
      </c>
      <c r="C482" s="41">
        <v>6</v>
      </c>
      <c r="D482" s="188">
        <v>5</v>
      </c>
      <c r="E482" s="189">
        <v>8013</v>
      </c>
      <c r="F482" s="190"/>
      <c r="G482" s="1" t="str">
        <f>IFERROR(IF(ventas_b_mes5[[#This Row],[CUIT]]="","-",VLOOKUP(ventas_b_mes5[[#This Row],[CUIT]],Lista_CUIT[#All],2,0)),"CUIT NO CARGADO")</f>
        <v>-</v>
      </c>
      <c r="H482" s="64">
        <v>5330.58</v>
      </c>
      <c r="I482" s="191">
        <f>ventas_b_mes5[[#This Row],[IMPORTE NETO]]*0.21</f>
        <v>1119.4217999999998</v>
      </c>
      <c r="J482" s="192"/>
      <c r="K482" s="192"/>
      <c r="L482" s="192">
        <f>SUM(ventas_b_mes5[[#This Row],[IMPORTE NETO]:[EXENTO]])</f>
        <v>6450.0018</v>
      </c>
      <c r="M482" s="59"/>
    </row>
    <row r="483" spans="2:13" x14ac:dyDescent="0.25">
      <c r="B483" s="186">
        <v>45069</v>
      </c>
      <c r="C483" s="41">
        <v>6</v>
      </c>
      <c r="D483" s="188">
        <v>5</v>
      </c>
      <c r="E483" s="189">
        <v>8015</v>
      </c>
      <c r="F483" s="190"/>
      <c r="G483" s="1" t="str">
        <f>IFERROR(IF(ventas_b_mes5[[#This Row],[CUIT]]="","-",VLOOKUP(ventas_b_mes5[[#This Row],[CUIT]],Lista_CUIT[#All],2,0)),"CUIT NO CARGADO")</f>
        <v>-</v>
      </c>
      <c r="H483" s="64">
        <v>12396.7</v>
      </c>
      <c r="I483" s="191">
        <f>ventas_b_mes5[[#This Row],[IMPORTE NETO]]*0.21</f>
        <v>2603.3070000000002</v>
      </c>
      <c r="J483" s="192"/>
      <c r="K483" s="192"/>
      <c r="L483" s="192">
        <f>SUM(ventas_b_mes5[[#This Row],[IMPORTE NETO]:[EXENTO]])</f>
        <v>15000.007000000001</v>
      </c>
      <c r="M483" s="59"/>
    </row>
    <row r="484" spans="2:13" x14ac:dyDescent="0.25">
      <c r="B484" s="186">
        <v>45069</v>
      </c>
      <c r="C484" s="41">
        <v>6</v>
      </c>
      <c r="D484" s="188">
        <v>5</v>
      </c>
      <c r="E484" s="189">
        <v>8010</v>
      </c>
      <c r="F484" s="190"/>
      <c r="G484" s="1" t="str">
        <f>IFERROR(IF(ventas_b_mes5[[#This Row],[CUIT]]="","-",VLOOKUP(ventas_b_mes5[[#This Row],[CUIT]],Lista_CUIT[#All],2,0)),"CUIT NO CARGADO")</f>
        <v>-</v>
      </c>
      <c r="H484" s="64">
        <v>9917.36</v>
      </c>
      <c r="I484" s="191">
        <f>ventas_b_mes5[[#This Row],[IMPORTE NETO]]*0.21</f>
        <v>2082.6455999999998</v>
      </c>
      <c r="J484" s="192"/>
      <c r="K484" s="192"/>
      <c r="L484" s="192">
        <f>SUM(ventas_b_mes5[[#This Row],[IMPORTE NETO]:[EXENTO]])</f>
        <v>12000.0056</v>
      </c>
      <c r="M484" s="59"/>
    </row>
    <row r="485" spans="2:13" x14ac:dyDescent="0.25">
      <c r="B485" s="186">
        <v>45069</v>
      </c>
      <c r="C485" s="41">
        <v>6</v>
      </c>
      <c r="D485" s="188">
        <v>7</v>
      </c>
      <c r="E485" s="189">
        <v>4377</v>
      </c>
      <c r="F485" s="190"/>
      <c r="G485" s="1" t="str">
        <f>IFERROR(IF(ventas_b_mes5[[#This Row],[CUIT]]="","-",VLOOKUP(ventas_b_mes5[[#This Row],[CUIT]],Lista_CUIT[#All],2,0)),"CUIT NO CARGADO")</f>
        <v>-</v>
      </c>
      <c r="H485" s="64">
        <v>1198.3499999999999</v>
      </c>
      <c r="I485" s="191">
        <f>ventas_b_mes5[[#This Row],[IMPORTE NETO]]*0.21</f>
        <v>251.65349999999998</v>
      </c>
      <c r="J485" s="192"/>
      <c r="K485" s="192"/>
      <c r="L485" s="192">
        <f>SUM(ventas_b_mes5[[#This Row],[IMPORTE NETO]:[EXENTO]])</f>
        <v>1450.0034999999998</v>
      </c>
      <c r="M485" s="59"/>
    </row>
    <row r="486" spans="2:13" x14ac:dyDescent="0.25">
      <c r="B486" s="186">
        <v>45069</v>
      </c>
      <c r="C486" s="41">
        <v>6</v>
      </c>
      <c r="D486" s="188">
        <v>7</v>
      </c>
      <c r="E486" s="189">
        <v>4379</v>
      </c>
      <c r="F486" s="190"/>
      <c r="G486" s="1" t="str">
        <f>IFERROR(IF(ventas_b_mes5[[#This Row],[CUIT]]="","-",VLOOKUP(ventas_b_mes5[[#This Row],[CUIT]],Lista_CUIT[#All],2,0)),"CUIT NO CARGADO")</f>
        <v>-</v>
      </c>
      <c r="H486" s="64">
        <v>18760.330000000002</v>
      </c>
      <c r="I486" s="191">
        <f>ventas_b_mes5[[#This Row],[IMPORTE NETO]]*0.21</f>
        <v>3939.6693</v>
      </c>
      <c r="J486" s="192"/>
      <c r="K486" s="192"/>
      <c r="L486" s="192">
        <f>SUM(ventas_b_mes5[[#This Row],[IMPORTE NETO]:[EXENTO]])</f>
        <v>22699.999300000003</v>
      </c>
      <c r="M486" s="59"/>
    </row>
    <row r="487" spans="2:13" x14ac:dyDescent="0.25">
      <c r="B487" s="186">
        <v>45069</v>
      </c>
      <c r="C487" s="41">
        <v>6</v>
      </c>
      <c r="D487" s="188">
        <v>5</v>
      </c>
      <c r="E487" s="189">
        <v>8018</v>
      </c>
      <c r="F487" s="190"/>
      <c r="G487" s="1" t="str">
        <f>IFERROR(IF(ventas_b_mes5[[#This Row],[CUIT]]="","-",VLOOKUP(ventas_b_mes5[[#This Row],[CUIT]],Lista_CUIT[#All],2,0)),"CUIT NO CARGADO")</f>
        <v>-</v>
      </c>
      <c r="H487" s="64">
        <v>5950.41</v>
      </c>
      <c r="I487" s="191">
        <f>ventas_b_mes5[[#This Row],[IMPORTE NETO]]*0.21</f>
        <v>1249.5861</v>
      </c>
      <c r="J487" s="192"/>
      <c r="K487" s="192"/>
      <c r="L487" s="192">
        <f>SUM(ventas_b_mes5[[#This Row],[IMPORTE NETO]:[EXENTO]])</f>
        <v>7199.9961000000003</v>
      </c>
      <c r="M487" s="59"/>
    </row>
    <row r="488" spans="2:13" x14ac:dyDescent="0.25">
      <c r="B488" s="186">
        <v>45069</v>
      </c>
      <c r="C488" s="41">
        <v>6</v>
      </c>
      <c r="D488" s="188">
        <v>5</v>
      </c>
      <c r="E488" s="189">
        <v>8017</v>
      </c>
      <c r="F488" s="190"/>
      <c r="G488" s="1" t="str">
        <f>IFERROR(IF(ventas_b_mes5[[#This Row],[CUIT]]="","-",VLOOKUP(ventas_b_mes5[[#This Row],[CUIT]],Lista_CUIT[#All],2,0)),"CUIT NO CARGADO")</f>
        <v>-</v>
      </c>
      <c r="H488" s="64">
        <v>5454.55</v>
      </c>
      <c r="I488" s="191">
        <f>ventas_b_mes5[[#This Row],[IMPORTE NETO]]*0.21</f>
        <v>1145.4555</v>
      </c>
      <c r="J488" s="192"/>
      <c r="K488" s="192"/>
      <c r="L488" s="192">
        <f>SUM(ventas_b_mes5[[#This Row],[IMPORTE NETO]:[EXENTO]])</f>
        <v>6600.0055000000002</v>
      </c>
      <c r="M488" s="59"/>
    </row>
    <row r="489" spans="2:13" x14ac:dyDescent="0.25">
      <c r="B489" s="186">
        <v>45069</v>
      </c>
      <c r="C489" s="41">
        <v>6</v>
      </c>
      <c r="D489" s="188">
        <v>5</v>
      </c>
      <c r="E489" s="189">
        <v>8014</v>
      </c>
      <c r="F489" s="190"/>
      <c r="G489" s="1" t="str">
        <f>IFERROR(IF(ventas_b_mes5[[#This Row],[CUIT]]="","-",VLOOKUP(ventas_b_mes5[[#This Row],[CUIT]],Lista_CUIT[#All],2,0)),"CUIT NO CARGADO")</f>
        <v>-</v>
      </c>
      <c r="H489" s="64">
        <v>7024.8</v>
      </c>
      <c r="I489" s="191">
        <f>ventas_b_mes5[[#This Row],[IMPORTE NETO]]*0.21</f>
        <v>1475.2080000000001</v>
      </c>
      <c r="J489" s="192"/>
      <c r="K489" s="192"/>
      <c r="L489" s="192">
        <f>SUM(ventas_b_mes5[[#This Row],[IMPORTE NETO]:[EXENTO]])</f>
        <v>8500.0079999999998</v>
      </c>
      <c r="M489" s="59"/>
    </row>
    <row r="490" spans="2:13" x14ac:dyDescent="0.25">
      <c r="B490" s="186">
        <v>45069</v>
      </c>
      <c r="C490" s="41">
        <v>6</v>
      </c>
      <c r="D490" s="188">
        <v>5</v>
      </c>
      <c r="E490" s="189">
        <v>8016</v>
      </c>
      <c r="F490" s="190"/>
      <c r="G490" s="1" t="str">
        <f>IFERROR(IF(ventas_b_mes5[[#This Row],[CUIT]]="","-",VLOOKUP(ventas_b_mes5[[#This Row],[CUIT]],Lista_CUIT[#All],2,0)),"CUIT NO CARGADO")</f>
        <v>-</v>
      </c>
      <c r="H490" s="64">
        <v>32727.279999999999</v>
      </c>
      <c r="I490" s="191">
        <f>ventas_b_mes5[[#This Row],[IMPORTE NETO]]*0.21</f>
        <v>6872.7287999999999</v>
      </c>
      <c r="J490" s="192"/>
      <c r="K490" s="192"/>
      <c r="L490" s="192">
        <f>SUM(ventas_b_mes5[[#This Row],[IMPORTE NETO]:[EXENTO]])</f>
        <v>39600.008799999996</v>
      </c>
      <c r="M490" s="59"/>
    </row>
    <row r="491" spans="2:13" x14ac:dyDescent="0.25">
      <c r="B491" s="186">
        <v>45070</v>
      </c>
      <c r="C491" s="41">
        <v>6</v>
      </c>
      <c r="D491" s="188">
        <v>5</v>
      </c>
      <c r="E491" s="189">
        <v>8022</v>
      </c>
      <c r="F491" s="190"/>
      <c r="G491" s="1" t="str">
        <f>IFERROR(IF(ventas_b_mes5[[#This Row],[CUIT]]="","-",VLOOKUP(ventas_b_mes5[[#This Row],[CUIT]],Lista_CUIT[#All],2,0)),"CUIT NO CARGADO")</f>
        <v>-</v>
      </c>
      <c r="H491" s="64">
        <v>6198.35</v>
      </c>
      <c r="I491" s="191">
        <f>ventas_b_mes5[[#This Row],[IMPORTE NETO]]*0.21</f>
        <v>1301.6535000000001</v>
      </c>
      <c r="J491" s="192"/>
      <c r="K491" s="192"/>
      <c r="L491" s="192">
        <f>SUM(ventas_b_mes5[[#This Row],[IMPORTE NETO]:[EXENTO]])</f>
        <v>7500.0035000000007</v>
      </c>
      <c r="M491" s="59"/>
    </row>
    <row r="492" spans="2:13" x14ac:dyDescent="0.25">
      <c r="B492" s="186">
        <v>45070</v>
      </c>
      <c r="C492" s="41">
        <v>6</v>
      </c>
      <c r="D492" s="188">
        <v>5</v>
      </c>
      <c r="E492" s="189">
        <v>8020</v>
      </c>
      <c r="F492" s="190"/>
      <c r="G492" s="1" t="str">
        <f>IFERROR(IF(ventas_b_mes5[[#This Row],[CUIT]]="","-",VLOOKUP(ventas_b_mes5[[#This Row],[CUIT]],Lista_CUIT[#All],2,0)),"CUIT NO CARGADO")</f>
        <v>-</v>
      </c>
      <c r="H492" s="64">
        <v>2396.69</v>
      </c>
      <c r="I492" s="191">
        <f>ventas_b_mes5[[#This Row],[IMPORTE NETO]]*0.21</f>
        <v>503.30489999999998</v>
      </c>
      <c r="J492" s="192"/>
      <c r="K492" s="192"/>
      <c r="L492" s="192">
        <f>SUM(ventas_b_mes5[[#This Row],[IMPORTE NETO]:[EXENTO]])</f>
        <v>2899.9949000000001</v>
      </c>
      <c r="M492" s="59"/>
    </row>
    <row r="493" spans="2:13" x14ac:dyDescent="0.25">
      <c r="B493" s="186">
        <v>45070</v>
      </c>
      <c r="C493" s="41">
        <v>6</v>
      </c>
      <c r="D493" s="188">
        <v>5</v>
      </c>
      <c r="E493" s="189">
        <v>8024</v>
      </c>
      <c r="F493" s="190"/>
      <c r="G493" s="1" t="str">
        <f>IFERROR(IF(ventas_b_mes5[[#This Row],[CUIT]]="","-",VLOOKUP(ventas_b_mes5[[#This Row],[CUIT]],Lista_CUIT[#All],2,0)),"CUIT NO CARGADO")</f>
        <v>-</v>
      </c>
      <c r="H493" s="64">
        <v>2702.48</v>
      </c>
      <c r="I493" s="191">
        <f>ventas_b_mes5[[#This Row],[IMPORTE NETO]]*0.21</f>
        <v>567.52080000000001</v>
      </c>
      <c r="J493" s="192"/>
      <c r="K493" s="192"/>
      <c r="L493" s="192">
        <f>SUM(ventas_b_mes5[[#This Row],[IMPORTE NETO]:[EXENTO]])</f>
        <v>3270.0007999999998</v>
      </c>
      <c r="M493" s="59"/>
    </row>
    <row r="494" spans="2:13" x14ac:dyDescent="0.25">
      <c r="B494" s="186">
        <v>45070</v>
      </c>
      <c r="C494" s="41">
        <v>6</v>
      </c>
      <c r="D494" s="188">
        <v>5</v>
      </c>
      <c r="E494" s="189">
        <v>8025</v>
      </c>
      <c r="F494" s="190"/>
      <c r="G494" s="1" t="str">
        <f>IFERROR(IF(ventas_b_mes5[[#This Row],[CUIT]]="","-",VLOOKUP(ventas_b_mes5[[#This Row],[CUIT]],Lista_CUIT[#All],2,0)),"CUIT NO CARGADO")</f>
        <v>-</v>
      </c>
      <c r="H494" s="64">
        <v>3099.17</v>
      </c>
      <c r="I494" s="191">
        <f>ventas_b_mes5[[#This Row],[IMPORTE NETO]]*0.21</f>
        <v>650.82569999999998</v>
      </c>
      <c r="J494" s="192"/>
      <c r="K494" s="192"/>
      <c r="L494" s="192">
        <f>SUM(ventas_b_mes5[[#This Row],[IMPORTE NETO]:[EXENTO]])</f>
        <v>3749.9956999999999</v>
      </c>
      <c r="M494" s="59"/>
    </row>
    <row r="495" spans="2:13" x14ac:dyDescent="0.25">
      <c r="B495" s="186">
        <v>45070</v>
      </c>
      <c r="C495" s="41">
        <v>6</v>
      </c>
      <c r="D495" s="188">
        <v>5</v>
      </c>
      <c r="E495" s="189">
        <v>8030</v>
      </c>
      <c r="F495" s="190"/>
      <c r="G495" s="1" t="str">
        <f>IFERROR(IF(ventas_b_mes5[[#This Row],[CUIT]]="","-",VLOOKUP(ventas_b_mes5[[#This Row],[CUIT]],Lista_CUIT[#All],2,0)),"CUIT NO CARGADO")</f>
        <v>-</v>
      </c>
      <c r="H495" s="64">
        <v>3057.85</v>
      </c>
      <c r="I495" s="191">
        <f>ventas_b_mes5[[#This Row],[IMPORTE NETO]]*0.21</f>
        <v>642.14850000000001</v>
      </c>
      <c r="J495" s="192"/>
      <c r="K495" s="192"/>
      <c r="L495" s="192">
        <f>SUM(ventas_b_mes5[[#This Row],[IMPORTE NETO]:[EXENTO]])</f>
        <v>3699.9984999999997</v>
      </c>
      <c r="M495" s="59"/>
    </row>
    <row r="496" spans="2:13" x14ac:dyDescent="0.25">
      <c r="B496" s="186">
        <v>45070</v>
      </c>
      <c r="C496" s="41">
        <v>6</v>
      </c>
      <c r="D496" s="188">
        <v>7</v>
      </c>
      <c r="E496" s="189">
        <v>4380</v>
      </c>
      <c r="F496" s="190"/>
      <c r="G496" s="1" t="str">
        <f>IFERROR(IF(ventas_b_mes5[[#This Row],[CUIT]]="","-",VLOOKUP(ventas_b_mes5[[#This Row],[CUIT]],Lista_CUIT[#All],2,0)),"CUIT NO CARGADO")</f>
        <v>-</v>
      </c>
      <c r="H496" s="64">
        <v>24380.16</v>
      </c>
      <c r="I496" s="191">
        <f>ventas_b_mes5[[#This Row],[IMPORTE NETO]]*0.21</f>
        <v>5119.8335999999999</v>
      </c>
      <c r="J496" s="192"/>
      <c r="K496" s="192"/>
      <c r="L496" s="192">
        <f>SUM(ventas_b_mes5[[#This Row],[IMPORTE NETO]:[EXENTO]])</f>
        <v>29499.993600000002</v>
      </c>
      <c r="M496" s="59"/>
    </row>
    <row r="497" spans="2:13" x14ac:dyDescent="0.25">
      <c r="B497" s="186">
        <v>45070</v>
      </c>
      <c r="C497" s="41">
        <v>6</v>
      </c>
      <c r="D497" s="188">
        <v>5</v>
      </c>
      <c r="E497" s="189">
        <v>8026</v>
      </c>
      <c r="F497" s="190"/>
      <c r="G497" s="1" t="str">
        <f>IFERROR(IF(ventas_b_mes5[[#This Row],[CUIT]]="","-",VLOOKUP(ventas_b_mes5[[#This Row],[CUIT]],Lista_CUIT[#All],2,0)),"CUIT NO CARGADO")</f>
        <v>-</v>
      </c>
      <c r="H497" s="64">
        <v>7314.05</v>
      </c>
      <c r="I497" s="191">
        <f>ventas_b_mes5[[#This Row],[IMPORTE NETO]]*0.21</f>
        <v>1535.9504999999999</v>
      </c>
      <c r="J497" s="192"/>
      <c r="K497" s="192"/>
      <c r="L497" s="192">
        <f>SUM(ventas_b_mes5[[#This Row],[IMPORTE NETO]:[EXENTO]])</f>
        <v>8850.0005000000001</v>
      </c>
      <c r="M497" s="59"/>
    </row>
    <row r="498" spans="2:13" x14ac:dyDescent="0.25">
      <c r="B498" s="186">
        <v>45070</v>
      </c>
      <c r="C498" s="41">
        <v>6</v>
      </c>
      <c r="D498" s="188">
        <v>7</v>
      </c>
      <c r="E498" s="189">
        <v>4381</v>
      </c>
      <c r="F498" s="190"/>
      <c r="G498" s="1" t="str">
        <f>IFERROR(IF(ventas_b_mes5[[#This Row],[CUIT]]="","-",VLOOKUP(ventas_b_mes5[[#This Row],[CUIT]],Lista_CUIT[#All],2,0)),"CUIT NO CARGADO")</f>
        <v>-</v>
      </c>
      <c r="H498" s="64">
        <v>12892.56</v>
      </c>
      <c r="I498" s="191">
        <f>ventas_b_mes5[[#This Row],[IMPORTE NETO]]*0.21</f>
        <v>2707.4375999999997</v>
      </c>
      <c r="J498" s="192"/>
      <c r="K498" s="192"/>
      <c r="L498" s="192">
        <f>SUM(ventas_b_mes5[[#This Row],[IMPORTE NETO]:[EXENTO]])</f>
        <v>15599.997599999999</v>
      </c>
      <c r="M498" s="59"/>
    </row>
    <row r="499" spans="2:13" x14ac:dyDescent="0.25">
      <c r="B499" s="186">
        <v>45070</v>
      </c>
      <c r="C499" s="41">
        <v>6</v>
      </c>
      <c r="D499" s="188">
        <v>5</v>
      </c>
      <c r="E499" s="189">
        <v>8023</v>
      </c>
      <c r="F499" s="190"/>
      <c r="G499" s="1" t="str">
        <f>IFERROR(IF(ventas_b_mes5[[#This Row],[CUIT]]="","-",VLOOKUP(ventas_b_mes5[[#This Row],[CUIT]],Lista_CUIT[#All],2,0)),"CUIT NO CARGADO")</f>
        <v>-</v>
      </c>
      <c r="H499" s="64">
        <v>2396.69</v>
      </c>
      <c r="I499" s="191">
        <f>ventas_b_mes5[[#This Row],[IMPORTE NETO]]*0.21</f>
        <v>503.30489999999998</v>
      </c>
      <c r="J499" s="192"/>
      <c r="K499" s="192"/>
      <c r="L499" s="192">
        <f>SUM(ventas_b_mes5[[#This Row],[IMPORTE NETO]:[EXENTO]])</f>
        <v>2899.9949000000001</v>
      </c>
      <c r="M499" s="59"/>
    </row>
    <row r="500" spans="2:13" x14ac:dyDescent="0.25">
      <c r="B500" s="186">
        <v>45070</v>
      </c>
      <c r="C500" s="41">
        <v>6</v>
      </c>
      <c r="D500" s="188">
        <v>5</v>
      </c>
      <c r="E500" s="189">
        <v>8019</v>
      </c>
      <c r="F500" s="190"/>
      <c r="G500" s="1" t="str">
        <f>IFERROR(IF(ventas_b_mes5[[#This Row],[CUIT]]="","-",VLOOKUP(ventas_b_mes5[[#This Row],[CUIT]],Lista_CUIT[#All],2,0)),"CUIT NO CARGADO")</f>
        <v>-</v>
      </c>
      <c r="H500" s="64">
        <v>2231.4</v>
      </c>
      <c r="I500" s="191">
        <f>ventas_b_mes5[[#This Row],[IMPORTE NETO]]*0.21</f>
        <v>468.59399999999999</v>
      </c>
      <c r="J500" s="192"/>
      <c r="K500" s="192"/>
      <c r="L500" s="192">
        <f>SUM(ventas_b_mes5[[#This Row],[IMPORTE NETO]:[EXENTO]])</f>
        <v>2699.9940000000001</v>
      </c>
      <c r="M500" s="59"/>
    </row>
    <row r="501" spans="2:13" x14ac:dyDescent="0.25">
      <c r="B501" s="186">
        <v>45070</v>
      </c>
      <c r="C501" s="41">
        <v>6</v>
      </c>
      <c r="D501" s="188">
        <v>5</v>
      </c>
      <c r="E501" s="189">
        <v>8029</v>
      </c>
      <c r="F501" s="190"/>
      <c r="G501" s="1" t="str">
        <f>IFERROR(IF(ventas_b_mes5[[#This Row],[CUIT]]="","-",VLOOKUP(ventas_b_mes5[[#This Row],[CUIT]],Lista_CUIT[#All],2,0)),"CUIT NO CARGADO")</f>
        <v>-</v>
      </c>
      <c r="H501" s="64">
        <v>9586.7800000000007</v>
      </c>
      <c r="I501" s="191">
        <f>ventas_b_mes5[[#This Row],[IMPORTE NETO]]*0.21</f>
        <v>2013.2238</v>
      </c>
      <c r="J501" s="192"/>
      <c r="K501" s="192"/>
      <c r="L501" s="192">
        <f>SUM(ventas_b_mes5[[#This Row],[IMPORTE NETO]:[EXENTO]])</f>
        <v>11600.0038</v>
      </c>
      <c r="M501" s="59"/>
    </row>
    <row r="502" spans="2:13" x14ac:dyDescent="0.25">
      <c r="B502" s="186">
        <v>45070</v>
      </c>
      <c r="C502" s="41">
        <v>6</v>
      </c>
      <c r="D502" s="188">
        <v>5</v>
      </c>
      <c r="E502" s="189">
        <v>8028</v>
      </c>
      <c r="F502" s="190"/>
      <c r="G502" s="1" t="str">
        <f>IFERROR(IF(ventas_b_mes5[[#This Row],[CUIT]]="","-",VLOOKUP(ventas_b_mes5[[#This Row],[CUIT]],Lista_CUIT[#All],2,0)),"CUIT NO CARGADO")</f>
        <v>-</v>
      </c>
      <c r="H502" s="64">
        <v>6528.93</v>
      </c>
      <c r="I502" s="191">
        <f>ventas_b_mes5[[#This Row],[IMPORTE NETO]]*0.21</f>
        <v>1371.0753</v>
      </c>
      <c r="J502" s="192"/>
      <c r="K502" s="192"/>
      <c r="L502" s="192">
        <f>SUM(ventas_b_mes5[[#This Row],[IMPORTE NETO]:[EXENTO]])</f>
        <v>7900.0053000000007</v>
      </c>
      <c r="M502" s="59"/>
    </row>
    <row r="503" spans="2:13" x14ac:dyDescent="0.25">
      <c r="B503" s="186">
        <v>45070</v>
      </c>
      <c r="C503" s="41">
        <v>6</v>
      </c>
      <c r="D503" s="188">
        <v>5</v>
      </c>
      <c r="E503" s="189">
        <v>8021</v>
      </c>
      <c r="F503" s="190"/>
      <c r="G503" s="1" t="str">
        <f>IFERROR(IF(ventas_b_mes5[[#This Row],[CUIT]]="","-",VLOOKUP(ventas_b_mes5[[#This Row],[CUIT]],Lista_CUIT[#All],2,0)),"CUIT NO CARGADO")</f>
        <v>-</v>
      </c>
      <c r="H503" s="64">
        <v>2479.34</v>
      </c>
      <c r="I503" s="191">
        <f>ventas_b_mes5[[#This Row],[IMPORTE NETO]]*0.21</f>
        <v>520.66139999999996</v>
      </c>
      <c r="J503" s="192"/>
      <c r="K503" s="192"/>
      <c r="L503" s="192">
        <f>SUM(ventas_b_mes5[[#This Row],[IMPORTE NETO]:[EXENTO]])</f>
        <v>3000.0014000000001</v>
      </c>
      <c r="M503" s="59"/>
    </row>
    <row r="504" spans="2:13" x14ac:dyDescent="0.25">
      <c r="B504" s="186">
        <v>45070</v>
      </c>
      <c r="C504" s="41">
        <v>6</v>
      </c>
      <c r="D504" s="188">
        <v>5</v>
      </c>
      <c r="E504" s="189">
        <v>8027</v>
      </c>
      <c r="F504" s="190"/>
      <c r="G504" s="1" t="str">
        <f>IFERROR(IF(ventas_b_mes5[[#This Row],[CUIT]]="","-",VLOOKUP(ventas_b_mes5[[#This Row],[CUIT]],Lista_CUIT[#All],2,0)),"CUIT NO CARGADO")</f>
        <v>-</v>
      </c>
      <c r="H504" s="64">
        <v>10743.8</v>
      </c>
      <c r="I504" s="191">
        <f>ventas_b_mes5[[#This Row],[IMPORTE NETO]]*0.21</f>
        <v>2256.1979999999999</v>
      </c>
      <c r="J504" s="192"/>
      <c r="K504" s="192"/>
      <c r="L504" s="192">
        <f>SUM(ventas_b_mes5[[#This Row],[IMPORTE NETO]:[EXENTO]])</f>
        <v>12999.998</v>
      </c>
      <c r="M504" s="59"/>
    </row>
    <row r="505" spans="2:13" x14ac:dyDescent="0.25">
      <c r="B505" s="186">
        <v>45075</v>
      </c>
      <c r="C505" s="41">
        <v>6</v>
      </c>
      <c r="D505" s="188">
        <v>5</v>
      </c>
      <c r="E505" s="189">
        <v>8035</v>
      </c>
      <c r="F505" s="190"/>
      <c r="G505" s="1" t="str">
        <f>IFERROR(IF(ventas_b_mes5[[#This Row],[CUIT]]="","-",VLOOKUP(ventas_b_mes5[[#This Row],[CUIT]],Lista_CUIT[#All],2,0)),"CUIT NO CARGADO")</f>
        <v>-</v>
      </c>
      <c r="H505" s="64">
        <v>2892.56</v>
      </c>
      <c r="I505" s="191">
        <f>ventas_b_mes5[[#This Row],[IMPORTE NETO]]*0.21</f>
        <v>607.43759999999997</v>
      </c>
      <c r="J505" s="192"/>
      <c r="K505" s="192"/>
      <c r="L505" s="192">
        <f>SUM(ventas_b_mes5[[#This Row],[IMPORTE NETO]:[EXENTO]])</f>
        <v>3499.9975999999997</v>
      </c>
      <c r="M505" s="59"/>
    </row>
    <row r="506" spans="2:13" x14ac:dyDescent="0.25">
      <c r="B506" s="186">
        <v>45075</v>
      </c>
      <c r="C506" s="41">
        <v>6</v>
      </c>
      <c r="D506" s="188">
        <v>5</v>
      </c>
      <c r="E506" s="189">
        <v>8034</v>
      </c>
      <c r="F506" s="190"/>
      <c r="G506" s="1" t="str">
        <f>IFERROR(IF(ventas_b_mes5[[#This Row],[CUIT]]="","-",VLOOKUP(ventas_b_mes5[[#This Row],[CUIT]],Lista_CUIT[#All],2,0)),"CUIT NO CARGADO")</f>
        <v>-</v>
      </c>
      <c r="H506" s="64">
        <v>1239.67</v>
      </c>
      <c r="I506" s="191">
        <f>ventas_b_mes5[[#This Row],[IMPORTE NETO]]*0.21</f>
        <v>260.33069999999998</v>
      </c>
      <c r="J506" s="192"/>
      <c r="K506" s="192"/>
      <c r="L506" s="192">
        <f>SUM(ventas_b_mes5[[#This Row],[IMPORTE NETO]:[EXENTO]])</f>
        <v>1500.0007000000001</v>
      </c>
      <c r="M506" s="59"/>
    </row>
    <row r="507" spans="2:13" x14ac:dyDescent="0.25">
      <c r="B507" s="186">
        <v>45075</v>
      </c>
      <c r="C507" s="41">
        <v>6</v>
      </c>
      <c r="D507" s="188">
        <v>5</v>
      </c>
      <c r="E507" s="189">
        <v>8031</v>
      </c>
      <c r="F507" s="190"/>
      <c r="G507" s="1" t="str">
        <f>IFERROR(IF(ventas_b_mes5[[#This Row],[CUIT]]="","-",VLOOKUP(ventas_b_mes5[[#This Row],[CUIT]],Lista_CUIT[#All],2,0)),"CUIT NO CARGADO")</f>
        <v>-</v>
      </c>
      <c r="H507" s="64">
        <v>2479.34</v>
      </c>
      <c r="I507" s="191">
        <f>ventas_b_mes5[[#This Row],[IMPORTE NETO]]*0.21</f>
        <v>520.66139999999996</v>
      </c>
      <c r="J507" s="192"/>
      <c r="K507" s="192"/>
      <c r="L507" s="192">
        <f>SUM(ventas_b_mes5[[#This Row],[IMPORTE NETO]:[EXENTO]])</f>
        <v>3000.0014000000001</v>
      </c>
      <c r="M507" s="59"/>
    </row>
    <row r="508" spans="2:13" x14ac:dyDescent="0.25">
      <c r="B508" s="186">
        <v>45075</v>
      </c>
      <c r="C508" s="41">
        <v>6</v>
      </c>
      <c r="D508" s="188">
        <v>5</v>
      </c>
      <c r="E508" s="189">
        <v>8038</v>
      </c>
      <c r="F508" s="190"/>
      <c r="G508" s="1" t="str">
        <f>IFERROR(IF(ventas_b_mes5[[#This Row],[CUIT]]="","-",VLOOKUP(ventas_b_mes5[[#This Row],[CUIT]],Lista_CUIT[#All],2,0)),"CUIT NO CARGADO")</f>
        <v>-</v>
      </c>
      <c r="H508" s="64">
        <v>3099.17</v>
      </c>
      <c r="I508" s="191">
        <f>ventas_b_mes5[[#This Row],[IMPORTE NETO]]*0.21</f>
        <v>650.82569999999998</v>
      </c>
      <c r="J508" s="192"/>
      <c r="K508" s="192"/>
      <c r="L508" s="192">
        <f>SUM(ventas_b_mes5[[#This Row],[IMPORTE NETO]:[EXENTO]])</f>
        <v>3749.9956999999999</v>
      </c>
      <c r="M508" s="59"/>
    </row>
    <row r="509" spans="2:13" x14ac:dyDescent="0.25">
      <c r="B509" s="186">
        <v>45075</v>
      </c>
      <c r="C509" s="41">
        <v>6</v>
      </c>
      <c r="D509" s="188">
        <v>5</v>
      </c>
      <c r="E509" s="189">
        <v>8033</v>
      </c>
      <c r="F509" s="190"/>
      <c r="G509" s="1" t="str">
        <f>IFERROR(IF(ventas_b_mes5[[#This Row],[CUIT]]="","-",VLOOKUP(ventas_b_mes5[[#This Row],[CUIT]],Lista_CUIT[#All],2,0)),"CUIT NO CARGADO")</f>
        <v>-</v>
      </c>
      <c r="H509" s="64">
        <v>6528.93</v>
      </c>
      <c r="I509" s="191">
        <f>ventas_b_mes5[[#This Row],[IMPORTE NETO]]*0.21</f>
        <v>1371.0753</v>
      </c>
      <c r="J509" s="192"/>
      <c r="K509" s="192"/>
      <c r="L509" s="192">
        <f>SUM(ventas_b_mes5[[#This Row],[IMPORTE NETO]:[EXENTO]])</f>
        <v>7900.0053000000007</v>
      </c>
      <c r="M509" s="59"/>
    </row>
    <row r="510" spans="2:13" x14ac:dyDescent="0.25">
      <c r="B510" s="186">
        <v>45075</v>
      </c>
      <c r="C510" s="41">
        <v>6</v>
      </c>
      <c r="D510" s="188">
        <v>5</v>
      </c>
      <c r="E510" s="189">
        <v>8037</v>
      </c>
      <c r="F510" s="190"/>
      <c r="G510" s="1" t="str">
        <f>IFERROR(IF(ventas_b_mes5[[#This Row],[CUIT]]="","-",VLOOKUP(ventas_b_mes5[[#This Row],[CUIT]],Lista_CUIT[#All],2,0)),"CUIT NO CARGADO")</f>
        <v>-</v>
      </c>
      <c r="H510" s="64">
        <v>6322.31</v>
      </c>
      <c r="I510" s="191">
        <f>ventas_b_mes5[[#This Row],[IMPORTE NETO]]*0.21</f>
        <v>1327.6851000000001</v>
      </c>
      <c r="J510" s="192"/>
      <c r="K510" s="192"/>
      <c r="L510" s="192">
        <f>SUM(ventas_b_mes5[[#This Row],[IMPORTE NETO]:[EXENTO]])</f>
        <v>7649.9951000000001</v>
      </c>
      <c r="M510" s="59"/>
    </row>
    <row r="511" spans="2:13" x14ac:dyDescent="0.25">
      <c r="B511" s="186">
        <v>45075</v>
      </c>
      <c r="C511" s="41">
        <v>6</v>
      </c>
      <c r="D511" s="188">
        <v>5</v>
      </c>
      <c r="E511" s="189">
        <v>8032</v>
      </c>
      <c r="F511" s="190"/>
      <c r="G511" s="1" t="str">
        <f>IFERROR(IF(ventas_b_mes5[[#This Row],[CUIT]]="","-",VLOOKUP(ventas_b_mes5[[#This Row],[CUIT]],Lista_CUIT[#All],2,0)),"CUIT NO CARGADO")</f>
        <v>-</v>
      </c>
      <c r="H511" s="64">
        <v>4958.68</v>
      </c>
      <c r="I511" s="191">
        <f>ventas_b_mes5[[#This Row],[IMPORTE NETO]]*0.21</f>
        <v>1041.3227999999999</v>
      </c>
      <c r="J511" s="192"/>
      <c r="K511" s="192"/>
      <c r="L511" s="192">
        <f>SUM(ventas_b_mes5[[#This Row],[IMPORTE NETO]:[EXENTO]])</f>
        <v>6000.0028000000002</v>
      </c>
      <c r="M511" s="59"/>
    </row>
    <row r="512" spans="2:13" x14ac:dyDescent="0.25">
      <c r="B512" s="186">
        <v>45075</v>
      </c>
      <c r="C512" s="41">
        <v>6</v>
      </c>
      <c r="D512" s="188">
        <v>7</v>
      </c>
      <c r="E512" s="189">
        <v>4382</v>
      </c>
      <c r="F512" s="190"/>
      <c r="G512" s="1" t="str">
        <f>IFERROR(IF(ventas_b_mes5[[#This Row],[CUIT]]="","-",VLOOKUP(ventas_b_mes5[[#This Row],[CUIT]],Lista_CUIT[#All],2,0)),"CUIT NO CARGADO")</f>
        <v>-</v>
      </c>
      <c r="H512" s="64">
        <v>8760.33</v>
      </c>
      <c r="I512" s="191">
        <f>ventas_b_mes5[[#This Row],[IMPORTE NETO]]*0.21</f>
        <v>1839.6693</v>
      </c>
      <c r="J512" s="192"/>
      <c r="K512" s="192"/>
      <c r="L512" s="192">
        <f>SUM(ventas_b_mes5[[#This Row],[IMPORTE NETO]:[EXENTO]])</f>
        <v>10599.999299999999</v>
      </c>
      <c r="M512" s="59"/>
    </row>
    <row r="513" spans="2:13" x14ac:dyDescent="0.25">
      <c r="B513" s="186">
        <v>45075</v>
      </c>
      <c r="C513" s="41">
        <v>6</v>
      </c>
      <c r="D513" s="188">
        <v>5</v>
      </c>
      <c r="E513" s="189">
        <v>8036</v>
      </c>
      <c r="F513" s="190"/>
      <c r="G513" s="1" t="str">
        <f>IFERROR(IF(ventas_b_mes5[[#This Row],[CUIT]]="","-",VLOOKUP(ventas_b_mes5[[#This Row],[CUIT]],Lista_CUIT[#All],2,0)),"CUIT NO CARGADO")</f>
        <v>-</v>
      </c>
      <c r="H513" s="64">
        <v>6859.5</v>
      </c>
      <c r="I513" s="191">
        <f>ventas_b_mes5[[#This Row],[IMPORTE NETO]]*0.21</f>
        <v>1440.4949999999999</v>
      </c>
      <c r="J513" s="192"/>
      <c r="K513" s="192"/>
      <c r="L513" s="192">
        <f>SUM(ventas_b_mes5[[#This Row],[IMPORTE NETO]:[EXENTO]])</f>
        <v>8299.994999999999</v>
      </c>
      <c r="M513" s="59"/>
    </row>
    <row r="514" spans="2:13" x14ac:dyDescent="0.25">
      <c r="B514" s="186">
        <v>45076</v>
      </c>
      <c r="C514" s="41">
        <v>6</v>
      </c>
      <c r="D514" s="188">
        <v>5</v>
      </c>
      <c r="E514" s="189">
        <v>8043</v>
      </c>
      <c r="F514" s="190"/>
      <c r="G514" s="1" t="str">
        <f>IFERROR(IF(ventas_b_mes5[[#This Row],[CUIT]]="","-",VLOOKUP(ventas_b_mes5[[#This Row],[CUIT]],Lista_CUIT[#All],2,0)),"CUIT NO CARGADO")</f>
        <v>-</v>
      </c>
      <c r="H514" s="64">
        <v>14049.59</v>
      </c>
      <c r="I514" s="191">
        <f>ventas_b_mes5[[#This Row],[IMPORTE NETO]]*0.21</f>
        <v>2950.4139</v>
      </c>
      <c r="J514" s="192"/>
      <c r="K514" s="192"/>
      <c r="L514" s="192">
        <f>SUM(ventas_b_mes5[[#This Row],[IMPORTE NETO]:[EXENTO]])</f>
        <v>17000.0039</v>
      </c>
      <c r="M514" s="59"/>
    </row>
    <row r="515" spans="2:13" x14ac:dyDescent="0.25">
      <c r="B515" s="186">
        <v>45076</v>
      </c>
      <c r="C515" s="41">
        <v>6</v>
      </c>
      <c r="D515" s="188">
        <v>7</v>
      </c>
      <c r="E515" s="189">
        <v>4383</v>
      </c>
      <c r="F515" s="190"/>
      <c r="G515" s="1" t="str">
        <f>IFERROR(IF(ventas_b_mes5[[#This Row],[CUIT]]="","-",VLOOKUP(ventas_b_mes5[[#This Row],[CUIT]],Lista_CUIT[#All],2,0)),"CUIT NO CARGADO")</f>
        <v>-</v>
      </c>
      <c r="H515" s="64">
        <v>11198.35</v>
      </c>
      <c r="I515" s="191">
        <f>ventas_b_mes5[[#This Row],[IMPORTE NETO]]*0.21</f>
        <v>2351.6534999999999</v>
      </c>
      <c r="J515" s="192"/>
      <c r="K515" s="192"/>
      <c r="L515" s="192">
        <f>SUM(ventas_b_mes5[[#This Row],[IMPORTE NETO]:[EXENTO]])</f>
        <v>13550.003500000001</v>
      </c>
      <c r="M515" s="59"/>
    </row>
    <row r="516" spans="2:13" x14ac:dyDescent="0.25">
      <c r="B516" s="186">
        <v>45076</v>
      </c>
      <c r="C516" s="41">
        <v>6</v>
      </c>
      <c r="D516" s="188">
        <v>5</v>
      </c>
      <c r="E516" s="189">
        <v>8039</v>
      </c>
      <c r="F516" s="190"/>
      <c r="G516" s="1" t="str">
        <f>IFERROR(IF(ventas_b_mes5[[#This Row],[CUIT]]="","-",VLOOKUP(ventas_b_mes5[[#This Row],[CUIT]],Lista_CUIT[#All],2,0)),"CUIT NO CARGADO")</f>
        <v>-</v>
      </c>
      <c r="H516" s="64">
        <v>4462.8100000000004</v>
      </c>
      <c r="I516" s="191">
        <f>ventas_b_mes5[[#This Row],[IMPORTE NETO]]*0.21</f>
        <v>937.19010000000003</v>
      </c>
      <c r="J516" s="192"/>
      <c r="K516" s="192"/>
      <c r="L516" s="192">
        <f>SUM(ventas_b_mes5[[#This Row],[IMPORTE NETO]:[EXENTO]])</f>
        <v>5400.0001000000002</v>
      </c>
      <c r="M516" s="59"/>
    </row>
    <row r="517" spans="2:13" x14ac:dyDescent="0.25">
      <c r="B517" s="186">
        <v>45076</v>
      </c>
      <c r="C517" s="41">
        <v>6</v>
      </c>
      <c r="D517" s="188">
        <v>5</v>
      </c>
      <c r="E517" s="189">
        <v>8044</v>
      </c>
      <c r="F517" s="190"/>
      <c r="G517" s="1" t="str">
        <f>IFERROR(IF(ventas_b_mes5[[#This Row],[CUIT]]="","-",VLOOKUP(ventas_b_mes5[[#This Row],[CUIT]],Lista_CUIT[#All],2,0)),"CUIT NO CARGADO")</f>
        <v>-</v>
      </c>
      <c r="H517" s="64">
        <v>5454.55</v>
      </c>
      <c r="I517" s="191">
        <f>ventas_b_mes5[[#This Row],[IMPORTE NETO]]*0.21</f>
        <v>1145.4555</v>
      </c>
      <c r="J517" s="192"/>
      <c r="K517" s="192"/>
      <c r="L517" s="192">
        <f>SUM(ventas_b_mes5[[#This Row],[IMPORTE NETO]:[EXENTO]])</f>
        <v>6600.0055000000002</v>
      </c>
      <c r="M517" s="59"/>
    </row>
    <row r="518" spans="2:13" x14ac:dyDescent="0.25">
      <c r="B518" s="186">
        <v>45076</v>
      </c>
      <c r="C518" s="41">
        <v>6</v>
      </c>
      <c r="D518" s="188">
        <v>7</v>
      </c>
      <c r="E518" s="189">
        <v>4385</v>
      </c>
      <c r="F518" s="190"/>
      <c r="G518" s="1" t="str">
        <f>IFERROR(IF(ventas_b_mes5[[#This Row],[CUIT]]="","-",VLOOKUP(ventas_b_mes5[[#This Row],[CUIT]],Lista_CUIT[#All],2,0)),"CUIT NO CARGADO")</f>
        <v>-</v>
      </c>
      <c r="H518" s="64">
        <v>11983.47</v>
      </c>
      <c r="I518" s="191">
        <f>ventas_b_mes5[[#This Row],[IMPORTE NETO]]*0.21</f>
        <v>2516.5286999999998</v>
      </c>
      <c r="J518" s="192"/>
      <c r="K518" s="192"/>
      <c r="L518" s="192">
        <f>SUM(ventas_b_mes5[[#This Row],[IMPORTE NETO]:[EXENTO]])</f>
        <v>14499.9987</v>
      </c>
      <c r="M518" s="59"/>
    </row>
    <row r="519" spans="2:13" x14ac:dyDescent="0.25">
      <c r="B519" s="186">
        <v>45076</v>
      </c>
      <c r="C519" s="41">
        <v>6</v>
      </c>
      <c r="D519" s="188">
        <v>7</v>
      </c>
      <c r="E519" s="189">
        <v>4384</v>
      </c>
      <c r="F519" s="190"/>
      <c r="G519" s="1" t="str">
        <f>IFERROR(IF(ventas_b_mes5[[#This Row],[CUIT]]="","-",VLOOKUP(ventas_b_mes5[[#This Row],[CUIT]],Lista_CUIT[#All],2,0)),"CUIT NO CARGADO")</f>
        <v>-</v>
      </c>
      <c r="H519" s="64">
        <v>4132.2299999999996</v>
      </c>
      <c r="I519" s="191">
        <f>ventas_b_mes5[[#This Row],[IMPORTE NETO]]*0.21</f>
        <v>867.76829999999984</v>
      </c>
      <c r="J519" s="192"/>
      <c r="K519" s="192"/>
      <c r="L519" s="192">
        <f>SUM(ventas_b_mes5[[#This Row],[IMPORTE NETO]:[EXENTO]])</f>
        <v>4999.9982999999993</v>
      </c>
      <c r="M519" s="59"/>
    </row>
    <row r="520" spans="2:13" x14ac:dyDescent="0.25">
      <c r="B520" s="186">
        <v>45076</v>
      </c>
      <c r="C520" s="41">
        <v>6</v>
      </c>
      <c r="D520" s="188">
        <v>5</v>
      </c>
      <c r="E520" s="189">
        <v>8041</v>
      </c>
      <c r="F520" s="190"/>
      <c r="G520" s="1" t="str">
        <f>IFERROR(IF(ventas_b_mes5[[#This Row],[CUIT]]="","-",VLOOKUP(ventas_b_mes5[[#This Row],[CUIT]],Lista_CUIT[#All],2,0)),"CUIT NO CARGADO")</f>
        <v>-</v>
      </c>
      <c r="H520" s="64">
        <v>5404.96</v>
      </c>
      <c r="I520" s="191">
        <f>ventas_b_mes5[[#This Row],[IMPORTE NETO]]*0.21</f>
        <v>1135.0416</v>
      </c>
      <c r="J520" s="192"/>
      <c r="K520" s="192"/>
      <c r="L520" s="192">
        <f>SUM(ventas_b_mes5[[#This Row],[IMPORTE NETO]:[EXENTO]])</f>
        <v>6540.0015999999996</v>
      </c>
      <c r="M520" s="59"/>
    </row>
    <row r="521" spans="2:13" x14ac:dyDescent="0.25">
      <c r="B521" s="186">
        <v>45076</v>
      </c>
      <c r="C521" s="41">
        <v>6</v>
      </c>
      <c r="D521" s="188">
        <v>5</v>
      </c>
      <c r="E521" s="189">
        <v>8040</v>
      </c>
      <c r="F521" s="190"/>
      <c r="G521" s="1" t="str">
        <f>IFERROR(IF(ventas_b_mes5[[#This Row],[CUIT]]="","-",VLOOKUP(ventas_b_mes5[[#This Row],[CUIT]],Lista_CUIT[#All],2,0)),"CUIT NO CARGADO")</f>
        <v>-</v>
      </c>
      <c r="H521" s="64">
        <v>3099.17</v>
      </c>
      <c r="I521" s="191">
        <f>ventas_b_mes5[[#This Row],[IMPORTE NETO]]*0.21</f>
        <v>650.82569999999998</v>
      </c>
      <c r="J521" s="192"/>
      <c r="K521" s="192"/>
      <c r="L521" s="192">
        <f>SUM(ventas_b_mes5[[#This Row],[IMPORTE NETO]:[EXENTO]])</f>
        <v>3749.9956999999999</v>
      </c>
      <c r="M521" s="59"/>
    </row>
    <row r="522" spans="2:13" x14ac:dyDescent="0.25">
      <c r="B522" s="186">
        <v>45076</v>
      </c>
      <c r="C522" s="41">
        <v>6</v>
      </c>
      <c r="D522" s="188">
        <v>5</v>
      </c>
      <c r="E522" s="189">
        <v>8042</v>
      </c>
      <c r="F522" s="190"/>
      <c r="G522" s="1" t="str">
        <f>IFERROR(IF(ventas_b_mes5[[#This Row],[CUIT]]="","-",VLOOKUP(ventas_b_mes5[[#This Row],[CUIT]],Lista_CUIT[#All],2,0)),"CUIT NO CARGADO")</f>
        <v>-</v>
      </c>
      <c r="H522" s="64">
        <v>5950.41</v>
      </c>
      <c r="I522" s="191">
        <f>ventas_b_mes5[[#This Row],[IMPORTE NETO]]*0.21</f>
        <v>1249.5861</v>
      </c>
      <c r="J522" s="192"/>
      <c r="K522" s="192"/>
      <c r="L522" s="192">
        <f>SUM(ventas_b_mes5[[#This Row],[IMPORTE NETO]:[EXENTO]])</f>
        <v>7199.9961000000003</v>
      </c>
      <c r="M522" s="59"/>
    </row>
    <row r="523" spans="2:13" x14ac:dyDescent="0.25">
      <c r="B523" s="186">
        <v>45076</v>
      </c>
      <c r="C523" s="41">
        <v>6</v>
      </c>
      <c r="D523" s="188">
        <v>5</v>
      </c>
      <c r="E523" s="189">
        <v>8046</v>
      </c>
      <c r="F523" s="190"/>
      <c r="G523" s="1" t="str">
        <f>IFERROR(IF(ventas_b_mes5[[#This Row],[CUIT]]="","-",VLOOKUP(ventas_b_mes5[[#This Row],[CUIT]],Lista_CUIT[#All],2,0)),"CUIT NO CARGADO")</f>
        <v>-</v>
      </c>
      <c r="H523" s="64">
        <v>6198.35</v>
      </c>
      <c r="I523" s="191">
        <f>ventas_b_mes5[[#This Row],[IMPORTE NETO]]*0.21</f>
        <v>1301.6535000000001</v>
      </c>
      <c r="J523" s="192"/>
      <c r="K523" s="192"/>
      <c r="L523" s="192">
        <f>SUM(ventas_b_mes5[[#This Row],[IMPORTE NETO]:[EXENTO]])</f>
        <v>7500.0035000000007</v>
      </c>
      <c r="M523" s="59"/>
    </row>
    <row r="524" spans="2:13" x14ac:dyDescent="0.25">
      <c r="B524" s="186">
        <v>45076</v>
      </c>
      <c r="C524" s="41">
        <v>6</v>
      </c>
      <c r="D524" s="188">
        <v>5</v>
      </c>
      <c r="E524" s="189">
        <v>8045</v>
      </c>
      <c r="F524" s="190"/>
      <c r="G524" s="1" t="str">
        <f>IFERROR(IF(ventas_b_mes5[[#This Row],[CUIT]]="","-",VLOOKUP(ventas_b_mes5[[#This Row],[CUIT]],Lista_CUIT[#All],2,0)),"CUIT NO CARGADO")</f>
        <v>-</v>
      </c>
      <c r="H524" s="64">
        <v>10661.16</v>
      </c>
      <c r="I524" s="191">
        <f>ventas_b_mes5[[#This Row],[IMPORTE NETO]]*0.21</f>
        <v>2238.8435999999997</v>
      </c>
      <c r="J524" s="192"/>
      <c r="K524" s="192"/>
      <c r="L524" s="192">
        <f>SUM(ventas_b_mes5[[#This Row],[IMPORTE NETO]:[EXENTO]])</f>
        <v>12900.0036</v>
      </c>
      <c r="M524" s="59"/>
    </row>
    <row r="525" spans="2:13" x14ac:dyDescent="0.25">
      <c r="B525" s="186">
        <v>45077</v>
      </c>
      <c r="C525" s="41">
        <v>6</v>
      </c>
      <c r="D525" s="188">
        <v>5</v>
      </c>
      <c r="E525" s="189">
        <v>8056</v>
      </c>
      <c r="F525" s="190"/>
      <c r="G525" s="1" t="str">
        <f>IFERROR(IF(ventas_b_mes5[[#This Row],[CUIT]]="","-",VLOOKUP(ventas_b_mes5[[#This Row],[CUIT]],Lista_CUIT[#All],2,0)),"CUIT NO CARGADO")</f>
        <v>-</v>
      </c>
      <c r="H525" s="64">
        <v>24958.68</v>
      </c>
      <c r="I525" s="191">
        <f>ventas_b_mes5[[#This Row],[IMPORTE NETO]]*0.21</f>
        <v>5241.3227999999999</v>
      </c>
      <c r="J525" s="192"/>
      <c r="K525" s="192"/>
      <c r="L525" s="192">
        <f>SUM(ventas_b_mes5[[#This Row],[IMPORTE NETO]:[EXENTO]])</f>
        <v>30200.002800000002</v>
      </c>
      <c r="M525" s="59"/>
    </row>
    <row r="526" spans="2:13" x14ac:dyDescent="0.25">
      <c r="B526" s="186">
        <v>45077</v>
      </c>
      <c r="C526" s="41">
        <v>6</v>
      </c>
      <c r="D526" s="188">
        <v>5</v>
      </c>
      <c r="E526" s="189">
        <v>8047</v>
      </c>
      <c r="F526" s="190"/>
      <c r="G526" s="1" t="str">
        <f>IFERROR(IF(ventas_b_mes5[[#This Row],[CUIT]]="","-",VLOOKUP(ventas_b_mes5[[#This Row],[CUIT]],Lista_CUIT[#All],2,0)),"CUIT NO CARGADO")</f>
        <v>-</v>
      </c>
      <c r="H526" s="64">
        <v>8264.4599999999991</v>
      </c>
      <c r="I526" s="191">
        <f>ventas_b_mes5[[#This Row],[IMPORTE NETO]]*0.21</f>
        <v>1735.5365999999997</v>
      </c>
      <c r="J526" s="192"/>
      <c r="K526" s="192"/>
      <c r="L526" s="192">
        <f>SUM(ventas_b_mes5[[#This Row],[IMPORTE NETO]:[EXENTO]])</f>
        <v>9999.9965999999986</v>
      </c>
      <c r="M526" s="59"/>
    </row>
    <row r="527" spans="2:13" x14ac:dyDescent="0.25">
      <c r="B527" s="186">
        <v>45077</v>
      </c>
      <c r="C527" s="41">
        <v>6</v>
      </c>
      <c r="D527" s="188">
        <v>5</v>
      </c>
      <c r="E527" s="189">
        <v>8052</v>
      </c>
      <c r="F527" s="190"/>
      <c r="G527" s="1" t="str">
        <f>IFERROR(IF(ventas_b_mes5[[#This Row],[CUIT]]="","-",VLOOKUP(ventas_b_mes5[[#This Row],[CUIT]],Lista_CUIT[#All],2,0)),"CUIT NO CARGADO")</f>
        <v>-</v>
      </c>
      <c r="H527" s="64">
        <v>3388.43</v>
      </c>
      <c r="I527" s="191">
        <f>ventas_b_mes5[[#This Row],[IMPORTE NETO]]*0.21</f>
        <v>711.57029999999997</v>
      </c>
      <c r="J527" s="192"/>
      <c r="K527" s="192"/>
      <c r="L527" s="192">
        <f>SUM(ventas_b_mes5[[#This Row],[IMPORTE NETO]:[EXENTO]])</f>
        <v>4100.0002999999997</v>
      </c>
      <c r="M527" s="59"/>
    </row>
    <row r="528" spans="2:13" x14ac:dyDescent="0.25">
      <c r="B528" s="186">
        <v>45077</v>
      </c>
      <c r="C528" s="41">
        <v>6</v>
      </c>
      <c r="D528" s="188">
        <v>5</v>
      </c>
      <c r="E528" s="189">
        <v>8053</v>
      </c>
      <c r="F528" s="190"/>
      <c r="G528" s="1" t="str">
        <f>IFERROR(IF(ventas_b_mes5[[#This Row],[CUIT]]="","-",VLOOKUP(ventas_b_mes5[[#This Row],[CUIT]],Lista_CUIT[#All],2,0)),"CUIT NO CARGADO")</f>
        <v>-</v>
      </c>
      <c r="H528" s="64">
        <v>8347.11</v>
      </c>
      <c r="I528" s="191">
        <f>ventas_b_mes5[[#This Row],[IMPORTE NETO]]*0.21</f>
        <v>1752.8931</v>
      </c>
      <c r="J528" s="192"/>
      <c r="K528" s="192"/>
      <c r="L528" s="192">
        <f>SUM(ventas_b_mes5[[#This Row],[IMPORTE NETO]:[EXENTO]])</f>
        <v>10100.0031</v>
      </c>
      <c r="M528" s="59"/>
    </row>
    <row r="529" spans="2:13" x14ac:dyDescent="0.25">
      <c r="B529" s="186">
        <v>45077</v>
      </c>
      <c r="C529" s="41">
        <v>6</v>
      </c>
      <c r="D529" s="188">
        <v>5</v>
      </c>
      <c r="E529" s="189">
        <v>8050</v>
      </c>
      <c r="F529" s="190"/>
      <c r="G529" s="1" t="str">
        <f>IFERROR(IF(ventas_b_mes5[[#This Row],[CUIT]]="","-",VLOOKUP(ventas_b_mes5[[#This Row],[CUIT]],Lista_CUIT[#All],2,0)),"CUIT NO CARGADO")</f>
        <v>-</v>
      </c>
      <c r="H529" s="64">
        <v>2644.63</v>
      </c>
      <c r="I529" s="191">
        <f>ventas_b_mes5[[#This Row],[IMPORTE NETO]]*0.21</f>
        <v>555.3723</v>
      </c>
      <c r="J529" s="192"/>
      <c r="K529" s="192"/>
      <c r="L529" s="192">
        <f>SUM(ventas_b_mes5[[#This Row],[IMPORTE NETO]:[EXENTO]])</f>
        <v>3200.0023000000001</v>
      </c>
      <c r="M529" s="59"/>
    </row>
    <row r="530" spans="2:13" x14ac:dyDescent="0.25">
      <c r="B530" s="186">
        <v>45077</v>
      </c>
      <c r="C530" s="41">
        <v>6</v>
      </c>
      <c r="D530" s="188">
        <v>5</v>
      </c>
      <c r="E530" s="189">
        <v>8049</v>
      </c>
      <c r="F530" s="190"/>
      <c r="G530" s="1" t="str">
        <f>IFERROR(IF(ventas_b_mes5[[#This Row],[CUIT]]="","-",VLOOKUP(ventas_b_mes5[[#This Row],[CUIT]],Lista_CUIT[#All],2,0)),"CUIT NO CARGADO")</f>
        <v>-</v>
      </c>
      <c r="H530" s="64">
        <v>4132.2299999999996</v>
      </c>
      <c r="I530" s="191">
        <f>ventas_b_mes5[[#This Row],[IMPORTE NETO]]*0.21</f>
        <v>867.76829999999984</v>
      </c>
      <c r="J530" s="192"/>
      <c r="K530" s="192"/>
      <c r="L530" s="192">
        <f>SUM(ventas_b_mes5[[#This Row],[IMPORTE NETO]:[EXENTO]])</f>
        <v>4999.9982999999993</v>
      </c>
      <c r="M530" s="59"/>
    </row>
    <row r="531" spans="2:13" x14ac:dyDescent="0.25">
      <c r="B531" s="186">
        <v>45077</v>
      </c>
      <c r="C531" s="41">
        <v>6</v>
      </c>
      <c r="D531" s="188">
        <v>7</v>
      </c>
      <c r="E531" s="189">
        <v>4388</v>
      </c>
      <c r="F531" s="190"/>
      <c r="G531" s="1" t="str">
        <f>IFERROR(IF(ventas_b_mes5[[#This Row],[CUIT]]="","-",VLOOKUP(ventas_b_mes5[[#This Row],[CUIT]],Lista_CUIT[#All],2,0)),"CUIT NO CARGADO")</f>
        <v>-</v>
      </c>
      <c r="H531" s="64">
        <v>6446.28</v>
      </c>
      <c r="I531" s="191">
        <f>ventas_b_mes5[[#This Row],[IMPORTE NETO]]*0.21</f>
        <v>1353.7187999999999</v>
      </c>
      <c r="J531" s="192"/>
      <c r="K531" s="192"/>
      <c r="L531" s="192">
        <f>SUM(ventas_b_mes5[[#This Row],[IMPORTE NETO]:[EXENTO]])</f>
        <v>7799.9987999999994</v>
      </c>
      <c r="M531" s="59"/>
    </row>
    <row r="532" spans="2:13" x14ac:dyDescent="0.25">
      <c r="B532" s="186">
        <v>45077</v>
      </c>
      <c r="C532" s="41">
        <v>6</v>
      </c>
      <c r="D532" s="188">
        <v>7</v>
      </c>
      <c r="E532" s="189">
        <v>4389</v>
      </c>
      <c r="F532" s="190"/>
      <c r="G532" s="1" t="str">
        <f>IFERROR(IF(ventas_b_mes5[[#This Row],[CUIT]]="","-",VLOOKUP(ventas_b_mes5[[#This Row],[CUIT]],Lista_CUIT[#All],2,0)),"CUIT NO CARGADO")</f>
        <v>-</v>
      </c>
      <c r="H532" s="64">
        <v>6446.28</v>
      </c>
      <c r="I532" s="191">
        <f>ventas_b_mes5[[#This Row],[IMPORTE NETO]]*0.21</f>
        <v>1353.7187999999999</v>
      </c>
      <c r="J532" s="192"/>
      <c r="K532" s="192"/>
      <c r="L532" s="192">
        <f>SUM(ventas_b_mes5[[#This Row],[IMPORTE NETO]:[EXENTO]])</f>
        <v>7799.9987999999994</v>
      </c>
      <c r="M532" s="59"/>
    </row>
    <row r="533" spans="2:13" x14ac:dyDescent="0.25">
      <c r="B533" s="186">
        <v>45077</v>
      </c>
      <c r="C533" s="41">
        <v>6</v>
      </c>
      <c r="D533" s="188">
        <v>5</v>
      </c>
      <c r="E533" s="189">
        <v>8048</v>
      </c>
      <c r="F533" s="190"/>
      <c r="G533" s="1" t="str">
        <f>IFERROR(IF(ventas_b_mes5[[#This Row],[CUIT]]="","-",VLOOKUP(ventas_b_mes5[[#This Row],[CUIT]],Lista_CUIT[#All],2,0)),"CUIT NO CARGADO")</f>
        <v>-</v>
      </c>
      <c r="H533" s="64">
        <v>4462.8100000000004</v>
      </c>
      <c r="I533" s="191">
        <f>ventas_b_mes5[[#This Row],[IMPORTE NETO]]*0.21</f>
        <v>937.19010000000003</v>
      </c>
      <c r="J533" s="192"/>
      <c r="K533" s="192"/>
      <c r="L533" s="192">
        <f>SUM(ventas_b_mes5[[#This Row],[IMPORTE NETO]:[EXENTO]])</f>
        <v>5400.0001000000002</v>
      </c>
      <c r="M533" s="59"/>
    </row>
    <row r="534" spans="2:13" x14ac:dyDescent="0.25">
      <c r="B534" s="186">
        <v>45077</v>
      </c>
      <c r="C534" s="41">
        <v>6</v>
      </c>
      <c r="D534" s="188">
        <v>7</v>
      </c>
      <c r="E534" s="189">
        <v>4386</v>
      </c>
      <c r="F534" s="190"/>
      <c r="G534" s="1" t="str">
        <f>IFERROR(IF(ventas_b_mes5[[#This Row],[CUIT]]="","-",VLOOKUP(ventas_b_mes5[[#This Row],[CUIT]],Lista_CUIT[#All],2,0)),"CUIT NO CARGADO")</f>
        <v>-</v>
      </c>
      <c r="H534" s="64">
        <v>31404.959999999999</v>
      </c>
      <c r="I534" s="191">
        <f>ventas_b_mes5[[#This Row],[IMPORTE NETO]]*0.21</f>
        <v>6595.0415999999996</v>
      </c>
      <c r="J534" s="192"/>
      <c r="K534" s="192"/>
      <c r="L534" s="192">
        <f>SUM(ventas_b_mes5[[#This Row],[IMPORTE NETO]:[EXENTO]])</f>
        <v>38000.001599999996</v>
      </c>
      <c r="M534" s="59"/>
    </row>
    <row r="535" spans="2:13" x14ac:dyDescent="0.25">
      <c r="B535" s="186">
        <v>45077</v>
      </c>
      <c r="C535" s="187">
        <v>6</v>
      </c>
      <c r="D535" s="188">
        <v>5</v>
      </c>
      <c r="E535" s="189">
        <v>8055</v>
      </c>
      <c r="F535" s="190"/>
      <c r="G535" s="1" t="str">
        <f>IFERROR(IF(ventas_b_mes5[[#This Row],[CUIT]]="","-",VLOOKUP(ventas_b_mes5[[#This Row],[CUIT]],Lista_CUIT[#All],2,0)),"CUIT NO CARGADO")</f>
        <v>-</v>
      </c>
      <c r="H535" s="64">
        <v>2479.34</v>
      </c>
      <c r="I535" s="191">
        <f>ventas_b_mes5[[#This Row],[IMPORTE NETO]]*0.21</f>
        <v>520.66139999999996</v>
      </c>
      <c r="J535" s="192"/>
      <c r="K535" s="192"/>
      <c r="L535" s="192">
        <f>SUM(ventas_b_mes5[[#This Row],[IMPORTE NETO]:[EXENTO]])</f>
        <v>3000.0014000000001</v>
      </c>
      <c r="M535" s="59"/>
    </row>
    <row r="536" spans="2:13" x14ac:dyDescent="0.25">
      <c r="B536" s="186">
        <v>45077</v>
      </c>
      <c r="C536" s="187">
        <v>6</v>
      </c>
      <c r="D536" s="188">
        <v>5</v>
      </c>
      <c r="E536" s="189">
        <v>8051</v>
      </c>
      <c r="F536" s="190"/>
      <c r="G536" s="1" t="str">
        <f>IFERROR(IF(ventas_b_mes5[[#This Row],[CUIT]]="","-",VLOOKUP(ventas_b_mes5[[#This Row],[CUIT]],Lista_CUIT[#All],2,0)),"CUIT NO CARGADO")</f>
        <v>-</v>
      </c>
      <c r="H536" s="64">
        <v>9917.36</v>
      </c>
      <c r="I536" s="191">
        <f>ventas_b_mes5[[#This Row],[IMPORTE NETO]]*0.21</f>
        <v>2082.6455999999998</v>
      </c>
      <c r="J536" s="192"/>
      <c r="K536" s="192"/>
      <c r="L536" s="192">
        <f>SUM(ventas_b_mes5[[#This Row],[IMPORTE NETO]:[EXENTO]])</f>
        <v>12000.0056</v>
      </c>
      <c r="M536" s="59"/>
    </row>
    <row r="537" spans="2:13" x14ac:dyDescent="0.25">
      <c r="B537" s="186">
        <v>45077</v>
      </c>
      <c r="C537" s="187">
        <v>6</v>
      </c>
      <c r="D537" s="188">
        <v>7</v>
      </c>
      <c r="E537" s="189">
        <v>4387</v>
      </c>
      <c r="F537" s="190"/>
      <c r="G537" s="1" t="str">
        <f>IFERROR(IF(ventas_b_mes5[[#This Row],[CUIT]]="","-",VLOOKUP(ventas_b_mes5[[#This Row],[CUIT]],Lista_CUIT[#All],2,0)),"CUIT NO CARGADO")</f>
        <v>-</v>
      </c>
      <c r="H537" s="64">
        <v>12644.62</v>
      </c>
      <c r="I537" s="191">
        <f>ventas_b_mes5[[#This Row],[IMPORTE NETO]]*0.21</f>
        <v>2655.3702000000003</v>
      </c>
      <c r="J537" s="192"/>
      <c r="K537" s="192"/>
      <c r="L537" s="192">
        <f>SUM(ventas_b_mes5[[#This Row],[IMPORTE NETO]:[EXENTO]])</f>
        <v>15299.9902</v>
      </c>
      <c r="M537" s="59"/>
    </row>
    <row r="538" spans="2:13" x14ac:dyDescent="0.25">
      <c r="B538" s="186">
        <v>45077</v>
      </c>
      <c r="C538" s="187">
        <v>6</v>
      </c>
      <c r="D538" s="188">
        <v>5</v>
      </c>
      <c r="E538" s="189">
        <v>8054</v>
      </c>
      <c r="F538" s="190"/>
      <c r="G538" s="1" t="str">
        <f>IFERROR(IF(ventas_b_mes5[[#This Row],[CUIT]]="","-",VLOOKUP(ventas_b_mes5[[#This Row],[CUIT]],Lista_CUIT[#All],2,0)),"CUIT NO CARGADO")</f>
        <v>-</v>
      </c>
      <c r="H538" s="64">
        <v>6198.35</v>
      </c>
      <c r="I538" s="191">
        <f>ventas_b_mes5[[#This Row],[IMPORTE NETO]]*0.21</f>
        <v>1301.6535000000001</v>
      </c>
      <c r="J538" s="192"/>
      <c r="K538" s="192"/>
      <c r="L538" s="192">
        <f>SUM(ventas_b_mes5[[#This Row],[IMPORTE NETO]:[EXENTO]])</f>
        <v>7500.0035000000007</v>
      </c>
      <c r="M538" s="59"/>
    </row>
    <row r="539" spans="2:13" x14ac:dyDescent="0.25">
      <c r="B539" s="186">
        <v>45049</v>
      </c>
      <c r="C539" s="187">
        <v>8</v>
      </c>
      <c r="D539" s="188">
        <v>5</v>
      </c>
      <c r="E539" s="189">
        <v>112</v>
      </c>
      <c r="F539" s="190"/>
      <c r="G539" s="1" t="str">
        <f>IFERROR(IF(ventas_b_mes5[[#This Row],[CUIT]]="","-",VLOOKUP(ventas_b_mes5[[#This Row],[CUIT]],Lista_CUIT[#All],2,0)),"CUIT NO CARGADO")</f>
        <v>-</v>
      </c>
      <c r="H539" s="64">
        <v>-4132.2299999999996</v>
      </c>
      <c r="I539" s="191">
        <f>ventas_b_mes5[[#This Row],[IMPORTE NETO]]*0.21</f>
        <v>-867.76829999999984</v>
      </c>
      <c r="J539" s="192"/>
      <c r="K539" s="192"/>
      <c r="L539" s="192">
        <f>SUM(ventas_b_mes5[[#This Row],[IMPORTE NETO]:[EXENTO]])</f>
        <v>-4999.9982999999993</v>
      </c>
      <c r="M539" s="59"/>
    </row>
    <row r="540" spans="2:13" x14ac:dyDescent="0.25">
      <c r="B540" s="186">
        <v>45050</v>
      </c>
      <c r="C540" s="187">
        <v>8</v>
      </c>
      <c r="D540" s="188">
        <v>7</v>
      </c>
      <c r="E540" s="189">
        <v>137</v>
      </c>
      <c r="F540" s="190"/>
      <c r="G540" s="1" t="str">
        <f>IFERROR(IF(ventas_b_mes5[[#This Row],[CUIT]]="","-",VLOOKUP(ventas_b_mes5[[#This Row],[CUIT]],Lista_CUIT[#All],2,0)),"CUIT NO CARGADO")</f>
        <v>-</v>
      </c>
      <c r="H540" s="64">
        <v>-46649.59</v>
      </c>
      <c r="I540" s="191">
        <f>ventas_b_mes5[[#This Row],[IMPORTE NETO]]*0.21</f>
        <v>-9796.4138999999996</v>
      </c>
      <c r="J540" s="192"/>
      <c r="K540" s="192"/>
      <c r="L540" s="192">
        <f>SUM(ventas_b_mes5[[#This Row],[IMPORTE NETO]:[EXENTO]])</f>
        <v>-56446.003899999996</v>
      </c>
      <c r="M540" s="59"/>
    </row>
    <row r="541" spans="2:13" x14ac:dyDescent="0.25">
      <c r="B541" s="186">
        <v>45051</v>
      </c>
      <c r="C541" s="187">
        <v>8</v>
      </c>
      <c r="D541" s="188">
        <v>5</v>
      </c>
      <c r="E541" s="189">
        <v>113</v>
      </c>
      <c r="F541" s="190"/>
      <c r="G541" s="1" t="str">
        <f>IFERROR(IF(ventas_b_mes5[[#This Row],[CUIT]]="","-",VLOOKUP(ventas_b_mes5[[#This Row],[CUIT]],Lista_CUIT[#All],2,0)),"CUIT NO CARGADO")</f>
        <v>-</v>
      </c>
      <c r="H541" s="64">
        <v>-8677.69</v>
      </c>
      <c r="I541" s="191">
        <f>ventas_b_mes5[[#This Row],[IMPORTE NETO]]*0.21</f>
        <v>-1822.3149000000001</v>
      </c>
      <c r="J541" s="192"/>
      <c r="K541" s="192"/>
      <c r="L541" s="192">
        <f>SUM(ventas_b_mes5[[#This Row],[IMPORTE NETO]:[EXENTO]])</f>
        <v>-10500.0049</v>
      </c>
      <c r="M541" s="59"/>
    </row>
    <row r="542" spans="2:13" x14ac:dyDescent="0.25">
      <c r="B542" s="186">
        <v>45054</v>
      </c>
      <c r="C542" s="187">
        <v>8</v>
      </c>
      <c r="D542" s="188">
        <v>5</v>
      </c>
      <c r="E542" s="189">
        <v>114</v>
      </c>
      <c r="F542" s="190"/>
      <c r="G542" s="1" t="str">
        <f>IFERROR(IF(ventas_b_mes5[[#This Row],[CUIT]]="","-",VLOOKUP(ventas_b_mes5[[#This Row],[CUIT]],Lista_CUIT[#All],2,0)),"CUIT NO CARGADO")</f>
        <v>-</v>
      </c>
      <c r="H542" s="64">
        <v>-6942.15</v>
      </c>
      <c r="I542" s="191">
        <f>ventas_b_mes5[[#This Row],[IMPORTE NETO]]*0.21</f>
        <v>-1457.8514999999998</v>
      </c>
      <c r="J542" s="192"/>
      <c r="K542" s="192"/>
      <c r="L542" s="192">
        <f>SUM(ventas_b_mes5[[#This Row],[IMPORTE NETO]:[EXENTO]])</f>
        <v>-8400.0014999999985</v>
      </c>
      <c r="M542" s="59"/>
    </row>
    <row r="543" spans="2:13" x14ac:dyDescent="0.25">
      <c r="B543" s="186">
        <v>45056</v>
      </c>
      <c r="C543" s="187">
        <v>8</v>
      </c>
      <c r="D543" s="188">
        <v>7</v>
      </c>
      <c r="E543" s="189">
        <v>138</v>
      </c>
      <c r="F543" s="190"/>
      <c r="G543" s="1" t="str">
        <f>IFERROR(IF(ventas_b_mes5[[#This Row],[CUIT]]="","-",VLOOKUP(ventas_b_mes5[[#This Row],[CUIT]],Lista_CUIT[#All],2,0)),"CUIT NO CARGADO")</f>
        <v>-</v>
      </c>
      <c r="H543" s="64">
        <v>-8925.6200000000008</v>
      </c>
      <c r="I543" s="191">
        <f>ventas_b_mes5[[#This Row],[IMPORTE NETO]]*0.21</f>
        <v>-1874.3802000000001</v>
      </c>
      <c r="J543" s="192"/>
      <c r="K543" s="192"/>
      <c r="L543" s="192">
        <f>SUM(ventas_b_mes5[[#This Row],[IMPORTE NETO]:[EXENTO]])</f>
        <v>-10800.0002</v>
      </c>
      <c r="M543" s="59"/>
    </row>
    <row r="544" spans="2:13" x14ac:dyDescent="0.25">
      <c r="B544" s="186">
        <v>45075</v>
      </c>
      <c r="C544" s="187">
        <v>8</v>
      </c>
      <c r="D544" s="188">
        <v>7</v>
      </c>
      <c r="E544" s="189">
        <v>139</v>
      </c>
      <c r="F544" s="190"/>
      <c r="G544" s="1" t="str">
        <f>IFERROR(IF(ventas_b_mes5[[#This Row],[CUIT]]="","-",VLOOKUP(ventas_b_mes5[[#This Row],[CUIT]],Lista_CUIT[#All],2,0)),"CUIT NO CARGADO")</f>
        <v>-</v>
      </c>
      <c r="H544" s="64">
        <v>-8760.33</v>
      </c>
      <c r="I544" s="191">
        <f>ventas_b_mes5[[#This Row],[IMPORTE NETO]]*0.21</f>
        <v>-1839.6693</v>
      </c>
      <c r="J544" s="192"/>
      <c r="K544" s="192"/>
      <c r="L544" s="192">
        <f>SUM(ventas_b_mes5[[#This Row],[IMPORTE NETO]:[EXENTO]])</f>
        <v>-10599.999299999999</v>
      </c>
      <c r="M544" s="59"/>
    </row>
    <row r="545" spans="2:13" ht="15.75" thickBot="1" x14ac:dyDescent="0.3">
      <c r="B545" s="66" t="s">
        <v>110</v>
      </c>
      <c r="C545" s="67"/>
      <c r="D545" s="67"/>
      <c r="E545" s="67"/>
      <c r="F545" s="67"/>
      <c r="G545" s="67"/>
      <c r="H545" s="77">
        <f>SUBTOTAL(109,ventas_b_mes5[IMPORTE NETO])</f>
        <v>2504638.7600000007</v>
      </c>
      <c r="I545" s="77">
        <f>SUBTOTAL(109,ventas_b_mes5[IVA 21%])</f>
        <v>525974.13960000011</v>
      </c>
      <c r="J545" s="78">
        <f>SUBTOTAL(109,ventas_b_mes5[IVA 10,5%])</f>
        <v>0</v>
      </c>
      <c r="K545" s="78">
        <f>SUBTOTAL(109,ventas_b_mes5[EXENTO])</f>
        <v>0</v>
      </c>
      <c r="L545" s="78">
        <f>SUBTOTAL(109,ventas_b_mes5[TOTAL])</f>
        <v>3030612.8995999992</v>
      </c>
      <c r="M545" s="68">
        <f>SUBTOTAL(103,ventas_b_mes5[Provincia])</f>
        <v>0</v>
      </c>
    </row>
    <row r="546" spans="2:13" ht="15.75" thickTop="1" x14ac:dyDescent="0.25">
      <c r="C546" s="522" t="s">
        <v>66</v>
      </c>
      <c r="D546" s="522"/>
      <c r="E546" s="522"/>
      <c r="F546" s="522"/>
      <c r="G546" s="522"/>
      <c r="H546" s="32"/>
      <c r="I546" s="32"/>
      <c r="J546" s="32"/>
    </row>
    <row r="547" spans="2:13" ht="15.75" x14ac:dyDescent="0.25">
      <c r="C547" s="114" t="s">
        <v>67</v>
      </c>
      <c r="D547" s="115" t="s">
        <v>68</v>
      </c>
      <c r="E547" s="115" t="s">
        <v>112</v>
      </c>
      <c r="F547" s="115" t="s">
        <v>3</v>
      </c>
      <c r="G547" s="115" t="s">
        <v>4</v>
      </c>
      <c r="H547" s="116" t="s">
        <v>69</v>
      </c>
      <c r="I547" s="116" t="s">
        <v>70</v>
      </c>
      <c r="J547" s="116" t="s">
        <v>71</v>
      </c>
      <c r="K547" s="116" t="s">
        <v>72</v>
      </c>
      <c r="L547" s="116" t="s">
        <v>73</v>
      </c>
    </row>
    <row r="548" spans="2:13" x14ac:dyDescent="0.25">
      <c r="C548" s="117"/>
      <c r="D548" s="118"/>
      <c r="E548" s="118"/>
      <c r="F548" s="119"/>
      <c r="G548" s="53" t="str">
        <f>IFERROR(IF(Retenciones_mes5[[#This Row],[CUIT]]="","-",VLOOKUP(Retenciones_mes5[[#This Row],[CUIT]],Lista_CUIT[#All],2,0)),"CUIT NO CARGADO")</f>
        <v>-</v>
      </c>
      <c r="H548" s="120"/>
      <c r="I548" s="120"/>
      <c r="J548" s="120"/>
      <c r="K548" s="120"/>
      <c r="L548" s="120"/>
    </row>
    <row r="549" spans="2:13" x14ac:dyDescent="0.25">
      <c r="C549" s="117"/>
      <c r="D549" s="118"/>
      <c r="E549" s="118"/>
      <c r="F549" s="119"/>
      <c r="G549" s="53" t="str">
        <f>IFERROR(IF(Retenciones_mes5[[#This Row],[CUIT]]="","-",VLOOKUP(Retenciones_mes5[[#This Row],[CUIT]],Lista_CUIT[#All],2,0)),"CUIT NO CARGADO")</f>
        <v>-</v>
      </c>
      <c r="H549" s="120"/>
      <c r="I549" s="120"/>
      <c r="J549" s="120"/>
      <c r="K549" s="120"/>
      <c r="L549" s="120"/>
    </row>
    <row r="550" spans="2:13" x14ac:dyDescent="0.25">
      <c r="C550" s="117"/>
      <c r="D550" s="118"/>
      <c r="E550" s="118"/>
      <c r="F550" s="119"/>
      <c r="G550" s="53" t="str">
        <f>IFERROR(IF(Retenciones_mes5[[#This Row],[CUIT]]="","-",VLOOKUP(Retenciones_mes5[[#This Row],[CUIT]],Lista_CUIT[#All],2,0)),"CUIT NO CARGADO")</f>
        <v>-</v>
      </c>
      <c r="H550" s="120"/>
      <c r="I550" s="120"/>
      <c r="J550" s="120"/>
      <c r="K550" s="120"/>
      <c r="L550" s="120"/>
    </row>
    <row r="551" spans="2:13" x14ac:dyDescent="0.25">
      <c r="C551" s="117"/>
      <c r="D551" s="118"/>
      <c r="E551" s="118"/>
      <c r="F551" s="119"/>
      <c r="G551" s="53" t="str">
        <f>IFERROR(IF(Retenciones_mes5[[#This Row],[CUIT]]="","-",VLOOKUP(Retenciones_mes5[[#This Row],[CUIT]],Lista_CUIT[#All],2,0)),"CUIT NO CARGADO")</f>
        <v>-</v>
      </c>
      <c r="H551" s="120"/>
      <c r="I551" s="120"/>
      <c r="J551" s="120"/>
      <c r="K551" s="120"/>
      <c r="L551" s="120"/>
    </row>
    <row r="552" spans="2:13" x14ac:dyDescent="0.25">
      <c r="D552" s="118"/>
      <c r="E552" s="118"/>
      <c r="G552" s="53" t="str">
        <f>IFERROR(IF(Retenciones_mes5[[#This Row],[CUIT]]="","-",VLOOKUP(Retenciones_mes5[[#This Row],[CUIT]],Lista_CUIT[#All],2,0)),"CUIT NO CARGADO")</f>
        <v>-</v>
      </c>
    </row>
    <row r="553" spans="2:13" x14ac:dyDescent="0.25">
      <c r="C553" s="33"/>
    </row>
  </sheetData>
  <mergeCells count="20">
    <mergeCell ref="C546:G546"/>
    <mergeCell ref="B4:E4"/>
    <mergeCell ref="G4:H4"/>
    <mergeCell ref="J4:K4"/>
    <mergeCell ref="M4:N4"/>
    <mergeCell ref="D116:K116"/>
    <mergeCell ref="B157:J157"/>
    <mergeCell ref="K157:M157"/>
    <mergeCell ref="B159:C159"/>
    <mergeCell ref="B224:C224"/>
    <mergeCell ref="P4:R4"/>
    <mergeCell ref="D107:L107"/>
    <mergeCell ref="B1:F1"/>
    <mergeCell ref="G1:M1"/>
    <mergeCell ref="N1:R1"/>
    <mergeCell ref="B3:E3"/>
    <mergeCell ref="G3:H3"/>
    <mergeCell ref="J3:K3"/>
    <mergeCell ref="M3:N3"/>
    <mergeCell ref="P3:R3"/>
  </mergeCells>
  <dataValidations count="9">
    <dataValidation type="custom" allowBlank="1" showInputMessage="1" showErrorMessage="1" sqref="H226:L544" xr:uid="{00000000-0002-0000-0500-000000000000}">
      <formula1>IF($C226=8,H226&lt;0,H226&gt;=0)</formula1>
    </dataValidation>
    <dataValidation type="whole" allowBlank="1" showInputMessage="1" showErrorMessage="1" sqref="C226:C544" xr:uid="{00000000-0002-0000-0500-000001000000}">
      <formula1>6</formula1>
      <formula2>8</formula2>
    </dataValidation>
    <dataValidation type="whole" allowBlank="1" showInputMessage="1" showErrorMessage="1" sqref="C103:C106 C161:C220 C9:C101" xr:uid="{00000000-0002-0000-0500-000002000000}">
      <formula1>1</formula1>
      <formula2>3</formula2>
    </dataValidation>
    <dataValidation type="date" allowBlank="1" showInputMessage="1" showErrorMessage="1" sqref="D109:D111 B103:B106 B226:B544 B9:B101 B161:B220 D118:D149" xr:uid="{00000000-0002-0000-0500-000003000000}">
      <formula1>40179</formula1>
      <formula2>TODAY()</formula2>
    </dataValidation>
    <dataValidation type="whole" allowBlank="1" showInputMessage="1" showErrorMessage="1" sqref="F226:F544 G118:G151 F161:F220 F9:F101" xr:uid="{00000000-0002-0000-0500-000004000000}">
      <formula1>20000000000</formula1>
      <formula2>33999999999</formula2>
    </dataValidation>
    <dataValidation type="whole" allowBlank="1" showInputMessage="1" showErrorMessage="1" sqref="E226:E544 F118:F151 E161:E220 E9:E101" xr:uid="{00000000-0002-0000-0500-000005000000}">
      <formula1>1</formula1>
      <formula2>99999999</formula2>
    </dataValidation>
    <dataValidation type="whole" allowBlank="1" showInputMessage="1" showErrorMessage="1" sqref="D226:D544 E118:E151 D161:D220 D9:D101" xr:uid="{00000000-0002-0000-0500-000006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41:O47 H9:O25 H27:O39 H26:N26" xr:uid="{00000000-0002-0000-0500-000007000000}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40:O40" xr:uid="{00000000-0002-0000-0500-000008000000}">
      <formula1>IF(#REF!=3,H40&lt;0,H40&gt;=0)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</sheetPr>
  <dimension ref="A1:Z206"/>
  <sheetViews>
    <sheetView showGridLines="0" topLeftCell="G138" zoomScale="80" zoomScaleNormal="80" workbookViewId="0">
      <selection activeCell="D120" sqref="D120:J159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8.5703125" customWidth="1"/>
    <col min="9" max="9" width="17.5703125" customWidth="1"/>
    <col min="10" max="10" width="15" customWidth="1"/>
    <col min="11" max="11" width="16.85546875" customWidth="1"/>
    <col min="12" max="12" width="13.5703125" customWidth="1"/>
    <col min="13" max="13" width="13.42578125" customWidth="1"/>
    <col min="14" max="14" width="16.28515625" customWidth="1"/>
    <col min="15" max="15" width="18.5703125" customWidth="1"/>
    <col min="16" max="16" width="20.28515625" customWidth="1"/>
    <col min="17" max="17" width="16.7109375" customWidth="1"/>
    <col min="18" max="18" width="14.28515625" customWidth="1"/>
    <col min="19" max="19" width="1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EDATE('Ene-23'!N1,5)</f>
        <v>45078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SUM(compras_mes6[[#Totals],[NETO GRAVADO]])+extracto_banco_mes6[[#Totals],[NETO]]</f>
        <v>15324702.35</v>
      </c>
      <c r="C4" s="530"/>
      <c r="D4" s="530"/>
      <c r="E4" s="530"/>
      <c r="F4" s="39"/>
      <c r="G4" s="531">
        <f>compras_mes6[[#Totals],[IVA 21 %]]+compras_mes6[[#Totals],[IVA 27%]]+compras_mes6[[#Totals],[IVA 10,5%]]+extracto_banco_mes6[[#Totals],[IVA 21%]]+extracto_banco_mes6[[#Totals],[IVA 10,5%]]</f>
        <v>3058500.5097000008</v>
      </c>
      <c r="H4" s="531"/>
      <c r="I4" s="39"/>
      <c r="J4" s="537">
        <f>venta_a_mes6[[#Totals],[IMPORTE NETO]]+ventas_b_mes6[[#Totals],[IMPORTE NETO]]</f>
        <v>0</v>
      </c>
      <c r="K4" s="537"/>
      <c r="L4" s="39"/>
      <c r="M4" s="537">
        <f>venta_a_mes6[[#Totals],[IVA 21%]]+venta_a_mes6[[#Totals],[IVA 10,5%]]+ventas_b_mes6[[#Totals],[IVA 21%]]+ventas_b_mes6[[#Totals],[IVA 10,5%]]</f>
        <v>0</v>
      </c>
      <c r="N4" s="537"/>
      <c r="O4" s="39"/>
      <c r="P4" s="533">
        <f>G4-M4</f>
        <v>3058500.5097000008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394">
        <v>45051</v>
      </c>
      <c r="C9" s="395">
        <v>1</v>
      </c>
      <c r="D9" s="396">
        <v>13</v>
      </c>
      <c r="E9" s="397">
        <v>1158</v>
      </c>
      <c r="F9" s="398">
        <v>33709914109</v>
      </c>
      <c r="G9" s="399" t="str">
        <f>IFERROR(IF(compras_mes6[[#This Row],[CUIT]]="","-",VLOOKUP(compras_mes6[[#This Row],[CUIT]],Lista_CUIT[#All],2,0)),"CUIT NO CARGADO")</f>
        <v xml:space="preserve">ALAN COLLECTION SA </v>
      </c>
      <c r="H9" s="400">
        <v>3223.14</v>
      </c>
      <c r="I9" s="401">
        <f>IF(compras_mes6[[#This Row],[NETO GRAVADO]]="","",compras_mes6[[#This Row],[NETO GRAVADO]]*0.21)</f>
        <v>676.85939999999994</v>
      </c>
      <c r="J9" s="401"/>
      <c r="K9" s="401"/>
      <c r="L9" s="401"/>
      <c r="M9" s="401"/>
      <c r="N9" s="401"/>
      <c r="O9" s="401"/>
      <c r="P9" s="402">
        <f>SUM(compras_mes6[[#This Row],[NETO GRAVADO]:[Otros / No Grav.]])</f>
        <v>3899.9993999999997</v>
      </c>
      <c r="Q9" s="403" t="str">
        <f>IFERROR(IF(compras_mes6[[#This Row],[CUIT]]="","-",VLOOKUP(compras_mes6[[#This Row],[CUIT]],Lista_CUIT[#All],3,0)),"CUIT NO CARGADO")</f>
        <v>MERCADERIA</v>
      </c>
      <c r="R9" s="403">
        <f>IFERROR(IF(compras_mes6[[#This Row],[CUIT]]="","-",VLOOKUP(compras_mes6[[#This Row],[CUIT]],Lista_CUIT[#All],4,0)),"CUIT NO CARGADO")</f>
        <v>0</v>
      </c>
    </row>
    <row r="10" spans="1:26" x14ac:dyDescent="0.25">
      <c r="B10" s="394">
        <v>45078</v>
      </c>
      <c r="C10" s="395">
        <v>1</v>
      </c>
      <c r="D10" s="396">
        <v>1</v>
      </c>
      <c r="E10" s="397">
        <v>618</v>
      </c>
      <c r="F10" s="398">
        <v>30715048066</v>
      </c>
      <c r="G10" s="399" t="str">
        <f>IFERROR(IF(compras_mes6[[#This Row],[CUIT]]="","-",VLOOKUP(compras_mes6[[#This Row],[CUIT]],Lista_CUIT[#All],2,0)),"CUIT NO CARGADO")</f>
        <v>ROLLS Y EMPANADAS SA</v>
      </c>
      <c r="H10" s="400">
        <v>301035</v>
      </c>
      <c r="I10" s="401">
        <f>IF(compras_mes6[[#This Row],[NETO GRAVADO]]="","",compras_mes6[[#This Row],[NETO GRAVADO]]*0.21)</f>
        <v>63217.35</v>
      </c>
      <c r="J10" s="401"/>
      <c r="K10" s="401"/>
      <c r="L10" s="401"/>
      <c r="M10" s="401"/>
      <c r="N10" s="401"/>
      <c r="O10" s="401"/>
      <c r="P10" s="402">
        <f>SUM(compras_mes6[[#This Row],[NETO GRAVADO]:[Otros / No Grav.]])</f>
        <v>364252.35</v>
      </c>
      <c r="Q10" s="403" t="str">
        <f>IFERROR(IF(compras_mes6[[#This Row],[CUIT]]="","-",VLOOKUP(compras_mes6[[#This Row],[CUIT]],Lista_CUIT[#All],3,0)),"CUIT NO CARGADO")</f>
        <v>Catering</v>
      </c>
      <c r="R10" s="403">
        <f>IFERROR(IF(compras_mes6[[#This Row],[CUIT]]="","-",VLOOKUP(compras_mes6[[#This Row],[CUIT]],Lista_CUIT[#All],4,0)),"CUIT NO CARGADO")</f>
        <v>0</v>
      </c>
    </row>
    <row r="11" spans="1:26" x14ac:dyDescent="0.25">
      <c r="B11" s="219">
        <v>45078</v>
      </c>
      <c r="C11" s="209">
        <v>1</v>
      </c>
      <c r="D11" s="220">
        <v>500</v>
      </c>
      <c r="E11" s="221">
        <v>1314516</v>
      </c>
      <c r="F11" s="222">
        <v>30654118767</v>
      </c>
      <c r="G11" s="223" t="str">
        <f>IFERROR(IF(compras_mes6[[#This Row],[CUIT]]="","-",VLOOKUP(compras_mes6[[#This Row],[CUIT]],Lista_CUIT[#All],2,0)),"CUIT NO CARGADO")</f>
        <v>SOLUCIONES MULTIMEDIA SA</v>
      </c>
      <c r="H11" s="224">
        <v>11075.46</v>
      </c>
      <c r="I11" s="225">
        <f>IF(compras_mes6[[#This Row],[NETO GRAVADO]]="","",compras_mes6[[#This Row],[NETO GRAVADO]]*0.21)</f>
        <v>2325.8465999999999</v>
      </c>
      <c r="J11" s="225"/>
      <c r="K11" s="225"/>
      <c r="L11" s="225"/>
      <c r="M11" s="225"/>
      <c r="N11" s="225"/>
      <c r="O11" s="225"/>
      <c r="P11" s="48">
        <f>SUM(compras_mes6[[#This Row],[NETO GRAVADO]:[Otros / No Grav.]])</f>
        <v>13401.3066</v>
      </c>
      <c r="Q11" s="49" t="str">
        <f>IFERROR(IF(compras_mes6[[#This Row],[CUIT]]="","-",VLOOKUP(compras_mes6[[#This Row],[CUIT]],Lista_CUIT[#All],3,0)),"CUIT NO CARGADO")</f>
        <v>GASTOS ADMINISTRATIVOS</v>
      </c>
      <c r="R11" s="49">
        <f>IFERROR(IF(compras_mes6[[#This Row],[CUIT]]="","-",VLOOKUP(compras_mes6[[#This Row],[CUIT]],Lista_CUIT[#All],4,0)),"CUIT NO CARGADO")</f>
        <v>0</v>
      </c>
    </row>
    <row r="12" spans="1:26" x14ac:dyDescent="0.25">
      <c r="B12" s="394">
        <v>45078</v>
      </c>
      <c r="C12" s="395">
        <v>1</v>
      </c>
      <c r="D12" s="396">
        <v>3</v>
      </c>
      <c r="E12" s="397">
        <v>7825</v>
      </c>
      <c r="F12" s="398">
        <v>20045615473</v>
      </c>
      <c r="G12" s="399" t="str">
        <f>IFERROR(IF(compras_mes6[[#This Row],[CUIT]]="","-",VLOOKUP(compras_mes6[[#This Row],[CUIT]],Lista_CUIT[#All],2,0)),"CUIT NO CARGADO")</f>
        <v xml:space="preserve">DI FEO HUGO PASCUAL </v>
      </c>
      <c r="H12" s="400">
        <v>23000</v>
      </c>
      <c r="I12" s="401">
        <f>IF(compras_mes6[[#This Row],[NETO GRAVADO]]="","",compras_mes6[[#This Row],[NETO GRAVADO]]*0.21)</f>
        <v>4830</v>
      </c>
      <c r="J12" s="401"/>
      <c r="K12" s="401"/>
      <c r="L12" s="401"/>
      <c r="M12" s="401"/>
      <c r="N12" s="401"/>
      <c r="O12" s="401"/>
      <c r="P12" s="402">
        <f>SUM(compras_mes6[[#This Row],[NETO GRAVADO]:[Otros / No Grav.]])</f>
        <v>27830</v>
      </c>
      <c r="Q12" s="403" t="str">
        <f>IFERROR(IF(compras_mes6[[#This Row],[CUIT]]="","-",VLOOKUP(compras_mes6[[#This Row],[CUIT]],Lista_CUIT[#All],3,0)),"CUIT NO CARGADO")</f>
        <v>Productos Ortopedicos</v>
      </c>
      <c r="R12" s="403">
        <f>IFERROR(IF(compras_mes6[[#This Row],[CUIT]]="","-",VLOOKUP(compras_mes6[[#This Row],[CUIT]],Lista_CUIT[#All],4,0)),"CUIT NO CARGADO")</f>
        <v>0</v>
      </c>
    </row>
    <row r="13" spans="1:26" x14ac:dyDescent="0.25">
      <c r="B13" s="394">
        <v>45078</v>
      </c>
      <c r="C13" s="395">
        <v>1</v>
      </c>
      <c r="D13" s="396">
        <v>1057</v>
      </c>
      <c r="E13" s="397">
        <v>254</v>
      </c>
      <c r="F13" s="398">
        <v>30685849751</v>
      </c>
      <c r="G13" s="399" t="str">
        <f>IFERROR(IF(compras_mes6[[#This Row],[CUIT]]="","-",VLOOKUP(compras_mes6[[#This Row],[CUIT]],Lista_CUIT[#All],2,0)),"CUIT NO CARGADO")</f>
        <v>DIA ARGENTINA S.A.</v>
      </c>
      <c r="H13" s="400">
        <v>3408.24</v>
      </c>
      <c r="I13" s="401">
        <f>IF(compras_mes6[[#This Row],[NETO GRAVADO]]="","",compras_mes6[[#This Row],[NETO GRAVADO]]*0.21)</f>
        <v>715.73039999999992</v>
      </c>
      <c r="J13" s="401"/>
      <c r="K13" s="401"/>
      <c r="L13" s="401"/>
      <c r="M13" s="401"/>
      <c r="N13" s="401">
        <v>119.29</v>
      </c>
      <c r="O13" s="401"/>
      <c r="P13" s="402">
        <f>SUM(compras_mes6[[#This Row],[NETO GRAVADO]:[Otros / No Grav.]])</f>
        <v>4243.2604000000001</v>
      </c>
      <c r="Q13" s="403" t="str">
        <f>IFERROR(IF(compras_mes6[[#This Row],[CUIT]]="","-",VLOOKUP(compras_mes6[[#This Row],[CUIT]],Lista_CUIT[#All],3,0)),"CUIT NO CARGADO")</f>
        <v>Gastos Varios</v>
      </c>
      <c r="R13" s="403">
        <f>IFERROR(IF(compras_mes6[[#This Row],[CUIT]]="","-",VLOOKUP(compras_mes6[[#This Row],[CUIT]],Lista_CUIT[#All],4,0)),"CUIT NO CARGADO")</f>
        <v>0</v>
      </c>
    </row>
    <row r="14" spans="1:26" x14ac:dyDescent="0.25">
      <c r="B14" s="394">
        <v>45078</v>
      </c>
      <c r="C14" s="395">
        <v>1</v>
      </c>
      <c r="D14" s="396">
        <v>2</v>
      </c>
      <c r="E14" s="397">
        <v>186</v>
      </c>
      <c r="F14" s="398">
        <v>30605344352</v>
      </c>
      <c r="G14" s="399" t="str">
        <f>IFERROR(IF(compras_mes6[[#This Row],[CUIT]]="","-",VLOOKUP(compras_mes6[[#This Row],[CUIT]],Lista_CUIT[#All],2,0)),"CUIT NO CARGADO")</f>
        <v>CONSORCIO BARTOLME MITRE 2466</v>
      </c>
      <c r="H14" s="400">
        <v>230000</v>
      </c>
      <c r="I14" s="401">
        <f>IF(compras_mes6[[#This Row],[NETO GRAVADO]]="","",compras_mes6[[#This Row],[NETO GRAVADO]]*0.21)</f>
        <v>48300</v>
      </c>
      <c r="J14" s="401"/>
      <c r="K14" s="401"/>
      <c r="L14" s="401"/>
      <c r="M14" s="401"/>
      <c r="N14" s="401"/>
      <c r="O14" s="401"/>
      <c r="P14" s="402">
        <f>SUM(compras_mes6[[#This Row],[NETO GRAVADO]:[Otros / No Grav.]])</f>
        <v>278300</v>
      </c>
      <c r="Q14" s="403" t="str">
        <f>IFERROR(IF(compras_mes6[[#This Row],[CUIT]]="","-",VLOOKUP(compras_mes6[[#This Row],[CUIT]],Lista_CUIT[#All],3,0)),"CUIT NO CARGADO")</f>
        <v>Gastos Varios</v>
      </c>
      <c r="R14" s="403">
        <f>IFERROR(IF(compras_mes6[[#This Row],[CUIT]]="","-",VLOOKUP(compras_mes6[[#This Row],[CUIT]],Lista_CUIT[#All],4,0)),"CUIT NO CARGADO")</f>
        <v>0</v>
      </c>
    </row>
    <row r="15" spans="1:26" x14ac:dyDescent="0.25">
      <c r="B15" s="394">
        <v>45078</v>
      </c>
      <c r="C15" s="395">
        <v>1</v>
      </c>
      <c r="D15" s="396">
        <v>3</v>
      </c>
      <c r="E15" s="397">
        <v>7819</v>
      </c>
      <c r="F15" s="398">
        <v>20045615473</v>
      </c>
      <c r="G15" s="399" t="str">
        <f>IFERROR(IF(compras_mes6[[#This Row],[CUIT]]="","-",VLOOKUP(compras_mes6[[#This Row],[CUIT]],Lista_CUIT[#All],2,0)),"CUIT NO CARGADO")</f>
        <v xml:space="preserve">DI FEO HUGO PASCUAL </v>
      </c>
      <c r="H15" s="400">
        <v>21560</v>
      </c>
      <c r="I15" s="401">
        <f>IF(compras_mes6[[#This Row],[NETO GRAVADO]]="","",compras_mes6[[#This Row],[NETO GRAVADO]]*0.21)</f>
        <v>4527.5999999999995</v>
      </c>
      <c r="J15" s="401"/>
      <c r="K15" s="401"/>
      <c r="L15" s="401"/>
      <c r="M15" s="401"/>
      <c r="N15" s="401"/>
      <c r="O15" s="401"/>
      <c r="P15" s="402">
        <f>SUM(compras_mes6[[#This Row],[NETO GRAVADO]:[Otros / No Grav.]])</f>
        <v>26087.599999999999</v>
      </c>
      <c r="Q15" s="403" t="str">
        <f>IFERROR(IF(compras_mes6[[#This Row],[CUIT]]="","-",VLOOKUP(compras_mes6[[#This Row],[CUIT]],Lista_CUIT[#All],3,0)),"CUIT NO CARGADO")</f>
        <v>Productos Ortopedicos</v>
      </c>
      <c r="R15" s="403">
        <f>IFERROR(IF(compras_mes6[[#This Row],[CUIT]]="","-",VLOOKUP(compras_mes6[[#This Row],[CUIT]],Lista_CUIT[#All],4,0)),"CUIT NO CARGADO")</f>
        <v>0</v>
      </c>
    </row>
    <row r="16" spans="1:26" x14ac:dyDescent="0.25">
      <c r="B16" s="415">
        <v>45078</v>
      </c>
      <c r="C16" s="209">
        <v>1</v>
      </c>
      <c r="D16" s="416">
        <v>1305</v>
      </c>
      <c r="E16" s="417">
        <v>1316534</v>
      </c>
      <c r="F16" s="418">
        <v>30663288497</v>
      </c>
      <c r="G16" s="419" t="str">
        <f>IFERROR(IF(compras_mes6[[#This Row],[CUIT]]="","-",VLOOKUP(compras_mes6[[#This Row],[CUIT]],Lista_CUIT[#All],2,0)),"CUIT NO CARGADO")</f>
        <v>AMX ARG SA</v>
      </c>
      <c r="H16" s="420">
        <v>7200</v>
      </c>
      <c r="I16" s="421">
        <v>598.5</v>
      </c>
      <c r="J16" s="421">
        <v>1174.5</v>
      </c>
      <c r="K16" s="421"/>
      <c r="L16" s="421"/>
      <c r="M16" s="421">
        <v>252</v>
      </c>
      <c r="N16" s="421"/>
      <c r="O16" s="421">
        <v>444.95</v>
      </c>
      <c r="P16" s="402">
        <f>SUM(compras_mes6[[#This Row],[NETO GRAVADO]:[Otros / No Grav.]])</f>
        <v>9669.9500000000007</v>
      </c>
      <c r="Q16" s="403" t="str">
        <f>IFERROR(IF(compras_mes6[[#This Row],[CUIT]]="","-",VLOOKUP(compras_mes6[[#This Row],[CUIT]],Lista_CUIT[#All],3,0)),"CUIT NO CARGADO")</f>
        <v>SERVICIOS DE INTERNET</v>
      </c>
      <c r="R16" s="403">
        <f>IFERROR(IF(compras_mes6[[#This Row],[CUIT]]="","-",VLOOKUP(compras_mes6[[#This Row],[CUIT]],Lista_CUIT[#All],4,0)),"CUIT NO CARGADO")</f>
        <v>0</v>
      </c>
    </row>
    <row r="17" spans="2:18" x14ac:dyDescent="0.25">
      <c r="B17" s="394">
        <v>45079</v>
      </c>
      <c r="C17" s="395">
        <v>1</v>
      </c>
      <c r="D17" s="396">
        <v>3</v>
      </c>
      <c r="E17" s="397">
        <v>7826</v>
      </c>
      <c r="F17" s="398">
        <v>20045615473</v>
      </c>
      <c r="G17" s="399" t="str">
        <f>IFERROR(IF(compras_mes6[[#This Row],[CUIT]]="","-",VLOOKUP(compras_mes6[[#This Row],[CUIT]],Lista_CUIT[#All],2,0)),"CUIT NO CARGADO")</f>
        <v xml:space="preserve">DI FEO HUGO PASCUAL </v>
      </c>
      <c r="H17" s="400">
        <v>34500</v>
      </c>
      <c r="I17" s="401">
        <f>IF(compras_mes6[[#This Row],[NETO GRAVADO]]="","",compras_mes6[[#This Row],[NETO GRAVADO]]*0.21)</f>
        <v>7245</v>
      </c>
      <c r="J17" s="401"/>
      <c r="K17" s="401"/>
      <c r="L17" s="401"/>
      <c r="M17" s="401"/>
      <c r="N17" s="401"/>
      <c r="O17" s="401"/>
      <c r="P17" s="402">
        <f>SUM(compras_mes6[[#This Row],[NETO GRAVADO]:[Otros / No Grav.]])</f>
        <v>41745</v>
      </c>
      <c r="Q17" s="403" t="str">
        <f>IFERROR(IF(compras_mes6[[#This Row],[CUIT]]="","-",VLOOKUP(compras_mes6[[#This Row],[CUIT]],Lista_CUIT[#All],3,0)),"CUIT NO CARGADO")</f>
        <v>Productos Ortopedicos</v>
      </c>
      <c r="R17" s="403">
        <f>IFERROR(IF(compras_mes6[[#This Row],[CUIT]]="","-",VLOOKUP(compras_mes6[[#This Row],[CUIT]],Lista_CUIT[#All],4,0)),"CUIT NO CARGADO")</f>
        <v>0</v>
      </c>
    </row>
    <row r="18" spans="2:18" x14ac:dyDescent="0.25">
      <c r="B18" s="394">
        <v>45079</v>
      </c>
      <c r="C18" s="395">
        <v>1</v>
      </c>
      <c r="D18" s="396">
        <v>7</v>
      </c>
      <c r="E18" s="397">
        <v>15626</v>
      </c>
      <c r="F18" s="398">
        <v>30709214078</v>
      </c>
      <c r="G18" s="399" t="str">
        <f>IFERROR(IF(compras_mes6[[#This Row],[CUIT]]="","-",VLOOKUP(compras_mes6[[#This Row],[CUIT]],Lista_CUIT[#All],2,0)),"CUIT NO CARGADO")</f>
        <v>REHAVITA S.A</v>
      </c>
      <c r="H18" s="400">
        <v>1428330</v>
      </c>
      <c r="I18" s="401">
        <v>281534.40000000002</v>
      </c>
      <c r="J18" s="401"/>
      <c r="K18" s="401">
        <v>9207.4500000000007</v>
      </c>
      <c r="L18" s="401"/>
      <c r="M18" s="401"/>
      <c r="N18" s="401"/>
      <c r="O18" s="401"/>
      <c r="P18" s="402">
        <f>SUM(compras_mes6[[#This Row],[NETO GRAVADO]:[Otros / No Grav.]])</f>
        <v>1719071.8499999999</v>
      </c>
      <c r="Q18" s="403" t="str">
        <f>IFERROR(IF(compras_mes6[[#This Row],[CUIT]]="","-",VLOOKUP(compras_mes6[[#This Row],[CUIT]],Lista_CUIT[#All],3,0)),"CUIT NO CARGADO")</f>
        <v>Productos Ortopedicos</v>
      </c>
      <c r="R18" s="403">
        <f>IFERROR(IF(compras_mes6[[#This Row],[CUIT]]="","-",VLOOKUP(compras_mes6[[#This Row],[CUIT]],Lista_CUIT[#All],4,0)),"CUIT NO CARGADO")</f>
        <v>0</v>
      </c>
    </row>
    <row r="19" spans="2:18" x14ac:dyDescent="0.25">
      <c r="B19" s="415">
        <v>45079</v>
      </c>
      <c r="C19" s="209">
        <v>1</v>
      </c>
      <c r="D19" s="416">
        <v>5009</v>
      </c>
      <c r="E19" s="417">
        <v>681729</v>
      </c>
      <c r="F19" s="418">
        <v>30574876474</v>
      </c>
      <c r="G19" s="419" t="str">
        <f>IFERROR(IF(compras_mes6[[#This Row],[CUIT]]="","-",VLOOKUP(compras_mes6[[#This Row],[CUIT]],Lista_CUIT[#All],2,0)),"CUIT NO CARGADO")</f>
        <v>AUTOP. URBANAS SA</v>
      </c>
      <c r="H19" s="420">
        <v>329.13</v>
      </c>
      <c r="I19" s="421">
        <f>IF(compras_mes6[[#This Row],[NETO GRAVADO]]="","",compras_mes6[[#This Row],[NETO GRAVADO]]*0.21)</f>
        <v>69.1173</v>
      </c>
      <c r="J19" s="421"/>
      <c r="K19" s="421"/>
      <c r="L19" s="421"/>
      <c r="M19" s="421"/>
      <c r="N19" s="421"/>
      <c r="O19" s="421">
        <v>32.909999999999997</v>
      </c>
      <c r="P19" s="402">
        <f>SUM(compras_mes6[[#This Row],[NETO GRAVADO]:[Otros / No Grav.]])</f>
        <v>431.15729999999996</v>
      </c>
      <c r="Q19" s="403" t="str">
        <f>IFERROR(IF(compras_mes6[[#This Row],[CUIT]]="","-",VLOOKUP(compras_mes6[[#This Row],[CUIT]],Lista_CUIT[#All],3,0)),"CUIT NO CARGADO")</f>
        <v>PEAJE</v>
      </c>
      <c r="R19" s="403">
        <f>IFERROR(IF(compras_mes6[[#This Row],[CUIT]]="","-",VLOOKUP(compras_mes6[[#This Row],[CUIT]],Lista_CUIT[#All],4,0)),"CUIT NO CARGADO")</f>
        <v>0</v>
      </c>
    </row>
    <row r="20" spans="2:18" x14ac:dyDescent="0.25">
      <c r="B20" s="415">
        <v>45079</v>
      </c>
      <c r="C20" s="209">
        <v>1</v>
      </c>
      <c r="D20" s="416">
        <v>711</v>
      </c>
      <c r="E20" s="417">
        <v>4368287</v>
      </c>
      <c r="F20" s="418">
        <v>30677237119</v>
      </c>
      <c r="G20" s="419" t="str">
        <f>IFERROR(IF(compras_mes6[[#This Row],[CUIT]]="","-",VLOOKUP(compras_mes6[[#This Row],[CUIT]],Lista_CUIT[#All],2,0)),"CUIT NO CARGADO")</f>
        <v>AUTOPISTAS DEL SOL SA</v>
      </c>
      <c r="H20" s="420">
        <v>206.61</v>
      </c>
      <c r="I20" s="421">
        <f>IF(compras_mes6[[#This Row],[NETO GRAVADO]]="","",compras_mes6[[#This Row],[NETO GRAVADO]]*0.21)</f>
        <v>43.388100000000001</v>
      </c>
      <c r="J20" s="421"/>
      <c r="K20" s="421"/>
      <c r="L20" s="421"/>
      <c r="M20" s="421"/>
      <c r="N20" s="421"/>
      <c r="O20" s="421"/>
      <c r="P20" s="402">
        <f>SUM(compras_mes6[[#This Row],[NETO GRAVADO]:[Otros / No Grav.]])</f>
        <v>249.99810000000002</v>
      </c>
      <c r="Q20" s="403" t="str">
        <f>IFERROR(IF(compras_mes6[[#This Row],[CUIT]]="","-",VLOOKUP(compras_mes6[[#This Row],[CUIT]],Lista_CUIT[#All],3,0)),"CUIT NO CARGADO")</f>
        <v>Autopista</v>
      </c>
      <c r="R20" s="403">
        <f>IFERROR(IF(compras_mes6[[#This Row],[CUIT]]="","-",VLOOKUP(compras_mes6[[#This Row],[CUIT]],Lista_CUIT[#All],4,0)),"CUIT NO CARGADO")</f>
        <v>0</v>
      </c>
    </row>
    <row r="21" spans="2:18" x14ac:dyDescent="0.25">
      <c r="B21" s="415">
        <v>45079</v>
      </c>
      <c r="C21" s="209">
        <v>1</v>
      </c>
      <c r="D21" s="416">
        <v>5011</v>
      </c>
      <c r="E21" s="417">
        <v>483272</v>
      </c>
      <c r="F21" s="418">
        <v>30574876474</v>
      </c>
      <c r="G21" s="419" t="str">
        <f>IFERROR(IF(compras_mes6[[#This Row],[CUIT]]="","-",VLOOKUP(compras_mes6[[#This Row],[CUIT]],Lista_CUIT[#All],2,0)),"CUIT NO CARGADO")</f>
        <v>AUTOP. URBANAS SA</v>
      </c>
      <c r="H21" s="420">
        <v>797.48</v>
      </c>
      <c r="I21" s="421">
        <f>IF(compras_mes6[[#This Row],[NETO GRAVADO]]="","",compras_mes6[[#This Row],[NETO GRAVADO]]*0.21)</f>
        <v>167.4708</v>
      </c>
      <c r="J21" s="421"/>
      <c r="K21" s="421"/>
      <c r="L21" s="421"/>
      <c r="M21" s="421"/>
      <c r="N21" s="421"/>
      <c r="O21" s="421">
        <v>79.739999999999995</v>
      </c>
      <c r="P21" s="402">
        <f>SUM(compras_mes6[[#This Row],[NETO GRAVADO]:[Otros / No Grav.]])</f>
        <v>1044.6908000000001</v>
      </c>
      <c r="Q21" s="403" t="str">
        <f>IFERROR(IF(compras_mes6[[#This Row],[CUIT]]="","-",VLOOKUP(compras_mes6[[#This Row],[CUIT]],Lista_CUIT[#All],3,0)),"CUIT NO CARGADO")</f>
        <v>PEAJE</v>
      </c>
      <c r="R21" s="403">
        <f>IFERROR(IF(compras_mes6[[#This Row],[CUIT]]="","-",VLOOKUP(compras_mes6[[#This Row],[CUIT]],Lista_CUIT[#All],4,0)),"CUIT NO CARGADO")</f>
        <v>0</v>
      </c>
    </row>
    <row r="22" spans="2:18" x14ac:dyDescent="0.25">
      <c r="B22" s="394">
        <v>45079</v>
      </c>
      <c r="C22" s="395">
        <v>1</v>
      </c>
      <c r="D22" s="396">
        <v>8</v>
      </c>
      <c r="E22" s="397">
        <v>160</v>
      </c>
      <c r="F22" s="398">
        <v>30643518364</v>
      </c>
      <c r="G22" s="399" t="str">
        <f>IFERROR(IF(compras_mes6[[#This Row],[CUIT]]="","-",VLOOKUP(compras_mes6[[#This Row],[CUIT]],Lista_CUIT[#All],2,0)),"CUIT NO CARGADO")</f>
        <v>FARMACIA DE MEDRANO SCS</v>
      </c>
      <c r="H22" s="400">
        <v>125940</v>
      </c>
      <c r="I22" s="401">
        <f>IF(compras_mes6[[#This Row],[NETO GRAVADO]]="","",compras_mes6[[#This Row],[NETO GRAVADO]]*0.21)</f>
        <v>26447.399999999998</v>
      </c>
      <c r="J22" s="401"/>
      <c r="K22" s="401"/>
      <c r="L22" s="401"/>
      <c r="M22" s="401"/>
      <c r="N22" s="401"/>
      <c r="O22" s="401"/>
      <c r="P22" s="402">
        <f>SUM(compras_mes6[[#This Row],[NETO GRAVADO]:[Otros / No Grav.]])</f>
        <v>152387.4</v>
      </c>
      <c r="Q22" s="403" t="str">
        <f>IFERROR(IF(compras_mes6[[#This Row],[CUIT]]="","-",VLOOKUP(compras_mes6[[#This Row],[CUIT]],Lista_CUIT[#All],3,0)),"CUIT NO CARGADO")</f>
        <v>Productos Ortopedicos</v>
      </c>
      <c r="R22" s="403">
        <f>IFERROR(IF(compras_mes6[[#This Row],[CUIT]]="","-",VLOOKUP(compras_mes6[[#This Row],[CUIT]],Lista_CUIT[#All],4,0)),"CUIT NO CARGADO")</f>
        <v>0</v>
      </c>
    </row>
    <row r="23" spans="2:18" x14ac:dyDescent="0.25">
      <c r="B23" s="394">
        <v>45082</v>
      </c>
      <c r="C23" s="395">
        <v>1</v>
      </c>
      <c r="D23" s="396">
        <v>3</v>
      </c>
      <c r="E23" s="397">
        <v>79</v>
      </c>
      <c r="F23" s="398">
        <v>20334976433</v>
      </c>
      <c r="G23" s="399" t="str">
        <f>IFERROR(IF(compras_mes6[[#This Row],[CUIT]]="","-",VLOOKUP(compras_mes6[[#This Row],[CUIT]],Lista_CUIT[#All],2,0)),"CUIT NO CARGADO")</f>
        <v>NARDOMARINO EZEQUIEL EDUARDO</v>
      </c>
      <c r="H23" s="400">
        <v>142246.29</v>
      </c>
      <c r="I23" s="401">
        <f>IF(compras_mes6[[#This Row],[NETO GRAVADO]]="","",compras_mes6[[#This Row],[NETO GRAVADO]]*0.21)</f>
        <v>29871.7209</v>
      </c>
      <c r="J23" s="401"/>
      <c r="K23" s="401"/>
      <c r="L23" s="401"/>
      <c r="M23" s="401"/>
      <c r="N23" s="401"/>
      <c r="O23" s="401"/>
      <c r="P23" s="402">
        <f>SUM(compras_mes6[[#This Row],[NETO GRAVADO]:[Otros / No Grav.]])</f>
        <v>172118.01089999999</v>
      </c>
      <c r="Q23" s="403" t="str">
        <f>IFERROR(IF(compras_mes6[[#This Row],[CUIT]]="","-",VLOOKUP(compras_mes6[[#This Row],[CUIT]],Lista_CUIT[#All],3,0)),"CUIT NO CARGADO")</f>
        <v>FLETE</v>
      </c>
      <c r="R23" s="403">
        <f>IFERROR(IF(compras_mes6[[#This Row],[CUIT]]="","-",VLOOKUP(compras_mes6[[#This Row],[CUIT]],Lista_CUIT[#All],4,0)),"CUIT NO CARGADO")</f>
        <v>0</v>
      </c>
    </row>
    <row r="24" spans="2:18" x14ac:dyDescent="0.25">
      <c r="B24" s="394">
        <v>45082</v>
      </c>
      <c r="C24" s="395">
        <v>1</v>
      </c>
      <c r="D24" s="396">
        <v>2635</v>
      </c>
      <c r="E24" s="397">
        <v>988</v>
      </c>
      <c r="F24" s="398">
        <v>33699685459</v>
      </c>
      <c r="G24" s="399" t="str">
        <f>IFERROR(IF(compras_mes6[[#This Row],[CUIT]]="","-",VLOOKUP(compras_mes6[[#This Row],[CUIT]],Lista_CUIT[#All],2,0)),"CUIT NO CARGADO")</f>
        <v>CORREO ANDREANI SA</v>
      </c>
      <c r="H24" s="400">
        <v>2643.46</v>
      </c>
      <c r="I24" s="401">
        <f>IF(compras_mes6[[#This Row],[NETO GRAVADO]]="","",compras_mes6[[#This Row],[NETO GRAVADO]]*0.21)</f>
        <v>555.12659999999994</v>
      </c>
      <c r="J24" s="401"/>
      <c r="K24" s="401"/>
      <c r="L24" s="401"/>
      <c r="M24" s="401"/>
      <c r="N24" s="401"/>
      <c r="O24" s="401"/>
      <c r="P24" s="402">
        <f>SUM(compras_mes6[[#This Row],[NETO GRAVADO]:[Otros / No Grav.]])</f>
        <v>3198.5866000000001</v>
      </c>
      <c r="Q24" s="403" t="str">
        <f>IFERROR(IF(compras_mes6[[#This Row],[CUIT]]="","-",VLOOKUP(compras_mes6[[#This Row],[CUIT]],Lista_CUIT[#All],3,0)),"CUIT NO CARGADO")</f>
        <v>FLETE</v>
      </c>
      <c r="R24" s="403">
        <f>IFERROR(IF(compras_mes6[[#This Row],[CUIT]]="","-",VLOOKUP(compras_mes6[[#This Row],[CUIT]],Lista_CUIT[#All],4,0)),"CUIT NO CARGADO")</f>
        <v>0</v>
      </c>
    </row>
    <row r="25" spans="2:18" x14ac:dyDescent="0.25">
      <c r="B25" s="394">
        <v>45082</v>
      </c>
      <c r="C25" s="395">
        <v>1</v>
      </c>
      <c r="D25" s="396">
        <v>2635</v>
      </c>
      <c r="E25" s="397">
        <v>989</v>
      </c>
      <c r="F25" s="398">
        <v>33699685459</v>
      </c>
      <c r="G25" s="399" t="str">
        <f>IFERROR(IF(compras_mes6[[#This Row],[CUIT]]="","-",VLOOKUP(compras_mes6[[#This Row],[CUIT]],Lista_CUIT[#All],2,0)),"CUIT NO CARGADO")</f>
        <v>CORREO ANDREANI SA</v>
      </c>
      <c r="H25" s="400">
        <v>3637.63</v>
      </c>
      <c r="I25" s="401">
        <f>IF(compras_mes6[[#This Row],[NETO GRAVADO]]="","",compras_mes6[[#This Row],[NETO GRAVADO]]*0.21)</f>
        <v>763.90229999999997</v>
      </c>
      <c r="J25" s="401"/>
      <c r="K25" s="401"/>
      <c r="L25" s="401"/>
      <c r="M25" s="401"/>
      <c r="N25" s="401"/>
      <c r="O25" s="401"/>
      <c r="P25" s="402">
        <f>SUM(compras_mes6[[#This Row],[NETO GRAVADO]:[Otros / No Grav.]])</f>
        <v>4401.5322999999999</v>
      </c>
      <c r="Q25" s="403" t="str">
        <f>IFERROR(IF(compras_mes6[[#This Row],[CUIT]]="","-",VLOOKUP(compras_mes6[[#This Row],[CUIT]],Lista_CUIT[#All],3,0)),"CUIT NO CARGADO")</f>
        <v>FLETE</v>
      </c>
      <c r="R25" s="403">
        <f>IFERROR(IF(compras_mes6[[#This Row],[CUIT]]="","-",VLOOKUP(compras_mes6[[#This Row],[CUIT]],Lista_CUIT[#All],4,0)),"CUIT NO CARGADO")</f>
        <v>0</v>
      </c>
    </row>
    <row r="26" spans="2:18" x14ac:dyDescent="0.25">
      <c r="B26" s="394">
        <v>45083</v>
      </c>
      <c r="C26" s="395">
        <v>1</v>
      </c>
      <c r="D26" s="396">
        <v>7</v>
      </c>
      <c r="E26" s="397">
        <v>838</v>
      </c>
      <c r="F26" s="398">
        <v>30712187316</v>
      </c>
      <c r="G26" s="399" t="str">
        <f>IFERROR(IF(compras_mes6[[#This Row],[CUIT]]="","-",VLOOKUP(compras_mes6[[#This Row],[CUIT]],Lista_CUIT[#All],2,0)),"CUIT NO CARGADO")</f>
        <v>ITALOMED PRODUCTOS SRL</v>
      </c>
      <c r="H26" s="400">
        <v>68412.460000000006</v>
      </c>
      <c r="I26" s="401">
        <f>IF(compras_mes6[[#This Row],[NETO GRAVADO]]="","",compras_mes6[[#This Row],[NETO GRAVADO]]*0.21)</f>
        <v>14366.616600000001</v>
      </c>
      <c r="J26" s="401"/>
      <c r="K26" s="401"/>
      <c r="L26" s="401"/>
      <c r="M26" s="401"/>
      <c r="N26" s="401"/>
      <c r="O26" s="401"/>
      <c r="P26" s="402">
        <f>SUM(compras_mes6[[#This Row],[NETO GRAVADO]:[Otros / No Grav.]])</f>
        <v>82779.0766</v>
      </c>
      <c r="Q26" s="403" t="str">
        <f>IFERROR(IF(compras_mes6[[#This Row],[CUIT]]="","-",VLOOKUP(compras_mes6[[#This Row],[CUIT]],Lista_CUIT[#All],3,0)),"CUIT NO CARGADO")</f>
        <v>Productos Ortopedicos</v>
      </c>
      <c r="R26" s="403">
        <f>IFERROR(IF(compras_mes6[[#This Row],[CUIT]]="","-",VLOOKUP(compras_mes6[[#This Row],[CUIT]],Lista_CUIT[#All],4,0)),"CUIT NO CARGADO")</f>
        <v>0</v>
      </c>
    </row>
    <row r="27" spans="2:18" x14ac:dyDescent="0.25">
      <c r="B27" s="394">
        <v>45084</v>
      </c>
      <c r="C27" s="395">
        <v>1</v>
      </c>
      <c r="D27" s="396">
        <v>2</v>
      </c>
      <c r="E27" s="397">
        <v>7606</v>
      </c>
      <c r="F27" s="398">
        <v>30711296987</v>
      </c>
      <c r="G27" s="399" t="str">
        <f>IFERROR(IF(compras_mes6[[#This Row],[CUIT]]="","-",VLOOKUP(compras_mes6[[#This Row],[CUIT]],Lista_CUIT[#All],2,0)),"CUIT NO CARGADO")</f>
        <v>MERAS HNOS S.A.</v>
      </c>
      <c r="H27" s="400">
        <v>16115.74</v>
      </c>
      <c r="I27" s="401">
        <f>IF(compras_mes6[[#This Row],[NETO GRAVADO]]="","",compras_mes6[[#This Row],[NETO GRAVADO]]*0.21)</f>
        <v>3384.3053999999997</v>
      </c>
      <c r="J27" s="401"/>
      <c r="K27" s="401"/>
      <c r="L27" s="401"/>
      <c r="M27" s="401"/>
      <c r="N27" s="401"/>
      <c r="O27" s="401"/>
      <c r="P27" s="402">
        <f>SUM(compras_mes6[[#This Row],[NETO GRAVADO]:[Otros / No Grav.]])</f>
        <v>19500.045399999999</v>
      </c>
      <c r="Q27" s="403" t="str">
        <f>IFERROR(IF(compras_mes6[[#This Row],[CUIT]]="","-",VLOOKUP(compras_mes6[[#This Row],[CUIT]],Lista_CUIT[#All],3,0)),"CUIT NO CARGADO")</f>
        <v>GASTOS ADMINISTRATIVOS</v>
      </c>
      <c r="R27" s="403">
        <f>IFERROR(IF(compras_mes6[[#This Row],[CUIT]]="","-",VLOOKUP(compras_mes6[[#This Row],[CUIT]],Lista_CUIT[#All],4,0)),"CUIT NO CARGADO")</f>
        <v>0</v>
      </c>
    </row>
    <row r="28" spans="2:18" x14ac:dyDescent="0.25">
      <c r="B28" s="415">
        <v>45084</v>
      </c>
      <c r="C28" s="209">
        <v>1</v>
      </c>
      <c r="D28" s="416">
        <v>105</v>
      </c>
      <c r="E28" s="417">
        <v>1262621</v>
      </c>
      <c r="F28" s="418">
        <v>30537882871</v>
      </c>
      <c r="G28" s="419" t="str">
        <f>IFERROR(IF(compras_mes6[[#This Row],[CUIT]]="","-",VLOOKUP(compras_mes6[[#This Row],[CUIT]],Lista_CUIT[#All],2,0)),"CUIT NO CARGADO")</f>
        <v>EL JUMILIANO SA</v>
      </c>
      <c r="H28" s="420">
        <v>3396.69</v>
      </c>
      <c r="I28" s="421">
        <f>IF(compras_mes6[[#This Row],[NETO GRAVADO]]="","",compras_mes6[[#This Row],[NETO GRAVADO]]*0.21)</f>
        <v>713.30489999999998</v>
      </c>
      <c r="J28" s="421"/>
      <c r="K28" s="421"/>
      <c r="L28" s="421"/>
      <c r="M28" s="421"/>
      <c r="N28" s="421"/>
      <c r="O28" s="421">
        <v>118.88</v>
      </c>
      <c r="P28" s="402">
        <f>SUM(compras_mes6[[#This Row],[NETO GRAVADO]:[Otros / No Grav.]])</f>
        <v>4228.8748999999998</v>
      </c>
      <c r="Q28" s="403" t="str">
        <f>IFERROR(IF(compras_mes6[[#This Row],[CUIT]]="","-",VLOOKUP(compras_mes6[[#This Row],[CUIT]],Lista_CUIT[#All],3,0)),"CUIT NO CARGADO")</f>
        <v>SERVICIOS</v>
      </c>
      <c r="R28" s="403">
        <f>IFERROR(IF(compras_mes6[[#This Row],[CUIT]]="","-",VLOOKUP(compras_mes6[[#This Row],[CUIT]],Lista_CUIT[#All],4,0)),"CUIT NO CARGADO")</f>
        <v>0</v>
      </c>
    </row>
    <row r="29" spans="2:18" x14ac:dyDescent="0.25">
      <c r="B29" s="394">
        <v>45084</v>
      </c>
      <c r="C29" s="395">
        <v>1</v>
      </c>
      <c r="D29" s="396">
        <v>7</v>
      </c>
      <c r="E29" s="397">
        <v>65959</v>
      </c>
      <c r="F29" s="398">
        <v>20181426846</v>
      </c>
      <c r="G29" s="399" t="str">
        <f>IFERROR(IF(compras_mes6[[#This Row],[CUIT]]="","-",VLOOKUP(compras_mes6[[#This Row],[CUIT]],Lista_CUIT[#All],2,0)),"CUIT NO CARGADO")</f>
        <v>GRIDEL WALTER DIEGO</v>
      </c>
      <c r="H29" s="400">
        <v>39247.93</v>
      </c>
      <c r="I29" s="401">
        <f>IF(compras_mes6[[#This Row],[NETO GRAVADO]]="","",compras_mes6[[#This Row],[NETO GRAVADO]]*0.21)</f>
        <v>8242.0653000000002</v>
      </c>
      <c r="J29" s="401"/>
      <c r="K29" s="401"/>
      <c r="L29" s="401"/>
      <c r="M29" s="401"/>
      <c r="N29" s="401"/>
      <c r="O29" s="401"/>
      <c r="P29" s="402">
        <f>SUM(compras_mes6[[#This Row],[NETO GRAVADO]:[Otros / No Grav.]])</f>
        <v>47489.995300000002</v>
      </c>
      <c r="Q29" s="403" t="str">
        <f>IFERROR(IF(compras_mes6[[#This Row],[CUIT]]="","-",VLOOKUP(compras_mes6[[#This Row],[CUIT]],Lista_CUIT[#All],3,0)),"CUIT NO CARGADO")</f>
        <v>GASTOS ADMINISTRATIVOS</v>
      </c>
      <c r="R29" s="403">
        <f>IFERROR(IF(compras_mes6[[#This Row],[CUIT]]="","-",VLOOKUP(compras_mes6[[#This Row],[CUIT]],Lista_CUIT[#All],4,0)),"CUIT NO CARGADO")</f>
        <v>0</v>
      </c>
    </row>
    <row r="30" spans="2:18" x14ac:dyDescent="0.25">
      <c r="B30" s="394">
        <v>45084</v>
      </c>
      <c r="C30" s="395">
        <v>1</v>
      </c>
      <c r="D30" s="396">
        <v>11</v>
      </c>
      <c r="E30" s="397">
        <v>1556380</v>
      </c>
      <c r="F30" s="398">
        <v>30709776564</v>
      </c>
      <c r="G30" s="399" t="str">
        <f>IFERROR(IF(compras_mes6[[#This Row],[CUIT]]="","-",VLOOKUP(compras_mes6[[#This Row],[CUIT]],Lista_CUIT[#All],2,0)),"CUIT NO CARGADO")</f>
        <v>PROSEGUR ACTIVA ARG SA</v>
      </c>
      <c r="H30" s="400">
        <v>19295.86</v>
      </c>
      <c r="I30" s="401">
        <f>IF(compras_mes6[[#This Row],[NETO GRAVADO]]="","",compras_mes6[[#This Row],[NETO GRAVADO]]*0.21)</f>
        <v>4052.1306</v>
      </c>
      <c r="J30" s="401"/>
      <c r="K30" s="401"/>
      <c r="L30" s="401"/>
      <c r="M30" s="401"/>
      <c r="N30" s="401">
        <v>675.36</v>
      </c>
      <c r="O30" s="401"/>
      <c r="P30" s="402">
        <f>SUM(compras_mes6[[#This Row],[NETO GRAVADO]:[Otros / No Grav.]])</f>
        <v>24023.350600000002</v>
      </c>
      <c r="Q30" s="403" t="str">
        <f>IFERROR(IF(compras_mes6[[#This Row],[CUIT]]="","-",VLOOKUP(compras_mes6[[#This Row],[CUIT]],Lista_CUIT[#All],3,0)),"CUIT NO CARGADO")</f>
        <v>SEGURIDAD</v>
      </c>
      <c r="R30" s="403">
        <f>IFERROR(IF(compras_mes6[[#This Row],[CUIT]]="","-",VLOOKUP(compras_mes6[[#This Row],[CUIT]],Lista_CUIT[#All],4,0)),"CUIT NO CARGADO")</f>
        <v>0</v>
      </c>
    </row>
    <row r="31" spans="2:18" x14ac:dyDescent="0.25">
      <c r="B31" s="394">
        <v>45084</v>
      </c>
      <c r="C31" s="395">
        <v>1</v>
      </c>
      <c r="D31" s="396">
        <v>7</v>
      </c>
      <c r="E31" s="397">
        <v>27148</v>
      </c>
      <c r="F31" s="398">
        <v>20271532483</v>
      </c>
      <c r="G31" s="399" t="str">
        <f>IFERROR(IF(compras_mes6[[#This Row],[CUIT]]="","-",VLOOKUP(compras_mes6[[#This Row],[CUIT]],Lista_CUIT[#All],2,0)),"CUIT NO CARGADO")</f>
        <v>DIEGO MARTIN RIOS</v>
      </c>
      <c r="H31" s="400">
        <v>44350.95</v>
      </c>
      <c r="I31" s="401">
        <f>IF(compras_mes6[[#This Row],[NETO GRAVADO]]="","",compras_mes6[[#This Row],[NETO GRAVADO]]*0.21)</f>
        <v>9313.6994999999988</v>
      </c>
      <c r="J31" s="401"/>
      <c r="K31" s="401"/>
      <c r="L31" s="401"/>
      <c r="M31" s="401"/>
      <c r="N31" s="401"/>
      <c r="O31" s="401">
        <v>1552.28</v>
      </c>
      <c r="P31" s="402">
        <f>SUM(compras_mes6[[#This Row],[NETO GRAVADO]:[Otros / No Grav.]])</f>
        <v>55216.929499999998</v>
      </c>
      <c r="Q31" s="403" t="str">
        <f>IFERROR(IF(compras_mes6[[#This Row],[CUIT]]="","-",VLOOKUP(compras_mes6[[#This Row],[CUIT]],Lista_CUIT[#All],3,0)),"CUIT NO CARGADO")</f>
        <v>Productos Ortopedicos</v>
      </c>
      <c r="R31" s="403">
        <f>IFERROR(IF(compras_mes6[[#This Row],[CUIT]]="","-",VLOOKUP(compras_mes6[[#This Row],[CUIT]],Lista_CUIT[#All],4,0)),"CUIT NO CARGADO")</f>
        <v>0</v>
      </c>
    </row>
    <row r="32" spans="2:18" x14ac:dyDescent="0.25">
      <c r="B32" s="394">
        <v>45084</v>
      </c>
      <c r="C32" s="395">
        <v>1</v>
      </c>
      <c r="D32" s="396">
        <v>24</v>
      </c>
      <c r="E32" s="397">
        <v>2217</v>
      </c>
      <c r="F32" s="398">
        <v>30709879258</v>
      </c>
      <c r="G32" s="399" t="str">
        <f>IFERROR(IF(compras_mes6[[#This Row],[CUIT]]="","-",VLOOKUP(compras_mes6[[#This Row],[CUIT]],Lista_CUIT[#All],2,0)),"CUIT NO CARGADO")</f>
        <v>LOGISTICA PATRICIOS  SA</v>
      </c>
      <c r="H32" s="400">
        <v>15150</v>
      </c>
      <c r="I32" s="401">
        <f>IF(compras_mes6[[#This Row],[NETO GRAVADO]]="","",compras_mes6[[#This Row],[NETO GRAVADO]]*0.21)</f>
        <v>3181.5</v>
      </c>
      <c r="J32" s="401"/>
      <c r="K32" s="401"/>
      <c r="L32" s="401"/>
      <c r="M32" s="401"/>
      <c r="N32" s="401"/>
      <c r="O32" s="401"/>
      <c r="P32" s="402">
        <f>SUM(compras_mes6[[#This Row],[NETO GRAVADO]:[Otros / No Grav.]])</f>
        <v>18331.5</v>
      </c>
      <c r="Q32" s="403" t="str">
        <f>IFERROR(IF(compras_mes6[[#This Row],[CUIT]]="","-",VLOOKUP(compras_mes6[[#This Row],[CUIT]],Lista_CUIT[#All],3,0)),"CUIT NO CARGADO")</f>
        <v>FLETE</v>
      </c>
      <c r="R32" s="403">
        <f>IFERROR(IF(compras_mes6[[#This Row],[CUIT]]="","-",VLOOKUP(compras_mes6[[#This Row],[CUIT]],Lista_CUIT[#All],4,0)),"CUIT NO CARGADO")</f>
        <v>0</v>
      </c>
    </row>
    <row r="33" spans="2:18" x14ac:dyDescent="0.25">
      <c r="B33" s="394">
        <v>45084</v>
      </c>
      <c r="C33" s="395">
        <v>1</v>
      </c>
      <c r="D33" s="396">
        <v>7</v>
      </c>
      <c r="E33" s="397">
        <v>27154</v>
      </c>
      <c r="F33" s="398">
        <v>20271532483</v>
      </c>
      <c r="G33" s="399" t="str">
        <f>IFERROR(IF(compras_mes6[[#This Row],[CUIT]]="","-",VLOOKUP(compras_mes6[[#This Row],[CUIT]],Lista_CUIT[#All],2,0)),"CUIT NO CARGADO")</f>
        <v>DIEGO MARTIN RIOS</v>
      </c>
      <c r="H33" s="400">
        <v>24950</v>
      </c>
      <c r="I33" s="401">
        <f>IF(compras_mes6[[#This Row],[NETO GRAVADO]]="","",compras_mes6[[#This Row],[NETO GRAVADO]]*0.21)</f>
        <v>5239.5</v>
      </c>
      <c r="J33" s="401"/>
      <c r="K33" s="401"/>
      <c r="L33" s="401"/>
      <c r="M33" s="401"/>
      <c r="N33" s="401"/>
      <c r="O33" s="401">
        <v>873.25</v>
      </c>
      <c r="P33" s="402">
        <f>SUM(compras_mes6[[#This Row],[NETO GRAVADO]:[Otros / No Grav.]])</f>
        <v>31062.75</v>
      </c>
      <c r="Q33" s="403" t="str">
        <f>IFERROR(IF(compras_mes6[[#This Row],[CUIT]]="","-",VLOOKUP(compras_mes6[[#This Row],[CUIT]],Lista_CUIT[#All],3,0)),"CUIT NO CARGADO")</f>
        <v>Productos Ortopedicos</v>
      </c>
      <c r="R33" s="403">
        <f>IFERROR(IF(compras_mes6[[#This Row],[CUIT]]="","-",VLOOKUP(compras_mes6[[#This Row],[CUIT]],Lista_CUIT[#All],4,0)),"CUIT NO CARGADO")</f>
        <v>0</v>
      </c>
    </row>
    <row r="34" spans="2:18" x14ac:dyDescent="0.25">
      <c r="B34" s="394">
        <v>45084</v>
      </c>
      <c r="C34" s="395">
        <v>1</v>
      </c>
      <c r="D34" s="396">
        <v>7</v>
      </c>
      <c r="E34" s="397">
        <v>27153</v>
      </c>
      <c r="F34" s="398">
        <v>20271532483</v>
      </c>
      <c r="G34" s="399" t="str">
        <f>IFERROR(IF(compras_mes6[[#This Row],[CUIT]]="","-",VLOOKUP(compras_mes6[[#This Row],[CUIT]],Lista_CUIT[#All],2,0)),"CUIT NO CARGADO")</f>
        <v>DIEGO MARTIN RIOS</v>
      </c>
      <c r="H34" s="400">
        <v>24950</v>
      </c>
      <c r="I34" s="401">
        <f>IF(compras_mes6[[#This Row],[NETO GRAVADO]]="","",compras_mes6[[#This Row],[NETO GRAVADO]]*0.21)</f>
        <v>5239.5</v>
      </c>
      <c r="J34" s="401"/>
      <c r="K34" s="401"/>
      <c r="L34" s="401"/>
      <c r="M34" s="401"/>
      <c r="N34" s="401"/>
      <c r="O34" s="401">
        <v>873.25</v>
      </c>
      <c r="P34" s="402">
        <f>SUM(compras_mes6[[#This Row],[NETO GRAVADO]:[Otros / No Grav.]])</f>
        <v>31062.75</v>
      </c>
      <c r="Q34" s="403" t="str">
        <f>IFERROR(IF(compras_mes6[[#This Row],[CUIT]]="","-",VLOOKUP(compras_mes6[[#This Row],[CUIT]],Lista_CUIT[#All],3,0)),"CUIT NO CARGADO")</f>
        <v>Productos Ortopedicos</v>
      </c>
      <c r="R34" s="403">
        <f>IFERROR(IF(compras_mes6[[#This Row],[CUIT]]="","-",VLOOKUP(compras_mes6[[#This Row],[CUIT]],Lista_CUIT[#All],4,0)),"CUIT NO CARGADO")</f>
        <v>0</v>
      </c>
    </row>
    <row r="35" spans="2:18" x14ac:dyDescent="0.25">
      <c r="B35" s="394">
        <v>45085</v>
      </c>
      <c r="C35" s="395">
        <v>1</v>
      </c>
      <c r="D35" s="396">
        <v>5</v>
      </c>
      <c r="E35" s="397">
        <v>1261</v>
      </c>
      <c r="F35" s="398">
        <v>30712187316</v>
      </c>
      <c r="G35" s="399" t="str">
        <f>IFERROR(IF(compras_mes6[[#This Row],[CUIT]]="","-",VLOOKUP(compras_mes6[[#This Row],[CUIT]],Lista_CUIT[#All],2,0)),"CUIT NO CARGADO")</f>
        <v>ITALOMED PRODUCTOS SRL</v>
      </c>
      <c r="H35" s="400">
        <v>73027.78</v>
      </c>
      <c r="I35" s="401">
        <f>IF(compras_mes6[[#This Row],[NETO GRAVADO]]="","",compras_mes6[[#This Row],[NETO GRAVADO]]*0.21)</f>
        <v>15335.833799999999</v>
      </c>
      <c r="J35" s="401"/>
      <c r="K35" s="401"/>
      <c r="L35" s="401"/>
      <c r="M35" s="401"/>
      <c r="N35" s="401"/>
      <c r="O35" s="401"/>
      <c r="P35" s="402">
        <f>SUM(compras_mes6[[#This Row],[NETO GRAVADO]:[Otros / No Grav.]])</f>
        <v>88363.613799999992</v>
      </c>
      <c r="Q35" s="403" t="str">
        <f>IFERROR(IF(compras_mes6[[#This Row],[CUIT]]="","-",VLOOKUP(compras_mes6[[#This Row],[CUIT]],Lista_CUIT[#All],3,0)),"CUIT NO CARGADO")</f>
        <v>Productos Ortopedicos</v>
      </c>
      <c r="R35" s="403">
        <f>IFERROR(IF(compras_mes6[[#This Row],[CUIT]]="","-",VLOOKUP(compras_mes6[[#This Row],[CUIT]],Lista_CUIT[#All],4,0)),"CUIT NO CARGADO")</f>
        <v>0</v>
      </c>
    </row>
    <row r="36" spans="2:18" x14ac:dyDescent="0.25">
      <c r="B36" s="394">
        <v>45085</v>
      </c>
      <c r="C36" s="395">
        <v>1</v>
      </c>
      <c r="D36" s="396">
        <v>7</v>
      </c>
      <c r="E36" s="397">
        <v>400</v>
      </c>
      <c r="F36" s="398">
        <v>30711328498</v>
      </c>
      <c r="G36" s="399" t="str">
        <f>IFERROR(IF(compras_mes6[[#This Row],[CUIT]]="","-",VLOOKUP(compras_mes6[[#This Row],[CUIT]],Lista_CUIT[#All],2,0)),"CUIT NO CARGADO")</f>
        <v>ESPOSITO FRANCISCO ANT Y OT SH</v>
      </c>
      <c r="H36" s="400">
        <v>143700</v>
      </c>
      <c r="I36" s="401">
        <f>IF(compras_mes6[[#This Row],[NETO GRAVADO]]="","",compras_mes6[[#This Row],[NETO GRAVADO]]*0.21)</f>
        <v>30177</v>
      </c>
      <c r="J36" s="401"/>
      <c r="K36" s="401"/>
      <c r="L36" s="401"/>
      <c r="M36" s="401"/>
      <c r="N36" s="401"/>
      <c r="O36" s="401"/>
      <c r="P36" s="402">
        <f>SUM(compras_mes6[[#This Row],[NETO GRAVADO]:[Otros / No Grav.]])</f>
        <v>173877</v>
      </c>
      <c r="Q36" s="403" t="str">
        <f>IFERROR(IF(compras_mes6[[#This Row],[CUIT]]="","-",VLOOKUP(compras_mes6[[#This Row],[CUIT]],Lista_CUIT[#All],3,0)),"CUIT NO CARGADO")</f>
        <v>GASTOS MANTENIMIENTO</v>
      </c>
      <c r="R36" s="403">
        <f>IFERROR(IF(compras_mes6[[#This Row],[CUIT]]="","-",VLOOKUP(compras_mes6[[#This Row],[CUIT]],Lista_CUIT[#All],4,0)),"CUIT NO CARGADO")</f>
        <v>0</v>
      </c>
    </row>
    <row r="37" spans="2:18" x14ac:dyDescent="0.25">
      <c r="B37" s="394">
        <v>45085</v>
      </c>
      <c r="C37" s="395">
        <v>1</v>
      </c>
      <c r="D37" s="396">
        <v>4</v>
      </c>
      <c r="E37" s="397">
        <v>44</v>
      </c>
      <c r="F37" s="398">
        <v>20317488476</v>
      </c>
      <c r="G37" s="399" t="str">
        <f>IFERROR(IF(compras_mes6[[#This Row],[CUIT]]="","-",VLOOKUP(compras_mes6[[#This Row],[CUIT]],Lista_CUIT[#All],2,0)),"CUIT NO CARGADO")</f>
        <v>MIGUEL ANGEL VILLALBA</v>
      </c>
      <c r="H37" s="400">
        <v>77600</v>
      </c>
      <c r="I37" s="401">
        <f>IF(compras_mes6[[#This Row],[NETO GRAVADO]]="","",compras_mes6[[#This Row],[NETO GRAVADO]]*0.21)</f>
        <v>16296</v>
      </c>
      <c r="J37" s="401"/>
      <c r="K37" s="401"/>
      <c r="L37" s="401"/>
      <c r="M37" s="401"/>
      <c r="N37" s="401"/>
      <c r="O37" s="401"/>
      <c r="P37" s="402">
        <f>SUM(compras_mes6[[#This Row],[NETO GRAVADO]:[Otros / No Grav.]])</f>
        <v>93896</v>
      </c>
      <c r="Q37" s="403" t="str">
        <f>IFERROR(IF(compras_mes6[[#This Row],[CUIT]]="","-",VLOOKUP(compras_mes6[[#This Row],[CUIT]],Lista_CUIT[#All],3,0)),"CUIT NO CARGADO")</f>
        <v>Recupero P. Ortopedicos</v>
      </c>
      <c r="R37" s="403">
        <f>IFERROR(IF(compras_mes6[[#This Row],[CUIT]]="","-",VLOOKUP(compras_mes6[[#This Row],[CUIT]],Lista_CUIT[#All],4,0)),"CUIT NO CARGADO")</f>
        <v>0</v>
      </c>
    </row>
    <row r="38" spans="2:18" x14ac:dyDescent="0.25">
      <c r="B38" s="394">
        <v>45085</v>
      </c>
      <c r="C38" s="395">
        <v>1</v>
      </c>
      <c r="D38" s="396">
        <v>2</v>
      </c>
      <c r="E38" s="397">
        <v>8600</v>
      </c>
      <c r="F38" s="398">
        <v>30714331082</v>
      </c>
      <c r="G38" s="399" t="str">
        <f>IFERROR(IF(compras_mes6[[#This Row],[CUIT]]="","-",VLOOKUP(compras_mes6[[#This Row],[CUIT]],Lista_CUIT[#All],2,0)),"CUIT NO CARGADO")</f>
        <v>ORTOPEDIA CASA ESCALADA SRL</v>
      </c>
      <c r="H38" s="400">
        <v>82401.89</v>
      </c>
      <c r="I38" s="401">
        <f>IF(compras_mes6[[#This Row],[NETO GRAVADO]]="","",compras_mes6[[#This Row],[NETO GRAVADO]]*0.21)</f>
        <v>17304.3969</v>
      </c>
      <c r="J38" s="401"/>
      <c r="K38" s="401"/>
      <c r="L38" s="401"/>
      <c r="M38" s="401"/>
      <c r="N38" s="401"/>
      <c r="O38" s="401"/>
      <c r="P38" s="402">
        <f>SUM(compras_mes6[[#This Row],[NETO GRAVADO]:[Otros / No Grav.]])</f>
        <v>99706.286900000006</v>
      </c>
      <c r="Q38" s="403" t="str">
        <f>IFERROR(IF(compras_mes6[[#This Row],[CUIT]]="","-",VLOOKUP(compras_mes6[[#This Row],[CUIT]],Lista_CUIT[#All],3,0)),"CUIT NO CARGADO")</f>
        <v>Productos Ortopedicos</v>
      </c>
      <c r="R38" s="403">
        <f>IFERROR(IF(compras_mes6[[#This Row],[CUIT]]="","-",VLOOKUP(compras_mes6[[#This Row],[CUIT]],Lista_CUIT[#All],4,0)),"CUIT NO CARGADO")</f>
        <v>0</v>
      </c>
    </row>
    <row r="39" spans="2:18" x14ac:dyDescent="0.25">
      <c r="B39" s="394">
        <v>45085</v>
      </c>
      <c r="C39" s="395">
        <v>1</v>
      </c>
      <c r="D39" s="396">
        <v>7</v>
      </c>
      <c r="E39" s="397">
        <v>401</v>
      </c>
      <c r="F39" s="398">
        <v>30711328498</v>
      </c>
      <c r="G39" s="399" t="str">
        <f>IFERROR(IF(compras_mes6[[#This Row],[CUIT]]="","-",VLOOKUP(compras_mes6[[#This Row],[CUIT]],Lista_CUIT[#All],2,0)),"CUIT NO CARGADO")</f>
        <v>ESPOSITO FRANCISCO ANT Y OT SH</v>
      </c>
      <c r="H39" s="400">
        <v>103000</v>
      </c>
      <c r="I39" s="401">
        <f>IF(compras_mes6[[#This Row],[NETO GRAVADO]]="","",compras_mes6[[#This Row],[NETO GRAVADO]]*0.21)</f>
        <v>21630</v>
      </c>
      <c r="J39" s="401"/>
      <c r="K39" s="401"/>
      <c r="L39" s="401"/>
      <c r="M39" s="401"/>
      <c r="N39" s="401"/>
      <c r="O39" s="401"/>
      <c r="P39" s="402">
        <f>SUM(compras_mes6[[#This Row],[NETO GRAVADO]:[Otros / No Grav.]])</f>
        <v>124630</v>
      </c>
      <c r="Q39" s="403" t="str">
        <f>IFERROR(IF(compras_mes6[[#This Row],[CUIT]]="","-",VLOOKUP(compras_mes6[[#This Row],[CUIT]],Lista_CUIT[#All],3,0)),"CUIT NO CARGADO")</f>
        <v>GASTOS MANTENIMIENTO</v>
      </c>
      <c r="R39" s="403">
        <f>IFERROR(IF(compras_mes6[[#This Row],[CUIT]]="","-",VLOOKUP(compras_mes6[[#This Row],[CUIT]],Lista_CUIT[#All],4,0)),"CUIT NO CARGADO")</f>
        <v>0</v>
      </c>
    </row>
    <row r="40" spans="2:18" x14ac:dyDescent="0.25">
      <c r="B40" s="394">
        <v>45086</v>
      </c>
      <c r="C40" s="395">
        <v>1</v>
      </c>
      <c r="D40" s="396">
        <v>7</v>
      </c>
      <c r="E40" s="397">
        <v>27181</v>
      </c>
      <c r="F40" s="398">
        <v>20271532483</v>
      </c>
      <c r="G40" s="399" t="str">
        <f>IFERROR(IF(compras_mes6[[#This Row],[CUIT]]="","-",VLOOKUP(compras_mes6[[#This Row],[CUIT]],Lista_CUIT[#All],2,0)),"CUIT NO CARGADO")</f>
        <v>DIEGO MARTIN RIOS</v>
      </c>
      <c r="H40" s="400">
        <v>587272.85</v>
      </c>
      <c r="I40" s="401">
        <f>IF(compras_mes6[[#This Row],[NETO GRAVADO]]="","",compras_mes6[[#This Row],[NETO GRAVADO]]*0.21)</f>
        <v>123327.29849999999</v>
      </c>
      <c r="J40" s="401"/>
      <c r="K40" s="401"/>
      <c r="L40" s="401"/>
      <c r="M40" s="401"/>
      <c r="N40" s="401"/>
      <c r="O40" s="401">
        <v>20554.55</v>
      </c>
      <c r="P40" s="402">
        <f>SUM(compras_mes6[[#This Row],[NETO GRAVADO]:[Otros / No Grav.]])</f>
        <v>731154.69850000006</v>
      </c>
      <c r="Q40" s="403" t="str">
        <f>IFERROR(IF(compras_mes6[[#This Row],[CUIT]]="","-",VLOOKUP(compras_mes6[[#This Row],[CUIT]],Lista_CUIT[#All],3,0)),"CUIT NO CARGADO")</f>
        <v>Productos Ortopedicos</v>
      </c>
      <c r="R40" s="403">
        <f>IFERROR(IF(compras_mes6[[#This Row],[CUIT]]="","-",VLOOKUP(compras_mes6[[#This Row],[CUIT]],Lista_CUIT[#All],4,0)),"CUIT NO CARGADO")</f>
        <v>0</v>
      </c>
    </row>
    <row r="41" spans="2:18" x14ac:dyDescent="0.25">
      <c r="B41" s="394">
        <v>45086</v>
      </c>
      <c r="C41" s="395">
        <v>1</v>
      </c>
      <c r="D41" s="396">
        <v>7</v>
      </c>
      <c r="E41" s="397">
        <v>27182</v>
      </c>
      <c r="F41" s="398">
        <v>20271532483</v>
      </c>
      <c r="G41" s="399" t="str">
        <f>IFERROR(IF(compras_mes6[[#This Row],[CUIT]]="","-",VLOOKUP(compras_mes6[[#This Row],[CUIT]],Lista_CUIT[#All],2,0)),"CUIT NO CARGADO")</f>
        <v>DIEGO MARTIN RIOS</v>
      </c>
      <c r="H41" s="400">
        <v>1125495.07</v>
      </c>
      <c r="I41" s="401">
        <f>IF(compras_mes6[[#This Row],[NETO GRAVADO]]="","",compras_mes6[[#This Row],[NETO GRAVADO]]*0.21)</f>
        <v>236353.96470000001</v>
      </c>
      <c r="J41" s="401"/>
      <c r="K41" s="401"/>
      <c r="L41" s="401"/>
      <c r="M41" s="401"/>
      <c r="N41" s="401"/>
      <c r="O41" s="401">
        <v>39392.33</v>
      </c>
      <c r="P41" s="402">
        <f>SUM(compras_mes6[[#This Row],[NETO GRAVADO]:[Otros / No Grav.]])</f>
        <v>1401241.3647000003</v>
      </c>
      <c r="Q41" s="403" t="str">
        <f>IFERROR(IF(compras_mes6[[#This Row],[CUIT]]="","-",VLOOKUP(compras_mes6[[#This Row],[CUIT]],Lista_CUIT[#All],3,0)),"CUIT NO CARGADO")</f>
        <v>Productos Ortopedicos</v>
      </c>
      <c r="R41" s="403">
        <f>IFERROR(IF(compras_mes6[[#This Row],[CUIT]]="","-",VLOOKUP(compras_mes6[[#This Row],[CUIT]],Lista_CUIT[#All],4,0)),"CUIT NO CARGADO")</f>
        <v>0</v>
      </c>
    </row>
    <row r="42" spans="2:18" x14ac:dyDescent="0.25">
      <c r="B42" s="394">
        <v>45086</v>
      </c>
      <c r="C42" s="395">
        <v>1</v>
      </c>
      <c r="D42" s="396">
        <v>3</v>
      </c>
      <c r="E42" s="397">
        <v>7839</v>
      </c>
      <c r="F42" s="398">
        <v>20045615473</v>
      </c>
      <c r="G42" s="399" t="str">
        <f>IFERROR(IF(compras_mes6[[#This Row],[CUIT]]="","-",VLOOKUP(compras_mes6[[#This Row],[CUIT]],Lista_CUIT[#All],2,0)),"CUIT NO CARGADO")</f>
        <v xml:space="preserve">DI FEO HUGO PASCUAL </v>
      </c>
      <c r="H42" s="400">
        <v>71270</v>
      </c>
      <c r="I42" s="401">
        <f>IF(compras_mes6[[#This Row],[NETO GRAVADO]]="","",compras_mes6[[#This Row],[NETO GRAVADO]]*0.21)</f>
        <v>14966.699999999999</v>
      </c>
      <c r="J42" s="401"/>
      <c r="K42" s="401"/>
      <c r="L42" s="401"/>
      <c r="M42" s="401"/>
      <c r="N42" s="401"/>
      <c r="O42" s="401"/>
      <c r="P42" s="402">
        <f>SUM(compras_mes6[[#This Row],[NETO GRAVADO]:[Otros / No Grav.]])</f>
        <v>86236.7</v>
      </c>
      <c r="Q42" s="403" t="str">
        <f>IFERROR(IF(compras_mes6[[#This Row],[CUIT]]="","-",VLOOKUP(compras_mes6[[#This Row],[CUIT]],Lista_CUIT[#All],3,0)),"CUIT NO CARGADO")</f>
        <v>Productos Ortopedicos</v>
      </c>
      <c r="R42" s="403">
        <f>IFERROR(IF(compras_mes6[[#This Row],[CUIT]]="","-",VLOOKUP(compras_mes6[[#This Row],[CUIT]],Lista_CUIT[#All],4,0)),"CUIT NO CARGADO")</f>
        <v>0</v>
      </c>
    </row>
    <row r="43" spans="2:18" x14ac:dyDescent="0.25">
      <c r="B43" s="394">
        <v>45086</v>
      </c>
      <c r="C43" s="395">
        <v>1</v>
      </c>
      <c r="D43" s="396">
        <v>7</v>
      </c>
      <c r="E43" s="397">
        <v>27184</v>
      </c>
      <c r="F43" s="398">
        <v>20271532483</v>
      </c>
      <c r="G43" s="399" t="str">
        <f>IFERROR(IF(compras_mes6[[#This Row],[CUIT]]="","-",VLOOKUP(compras_mes6[[#This Row],[CUIT]],Lista_CUIT[#All],2,0)),"CUIT NO CARGADO")</f>
        <v>DIEGO MARTIN RIOS</v>
      </c>
      <c r="H43" s="400">
        <v>703960.1</v>
      </c>
      <c r="I43" s="401">
        <f>IF(compras_mes6[[#This Row],[NETO GRAVADO]]="","",compras_mes6[[#This Row],[NETO GRAVADO]]*0.21)</f>
        <v>147831.62099999998</v>
      </c>
      <c r="J43" s="401"/>
      <c r="K43" s="401"/>
      <c r="L43" s="401"/>
      <c r="M43" s="401"/>
      <c r="N43" s="401"/>
      <c r="O43" s="401">
        <v>24638.6</v>
      </c>
      <c r="P43" s="402">
        <f>SUM(compras_mes6[[#This Row],[NETO GRAVADO]:[Otros / No Grav.]])</f>
        <v>876430.32099999988</v>
      </c>
      <c r="Q43" s="403" t="str">
        <f>IFERROR(IF(compras_mes6[[#This Row],[CUIT]]="","-",VLOOKUP(compras_mes6[[#This Row],[CUIT]],Lista_CUIT[#All],3,0)),"CUIT NO CARGADO")</f>
        <v>Productos Ortopedicos</v>
      </c>
      <c r="R43" s="403">
        <f>IFERROR(IF(compras_mes6[[#This Row],[CUIT]]="","-",VLOOKUP(compras_mes6[[#This Row],[CUIT]],Lista_CUIT[#All],4,0)),"CUIT NO CARGADO")</f>
        <v>0</v>
      </c>
    </row>
    <row r="44" spans="2:18" x14ac:dyDescent="0.25">
      <c r="B44" s="394">
        <v>45086</v>
      </c>
      <c r="C44" s="395">
        <v>1</v>
      </c>
      <c r="D44" s="396">
        <v>948</v>
      </c>
      <c r="E44" s="397">
        <v>987733</v>
      </c>
      <c r="F44" s="398">
        <v>30639453975</v>
      </c>
      <c r="G44" s="399" t="str">
        <f>IFERROR(IF(compras_mes6[[#This Row],[CUIT]]="","-",VLOOKUP(compras_mes6[[#This Row],[CUIT]],Lista_CUIT[#All],2,0)),"CUIT NO CARGADO")</f>
        <v>TELEFONICA ARG SA</v>
      </c>
      <c r="H44" s="400">
        <v>14032.77</v>
      </c>
      <c r="I44" s="401"/>
      <c r="J44" s="401">
        <v>3788.85</v>
      </c>
      <c r="K44" s="401"/>
      <c r="L44" s="401">
        <v>420.98</v>
      </c>
      <c r="M44" s="401"/>
      <c r="N44" s="401">
        <v>491.15</v>
      </c>
      <c r="O44" s="401"/>
      <c r="P44" s="402">
        <f>SUM(compras_mes6[[#This Row],[NETO GRAVADO]:[Otros / No Grav.]])</f>
        <v>18733.75</v>
      </c>
      <c r="Q44" s="403" t="str">
        <f>IFERROR(IF(compras_mes6[[#This Row],[CUIT]]="","-",VLOOKUP(compras_mes6[[#This Row],[CUIT]],Lista_CUIT[#All],3,0)),"CUIT NO CARGADO")</f>
        <v>TELEFONIA</v>
      </c>
      <c r="R44" s="403">
        <f>IFERROR(IF(compras_mes6[[#This Row],[CUIT]]="","-",VLOOKUP(compras_mes6[[#This Row],[CUIT]],Lista_CUIT[#All],4,0)),"CUIT NO CARGADO")</f>
        <v>0</v>
      </c>
    </row>
    <row r="45" spans="2:18" x14ac:dyDescent="0.25">
      <c r="B45" s="394">
        <v>45086</v>
      </c>
      <c r="C45" s="395">
        <v>1</v>
      </c>
      <c r="D45" s="396">
        <v>7</v>
      </c>
      <c r="E45" s="397">
        <v>27183</v>
      </c>
      <c r="F45" s="398">
        <v>20271532483</v>
      </c>
      <c r="G45" s="399" t="str">
        <f>IFERROR(IF(compras_mes6[[#This Row],[CUIT]]="","-",VLOOKUP(compras_mes6[[#This Row],[CUIT]],Lista_CUIT[#All],2,0)),"CUIT NO CARGADO")</f>
        <v>DIEGO MARTIN RIOS</v>
      </c>
      <c r="H45" s="400">
        <v>326593.74</v>
      </c>
      <c r="I45" s="401">
        <f>IF(compras_mes6[[#This Row],[NETO GRAVADO]]="","",compras_mes6[[#This Row],[NETO GRAVADO]]*0.21)</f>
        <v>68584.685400000002</v>
      </c>
      <c r="J45" s="401"/>
      <c r="K45" s="401"/>
      <c r="L45" s="401"/>
      <c r="M45" s="401"/>
      <c r="N45" s="401"/>
      <c r="O45" s="401">
        <v>11430.78</v>
      </c>
      <c r="P45" s="402">
        <f>SUM(compras_mes6[[#This Row],[NETO GRAVADO]:[Otros / No Grav.]])</f>
        <v>406609.20540000004</v>
      </c>
      <c r="Q45" s="403" t="str">
        <f>IFERROR(IF(compras_mes6[[#This Row],[CUIT]]="","-",VLOOKUP(compras_mes6[[#This Row],[CUIT]],Lista_CUIT[#All],3,0)),"CUIT NO CARGADO")</f>
        <v>Productos Ortopedicos</v>
      </c>
      <c r="R45" s="403">
        <f>IFERROR(IF(compras_mes6[[#This Row],[CUIT]]="","-",VLOOKUP(compras_mes6[[#This Row],[CUIT]],Lista_CUIT[#All],4,0)),"CUIT NO CARGADO")</f>
        <v>0</v>
      </c>
    </row>
    <row r="46" spans="2:18" x14ac:dyDescent="0.25">
      <c r="B46" s="415">
        <v>45089</v>
      </c>
      <c r="C46" s="209">
        <v>1</v>
      </c>
      <c r="D46" s="416">
        <v>7</v>
      </c>
      <c r="E46" s="417">
        <v>847</v>
      </c>
      <c r="F46" s="418">
        <v>30712187316</v>
      </c>
      <c r="G46" s="419" t="str">
        <f>IFERROR(IF(compras_mes6[[#This Row],[CUIT]]="","-",VLOOKUP(compras_mes6[[#This Row],[CUIT]],Lista_CUIT[#All],2,0)),"CUIT NO CARGADO")</f>
        <v>ITALOMED PRODUCTOS SRL</v>
      </c>
      <c r="H46" s="420">
        <v>56028.36</v>
      </c>
      <c r="I46" s="421">
        <f>IF(compras_mes6[[#This Row],[NETO GRAVADO]]="","",compras_mes6[[#This Row],[NETO GRAVADO]]*0.21)</f>
        <v>11765.955599999999</v>
      </c>
      <c r="J46" s="421"/>
      <c r="K46" s="421"/>
      <c r="L46" s="421"/>
      <c r="M46" s="421"/>
      <c r="N46" s="421"/>
      <c r="O46" s="421"/>
      <c r="P46" s="402">
        <f>SUM(compras_mes6[[#This Row],[NETO GRAVADO]:[Otros / No Grav.]])</f>
        <v>67794.315600000002</v>
      </c>
      <c r="Q46" s="403" t="str">
        <f>IFERROR(IF(compras_mes6[[#This Row],[CUIT]]="","-",VLOOKUP(compras_mes6[[#This Row],[CUIT]],Lista_CUIT[#All],3,0)),"CUIT NO CARGADO")</f>
        <v>Productos Ortopedicos</v>
      </c>
      <c r="R46" s="403">
        <f>IFERROR(IF(compras_mes6[[#This Row],[CUIT]]="","-",VLOOKUP(compras_mes6[[#This Row],[CUIT]],Lista_CUIT[#All],4,0)),"CUIT NO CARGADO")</f>
        <v>0</v>
      </c>
    </row>
    <row r="47" spans="2:18" x14ac:dyDescent="0.25">
      <c r="B47" s="394">
        <v>45089</v>
      </c>
      <c r="C47" s="395">
        <v>1</v>
      </c>
      <c r="D47" s="396">
        <v>26</v>
      </c>
      <c r="E47" s="397">
        <v>175551</v>
      </c>
      <c r="F47" s="398">
        <v>30708847247</v>
      </c>
      <c r="G47" s="399" t="str">
        <f>IFERROR(IF(compras_mes6[[#This Row],[CUIT]]="","-",VLOOKUP(compras_mes6[[#This Row],[CUIT]],Lista_CUIT[#All],2,0)),"CUIT NO CARGADO")</f>
        <v>TOAGRA SRL</v>
      </c>
      <c r="H47" s="400">
        <v>4267</v>
      </c>
      <c r="I47" s="401">
        <f>IF(compras_mes6[[#This Row],[NETO GRAVADO]]="","",compras_mes6[[#This Row],[NETO GRAVADO]]*0.21)</f>
        <v>896.06999999999994</v>
      </c>
      <c r="J47" s="401"/>
      <c r="K47" s="401"/>
      <c r="L47" s="401"/>
      <c r="M47" s="401">
        <v>149.34</v>
      </c>
      <c r="N47" s="401"/>
      <c r="O47" s="401"/>
      <c r="P47" s="402">
        <f>SUM(compras_mes6[[#This Row],[NETO GRAVADO]:[Otros / No Grav.]])</f>
        <v>5312.41</v>
      </c>
      <c r="Q47" s="403" t="str">
        <f>IFERROR(IF(compras_mes6[[#This Row],[CUIT]]="","-",VLOOKUP(compras_mes6[[#This Row],[CUIT]],Lista_CUIT[#All],3,0)),"CUIT NO CARGADO")</f>
        <v>GASTOS VARIOS</v>
      </c>
      <c r="R47" s="403">
        <f>IFERROR(IF(compras_mes6[[#This Row],[CUIT]]="","-",VLOOKUP(compras_mes6[[#This Row],[CUIT]],Lista_CUIT[#All],4,0)),"CUIT NO CARGADO")</f>
        <v>0</v>
      </c>
    </row>
    <row r="48" spans="2:18" x14ac:dyDescent="0.25">
      <c r="B48" s="394">
        <v>45089</v>
      </c>
      <c r="C48" s="395">
        <v>1</v>
      </c>
      <c r="D48" s="396">
        <v>7</v>
      </c>
      <c r="E48" s="397">
        <v>15704</v>
      </c>
      <c r="F48" s="398">
        <v>30709214078</v>
      </c>
      <c r="G48" s="399" t="str">
        <f>IFERROR(IF(compras_mes6[[#This Row],[CUIT]]="","-",VLOOKUP(compras_mes6[[#This Row],[CUIT]],Lista_CUIT[#All],2,0)),"CUIT NO CARGADO")</f>
        <v>REHAVITA S.A</v>
      </c>
      <c r="H48" s="400">
        <v>298021.89</v>
      </c>
      <c r="I48" s="401">
        <f>IF(compras_mes6[[#This Row],[NETO GRAVADO]]="","",compras_mes6[[#This Row],[NETO GRAVADO]]*0.21)</f>
        <v>62584.596900000004</v>
      </c>
      <c r="J48" s="401"/>
      <c r="K48" s="401"/>
      <c r="L48" s="401"/>
      <c r="M48" s="401"/>
      <c r="N48" s="401"/>
      <c r="O48" s="401"/>
      <c r="P48" s="402">
        <f>SUM(compras_mes6[[#This Row],[NETO GRAVADO]:[Otros / No Grav.]])</f>
        <v>360606.48690000002</v>
      </c>
      <c r="Q48" s="403" t="str">
        <f>IFERROR(IF(compras_mes6[[#This Row],[CUIT]]="","-",VLOOKUP(compras_mes6[[#This Row],[CUIT]],Lista_CUIT[#All],3,0)),"CUIT NO CARGADO")</f>
        <v>Productos Ortopedicos</v>
      </c>
      <c r="R48" s="403">
        <f>IFERROR(IF(compras_mes6[[#This Row],[CUIT]]="","-",VLOOKUP(compras_mes6[[#This Row],[CUIT]],Lista_CUIT[#All],4,0)),"CUIT NO CARGADO")</f>
        <v>0</v>
      </c>
    </row>
    <row r="49" spans="2:18" x14ac:dyDescent="0.25">
      <c r="B49" s="394">
        <v>45089</v>
      </c>
      <c r="C49" s="395">
        <v>1</v>
      </c>
      <c r="D49" s="396">
        <v>3</v>
      </c>
      <c r="E49" s="397">
        <v>80</v>
      </c>
      <c r="F49" s="398">
        <v>20334976433</v>
      </c>
      <c r="G49" s="399" t="str">
        <f>IFERROR(IF(compras_mes6[[#This Row],[CUIT]]="","-",VLOOKUP(compras_mes6[[#This Row],[CUIT]],Lista_CUIT[#All],2,0)),"CUIT NO CARGADO")</f>
        <v>NARDOMARINO EZEQUIEL EDUARDO</v>
      </c>
      <c r="H49" s="400">
        <v>170096.71</v>
      </c>
      <c r="I49" s="401">
        <f>IF(compras_mes6[[#This Row],[NETO GRAVADO]]="","",compras_mes6[[#This Row],[NETO GRAVADO]]*0.21)</f>
        <v>35720.309099999999</v>
      </c>
      <c r="J49" s="401"/>
      <c r="K49" s="401"/>
      <c r="L49" s="401"/>
      <c r="M49" s="401"/>
      <c r="N49" s="401"/>
      <c r="O49" s="401"/>
      <c r="P49" s="402">
        <f>SUM(compras_mes6[[#This Row],[NETO GRAVADO]:[Otros / No Grav.]])</f>
        <v>205817.01909999998</v>
      </c>
      <c r="Q49" s="403" t="str">
        <f>IFERROR(IF(compras_mes6[[#This Row],[CUIT]]="","-",VLOOKUP(compras_mes6[[#This Row],[CUIT]],Lista_CUIT[#All],3,0)),"CUIT NO CARGADO")</f>
        <v>FLETE</v>
      </c>
      <c r="R49" s="403">
        <f>IFERROR(IF(compras_mes6[[#This Row],[CUIT]]="","-",VLOOKUP(compras_mes6[[#This Row],[CUIT]],Lista_CUIT[#All],4,0)),"CUIT NO CARGADO")</f>
        <v>0</v>
      </c>
    </row>
    <row r="50" spans="2:18" x14ac:dyDescent="0.25">
      <c r="B50" s="394">
        <v>45089</v>
      </c>
      <c r="C50" s="395">
        <v>1</v>
      </c>
      <c r="D50" s="396">
        <v>32</v>
      </c>
      <c r="E50" s="397">
        <v>124</v>
      </c>
      <c r="F50" s="398">
        <v>33712276539</v>
      </c>
      <c r="G50" s="399" t="str">
        <f>IFERROR(IF(compras_mes6[[#This Row],[CUIT]]="","-",VLOOKUP(compras_mes6[[#This Row],[CUIT]],Lista_CUIT[#All],2,0)),"CUIT NO CARGADO")</f>
        <v>CASTAÑO AUTOVOX SRL</v>
      </c>
      <c r="H50" s="400">
        <v>16454.91</v>
      </c>
      <c r="I50" s="401">
        <f>IF(compras_mes6[[#This Row],[NETO GRAVADO]]="","",compras_mes6[[#This Row],[NETO GRAVADO]]*0.21)</f>
        <v>3455.5310999999997</v>
      </c>
      <c r="J50" s="401"/>
      <c r="K50" s="401"/>
      <c r="L50" s="401"/>
      <c r="M50" s="401"/>
      <c r="N50" s="401"/>
      <c r="O50" s="401">
        <v>1746.54</v>
      </c>
      <c r="P50" s="402">
        <f>SUM(compras_mes6[[#This Row],[NETO GRAVADO]:[Otros / No Grav.]])</f>
        <v>21656.981100000001</v>
      </c>
      <c r="Q50" s="403" t="str">
        <f>IFERROR(IF(compras_mes6[[#This Row],[CUIT]]="","-",VLOOKUP(compras_mes6[[#This Row],[CUIT]],Lista_CUIT[#All],3,0)),"CUIT NO CARGADO")</f>
        <v>COMBUSTIBLE</v>
      </c>
      <c r="R50" s="403">
        <f>IFERROR(IF(compras_mes6[[#This Row],[CUIT]]="","-",VLOOKUP(compras_mes6[[#This Row],[CUIT]],Lista_CUIT[#All],4,0)),"CUIT NO CARGADO")</f>
        <v>0</v>
      </c>
    </row>
    <row r="51" spans="2:18" x14ac:dyDescent="0.25">
      <c r="B51" s="415">
        <v>45090</v>
      </c>
      <c r="C51" s="209">
        <v>1</v>
      </c>
      <c r="D51" s="416">
        <v>2</v>
      </c>
      <c r="E51" s="417">
        <v>8630</v>
      </c>
      <c r="F51" s="418">
        <v>30714331082</v>
      </c>
      <c r="G51" s="419" t="str">
        <f>IFERROR(IF(compras_mes6[[#This Row],[CUIT]]="","-",VLOOKUP(compras_mes6[[#This Row],[CUIT]],Lista_CUIT[#All],2,0)),"CUIT NO CARGADO")</f>
        <v>ORTOPEDIA CASA ESCALADA SRL</v>
      </c>
      <c r="H51" s="420">
        <v>355577.04</v>
      </c>
      <c r="I51" s="421">
        <f>IF(compras_mes6[[#This Row],[NETO GRAVADO]]="","",compras_mes6[[#This Row],[NETO GRAVADO]]*0.21)</f>
        <v>74671.17839999999</v>
      </c>
      <c r="J51" s="421"/>
      <c r="K51" s="421"/>
      <c r="L51" s="421"/>
      <c r="M51" s="421"/>
      <c r="N51" s="421"/>
      <c r="O51" s="421"/>
      <c r="P51" s="402">
        <f>SUM(compras_mes6[[#This Row],[NETO GRAVADO]:[Otros / No Grav.]])</f>
        <v>430248.21839999995</v>
      </c>
      <c r="Q51" s="403" t="str">
        <f>IFERROR(IF(compras_mes6[[#This Row],[CUIT]]="","-",VLOOKUP(compras_mes6[[#This Row],[CUIT]],Lista_CUIT[#All],3,0)),"CUIT NO CARGADO")</f>
        <v>Productos Ortopedicos</v>
      </c>
      <c r="R51" s="403">
        <f>IFERROR(IF(compras_mes6[[#This Row],[CUIT]]="","-",VLOOKUP(compras_mes6[[#This Row],[CUIT]],Lista_CUIT[#All],4,0)),"CUIT NO CARGADO")</f>
        <v>0</v>
      </c>
    </row>
    <row r="52" spans="2:18" x14ac:dyDescent="0.25">
      <c r="B52" s="394">
        <v>45090</v>
      </c>
      <c r="C52" s="395">
        <v>1</v>
      </c>
      <c r="D52" s="396">
        <v>2</v>
      </c>
      <c r="E52" s="397">
        <v>8629</v>
      </c>
      <c r="F52" s="398">
        <v>30714331082</v>
      </c>
      <c r="G52" s="399" t="str">
        <f>IFERROR(IF(compras_mes6[[#This Row],[CUIT]]="","-",VLOOKUP(compras_mes6[[#This Row],[CUIT]],Lista_CUIT[#All],2,0)),"CUIT NO CARGADO")</f>
        <v>ORTOPEDIA CASA ESCALADA SRL</v>
      </c>
      <c r="H52" s="400">
        <v>763269.58</v>
      </c>
      <c r="I52" s="401">
        <f>IF(compras_mes6[[#This Row],[NETO GRAVADO]]="","",compras_mes6[[#This Row],[NETO GRAVADO]]*0.21)</f>
        <v>160286.61179999998</v>
      </c>
      <c r="J52" s="401"/>
      <c r="K52" s="401"/>
      <c r="L52" s="401"/>
      <c r="M52" s="401"/>
      <c r="N52" s="401"/>
      <c r="O52" s="401"/>
      <c r="P52" s="402">
        <f>SUM(compras_mes6[[#This Row],[NETO GRAVADO]:[Otros / No Grav.]])</f>
        <v>923556.19179999991</v>
      </c>
      <c r="Q52" s="403" t="str">
        <f>IFERROR(IF(compras_mes6[[#This Row],[CUIT]]="","-",VLOOKUP(compras_mes6[[#This Row],[CUIT]],Lista_CUIT[#All],3,0)),"CUIT NO CARGADO")</f>
        <v>Productos Ortopedicos</v>
      </c>
      <c r="R52" s="403">
        <f>IFERROR(IF(compras_mes6[[#This Row],[CUIT]]="","-",VLOOKUP(compras_mes6[[#This Row],[CUIT]],Lista_CUIT[#All],4,0)),"CUIT NO CARGADO")</f>
        <v>0</v>
      </c>
    </row>
    <row r="53" spans="2:18" x14ac:dyDescent="0.25">
      <c r="B53" s="394">
        <v>45090</v>
      </c>
      <c r="C53" s="395">
        <v>1</v>
      </c>
      <c r="D53" s="396">
        <v>2</v>
      </c>
      <c r="E53" s="397">
        <v>21862</v>
      </c>
      <c r="F53" s="398">
        <v>23233422029</v>
      </c>
      <c r="G53" s="399" t="str">
        <f>IFERROR(IF(compras_mes6[[#This Row],[CUIT]]="","-",VLOOKUP(compras_mes6[[#This Row],[CUIT]],Lista_CUIT[#All],2,0)),"CUIT NO CARGADO")</f>
        <v>RODOLFO SCHULZE</v>
      </c>
      <c r="H53" s="400">
        <v>198330.5</v>
      </c>
      <c r="I53" s="401">
        <f>IF(compras_mes6[[#This Row],[NETO GRAVADO]]="","",compras_mes6[[#This Row],[NETO GRAVADO]]*0.21)</f>
        <v>41649.404999999999</v>
      </c>
      <c r="J53" s="401"/>
      <c r="K53" s="401"/>
      <c r="L53" s="401"/>
      <c r="M53" s="401"/>
      <c r="N53" s="401"/>
      <c r="O53" s="401"/>
      <c r="P53" s="402">
        <f>SUM(compras_mes6[[#This Row],[NETO GRAVADO]:[Otros / No Grav.]])</f>
        <v>239979.905</v>
      </c>
      <c r="Q53" s="403" t="str">
        <f>IFERROR(IF(compras_mes6[[#This Row],[CUIT]]="","-",VLOOKUP(compras_mes6[[#This Row],[CUIT]],Lista_CUIT[#All],3,0)),"CUIT NO CARGADO")</f>
        <v>Productos Ortopedicos</v>
      </c>
      <c r="R53" s="403">
        <f>IFERROR(IF(compras_mes6[[#This Row],[CUIT]]="","-",VLOOKUP(compras_mes6[[#This Row],[CUIT]],Lista_CUIT[#All],4,0)),"CUIT NO CARGADO")</f>
        <v>0</v>
      </c>
    </row>
    <row r="54" spans="2:18" x14ac:dyDescent="0.25">
      <c r="B54" s="394">
        <v>45090</v>
      </c>
      <c r="C54" s="395">
        <v>1</v>
      </c>
      <c r="D54" s="396">
        <v>3</v>
      </c>
      <c r="E54" s="397">
        <v>116</v>
      </c>
      <c r="F54" s="398">
        <v>20352752992</v>
      </c>
      <c r="G54" s="399" t="str">
        <f>IFERROR(IF(compras_mes6[[#This Row],[CUIT]]="","-",VLOOKUP(compras_mes6[[#This Row],[CUIT]],Lista_CUIT[#All],2,0)),"CUIT NO CARGADO")</f>
        <v>QUIROZ ALEMAN LUCAS DANIEL</v>
      </c>
      <c r="H54" s="400">
        <v>6942.16</v>
      </c>
      <c r="I54" s="401">
        <f>IF(compras_mes6[[#This Row],[NETO GRAVADO]]="","",compras_mes6[[#This Row],[NETO GRAVADO]]*0.21)</f>
        <v>1457.8535999999999</v>
      </c>
      <c r="J54" s="401"/>
      <c r="K54" s="401"/>
      <c r="L54" s="401"/>
      <c r="M54" s="401"/>
      <c r="N54" s="401"/>
      <c r="O54" s="401"/>
      <c r="P54" s="402">
        <f>SUM(compras_mes6[[#This Row],[NETO GRAVADO]:[Otros / No Grav.]])</f>
        <v>8400.0136000000002</v>
      </c>
      <c r="Q54" s="403" t="str">
        <f>IFERROR(IF(compras_mes6[[#This Row],[CUIT]]="","-",VLOOKUP(compras_mes6[[#This Row],[CUIT]],Lista_CUIT[#All],3,0)),"CUIT NO CARGADO")</f>
        <v>Gastos Varios</v>
      </c>
      <c r="R54" s="403">
        <f>IFERROR(IF(compras_mes6[[#This Row],[CUIT]]="","-",VLOOKUP(compras_mes6[[#This Row],[CUIT]],Lista_CUIT[#All],4,0)),"CUIT NO CARGADO")</f>
        <v>0</v>
      </c>
    </row>
    <row r="55" spans="2:18" x14ac:dyDescent="0.25">
      <c r="B55" s="394">
        <v>45091</v>
      </c>
      <c r="C55" s="395">
        <v>1</v>
      </c>
      <c r="D55" s="396">
        <v>5</v>
      </c>
      <c r="E55" s="397">
        <v>1265</v>
      </c>
      <c r="F55" s="398">
        <v>30712187316</v>
      </c>
      <c r="G55" s="399" t="str">
        <f>IFERROR(IF(compras_mes6[[#This Row],[CUIT]]="","-",VLOOKUP(compras_mes6[[#This Row],[CUIT]],Lista_CUIT[#All],2,0)),"CUIT NO CARGADO")</f>
        <v>ITALOMED PRODUCTOS SRL</v>
      </c>
      <c r="H55" s="400">
        <v>86801.3</v>
      </c>
      <c r="I55" s="401">
        <f>IF(compras_mes6[[#This Row],[NETO GRAVADO]]="","",compras_mes6[[#This Row],[NETO GRAVADO]]*0.21)</f>
        <v>18228.273000000001</v>
      </c>
      <c r="J55" s="401"/>
      <c r="K55" s="401"/>
      <c r="L55" s="401"/>
      <c r="M55" s="401"/>
      <c r="N55" s="401"/>
      <c r="O55" s="401"/>
      <c r="P55" s="402">
        <f>SUM(compras_mes6[[#This Row],[NETO GRAVADO]:[Otros / No Grav.]])</f>
        <v>105029.573</v>
      </c>
      <c r="Q55" s="403" t="str">
        <f>IFERROR(IF(compras_mes6[[#This Row],[CUIT]]="","-",VLOOKUP(compras_mes6[[#This Row],[CUIT]],Lista_CUIT[#All],3,0)),"CUIT NO CARGADO")</f>
        <v>Productos Ortopedicos</v>
      </c>
      <c r="R55" s="403">
        <f>IFERROR(IF(compras_mes6[[#This Row],[CUIT]]="","-",VLOOKUP(compras_mes6[[#This Row],[CUIT]],Lista_CUIT[#All],4,0)),"CUIT NO CARGADO")</f>
        <v>0</v>
      </c>
    </row>
    <row r="56" spans="2:18" x14ac:dyDescent="0.25">
      <c r="B56" s="415">
        <v>45092</v>
      </c>
      <c r="C56" s="209">
        <v>1</v>
      </c>
      <c r="D56" s="416">
        <v>2</v>
      </c>
      <c r="E56" s="417">
        <v>346</v>
      </c>
      <c r="F56" s="418">
        <v>30716557010</v>
      </c>
      <c r="G56" s="419" t="str">
        <f>IFERROR(IF(compras_mes6[[#This Row],[CUIT]]="","-",VLOOKUP(compras_mes6[[#This Row],[CUIT]],Lista_CUIT[#All],2,0)),"CUIT NO CARGADO")</f>
        <v>PORTEÑA SRL</v>
      </c>
      <c r="H56" s="420">
        <v>0</v>
      </c>
      <c r="I56" s="421">
        <f>IF(compras_mes6[[#This Row],[NETO GRAVADO]]="","",compras_mes6[[#This Row],[NETO GRAVADO]]*0.21)</f>
        <v>0</v>
      </c>
      <c r="J56" s="421"/>
      <c r="K56" s="421"/>
      <c r="L56" s="421"/>
      <c r="M56" s="421"/>
      <c r="N56" s="421"/>
      <c r="O56" s="421">
        <v>1250</v>
      </c>
      <c r="P56" s="402">
        <f>SUM(compras_mes6[[#This Row],[NETO GRAVADO]:[Otros / No Grav.]])</f>
        <v>1250</v>
      </c>
      <c r="Q56" s="403" t="str">
        <f>IFERROR(IF(compras_mes6[[#This Row],[CUIT]]="","-",VLOOKUP(compras_mes6[[#This Row],[CUIT]],Lista_CUIT[#All],3,0)),"CUIT NO CARGADO")</f>
        <v>Gastos Varios</v>
      </c>
      <c r="R56" s="403">
        <f>IFERROR(IF(compras_mes6[[#This Row],[CUIT]]="","-",VLOOKUP(compras_mes6[[#This Row],[CUIT]],Lista_CUIT[#All],4,0)),"CUIT NO CARGADO")</f>
        <v>0</v>
      </c>
    </row>
    <row r="57" spans="2:18" x14ac:dyDescent="0.25">
      <c r="B57" s="394">
        <v>45092</v>
      </c>
      <c r="C57" s="395">
        <v>1</v>
      </c>
      <c r="D57" s="396">
        <v>7</v>
      </c>
      <c r="E57" s="397">
        <v>27245</v>
      </c>
      <c r="F57" s="398">
        <v>20271532483</v>
      </c>
      <c r="G57" s="399" t="str">
        <f>IFERROR(IF(compras_mes6[[#This Row],[CUIT]]="","-",VLOOKUP(compras_mes6[[#This Row],[CUIT]],Lista_CUIT[#All],2,0)),"CUIT NO CARGADO")</f>
        <v>DIEGO MARTIN RIOS</v>
      </c>
      <c r="H57" s="400">
        <v>341075.22</v>
      </c>
      <c r="I57" s="401">
        <f>IF(compras_mes6[[#This Row],[NETO GRAVADO]]="","",compras_mes6[[#This Row],[NETO GRAVADO]]*0.21)</f>
        <v>71625.796199999997</v>
      </c>
      <c r="J57" s="401"/>
      <c r="K57" s="401"/>
      <c r="L57" s="401"/>
      <c r="M57" s="401"/>
      <c r="N57" s="401"/>
      <c r="O57" s="401">
        <v>11937.63</v>
      </c>
      <c r="P57" s="402">
        <f>SUM(compras_mes6[[#This Row],[NETO GRAVADO]:[Otros / No Grav.]])</f>
        <v>424638.64619999996</v>
      </c>
      <c r="Q57" s="403" t="str">
        <f>IFERROR(IF(compras_mes6[[#This Row],[CUIT]]="","-",VLOOKUP(compras_mes6[[#This Row],[CUIT]],Lista_CUIT[#All],3,0)),"CUIT NO CARGADO")</f>
        <v>Productos Ortopedicos</v>
      </c>
      <c r="R57" s="403">
        <f>IFERROR(IF(compras_mes6[[#This Row],[CUIT]]="","-",VLOOKUP(compras_mes6[[#This Row],[CUIT]],Lista_CUIT[#All],4,0)),"CUIT NO CARGADO")</f>
        <v>0</v>
      </c>
    </row>
    <row r="58" spans="2:18" x14ac:dyDescent="0.25">
      <c r="B58" s="394">
        <v>45092</v>
      </c>
      <c r="C58" s="395">
        <v>1</v>
      </c>
      <c r="D58" s="396">
        <v>5</v>
      </c>
      <c r="E58" s="397">
        <v>144293</v>
      </c>
      <c r="F58" s="398">
        <v>30598960093</v>
      </c>
      <c r="G58" s="399" t="str">
        <f>IFERROR(IF(compras_mes6[[#This Row],[CUIT]]="","-",VLOOKUP(compras_mes6[[#This Row],[CUIT]],Lista_CUIT[#All],2,0)),"CUIT NO CARGADO")</f>
        <v>SILVESTRIN FABRIS SRL</v>
      </c>
      <c r="H58" s="400">
        <v>201547.4</v>
      </c>
      <c r="I58" s="401">
        <f>IF(compras_mes6[[#This Row],[NETO GRAVADO]]="","",compras_mes6[[#This Row],[NETO GRAVADO]]*0.21)</f>
        <v>42324.953999999998</v>
      </c>
      <c r="J58" s="401"/>
      <c r="K58" s="401"/>
      <c r="L58" s="401"/>
      <c r="M58" s="401"/>
      <c r="N58" s="401">
        <v>7054.16</v>
      </c>
      <c r="O58" s="401"/>
      <c r="P58" s="402">
        <f>SUM(compras_mes6[[#This Row],[NETO GRAVADO]:[Otros / No Grav.]])</f>
        <v>250926.514</v>
      </c>
      <c r="Q58" s="403" t="str">
        <f>IFERROR(IF(compras_mes6[[#This Row],[CUIT]]="","-",VLOOKUP(compras_mes6[[#This Row],[CUIT]],Lista_CUIT[#All],3,0)),"CUIT NO CARGADO")</f>
        <v>Productos Ortopedicos</v>
      </c>
      <c r="R58" s="403">
        <f>IFERROR(IF(compras_mes6[[#This Row],[CUIT]]="","-",VLOOKUP(compras_mes6[[#This Row],[CUIT]],Lista_CUIT[#All],4,0)),"CUIT NO CARGADO")</f>
        <v>0</v>
      </c>
    </row>
    <row r="59" spans="2:18" x14ac:dyDescent="0.25">
      <c r="B59" s="394">
        <v>45092</v>
      </c>
      <c r="C59" s="395">
        <v>1</v>
      </c>
      <c r="D59" s="396">
        <v>3</v>
      </c>
      <c r="E59" s="397">
        <v>7862</v>
      </c>
      <c r="F59" s="398">
        <v>20045615473</v>
      </c>
      <c r="G59" s="399" t="str">
        <f>IFERROR(IF(compras_mes6[[#This Row],[CUIT]]="","-",VLOOKUP(compras_mes6[[#This Row],[CUIT]],Lista_CUIT[#All],2,0)),"CUIT NO CARGADO")</f>
        <v xml:space="preserve">DI FEO HUGO PASCUAL </v>
      </c>
      <c r="H59" s="400">
        <v>42130</v>
      </c>
      <c r="I59" s="401">
        <f>IF(compras_mes6[[#This Row],[NETO GRAVADO]]="","",compras_mes6[[#This Row],[NETO GRAVADO]]*0.21)</f>
        <v>8847.2999999999993</v>
      </c>
      <c r="J59" s="401"/>
      <c r="K59" s="401"/>
      <c r="L59" s="401"/>
      <c r="M59" s="401"/>
      <c r="N59" s="401"/>
      <c r="O59" s="401"/>
      <c r="P59" s="402">
        <f>SUM(compras_mes6[[#This Row],[NETO GRAVADO]:[Otros / No Grav.]])</f>
        <v>50977.3</v>
      </c>
      <c r="Q59" s="403" t="str">
        <f>IFERROR(IF(compras_mes6[[#This Row],[CUIT]]="","-",VLOOKUP(compras_mes6[[#This Row],[CUIT]],Lista_CUIT[#All],3,0)),"CUIT NO CARGADO")</f>
        <v>Productos Ortopedicos</v>
      </c>
      <c r="R59" s="403">
        <f>IFERROR(IF(compras_mes6[[#This Row],[CUIT]]="","-",VLOOKUP(compras_mes6[[#This Row],[CUIT]],Lista_CUIT[#All],4,0)),"CUIT NO CARGADO")</f>
        <v>0</v>
      </c>
    </row>
    <row r="60" spans="2:18" x14ac:dyDescent="0.25">
      <c r="B60" s="394">
        <v>45093</v>
      </c>
      <c r="C60" s="395">
        <v>1</v>
      </c>
      <c r="D60" s="396">
        <v>3</v>
      </c>
      <c r="E60" s="397">
        <v>5780</v>
      </c>
      <c r="F60" s="398">
        <v>33708218699</v>
      </c>
      <c r="G60" s="399" t="str">
        <f>IFERROR(IF(compras_mes6[[#This Row],[CUIT]]="","-",VLOOKUP(compras_mes6[[#This Row],[CUIT]],Lista_CUIT[#All],2,0)),"CUIT NO CARGADO")</f>
        <v>MANGGINI PABLO Y MANGGINI ULISES SOC. DE HECHO.</v>
      </c>
      <c r="H60" s="400">
        <v>3500</v>
      </c>
      <c r="I60" s="401">
        <f>IF(compras_mes6[[#This Row],[NETO GRAVADO]]="","",compras_mes6[[#This Row],[NETO GRAVADO]]*0.21)</f>
        <v>735</v>
      </c>
      <c r="J60" s="401"/>
      <c r="K60" s="401"/>
      <c r="L60" s="401"/>
      <c r="M60" s="401"/>
      <c r="N60" s="401"/>
      <c r="O60" s="401"/>
      <c r="P60" s="402">
        <f>SUM(compras_mes6[[#This Row],[NETO GRAVADO]:[Otros / No Grav.]])</f>
        <v>4235</v>
      </c>
      <c r="Q60" s="403" t="str">
        <f>IFERROR(IF(compras_mes6[[#This Row],[CUIT]]="","-",VLOOKUP(compras_mes6[[#This Row],[CUIT]],Lista_CUIT[#All],3,0)),"CUIT NO CARGADO")</f>
        <v>Gastos Varios</v>
      </c>
      <c r="R60" s="403">
        <f>IFERROR(IF(compras_mes6[[#This Row],[CUIT]]="","-",VLOOKUP(compras_mes6[[#This Row],[CUIT]],Lista_CUIT[#All],4,0)),"CUIT NO CARGADO")</f>
        <v>0</v>
      </c>
    </row>
    <row r="61" spans="2:18" x14ac:dyDescent="0.25">
      <c r="B61" s="394">
        <v>45093</v>
      </c>
      <c r="C61" s="395">
        <v>1</v>
      </c>
      <c r="D61" s="396">
        <v>2</v>
      </c>
      <c r="E61" s="397">
        <v>21913</v>
      </c>
      <c r="F61" s="398">
        <v>23233422029</v>
      </c>
      <c r="G61" s="399" t="str">
        <f>IFERROR(IF(compras_mes6[[#This Row],[CUIT]]="","-",VLOOKUP(compras_mes6[[#This Row],[CUIT]],Lista_CUIT[#All],2,0)),"CUIT NO CARGADO")</f>
        <v>RODOLFO SCHULZE</v>
      </c>
      <c r="H61" s="400">
        <v>21635.9</v>
      </c>
      <c r="I61" s="401">
        <f>IF(compras_mes6[[#This Row],[NETO GRAVADO]]="","",compras_mes6[[#This Row],[NETO GRAVADO]]*0.21)</f>
        <v>4543.5389999999998</v>
      </c>
      <c r="J61" s="401"/>
      <c r="K61" s="401"/>
      <c r="L61" s="401"/>
      <c r="M61" s="401"/>
      <c r="N61" s="401"/>
      <c r="O61" s="401"/>
      <c r="P61" s="402">
        <f>SUM(compras_mes6[[#This Row],[NETO GRAVADO]:[Otros / No Grav.]])</f>
        <v>26179.439000000002</v>
      </c>
      <c r="Q61" s="403" t="str">
        <f>IFERROR(IF(compras_mes6[[#This Row],[CUIT]]="","-",VLOOKUP(compras_mes6[[#This Row],[CUIT]],Lista_CUIT[#All],3,0)),"CUIT NO CARGADO")</f>
        <v>Productos Ortopedicos</v>
      </c>
      <c r="R61" s="403">
        <f>IFERROR(IF(compras_mes6[[#This Row],[CUIT]]="","-",VLOOKUP(compras_mes6[[#This Row],[CUIT]],Lista_CUIT[#All],4,0)),"CUIT NO CARGADO")</f>
        <v>0</v>
      </c>
    </row>
    <row r="62" spans="2:18" x14ac:dyDescent="0.25">
      <c r="B62" s="394">
        <v>45093</v>
      </c>
      <c r="C62" s="395">
        <v>1</v>
      </c>
      <c r="D62" s="396">
        <v>2</v>
      </c>
      <c r="E62" s="397">
        <v>7309</v>
      </c>
      <c r="F62" s="398">
        <v>30694549817</v>
      </c>
      <c r="G62" s="399" t="str">
        <f>IFERROR(IF(compras_mes6[[#This Row],[CUIT]]="","-",VLOOKUP(compras_mes6[[#This Row],[CUIT]],Lista_CUIT[#All],2,0)),"CUIT NO CARGADO")</f>
        <v>DISEÑOS JERY SRL</v>
      </c>
      <c r="H62" s="400">
        <v>451190</v>
      </c>
      <c r="I62" s="401">
        <f>IF(compras_mes6[[#This Row],[NETO GRAVADO]]="","",compras_mes6[[#This Row],[NETO GRAVADO]]*0.21)</f>
        <v>94749.9</v>
      </c>
      <c r="J62" s="401"/>
      <c r="K62" s="401"/>
      <c r="L62" s="401"/>
      <c r="M62" s="401"/>
      <c r="N62" s="401"/>
      <c r="O62" s="401"/>
      <c r="P62" s="402">
        <f>SUM(compras_mes6[[#This Row],[NETO GRAVADO]:[Otros / No Grav.]])</f>
        <v>545939.9</v>
      </c>
      <c r="Q62" s="403" t="str">
        <f>IFERROR(IF(compras_mes6[[#This Row],[CUIT]]="","-",VLOOKUP(compras_mes6[[#This Row],[CUIT]],Lista_CUIT[#All],3,0)),"CUIT NO CARGADO")</f>
        <v>Productos Ortopedicos</v>
      </c>
      <c r="R62" s="403">
        <f>IFERROR(IF(compras_mes6[[#This Row],[CUIT]]="","-",VLOOKUP(compras_mes6[[#This Row],[CUIT]],Lista_CUIT[#All],4,0)),"CUIT NO CARGADO")</f>
        <v>0</v>
      </c>
    </row>
    <row r="63" spans="2:18" x14ac:dyDescent="0.25">
      <c r="B63" s="415">
        <v>45093</v>
      </c>
      <c r="C63" s="422">
        <v>1</v>
      </c>
      <c r="D63" s="416">
        <v>11</v>
      </c>
      <c r="E63" s="417">
        <v>1051</v>
      </c>
      <c r="F63" s="418">
        <v>30708601108</v>
      </c>
      <c r="G63" s="419" t="str">
        <f>IFERROR(IF(compras_mes6[[#This Row],[CUIT]]="","-",VLOOKUP(compras_mes6[[#This Row],[CUIT]],Lista_CUIT[#All],2,0)),"CUIT NO CARGADO")</f>
        <v>SM COMBUSTIBLES S.R.L.</v>
      </c>
      <c r="H63" s="420">
        <v>2503.2399999999998</v>
      </c>
      <c r="I63" s="421">
        <f>IF(compras_mes6[[#This Row],[NETO GRAVADO]]="","",compras_mes6[[#This Row],[NETO GRAVADO]]*0.21)</f>
        <v>525.68039999999996</v>
      </c>
      <c r="J63" s="421"/>
      <c r="K63" s="421"/>
      <c r="L63" s="421"/>
      <c r="M63" s="421"/>
      <c r="N63" s="421"/>
      <c r="O63" s="421">
        <v>11.04</v>
      </c>
      <c r="P63" s="402">
        <f>SUM(compras_mes6[[#This Row],[NETO GRAVADO]:[Otros / No Grav.]])</f>
        <v>3039.9603999999999</v>
      </c>
      <c r="Q63" s="403" t="str">
        <f>IFERROR(IF(compras_mes6[[#This Row],[CUIT]]="","-",VLOOKUP(compras_mes6[[#This Row],[CUIT]],Lista_CUIT[#All],3,0)),"CUIT NO CARGADO")</f>
        <v>COMBUSTIBLE</v>
      </c>
      <c r="R63" s="403">
        <f>IFERROR(IF(compras_mes6[[#This Row],[CUIT]]="","-",VLOOKUP(compras_mes6[[#This Row],[CUIT]],Lista_CUIT[#All],4,0)),"CUIT NO CARGADO")</f>
        <v>0</v>
      </c>
    </row>
    <row r="64" spans="2:18" x14ac:dyDescent="0.25">
      <c r="B64" s="415">
        <v>45094</v>
      </c>
      <c r="C64" s="209">
        <v>1</v>
      </c>
      <c r="D64" s="416">
        <v>711</v>
      </c>
      <c r="E64" s="417">
        <v>4424523</v>
      </c>
      <c r="F64" s="418">
        <v>30677237119</v>
      </c>
      <c r="G64" s="419" t="str">
        <f>IFERROR(IF(compras_mes6[[#This Row],[CUIT]]="","-",VLOOKUP(compras_mes6[[#This Row],[CUIT]],Lista_CUIT[#All],2,0)),"CUIT NO CARGADO")</f>
        <v>AUTOPISTAS DEL SOL SA</v>
      </c>
      <c r="H64" s="420">
        <v>206.61</v>
      </c>
      <c r="I64" s="421">
        <f>IF(compras_mes6[[#This Row],[NETO GRAVADO]]="","",compras_mes6[[#This Row],[NETO GRAVADO]]*0.21)</f>
        <v>43.388100000000001</v>
      </c>
      <c r="J64" s="421"/>
      <c r="K64" s="421"/>
      <c r="L64" s="421"/>
      <c r="M64" s="421"/>
      <c r="N64" s="421"/>
      <c r="O64" s="421"/>
      <c r="P64" s="402">
        <f>SUM(compras_mes6[[#This Row],[NETO GRAVADO]:[Otros / No Grav.]])</f>
        <v>249.99810000000002</v>
      </c>
      <c r="Q64" s="403" t="str">
        <f>IFERROR(IF(compras_mes6[[#This Row],[CUIT]]="","-",VLOOKUP(compras_mes6[[#This Row],[CUIT]],Lista_CUIT[#All],3,0)),"CUIT NO CARGADO")</f>
        <v>Autopista</v>
      </c>
      <c r="R64" s="403">
        <f>IFERROR(IF(compras_mes6[[#This Row],[CUIT]]="","-",VLOOKUP(compras_mes6[[#This Row],[CUIT]],Lista_CUIT[#All],4,0)),"CUIT NO CARGADO")</f>
        <v>0</v>
      </c>
    </row>
    <row r="65" spans="2:18" x14ac:dyDescent="0.25">
      <c r="B65" s="394">
        <v>45095</v>
      </c>
      <c r="C65" s="395">
        <v>1</v>
      </c>
      <c r="D65" s="396">
        <v>4264</v>
      </c>
      <c r="E65" s="397">
        <v>2226597</v>
      </c>
      <c r="F65" s="398">
        <v>30639453738</v>
      </c>
      <c r="G65" s="399" t="str">
        <f>IFERROR(IF(compras_mes6[[#This Row],[CUIT]]="","-",VLOOKUP(compras_mes6[[#This Row],[CUIT]],Lista_CUIT[#All],2,0)),"CUIT NO CARGADO")</f>
        <v>TELECOM ARGENTINA SA</v>
      </c>
      <c r="H65" s="400">
        <v>13318.18</v>
      </c>
      <c r="I65" s="401">
        <f>IF(compras_mes6[[#This Row],[NETO GRAVADO]]="","",compras_mes6[[#This Row],[NETO GRAVADO]]*0.21)</f>
        <v>2796.8177999999998</v>
      </c>
      <c r="J65" s="401"/>
      <c r="K65" s="401"/>
      <c r="L65" s="401">
        <v>399.54</v>
      </c>
      <c r="M65" s="401">
        <v>466.14</v>
      </c>
      <c r="N65" s="401"/>
      <c r="O65" s="401"/>
      <c r="P65" s="402">
        <f>SUM(compras_mes6[[#This Row],[NETO GRAVADO]:[Otros / No Grav.]])</f>
        <v>16980.677800000001</v>
      </c>
      <c r="Q65" s="403" t="str">
        <f>IFERROR(IF(compras_mes6[[#This Row],[CUIT]]="","-",VLOOKUP(compras_mes6[[#This Row],[CUIT]],Lista_CUIT[#All],3,0)),"CUIT NO CARGADO")</f>
        <v>TELEFONIA</v>
      </c>
      <c r="R65" s="403">
        <f>IFERROR(IF(compras_mes6[[#This Row],[CUIT]]="","-",VLOOKUP(compras_mes6[[#This Row],[CUIT]],Lista_CUIT[#All],4,0)),"CUIT NO CARGADO")</f>
        <v>0</v>
      </c>
    </row>
    <row r="66" spans="2:18" x14ac:dyDescent="0.25">
      <c r="B66" s="415">
        <v>45096</v>
      </c>
      <c r="C66" s="209">
        <v>1</v>
      </c>
      <c r="D66" s="416">
        <v>5011</v>
      </c>
      <c r="E66" s="417">
        <v>494474</v>
      </c>
      <c r="F66" s="418">
        <v>30574876474</v>
      </c>
      <c r="G66" s="419" t="str">
        <f>IFERROR(IF(compras_mes6[[#This Row],[CUIT]]="","-",VLOOKUP(compras_mes6[[#This Row],[CUIT]],Lista_CUIT[#All],2,0)),"CUIT NO CARGADO")</f>
        <v>AUTOP. URBANAS SA</v>
      </c>
      <c r="H66" s="420">
        <v>3266.26</v>
      </c>
      <c r="I66" s="421">
        <f>IF(compras_mes6[[#This Row],[NETO GRAVADO]]="","",compras_mes6[[#This Row],[NETO GRAVADO]]*0.21)</f>
        <v>685.91460000000006</v>
      </c>
      <c r="J66" s="421"/>
      <c r="K66" s="421"/>
      <c r="L66" s="421"/>
      <c r="M66" s="421"/>
      <c r="N66" s="421"/>
      <c r="O66" s="421">
        <v>424.57</v>
      </c>
      <c r="P66" s="402">
        <f>SUM(compras_mes6[[#This Row],[NETO GRAVADO]:[Otros / No Grav.]])</f>
        <v>4376.7446</v>
      </c>
      <c r="Q66" s="403" t="str">
        <f>IFERROR(IF(compras_mes6[[#This Row],[CUIT]]="","-",VLOOKUP(compras_mes6[[#This Row],[CUIT]],Lista_CUIT[#All],3,0)),"CUIT NO CARGADO")</f>
        <v>PEAJE</v>
      </c>
      <c r="R66" s="403">
        <f>IFERROR(IF(compras_mes6[[#This Row],[CUIT]]="","-",VLOOKUP(compras_mes6[[#This Row],[CUIT]],Lista_CUIT[#All],4,0)),"CUIT NO CARGADO")</f>
        <v>0</v>
      </c>
    </row>
    <row r="67" spans="2:18" x14ac:dyDescent="0.25">
      <c r="B67" s="415">
        <v>45096</v>
      </c>
      <c r="C67" s="209">
        <v>1</v>
      </c>
      <c r="D67" s="416">
        <v>104</v>
      </c>
      <c r="E67" s="417">
        <v>3598036</v>
      </c>
      <c r="F67" s="418">
        <v>30715804812</v>
      </c>
      <c r="G67" s="419" t="str">
        <f>IFERROR(IF(compras_mes6[[#This Row],[CUIT]]="","-",VLOOKUP(compras_mes6[[#This Row],[CUIT]],Lista_CUIT[#All],2,0)),"CUIT NO CARGADO")</f>
        <v>CORREDORES VIALES SOCIEDAD ANONIMA</v>
      </c>
      <c r="H67" s="420">
        <v>247.93</v>
      </c>
      <c r="I67" s="421">
        <f>IF(compras_mes6[[#This Row],[NETO GRAVADO]]="","",compras_mes6[[#This Row],[NETO GRAVADO]]*0.21)</f>
        <v>52.065300000000001</v>
      </c>
      <c r="J67" s="421"/>
      <c r="K67" s="421"/>
      <c r="L67" s="421"/>
      <c r="M67" s="421"/>
      <c r="N67" s="421"/>
      <c r="O67" s="421"/>
      <c r="P67" s="402">
        <f>SUM(compras_mes6[[#This Row],[NETO GRAVADO]:[Otros / No Grav.]])</f>
        <v>299.99529999999999</v>
      </c>
      <c r="Q67" s="403" t="str">
        <f>IFERROR(IF(compras_mes6[[#This Row],[CUIT]]="","-",VLOOKUP(compras_mes6[[#This Row],[CUIT]],Lista_CUIT[#All],3,0)),"CUIT NO CARGADO")</f>
        <v>Autopista</v>
      </c>
      <c r="R67" s="403">
        <f>IFERROR(IF(compras_mes6[[#This Row],[CUIT]]="","-",VLOOKUP(compras_mes6[[#This Row],[CUIT]],Lista_CUIT[#All],4,0)),"CUIT NO CARGADO")</f>
        <v>0</v>
      </c>
    </row>
    <row r="68" spans="2:18" x14ac:dyDescent="0.25">
      <c r="B68" s="415">
        <v>45096</v>
      </c>
      <c r="C68" s="209">
        <v>1</v>
      </c>
      <c r="D68" s="416">
        <v>503</v>
      </c>
      <c r="E68" s="417">
        <v>914846</v>
      </c>
      <c r="F68" s="418">
        <v>30639935872</v>
      </c>
      <c r="G68" s="419" t="str">
        <f>IFERROR(IF(compras_mes6[[#This Row],[CUIT]]="","-",VLOOKUP(compras_mes6[[#This Row],[CUIT]],Lista_CUIT[#All],2,0)),"CUIT NO CARGADO")</f>
        <v>CAMINOS DEL RIO URUGUAY S A DE CONSTRUCCIONES Y CONCESIONES VIALES</v>
      </c>
      <c r="H68" s="420">
        <v>1157.01</v>
      </c>
      <c r="I68" s="421">
        <f>IF(compras_mes6[[#This Row],[NETO GRAVADO]]="","",compras_mes6[[#This Row],[NETO GRAVADO]]*0.21)</f>
        <v>242.97209999999998</v>
      </c>
      <c r="J68" s="421"/>
      <c r="K68" s="421"/>
      <c r="L68" s="421"/>
      <c r="M68" s="421"/>
      <c r="N68" s="421">
        <v>40.5</v>
      </c>
      <c r="O68" s="421"/>
      <c r="P68" s="402">
        <f>SUM(compras_mes6[[#This Row],[NETO GRAVADO]:[Otros / No Grav.]])</f>
        <v>1440.4820999999999</v>
      </c>
      <c r="Q68" s="403" t="str">
        <f>IFERROR(IF(compras_mes6[[#This Row],[CUIT]]="","-",VLOOKUP(compras_mes6[[#This Row],[CUIT]],Lista_CUIT[#All],3,0)),"CUIT NO CARGADO")</f>
        <v>PEAJE</v>
      </c>
      <c r="R68" s="403">
        <f>IFERROR(IF(compras_mes6[[#This Row],[CUIT]]="","-",VLOOKUP(compras_mes6[[#This Row],[CUIT]],Lista_CUIT[#All],4,0)),"CUIT NO CARGADO")</f>
        <v>0</v>
      </c>
    </row>
    <row r="69" spans="2:18" x14ac:dyDescent="0.25">
      <c r="B69" s="394">
        <v>45098</v>
      </c>
      <c r="C69" s="395">
        <v>1</v>
      </c>
      <c r="D69" s="396">
        <v>120</v>
      </c>
      <c r="E69" s="397">
        <v>2808</v>
      </c>
      <c r="F69" s="398">
        <v>30587197215</v>
      </c>
      <c r="G69" s="399" t="str">
        <f>IFERROR(IF(compras_mes6[[#This Row],[CUIT]]="","-",VLOOKUP(compras_mes6[[#This Row],[CUIT]],Lista_CUIT[#All],2,0)),"CUIT NO CARGADO")</f>
        <v>PANATEL SOCIEDAD ANONIMA</v>
      </c>
      <c r="H69" s="400">
        <v>16528.93</v>
      </c>
      <c r="I69" s="401">
        <f>IF(compras_mes6[[#This Row],[NETO GRAVADO]]="","",compras_mes6[[#This Row],[NETO GRAVADO]]*0.21)</f>
        <v>3471.0753</v>
      </c>
      <c r="J69" s="401"/>
      <c r="K69" s="401"/>
      <c r="L69" s="401"/>
      <c r="M69" s="401"/>
      <c r="N69" s="401"/>
      <c r="O69" s="401"/>
      <c r="P69" s="402">
        <f>SUM(compras_mes6[[#This Row],[NETO GRAVADO]:[Otros / No Grav.]])</f>
        <v>20000.005300000001</v>
      </c>
      <c r="Q69" s="403" t="str">
        <f>IFERROR(IF(compras_mes6[[#This Row],[CUIT]]="","-",VLOOKUP(compras_mes6[[#This Row],[CUIT]],Lista_CUIT[#All],3,0)),"CUIT NO CARGADO")</f>
        <v>Gastos Varios</v>
      </c>
      <c r="R69" s="403">
        <f>IFERROR(IF(compras_mes6[[#This Row],[CUIT]]="","-",VLOOKUP(compras_mes6[[#This Row],[CUIT]],Lista_CUIT[#All],4,0)),"CUIT NO CARGADO")</f>
        <v>0</v>
      </c>
    </row>
    <row r="70" spans="2:18" x14ac:dyDescent="0.25">
      <c r="B70" s="394">
        <v>45098</v>
      </c>
      <c r="C70" s="395">
        <v>1</v>
      </c>
      <c r="D70" s="396">
        <v>7</v>
      </c>
      <c r="E70" s="397">
        <v>27290</v>
      </c>
      <c r="F70" s="398">
        <v>20271532483</v>
      </c>
      <c r="G70" s="399" t="str">
        <f>IFERROR(IF(compras_mes6[[#This Row],[CUIT]]="","-",VLOOKUP(compras_mes6[[#This Row],[CUIT]],Lista_CUIT[#All],2,0)),"CUIT NO CARGADO")</f>
        <v>DIEGO MARTIN RIOS</v>
      </c>
      <c r="H70" s="400">
        <v>764001.73</v>
      </c>
      <c r="I70" s="401">
        <f>IF(compras_mes6[[#This Row],[NETO GRAVADO]]="","",compras_mes6[[#This Row],[NETO GRAVADO]]*0.21)</f>
        <v>160440.3633</v>
      </c>
      <c r="J70" s="401"/>
      <c r="K70" s="401"/>
      <c r="L70" s="401"/>
      <c r="M70" s="401"/>
      <c r="N70" s="401">
        <v>26740.06</v>
      </c>
      <c r="O70" s="401"/>
      <c r="P70" s="402">
        <f>SUM(compras_mes6[[#This Row],[NETO GRAVADO]:[Otros / No Grav.]])</f>
        <v>951182.15330000001</v>
      </c>
      <c r="Q70" s="403" t="str">
        <f>IFERROR(IF(compras_mes6[[#This Row],[CUIT]]="","-",VLOOKUP(compras_mes6[[#This Row],[CUIT]],Lista_CUIT[#All],3,0)),"CUIT NO CARGADO")</f>
        <v>Productos Ortopedicos</v>
      </c>
      <c r="R70" s="403">
        <f>IFERROR(IF(compras_mes6[[#This Row],[CUIT]]="","-",VLOOKUP(compras_mes6[[#This Row],[CUIT]],Lista_CUIT[#All],4,0)),"CUIT NO CARGADO")</f>
        <v>0</v>
      </c>
    </row>
    <row r="71" spans="2:18" x14ac:dyDescent="0.25">
      <c r="B71" s="394">
        <v>45098</v>
      </c>
      <c r="C71" s="395">
        <v>1</v>
      </c>
      <c r="D71" s="396">
        <v>5</v>
      </c>
      <c r="E71" s="397">
        <v>2800284</v>
      </c>
      <c r="F71" s="398">
        <v>30702652975</v>
      </c>
      <c r="G71" s="399" t="str">
        <f>IFERROR(IF(compras_mes6[[#This Row],[CUIT]]="","-",VLOOKUP(compras_mes6[[#This Row],[CUIT]],Lista_CUIT[#All],2,0)),"CUIT NO CARGADO")</f>
        <v>NSS SA</v>
      </c>
      <c r="H71" s="400">
        <v>6248.38</v>
      </c>
      <c r="I71" s="401">
        <f>IF(compras_mes6[[#This Row],[NETO GRAVADO]]="","",compras_mes6[[#This Row],[NETO GRAVADO]]*0.21)</f>
        <v>1312.1597999999999</v>
      </c>
      <c r="J71" s="401"/>
      <c r="K71" s="401"/>
      <c r="L71" s="401"/>
      <c r="M71" s="401"/>
      <c r="N71" s="401">
        <v>218.69</v>
      </c>
      <c r="O71" s="401"/>
      <c r="P71" s="402">
        <f>SUM(compras_mes6[[#This Row],[NETO GRAVADO]:[Otros / No Grav.]])</f>
        <v>7779.2298000000001</v>
      </c>
      <c r="Q71" s="403" t="str">
        <f>IFERROR(IF(compras_mes6[[#This Row],[CUIT]]="","-",VLOOKUP(compras_mes6[[#This Row],[CUIT]],Lista_CUIT[#All],3,0)),"CUIT NO CARGADO")</f>
        <v>TELEFONIA</v>
      </c>
      <c r="R71" s="403">
        <f>IFERROR(IF(compras_mes6[[#This Row],[CUIT]]="","-",VLOOKUP(compras_mes6[[#This Row],[CUIT]],Lista_CUIT[#All],4,0)),"CUIT NO CARGADO")</f>
        <v>0</v>
      </c>
    </row>
    <row r="72" spans="2:18" x14ac:dyDescent="0.25">
      <c r="B72" s="415">
        <v>45098</v>
      </c>
      <c r="C72" s="209">
        <v>1</v>
      </c>
      <c r="D72" s="416">
        <v>11</v>
      </c>
      <c r="E72" s="417">
        <v>43648</v>
      </c>
      <c r="F72" s="418">
        <v>30711091552</v>
      </c>
      <c r="G72" s="419" t="str">
        <f>IFERROR(IF(compras_mes6[[#This Row],[CUIT]]="","-",VLOOKUP(compras_mes6[[#This Row],[CUIT]],Lista_CUIT[#All],2,0)),"CUIT NO CARGADO")</f>
        <v>BIGBOX S.A.</v>
      </c>
      <c r="H72" s="420">
        <v>6198.35</v>
      </c>
      <c r="I72" s="421">
        <f>IF(compras_mes6[[#This Row],[NETO GRAVADO]]="","",compras_mes6[[#This Row],[NETO GRAVADO]]*0.21)</f>
        <v>1301.6535000000001</v>
      </c>
      <c r="J72" s="421"/>
      <c r="K72" s="421"/>
      <c r="L72" s="421"/>
      <c r="M72" s="421"/>
      <c r="N72" s="421"/>
      <c r="O72" s="421"/>
      <c r="P72" s="402">
        <f>SUM(compras_mes6[[#This Row],[NETO GRAVADO]:[Otros / No Grav.]])</f>
        <v>7500.0035000000007</v>
      </c>
      <c r="Q72" s="403" t="str">
        <f>IFERROR(IF(compras_mes6[[#This Row],[CUIT]]="","-",VLOOKUP(compras_mes6[[#This Row],[CUIT]],Lista_CUIT[#All],3,0)),"CUIT NO CARGADO")</f>
        <v>INSUMO</v>
      </c>
      <c r="R72" s="403">
        <f>IFERROR(IF(compras_mes6[[#This Row],[CUIT]]="","-",VLOOKUP(compras_mes6[[#This Row],[CUIT]],Lista_CUIT[#All],4,0)),"CUIT NO CARGADO")</f>
        <v>0</v>
      </c>
    </row>
    <row r="73" spans="2:18" x14ac:dyDescent="0.25">
      <c r="B73" s="394">
        <v>45098</v>
      </c>
      <c r="C73" s="395">
        <v>1</v>
      </c>
      <c r="D73" s="396">
        <v>6</v>
      </c>
      <c r="E73" s="397">
        <v>979</v>
      </c>
      <c r="F73" s="398">
        <v>30716815710</v>
      </c>
      <c r="G73" s="399" t="str">
        <f>IFERROR(IF(compras_mes6[[#This Row],[CUIT]]="","-",VLOOKUP(compras_mes6[[#This Row],[CUIT]],Lista_CUIT[#All],2,0)),"CUIT NO CARGADO")</f>
        <v>PAPELERA GEOPEL SRL</v>
      </c>
      <c r="H73" s="400">
        <v>8792.57</v>
      </c>
      <c r="I73" s="401">
        <f>IF(compras_mes6[[#This Row],[NETO GRAVADO]]="","",compras_mes6[[#This Row],[NETO GRAVADO]]*0.21)</f>
        <v>1846.4396999999999</v>
      </c>
      <c r="J73" s="401"/>
      <c r="K73" s="401"/>
      <c r="L73" s="401"/>
      <c r="M73" s="401"/>
      <c r="N73" s="401"/>
      <c r="O73" s="401"/>
      <c r="P73" s="402">
        <f>SUM(compras_mes6[[#This Row],[NETO GRAVADO]:[Otros / No Grav.]])</f>
        <v>10639.009699999999</v>
      </c>
      <c r="Q73" s="403" t="str">
        <f>IFERROR(IF(compras_mes6[[#This Row],[CUIT]]="","-",VLOOKUP(compras_mes6[[#This Row],[CUIT]],Lista_CUIT[#All],3,0)),"CUIT NO CARGADO")</f>
        <v>PAPELERIA</v>
      </c>
      <c r="R73" s="403">
        <f>IFERROR(IF(compras_mes6[[#This Row],[CUIT]]="","-",VLOOKUP(compras_mes6[[#This Row],[CUIT]],Lista_CUIT[#All],4,0)),"CUIT NO CARGADO")</f>
        <v>0</v>
      </c>
    </row>
    <row r="74" spans="2:18" x14ac:dyDescent="0.25">
      <c r="B74" s="394">
        <v>45099</v>
      </c>
      <c r="C74" s="395">
        <v>1</v>
      </c>
      <c r="D74" s="396">
        <v>3</v>
      </c>
      <c r="E74" s="397">
        <v>7870</v>
      </c>
      <c r="F74" s="398">
        <v>20045615473</v>
      </c>
      <c r="G74" s="399" t="str">
        <f>IFERROR(IF(compras_mes6[[#This Row],[CUIT]]="","-",VLOOKUP(compras_mes6[[#This Row],[CUIT]],Lista_CUIT[#All],2,0)),"CUIT NO CARGADO")</f>
        <v xml:space="preserve">DI FEO HUGO PASCUAL </v>
      </c>
      <c r="H74" s="400">
        <v>71260</v>
      </c>
      <c r="I74" s="401">
        <f>IF(compras_mes6[[#This Row],[NETO GRAVADO]]="","",compras_mes6[[#This Row],[NETO GRAVADO]]*0.21)</f>
        <v>14964.599999999999</v>
      </c>
      <c r="J74" s="401"/>
      <c r="K74" s="401"/>
      <c r="L74" s="401"/>
      <c r="M74" s="401"/>
      <c r="N74" s="401"/>
      <c r="O74" s="401"/>
      <c r="P74" s="402">
        <f>SUM(compras_mes6[[#This Row],[NETO GRAVADO]:[Otros / No Grav.]])</f>
        <v>86224.6</v>
      </c>
      <c r="Q74" s="403" t="str">
        <f>IFERROR(IF(compras_mes6[[#This Row],[CUIT]]="","-",VLOOKUP(compras_mes6[[#This Row],[CUIT]],Lista_CUIT[#All],3,0)),"CUIT NO CARGADO")</f>
        <v>Productos Ortopedicos</v>
      </c>
      <c r="R74" s="403">
        <f>IFERROR(IF(compras_mes6[[#This Row],[CUIT]]="","-",VLOOKUP(compras_mes6[[#This Row],[CUIT]],Lista_CUIT[#All],4,0)),"CUIT NO CARGADO")</f>
        <v>0</v>
      </c>
    </row>
    <row r="75" spans="2:18" x14ac:dyDescent="0.25">
      <c r="B75" s="394">
        <v>45099</v>
      </c>
      <c r="C75" s="395">
        <v>1</v>
      </c>
      <c r="D75" s="396">
        <v>5</v>
      </c>
      <c r="E75" s="397">
        <v>1271</v>
      </c>
      <c r="F75" s="398">
        <v>30712187316</v>
      </c>
      <c r="G75" s="399" t="str">
        <f>IFERROR(IF(compras_mes6[[#This Row],[CUIT]]="","-",VLOOKUP(compras_mes6[[#This Row],[CUIT]],Lista_CUIT[#All],2,0)),"CUIT NO CARGADO")</f>
        <v>ITALOMED PRODUCTOS SRL</v>
      </c>
      <c r="H75" s="400">
        <v>27648.639999999999</v>
      </c>
      <c r="I75" s="401">
        <f>IF(compras_mes6[[#This Row],[NETO GRAVADO]]="","",compras_mes6[[#This Row],[NETO GRAVADO]]*0.21)</f>
        <v>5806.2143999999998</v>
      </c>
      <c r="J75" s="401"/>
      <c r="K75" s="401"/>
      <c r="L75" s="401"/>
      <c r="M75" s="401"/>
      <c r="N75" s="401"/>
      <c r="O75" s="401"/>
      <c r="P75" s="402">
        <f>SUM(compras_mes6[[#This Row],[NETO GRAVADO]:[Otros / No Grav.]])</f>
        <v>33454.854399999997</v>
      </c>
      <c r="Q75" s="403" t="str">
        <f>IFERROR(IF(compras_mes6[[#This Row],[CUIT]]="","-",VLOOKUP(compras_mes6[[#This Row],[CUIT]],Lista_CUIT[#All],3,0)),"CUIT NO CARGADO")</f>
        <v>Productos Ortopedicos</v>
      </c>
      <c r="R75" s="403">
        <f>IFERROR(IF(compras_mes6[[#This Row],[CUIT]]="","-",VLOOKUP(compras_mes6[[#This Row],[CUIT]],Lista_CUIT[#All],4,0)),"CUIT NO CARGADO")</f>
        <v>0</v>
      </c>
    </row>
    <row r="76" spans="2:18" x14ac:dyDescent="0.25">
      <c r="B76" s="415">
        <v>45099</v>
      </c>
      <c r="C76" s="209">
        <v>1</v>
      </c>
      <c r="D76" s="416">
        <v>1</v>
      </c>
      <c r="E76" s="417">
        <v>622</v>
      </c>
      <c r="F76" s="418">
        <v>30715048066</v>
      </c>
      <c r="G76" s="419" t="str">
        <f>IFERROR(IF(compras_mes6[[#This Row],[CUIT]]="","-",VLOOKUP(compras_mes6[[#This Row],[CUIT]],Lista_CUIT[#All],2,0)),"CUIT NO CARGADO")</f>
        <v>ROLLS Y EMPANADAS SA</v>
      </c>
      <c r="H76" s="420">
        <v>288240</v>
      </c>
      <c r="I76" s="421">
        <f>IF(compras_mes6[[#This Row],[NETO GRAVADO]]="","",compras_mes6[[#This Row],[NETO GRAVADO]]*0.21)</f>
        <v>60530.399999999994</v>
      </c>
      <c r="J76" s="421"/>
      <c r="K76" s="421"/>
      <c r="L76" s="421"/>
      <c r="M76" s="421"/>
      <c r="N76" s="421"/>
      <c r="O76" s="421"/>
      <c r="P76" s="402">
        <f>SUM(compras_mes6[[#This Row],[NETO GRAVADO]:[Otros / No Grav.]])</f>
        <v>348770.4</v>
      </c>
      <c r="Q76" s="403" t="str">
        <f>IFERROR(IF(compras_mes6[[#This Row],[CUIT]]="","-",VLOOKUP(compras_mes6[[#This Row],[CUIT]],Lista_CUIT[#All],3,0)),"CUIT NO CARGADO")</f>
        <v>Catering</v>
      </c>
      <c r="R76" s="403">
        <f>IFERROR(IF(compras_mes6[[#This Row],[CUIT]]="","-",VLOOKUP(compras_mes6[[#This Row],[CUIT]],Lista_CUIT[#All],4,0)),"CUIT NO CARGADO")</f>
        <v>0</v>
      </c>
    </row>
    <row r="77" spans="2:18" x14ac:dyDescent="0.25">
      <c r="B77" s="394">
        <v>45099</v>
      </c>
      <c r="C77" s="395">
        <v>1</v>
      </c>
      <c r="D77" s="396">
        <v>3</v>
      </c>
      <c r="E77" s="397">
        <v>82</v>
      </c>
      <c r="F77" s="398">
        <v>20334976433</v>
      </c>
      <c r="G77" s="399" t="str">
        <f>IFERROR(IF(compras_mes6[[#This Row],[CUIT]]="","-",VLOOKUP(compras_mes6[[#This Row],[CUIT]],Lista_CUIT[#All],2,0)),"CUIT NO CARGADO")</f>
        <v>NARDOMARINO EZEQUIEL EDUARDO</v>
      </c>
      <c r="H77" s="400">
        <v>135493.38</v>
      </c>
      <c r="I77" s="401">
        <f>IF(compras_mes6[[#This Row],[NETO GRAVADO]]="","",compras_mes6[[#This Row],[NETO GRAVADO]]*0.21)</f>
        <v>28453.609799999998</v>
      </c>
      <c r="J77" s="401"/>
      <c r="K77" s="401"/>
      <c r="L77" s="401"/>
      <c r="M77" s="401"/>
      <c r="N77" s="401"/>
      <c r="O77" s="401"/>
      <c r="P77" s="402">
        <f>SUM(compras_mes6[[#This Row],[NETO GRAVADO]:[Otros / No Grav.]])</f>
        <v>163946.98980000001</v>
      </c>
      <c r="Q77" s="403" t="str">
        <f>IFERROR(IF(compras_mes6[[#This Row],[CUIT]]="","-",VLOOKUP(compras_mes6[[#This Row],[CUIT]],Lista_CUIT[#All],3,0)),"CUIT NO CARGADO")</f>
        <v>FLETE</v>
      </c>
      <c r="R77" s="403">
        <f>IFERROR(IF(compras_mes6[[#This Row],[CUIT]]="","-",VLOOKUP(compras_mes6[[#This Row],[CUIT]],Lista_CUIT[#All],4,0)),"CUIT NO CARGADO")</f>
        <v>0</v>
      </c>
    </row>
    <row r="78" spans="2:18" x14ac:dyDescent="0.25">
      <c r="B78" s="394">
        <v>45099</v>
      </c>
      <c r="C78" s="395">
        <v>1</v>
      </c>
      <c r="D78" s="396">
        <v>2</v>
      </c>
      <c r="E78" s="397">
        <v>7953</v>
      </c>
      <c r="F78" s="398">
        <v>30643862928</v>
      </c>
      <c r="G78" s="399" t="str">
        <f>IFERROR(IF(compras_mes6[[#This Row],[CUIT]]="","-",VLOOKUP(compras_mes6[[#This Row],[CUIT]],Lista_CUIT[#All],2,0)),"CUIT NO CARGADO")</f>
        <v>OUTLANDISH SRL</v>
      </c>
      <c r="H78" s="400">
        <v>3043365</v>
      </c>
      <c r="I78" s="401">
        <f>IF(compras_mes6[[#This Row],[NETO GRAVADO]]="","",compras_mes6[[#This Row],[NETO GRAVADO]]*0.21)</f>
        <v>639106.65</v>
      </c>
      <c r="J78" s="401"/>
      <c r="K78" s="401"/>
      <c r="L78" s="401"/>
      <c r="M78" s="401"/>
      <c r="N78" s="401"/>
      <c r="O78" s="401"/>
      <c r="P78" s="402">
        <f>SUM(compras_mes6[[#This Row],[NETO GRAVADO]:[Otros / No Grav.]])</f>
        <v>3682471.65</v>
      </c>
      <c r="Q78" s="403" t="str">
        <f>IFERROR(IF(compras_mes6[[#This Row],[CUIT]]="","-",VLOOKUP(compras_mes6[[#This Row],[CUIT]],Lista_CUIT[#All],3,0)),"CUIT NO CARGADO")</f>
        <v>Productos Ortopedicos</v>
      </c>
      <c r="R78" s="403">
        <f>IFERROR(IF(compras_mes6[[#This Row],[CUIT]]="","-",VLOOKUP(compras_mes6[[#This Row],[CUIT]],Lista_CUIT[#All],4,0)),"CUIT NO CARGADO")</f>
        <v>0</v>
      </c>
    </row>
    <row r="79" spans="2:18" x14ac:dyDescent="0.25">
      <c r="B79" s="394">
        <v>45099</v>
      </c>
      <c r="C79" s="395">
        <v>1</v>
      </c>
      <c r="D79" s="396">
        <v>7</v>
      </c>
      <c r="E79" s="397">
        <v>27305</v>
      </c>
      <c r="F79" s="398">
        <v>20271532483</v>
      </c>
      <c r="G79" s="399" t="str">
        <f>IFERROR(IF(compras_mes6[[#This Row],[CUIT]]="","-",VLOOKUP(compras_mes6[[#This Row],[CUIT]],Lista_CUIT[#All],2,0)),"CUIT NO CARGADO")</f>
        <v>DIEGO MARTIN RIOS</v>
      </c>
      <c r="H79" s="400">
        <v>37640.639999999999</v>
      </c>
      <c r="I79" s="401">
        <f>IF(compras_mes6[[#This Row],[NETO GRAVADO]]="","",compras_mes6[[#This Row],[NETO GRAVADO]]*0.21)</f>
        <v>7904.5343999999996</v>
      </c>
      <c r="J79" s="401"/>
      <c r="K79" s="401"/>
      <c r="L79" s="401"/>
      <c r="M79" s="401"/>
      <c r="N79" s="401"/>
      <c r="O79" s="401">
        <v>1317.42</v>
      </c>
      <c r="P79" s="402">
        <f>SUM(compras_mes6[[#This Row],[NETO GRAVADO]:[Otros / No Grav.]])</f>
        <v>46862.594399999994</v>
      </c>
      <c r="Q79" s="403" t="str">
        <f>IFERROR(IF(compras_mes6[[#This Row],[CUIT]]="","-",VLOOKUP(compras_mes6[[#This Row],[CUIT]],Lista_CUIT[#All],3,0)),"CUIT NO CARGADO")</f>
        <v>Productos Ortopedicos</v>
      </c>
      <c r="R79" s="403">
        <f>IFERROR(IF(compras_mes6[[#This Row],[CUIT]]="","-",VLOOKUP(compras_mes6[[#This Row],[CUIT]],Lista_CUIT[#All],4,0)),"CUIT NO CARGADO")</f>
        <v>0</v>
      </c>
    </row>
    <row r="80" spans="2:18" x14ac:dyDescent="0.25">
      <c r="B80" s="394">
        <v>45100</v>
      </c>
      <c r="C80" s="395">
        <v>1</v>
      </c>
      <c r="D80" s="396">
        <v>5</v>
      </c>
      <c r="E80" s="397">
        <v>17</v>
      </c>
      <c r="F80" s="398">
        <v>20929183143</v>
      </c>
      <c r="G80" s="399" t="str">
        <f>IFERROR(IF(compras_mes6[[#This Row],[CUIT]]="","-",VLOOKUP(compras_mes6[[#This Row],[CUIT]],Lista_CUIT[#All],2,0)),"CUIT NO CARGADO")</f>
        <v>MA JUN</v>
      </c>
      <c r="H80" s="400">
        <v>12000</v>
      </c>
      <c r="I80" s="401">
        <f>IF(compras_mes6[[#This Row],[NETO GRAVADO]]="","",compras_mes6[[#This Row],[NETO GRAVADO]]*0.21)</f>
        <v>2520</v>
      </c>
      <c r="J80" s="401"/>
      <c r="K80" s="401"/>
      <c r="L80" s="401"/>
      <c r="M80" s="401"/>
      <c r="N80" s="401"/>
      <c r="O80" s="401"/>
      <c r="P80" s="402">
        <f>SUM(compras_mes6[[#This Row],[NETO GRAVADO]:[Otros / No Grav.]])</f>
        <v>14520</v>
      </c>
      <c r="Q80" s="403" t="str">
        <f>IFERROR(IF(compras_mes6[[#This Row],[CUIT]]="","-",VLOOKUP(compras_mes6[[#This Row],[CUIT]],Lista_CUIT[#All],3,0)),"CUIT NO CARGADO")</f>
        <v>Gastos Varios</v>
      </c>
      <c r="R80" s="403">
        <f>IFERROR(IF(compras_mes6[[#This Row],[CUIT]]="","-",VLOOKUP(compras_mes6[[#This Row],[CUIT]],Lista_CUIT[#All],4,0)),"CUIT NO CARGADO")</f>
        <v>0</v>
      </c>
    </row>
    <row r="81" spans="2:18" x14ac:dyDescent="0.25">
      <c r="B81" s="394">
        <v>45100</v>
      </c>
      <c r="C81" s="395">
        <v>1</v>
      </c>
      <c r="D81" s="396">
        <v>5</v>
      </c>
      <c r="E81" s="397">
        <v>31</v>
      </c>
      <c r="F81" s="398">
        <v>27211511023</v>
      </c>
      <c r="G81" s="399" t="str">
        <f>IFERROR(IF(compras_mes6[[#This Row],[CUIT]]="","-",VLOOKUP(compras_mes6[[#This Row],[CUIT]],Lista_CUIT[#All],2,0)),"CUIT NO CARGADO")</f>
        <v>BRIÑON DANIELA</v>
      </c>
      <c r="H81" s="400">
        <v>73553.72</v>
      </c>
      <c r="I81" s="401">
        <f>IF(compras_mes6[[#This Row],[NETO GRAVADO]]="","",compras_mes6[[#This Row],[NETO GRAVADO]]*0.21)</f>
        <v>15446.281199999999</v>
      </c>
      <c r="J81" s="401"/>
      <c r="K81" s="401"/>
      <c r="L81" s="401"/>
      <c r="M81" s="401"/>
      <c r="N81" s="401"/>
      <c r="O81" s="401"/>
      <c r="P81" s="402">
        <f>SUM(compras_mes6[[#This Row],[NETO GRAVADO]:[Otros / No Grav.]])</f>
        <v>89000.001199999999</v>
      </c>
      <c r="Q81" s="403" t="str">
        <f>IFERROR(IF(compras_mes6[[#This Row],[CUIT]]="","-",VLOOKUP(compras_mes6[[#This Row],[CUIT]],Lista_CUIT[#All],3,0)),"CUIT NO CARGADO")</f>
        <v>Gastos Varios</v>
      </c>
      <c r="R81" s="403">
        <f>IFERROR(IF(compras_mes6[[#This Row],[CUIT]]="","-",VLOOKUP(compras_mes6[[#This Row],[CUIT]],Lista_CUIT[#All],4,0)),"CUIT NO CARGADO")</f>
        <v>0</v>
      </c>
    </row>
    <row r="82" spans="2:18" x14ac:dyDescent="0.25">
      <c r="B82" s="415">
        <v>45101</v>
      </c>
      <c r="C82" s="209">
        <v>1</v>
      </c>
      <c r="D82" s="416">
        <v>1002</v>
      </c>
      <c r="E82" s="417">
        <v>8993</v>
      </c>
      <c r="F82" s="418">
        <v>30712289046</v>
      </c>
      <c r="G82" s="419" t="str">
        <f>IFERROR(IF(compras_mes6[[#This Row],[CUIT]]="","-",VLOOKUP(compras_mes6[[#This Row],[CUIT]],Lista_CUIT[#All],2,0)),"CUIT NO CARGADO")</f>
        <v>IMPIERI, PIÑEIIRO, R  Y A SA</v>
      </c>
      <c r="H82" s="420">
        <v>8458.77</v>
      </c>
      <c r="I82" s="421">
        <f>IF(compras_mes6[[#This Row],[NETO GRAVADO]]="","",compras_mes6[[#This Row],[NETO GRAVADO]]*0.21)</f>
        <v>1776.3416999999999</v>
      </c>
      <c r="J82" s="421"/>
      <c r="K82" s="421"/>
      <c r="L82" s="421"/>
      <c r="M82" s="421"/>
      <c r="N82" s="421"/>
      <c r="O82" s="421">
        <v>1064.8900000000001</v>
      </c>
      <c r="P82" s="402">
        <f>SUM(compras_mes6[[#This Row],[NETO GRAVADO]:[Otros / No Grav.]])</f>
        <v>11300.001700000001</v>
      </c>
      <c r="Q82" s="403" t="str">
        <f>IFERROR(IF(compras_mes6[[#This Row],[CUIT]]="","-",VLOOKUP(compras_mes6[[#This Row],[CUIT]],Lista_CUIT[#All],3,0)),"CUIT NO CARGADO")</f>
        <v>COMBUSTIBLE</v>
      </c>
      <c r="R82" s="403">
        <f>IFERROR(IF(compras_mes6[[#This Row],[CUIT]]="","-",VLOOKUP(compras_mes6[[#This Row],[CUIT]],Lista_CUIT[#All],4,0)),"CUIT NO CARGADO")</f>
        <v>0</v>
      </c>
    </row>
    <row r="83" spans="2:18" x14ac:dyDescent="0.25">
      <c r="B83" s="394">
        <v>45101</v>
      </c>
      <c r="C83" s="395">
        <v>1</v>
      </c>
      <c r="D83" s="396">
        <v>12</v>
      </c>
      <c r="E83" s="397">
        <v>27332</v>
      </c>
      <c r="F83" s="398">
        <v>30705740670</v>
      </c>
      <c r="G83" s="399" t="str">
        <f>IFERROR(IF(compras_mes6[[#This Row],[CUIT]]="","-",VLOOKUP(compras_mes6[[#This Row],[CUIT]],Lista_CUIT[#All],2,0)),"CUIT NO CARGADO")</f>
        <v>MAVISUR SA</v>
      </c>
      <c r="H83" s="400">
        <v>5823.54</v>
      </c>
      <c r="I83" s="401">
        <f>IF(compras_mes6[[#This Row],[NETO GRAVADO]]="","",compras_mes6[[#This Row],[NETO GRAVADO]]*0.21)</f>
        <v>1222.9433999999999</v>
      </c>
      <c r="J83" s="401"/>
      <c r="K83" s="401"/>
      <c r="L83" s="401"/>
      <c r="M83" s="401"/>
      <c r="N83" s="401"/>
      <c r="O83" s="401">
        <v>953.52</v>
      </c>
      <c r="P83" s="402">
        <f>SUM(compras_mes6[[#This Row],[NETO GRAVADO]:[Otros / No Grav.]])</f>
        <v>8000.0033999999996</v>
      </c>
      <c r="Q83" s="403" t="str">
        <f>IFERROR(IF(compras_mes6[[#This Row],[CUIT]]="","-",VLOOKUP(compras_mes6[[#This Row],[CUIT]],Lista_CUIT[#All],3,0)),"CUIT NO CARGADO")</f>
        <v>COMBUSTIBLE</v>
      </c>
      <c r="R83" s="403">
        <f>IFERROR(IF(compras_mes6[[#This Row],[CUIT]]="","-",VLOOKUP(compras_mes6[[#This Row],[CUIT]],Lista_CUIT[#All],4,0)),"CUIT NO CARGADO")</f>
        <v>0</v>
      </c>
    </row>
    <row r="84" spans="2:18" x14ac:dyDescent="0.25">
      <c r="B84" s="415">
        <v>45104</v>
      </c>
      <c r="C84" s="209">
        <v>1</v>
      </c>
      <c r="D84" s="416">
        <v>700</v>
      </c>
      <c r="E84" s="417">
        <v>994792</v>
      </c>
      <c r="F84" s="418">
        <v>30715804812</v>
      </c>
      <c r="G84" s="419" t="str">
        <f>IFERROR(IF(compras_mes6[[#This Row],[CUIT]]="","-",VLOOKUP(compras_mes6[[#This Row],[CUIT]],Lista_CUIT[#All],2,0)),"CUIT NO CARGADO")</f>
        <v>CORREDORES VIALES SOCIEDAD ANONIMA</v>
      </c>
      <c r="H84" s="420">
        <v>1446.28</v>
      </c>
      <c r="I84" s="421">
        <f>IF(compras_mes6[[#This Row],[NETO GRAVADO]]="","",compras_mes6[[#This Row],[NETO GRAVADO]]*0.21)</f>
        <v>303.71879999999999</v>
      </c>
      <c r="J84" s="421"/>
      <c r="K84" s="421"/>
      <c r="L84" s="421"/>
      <c r="M84" s="421"/>
      <c r="N84" s="421">
        <v>50.62</v>
      </c>
      <c r="O84" s="421"/>
      <c r="P84" s="402">
        <f>SUM(compras_mes6[[#This Row],[NETO GRAVADO]:[Otros / No Grav.]])</f>
        <v>1800.6187999999997</v>
      </c>
      <c r="Q84" s="403" t="str">
        <f>IFERROR(IF(compras_mes6[[#This Row],[CUIT]]="","-",VLOOKUP(compras_mes6[[#This Row],[CUIT]],Lista_CUIT[#All],3,0)),"CUIT NO CARGADO")</f>
        <v>Autopista</v>
      </c>
      <c r="R84" s="403">
        <f>IFERROR(IF(compras_mes6[[#This Row],[CUIT]]="","-",VLOOKUP(compras_mes6[[#This Row],[CUIT]],Lista_CUIT[#All],4,0)),"CUIT NO CARGADO")</f>
        <v>0</v>
      </c>
    </row>
    <row r="85" spans="2:18" x14ac:dyDescent="0.25">
      <c r="B85" s="415">
        <v>45104</v>
      </c>
      <c r="C85" s="209">
        <v>1</v>
      </c>
      <c r="D85" s="416">
        <v>700</v>
      </c>
      <c r="E85" s="417">
        <v>994793</v>
      </c>
      <c r="F85" s="418">
        <v>30715804812</v>
      </c>
      <c r="G85" s="419" t="str">
        <f>IFERROR(IF(compras_mes6[[#This Row],[CUIT]]="","-",VLOOKUP(compras_mes6[[#This Row],[CUIT]],Lista_CUIT[#All],2,0)),"CUIT NO CARGADO")</f>
        <v>CORREDORES VIALES SOCIEDAD ANONIMA</v>
      </c>
      <c r="H85" s="420">
        <v>247.93</v>
      </c>
      <c r="I85" s="421">
        <f>IF(compras_mes6[[#This Row],[NETO GRAVADO]]="","",compras_mes6[[#This Row],[NETO GRAVADO]]*0.21)</f>
        <v>52.065300000000001</v>
      </c>
      <c r="J85" s="421"/>
      <c r="K85" s="421"/>
      <c r="L85" s="421"/>
      <c r="M85" s="421"/>
      <c r="N85" s="421"/>
      <c r="O85" s="421"/>
      <c r="P85" s="402">
        <f>SUM(compras_mes6[[#This Row],[NETO GRAVADO]:[Otros / No Grav.]])</f>
        <v>299.99529999999999</v>
      </c>
      <c r="Q85" s="403" t="str">
        <f>IFERROR(IF(compras_mes6[[#This Row],[CUIT]]="","-",VLOOKUP(compras_mes6[[#This Row],[CUIT]],Lista_CUIT[#All],3,0)),"CUIT NO CARGADO")</f>
        <v>Autopista</v>
      </c>
      <c r="R85" s="403">
        <f>IFERROR(IF(compras_mes6[[#This Row],[CUIT]]="","-",VLOOKUP(compras_mes6[[#This Row],[CUIT]],Lista_CUIT[#All],4,0)),"CUIT NO CARGADO")</f>
        <v>0</v>
      </c>
    </row>
    <row r="86" spans="2:18" x14ac:dyDescent="0.25">
      <c r="B86" s="394">
        <v>45104</v>
      </c>
      <c r="C86" s="395">
        <v>1</v>
      </c>
      <c r="D86" s="396">
        <v>2</v>
      </c>
      <c r="E86" s="397">
        <v>21970</v>
      </c>
      <c r="F86" s="398">
        <v>23233422029</v>
      </c>
      <c r="G86" s="399" t="str">
        <f>IFERROR(IF(compras_mes6[[#This Row],[CUIT]]="","-",VLOOKUP(compras_mes6[[#This Row],[CUIT]],Lista_CUIT[#All],2,0)),"CUIT NO CARGADO")</f>
        <v>RODOLFO SCHULZE</v>
      </c>
      <c r="H86" s="400">
        <v>43462.2</v>
      </c>
      <c r="I86" s="401">
        <f>IF(compras_mes6[[#This Row],[NETO GRAVADO]]="","",compras_mes6[[#This Row],[NETO GRAVADO]]*0.21)</f>
        <v>9127.0619999999999</v>
      </c>
      <c r="J86" s="401"/>
      <c r="K86" s="401"/>
      <c r="L86" s="401"/>
      <c r="M86" s="401"/>
      <c r="N86" s="401"/>
      <c r="O86" s="401"/>
      <c r="P86" s="402">
        <f>SUM(compras_mes6[[#This Row],[NETO GRAVADO]:[Otros / No Grav.]])</f>
        <v>52589.261999999995</v>
      </c>
      <c r="Q86" s="403" t="str">
        <f>IFERROR(IF(compras_mes6[[#This Row],[CUIT]]="","-",VLOOKUP(compras_mes6[[#This Row],[CUIT]],Lista_CUIT[#All],3,0)),"CUIT NO CARGADO")</f>
        <v>Productos Ortopedicos</v>
      </c>
      <c r="R86" s="403">
        <f>IFERROR(IF(compras_mes6[[#This Row],[CUIT]]="","-",VLOOKUP(compras_mes6[[#This Row],[CUIT]],Lista_CUIT[#All],4,0)),"CUIT NO CARGADO")</f>
        <v>0</v>
      </c>
    </row>
    <row r="87" spans="2:18" x14ac:dyDescent="0.25">
      <c r="B87" s="394">
        <v>45104</v>
      </c>
      <c r="C87" s="395">
        <v>1</v>
      </c>
      <c r="D87" s="396">
        <v>2</v>
      </c>
      <c r="E87" s="397">
        <v>21983</v>
      </c>
      <c r="F87" s="398">
        <v>23233422029</v>
      </c>
      <c r="G87" s="399" t="str">
        <f>IFERROR(IF(compras_mes6[[#This Row],[CUIT]]="","-",VLOOKUP(compras_mes6[[#This Row],[CUIT]],Lista_CUIT[#All],2,0)),"CUIT NO CARGADO")</f>
        <v>RODOLFO SCHULZE</v>
      </c>
      <c r="H87" s="400">
        <v>59610.5</v>
      </c>
      <c r="I87" s="401">
        <f>IF(compras_mes6[[#This Row],[NETO GRAVADO]]="","",compras_mes6[[#This Row],[NETO GRAVADO]]*0.21)</f>
        <v>12518.205</v>
      </c>
      <c r="J87" s="401"/>
      <c r="K87" s="401"/>
      <c r="L87" s="401"/>
      <c r="M87" s="401"/>
      <c r="N87" s="401"/>
      <c r="O87" s="401"/>
      <c r="P87" s="402">
        <f>SUM(compras_mes6[[#This Row],[NETO GRAVADO]:[Otros / No Grav.]])</f>
        <v>72128.705000000002</v>
      </c>
      <c r="Q87" s="403" t="str">
        <f>IFERROR(IF(compras_mes6[[#This Row],[CUIT]]="","-",VLOOKUP(compras_mes6[[#This Row],[CUIT]],Lista_CUIT[#All],3,0)),"CUIT NO CARGADO")</f>
        <v>Productos Ortopedicos</v>
      </c>
      <c r="R87" s="403">
        <f>IFERROR(IF(compras_mes6[[#This Row],[CUIT]]="","-",VLOOKUP(compras_mes6[[#This Row],[CUIT]],Lista_CUIT[#All],4,0)),"CUIT NO CARGADO")</f>
        <v>0</v>
      </c>
    </row>
    <row r="88" spans="2:18" x14ac:dyDescent="0.25">
      <c r="B88" s="394">
        <v>45105</v>
      </c>
      <c r="C88" s="395">
        <v>1</v>
      </c>
      <c r="D88" s="396">
        <v>3</v>
      </c>
      <c r="E88" s="397">
        <v>47346</v>
      </c>
      <c r="F88" s="398">
        <v>30577744579</v>
      </c>
      <c r="G88" s="399" t="str">
        <f>IFERROR(IF(compras_mes6[[#This Row],[CUIT]]="","-",VLOOKUP(compras_mes6[[#This Row],[CUIT]],Lista_CUIT[#All],2,0)),"CUIT NO CARGADO")</f>
        <v>EXPRESO TROLE SRL</v>
      </c>
      <c r="H88" s="400">
        <v>4509.21</v>
      </c>
      <c r="I88" s="401">
        <f>IF(compras_mes6[[#This Row],[NETO GRAVADO]]="","",compras_mes6[[#This Row],[NETO GRAVADO]]*0.21)</f>
        <v>946.93409999999994</v>
      </c>
      <c r="J88" s="401"/>
      <c r="K88" s="401"/>
      <c r="L88" s="401"/>
      <c r="M88" s="401"/>
      <c r="N88" s="401"/>
      <c r="O88" s="401"/>
      <c r="P88" s="402">
        <f>SUM(compras_mes6[[#This Row],[NETO GRAVADO]:[Otros / No Grav.]])</f>
        <v>5456.1440999999995</v>
      </c>
      <c r="Q88" s="403" t="str">
        <f>IFERROR(IF(compras_mes6[[#This Row],[CUIT]]="","-",VLOOKUP(compras_mes6[[#This Row],[CUIT]],Lista_CUIT[#All],3,0)),"CUIT NO CARGADO")</f>
        <v>FLETE</v>
      </c>
      <c r="R88" s="403">
        <f>IFERROR(IF(compras_mes6[[#This Row],[CUIT]]="","-",VLOOKUP(compras_mes6[[#This Row],[CUIT]],Lista_CUIT[#All],4,0)),"CUIT NO CARGADO")</f>
        <v>0</v>
      </c>
    </row>
    <row r="89" spans="2:18" x14ac:dyDescent="0.25">
      <c r="B89" s="394">
        <v>45105</v>
      </c>
      <c r="C89" s="395">
        <v>1</v>
      </c>
      <c r="D89" s="396">
        <v>2091</v>
      </c>
      <c r="E89" s="397">
        <v>85235</v>
      </c>
      <c r="F89" s="398">
        <v>30548083156</v>
      </c>
      <c r="G89" s="399" t="str">
        <f>IFERROR(IF(compras_mes6[[#This Row],[CUIT]]="","-",VLOOKUP(compras_mes6[[#This Row],[CUIT]],Lista_CUIT[#All],2,0)),"CUIT NO CARGADO")</f>
        <v>COTO CICSA</v>
      </c>
      <c r="H89" s="400">
        <v>6852.68</v>
      </c>
      <c r="I89" s="401">
        <f>IF(compras_mes6[[#This Row],[NETO GRAVADO]]="","",compras_mes6[[#This Row],[NETO GRAVADO]]*0.21)</f>
        <v>1439.0627999999999</v>
      </c>
      <c r="J89" s="401"/>
      <c r="K89" s="401"/>
      <c r="L89" s="401">
        <v>205.58</v>
      </c>
      <c r="M89" s="401"/>
      <c r="N89" s="401">
        <v>201.8</v>
      </c>
      <c r="O89" s="401"/>
      <c r="P89" s="402">
        <f>SUM(compras_mes6[[#This Row],[NETO GRAVADO]:[Otros / No Grav.]])</f>
        <v>8699.1227999999992</v>
      </c>
      <c r="Q89" s="403" t="str">
        <f>IFERROR(IF(compras_mes6[[#This Row],[CUIT]]="","-",VLOOKUP(compras_mes6[[#This Row],[CUIT]],Lista_CUIT[#All],3,0)),"CUIT NO CARGADO")</f>
        <v>Gastos Varios</v>
      </c>
      <c r="R89" s="403">
        <f>IFERROR(IF(compras_mes6[[#This Row],[CUIT]]="","-",VLOOKUP(compras_mes6[[#This Row],[CUIT]],Lista_CUIT[#All],4,0)),"CUIT NO CARGADO")</f>
        <v>0</v>
      </c>
    </row>
    <row r="90" spans="2:18" x14ac:dyDescent="0.25">
      <c r="B90" s="394">
        <v>45105</v>
      </c>
      <c r="C90" s="395">
        <v>1</v>
      </c>
      <c r="D90" s="396">
        <v>4</v>
      </c>
      <c r="E90" s="397">
        <v>405</v>
      </c>
      <c r="F90" s="398">
        <v>20253515512</v>
      </c>
      <c r="G90" s="399" t="str">
        <f>IFERROR(IF(compras_mes6[[#This Row],[CUIT]]="","-",VLOOKUP(compras_mes6[[#This Row],[CUIT]],Lista_CUIT[#All],2,0)),"CUIT NO CARGADO")</f>
        <v>ORTOPEDIA Y CIRUGIA DELGADO</v>
      </c>
      <c r="H90" s="400">
        <v>76033.06</v>
      </c>
      <c r="I90" s="401">
        <f>IF(compras_mes6[[#This Row],[NETO GRAVADO]]="","",compras_mes6[[#This Row],[NETO GRAVADO]]*0.21)</f>
        <v>15966.942599999998</v>
      </c>
      <c r="J90" s="401"/>
      <c r="K90" s="401"/>
      <c r="L90" s="401"/>
      <c r="M90" s="401"/>
      <c r="N90" s="401"/>
      <c r="O90" s="401"/>
      <c r="P90" s="402">
        <f>SUM(compras_mes6[[#This Row],[NETO GRAVADO]:[Otros / No Grav.]])</f>
        <v>92000.002599999993</v>
      </c>
      <c r="Q90" s="403" t="str">
        <f>IFERROR(IF(compras_mes6[[#This Row],[CUIT]]="","-",VLOOKUP(compras_mes6[[#This Row],[CUIT]],Lista_CUIT[#All],3,0)),"CUIT NO CARGADO")</f>
        <v>Productos Ortopedicos</v>
      </c>
      <c r="R90" s="403">
        <f>IFERROR(IF(compras_mes6[[#This Row],[CUIT]]="","-",VLOOKUP(compras_mes6[[#This Row],[CUIT]],Lista_CUIT[#All],4,0)),"CUIT NO CARGADO")</f>
        <v>0</v>
      </c>
    </row>
    <row r="91" spans="2:18" x14ac:dyDescent="0.25">
      <c r="B91" s="394">
        <v>45105</v>
      </c>
      <c r="C91" s="395">
        <v>1</v>
      </c>
      <c r="D91" s="396">
        <v>2091</v>
      </c>
      <c r="E91" s="397">
        <v>85234</v>
      </c>
      <c r="F91" s="398">
        <v>30548083156</v>
      </c>
      <c r="G91" s="399" t="str">
        <f>IFERROR(IF(compras_mes6[[#This Row],[CUIT]]="","-",VLOOKUP(compras_mes6[[#This Row],[CUIT]],Lista_CUIT[#All],2,0)),"CUIT NO CARGADO")</f>
        <v>COTO CICSA</v>
      </c>
      <c r="H91" s="400">
        <v>100916.53</v>
      </c>
      <c r="I91" s="401">
        <f>IF(compras_mes6[[#This Row],[NETO GRAVADO]]="","",compras_mes6[[#This Row],[NETO GRAVADO]]*0.21)</f>
        <v>21192.471299999997</v>
      </c>
      <c r="J91" s="401"/>
      <c r="K91" s="401"/>
      <c r="L91" s="401">
        <v>3027.5</v>
      </c>
      <c r="M91" s="401"/>
      <c r="N91" s="401">
        <v>3532.08</v>
      </c>
      <c r="O91" s="401"/>
      <c r="P91" s="402">
        <f>SUM(compras_mes6[[#This Row],[NETO GRAVADO]:[Otros / No Grav.]])</f>
        <v>128668.58130000001</v>
      </c>
      <c r="Q91" s="403" t="str">
        <f>IFERROR(IF(compras_mes6[[#This Row],[CUIT]]="","-",VLOOKUP(compras_mes6[[#This Row],[CUIT]],Lista_CUIT[#All],3,0)),"CUIT NO CARGADO")</f>
        <v>Gastos Varios</v>
      </c>
      <c r="R91" s="403">
        <f>IFERROR(IF(compras_mes6[[#This Row],[CUIT]]="","-",VLOOKUP(compras_mes6[[#This Row],[CUIT]],Lista_CUIT[#All],4,0)),"CUIT NO CARGADO")</f>
        <v>0</v>
      </c>
    </row>
    <row r="92" spans="2:18" x14ac:dyDescent="0.25">
      <c r="B92" s="415">
        <v>45105</v>
      </c>
      <c r="C92" s="209">
        <v>1</v>
      </c>
      <c r="D92" s="416">
        <v>7974</v>
      </c>
      <c r="E92" s="417">
        <v>575</v>
      </c>
      <c r="F92" s="418">
        <v>30708046724</v>
      </c>
      <c r="G92" s="419" t="str">
        <f>IFERROR(IF(compras_mes6[[#This Row],[CUIT]]="","-",VLOOKUP(compras_mes6[[#This Row],[CUIT]],Lista_CUIT[#All],2,0)),"CUIT NO CARGADO")</f>
        <v>INTEGRAL PACK EXPRESS S.A.</v>
      </c>
      <c r="H92" s="420">
        <v>3770.97</v>
      </c>
      <c r="I92" s="421">
        <f>IF(compras_mes6[[#This Row],[NETO GRAVADO]]="","",compras_mes6[[#This Row],[NETO GRAVADO]]*0.21)</f>
        <v>791.90369999999996</v>
      </c>
      <c r="J92" s="421"/>
      <c r="K92" s="421"/>
      <c r="L92" s="421"/>
      <c r="M92" s="421"/>
      <c r="N92" s="421"/>
      <c r="O92" s="421"/>
      <c r="P92" s="402">
        <f>SUM(compras_mes6[[#This Row],[NETO GRAVADO]:[Otros / No Grav.]])</f>
        <v>4562.8737000000001</v>
      </c>
      <c r="Q92" s="403" t="str">
        <f>IFERROR(IF(compras_mes6[[#This Row],[CUIT]]="","-",VLOOKUP(compras_mes6[[#This Row],[CUIT]],Lista_CUIT[#All],3,0)),"CUIT NO CARGADO")</f>
        <v>FLETE</v>
      </c>
      <c r="R92" s="403">
        <f>IFERROR(IF(compras_mes6[[#This Row],[CUIT]]="","-",VLOOKUP(compras_mes6[[#This Row],[CUIT]],Lista_CUIT[#All],4,0)),"CUIT NO CARGADO")</f>
        <v>0</v>
      </c>
    </row>
    <row r="93" spans="2:18" x14ac:dyDescent="0.25">
      <c r="B93" s="394">
        <v>45106</v>
      </c>
      <c r="C93" s="395">
        <v>1</v>
      </c>
      <c r="D93" s="396">
        <v>3</v>
      </c>
      <c r="E93" s="397">
        <v>7884</v>
      </c>
      <c r="F93" s="398">
        <v>20045615473</v>
      </c>
      <c r="G93" s="399" t="str">
        <f>IFERROR(IF(compras_mes6[[#This Row],[CUIT]]="","-",VLOOKUP(compras_mes6[[#This Row],[CUIT]],Lista_CUIT[#All],2,0)),"CUIT NO CARGADO")</f>
        <v xml:space="preserve">DI FEO HUGO PASCUAL </v>
      </c>
      <c r="H93" s="400">
        <v>3800</v>
      </c>
      <c r="I93" s="401">
        <f>IF(compras_mes6[[#This Row],[NETO GRAVADO]]="","",compras_mes6[[#This Row],[NETO GRAVADO]]*0.21)</f>
        <v>798</v>
      </c>
      <c r="J93" s="401"/>
      <c r="K93" s="401"/>
      <c r="L93" s="401"/>
      <c r="M93" s="401"/>
      <c r="N93" s="401"/>
      <c r="O93" s="401"/>
      <c r="P93" s="402">
        <f>SUM(compras_mes6[[#This Row],[NETO GRAVADO]:[Otros / No Grav.]])</f>
        <v>4598</v>
      </c>
      <c r="Q93" s="403" t="str">
        <f>IFERROR(IF(compras_mes6[[#This Row],[CUIT]]="","-",VLOOKUP(compras_mes6[[#This Row],[CUIT]],Lista_CUIT[#All],3,0)),"CUIT NO CARGADO")</f>
        <v>Productos Ortopedicos</v>
      </c>
      <c r="R93" s="403">
        <f>IFERROR(IF(compras_mes6[[#This Row],[CUIT]]="","-",VLOOKUP(compras_mes6[[#This Row],[CUIT]],Lista_CUIT[#All],4,0)),"CUIT NO CARGADO")</f>
        <v>0</v>
      </c>
    </row>
    <row r="94" spans="2:18" x14ac:dyDescent="0.25">
      <c r="B94" s="394">
        <v>45106</v>
      </c>
      <c r="C94" s="395">
        <v>1</v>
      </c>
      <c r="D94" s="396">
        <v>3</v>
      </c>
      <c r="E94" s="397">
        <v>3</v>
      </c>
      <c r="F94" s="398">
        <v>20396584809</v>
      </c>
      <c r="G94" s="399" t="str">
        <f>IFERROR(IF(compras_mes6[[#This Row],[CUIT]]="","-",VLOOKUP(compras_mes6[[#This Row],[CUIT]],Lista_CUIT[#All],2,0)),"CUIT NO CARGADO")</f>
        <v>DEBELIUCH TOMAS IVAN</v>
      </c>
      <c r="H94" s="400">
        <v>723000</v>
      </c>
      <c r="I94" s="401"/>
      <c r="J94" s="401"/>
      <c r="K94" s="401">
        <v>75915</v>
      </c>
      <c r="L94" s="401"/>
      <c r="M94" s="401"/>
      <c r="N94" s="401"/>
      <c r="O94" s="401"/>
      <c r="P94" s="402">
        <f>SUM(compras_mes6[[#This Row],[NETO GRAVADO]:[Otros / No Grav.]])</f>
        <v>798915</v>
      </c>
      <c r="Q94" s="403" t="str">
        <f>IFERROR(IF(compras_mes6[[#This Row],[CUIT]]="","-",VLOOKUP(compras_mes6[[#This Row],[CUIT]],Lista_CUIT[#All],3,0)),"CUIT NO CARGADO")</f>
        <v>Productos Ortopedicos</v>
      </c>
      <c r="R94" s="403">
        <f>IFERROR(IF(compras_mes6[[#This Row],[CUIT]]="","-",VLOOKUP(compras_mes6[[#This Row],[CUIT]],Lista_CUIT[#All],4,0)),"CUIT NO CARGADO")</f>
        <v>0</v>
      </c>
    </row>
    <row r="95" spans="2:18" x14ac:dyDescent="0.25">
      <c r="B95" s="394">
        <v>45106</v>
      </c>
      <c r="C95" s="395">
        <v>1</v>
      </c>
      <c r="D95" s="396">
        <v>3</v>
      </c>
      <c r="E95" s="397">
        <v>4</v>
      </c>
      <c r="F95" s="398">
        <v>20396584809</v>
      </c>
      <c r="G95" s="399" t="str">
        <f>IFERROR(IF(compras_mes6[[#This Row],[CUIT]]="","-",VLOOKUP(compras_mes6[[#This Row],[CUIT]],Lista_CUIT[#All],2,0)),"CUIT NO CARGADO")</f>
        <v>DEBELIUCH TOMAS IVAN</v>
      </c>
      <c r="H95" s="400">
        <v>723000</v>
      </c>
      <c r="I95" s="401"/>
      <c r="J95" s="401"/>
      <c r="K95" s="401">
        <v>75915</v>
      </c>
      <c r="L95" s="401"/>
      <c r="M95" s="401"/>
      <c r="N95" s="401"/>
      <c r="O95" s="401"/>
      <c r="P95" s="402">
        <f>SUM(compras_mes6[[#This Row],[NETO GRAVADO]:[Otros / No Grav.]])</f>
        <v>798915</v>
      </c>
      <c r="Q95" s="403" t="str">
        <f>IFERROR(IF(compras_mes6[[#This Row],[CUIT]]="","-",VLOOKUP(compras_mes6[[#This Row],[CUIT]],Lista_CUIT[#All],3,0)),"CUIT NO CARGADO")</f>
        <v>Productos Ortopedicos</v>
      </c>
      <c r="R95" s="403">
        <f>IFERROR(IF(compras_mes6[[#This Row],[CUIT]]="","-",VLOOKUP(compras_mes6[[#This Row],[CUIT]],Lista_CUIT[#All],4,0)),"CUIT NO CARGADO")</f>
        <v>0</v>
      </c>
    </row>
    <row r="96" spans="2:18" x14ac:dyDescent="0.25">
      <c r="B96" s="394">
        <v>45106</v>
      </c>
      <c r="C96" s="395">
        <v>1</v>
      </c>
      <c r="D96" s="396">
        <v>3</v>
      </c>
      <c r="E96" s="397">
        <v>7882</v>
      </c>
      <c r="F96" s="398">
        <v>20045615473</v>
      </c>
      <c r="G96" s="399" t="str">
        <f>IFERROR(IF(compras_mes6[[#This Row],[CUIT]]="","-",VLOOKUP(compras_mes6[[#This Row],[CUIT]],Lista_CUIT[#All],2,0)),"CUIT NO CARGADO")</f>
        <v xml:space="preserve">DI FEO HUGO PASCUAL </v>
      </c>
      <c r="H96" s="400">
        <v>43730</v>
      </c>
      <c r="I96" s="401">
        <f>IF(compras_mes6[[#This Row],[NETO GRAVADO]]="","",compras_mes6[[#This Row],[NETO GRAVADO]]*0.21)</f>
        <v>9183.2999999999993</v>
      </c>
      <c r="J96" s="401"/>
      <c r="K96" s="401"/>
      <c r="L96" s="401"/>
      <c r="M96" s="401"/>
      <c r="N96" s="401"/>
      <c r="O96" s="401"/>
      <c r="P96" s="402">
        <f>SUM(compras_mes6[[#This Row],[NETO GRAVADO]:[Otros / No Grav.]])</f>
        <v>52913.3</v>
      </c>
      <c r="Q96" s="403" t="str">
        <f>IFERROR(IF(compras_mes6[[#This Row],[CUIT]]="","-",VLOOKUP(compras_mes6[[#This Row],[CUIT]],Lista_CUIT[#All],3,0)),"CUIT NO CARGADO")</f>
        <v>Productos Ortopedicos</v>
      </c>
      <c r="R96" s="403">
        <f>IFERROR(IF(compras_mes6[[#This Row],[CUIT]]="","-",VLOOKUP(compras_mes6[[#This Row],[CUIT]],Lista_CUIT[#All],4,0)),"CUIT NO CARGADO")</f>
        <v>0</v>
      </c>
    </row>
    <row r="97" spans="2:18" x14ac:dyDescent="0.25">
      <c r="B97" s="415">
        <v>45106</v>
      </c>
      <c r="C97" s="209">
        <v>1</v>
      </c>
      <c r="D97" s="416">
        <v>23</v>
      </c>
      <c r="E97" s="417">
        <v>1355371</v>
      </c>
      <c r="F97" s="418">
        <v>30703088534</v>
      </c>
      <c r="G97" s="419" t="str">
        <f>IFERROR(IF(compras_mes6[[#This Row],[CUIT]]="","-",VLOOKUP(compras_mes6[[#This Row],[CUIT]],Lista_CUIT[#All],2,0)),"CUIT NO CARGADO")</f>
        <v>MERCADO LIBRE SRL</v>
      </c>
      <c r="H97" s="420">
        <v>10776.65</v>
      </c>
      <c r="I97" s="421">
        <f>IF(compras_mes6[[#This Row],[NETO GRAVADO]]="","",compras_mes6[[#This Row],[NETO GRAVADO]]*0.21)</f>
        <v>2263.0964999999997</v>
      </c>
      <c r="J97" s="421"/>
      <c r="K97" s="421"/>
      <c r="L97" s="421"/>
      <c r="M97" s="421"/>
      <c r="N97" s="421"/>
      <c r="O97" s="421">
        <v>700.48</v>
      </c>
      <c r="P97" s="437">
        <f>SUM(compras_mes6[[#This Row],[NETO GRAVADO]:[Otros / No Grav.]])</f>
        <v>13740.226499999999</v>
      </c>
      <c r="Q97" s="403" t="str">
        <f>IFERROR(IF(compras_mes6[[#This Row],[CUIT]]="","-",VLOOKUP(compras_mes6[[#This Row],[CUIT]],Lista_CUIT[#All],3,0)),"CUIT NO CARGADO")</f>
        <v>GASTOS COMERCIALIZACION</v>
      </c>
      <c r="R97" s="403">
        <f>IFERROR(IF(compras_mes6[[#This Row],[CUIT]]="","-",VLOOKUP(compras_mes6[[#This Row],[CUIT]],Lista_CUIT[#All],4,0)),"CUIT NO CARGADO")</f>
        <v>0</v>
      </c>
    </row>
    <row r="98" spans="2:18" x14ac:dyDescent="0.25">
      <c r="B98" s="415">
        <v>45106</v>
      </c>
      <c r="C98" s="422">
        <v>3</v>
      </c>
      <c r="D98" s="416">
        <v>23</v>
      </c>
      <c r="E98" s="417">
        <v>37945</v>
      </c>
      <c r="F98" s="418">
        <v>30703088534</v>
      </c>
      <c r="G98" s="419" t="str">
        <f>IFERROR(IF(compras_mes6[[#This Row],[CUIT]]="","-",VLOOKUP(compras_mes6[[#This Row],[CUIT]],Lista_CUIT[#All],2,0)),"CUIT NO CARGADO")</f>
        <v>MERCADO LIBRE SRL</v>
      </c>
      <c r="H98" s="420">
        <v>-169.42</v>
      </c>
      <c r="I98" s="421">
        <f>IF(compras_mes6[[#This Row],[NETO GRAVADO]]="","",compras_mes6[[#This Row],[NETO GRAVADO]]*0.21)</f>
        <v>-35.578199999999995</v>
      </c>
      <c r="J98" s="421"/>
      <c r="K98" s="421"/>
      <c r="L98" s="421"/>
      <c r="M98" s="421"/>
      <c r="N98" s="421"/>
      <c r="O98" s="421">
        <v>-5.08</v>
      </c>
      <c r="P98" s="402">
        <f>SUM(compras_mes6[[#This Row],[NETO GRAVADO]:[Otros / No Grav.]])</f>
        <v>-210.07820000000001</v>
      </c>
      <c r="Q98" s="403" t="str">
        <f>IFERROR(IF(compras_mes6[[#This Row],[CUIT]]="","-",VLOOKUP(compras_mes6[[#This Row],[CUIT]],Lista_CUIT[#All],3,0)),"CUIT NO CARGADO")</f>
        <v>GASTOS COMERCIALIZACION</v>
      </c>
      <c r="R98" s="403">
        <f>IFERROR(IF(compras_mes6[[#This Row],[CUIT]]="","-",VLOOKUP(compras_mes6[[#This Row],[CUIT]],Lista_CUIT[#All],4,0)),"CUIT NO CARGADO")</f>
        <v>0</v>
      </c>
    </row>
    <row r="99" spans="2:18" x14ac:dyDescent="0.25">
      <c r="B99" s="394">
        <v>45107</v>
      </c>
      <c r="C99" s="395">
        <v>1</v>
      </c>
      <c r="D99" s="396">
        <v>7</v>
      </c>
      <c r="E99" s="397">
        <v>869</v>
      </c>
      <c r="F99" s="398">
        <v>30712187316</v>
      </c>
      <c r="G99" s="399" t="str">
        <f>IFERROR(IF(compras_mes6[[#This Row],[CUIT]]="","-",VLOOKUP(compras_mes6[[#This Row],[CUIT]],Lista_CUIT[#All],2,0)),"CUIT NO CARGADO")</f>
        <v>ITALOMED PRODUCTOS SRL</v>
      </c>
      <c r="H99" s="400">
        <v>56028.36</v>
      </c>
      <c r="I99" s="401">
        <f>IF(compras_mes6[[#This Row],[NETO GRAVADO]]="","",compras_mes6[[#This Row],[NETO GRAVADO]]*0.21)</f>
        <v>11765.955599999999</v>
      </c>
      <c r="J99" s="401"/>
      <c r="K99" s="401"/>
      <c r="L99" s="401"/>
      <c r="M99" s="401"/>
      <c r="N99" s="401"/>
      <c r="O99" s="401"/>
      <c r="P99" s="402">
        <f>SUM(compras_mes6[[#This Row],[NETO GRAVADO]:[Otros / No Grav.]])</f>
        <v>67794.315600000002</v>
      </c>
      <c r="Q99" s="403" t="str">
        <f>IFERROR(IF(compras_mes6[[#This Row],[CUIT]]="","-",VLOOKUP(compras_mes6[[#This Row],[CUIT]],Lista_CUIT[#All],3,0)),"CUIT NO CARGADO")</f>
        <v>Productos Ortopedicos</v>
      </c>
      <c r="R99" s="403">
        <f>IFERROR(IF(compras_mes6[[#This Row],[CUIT]]="","-",VLOOKUP(compras_mes6[[#This Row],[CUIT]],Lista_CUIT[#All],4,0)),"CUIT NO CARGADO")</f>
        <v>0</v>
      </c>
    </row>
    <row r="100" spans="2:18" x14ac:dyDescent="0.25">
      <c r="B100" s="415">
        <v>45107</v>
      </c>
      <c r="C100" s="209">
        <v>1</v>
      </c>
      <c r="D100" s="416">
        <v>20</v>
      </c>
      <c r="E100" s="417">
        <v>153063</v>
      </c>
      <c r="F100" s="418">
        <v>30696850972</v>
      </c>
      <c r="G100" s="419" t="str">
        <f>IFERROR(IF(compras_mes6[[#This Row],[CUIT]]="","-",VLOOKUP(compras_mes6[[#This Row],[CUIT]],Lista_CUIT[#All],2,0)),"CUIT NO CARGADO")</f>
        <v>CPS COMUNICACIONES SA</v>
      </c>
      <c r="H100" s="420">
        <v>4125.01</v>
      </c>
      <c r="I100" s="421"/>
      <c r="J100" s="421"/>
      <c r="K100" s="421">
        <v>1113.75</v>
      </c>
      <c r="L100" s="421"/>
      <c r="M100" s="421"/>
      <c r="N100" s="421">
        <v>144.37</v>
      </c>
      <c r="O100" s="421"/>
      <c r="P100" s="402">
        <f>SUM(compras_mes6[[#This Row],[NETO GRAVADO]:[Otros / No Grav.]])</f>
        <v>5383.13</v>
      </c>
      <c r="Q100" s="403" t="str">
        <f>IFERROR(IF(compras_mes6[[#This Row],[CUIT]]="","-",VLOOKUP(compras_mes6[[#This Row],[CUIT]],Lista_CUIT[#All],3,0)),"CUIT NO CARGADO")</f>
        <v>SERVICIO DE TELEFONIA</v>
      </c>
      <c r="R100" s="403">
        <f>IFERROR(IF(compras_mes6[[#This Row],[CUIT]]="","-",VLOOKUP(compras_mes6[[#This Row],[CUIT]],Lista_CUIT[#All],4,0)),"CUIT NO CARGADO")</f>
        <v>0</v>
      </c>
    </row>
    <row r="101" spans="2:18" x14ac:dyDescent="0.25">
      <c r="B101" s="415">
        <v>45107</v>
      </c>
      <c r="C101" s="209">
        <v>1</v>
      </c>
      <c r="D101" s="416">
        <v>50</v>
      </c>
      <c r="E101" s="417">
        <v>3150843</v>
      </c>
      <c r="F101" s="418">
        <v>30714112836</v>
      </c>
      <c r="G101" s="419" t="str">
        <f>IFERROR(IF(compras_mes6[[#This Row],[CUIT]]="","-",VLOOKUP(compras_mes6[[#This Row],[CUIT]],Lista_CUIT[#All],2,0)),"CUIT NO CARGADO")</f>
        <v>AUTOPISTAS DE BUENOS AIRES (AUBASA) SA</v>
      </c>
      <c r="H101" s="420">
        <v>578.51</v>
      </c>
      <c r="I101" s="421">
        <f>IF(compras_mes6[[#This Row],[NETO GRAVADO]]="","",compras_mes6[[#This Row],[NETO GRAVADO]]*0.21)</f>
        <v>121.4871</v>
      </c>
      <c r="J101" s="421"/>
      <c r="K101" s="421"/>
      <c r="L101" s="421">
        <v>17.36</v>
      </c>
      <c r="M101" s="421"/>
      <c r="N101" s="421"/>
      <c r="O101" s="421"/>
      <c r="P101" s="402">
        <f>SUM(compras_mes6[[#This Row],[NETO GRAVADO]:[Otros / No Grav.]])</f>
        <v>717.35710000000006</v>
      </c>
      <c r="Q101" s="403" t="str">
        <f>IFERROR(IF(compras_mes6[[#This Row],[CUIT]]="","-",VLOOKUP(compras_mes6[[#This Row],[CUIT]],Lista_CUIT[#All],3,0)),"CUIT NO CARGADO")</f>
        <v>Autopista</v>
      </c>
      <c r="R101" s="403">
        <f>IFERROR(IF(compras_mes6[[#This Row],[CUIT]]="","-",VLOOKUP(compras_mes6[[#This Row],[CUIT]],Lista_CUIT[#All],4,0)),"CUIT NO CARGADO")</f>
        <v>0</v>
      </c>
    </row>
    <row r="102" spans="2:18" x14ac:dyDescent="0.25">
      <c r="B102" s="415">
        <v>45107</v>
      </c>
      <c r="C102" s="209">
        <v>1</v>
      </c>
      <c r="D102" s="416">
        <v>6</v>
      </c>
      <c r="E102" s="417">
        <v>14362494</v>
      </c>
      <c r="F102" s="418">
        <v>30620177497</v>
      </c>
      <c r="G102" s="419" t="str">
        <f>IFERROR(IF(compras_mes6[[#This Row],[CUIT]]="","-",VLOOKUP(compras_mes6[[#This Row],[CUIT]],Lista_CUIT[#All],2,0)),"CUIT NO CARGADO")</f>
        <v>POSNET SOCIEDAD DE RESPONSABILIDAD LIMITADA</v>
      </c>
      <c r="H102" s="420">
        <v>4938.26</v>
      </c>
      <c r="I102" s="421">
        <f>IF(compras_mes6[[#This Row],[NETO GRAVADO]]="","",compras_mes6[[#This Row],[NETO GRAVADO]]*0.21)</f>
        <v>1037.0346</v>
      </c>
      <c r="J102" s="421"/>
      <c r="K102" s="421"/>
      <c r="L102" s="421"/>
      <c r="M102" s="421"/>
      <c r="N102" s="421"/>
      <c r="O102" s="421">
        <v>320.99</v>
      </c>
      <c r="P102" s="402">
        <f>SUM(compras_mes6[[#This Row],[NETO GRAVADO]:[Otros / No Grav.]])</f>
        <v>6296.2846</v>
      </c>
      <c r="Q102" s="403" t="str">
        <f>IFERROR(IF(compras_mes6[[#This Row],[CUIT]]="","-",VLOOKUP(compras_mes6[[#This Row],[CUIT]],Lista_CUIT[#All],3,0)),"CUIT NO CARGADO")</f>
        <v>GASTOS VARIOS</v>
      </c>
      <c r="R102" s="403">
        <f>IFERROR(IF(compras_mes6[[#This Row],[CUIT]]="","-",VLOOKUP(compras_mes6[[#This Row],[CUIT]],Lista_CUIT[#All],4,0)),"CUIT NO CARGADO")</f>
        <v>0</v>
      </c>
    </row>
    <row r="103" spans="2:18" x14ac:dyDescent="0.25">
      <c r="B103" s="394"/>
      <c r="C103" s="395"/>
      <c r="D103" s="396"/>
      <c r="E103" s="397"/>
      <c r="F103" s="398"/>
      <c r="G103" s="399" t="str">
        <f>IFERROR(IF(compras_mes6[[#This Row],[CUIT]]="","-",VLOOKUP(compras_mes6[[#This Row],[CUIT]],Lista_CUIT[#All],2,0)),"CUIT NO CARGADO")</f>
        <v>-</v>
      </c>
      <c r="H103" s="400"/>
      <c r="I103" s="401" t="str">
        <f>IF(compras_mes6[[#This Row],[NETO GRAVADO]]="","",compras_mes6[[#This Row],[NETO GRAVADO]]*0.21)</f>
        <v/>
      </c>
      <c r="J103" s="401"/>
      <c r="K103" s="401"/>
      <c r="L103" s="401"/>
      <c r="M103" s="401"/>
      <c r="N103" s="401"/>
      <c r="O103" s="401"/>
      <c r="P103" s="402">
        <f>SUM(compras_mes6[[#This Row],[NETO GRAVADO]:[Otros / No Grav.]])</f>
        <v>0</v>
      </c>
      <c r="Q103" s="403" t="str">
        <f>IFERROR(IF(compras_mes6[[#This Row],[CUIT]]="","-",VLOOKUP(compras_mes6[[#This Row],[CUIT]],Lista_CUIT[#All],3,0)),"CUIT NO CARGADO")</f>
        <v>-</v>
      </c>
      <c r="R103" s="403" t="str">
        <f>IFERROR(IF(compras_mes6[[#This Row],[CUIT]]="","-",VLOOKUP(compras_mes6[[#This Row],[CUIT]],Lista_CUIT[#All],4,0)),"CUIT NO CARGADO")</f>
        <v>-</v>
      </c>
    </row>
    <row r="104" spans="2:18" x14ac:dyDescent="0.25">
      <c r="B104" s="404" t="s">
        <v>110</v>
      </c>
      <c r="C104" s="404"/>
      <c r="D104" s="404"/>
      <c r="E104" s="404"/>
      <c r="F104" s="404"/>
      <c r="G104" s="405"/>
      <c r="H104" s="406">
        <f>SUBTOTAL(109,compras_mes6[NETO GRAVADO])</f>
        <v>15312833.85</v>
      </c>
      <c r="I104" s="406">
        <f>SUBTOTAL(109,compras_mes6[IVA 21 %])</f>
        <v>2888893.5747000007</v>
      </c>
      <c r="J104" s="406">
        <f>SUBTOTAL(109,compras_mes6[IVA 27%])</f>
        <v>4963.3500000000004</v>
      </c>
      <c r="K104" s="406">
        <f>SUBTOTAL(109,compras_mes6[IVA 10,5%])</f>
        <v>162151.20000000001</v>
      </c>
      <c r="L104" s="406">
        <f>SUBTOTAL(109,compras_mes6[PERC. IVA])</f>
        <v>4070.96</v>
      </c>
      <c r="M104" s="406">
        <f>SUBTOTAL(109,compras_mes6[PERC IIBB 
BS AS])</f>
        <v>867.48</v>
      </c>
      <c r="N104" s="406">
        <f>SUBTOTAL(109,compras_mes6[PERC. IIBB CABA])</f>
        <v>39268.080000000016</v>
      </c>
      <c r="O104" s="406">
        <f>SUBTOTAL(109,compras_mes6[Otros / No Grav.])</f>
        <v>119713.51999999999</v>
      </c>
      <c r="P104" s="406">
        <f>SUBTOTAL(109,compras_mes6[TOTAL])</f>
        <v>18532762.014700003</v>
      </c>
      <c r="Q104" s="404"/>
      <c r="R104" s="404"/>
    </row>
    <row r="105" spans="2:18" x14ac:dyDescent="0.25">
      <c r="B105" s="40"/>
      <c r="C105" s="41"/>
      <c r="D105" s="42"/>
      <c r="E105" s="43"/>
      <c r="F105" s="44"/>
      <c r="G105" s="45"/>
      <c r="H105" s="46"/>
      <c r="I105" s="47"/>
      <c r="J105" s="47"/>
      <c r="K105" s="47"/>
      <c r="L105" s="47"/>
      <c r="M105" s="47"/>
      <c r="N105" s="47"/>
      <c r="O105" s="47"/>
      <c r="P105" s="48"/>
      <c r="Q105" s="49"/>
      <c r="R105" s="49"/>
    </row>
    <row r="106" spans="2:18" x14ac:dyDescent="0.25">
      <c r="B106" s="40"/>
      <c r="C106" s="41"/>
      <c r="D106" s="42"/>
      <c r="E106" s="43"/>
      <c r="F106" s="44"/>
      <c r="G106" s="45"/>
      <c r="H106" s="46"/>
      <c r="I106" s="47"/>
      <c r="J106" s="47"/>
      <c r="K106" s="47"/>
      <c r="L106" s="47"/>
      <c r="M106" s="47"/>
      <c r="N106" s="47"/>
      <c r="O106" s="47"/>
      <c r="P106" s="48"/>
      <c r="Q106" s="49"/>
      <c r="R106" s="49"/>
    </row>
    <row r="107" spans="2:18" ht="14.45" customHeight="1" x14ac:dyDescent="0.25">
      <c r="B107" s="40"/>
      <c r="C107" s="41"/>
      <c r="D107" s="42"/>
      <c r="E107" s="43"/>
      <c r="F107" s="44"/>
      <c r="G107" s="45"/>
      <c r="H107" s="46"/>
      <c r="I107" s="47"/>
      <c r="J107" s="47"/>
      <c r="K107" s="47"/>
      <c r="L107" s="47"/>
      <c r="M107" s="47"/>
      <c r="N107" s="47"/>
      <c r="O107" s="47"/>
      <c r="P107" s="48"/>
      <c r="Q107" s="49"/>
      <c r="R107" s="49"/>
    </row>
    <row r="108" spans="2:18" ht="22.9" customHeight="1" x14ac:dyDescent="0.25">
      <c r="B108" s="40"/>
      <c r="C108" s="41"/>
      <c r="D108" s="42"/>
      <c r="E108" s="43"/>
      <c r="F108" s="44"/>
      <c r="G108" s="45"/>
      <c r="H108" s="46"/>
      <c r="I108" s="47"/>
      <c r="J108" s="47"/>
      <c r="K108" s="47"/>
      <c r="L108" s="47"/>
    </row>
    <row r="109" spans="2:18" ht="25.9" customHeight="1" x14ac:dyDescent="0.25">
      <c r="D109" s="524" t="s">
        <v>15</v>
      </c>
      <c r="E109" s="524"/>
      <c r="F109" s="524"/>
      <c r="G109" s="524"/>
      <c r="H109" s="524"/>
      <c r="I109" s="524"/>
      <c r="J109" s="524"/>
      <c r="K109" s="524"/>
      <c r="L109" s="524"/>
    </row>
    <row r="110" spans="2:18" ht="14.45" customHeight="1" x14ac:dyDescent="0.25">
      <c r="D110" s="73" t="s">
        <v>0</v>
      </c>
      <c r="E110" s="74" t="s">
        <v>26</v>
      </c>
      <c r="F110" s="74" t="s">
        <v>16</v>
      </c>
      <c r="G110" s="74" t="s">
        <v>5</v>
      </c>
      <c r="H110" s="74" t="s">
        <v>17</v>
      </c>
      <c r="I110" s="74" t="s">
        <v>7</v>
      </c>
      <c r="J110" s="75" t="s">
        <v>18</v>
      </c>
      <c r="K110" s="75" t="s">
        <v>19</v>
      </c>
      <c r="L110" s="76" t="s">
        <v>20</v>
      </c>
    </row>
    <row r="111" spans="2:18" ht="14.45" customHeight="1" x14ac:dyDescent="0.25">
      <c r="D111" s="50">
        <v>45107</v>
      </c>
      <c r="E111" s="80">
        <v>300623</v>
      </c>
      <c r="F111" s="80" t="s">
        <v>2227</v>
      </c>
      <c r="G111" s="81">
        <v>6045.5</v>
      </c>
      <c r="H111" s="436">
        <f>extracto_banco_mes6[[#This Row],[NETO]]*0.21</f>
        <v>1269.5550000000001</v>
      </c>
      <c r="I111" s="81"/>
      <c r="J111" s="81">
        <v>161</v>
      </c>
      <c r="K111" s="81">
        <v>138</v>
      </c>
      <c r="L111" s="81"/>
    </row>
    <row r="112" spans="2:18" ht="15" customHeight="1" x14ac:dyDescent="0.25">
      <c r="D112" s="50">
        <v>45107</v>
      </c>
      <c r="E112" s="80">
        <v>230630</v>
      </c>
      <c r="F112" s="80" t="s">
        <v>2228</v>
      </c>
      <c r="G112" s="81">
        <v>5823</v>
      </c>
      <c r="H112" s="81">
        <f>extracto_banco_mes6[[#This Row],[NETO]]*0.21</f>
        <v>1222.83</v>
      </c>
      <c r="I112" s="81"/>
      <c r="J112" s="81">
        <v>168</v>
      </c>
      <c r="K112" s="81">
        <v>144</v>
      </c>
      <c r="L112" s="81"/>
    </row>
    <row r="113" spans="4:12" ht="15" customHeight="1" x14ac:dyDescent="0.25">
      <c r="D113" s="50"/>
      <c r="E113" s="79"/>
      <c r="F113" s="80"/>
      <c r="G113" s="81"/>
      <c r="H113" s="81">
        <f>extracto_banco_mes6[[#This Row],[NETO]]*0.21</f>
        <v>0</v>
      </c>
      <c r="I113" s="81"/>
      <c r="J113" s="81"/>
      <c r="K113" s="81"/>
      <c r="L113" s="81"/>
    </row>
    <row r="114" spans="4:12" ht="15" customHeight="1" x14ac:dyDescent="0.25">
      <c r="D114" s="433" t="s">
        <v>110</v>
      </c>
      <c r="E114" s="434"/>
      <c r="F114" s="434"/>
      <c r="G114" s="435">
        <f>SUBTOTAL(109,extracto_banco_mes6[NETO])</f>
        <v>11868.5</v>
      </c>
      <c r="H114" s="435">
        <f>SUBTOTAL(109,extracto_banco_mes6[IVA 21%])</f>
        <v>2492.3850000000002</v>
      </c>
      <c r="I114" s="435">
        <f>SUBTOTAL(109,extracto_banco_mes6[IVA 10,5%])</f>
        <v>0</v>
      </c>
      <c r="J114" s="435">
        <f>SUBTOTAL(109,extracto_banco_mes6[RET IIBB CABA])</f>
        <v>329</v>
      </c>
      <c r="K114" s="435">
        <f>SUBTOTAL(109,extracto_banco_mes6[PERC IVA])</f>
        <v>282</v>
      </c>
      <c r="L114" s="435">
        <f>SUBTOTAL(109,extracto_banco_mes6[PERC IIBB])</f>
        <v>0</v>
      </c>
    </row>
    <row r="115" spans="4:12" ht="15" customHeight="1" x14ac:dyDescent="0.25"/>
    <row r="116" spans="4:12" ht="15" customHeight="1" x14ac:dyDescent="0.25"/>
    <row r="117" spans="4:12" ht="23.45" customHeight="1" x14ac:dyDescent="0.25"/>
    <row r="118" spans="4:12" ht="38.450000000000003" customHeight="1" x14ac:dyDescent="0.25">
      <c r="D118" s="524" t="s">
        <v>25</v>
      </c>
      <c r="E118" s="524"/>
      <c r="F118" s="524"/>
      <c r="G118" s="524"/>
      <c r="H118" s="524"/>
      <c r="I118" s="524"/>
      <c r="J118" s="524"/>
      <c r="K118" s="524"/>
    </row>
    <row r="119" spans="4:12" x14ac:dyDescent="0.25">
      <c r="D119" s="51" t="s">
        <v>0</v>
      </c>
      <c r="E119" s="51" t="s">
        <v>2</v>
      </c>
      <c r="F119" s="51" t="s">
        <v>74</v>
      </c>
      <c r="G119" s="51" t="s">
        <v>3</v>
      </c>
      <c r="H119" s="51" t="s">
        <v>4</v>
      </c>
      <c r="I119" s="52" t="s">
        <v>10</v>
      </c>
      <c r="J119" s="51" t="s">
        <v>13</v>
      </c>
      <c r="K119" s="51" t="s">
        <v>38</v>
      </c>
    </row>
    <row r="120" spans="4:12" x14ac:dyDescent="0.25">
      <c r="D120" s="394">
        <v>45078</v>
      </c>
      <c r="E120" s="407">
        <v>3</v>
      </c>
      <c r="F120" s="407">
        <v>238</v>
      </c>
      <c r="G120" s="408">
        <v>23306035444</v>
      </c>
      <c r="H120" s="409" t="str">
        <f>IFERROR(IF(factura_c_mes6[[#This Row],[CUIT]]="","-",VLOOKUP(factura_c_mes6[[#This Row],[CUIT]],Lista_CUIT[#All],2,0)),"CUIT NO CARGADO")</f>
        <v>NADIA TARANTINO</v>
      </c>
      <c r="I120" s="410">
        <v>25615</v>
      </c>
      <c r="J120" s="411" t="str">
        <f>IFERROR(IF(factura_c_mes6[[#This Row],[CUIT]]="","-",VLOOKUP(factura_c_mes6[[#This Row],[CUIT]],Lista_CUIT[#All],3,0)),"CUIT NO CARGADO")</f>
        <v>GASTOS CONTABLES</v>
      </c>
      <c r="K120" s="411">
        <f>IFERROR(IF(factura_c_mes6[[#This Row],[CUIT]]="","-",VLOOKUP(factura_c_mes6[[#This Row],[CUIT]],Lista_CUIT[#All],4,0)),"CUIT NO CARGADO")</f>
        <v>0</v>
      </c>
    </row>
    <row r="121" spans="4:12" x14ac:dyDescent="0.25">
      <c r="D121" s="394">
        <v>45078</v>
      </c>
      <c r="E121" s="407">
        <v>3</v>
      </c>
      <c r="F121" s="407">
        <v>739</v>
      </c>
      <c r="G121" s="408">
        <v>20086277523</v>
      </c>
      <c r="H121" s="409" t="str">
        <f>IFERROR(IF(factura_c_mes6[[#This Row],[CUIT]]="","-",VLOOKUP(factura_c_mes6[[#This Row],[CUIT]],Lista_CUIT[#All],2,0)),"CUIT NO CARGADO")</f>
        <v>BOTINDARI JUAN CARLOS</v>
      </c>
      <c r="I121" s="410">
        <v>98500</v>
      </c>
      <c r="J121" s="411" t="str">
        <f>IFERROR(IF(factura_c_mes6[[#This Row],[CUIT]]="","-",VLOOKUP(factura_c_mes6[[#This Row],[CUIT]],Lista_CUIT[#All],3,0)),"CUIT NO CARGADO")</f>
        <v>HONORARIOS CONTABLES</v>
      </c>
      <c r="K121" s="411">
        <f>IFERROR(IF(factura_c_mes6[[#This Row],[CUIT]]="","-",VLOOKUP(factura_c_mes6[[#This Row],[CUIT]],Lista_CUIT[#All],4,0)),"CUIT NO CARGADO")</f>
        <v>0</v>
      </c>
    </row>
    <row r="122" spans="4:12" x14ac:dyDescent="0.25">
      <c r="D122" s="394">
        <v>45078</v>
      </c>
      <c r="E122" s="407">
        <v>1</v>
      </c>
      <c r="F122" s="407">
        <v>227</v>
      </c>
      <c r="G122" s="408">
        <v>23255855204</v>
      </c>
      <c r="H122" s="409" t="str">
        <f>IFERROR(IF(factura_c_mes6[[#This Row],[CUIT]]="","-",VLOOKUP(factura_c_mes6[[#This Row],[CUIT]],Lista_CUIT[#All],2,0)),"CUIT NO CARGADO")</f>
        <v>CABELLO LETICIA JESICA</v>
      </c>
      <c r="I122" s="410">
        <v>6000</v>
      </c>
      <c r="J122" s="411" t="str">
        <f>IFERROR(IF(factura_c_mes6[[#This Row],[CUIT]]="","-",VLOOKUP(factura_c_mes6[[#This Row],[CUIT]],Lista_CUIT[#All],3,0)),"CUIT NO CARGADO")</f>
        <v>ALQUILERES</v>
      </c>
      <c r="K122" s="411">
        <f>IFERROR(IF(factura_c_mes6[[#This Row],[CUIT]]="","-",VLOOKUP(factura_c_mes6[[#This Row],[CUIT]],Lista_CUIT[#All],4,0)),"CUIT NO CARGADO")</f>
        <v>0</v>
      </c>
    </row>
    <row r="123" spans="4:12" x14ac:dyDescent="0.25">
      <c r="D123" s="394">
        <v>45081</v>
      </c>
      <c r="E123" s="407">
        <v>2</v>
      </c>
      <c r="F123" s="407">
        <v>49</v>
      </c>
      <c r="G123" s="408">
        <v>20314536852</v>
      </c>
      <c r="H123" s="409" t="str">
        <f>IFERROR(IF(factura_c_mes6[[#This Row],[CUIT]]="","-",VLOOKUP(factura_c_mes6[[#This Row],[CUIT]],Lista_CUIT[#All],2,0)),"CUIT NO CARGADO")</f>
        <v>FRANCESE GONZALO ROMAN</v>
      </c>
      <c r="I123" s="410">
        <v>82000</v>
      </c>
      <c r="J123" s="411" t="str">
        <f>IFERROR(IF(factura_c_mes6[[#This Row],[CUIT]]="","-",VLOOKUP(factura_c_mes6[[#This Row],[CUIT]],Lista_CUIT[#All],3,0)),"CUIT NO CARGADO")</f>
        <v>FLETE</v>
      </c>
      <c r="K123" s="411">
        <f>IFERROR(IF(factura_c_mes6[[#This Row],[CUIT]]="","-",VLOOKUP(factura_c_mes6[[#This Row],[CUIT]],Lista_CUIT[#All],4,0)),"CUIT NO CARGADO")</f>
        <v>0</v>
      </c>
    </row>
    <row r="124" spans="4:12" x14ac:dyDescent="0.25">
      <c r="D124" s="394">
        <v>45082</v>
      </c>
      <c r="E124" s="407">
        <v>2</v>
      </c>
      <c r="F124" s="407">
        <v>190</v>
      </c>
      <c r="G124" s="408">
        <v>27265832178</v>
      </c>
      <c r="H124" s="409" t="str">
        <f>IFERROR(IF(factura_c_mes6[[#This Row],[CUIT]]="","-",VLOOKUP(factura_c_mes6[[#This Row],[CUIT]],Lista_CUIT[#All],2,0)),"CUIT NO CARGADO")</f>
        <v>BLASCO MARIA GUADALUPE</v>
      </c>
      <c r="I124" s="410">
        <v>60000</v>
      </c>
      <c r="J124" s="411" t="str">
        <f>IFERROR(IF(factura_c_mes6[[#This Row],[CUIT]]="","-",VLOOKUP(factura_c_mes6[[#This Row],[CUIT]],Lista_CUIT[#All],3,0)),"CUIT NO CARGADO")</f>
        <v>Gastos Varios</v>
      </c>
      <c r="K124" s="411">
        <f>IFERROR(IF(factura_c_mes6[[#This Row],[CUIT]]="","-",VLOOKUP(factura_c_mes6[[#This Row],[CUIT]],Lista_CUIT[#All],4,0)),"CUIT NO CARGADO")</f>
        <v>0</v>
      </c>
    </row>
    <row r="125" spans="4:12" x14ac:dyDescent="0.25">
      <c r="D125" s="394">
        <v>45084</v>
      </c>
      <c r="E125" s="407">
        <v>3</v>
      </c>
      <c r="F125" s="407">
        <v>2103</v>
      </c>
      <c r="G125" s="408">
        <v>20182999661</v>
      </c>
      <c r="H125" s="409" t="str">
        <f>IFERROR(IF(factura_c_mes6[[#This Row],[CUIT]]="","-",VLOOKUP(factura_c_mes6[[#This Row],[CUIT]],Lista_CUIT[#All],2,0)),"CUIT NO CARGADO")</f>
        <v>KLAINER ABEL JAVIER</v>
      </c>
      <c r="I125" s="410">
        <v>950</v>
      </c>
      <c r="J125" s="411" t="str">
        <f>IFERROR(IF(factura_c_mes6[[#This Row],[CUIT]]="","-",VLOOKUP(factura_c_mes6[[#This Row],[CUIT]],Lista_CUIT[#All],3,0)),"CUIT NO CARGADO")</f>
        <v>Gastos Varios</v>
      </c>
      <c r="K125" s="411">
        <f>IFERROR(IF(factura_c_mes6[[#This Row],[CUIT]]="","-",VLOOKUP(factura_c_mes6[[#This Row],[CUIT]],Lista_CUIT[#All],4,0)),"CUIT NO CARGADO")</f>
        <v>0</v>
      </c>
    </row>
    <row r="126" spans="4:12" x14ac:dyDescent="0.25">
      <c r="D126" s="394">
        <v>45085</v>
      </c>
      <c r="E126" s="407">
        <v>2</v>
      </c>
      <c r="F126" s="407">
        <v>50</v>
      </c>
      <c r="G126" s="408">
        <v>20314536852</v>
      </c>
      <c r="H126" s="409" t="str">
        <f>IFERROR(IF(factura_c_mes6[[#This Row],[CUIT]]="","-",VLOOKUP(factura_c_mes6[[#This Row],[CUIT]],Lista_CUIT[#All],2,0)),"CUIT NO CARGADO")</f>
        <v>FRANCESE GONZALO ROMAN</v>
      </c>
      <c r="I126" s="410">
        <v>38250</v>
      </c>
      <c r="J126" s="411" t="str">
        <f>IFERROR(IF(factura_c_mes6[[#This Row],[CUIT]]="","-",VLOOKUP(factura_c_mes6[[#This Row],[CUIT]],Lista_CUIT[#All],3,0)),"CUIT NO CARGADO")</f>
        <v>FLETE</v>
      </c>
      <c r="K126" s="411">
        <f>IFERROR(IF(factura_c_mes6[[#This Row],[CUIT]]="","-",VLOOKUP(factura_c_mes6[[#This Row],[CUIT]],Lista_CUIT[#All],4,0)),"CUIT NO CARGADO")</f>
        <v>0</v>
      </c>
    </row>
    <row r="127" spans="4:12" ht="17.25" customHeight="1" x14ac:dyDescent="0.25">
      <c r="D127" s="394">
        <v>45089</v>
      </c>
      <c r="E127" s="407">
        <v>2</v>
      </c>
      <c r="F127" s="407">
        <v>51</v>
      </c>
      <c r="G127" s="408">
        <v>20314536852</v>
      </c>
      <c r="H127" s="409" t="str">
        <f>IFERROR(IF(factura_c_mes6[[#This Row],[CUIT]]="","-",VLOOKUP(factura_c_mes6[[#This Row],[CUIT]],Lista_CUIT[#All],2,0)),"CUIT NO CARGADO")</f>
        <v>FRANCESE GONZALO ROMAN</v>
      </c>
      <c r="I127" s="410">
        <v>22900</v>
      </c>
      <c r="J127" s="411" t="str">
        <f>IFERROR(IF(factura_c_mes6[[#This Row],[CUIT]]="","-",VLOOKUP(factura_c_mes6[[#This Row],[CUIT]],Lista_CUIT[#All],3,0)),"CUIT NO CARGADO")</f>
        <v>FLETE</v>
      </c>
      <c r="K127" s="411">
        <f>IFERROR(IF(factura_c_mes6[[#This Row],[CUIT]]="","-",VLOOKUP(factura_c_mes6[[#This Row],[CUIT]],Lista_CUIT[#All],4,0)),"CUIT NO CARGADO")</f>
        <v>0</v>
      </c>
    </row>
    <row r="128" spans="4:12" ht="17.25" customHeight="1" x14ac:dyDescent="0.25">
      <c r="D128" s="394">
        <v>45089</v>
      </c>
      <c r="E128" s="407">
        <v>2019</v>
      </c>
      <c r="F128" s="407">
        <v>2349</v>
      </c>
      <c r="G128" s="408">
        <v>20277164192</v>
      </c>
      <c r="H128" s="409" t="str">
        <f>IFERROR(IF(factura_c_mes6[[#This Row],[CUIT]]="","-",VLOOKUP(factura_c_mes6[[#This Row],[CUIT]],Lista_CUIT[#All],2,0)),"CUIT NO CARGADO")</f>
        <v>PABLO ROBERTO MURUA POU</v>
      </c>
      <c r="I128" s="410">
        <v>1700</v>
      </c>
      <c r="J128" s="411" t="str">
        <f>IFERROR(IF(factura_c_mes6[[#This Row],[CUIT]]="","-",VLOOKUP(factura_c_mes6[[#This Row],[CUIT]],Lista_CUIT[#All],3,0)),"CUIT NO CARGADO")</f>
        <v>GASTOS VARIOS</v>
      </c>
      <c r="K128" s="411">
        <f>IFERROR(IF(factura_c_mes6[[#This Row],[CUIT]]="","-",VLOOKUP(factura_c_mes6[[#This Row],[CUIT]],Lista_CUIT[#All],4,0)),"CUIT NO CARGADO")</f>
        <v>0</v>
      </c>
    </row>
    <row r="129" spans="4:11" x14ac:dyDescent="0.25">
      <c r="D129" s="394">
        <v>45092</v>
      </c>
      <c r="E129" s="407">
        <v>2</v>
      </c>
      <c r="F129" s="407">
        <v>468</v>
      </c>
      <c r="G129" s="408">
        <v>27299725761</v>
      </c>
      <c r="H129" s="409" t="str">
        <f>IFERROR(IF(factura_c_mes6[[#This Row],[CUIT]]="","-",VLOOKUP(factura_c_mes6[[#This Row],[CUIT]],Lista_CUIT[#All],2,0)),"CUIT NO CARGADO")</f>
        <v>TURSARKISIAN MISISIAN VERONICA GEMA</v>
      </c>
      <c r="I129" s="410">
        <v>80000</v>
      </c>
      <c r="J129" s="411" t="str">
        <f>IFERROR(IF(factura_c_mes6[[#This Row],[CUIT]]="","-",VLOOKUP(factura_c_mes6[[#This Row],[CUIT]],Lista_CUIT[#All],3,0)),"CUIT NO CARGADO")</f>
        <v>Productos Ortopedicos</v>
      </c>
      <c r="K129" s="411">
        <f>IFERROR(IF(factura_c_mes6[[#This Row],[CUIT]]="","-",VLOOKUP(factura_c_mes6[[#This Row],[CUIT]],Lista_CUIT[#All],4,0)),"CUIT NO CARGADO")</f>
        <v>0</v>
      </c>
    </row>
    <row r="130" spans="4:11" x14ac:dyDescent="0.25">
      <c r="D130" s="394">
        <v>45092</v>
      </c>
      <c r="E130" s="407">
        <v>2</v>
      </c>
      <c r="F130" s="407">
        <v>467</v>
      </c>
      <c r="G130" s="408">
        <v>27299725761</v>
      </c>
      <c r="H130" s="409" t="str">
        <f>IFERROR(IF(factura_c_mes6[[#This Row],[CUIT]]="","-",VLOOKUP(factura_c_mes6[[#This Row],[CUIT]],Lista_CUIT[#All],2,0)),"CUIT NO CARGADO")</f>
        <v>TURSARKISIAN MISISIAN VERONICA GEMA</v>
      </c>
      <c r="I130" s="410">
        <v>62000</v>
      </c>
      <c r="J130" s="411" t="str">
        <f>IFERROR(IF(factura_c_mes6[[#This Row],[CUIT]]="","-",VLOOKUP(factura_c_mes6[[#This Row],[CUIT]],Lista_CUIT[#All],3,0)),"CUIT NO CARGADO")</f>
        <v>Productos Ortopedicos</v>
      </c>
      <c r="K130" s="411">
        <f>IFERROR(IF(factura_c_mes6[[#This Row],[CUIT]]="","-",VLOOKUP(factura_c_mes6[[#This Row],[CUIT]],Lista_CUIT[#All],4,0)),"CUIT NO CARGADO")</f>
        <v>0</v>
      </c>
    </row>
    <row r="131" spans="4:11" x14ac:dyDescent="0.25">
      <c r="D131" s="394">
        <v>45092</v>
      </c>
      <c r="E131" s="407">
        <v>2</v>
      </c>
      <c r="F131" s="407">
        <v>466</v>
      </c>
      <c r="G131" s="408">
        <v>27299725761</v>
      </c>
      <c r="H131" s="409" t="str">
        <f>IFERROR(IF(factura_c_mes6[[#This Row],[CUIT]]="","-",VLOOKUP(factura_c_mes6[[#This Row],[CUIT]],Lista_CUIT[#All],2,0)),"CUIT NO CARGADO")</f>
        <v>TURSARKISIAN MISISIAN VERONICA GEMA</v>
      </c>
      <c r="I131" s="410">
        <v>50000</v>
      </c>
      <c r="J131" s="411" t="str">
        <f>IFERROR(IF(factura_c_mes6[[#This Row],[CUIT]]="","-",VLOOKUP(factura_c_mes6[[#This Row],[CUIT]],Lista_CUIT[#All],3,0)),"CUIT NO CARGADO")</f>
        <v>Productos Ortopedicos</v>
      </c>
      <c r="K131" s="411">
        <f>IFERROR(IF(factura_c_mes6[[#This Row],[CUIT]]="","-",VLOOKUP(factura_c_mes6[[#This Row],[CUIT]],Lista_CUIT[#All],4,0)),"CUIT NO CARGADO")</f>
        <v>0</v>
      </c>
    </row>
    <row r="132" spans="4:11" x14ac:dyDescent="0.25">
      <c r="D132" s="394">
        <v>45093</v>
      </c>
      <c r="E132" s="407">
        <v>1</v>
      </c>
      <c r="F132" s="407">
        <v>141</v>
      </c>
      <c r="G132" s="408">
        <v>27217606255</v>
      </c>
      <c r="H132" s="409" t="str">
        <f>IFERROR(IF(factura_c_mes6[[#This Row],[CUIT]]="","-",VLOOKUP(factura_c_mes6[[#This Row],[CUIT]],Lista_CUIT[#All],2,0)),"CUIT NO CARGADO")</f>
        <v>SAPUNA MARIAN KARINA</v>
      </c>
      <c r="I132" s="410">
        <v>40000</v>
      </c>
      <c r="J132" s="411" t="str">
        <f>IFERROR(IF(factura_c_mes6[[#This Row],[CUIT]]="","-",VLOOKUP(factura_c_mes6[[#This Row],[CUIT]],Lista_CUIT[#All],3,0)),"CUIT NO CARGADO")</f>
        <v>GASTOS MANTENIMIENTO</v>
      </c>
      <c r="K132" s="411">
        <f>IFERROR(IF(factura_c_mes6[[#This Row],[CUIT]]="","-",VLOOKUP(factura_c_mes6[[#This Row],[CUIT]],Lista_CUIT[#All],4,0)),"CUIT NO CARGADO")</f>
        <v>0</v>
      </c>
    </row>
    <row r="133" spans="4:11" x14ac:dyDescent="0.25">
      <c r="D133" s="394">
        <v>45093</v>
      </c>
      <c r="E133" s="407">
        <v>1</v>
      </c>
      <c r="F133" s="407">
        <v>140</v>
      </c>
      <c r="G133" s="408">
        <v>27217606255</v>
      </c>
      <c r="H133" s="409" t="str">
        <f>IFERROR(IF(factura_c_mes6[[#This Row],[CUIT]]="","-",VLOOKUP(factura_c_mes6[[#This Row],[CUIT]],Lista_CUIT[#All],2,0)),"CUIT NO CARGADO")</f>
        <v>SAPUNA MARIAN KARINA</v>
      </c>
      <c r="I133" s="410">
        <v>35000</v>
      </c>
      <c r="J133" s="411" t="str">
        <f>IFERROR(IF(factura_c_mes6[[#This Row],[CUIT]]="","-",VLOOKUP(factura_c_mes6[[#This Row],[CUIT]],Lista_CUIT[#All],3,0)),"CUIT NO CARGADO")</f>
        <v>GASTOS MANTENIMIENTO</v>
      </c>
      <c r="K133" s="411">
        <f>IFERROR(IF(factura_c_mes6[[#This Row],[CUIT]]="","-",VLOOKUP(factura_c_mes6[[#This Row],[CUIT]],Lista_CUIT[#All],4,0)),"CUIT NO CARGADO")</f>
        <v>0</v>
      </c>
    </row>
    <row r="134" spans="4:11" x14ac:dyDescent="0.25">
      <c r="D134" s="394">
        <v>45096</v>
      </c>
      <c r="E134" s="407">
        <v>1</v>
      </c>
      <c r="F134" s="407">
        <v>142</v>
      </c>
      <c r="G134" s="408">
        <v>27217606255</v>
      </c>
      <c r="H134" s="409" t="str">
        <f>IFERROR(IF(factura_c_mes6[[#This Row],[CUIT]]="","-",VLOOKUP(factura_c_mes6[[#This Row],[CUIT]],Lista_CUIT[#All],2,0)),"CUIT NO CARGADO")</f>
        <v>SAPUNA MARIAN KARINA</v>
      </c>
      <c r="I134" s="410">
        <v>31500</v>
      </c>
      <c r="J134" s="411" t="str">
        <f>IFERROR(IF(factura_c_mes6[[#This Row],[CUIT]]="","-",VLOOKUP(factura_c_mes6[[#This Row],[CUIT]],Lista_CUIT[#All],3,0)),"CUIT NO CARGADO")</f>
        <v>GASTOS MANTENIMIENTO</v>
      </c>
      <c r="K134" s="411">
        <f>IFERROR(IF(factura_c_mes6[[#This Row],[CUIT]]="","-",VLOOKUP(factura_c_mes6[[#This Row],[CUIT]],Lista_CUIT[#All],4,0)),"CUIT NO CARGADO")</f>
        <v>0</v>
      </c>
    </row>
    <row r="135" spans="4:11" x14ac:dyDescent="0.25">
      <c r="D135" s="394">
        <v>45096</v>
      </c>
      <c r="E135" s="407">
        <v>1</v>
      </c>
      <c r="F135" s="407">
        <v>143</v>
      </c>
      <c r="G135" s="408">
        <v>27217606255</v>
      </c>
      <c r="H135" s="409" t="str">
        <f>IFERROR(IF(factura_c_mes6[[#This Row],[CUIT]]="","-",VLOOKUP(factura_c_mes6[[#This Row],[CUIT]],Lista_CUIT[#All],2,0)),"CUIT NO CARGADO")</f>
        <v>SAPUNA MARIAN KARINA</v>
      </c>
      <c r="I135" s="410">
        <v>22600</v>
      </c>
      <c r="J135" s="411" t="str">
        <f>IFERROR(IF(factura_c_mes6[[#This Row],[CUIT]]="","-",VLOOKUP(factura_c_mes6[[#This Row],[CUIT]],Lista_CUIT[#All],3,0)),"CUIT NO CARGADO")</f>
        <v>GASTOS MANTENIMIENTO</v>
      </c>
      <c r="K135" s="411">
        <f>IFERROR(IF(factura_c_mes6[[#This Row],[CUIT]]="","-",VLOOKUP(factura_c_mes6[[#This Row],[CUIT]],Lista_CUIT[#All],4,0)),"CUIT NO CARGADO")</f>
        <v>0</v>
      </c>
    </row>
    <row r="136" spans="4:11" x14ac:dyDescent="0.25">
      <c r="D136" s="394">
        <v>45097</v>
      </c>
      <c r="E136" s="407">
        <v>1</v>
      </c>
      <c r="F136" s="407">
        <v>55</v>
      </c>
      <c r="G136" s="408">
        <v>23281233084</v>
      </c>
      <c r="H136" s="409" t="str">
        <f>IFERROR(IF(factura_c_mes6[[#This Row],[CUIT]]="","-",VLOOKUP(factura_c_mes6[[#This Row],[CUIT]],Lista_CUIT[#All],2,0)),"CUIT NO CARGADO")</f>
        <v>DRUETTA ANDREA MARIEL</v>
      </c>
      <c r="I136" s="410">
        <v>49735</v>
      </c>
      <c r="J136" s="411" t="str">
        <f>IFERROR(IF(factura_c_mes6[[#This Row],[CUIT]]="","-",VLOOKUP(factura_c_mes6[[#This Row],[CUIT]],Lista_CUIT[#All],3,0)),"CUIT NO CARGADO")</f>
        <v>HONORARIOS TECNICOS</v>
      </c>
      <c r="K136" s="411">
        <f>IFERROR(IF(factura_c_mes6[[#This Row],[CUIT]]="","-",VLOOKUP(factura_c_mes6[[#This Row],[CUIT]],Lista_CUIT[#All],4,0)),"CUIT NO CARGADO")</f>
        <v>0</v>
      </c>
    </row>
    <row r="137" spans="4:11" x14ac:dyDescent="0.25">
      <c r="D137" s="394">
        <v>45097</v>
      </c>
      <c r="E137" s="407">
        <v>1</v>
      </c>
      <c r="F137" s="407">
        <v>144</v>
      </c>
      <c r="G137" s="408">
        <v>27217606255</v>
      </c>
      <c r="H137" s="409" t="str">
        <f>IFERROR(IF(factura_c_mes6[[#This Row],[CUIT]]="","-",VLOOKUP(factura_c_mes6[[#This Row],[CUIT]],Lista_CUIT[#All],2,0)),"CUIT NO CARGADO")</f>
        <v>SAPUNA MARIAN KARINA</v>
      </c>
      <c r="I137" s="410">
        <v>38200</v>
      </c>
      <c r="J137" s="411" t="str">
        <f>IFERROR(IF(factura_c_mes6[[#This Row],[CUIT]]="","-",VLOOKUP(factura_c_mes6[[#This Row],[CUIT]],Lista_CUIT[#All],3,0)),"CUIT NO CARGADO")</f>
        <v>GASTOS MANTENIMIENTO</v>
      </c>
      <c r="K137" s="411">
        <f>IFERROR(IF(factura_c_mes6[[#This Row],[CUIT]]="","-",VLOOKUP(factura_c_mes6[[#This Row],[CUIT]],Lista_CUIT[#All],4,0)),"CUIT NO CARGADO")</f>
        <v>0</v>
      </c>
    </row>
    <row r="138" spans="4:11" x14ac:dyDescent="0.25">
      <c r="D138" s="394">
        <v>45097</v>
      </c>
      <c r="E138" s="407">
        <v>1</v>
      </c>
      <c r="F138" s="407">
        <v>145</v>
      </c>
      <c r="G138" s="408">
        <v>27217606255</v>
      </c>
      <c r="H138" s="409" t="str">
        <f>IFERROR(IF(factura_c_mes6[[#This Row],[CUIT]]="","-",VLOOKUP(factura_c_mes6[[#This Row],[CUIT]],Lista_CUIT[#All],2,0)),"CUIT NO CARGADO")</f>
        <v>SAPUNA MARIAN KARINA</v>
      </c>
      <c r="I138" s="410">
        <v>26400</v>
      </c>
      <c r="J138" s="411" t="str">
        <f>IFERROR(IF(factura_c_mes6[[#This Row],[CUIT]]="","-",VLOOKUP(factura_c_mes6[[#This Row],[CUIT]],Lista_CUIT[#All],3,0)),"CUIT NO CARGADO")</f>
        <v>GASTOS MANTENIMIENTO</v>
      </c>
      <c r="K138" s="411">
        <f>IFERROR(IF(factura_c_mes6[[#This Row],[CUIT]]="","-",VLOOKUP(factura_c_mes6[[#This Row],[CUIT]],Lista_CUIT[#All],4,0)),"CUIT NO CARGADO")</f>
        <v>0</v>
      </c>
    </row>
    <row r="139" spans="4:11" x14ac:dyDescent="0.25">
      <c r="D139" s="394">
        <v>45098</v>
      </c>
      <c r="E139" s="407">
        <v>5</v>
      </c>
      <c r="F139" s="407">
        <v>149</v>
      </c>
      <c r="G139" s="408">
        <v>27062343449</v>
      </c>
      <c r="H139" s="409" t="str">
        <f>IFERROR(IF(factura_c_mes6[[#This Row],[CUIT]]="","-",VLOOKUP(factura_c_mes6[[#This Row],[CUIT]],Lista_CUIT[#All],2,0)),"CUIT NO CARGADO")</f>
        <v>FERREIRS LILISNS INES</v>
      </c>
      <c r="I139" s="410">
        <v>120000</v>
      </c>
      <c r="J139" s="411" t="str">
        <f>IFERROR(IF(factura_c_mes6[[#This Row],[CUIT]]="","-",VLOOKUP(factura_c_mes6[[#This Row],[CUIT]],Lista_CUIT[#All],3,0)),"CUIT NO CARGADO")</f>
        <v>ALQUILERES</v>
      </c>
      <c r="K139" s="411">
        <f>IFERROR(IF(factura_c_mes6[[#This Row],[CUIT]]="","-",VLOOKUP(factura_c_mes6[[#This Row],[CUIT]],Lista_CUIT[#All],4,0)),"CUIT NO CARGADO")</f>
        <v>0</v>
      </c>
    </row>
    <row r="140" spans="4:11" x14ac:dyDescent="0.25">
      <c r="D140" s="394">
        <v>45098</v>
      </c>
      <c r="E140" s="407">
        <v>5</v>
      </c>
      <c r="F140" s="407">
        <v>150</v>
      </c>
      <c r="G140" s="408">
        <v>27062343449</v>
      </c>
      <c r="H140" s="409" t="str">
        <f>IFERROR(IF(factura_c_mes6[[#This Row],[CUIT]]="","-",VLOOKUP(factura_c_mes6[[#This Row],[CUIT]],Lista_CUIT[#All],2,0)),"CUIT NO CARGADO")</f>
        <v>FERREIRS LILISNS INES</v>
      </c>
      <c r="I140" s="410">
        <v>120000</v>
      </c>
      <c r="J140" s="411" t="str">
        <f>IFERROR(IF(factura_c_mes6[[#This Row],[CUIT]]="","-",VLOOKUP(factura_c_mes6[[#This Row],[CUIT]],Lista_CUIT[#All],3,0)),"CUIT NO CARGADO")</f>
        <v>ALQUILERES</v>
      </c>
      <c r="K140" s="411">
        <f>IFERROR(IF(factura_c_mes6[[#This Row],[CUIT]]="","-",VLOOKUP(factura_c_mes6[[#This Row],[CUIT]],Lista_CUIT[#All],4,0)),"CUIT NO CARGADO")</f>
        <v>0</v>
      </c>
    </row>
    <row r="141" spans="4:11" x14ac:dyDescent="0.25">
      <c r="D141" s="394">
        <v>45098</v>
      </c>
      <c r="E141" s="407">
        <v>1</v>
      </c>
      <c r="F141" s="407">
        <v>146</v>
      </c>
      <c r="G141" s="408">
        <v>27217606255</v>
      </c>
      <c r="H141" s="409" t="str">
        <f>IFERROR(IF(factura_c_mes6[[#This Row],[CUIT]]="","-",VLOOKUP(factura_c_mes6[[#This Row],[CUIT]],Lista_CUIT[#All],2,0)),"CUIT NO CARGADO")</f>
        <v>SAPUNA MARIAN KARINA</v>
      </c>
      <c r="I141" s="410">
        <v>33700</v>
      </c>
      <c r="J141" s="411" t="str">
        <f>IFERROR(IF(factura_c_mes6[[#This Row],[CUIT]]="","-",VLOOKUP(factura_c_mes6[[#This Row],[CUIT]],Lista_CUIT[#All],3,0)),"CUIT NO CARGADO")</f>
        <v>GASTOS MANTENIMIENTO</v>
      </c>
      <c r="K141" s="411">
        <f>IFERROR(IF(factura_c_mes6[[#This Row],[CUIT]]="","-",VLOOKUP(factura_c_mes6[[#This Row],[CUIT]],Lista_CUIT[#All],4,0)),"CUIT NO CARGADO")</f>
        <v>0</v>
      </c>
    </row>
    <row r="142" spans="4:11" x14ac:dyDescent="0.25">
      <c r="D142" s="394">
        <v>45098</v>
      </c>
      <c r="E142" s="407">
        <v>2019</v>
      </c>
      <c r="F142" s="407">
        <v>2385</v>
      </c>
      <c r="G142" s="408">
        <v>20277164192</v>
      </c>
      <c r="H142" s="409" t="str">
        <f>IFERROR(IF(factura_c_mes6[[#This Row],[CUIT]]="","-",VLOOKUP(factura_c_mes6[[#This Row],[CUIT]],Lista_CUIT[#All],2,0)),"CUIT NO CARGADO")</f>
        <v>PABLO ROBERTO MURUA POU</v>
      </c>
      <c r="I142" s="410">
        <v>1320</v>
      </c>
      <c r="J142" s="411" t="str">
        <f>IFERROR(IF(factura_c_mes6[[#This Row],[CUIT]]="","-",VLOOKUP(factura_c_mes6[[#This Row],[CUIT]],Lista_CUIT[#All],3,0)),"CUIT NO CARGADO")</f>
        <v>GASTOS VARIOS</v>
      </c>
      <c r="K142" s="411">
        <f>IFERROR(IF(factura_c_mes6[[#This Row],[CUIT]]="","-",VLOOKUP(factura_c_mes6[[#This Row],[CUIT]],Lista_CUIT[#All],4,0)),"CUIT NO CARGADO")</f>
        <v>0</v>
      </c>
    </row>
    <row r="143" spans="4:11" x14ac:dyDescent="0.25">
      <c r="D143" s="394">
        <v>45099</v>
      </c>
      <c r="E143" s="407">
        <v>1</v>
      </c>
      <c r="F143" s="407">
        <v>147</v>
      </c>
      <c r="G143" s="408">
        <v>27217606255</v>
      </c>
      <c r="H143" s="409" t="str">
        <f>IFERROR(IF(factura_c_mes6[[#This Row],[CUIT]]="","-",VLOOKUP(factura_c_mes6[[#This Row],[CUIT]],Lista_CUIT[#All],2,0)),"CUIT NO CARGADO")</f>
        <v>SAPUNA MARIAN KARINA</v>
      </c>
      <c r="I143" s="410">
        <v>15000</v>
      </c>
      <c r="J143" s="411" t="str">
        <f>IFERROR(IF(factura_c_mes6[[#This Row],[CUIT]]="","-",VLOOKUP(factura_c_mes6[[#This Row],[CUIT]],Lista_CUIT[#All],3,0)),"CUIT NO CARGADO")</f>
        <v>GASTOS MANTENIMIENTO</v>
      </c>
      <c r="K143" s="411">
        <f>IFERROR(IF(factura_c_mes6[[#This Row],[CUIT]]="","-",VLOOKUP(factura_c_mes6[[#This Row],[CUIT]],Lista_CUIT[#All],4,0)),"CUIT NO CARGADO")</f>
        <v>0</v>
      </c>
    </row>
    <row r="144" spans="4:11" x14ac:dyDescent="0.25">
      <c r="D144" s="394">
        <v>45099</v>
      </c>
      <c r="E144" s="407">
        <v>2</v>
      </c>
      <c r="F144" s="407">
        <v>52</v>
      </c>
      <c r="G144" s="408">
        <v>20314536852</v>
      </c>
      <c r="H144" s="409" t="str">
        <f>IFERROR(IF(factura_c_mes6[[#This Row],[CUIT]]="","-",VLOOKUP(factura_c_mes6[[#This Row],[CUIT]],Lista_CUIT[#All],2,0)),"CUIT NO CARGADO")</f>
        <v>FRANCESE GONZALO ROMAN</v>
      </c>
      <c r="I144" s="410">
        <v>36600</v>
      </c>
      <c r="J144" s="411" t="str">
        <f>IFERROR(IF(factura_c_mes6[[#This Row],[CUIT]]="","-",VLOOKUP(factura_c_mes6[[#This Row],[CUIT]],Lista_CUIT[#All],3,0)),"CUIT NO CARGADO")</f>
        <v>FLETE</v>
      </c>
      <c r="K144" s="411">
        <f>IFERROR(IF(factura_c_mes6[[#This Row],[CUIT]]="","-",VLOOKUP(factura_c_mes6[[#This Row],[CUIT]],Lista_CUIT[#All],4,0)),"CUIT NO CARGADO")</f>
        <v>0</v>
      </c>
    </row>
    <row r="145" spans="4:11" x14ac:dyDescent="0.25">
      <c r="D145" s="394">
        <v>45100</v>
      </c>
      <c r="E145" s="407">
        <v>1</v>
      </c>
      <c r="F145" s="407">
        <v>148</v>
      </c>
      <c r="G145" s="408">
        <v>27217606255</v>
      </c>
      <c r="H145" s="409" t="str">
        <f>IFERROR(IF(factura_c_mes6[[#This Row],[CUIT]]="","-",VLOOKUP(factura_c_mes6[[#This Row],[CUIT]],Lista_CUIT[#All],2,0)),"CUIT NO CARGADO")</f>
        <v>SAPUNA MARIAN KARINA</v>
      </c>
      <c r="I145" s="410">
        <v>17600</v>
      </c>
      <c r="J145" s="411" t="str">
        <f>IFERROR(IF(factura_c_mes6[[#This Row],[CUIT]]="","-",VLOOKUP(factura_c_mes6[[#This Row],[CUIT]],Lista_CUIT[#All],3,0)),"CUIT NO CARGADO")</f>
        <v>GASTOS MANTENIMIENTO</v>
      </c>
      <c r="K145" s="411">
        <f>IFERROR(IF(factura_c_mes6[[#This Row],[CUIT]]="","-",VLOOKUP(factura_c_mes6[[#This Row],[CUIT]],Lista_CUIT[#All],4,0)),"CUIT NO CARGADO")</f>
        <v>0</v>
      </c>
    </row>
    <row r="146" spans="4:11" x14ac:dyDescent="0.25">
      <c r="D146" s="394">
        <v>45103</v>
      </c>
      <c r="E146" s="407">
        <v>2</v>
      </c>
      <c r="F146" s="407">
        <v>471</v>
      </c>
      <c r="G146" s="408">
        <v>27299725761</v>
      </c>
      <c r="H146" s="409" t="str">
        <f>IFERROR(IF(factura_c_mes6[[#This Row],[CUIT]]="","-",VLOOKUP(factura_c_mes6[[#This Row],[CUIT]],Lista_CUIT[#All],2,0)),"CUIT NO CARGADO")</f>
        <v>TURSARKISIAN MISISIAN VERONICA GEMA</v>
      </c>
      <c r="I146" s="410">
        <v>84000</v>
      </c>
      <c r="J146" s="411" t="str">
        <f>IFERROR(IF(factura_c_mes6[[#This Row],[CUIT]]="","-",VLOOKUP(factura_c_mes6[[#This Row],[CUIT]],Lista_CUIT[#All],3,0)),"CUIT NO CARGADO")</f>
        <v>Productos Ortopedicos</v>
      </c>
      <c r="K146" s="411">
        <f>IFERROR(IF(factura_c_mes6[[#This Row],[CUIT]]="","-",VLOOKUP(factura_c_mes6[[#This Row],[CUIT]],Lista_CUIT[#All],4,0)),"CUIT NO CARGADO")</f>
        <v>0</v>
      </c>
    </row>
    <row r="147" spans="4:11" x14ac:dyDescent="0.25">
      <c r="D147" s="394">
        <v>45103</v>
      </c>
      <c r="E147" s="407">
        <v>1</v>
      </c>
      <c r="F147" s="407">
        <v>11</v>
      </c>
      <c r="G147" s="408">
        <v>20392730444</v>
      </c>
      <c r="H147" s="409" t="str">
        <f>IFERROR(IF(factura_c_mes6[[#This Row],[CUIT]]="","-",VLOOKUP(factura_c_mes6[[#This Row],[CUIT]],Lista_CUIT[#All],2,0)),"CUIT NO CARGADO")</f>
        <v>MIÑO GUSTAVO SEBASTIAN</v>
      </c>
      <c r="I147" s="410">
        <v>71550</v>
      </c>
      <c r="J147" s="411" t="str">
        <f>IFERROR(IF(factura_c_mes6[[#This Row],[CUIT]]="","-",VLOOKUP(factura_c_mes6[[#This Row],[CUIT]],Lista_CUIT[#All],3,0)),"CUIT NO CARGADO")</f>
        <v>FLETE</v>
      </c>
      <c r="K147" s="411">
        <f>IFERROR(IF(factura_c_mes6[[#This Row],[CUIT]]="","-",VLOOKUP(factura_c_mes6[[#This Row],[CUIT]],Lista_CUIT[#All],4,0)),"CUIT NO CARGADO")</f>
        <v>0</v>
      </c>
    </row>
    <row r="148" spans="4:11" x14ac:dyDescent="0.25">
      <c r="D148" s="394">
        <v>45103</v>
      </c>
      <c r="E148" s="407">
        <v>2</v>
      </c>
      <c r="F148" s="407">
        <v>470</v>
      </c>
      <c r="G148" s="408">
        <v>27299725761</v>
      </c>
      <c r="H148" s="409" t="str">
        <f>IFERROR(IF(factura_c_mes6[[#This Row],[CUIT]]="","-",VLOOKUP(factura_c_mes6[[#This Row],[CUIT]],Lista_CUIT[#All],2,0)),"CUIT NO CARGADO")</f>
        <v>TURSARKISIAN MISISIAN VERONICA GEMA</v>
      </c>
      <c r="I148" s="410">
        <v>48000</v>
      </c>
      <c r="J148" s="411" t="str">
        <f>IFERROR(IF(factura_c_mes6[[#This Row],[CUIT]]="","-",VLOOKUP(factura_c_mes6[[#This Row],[CUIT]],Lista_CUIT[#All],3,0)),"CUIT NO CARGADO")</f>
        <v>Productos Ortopedicos</v>
      </c>
      <c r="K148" s="411">
        <f>IFERROR(IF(factura_c_mes6[[#This Row],[CUIT]]="","-",VLOOKUP(factura_c_mes6[[#This Row],[CUIT]],Lista_CUIT[#All],4,0)),"CUIT NO CARGADO")</f>
        <v>0</v>
      </c>
    </row>
    <row r="149" spans="4:11" x14ac:dyDescent="0.25">
      <c r="D149" s="394">
        <v>45103</v>
      </c>
      <c r="E149" s="407">
        <v>1</v>
      </c>
      <c r="F149" s="407">
        <v>12</v>
      </c>
      <c r="G149" s="408">
        <v>20392730444</v>
      </c>
      <c r="H149" s="409" t="str">
        <f>IFERROR(IF(factura_c_mes6[[#This Row],[CUIT]]="","-",VLOOKUP(factura_c_mes6[[#This Row],[CUIT]],Lista_CUIT[#All],2,0)),"CUIT NO CARGADO")</f>
        <v>MIÑO GUSTAVO SEBASTIAN</v>
      </c>
      <c r="I149" s="410">
        <v>105000</v>
      </c>
      <c r="J149" s="411" t="str">
        <f>IFERROR(IF(factura_c_mes6[[#This Row],[CUIT]]="","-",VLOOKUP(factura_c_mes6[[#This Row],[CUIT]],Lista_CUIT[#All],3,0)),"CUIT NO CARGADO")</f>
        <v>FLETE</v>
      </c>
      <c r="K149" s="411">
        <f>IFERROR(IF(factura_c_mes6[[#This Row],[CUIT]]="","-",VLOOKUP(factura_c_mes6[[#This Row],[CUIT]],Lista_CUIT[#All],4,0)),"CUIT NO CARGADO")</f>
        <v>0</v>
      </c>
    </row>
    <row r="150" spans="4:11" x14ac:dyDescent="0.25">
      <c r="D150" s="394">
        <v>45103</v>
      </c>
      <c r="E150" s="407">
        <v>2</v>
      </c>
      <c r="F150" s="407">
        <v>469</v>
      </c>
      <c r="G150" s="408">
        <v>27299725761</v>
      </c>
      <c r="H150" s="409" t="str">
        <f>IFERROR(IF(factura_c_mes6[[#This Row],[CUIT]]="","-",VLOOKUP(factura_c_mes6[[#This Row],[CUIT]],Lista_CUIT[#All],2,0)),"CUIT NO CARGADO")</f>
        <v>TURSARKISIAN MISISIAN VERONICA GEMA</v>
      </c>
      <c r="I150" s="410">
        <v>76000</v>
      </c>
      <c r="J150" s="411" t="str">
        <f>IFERROR(IF(factura_c_mes6[[#This Row],[CUIT]]="","-",VLOOKUP(factura_c_mes6[[#This Row],[CUIT]],Lista_CUIT[#All],3,0)),"CUIT NO CARGADO")</f>
        <v>Productos Ortopedicos</v>
      </c>
      <c r="K150" s="411">
        <f>IFERROR(IF(factura_c_mes6[[#This Row],[CUIT]]="","-",VLOOKUP(factura_c_mes6[[#This Row],[CUIT]],Lista_CUIT[#All],4,0)),"CUIT NO CARGADO")</f>
        <v>0</v>
      </c>
    </row>
    <row r="151" spans="4:11" x14ac:dyDescent="0.25">
      <c r="D151" s="394">
        <v>45103</v>
      </c>
      <c r="E151" s="407">
        <v>2</v>
      </c>
      <c r="F151" s="407">
        <v>53</v>
      </c>
      <c r="G151" s="408">
        <v>20314536852</v>
      </c>
      <c r="H151" s="409" t="str">
        <f>IFERROR(IF(factura_c_mes6[[#This Row],[CUIT]]="","-",VLOOKUP(factura_c_mes6[[#This Row],[CUIT]],Lista_CUIT[#All],2,0)),"CUIT NO CARGADO")</f>
        <v>FRANCESE GONZALO ROMAN</v>
      </c>
      <c r="I151" s="410">
        <v>41300</v>
      </c>
      <c r="J151" s="411" t="str">
        <f>IFERROR(IF(factura_c_mes6[[#This Row],[CUIT]]="","-",VLOOKUP(factura_c_mes6[[#This Row],[CUIT]],Lista_CUIT[#All],3,0)),"CUIT NO CARGADO")</f>
        <v>FLETE</v>
      </c>
      <c r="K151" s="411">
        <f>IFERROR(IF(factura_c_mes6[[#This Row],[CUIT]]="","-",VLOOKUP(factura_c_mes6[[#This Row],[CUIT]],Lista_CUIT[#All],4,0)),"CUIT NO CARGADO")</f>
        <v>0</v>
      </c>
    </row>
    <row r="152" spans="4:11" x14ac:dyDescent="0.25">
      <c r="D152" s="394">
        <v>45103</v>
      </c>
      <c r="E152" s="407">
        <v>2</v>
      </c>
      <c r="F152" s="407">
        <v>472</v>
      </c>
      <c r="G152" s="408">
        <v>27299725761</v>
      </c>
      <c r="H152" s="409" t="str">
        <f>IFERROR(IF(factura_c_mes6[[#This Row],[CUIT]]="","-",VLOOKUP(factura_c_mes6[[#This Row],[CUIT]],Lista_CUIT[#All],2,0)),"CUIT NO CARGADO")</f>
        <v>TURSARKISIAN MISISIAN VERONICA GEMA</v>
      </c>
      <c r="I152" s="410">
        <v>38000</v>
      </c>
      <c r="J152" s="411" t="str">
        <f>IFERROR(IF(factura_c_mes6[[#This Row],[CUIT]]="","-",VLOOKUP(factura_c_mes6[[#This Row],[CUIT]],Lista_CUIT[#All],3,0)),"CUIT NO CARGADO")</f>
        <v>Productos Ortopedicos</v>
      </c>
      <c r="K152" s="411">
        <f>IFERROR(IF(factura_c_mes6[[#This Row],[CUIT]]="","-",VLOOKUP(factura_c_mes6[[#This Row],[CUIT]],Lista_CUIT[#All],4,0)),"CUIT NO CARGADO")</f>
        <v>0</v>
      </c>
    </row>
    <row r="153" spans="4:11" x14ac:dyDescent="0.25">
      <c r="D153" s="394">
        <v>45103</v>
      </c>
      <c r="E153" s="407">
        <v>1</v>
      </c>
      <c r="F153" s="407">
        <v>37</v>
      </c>
      <c r="G153" s="408">
        <v>20403969886</v>
      </c>
      <c r="H153" s="409" t="str">
        <f>IFERROR(IF(factura_c_mes6[[#This Row],[CUIT]]="","-",VLOOKUP(factura_c_mes6[[#This Row],[CUIT]],Lista_CUIT[#All],2,0)),"CUIT NO CARGADO")</f>
        <v>DEL GESSO FRANCO JESUS</v>
      </c>
      <c r="I153" s="410">
        <v>249360</v>
      </c>
      <c r="J153" s="411" t="str">
        <f>IFERROR(IF(factura_c_mes6[[#This Row],[CUIT]]="","-",VLOOKUP(factura_c_mes6[[#This Row],[CUIT]],Lista_CUIT[#All],3,0)),"CUIT NO CARGADO")</f>
        <v>GASTOS ADMINISTRATIVOS</v>
      </c>
      <c r="K153" s="411">
        <f>IFERROR(IF(factura_c_mes6[[#This Row],[CUIT]]="","-",VLOOKUP(factura_c_mes6[[#This Row],[CUIT]],Lista_CUIT[#All],4,0)),"CUIT NO CARGADO")</f>
        <v>0</v>
      </c>
    </row>
    <row r="154" spans="4:11" x14ac:dyDescent="0.25">
      <c r="D154" s="394">
        <v>45104</v>
      </c>
      <c r="E154" s="407">
        <v>2</v>
      </c>
      <c r="F154" s="407">
        <v>93</v>
      </c>
      <c r="G154" s="408">
        <v>20220423655</v>
      </c>
      <c r="H154" s="409" t="str">
        <f>IFERROR(IF(factura_c_mes6[[#This Row],[CUIT]]="","-",VLOOKUP(factura_c_mes6[[#This Row],[CUIT]],Lista_CUIT[#All],2,0)),"CUIT NO CARGADO")</f>
        <v>LANDRO FERNANDO GABRIEL</v>
      </c>
      <c r="I154" s="410">
        <v>211475</v>
      </c>
      <c r="J154" s="411" t="str">
        <f>IFERROR(IF(factura_c_mes6[[#This Row],[CUIT]]="","-",VLOOKUP(factura_c_mes6[[#This Row],[CUIT]],Lista_CUIT[#All],3,0)),"CUIT NO CARGADO")</f>
        <v>GESTION COBRANZAS</v>
      </c>
      <c r="K154" s="411">
        <f>IFERROR(IF(factura_c_mes6[[#This Row],[CUIT]]="","-",VLOOKUP(factura_c_mes6[[#This Row],[CUIT]],Lista_CUIT[#All],4,0)),"CUIT NO CARGADO")</f>
        <v>0</v>
      </c>
    </row>
    <row r="155" spans="4:11" x14ac:dyDescent="0.25">
      <c r="D155" s="394">
        <v>45104</v>
      </c>
      <c r="E155" s="407">
        <v>3</v>
      </c>
      <c r="F155" s="407">
        <v>704</v>
      </c>
      <c r="G155" s="408">
        <v>20216451679</v>
      </c>
      <c r="H155" s="409" t="str">
        <f>IFERROR(IF(factura_c_mes6[[#This Row],[CUIT]]="","-",VLOOKUP(factura_c_mes6[[#This Row],[CUIT]],Lista_CUIT[#All],2,0)),"CUIT NO CARGADO")</f>
        <v>VAZQUEZ RICARDO OSCAR</v>
      </c>
      <c r="I155" s="410">
        <v>17000</v>
      </c>
      <c r="J155" s="411" t="str">
        <f>IFERROR(IF(factura_c_mes6[[#This Row],[CUIT]]="","-",VLOOKUP(factura_c_mes6[[#This Row],[CUIT]],Lista_CUIT[#All],3,0)),"CUIT NO CARGADO")</f>
        <v>Productos Ortopedicos</v>
      </c>
      <c r="K155" s="411">
        <f>IFERROR(IF(factura_c_mes6[[#This Row],[CUIT]]="","-",VLOOKUP(factura_c_mes6[[#This Row],[CUIT]],Lista_CUIT[#All],4,0)),"CUIT NO CARGADO")</f>
        <v>0</v>
      </c>
    </row>
    <row r="156" spans="4:11" x14ac:dyDescent="0.25">
      <c r="D156" s="394">
        <v>45104</v>
      </c>
      <c r="E156" s="407">
        <v>2</v>
      </c>
      <c r="F156" s="407">
        <v>94</v>
      </c>
      <c r="G156" s="408">
        <v>20220423655</v>
      </c>
      <c r="H156" s="409" t="str">
        <f>IFERROR(IF(factura_c_mes6[[#This Row],[CUIT]]="","-",VLOOKUP(factura_c_mes6[[#This Row],[CUIT]],Lista_CUIT[#All],2,0)),"CUIT NO CARGADO")</f>
        <v>LANDRO FERNANDO GABRIEL</v>
      </c>
      <c r="I156" s="410">
        <v>202310</v>
      </c>
      <c r="J156" s="411" t="str">
        <f>IFERROR(IF(factura_c_mes6[[#This Row],[CUIT]]="","-",VLOOKUP(factura_c_mes6[[#This Row],[CUIT]],Lista_CUIT[#All],3,0)),"CUIT NO CARGADO")</f>
        <v>GESTION COBRANZAS</v>
      </c>
      <c r="K156" s="411">
        <f>IFERROR(IF(factura_c_mes6[[#This Row],[CUIT]]="","-",VLOOKUP(factura_c_mes6[[#This Row],[CUIT]],Lista_CUIT[#All],4,0)),"CUIT NO CARGADO")</f>
        <v>0</v>
      </c>
    </row>
    <row r="157" spans="4:11" x14ac:dyDescent="0.25">
      <c r="D157" s="394">
        <v>45105</v>
      </c>
      <c r="E157" s="407">
        <v>1</v>
      </c>
      <c r="F157" s="407">
        <v>83</v>
      </c>
      <c r="G157" s="408">
        <v>27385671526</v>
      </c>
      <c r="H157" s="409" t="str">
        <f>IFERROR(IF(factura_c_mes6[[#This Row],[CUIT]]="","-",VLOOKUP(factura_c_mes6[[#This Row],[CUIT]],Lista_CUIT[#All],2,0)),"CUIT NO CARGADO")</f>
        <v>MACHADO ELIANA NOEMI</v>
      </c>
      <c r="I157" s="410">
        <v>126390</v>
      </c>
      <c r="J157" s="411" t="str">
        <f>IFERROR(IF(factura_c_mes6[[#This Row],[CUIT]]="","-",VLOOKUP(factura_c_mes6[[#This Row],[CUIT]],Lista_CUIT[#All],3,0)),"CUIT NO CARGADO")</f>
        <v>MEDIDAS</v>
      </c>
      <c r="K157" s="411">
        <f>IFERROR(IF(factura_c_mes6[[#This Row],[CUIT]]="","-",VLOOKUP(factura_c_mes6[[#This Row],[CUIT]],Lista_CUIT[#All],4,0)),"CUIT NO CARGADO")</f>
        <v>0</v>
      </c>
    </row>
    <row r="158" spans="4:11" x14ac:dyDescent="0.25">
      <c r="D158" s="394">
        <v>45105</v>
      </c>
      <c r="E158" s="407">
        <v>1</v>
      </c>
      <c r="F158" s="407">
        <v>82</v>
      </c>
      <c r="G158" s="408">
        <v>27385671526</v>
      </c>
      <c r="H158" s="409" t="str">
        <f>IFERROR(IF(factura_c_mes6[[#This Row],[CUIT]]="","-",VLOOKUP(factura_c_mes6[[#This Row],[CUIT]],Lista_CUIT[#All],2,0)),"CUIT NO CARGADO")</f>
        <v>MACHADO ELIANA NOEMI</v>
      </c>
      <c r="I158" s="410">
        <v>149340</v>
      </c>
      <c r="J158" s="411" t="str">
        <f>IFERROR(IF(factura_c_mes6[[#This Row],[CUIT]]="","-",VLOOKUP(factura_c_mes6[[#This Row],[CUIT]],Lista_CUIT[#All],3,0)),"CUIT NO CARGADO")</f>
        <v>MEDIDAS</v>
      </c>
      <c r="K158" s="411">
        <f>IFERROR(IF(factura_c_mes6[[#This Row],[CUIT]]="","-",VLOOKUP(factura_c_mes6[[#This Row],[CUIT]],Lista_CUIT[#All],4,0)),"CUIT NO CARGADO")</f>
        <v>0</v>
      </c>
    </row>
    <row r="159" spans="4:11" x14ac:dyDescent="0.25">
      <c r="D159" s="394">
        <v>45078</v>
      </c>
      <c r="E159" s="407">
        <v>3</v>
      </c>
      <c r="F159" s="407">
        <v>28</v>
      </c>
      <c r="G159" s="408">
        <v>20086277523</v>
      </c>
      <c r="H159" s="409" t="str">
        <f>IFERROR(IF(factura_c_mes6[[#This Row],[CUIT]]="","-",VLOOKUP(factura_c_mes6[[#This Row],[CUIT]],Lista_CUIT[#All],2,0)),"CUIT NO CARGADO")</f>
        <v>BOTINDARI JUAN CARLOS</v>
      </c>
      <c r="I159" s="410">
        <v>-98500</v>
      </c>
      <c r="J159" s="411" t="str">
        <f>IFERROR(IF(factura_c_mes6[[#This Row],[CUIT]]="","-",VLOOKUP(factura_c_mes6[[#This Row],[CUIT]],Lista_CUIT[#All],3,0)),"CUIT NO CARGADO")</f>
        <v>HONORARIOS CONTABLES</v>
      </c>
      <c r="K159" s="411">
        <f>IFERROR(IF(factura_c_mes6[[#This Row],[CUIT]]="","-",VLOOKUP(factura_c_mes6[[#This Row],[CUIT]],Lista_CUIT[#All],4,0)),"CUIT NO CARGADO")</f>
        <v>0</v>
      </c>
    </row>
    <row r="160" spans="4:11" x14ac:dyDescent="0.25">
      <c r="D160" s="394"/>
      <c r="E160" s="407"/>
      <c r="F160" s="407"/>
      <c r="G160" s="408"/>
      <c r="H160" s="409" t="str">
        <f>IFERROR(IF(factura_c_mes6[[#This Row],[CUIT]]="","-",VLOOKUP(factura_c_mes6[[#This Row],[CUIT]],Lista_CUIT[#All],2,0)),"CUIT NO CARGADO")</f>
        <v>-</v>
      </c>
      <c r="I160" s="410"/>
      <c r="J160" s="411" t="str">
        <f>IFERROR(IF(factura_c_mes6[[#This Row],[CUIT]]="","-",VLOOKUP(factura_c_mes6[[#This Row],[CUIT]],Lista_CUIT[#All],3,0)),"CUIT NO CARGADO")</f>
        <v>-</v>
      </c>
      <c r="K160" s="411" t="str">
        <f>IFERROR(IF(factura_c_mes6[[#This Row],[CUIT]]="","-",VLOOKUP(factura_c_mes6[[#This Row],[CUIT]],Lista_CUIT[#All],4,0)),"CUIT NO CARGADO")</f>
        <v>-</v>
      </c>
    </row>
    <row r="161" spans="2:18" x14ac:dyDescent="0.25">
      <c r="D161" s="50"/>
      <c r="E161" s="42"/>
      <c r="F161" s="43"/>
      <c r="G161" s="44"/>
      <c r="H161" s="53" t="str">
        <f>IFERROR(IF(factura_c_mes6[[#This Row],[CUIT]]="","-",VLOOKUP(factura_c_mes6[[#This Row],[CUIT]],Lista_CUIT[#All],2,0)),"CUIT NO CARGADO")</f>
        <v>-</v>
      </c>
      <c r="I161" s="81"/>
      <c r="J161" s="54" t="str">
        <f>IFERROR(IF(factura_c_mes6[[#This Row],[CUIT]]="","-",VLOOKUP(factura_c_mes6[[#This Row],[CUIT]],Lista_CUIT[#All],3,0)),"CUIT NO CARGADO")</f>
        <v>-</v>
      </c>
      <c r="K161" s="54" t="str">
        <f>IFERROR(IF(factura_c_mes6[[#This Row],[CUIT]]="","-",VLOOKUP(factura_c_mes6[[#This Row],[CUIT]],Lista_CUIT[#All],4,0)),"CUIT NO CARGADO")</f>
        <v>-</v>
      </c>
    </row>
    <row r="162" spans="2:18" x14ac:dyDescent="0.25">
      <c r="D162" s="50"/>
      <c r="E162" s="42"/>
      <c r="F162" s="43"/>
      <c r="G162" s="44"/>
      <c r="H162" s="53" t="str">
        <f>IFERROR(IF(factura_c_mes6[[#This Row],[CUIT]]="","-",VLOOKUP(factura_c_mes6[[#This Row],[CUIT]],Lista_CUIT[#All],2,0)),"CUIT NO CARGADO")</f>
        <v>-</v>
      </c>
      <c r="I162" s="81"/>
      <c r="J162" s="54" t="str">
        <f>IFERROR(IF(factura_c_mes6[[#This Row],[CUIT]]="","-",VLOOKUP(factura_c_mes6[[#This Row],[CUIT]],Lista_CUIT[#All],3,0)),"CUIT NO CARGADO")</f>
        <v>-</v>
      </c>
      <c r="K162" s="54" t="str">
        <f>IFERROR(IF(factura_c_mes6[[#This Row],[CUIT]]="","-",VLOOKUP(factura_c_mes6[[#This Row],[CUIT]],Lista_CUIT[#All],4,0)),"CUIT NO CARGADO")</f>
        <v>-</v>
      </c>
    </row>
    <row r="163" spans="2:18" s="56" customFormat="1" ht="18.600000000000001" customHeight="1" x14ac:dyDescent="0.25">
      <c r="B163"/>
      <c r="C163"/>
      <c r="D163" s="412" t="s">
        <v>110</v>
      </c>
      <c r="E163" s="412"/>
      <c r="F163" s="412"/>
      <c r="G163" s="412"/>
      <c r="H163" s="413"/>
      <c r="I163" s="414">
        <f>SUBTOTAL(109,factura_c_mes6[TOTAL])</f>
        <v>2436795</v>
      </c>
      <c r="J163" s="412"/>
      <c r="K163" s="412"/>
      <c r="L163"/>
      <c r="M163"/>
      <c r="N163"/>
      <c r="O163"/>
      <c r="P163"/>
      <c r="Q163"/>
      <c r="R163"/>
    </row>
    <row r="164" spans="2:18" x14ac:dyDescent="0.25">
      <c r="B164" s="56"/>
      <c r="C164" s="56"/>
      <c r="L164" s="56"/>
      <c r="M164" s="56"/>
      <c r="N164" s="56"/>
      <c r="O164" s="56"/>
      <c r="P164" s="56"/>
      <c r="Q164" s="56"/>
      <c r="R164" s="56"/>
    </row>
    <row r="169" spans="2:18" ht="26.25" x14ac:dyDescent="0.25">
      <c r="B169" s="532" t="s">
        <v>29</v>
      </c>
      <c r="C169" s="532"/>
      <c r="D169" s="532"/>
      <c r="E169" s="532"/>
      <c r="F169" s="532"/>
      <c r="G169" s="532"/>
      <c r="H169" s="532"/>
      <c r="I169" s="532"/>
      <c r="J169" s="532"/>
      <c r="K169" s="528">
        <f>N1</f>
        <v>45078</v>
      </c>
      <c r="L169" s="528"/>
      <c r="M169" s="528"/>
    </row>
    <row r="170" spans="2:18" ht="22.5" customHeight="1" x14ac:dyDescent="0.25"/>
    <row r="171" spans="2:18" ht="21" x14ac:dyDescent="0.25">
      <c r="B171" s="525" t="s">
        <v>30</v>
      </c>
      <c r="C171" s="525"/>
    </row>
    <row r="172" spans="2:18" ht="18" customHeight="1" x14ac:dyDescent="0.25">
      <c r="B172" s="60" t="s">
        <v>0</v>
      </c>
      <c r="C172" s="61" t="s">
        <v>1</v>
      </c>
      <c r="D172" s="61" t="s">
        <v>21</v>
      </c>
      <c r="E172" s="61" t="s">
        <v>22</v>
      </c>
      <c r="F172" s="61" t="s">
        <v>3</v>
      </c>
      <c r="G172" s="61" t="s">
        <v>4</v>
      </c>
      <c r="H172" s="61" t="s">
        <v>23</v>
      </c>
      <c r="I172" s="61" t="s">
        <v>17</v>
      </c>
      <c r="J172" s="61" t="s">
        <v>7</v>
      </c>
      <c r="K172" s="61" t="s">
        <v>24</v>
      </c>
      <c r="L172" s="61" t="s">
        <v>10</v>
      </c>
      <c r="M172" s="62" t="s">
        <v>38</v>
      </c>
    </row>
    <row r="173" spans="2:18" x14ac:dyDescent="0.25">
      <c r="B173" s="40"/>
      <c r="C173" s="41"/>
      <c r="D173" s="42"/>
      <c r="E173" s="43"/>
      <c r="F173" s="44"/>
      <c r="G173" s="99" t="str">
        <f>IFERROR(IF(venta_a_mes6[[#This Row],[CUIT]]="","-",VLOOKUP(venta_a_mes6[[#This Row],[CUIT]],Lista_CUIT[#All],2,0)),"CUIT NO CARGADO")</f>
        <v>-</v>
      </c>
      <c r="H173" s="100"/>
      <c r="I173" s="101">
        <f>venta_a_mes6[[#This Row],[IMPORTE NETO]]*0.21</f>
        <v>0</v>
      </c>
      <c r="J173" s="65"/>
      <c r="K173" s="65"/>
      <c r="L173" s="65">
        <f>SUM(venta_a_mes6[[#This Row],[IMPORTE NETO]:[EXENTO]])</f>
        <v>0</v>
      </c>
      <c r="M173" s="59"/>
    </row>
    <row r="174" spans="2:18" x14ac:dyDescent="0.25">
      <c r="B174" s="423"/>
      <c r="C174" s="424"/>
      <c r="D174" s="425"/>
      <c r="E174" s="426"/>
      <c r="F174" s="427"/>
      <c r="G174" s="428" t="str">
        <f>IFERROR(IF(venta_a_mes6[[#This Row],[CUIT]]="","-",VLOOKUP(venta_a_mes6[[#This Row],[CUIT]],Lista_CUIT[#All],2,0)),"CUIT NO CARGADO")</f>
        <v>-</v>
      </c>
      <c r="H174" s="429"/>
      <c r="I174" s="430">
        <f>venta_a_mes6[[#This Row],[IMPORTE NETO]]*0.21</f>
        <v>0</v>
      </c>
      <c r="J174" s="431"/>
      <c r="K174" s="431"/>
      <c r="L174" s="431">
        <f>SUM(venta_a_mes6[[#This Row],[IMPORTE NETO]:[EXENTO]])</f>
        <v>0</v>
      </c>
      <c r="M174" s="432"/>
    </row>
    <row r="175" spans="2:18" x14ac:dyDescent="0.25">
      <c r="B175" s="423"/>
      <c r="C175" s="424"/>
      <c r="D175" s="425"/>
      <c r="E175" s="426"/>
      <c r="F175" s="427"/>
      <c r="G175" s="428" t="str">
        <f>IFERROR(IF(venta_a_mes6[[#This Row],[CUIT]]="","-",VLOOKUP(venta_a_mes6[[#This Row],[CUIT]],Lista_CUIT[#All],2,0)),"CUIT NO CARGADO")</f>
        <v>-</v>
      </c>
      <c r="H175" s="429"/>
      <c r="I175" s="430">
        <f>venta_a_mes6[[#This Row],[IMPORTE NETO]]*0.21</f>
        <v>0</v>
      </c>
      <c r="J175" s="431"/>
      <c r="K175" s="431"/>
      <c r="L175" s="431">
        <f>SUM(venta_a_mes6[[#This Row],[IMPORTE NETO]:[EXENTO]])</f>
        <v>0</v>
      </c>
      <c r="M175" s="432"/>
    </row>
    <row r="176" spans="2:18" x14ac:dyDescent="0.25">
      <c r="B176" s="423"/>
      <c r="C176" s="424"/>
      <c r="D176" s="425"/>
      <c r="E176" s="426"/>
      <c r="F176" s="427"/>
      <c r="G176" s="428" t="str">
        <f>IFERROR(IF(venta_a_mes6[[#This Row],[CUIT]]="","-",VLOOKUP(venta_a_mes6[[#This Row],[CUIT]],Lista_CUIT[#All],2,0)),"CUIT NO CARGADO")</f>
        <v>-</v>
      </c>
      <c r="H176" s="429"/>
      <c r="I176" s="430">
        <f>venta_a_mes6[[#This Row],[IMPORTE NETO]]*0.21</f>
        <v>0</v>
      </c>
      <c r="J176" s="431"/>
      <c r="K176" s="431"/>
      <c r="L176" s="431">
        <f>SUM(venta_a_mes6[[#This Row],[IMPORTE NETO]:[EXENTO]])</f>
        <v>0</v>
      </c>
      <c r="M176" s="432"/>
    </row>
    <row r="177" spans="2:13" x14ac:dyDescent="0.25">
      <c r="B177" s="423"/>
      <c r="C177" s="424"/>
      <c r="D177" s="425"/>
      <c r="E177" s="426"/>
      <c r="F177" s="427"/>
      <c r="G177" s="428" t="str">
        <f>IFERROR(IF(venta_a_mes6[[#This Row],[CUIT]]="","-",VLOOKUP(venta_a_mes6[[#This Row],[CUIT]],Lista_CUIT[#All],2,0)),"CUIT NO CARGADO")</f>
        <v>-</v>
      </c>
      <c r="H177" s="429"/>
      <c r="I177" s="430">
        <f>venta_a_mes6[[#This Row],[IMPORTE NETO]]*0.21</f>
        <v>0</v>
      </c>
      <c r="J177" s="431"/>
      <c r="K177" s="431"/>
      <c r="L177" s="431">
        <f>SUM(venta_a_mes6[[#This Row],[IMPORTE NETO]:[EXENTO]])</f>
        <v>0</v>
      </c>
      <c r="M177" s="432"/>
    </row>
    <row r="178" spans="2:13" x14ac:dyDescent="0.25">
      <c r="B178" s="102"/>
      <c r="C178" s="103"/>
      <c r="D178" s="104"/>
      <c r="E178" s="105"/>
      <c r="F178" s="106"/>
      <c r="G178" s="99" t="str">
        <f>IFERROR(IF(venta_a_mes6[[#This Row],[CUIT]]="","-",VLOOKUP(venta_a_mes6[[#This Row],[CUIT]],Lista_CUIT[#All],2,0)),"CUIT NO CARGADO")</f>
        <v>-</v>
      </c>
      <c r="H178" s="107"/>
      <c r="I178" s="108">
        <f>venta_a_mes6[[#This Row],[IMPORTE NETO]]*0.21</f>
        <v>0</v>
      </c>
      <c r="J178" s="72"/>
      <c r="K178" s="72"/>
      <c r="L178" s="72">
        <f>SUM(venta_a_mes6[[#This Row],[IMPORTE NETO]:[EXENTO]])</f>
        <v>0</v>
      </c>
      <c r="M178" s="63"/>
    </row>
    <row r="179" spans="2:13" x14ac:dyDescent="0.25">
      <c r="B179" s="109"/>
      <c r="C179" s="110"/>
      <c r="D179" s="111"/>
      <c r="E179" s="112"/>
      <c r="F179" s="113"/>
      <c r="G179" s="99" t="str">
        <f>IFERROR(IF(venta_a_mes6[[#This Row],[CUIT]]="","-",VLOOKUP(venta_a_mes6[[#This Row],[CUIT]],Lista_CUIT[#All],2,0)),"CUIT NO CARGADO")</f>
        <v>-</v>
      </c>
      <c r="H179" s="100"/>
      <c r="I179" s="101">
        <f>venta_a_mes6[[#This Row],[IMPORTE NETO]]*0.21</f>
        <v>0</v>
      </c>
      <c r="J179" s="65"/>
      <c r="K179" s="65"/>
      <c r="L179" s="65">
        <f>SUM(venta_a_mes6[[#This Row],[IMPORTE NETO]:[EXENTO]])</f>
        <v>0</v>
      </c>
      <c r="M179" s="59"/>
    </row>
    <row r="180" spans="2:13" ht="25.9" customHeight="1" x14ac:dyDescent="0.25">
      <c r="B180" s="66" t="s">
        <v>110</v>
      </c>
      <c r="C180" s="67"/>
      <c r="D180" s="67"/>
      <c r="E180" s="67"/>
      <c r="F180" s="67"/>
      <c r="G180" s="67"/>
      <c r="H180" s="69">
        <f>SUBTOTAL(109,venta_a_mes6[IMPORTE NETO])</f>
        <v>0</v>
      </c>
      <c r="I180" s="70">
        <f>SUBTOTAL(109,venta_a_mes6[IVA 21%])</f>
        <v>0</v>
      </c>
      <c r="J180" s="71">
        <f>SUBTOTAL(109,venta_a_mes6[IVA 10,5%])</f>
        <v>0</v>
      </c>
      <c r="K180" s="71">
        <f>SUBTOTAL(109,venta_a_mes6[EXENTO])</f>
        <v>0</v>
      </c>
      <c r="L180" s="71">
        <f>SUBTOTAL(109,venta_a_mes6[TOTAL])</f>
        <v>0</v>
      </c>
      <c r="M180" s="68">
        <f>SUBTOTAL(103,venta_a_mes6[Provincia])</f>
        <v>0</v>
      </c>
    </row>
    <row r="182" spans="2:13" ht="17.25" customHeight="1" x14ac:dyDescent="0.25"/>
    <row r="183" spans="2:13" ht="31.5" customHeight="1" x14ac:dyDescent="0.25">
      <c r="B183" s="525" t="s">
        <v>31</v>
      </c>
      <c r="C183" s="525"/>
    </row>
    <row r="184" spans="2:13" ht="15.75" x14ac:dyDescent="0.25">
      <c r="B184" s="60" t="s">
        <v>0</v>
      </c>
      <c r="C184" s="61" t="s">
        <v>1</v>
      </c>
      <c r="D184" s="61" t="s">
        <v>21</v>
      </c>
      <c r="E184" s="61" t="s">
        <v>22</v>
      </c>
      <c r="F184" s="61" t="s">
        <v>3</v>
      </c>
      <c r="G184" s="61" t="s">
        <v>4</v>
      </c>
      <c r="H184" s="61" t="s">
        <v>23</v>
      </c>
      <c r="I184" s="61" t="s">
        <v>17</v>
      </c>
      <c r="J184" s="61" t="s">
        <v>7</v>
      </c>
      <c r="K184" s="61" t="s">
        <v>24</v>
      </c>
      <c r="L184" s="61" t="s">
        <v>10</v>
      </c>
      <c r="M184" s="62" t="s">
        <v>38</v>
      </c>
    </row>
    <row r="185" spans="2:13" x14ac:dyDescent="0.25">
      <c r="B185" s="40"/>
      <c r="C185" s="41"/>
      <c r="D185" s="42"/>
      <c r="E185" s="43"/>
      <c r="F185" s="44"/>
      <c r="G185" s="1" t="str">
        <f>IFERROR(IF(ventas_b_mes6[[#This Row],[CUIT]]="","-",VLOOKUP(ventas_b_mes6[[#This Row],[CUIT]],Lista_CUIT[#All],2,0)),"CUIT NO CARGADO")</f>
        <v>-</v>
      </c>
      <c r="H185" s="64"/>
      <c r="I185" s="64"/>
      <c r="J185" s="64"/>
      <c r="K185" s="64"/>
      <c r="L185" s="64">
        <f>SUM(ventas_b_mes6[[#This Row],[IMPORTE NETO]:[EXENTO]])</f>
        <v>0</v>
      </c>
      <c r="M185" s="59"/>
    </row>
    <row r="186" spans="2:13" x14ac:dyDescent="0.25">
      <c r="B186" s="40"/>
      <c r="C186" s="41"/>
      <c r="D186" s="42"/>
      <c r="E186" s="43"/>
      <c r="F186" s="44"/>
      <c r="G186" s="1"/>
      <c r="H186" s="64"/>
      <c r="I186" s="64"/>
      <c r="J186" s="64"/>
      <c r="K186" s="64"/>
      <c r="L186" s="64">
        <f>SUM(ventas_b_mes6[[#This Row],[IMPORTE NETO]:[EXENTO]])</f>
        <v>0</v>
      </c>
      <c r="M186" s="59"/>
    </row>
    <row r="187" spans="2:13" x14ac:dyDescent="0.25">
      <c r="B187" s="40"/>
      <c r="C187" s="41"/>
      <c r="D187" s="42"/>
      <c r="E187" s="43"/>
      <c r="F187" s="44"/>
      <c r="G187" s="1"/>
      <c r="H187" s="64"/>
      <c r="I187" s="64"/>
      <c r="J187" s="64"/>
      <c r="K187" s="64"/>
      <c r="L187" s="64">
        <f>SUM(ventas_b_mes6[[#This Row],[IMPORTE NETO]:[EXENTO]])</f>
        <v>0</v>
      </c>
      <c r="M187" s="59"/>
    </row>
    <row r="188" spans="2:13" x14ac:dyDescent="0.25">
      <c r="B188" s="40"/>
      <c r="C188" s="41"/>
      <c r="D188" s="42"/>
      <c r="E188" s="43"/>
      <c r="F188" s="44"/>
      <c r="G188" s="1"/>
      <c r="H188" s="64"/>
      <c r="I188" s="64"/>
      <c r="J188" s="64"/>
      <c r="K188" s="64"/>
      <c r="L188" s="64">
        <f>SUM(ventas_b_mes6[[#This Row],[IMPORTE NETO]:[EXENTO]])</f>
        <v>0</v>
      </c>
      <c r="M188" s="59"/>
    </row>
    <row r="189" spans="2:13" x14ac:dyDescent="0.25">
      <c r="B189" s="40"/>
      <c r="C189" s="41"/>
      <c r="D189" s="42"/>
      <c r="E189" s="43"/>
      <c r="F189" s="44"/>
      <c r="G189" s="1"/>
      <c r="H189" s="64"/>
      <c r="I189" s="64"/>
      <c r="J189" s="64"/>
      <c r="K189" s="64"/>
      <c r="L189" s="64">
        <f>SUM(ventas_b_mes6[[#This Row],[IMPORTE NETO]:[EXENTO]])</f>
        <v>0</v>
      </c>
      <c r="M189" s="59"/>
    </row>
    <row r="190" spans="2:13" x14ac:dyDescent="0.25">
      <c r="B190" s="40"/>
      <c r="C190" s="41"/>
      <c r="D190" s="42"/>
      <c r="E190" s="43"/>
      <c r="F190" s="44"/>
      <c r="G190" s="1"/>
      <c r="H190" s="64"/>
      <c r="I190" s="64"/>
      <c r="J190" s="64"/>
      <c r="K190" s="64"/>
      <c r="L190" s="64">
        <f>SUM(ventas_b_mes6[[#This Row],[IMPORTE NETO]:[EXENTO]])</f>
        <v>0</v>
      </c>
      <c r="M190" s="59"/>
    </row>
    <row r="191" spans="2:13" x14ac:dyDescent="0.25">
      <c r="B191" s="66" t="s">
        <v>110</v>
      </c>
      <c r="C191" s="67"/>
      <c r="D191" s="67"/>
      <c r="E191" s="67"/>
      <c r="F191" s="67"/>
      <c r="G191" s="67"/>
      <c r="H191" s="77">
        <f>SUBTOTAL(109,ventas_b_mes6[IMPORTE NETO])</f>
        <v>0</v>
      </c>
      <c r="I191" s="77">
        <f>SUBTOTAL(109,ventas_b_mes6[IVA 21%])</f>
        <v>0</v>
      </c>
      <c r="J191" s="78">
        <f>SUBTOTAL(109,ventas_b_mes6[IVA 10,5%])</f>
        <v>0</v>
      </c>
      <c r="K191" s="78">
        <f>SUBTOTAL(109,ventas_b_mes6[EXENTO])</f>
        <v>0</v>
      </c>
      <c r="L191" s="78">
        <f>SUBTOTAL(109,ventas_b_mes6[TOTAL])</f>
        <v>0</v>
      </c>
      <c r="M191" s="68">
        <f>SUBTOTAL(103,ventas_b_mes6[Provincia])</f>
        <v>0</v>
      </c>
    </row>
    <row r="193" spans="3:12" ht="19.149999999999999" customHeight="1" x14ac:dyDescent="0.25"/>
    <row r="194" spans="3:12" ht="28.9" customHeight="1" x14ac:dyDescent="0.25"/>
    <row r="198" spans="3:12" ht="15.75" thickBot="1" x14ac:dyDescent="0.3"/>
    <row r="199" spans="3:12" ht="15.75" thickTop="1" x14ac:dyDescent="0.25">
      <c r="C199" s="522" t="s">
        <v>66</v>
      </c>
      <c r="D199" s="522"/>
      <c r="E199" s="522"/>
      <c r="F199" s="522"/>
      <c r="G199" s="522"/>
      <c r="H199" s="32"/>
      <c r="I199" s="32"/>
      <c r="J199" s="32"/>
    </row>
    <row r="200" spans="3:12" ht="15.75" x14ac:dyDescent="0.25">
      <c r="C200" s="114" t="s">
        <v>67</v>
      </c>
      <c r="D200" s="115" t="s">
        <v>68</v>
      </c>
      <c r="E200" s="115" t="s">
        <v>112</v>
      </c>
      <c r="F200" s="115" t="s">
        <v>3</v>
      </c>
      <c r="G200" s="115" t="s">
        <v>4</v>
      </c>
      <c r="H200" s="116" t="s">
        <v>69</v>
      </c>
      <c r="I200" s="116" t="s">
        <v>70</v>
      </c>
      <c r="J200" s="116" t="s">
        <v>71</v>
      </c>
      <c r="K200" s="116" t="s">
        <v>72</v>
      </c>
      <c r="L200" s="116" t="s">
        <v>73</v>
      </c>
    </row>
    <row r="201" spans="3:12" x14ac:dyDescent="0.25">
      <c r="C201" s="117"/>
      <c r="D201" s="118"/>
      <c r="E201" s="118"/>
      <c r="F201" s="119"/>
      <c r="G201" s="53" t="str">
        <f>IFERROR(IF(Retenciones_mes6[[#This Row],[CUIT]]="","-",VLOOKUP(Retenciones_mes6[[#This Row],[CUIT]],Lista_CUIT[#All],2,0)),"CUIT NO CARGADO")</f>
        <v>-</v>
      </c>
      <c r="H201" s="120"/>
      <c r="I201" s="120"/>
      <c r="J201" s="120"/>
      <c r="K201" s="120"/>
      <c r="L201" s="120"/>
    </row>
    <row r="202" spans="3:12" x14ac:dyDescent="0.25">
      <c r="C202" s="117"/>
      <c r="D202" s="118"/>
      <c r="E202" s="118"/>
      <c r="F202" s="119"/>
      <c r="G202" s="53" t="str">
        <f>IFERROR(IF(Retenciones_mes6[[#This Row],[CUIT]]="","-",VLOOKUP(Retenciones_mes6[[#This Row],[CUIT]],Lista_CUIT[#All],2,0)),"CUIT NO CARGADO")</f>
        <v>-</v>
      </c>
      <c r="H202" s="120"/>
      <c r="I202" s="120"/>
      <c r="J202" s="120"/>
      <c r="K202" s="120"/>
      <c r="L202" s="120"/>
    </row>
    <row r="203" spans="3:12" x14ac:dyDescent="0.25">
      <c r="C203" s="117"/>
      <c r="D203" s="118"/>
      <c r="E203" s="118"/>
      <c r="F203" s="119"/>
      <c r="G203" s="53" t="str">
        <f>IFERROR(IF(Retenciones_mes6[[#This Row],[CUIT]]="","-",VLOOKUP(Retenciones_mes6[[#This Row],[CUIT]],Lista_CUIT[#All],2,0)),"CUIT NO CARGADO")</f>
        <v>-</v>
      </c>
      <c r="H203" s="120"/>
      <c r="I203" s="120"/>
      <c r="J203" s="120"/>
      <c r="K203" s="120"/>
      <c r="L203" s="120"/>
    </row>
    <row r="204" spans="3:12" x14ac:dyDescent="0.25">
      <c r="C204" s="117"/>
      <c r="D204" s="118"/>
      <c r="E204" s="118"/>
      <c r="F204" s="119"/>
      <c r="G204" s="53" t="str">
        <f>IFERROR(IF(Retenciones_mes6[[#This Row],[CUIT]]="","-",VLOOKUP(Retenciones_mes6[[#This Row],[CUIT]],Lista_CUIT[#All],2,0)),"CUIT NO CARGADO")</f>
        <v>-</v>
      </c>
      <c r="H204" s="120"/>
      <c r="I204" s="120"/>
      <c r="J204" s="120"/>
      <c r="K204" s="120"/>
      <c r="L204" s="120"/>
    </row>
    <row r="205" spans="3:12" x14ac:dyDescent="0.25">
      <c r="D205" s="118"/>
      <c r="E205" s="118"/>
      <c r="G205" s="53" t="str">
        <f>IFERROR(IF(Retenciones_mes6[[#This Row],[CUIT]]="","-",VLOOKUP(Retenciones_mes6[[#This Row],[CUIT]],Lista_CUIT[#All],2,0)),"CUIT NO CARGADO")</f>
        <v>-</v>
      </c>
    </row>
    <row r="206" spans="3:12" x14ac:dyDescent="0.25">
      <c r="C206" s="33"/>
    </row>
  </sheetData>
  <mergeCells count="20">
    <mergeCell ref="C199:G199"/>
    <mergeCell ref="B4:E4"/>
    <mergeCell ref="G4:H4"/>
    <mergeCell ref="J4:K4"/>
    <mergeCell ref="M4:N4"/>
    <mergeCell ref="D118:K118"/>
    <mergeCell ref="B169:J169"/>
    <mergeCell ref="K169:M169"/>
    <mergeCell ref="B171:C171"/>
    <mergeCell ref="B183:C183"/>
    <mergeCell ref="P4:R4"/>
    <mergeCell ref="D109:L109"/>
    <mergeCell ref="B1:F1"/>
    <mergeCell ref="G1:M1"/>
    <mergeCell ref="N1:R1"/>
    <mergeCell ref="B3:E3"/>
    <mergeCell ref="G3:H3"/>
    <mergeCell ref="J3:K3"/>
    <mergeCell ref="M3:N3"/>
    <mergeCell ref="P3:R3"/>
  </mergeCells>
  <dataValidations count="10">
    <dataValidation type="whole" allowBlank="1" showInputMessage="1" showErrorMessage="1" sqref="D185:D190 D173:D179 E120:E162 D9:D103" xr:uid="{00000000-0002-0000-0600-000000000000}">
      <formula1>1</formula1>
      <formula2>9999</formula2>
    </dataValidation>
    <dataValidation type="whole" allowBlank="1" showInputMessage="1" showErrorMessage="1" sqref="E185:E190 E173:E179 F120:F162 E9:E103" xr:uid="{00000000-0002-0000-0600-000001000000}">
      <formula1>1</formula1>
      <formula2>99999999</formula2>
    </dataValidation>
    <dataValidation type="whole" allowBlank="1" showInputMessage="1" showErrorMessage="1" sqref="F185:F190 F173:F179 G120:G162 F9:F103" xr:uid="{00000000-0002-0000-0600-000002000000}">
      <formula1>20000000000</formula1>
      <formula2>33999999999</formula2>
    </dataValidation>
    <dataValidation type="date" allowBlank="1" showInputMessage="1" showErrorMessage="1" sqref="D111:D113 B105:B108 B185:B190 B173:B179 D120:D162 B9:B103" xr:uid="{00000000-0002-0000-0600-000003000000}">
      <formula1>40179</formula1>
      <formula2>TODAY()</formula2>
    </dataValidation>
    <dataValidation type="whole" allowBlank="1" showInputMessage="1" showErrorMessage="1" sqref="C105:C108 C173:C179 C9:C103" xr:uid="{00000000-0002-0000-0600-000004000000}">
      <formula1>1</formula1>
      <formula2>3</formula2>
    </dataValidation>
    <dataValidation type="whole" allowBlank="1" showInputMessage="1" showErrorMessage="1" sqref="C185:C190" xr:uid="{00000000-0002-0000-0600-000005000000}">
      <formula1>6</formula1>
      <formula2>8</formula2>
    </dataValidation>
    <dataValidation type="custom" allowBlank="1" showInputMessage="1" showErrorMessage="1" sqref="H185:L190" xr:uid="{00000000-0002-0000-0600-000006000000}">
      <formula1>IF($C185=8,H185&lt;0,H185&gt;=0)</formula1>
    </dataValidation>
    <dataValidation type="custom" allowBlank="1" showInputMessage="1" showErrorMessage="1" sqref="L173:L177" xr:uid="{00000000-0002-0000-0600-000007000000}">
      <formula1>IF($C9=3,L9&lt;0,L9&gt;=0)</formula1>
    </dataValidation>
    <dataValidation type="custom" allowBlank="1" showInputMessage="1" showErrorMessage="1" sqref="H173:K177" xr:uid="{00000000-0002-0000-0600-000008000000}">
      <formula1>IF($C173=3,H173&lt;0,H173&gt;=0)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3" xr:uid="{00000000-0002-0000-0600-000009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230"/>
  <sheetViews>
    <sheetView showGridLines="0" topLeftCell="D124" zoomScale="70" zoomScaleNormal="70" workbookViewId="0">
      <selection activeCell="K194" sqref="K194"/>
    </sheetView>
  </sheetViews>
  <sheetFormatPr baseColWidth="10" defaultColWidth="0" defaultRowHeight="15" x14ac:dyDescent="0.25"/>
  <cols>
    <col min="1" max="1" width="0.140625" customWidth="1"/>
    <col min="2" max="2" width="16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EDATE('Ene-23'!N1,6)</f>
        <v>45108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SUM(compras_mes7[[#Totals],[NETO GRAVADO]])+extracto_banco_mes7[[#Totals],[NETO]]</f>
        <v>18485076.770000007</v>
      </c>
      <c r="C4" s="530"/>
      <c r="D4" s="530"/>
      <c r="E4" s="530"/>
      <c r="F4" s="39"/>
      <c r="G4" s="531">
        <f>compras_mes7[[#Totals],[IVA 21 %]]+compras_mes7[[#Totals],[IVA 27%]]+compras_mes7[[#Totals],[IVA 10,5%]]+extracto_banco_mes7[[#Totals],[IVA 21%]]+extracto_banco_mes7[[#Totals],[IVA 10,5%]]</f>
        <v>3872861.1728000008</v>
      </c>
      <c r="H4" s="531"/>
      <c r="I4" s="39"/>
      <c r="J4" s="537">
        <f>venta_a_mes7[[#Totals],[IMPORTE NETO]]+ventas_b_mes7[[#Totals],[IMPORTE NETO]]</f>
        <v>0</v>
      </c>
      <c r="K4" s="537"/>
      <c r="L4" s="39"/>
      <c r="M4" s="537">
        <f>venta_a_mes7[[#Totals],[IVA 21%]]+venta_a_mes7[[#Totals],[IVA 10,5%]]+ventas_b_mes7[[#Totals],[IVA 21%]]+ventas_b_mes7[[#Totals],[IVA 10,5%]]</f>
        <v>0</v>
      </c>
      <c r="N4" s="537"/>
      <c r="O4" s="39"/>
      <c r="P4" s="533">
        <f>G4-M4</f>
        <v>3872861.1728000008</v>
      </c>
      <c r="Q4" s="534"/>
      <c r="R4" s="534"/>
    </row>
    <row r="5" spans="1:26" ht="28.5" customHeight="1" x14ac:dyDescent="0.3">
      <c r="N5" s="458">
        <v>19901037.649999999</v>
      </c>
    </row>
    <row r="6" spans="1:26" ht="25.5" customHeight="1" x14ac:dyDescent="0.25"/>
    <row r="7" spans="1:26" s="2" customFormat="1" ht="28.5" customHeight="1" x14ac:dyDescent="0.25">
      <c r="B7" s="40"/>
      <c r="C7" s="41"/>
      <c r="D7" s="42"/>
      <c r="E7" s="43"/>
      <c r="F7" s="44"/>
      <c r="G7" s="272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19">
        <v>45108</v>
      </c>
      <c r="C9" s="209">
        <v>1</v>
      </c>
      <c r="D9" s="220">
        <v>1305</v>
      </c>
      <c r="E9" s="221">
        <v>1471113</v>
      </c>
      <c r="F9" s="222">
        <v>30663288497</v>
      </c>
      <c r="G9" s="223" t="str">
        <f>IFERROR(IF(compras_mes7[[#This Row],[CUIT]]="","-",VLOOKUP(compras_mes7[[#This Row],[CUIT]],Lista_CUIT[#All],2,0)),"CUIT NO CARGADO")</f>
        <v>AMX ARG SA</v>
      </c>
      <c r="H9" s="224">
        <v>7776</v>
      </c>
      <c r="I9" s="225">
        <v>646.38</v>
      </c>
      <c r="J9" s="225">
        <v>1268.46</v>
      </c>
      <c r="K9" s="225"/>
      <c r="L9" s="225"/>
      <c r="M9" s="225">
        <v>233.28</v>
      </c>
      <c r="N9" s="225">
        <v>272.16000000000003</v>
      </c>
      <c r="O9" s="225">
        <v>247.26</v>
      </c>
      <c r="P9" s="454">
        <f>SUM(compras_mes7[[#This Row],[NETO GRAVADO]:[Otros / No Grav.]])</f>
        <v>10443.540000000001</v>
      </c>
      <c r="Q9" s="455" t="str">
        <f>IFERROR(IF(compras_mes7[[#This Row],[CUIT]]="","-",VLOOKUP(compras_mes7[[#This Row],[CUIT]],Lista_CUIT[#All],3,0)),"CUIT NO CARGADO")</f>
        <v>SERVICIOS DE INTERNET</v>
      </c>
      <c r="R9" s="455">
        <f>IFERROR(IF(compras_mes7[[#This Row],[CUIT]]="","-",VLOOKUP(compras_mes7[[#This Row],[CUIT]],Lista_CUIT[#All],4,0)),"CUIT NO CARGADO")</f>
        <v>0</v>
      </c>
    </row>
    <row r="10" spans="1:26" x14ac:dyDescent="0.25">
      <c r="B10" s="394">
        <v>45110</v>
      </c>
      <c r="C10" s="395">
        <v>1</v>
      </c>
      <c r="D10" s="396">
        <v>2</v>
      </c>
      <c r="E10" s="397">
        <v>188</v>
      </c>
      <c r="F10" s="398">
        <v>30605344352</v>
      </c>
      <c r="G10" s="399" t="str">
        <f>IFERROR(IF(compras_mes7[[#This Row],[CUIT]]="","-",VLOOKUP(compras_mes7[[#This Row],[CUIT]],Lista_CUIT[#All],2,0)),"CUIT NO CARGADO")</f>
        <v>CONSORCIO BARTOLME MITRE 2466</v>
      </c>
      <c r="H10" s="400">
        <v>230000</v>
      </c>
      <c r="I10" s="401">
        <f>IF(compras_mes7[[#This Row],[NETO GRAVADO]]="","",compras_mes7[[#This Row],[NETO GRAVADO]]*0.21)</f>
        <v>48300</v>
      </c>
      <c r="J10" s="441"/>
      <c r="K10" s="441"/>
      <c r="L10" s="441"/>
      <c r="M10" s="441"/>
      <c r="N10" s="441"/>
      <c r="O10" s="441"/>
      <c r="P10" s="442">
        <f>SUM(compras_mes7[[#This Row],[NETO GRAVADO]:[Otros / No Grav.]])</f>
        <v>278300</v>
      </c>
      <c r="Q10" s="443" t="str">
        <f>IFERROR(IF(compras_mes7[[#This Row],[CUIT]]="","-",VLOOKUP(compras_mes7[[#This Row],[CUIT]],Lista_CUIT[#All],3,0)),"CUIT NO CARGADO")</f>
        <v>Gastos Varios</v>
      </c>
      <c r="R10" s="443">
        <f>IFERROR(IF(compras_mes7[[#This Row],[CUIT]]="","-",VLOOKUP(compras_mes7[[#This Row],[CUIT]],Lista_CUIT[#All],4,0)),"CUIT NO CARGADO")</f>
        <v>0</v>
      </c>
    </row>
    <row r="11" spans="1:26" x14ac:dyDescent="0.25">
      <c r="B11" s="394">
        <v>45110</v>
      </c>
      <c r="C11" s="395">
        <v>1</v>
      </c>
      <c r="D11" s="396">
        <v>3</v>
      </c>
      <c r="E11" s="397">
        <v>84</v>
      </c>
      <c r="F11" s="398">
        <v>20334976433</v>
      </c>
      <c r="G11" s="399" t="str">
        <f>IFERROR(IF(compras_mes7[[#This Row],[CUIT]]="","-",VLOOKUP(compras_mes7[[#This Row],[CUIT]],Lista_CUIT[#All],2,0)),"CUIT NO CARGADO")</f>
        <v>NARDOMARINO EZEQUIEL EDUARDO</v>
      </c>
      <c r="H11" s="400">
        <v>128543.8</v>
      </c>
      <c r="I11" s="401">
        <f>IF(compras_mes7[[#This Row],[NETO GRAVADO]]="","",compras_mes7[[#This Row],[NETO GRAVADO]]*0.21)</f>
        <v>26994.198</v>
      </c>
      <c r="J11" s="441"/>
      <c r="K11" s="441"/>
      <c r="L11" s="441"/>
      <c r="M11" s="441"/>
      <c r="N11" s="441"/>
      <c r="O11" s="441"/>
      <c r="P11" s="442">
        <f>SUM(compras_mes7[[#This Row],[NETO GRAVADO]:[Otros / No Grav.]])</f>
        <v>155537.99799999999</v>
      </c>
      <c r="Q11" s="443" t="str">
        <f>IFERROR(IF(compras_mes7[[#This Row],[CUIT]]="","-",VLOOKUP(compras_mes7[[#This Row],[CUIT]],Lista_CUIT[#All],3,0)),"CUIT NO CARGADO")</f>
        <v>FLETE</v>
      </c>
      <c r="R11" s="443">
        <f>IFERROR(IF(compras_mes7[[#This Row],[CUIT]]="","-",VLOOKUP(compras_mes7[[#This Row],[CUIT]],Lista_CUIT[#All],4,0)),"CUIT NO CARGADO")</f>
        <v>0</v>
      </c>
    </row>
    <row r="12" spans="1:26" x14ac:dyDescent="0.25">
      <c r="B12" s="219">
        <v>45110</v>
      </c>
      <c r="C12" s="209">
        <v>1</v>
      </c>
      <c r="D12" s="220">
        <v>5011</v>
      </c>
      <c r="E12" s="221">
        <v>495002</v>
      </c>
      <c r="F12" s="222">
        <v>30574876474</v>
      </c>
      <c r="G12" s="223" t="str">
        <f>IFERROR(IF(compras_mes7[[#This Row],[CUIT]]="","-",VLOOKUP(compras_mes7[[#This Row],[CUIT]],Lista_CUIT[#All],2,0)),"CUIT NO CARGADO")</f>
        <v>AUTOP. URBANAS SA</v>
      </c>
      <c r="H12" s="224">
        <v>2939.21</v>
      </c>
      <c r="I12" s="225">
        <f>IF(compras_mes7[[#This Row],[NETO GRAVADO]]="","",compras_mes7[[#This Row],[NETO GRAVADO]]*0.21)</f>
        <v>617.23410000000001</v>
      </c>
      <c r="J12" s="453"/>
      <c r="K12" s="453"/>
      <c r="L12" s="453"/>
      <c r="M12" s="453"/>
      <c r="N12" s="453"/>
      <c r="O12" s="453">
        <f>88.17+293.89</f>
        <v>382.06</v>
      </c>
      <c r="P12" s="454">
        <f>SUM(compras_mes7[[#This Row],[NETO GRAVADO]:[Otros / No Grav.]])</f>
        <v>3938.5041000000001</v>
      </c>
      <c r="Q12" s="455" t="str">
        <f>IFERROR(IF(compras_mes7[[#This Row],[CUIT]]="","-",VLOOKUP(compras_mes7[[#This Row],[CUIT]],Lista_CUIT[#All],3,0)),"CUIT NO CARGADO")</f>
        <v>PEAJE</v>
      </c>
      <c r="R12" s="455">
        <f>IFERROR(IF(compras_mes7[[#This Row],[CUIT]]="","-",VLOOKUP(compras_mes7[[#This Row],[CUIT]],Lista_CUIT[#All],4,0)),"CUIT NO CARGADO")</f>
        <v>0</v>
      </c>
    </row>
    <row r="13" spans="1:26" x14ac:dyDescent="0.25">
      <c r="B13" s="219">
        <v>45110</v>
      </c>
      <c r="C13" s="209">
        <v>1</v>
      </c>
      <c r="D13" s="220">
        <v>5009</v>
      </c>
      <c r="E13" s="221">
        <v>701595</v>
      </c>
      <c r="F13" s="222">
        <v>30574876474</v>
      </c>
      <c r="G13" s="223" t="str">
        <f>IFERROR(IF(compras_mes7[[#This Row],[CUIT]]="","-",VLOOKUP(compras_mes7[[#This Row],[CUIT]],Lista_CUIT[#All],2,0)),"CUIT NO CARGADO")</f>
        <v>AUTOP. URBANAS SA</v>
      </c>
      <c r="H13" s="224">
        <v>2249.42</v>
      </c>
      <c r="I13" s="225">
        <f>IF(compras_mes7[[#This Row],[NETO GRAVADO]]="","",compras_mes7[[#This Row],[NETO GRAVADO]]*0.21)</f>
        <v>472.37819999999999</v>
      </c>
      <c r="J13" s="453"/>
      <c r="K13" s="453"/>
      <c r="L13" s="453"/>
      <c r="M13" s="453"/>
      <c r="N13" s="453"/>
      <c r="O13" s="453">
        <f>67.48+224.92</f>
        <v>292.39999999999998</v>
      </c>
      <c r="P13" s="454">
        <f>SUM(compras_mes7[[#This Row],[NETO GRAVADO]:[Otros / No Grav.]])</f>
        <v>3014.1982000000003</v>
      </c>
      <c r="Q13" s="455" t="str">
        <f>IFERROR(IF(compras_mes7[[#This Row],[CUIT]]="","-",VLOOKUP(compras_mes7[[#This Row],[CUIT]],Lista_CUIT[#All],3,0)),"CUIT NO CARGADO")</f>
        <v>PEAJE</v>
      </c>
      <c r="R13" s="455">
        <f>IFERROR(IF(compras_mes7[[#This Row],[CUIT]]="","-",VLOOKUP(compras_mes7[[#This Row],[CUIT]],Lista_CUIT[#All],4,0)),"CUIT NO CARGADO")</f>
        <v>0</v>
      </c>
    </row>
    <row r="14" spans="1:26" x14ac:dyDescent="0.25">
      <c r="B14" s="219">
        <v>45110</v>
      </c>
      <c r="C14" s="209">
        <v>1</v>
      </c>
      <c r="D14" s="220">
        <v>500</v>
      </c>
      <c r="E14" s="221">
        <v>1340802</v>
      </c>
      <c r="F14" s="222">
        <v>30654118767</v>
      </c>
      <c r="G14" s="223" t="str">
        <f>IFERROR(IF(compras_mes7[[#This Row],[CUIT]]="","-",VLOOKUP(compras_mes7[[#This Row],[CUIT]],Lista_CUIT[#All],2,0)),"CUIT NO CARGADO")</f>
        <v>SOLUCIONES MULTIMEDIA SA</v>
      </c>
      <c r="H14" s="224">
        <v>12183.2</v>
      </c>
      <c r="I14" s="225">
        <f>IF(compras_mes7[[#This Row],[NETO GRAVADO]]="","",compras_mes7[[#This Row],[NETO GRAVADO]]*0.21)</f>
        <v>2558.4720000000002</v>
      </c>
      <c r="J14" s="453"/>
      <c r="K14" s="453"/>
      <c r="L14" s="453"/>
      <c r="M14" s="453"/>
      <c r="N14" s="453"/>
      <c r="O14" s="453"/>
      <c r="P14" s="454">
        <f>SUM(compras_mes7[[#This Row],[NETO GRAVADO]:[Otros / No Grav.]])</f>
        <v>14741.672</v>
      </c>
      <c r="Q14" s="455" t="str">
        <f>IFERROR(IF(compras_mes7[[#This Row],[CUIT]]="","-",VLOOKUP(compras_mes7[[#This Row],[CUIT]],Lista_CUIT[#All],3,0)),"CUIT NO CARGADO")</f>
        <v>GASTOS ADMINISTRATIVOS</v>
      </c>
      <c r="R14" s="455">
        <f>IFERROR(IF(compras_mes7[[#This Row],[CUIT]]="","-",VLOOKUP(compras_mes7[[#This Row],[CUIT]],Lista_CUIT[#All],4,0)),"CUIT NO CARGADO")</f>
        <v>0</v>
      </c>
    </row>
    <row r="15" spans="1:26" x14ac:dyDescent="0.25">
      <c r="B15" s="219">
        <v>45111</v>
      </c>
      <c r="C15" s="209">
        <v>1</v>
      </c>
      <c r="D15" s="220">
        <v>1055</v>
      </c>
      <c r="E15" s="221">
        <v>546</v>
      </c>
      <c r="F15" s="222">
        <v>30685849751</v>
      </c>
      <c r="G15" s="223" t="str">
        <f>IFERROR(IF(compras_mes7[[#This Row],[CUIT]]="","-",VLOOKUP(compras_mes7[[#This Row],[CUIT]],Lista_CUIT[#All],2,0)),"CUIT NO CARGADO")</f>
        <v>DIA ARGENTINA S.A.</v>
      </c>
      <c r="H15" s="224">
        <v>914.88</v>
      </c>
      <c r="I15" s="225">
        <f>IF(compras_mes7[[#This Row],[NETO GRAVADO]]="","",compras_mes7[[#This Row],[NETO GRAVADO]]*0.21)</f>
        <v>192.12479999999999</v>
      </c>
      <c r="J15" s="453"/>
      <c r="K15" s="453"/>
      <c r="L15" s="453"/>
      <c r="M15" s="453"/>
      <c r="N15" s="453"/>
      <c r="O15" s="453"/>
      <c r="P15" s="454">
        <f>SUM(compras_mes7[[#This Row],[NETO GRAVADO]:[Otros / No Grav.]])</f>
        <v>1107.0047999999999</v>
      </c>
      <c r="Q15" s="455" t="str">
        <f>IFERROR(IF(compras_mes7[[#This Row],[CUIT]]="","-",VLOOKUP(compras_mes7[[#This Row],[CUIT]],Lista_CUIT[#All],3,0)),"CUIT NO CARGADO")</f>
        <v>Gastos Varios</v>
      </c>
      <c r="R15" s="455">
        <f>IFERROR(IF(compras_mes7[[#This Row],[CUIT]]="","-",VLOOKUP(compras_mes7[[#This Row],[CUIT]],Lista_CUIT[#All],4,0)),"CUIT NO CARGADO")</f>
        <v>0</v>
      </c>
    </row>
    <row r="16" spans="1:26" x14ac:dyDescent="0.25">
      <c r="B16" s="394">
        <v>45111</v>
      </c>
      <c r="C16" s="395">
        <v>1</v>
      </c>
      <c r="D16" s="396">
        <v>4</v>
      </c>
      <c r="E16" s="397">
        <v>50</v>
      </c>
      <c r="F16" s="398">
        <v>20317488476</v>
      </c>
      <c r="G16" s="399" t="str">
        <f>IFERROR(IF(compras_mes7[[#This Row],[CUIT]]="","-",VLOOKUP(compras_mes7[[#This Row],[CUIT]],Lista_CUIT[#All],2,0)),"CUIT NO CARGADO")</f>
        <v>MIGUEL ANGEL VILLALBA</v>
      </c>
      <c r="H16" s="400">
        <v>256856</v>
      </c>
      <c r="I16" s="401">
        <f>IF(compras_mes7[[#This Row],[NETO GRAVADO]]="","",compras_mes7[[#This Row],[NETO GRAVADO]]*0.21)</f>
        <v>53939.759999999995</v>
      </c>
      <c r="J16" s="441"/>
      <c r="K16" s="441"/>
      <c r="L16" s="441"/>
      <c r="M16" s="441"/>
      <c r="N16" s="441"/>
      <c r="O16" s="441"/>
      <c r="P16" s="442">
        <f>SUM(compras_mes7[[#This Row],[NETO GRAVADO]:[Otros / No Grav.]])</f>
        <v>310795.76</v>
      </c>
      <c r="Q16" s="443" t="str">
        <f>IFERROR(IF(compras_mes7[[#This Row],[CUIT]]="","-",VLOOKUP(compras_mes7[[#This Row],[CUIT]],Lista_CUIT[#All],3,0)),"CUIT NO CARGADO")</f>
        <v>Recupero P. Ortopedicos</v>
      </c>
      <c r="R16" s="443">
        <f>IFERROR(IF(compras_mes7[[#This Row],[CUIT]]="","-",VLOOKUP(compras_mes7[[#This Row],[CUIT]],Lista_CUIT[#All],4,0)),"CUIT NO CARGADO")</f>
        <v>0</v>
      </c>
    </row>
    <row r="17" spans="2:18" x14ac:dyDescent="0.25">
      <c r="B17" s="394">
        <v>45111</v>
      </c>
      <c r="C17" s="395">
        <v>1</v>
      </c>
      <c r="D17" s="396">
        <v>5</v>
      </c>
      <c r="E17" s="397">
        <v>2807</v>
      </c>
      <c r="F17" s="398">
        <v>27119878468</v>
      </c>
      <c r="G17" s="399" t="str">
        <f>IFERROR(IF(compras_mes7[[#This Row],[CUIT]]="","-",VLOOKUP(compras_mes7[[#This Row],[CUIT]],Lista_CUIT[#All],2,0)),"CUIT NO CARGADO")</f>
        <v>FREUND GABRIELA</v>
      </c>
      <c r="H17" s="400">
        <v>126446.28</v>
      </c>
      <c r="I17" s="401">
        <f>IF(compras_mes7[[#This Row],[NETO GRAVADO]]="","",compras_mes7[[#This Row],[NETO GRAVADO]]*0.21)</f>
        <v>26553.718799999999</v>
      </c>
      <c r="J17" s="441"/>
      <c r="K17" s="441"/>
      <c r="L17" s="441"/>
      <c r="M17" s="441"/>
      <c r="N17" s="441"/>
      <c r="O17" s="441"/>
      <c r="P17" s="442">
        <f>SUM(compras_mes7[[#This Row],[NETO GRAVADO]:[Otros / No Grav.]])</f>
        <v>152999.9988</v>
      </c>
      <c r="Q17" s="443" t="str">
        <f>IFERROR(IF(compras_mes7[[#This Row],[CUIT]]="","-",VLOOKUP(compras_mes7[[#This Row],[CUIT]],Lista_CUIT[#All],3,0)),"CUIT NO CARGADO")</f>
        <v>Productos Ortopedicos</v>
      </c>
      <c r="R17" s="443">
        <f>IFERROR(IF(compras_mes7[[#This Row],[CUIT]]="","-",VLOOKUP(compras_mes7[[#This Row],[CUIT]],Lista_CUIT[#All],4,0)),"CUIT NO CARGADO")</f>
        <v>0</v>
      </c>
    </row>
    <row r="18" spans="2:18" x14ac:dyDescent="0.25">
      <c r="B18" s="219">
        <v>45111</v>
      </c>
      <c r="C18" s="209">
        <v>1</v>
      </c>
      <c r="D18" s="220">
        <v>711</v>
      </c>
      <c r="E18" s="221">
        <v>4482818</v>
      </c>
      <c r="F18" s="222">
        <v>30677237119</v>
      </c>
      <c r="G18" s="223" t="str">
        <f>IFERROR(IF(compras_mes7[[#This Row],[CUIT]]="","-",VLOOKUP(compras_mes7[[#This Row],[CUIT]],Lista_CUIT[#All],2,0)),"CUIT NO CARGADO")</f>
        <v>AUTOPISTAS DEL SOL SA</v>
      </c>
      <c r="H18" s="224">
        <v>826.46</v>
      </c>
      <c r="I18" s="225">
        <f>IF(compras_mes7[[#This Row],[NETO GRAVADO]]="","",compras_mes7[[#This Row],[NETO GRAVADO]]*0.21)</f>
        <v>173.5566</v>
      </c>
      <c r="J18" s="453"/>
      <c r="K18" s="453"/>
      <c r="L18" s="453"/>
      <c r="M18" s="453"/>
      <c r="N18" s="453">
        <v>28.93</v>
      </c>
      <c r="O18" s="453"/>
      <c r="P18" s="454">
        <f>SUM(compras_mes7[[#This Row],[NETO GRAVADO]:[Otros / No Grav.]])</f>
        <v>1028.9466</v>
      </c>
      <c r="Q18" s="455" t="str">
        <f>IFERROR(IF(compras_mes7[[#This Row],[CUIT]]="","-",VLOOKUP(compras_mes7[[#This Row],[CUIT]],Lista_CUIT[#All],3,0)),"CUIT NO CARGADO")</f>
        <v>Autopista</v>
      </c>
      <c r="R18" s="455">
        <f>IFERROR(IF(compras_mes7[[#This Row],[CUIT]]="","-",VLOOKUP(compras_mes7[[#This Row],[CUIT]],Lista_CUIT[#All],4,0)),"CUIT NO CARGADO")</f>
        <v>0</v>
      </c>
    </row>
    <row r="19" spans="2:18" x14ac:dyDescent="0.25">
      <c r="B19" s="219">
        <v>45112</v>
      </c>
      <c r="C19" s="209">
        <v>1</v>
      </c>
      <c r="D19" s="220">
        <v>105</v>
      </c>
      <c r="E19" s="221">
        <v>1280579</v>
      </c>
      <c r="F19" s="222">
        <v>30537882871</v>
      </c>
      <c r="G19" s="223" t="str">
        <f>IFERROR(IF(compras_mes7[[#This Row],[CUIT]]="","-",VLOOKUP(compras_mes7[[#This Row],[CUIT]],Lista_CUIT[#All],2,0)),"CUIT NO CARGADO")</f>
        <v>EL JUMILIANO SA</v>
      </c>
      <c r="H19" s="224">
        <v>2661.16</v>
      </c>
      <c r="I19" s="225">
        <f>IF(compras_mes7[[#This Row],[NETO GRAVADO]]="","",compras_mes7[[#This Row],[NETO GRAVADO]]*0.21)</f>
        <v>558.84359999999992</v>
      </c>
      <c r="J19" s="453"/>
      <c r="K19" s="453"/>
      <c r="L19" s="453"/>
      <c r="M19" s="453"/>
      <c r="N19" s="453"/>
      <c r="O19" s="453"/>
      <c r="P19" s="454">
        <f>SUM(compras_mes7[[#This Row],[NETO GRAVADO]:[Otros / No Grav.]])</f>
        <v>3220.0036</v>
      </c>
      <c r="Q19" s="455" t="str">
        <f>IFERROR(IF(compras_mes7[[#This Row],[CUIT]]="","-",VLOOKUP(compras_mes7[[#This Row],[CUIT]],Lista_CUIT[#All],3,0)),"CUIT NO CARGADO")</f>
        <v>SERVICIOS</v>
      </c>
      <c r="R19" s="455">
        <f>IFERROR(IF(compras_mes7[[#This Row],[CUIT]]="","-",VLOOKUP(compras_mes7[[#This Row],[CUIT]],Lista_CUIT[#All],4,0)),"CUIT NO CARGADO")</f>
        <v>0</v>
      </c>
    </row>
    <row r="20" spans="2:18" x14ac:dyDescent="0.25">
      <c r="B20" s="394">
        <v>45112</v>
      </c>
      <c r="C20" s="395">
        <v>1</v>
      </c>
      <c r="D20" s="396">
        <v>1001</v>
      </c>
      <c r="E20" s="397">
        <v>265</v>
      </c>
      <c r="F20" s="398">
        <v>30707370552</v>
      </c>
      <c r="G20" s="399" t="str">
        <f>IFERROR(IF(compras_mes7[[#This Row],[CUIT]]="","-",VLOOKUP(compras_mes7[[#This Row],[CUIT]],Lista_CUIT[#All],2,0)),"CUIT NO CARGADO")</f>
        <v>RAKE SA</v>
      </c>
      <c r="H20" s="400">
        <v>262330.58</v>
      </c>
      <c r="I20" s="401">
        <f>IF(compras_mes7[[#This Row],[NETO GRAVADO]]="","",compras_mes7[[#This Row],[NETO GRAVADO]]*0.21)</f>
        <v>55089.421800000004</v>
      </c>
      <c r="J20" s="441"/>
      <c r="K20" s="441"/>
      <c r="L20" s="441"/>
      <c r="M20" s="441"/>
      <c r="N20" s="441"/>
      <c r="O20" s="441"/>
      <c r="P20" s="442">
        <f>SUM(compras_mes7[[#This Row],[NETO GRAVADO]:[Otros / No Grav.]])</f>
        <v>317420.00180000003</v>
      </c>
      <c r="Q20" s="443" t="str">
        <f>IFERROR(IF(compras_mes7[[#This Row],[CUIT]]="","-",VLOOKUP(compras_mes7[[#This Row],[CUIT]],Lista_CUIT[#All],3,0)),"CUIT NO CARGADO")</f>
        <v>Alquileres</v>
      </c>
      <c r="R20" s="443">
        <f>IFERROR(IF(compras_mes7[[#This Row],[CUIT]]="","-",VLOOKUP(compras_mes7[[#This Row],[CUIT]],Lista_CUIT[#All],4,0)),"CUIT NO CARGADO")</f>
        <v>0</v>
      </c>
    </row>
    <row r="21" spans="2:18" x14ac:dyDescent="0.25">
      <c r="B21" s="394">
        <v>45112</v>
      </c>
      <c r="C21" s="395">
        <v>1</v>
      </c>
      <c r="D21" s="396">
        <v>1001</v>
      </c>
      <c r="E21" s="397">
        <v>263</v>
      </c>
      <c r="F21" s="398">
        <v>30707370552</v>
      </c>
      <c r="G21" s="399" t="str">
        <f>IFERROR(IF(compras_mes7[[#This Row],[CUIT]]="","-",VLOOKUP(compras_mes7[[#This Row],[CUIT]],Lista_CUIT[#All],2,0)),"CUIT NO CARGADO")</f>
        <v>RAKE SA</v>
      </c>
      <c r="H21" s="400">
        <v>82231.399999999994</v>
      </c>
      <c r="I21" s="401">
        <f>IF(compras_mes7[[#This Row],[NETO GRAVADO]]="","",compras_mes7[[#This Row],[NETO GRAVADO]]*0.21)</f>
        <v>17268.593999999997</v>
      </c>
      <c r="J21" s="441"/>
      <c r="K21" s="441"/>
      <c r="L21" s="441"/>
      <c r="M21" s="441"/>
      <c r="N21" s="441"/>
      <c r="O21" s="441"/>
      <c r="P21" s="442">
        <f>SUM(compras_mes7[[#This Row],[NETO GRAVADO]:[Otros / No Grav.]])</f>
        <v>99499.993999999992</v>
      </c>
      <c r="Q21" s="443" t="str">
        <f>IFERROR(IF(compras_mes7[[#This Row],[CUIT]]="","-",VLOOKUP(compras_mes7[[#This Row],[CUIT]],Lista_CUIT[#All],3,0)),"CUIT NO CARGADO")</f>
        <v>Alquileres</v>
      </c>
      <c r="R21" s="443">
        <f>IFERROR(IF(compras_mes7[[#This Row],[CUIT]]="","-",VLOOKUP(compras_mes7[[#This Row],[CUIT]],Lista_CUIT[#All],4,0)),"CUIT NO CARGADO")</f>
        <v>0</v>
      </c>
    </row>
    <row r="22" spans="2:18" x14ac:dyDescent="0.25">
      <c r="B22" s="394">
        <v>45112</v>
      </c>
      <c r="C22" s="395">
        <v>1</v>
      </c>
      <c r="D22" s="396">
        <v>1001</v>
      </c>
      <c r="E22" s="397">
        <v>264</v>
      </c>
      <c r="F22" s="398">
        <v>30707370552</v>
      </c>
      <c r="G22" s="399" t="str">
        <f>IFERROR(IF(compras_mes7[[#This Row],[CUIT]]="","-",VLOOKUP(compras_mes7[[#This Row],[CUIT]],Lista_CUIT[#All],2,0)),"CUIT NO CARGADO")</f>
        <v>RAKE SA</v>
      </c>
      <c r="H22" s="400">
        <v>114876.03</v>
      </c>
      <c r="I22" s="401">
        <f>IF(compras_mes7[[#This Row],[NETO GRAVADO]]="","",compras_mes7[[#This Row],[NETO GRAVADO]]*0.21)</f>
        <v>24123.9663</v>
      </c>
      <c r="J22" s="441"/>
      <c r="K22" s="441"/>
      <c r="L22" s="441"/>
      <c r="M22" s="441"/>
      <c r="N22" s="441"/>
      <c r="O22" s="441"/>
      <c r="P22" s="442">
        <f>SUM(compras_mes7[[#This Row],[NETO GRAVADO]:[Otros / No Grav.]])</f>
        <v>138999.9963</v>
      </c>
      <c r="Q22" s="443" t="str">
        <f>IFERROR(IF(compras_mes7[[#This Row],[CUIT]]="","-",VLOOKUP(compras_mes7[[#This Row],[CUIT]],Lista_CUIT[#All],3,0)),"CUIT NO CARGADO")</f>
        <v>Alquileres</v>
      </c>
      <c r="R22" s="443">
        <f>IFERROR(IF(compras_mes7[[#This Row],[CUIT]]="","-",VLOOKUP(compras_mes7[[#This Row],[CUIT]],Lista_CUIT[#All],4,0)),"CUIT NO CARGADO")</f>
        <v>0</v>
      </c>
    </row>
    <row r="23" spans="2:18" x14ac:dyDescent="0.25">
      <c r="B23" s="394">
        <v>45112</v>
      </c>
      <c r="C23" s="395">
        <v>1</v>
      </c>
      <c r="D23" s="396">
        <v>7</v>
      </c>
      <c r="E23" s="397">
        <v>27447</v>
      </c>
      <c r="F23" s="398">
        <v>20271532483</v>
      </c>
      <c r="G23" s="399" t="str">
        <f>IFERROR(IF(compras_mes7[[#This Row],[CUIT]]="","-",VLOOKUP(compras_mes7[[#This Row],[CUIT]],Lista_CUIT[#All],2,0)),"CUIT NO CARGADO")</f>
        <v>DIEGO MARTIN RIOS</v>
      </c>
      <c r="H23" s="400">
        <v>1283367.3899999999</v>
      </c>
      <c r="I23" s="401">
        <f>IF(compras_mes7[[#This Row],[NETO GRAVADO]]="","",compras_mes7[[#This Row],[NETO GRAVADO]]*0.21)</f>
        <v>269507.1519</v>
      </c>
      <c r="J23" s="441"/>
      <c r="K23" s="441"/>
      <c r="L23" s="441"/>
      <c r="M23" s="441"/>
      <c r="N23" s="441">
        <v>44917.86</v>
      </c>
      <c r="O23" s="441"/>
      <c r="P23" s="442">
        <f>SUM(compras_mes7[[#This Row],[NETO GRAVADO]:[Otros / No Grav.]])</f>
        <v>1597792.4018999999</v>
      </c>
      <c r="Q23" s="443" t="str">
        <f>IFERROR(IF(compras_mes7[[#This Row],[CUIT]]="","-",VLOOKUP(compras_mes7[[#This Row],[CUIT]],Lista_CUIT[#All],3,0)),"CUIT NO CARGADO")</f>
        <v>Productos Ortopedicos</v>
      </c>
      <c r="R23" s="443">
        <f>IFERROR(IF(compras_mes7[[#This Row],[CUIT]]="","-",VLOOKUP(compras_mes7[[#This Row],[CUIT]],Lista_CUIT[#All],4,0)),"CUIT NO CARGADO")</f>
        <v>0</v>
      </c>
    </row>
    <row r="24" spans="2:18" x14ac:dyDescent="0.25">
      <c r="B24" s="394">
        <v>45112</v>
      </c>
      <c r="C24" s="395">
        <v>1</v>
      </c>
      <c r="D24" s="396">
        <v>7</v>
      </c>
      <c r="E24" s="397">
        <v>27449</v>
      </c>
      <c r="F24" s="398">
        <v>20271532483</v>
      </c>
      <c r="G24" s="399" t="str">
        <f>IFERROR(IF(compras_mes7[[#This Row],[CUIT]]="","-",VLOOKUP(compras_mes7[[#This Row],[CUIT]],Lista_CUIT[#All],2,0)),"CUIT NO CARGADO")</f>
        <v>DIEGO MARTIN RIOS</v>
      </c>
      <c r="H24" s="400">
        <v>2069487.72</v>
      </c>
      <c r="I24" s="401">
        <f>IF(compras_mes7[[#This Row],[NETO GRAVADO]]="","",compras_mes7[[#This Row],[NETO GRAVADO]]*0.21)</f>
        <v>434592.42119999998</v>
      </c>
      <c r="J24" s="441"/>
      <c r="K24" s="441"/>
      <c r="L24" s="441"/>
      <c r="M24" s="441"/>
      <c r="N24" s="441">
        <v>72432.070000000007</v>
      </c>
      <c r="O24" s="441"/>
      <c r="P24" s="442">
        <f>SUM(compras_mes7[[#This Row],[NETO GRAVADO]:[Otros / No Grav.]])</f>
        <v>2576512.2111999998</v>
      </c>
      <c r="Q24" s="443" t="str">
        <f>IFERROR(IF(compras_mes7[[#This Row],[CUIT]]="","-",VLOOKUP(compras_mes7[[#This Row],[CUIT]],Lista_CUIT[#All],3,0)),"CUIT NO CARGADO")</f>
        <v>Productos Ortopedicos</v>
      </c>
      <c r="R24" s="443">
        <f>IFERROR(IF(compras_mes7[[#This Row],[CUIT]]="","-",VLOOKUP(compras_mes7[[#This Row],[CUIT]],Lista_CUIT[#All],4,0)),"CUIT NO CARGADO")</f>
        <v>0</v>
      </c>
    </row>
    <row r="25" spans="2:18" x14ac:dyDescent="0.25">
      <c r="B25" s="394">
        <v>45112</v>
      </c>
      <c r="C25" s="395">
        <v>1</v>
      </c>
      <c r="D25" s="396">
        <v>7</v>
      </c>
      <c r="E25" s="397">
        <v>15878</v>
      </c>
      <c r="F25" s="398">
        <v>30709214078</v>
      </c>
      <c r="G25" s="399" t="str">
        <f>IFERROR(IF(compras_mes7[[#This Row],[CUIT]]="","-",VLOOKUP(compras_mes7[[#This Row],[CUIT]],Lista_CUIT[#All],2,0)),"CUIT NO CARGADO")</f>
        <v>REHAVITA S.A</v>
      </c>
      <c r="H25" s="400">
        <v>1228948</v>
      </c>
      <c r="I25" s="401">
        <v>237770.19</v>
      </c>
      <c r="J25" s="441"/>
      <c r="K25" s="441">
        <v>10154.450000000001</v>
      </c>
      <c r="L25" s="441"/>
      <c r="M25" s="441"/>
      <c r="N25" s="441"/>
      <c r="O25" s="441"/>
      <c r="P25" s="442">
        <f>SUM(compras_mes7[[#This Row],[NETO GRAVADO]:[Otros / No Grav.]])</f>
        <v>1476872.64</v>
      </c>
      <c r="Q25" s="443" t="str">
        <f>IFERROR(IF(compras_mes7[[#This Row],[CUIT]]="","-",VLOOKUP(compras_mes7[[#This Row],[CUIT]],Lista_CUIT[#All],3,0)),"CUIT NO CARGADO")</f>
        <v>Productos Ortopedicos</v>
      </c>
      <c r="R25" s="443">
        <f>IFERROR(IF(compras_mes7[[#This Row],[CUIT]]="","-",VLOOKUP(compras_mes7[[#This Row],[CUIT]],Lista_CUIT[#All],4,0)),"CUIT NO CARGADO")</f>
        <v>0</v>
      </c>
    </row>
    <row r="26" spans="2:18" x14ac:dyDescent="0.25">
      <c r="B26" s="219">
        <v>45113</v>
      </c>
      <c r="C26" s="209">
        <v>1</v>
      </c>
      <c r="D26" s="220">
        <v>6</v>
      </c>
      <c r="E26" s="221">
        <v>69</v>
      </c>
      <c r="F26" s="222">
        <v>30715979213</v>
      </c>
      <c r="G26" s="223" t="str">
        <f>IFERROR(IF(compras_mes7[[#This Row],[CUIT]]="","-",VLOOKUP(compras_mes7[[#This Row],[CUIT]],Lista_CUIT[#All],2,0)),"CUIT NO CARGADO")</f>
        <v>PORTAL INSUMOS S R L</v>
      </c>
      <c r="H26" s="224">
        <v>20829.34</v>
      </c>
      <c r="I26" s="225">
        <f>IF(compras_mes7[[#This Row],[NETO GRAVADO]]="","",compras_mes7[[#This Row],[NETO GRAVADO]]*0.21)</f>
        <v>4374.1614</v>
      </c>
      <c r="J26" s="453"/>
      <c r="K26" s="453"/>
      <c r="L26" s="453"/>
      <c r="M26" s="453"/>
      <c r="N26" s="453"/>
      <c r="O26" s="453"/>
      <c r="P26" s="454">
        <f>SUM(compras_mes7[[#This Row],[NETO GRAVADO]:[Otros / No Grav.]])</f>
        <v>25203.501400000001</v>
      </c>
      <c r="Q26" s="455" t="str">
        <f>IFERROR(IF(compras_mes7[[#This Row],[CUIT]]="","-",VLOOKUP(compras_mes7[[#This Row],[CUIT]],Lista_CUIT[#All],3,0)),"CUIT NO CARGADO")</f>
        <v>GASTOS ADMINISTRATIVOS</v>
      </c>
      <c r="R26" s="455">
        <f>IFERROR(IF(compras_mes7[[#This Row],[CUIT]]="","-",VLOOKUP(compras_mes7[[#This Row],[CUIT]],Lista_CUIT[#All],4,0)),"CUIT NO CARGADO")</f>
        <v>0</v>
      </c>
    </row>
    <row r="27" spans="2:18" x14ac:dyDescent="0.25">
      <c r="B27" s="394">
        <v>45113</v>
      </c>
      <c r="C27" s="395">
        <v>1</v>
      </c>
      <c r="D27" s="396">
        <v>3</v>
      </c>
      <c r="E27" s="397">
        <v>7899</v>
      </c>
      <c r="F27" s="398">
        <v>20045615473</v>
      </c>
      <c r="G27" s="399" t="str">
        <f>IFERROR(IF(compras_mes7[[#This Row],[CUIT]]="","-",VLOOKUP(compras_mes7[[#This Row],[CUIT]],Lista_CUIT[#All],2,0)),"CUIT NO CARGADO")</f>
        <v xml:space="preserve">DI FEO HUGO PASCUAL </v>
      </c>
      <c r="H27" s="400">
        <v>35930</v>
      </c>
      <c r="I27" s="401">
        <f>IF(compras_mes7[[#This Row],[NETO GRAVADO]]="","",compras_mes7[[#This Row],[NETO GRAVADO]]*0.21)</f>
        <v>7545.2999999999993</v>
      </c>
      <c r="J27" s="441"/>
      <c r="K27" s="441"/>
      <c r="L27" s="441"/>
      <c r="M27" s="441"/>
      <c r="N27" s="441"/>
      <c r="O27" s="441"/>
      <c r="P27" s="442">
        <f>SUM(compras_mes7[[#This Row],[NETO GRAVADO]:[Otros / No Grav.]])</f>
        <v>43475.3</v>
      </c>
      <c r="Q27" s="443" t="str">
        <f>IFERROR(IF(compras_mes7[[#This Row],[CUIT]]="","-",VLOOKUP(compras_mes7[[#This Row],[CUIT]],Lista_CUIT[#All],3,0)),"CUIT NO CARGADO")</f>
        <v>Productos Ortopedicos</v>
      </c>
      <c r="R27" s="443">
        <f>IFERROR(IF(compras_mes7[[#This Row],[CUIT]]="","-",VLOOKUP(compras_mes7[[#This Row],[CUIT]],Lista_CUIT[#All],4,0)),"CUIT NO CARGADO")</f>
        <v>0</v>
      </c>
    </row>
    <row r="28" spans="2:18" x14ac:dyDescent="0.25">
      <c r="B28" s="394">
        <v>45113</v>
      </c>
      <c r="C28" s="395">
        <v>1</v>
      </c>
      <c r="D28" s="396">
        <v>12</v>
      </c>
      <c r="E28" s="397">
        <v>1625536</v>
      </c>
      <c r="F28" s="398">
        <v>30709776564</v>
      </c>
      <c r="G28" s="399" t="str">
        <f>IFERROR(IF(compras_mes7[[#This Row],[CUIT]]="","-",VLOOKUP(compras_mes7[[#This Row],[CUIT]],Lista_CUIT[#All],2,0)),"CUIT NO CARGADO")</f>
        <v>PROSEGUR ACTIVA ARG SA</v>
      </c>
      <c r="H28" s="400">
        <v>21032.5</v>
      </c>
      <c r="I28" s="401">
        <f>IF(compras_mes7[[#This Row],[NETO GRAVADO]]="","",compras_mes7[[#This Row],[NETO GRAVADO]]*0.21)</f>
        <v>4416.8249999999998</v>
      </c>
      <c r="J28" s="441"/>
      <c r="K28" s="441"/>
      <c r="L28" s="441"/>
      <c r="M28" s="441"/>
      <c r="N28" s="441">
        <v>736.14</v>
      </c>
      <c r="O28" s="441"/>
      <c r="P28" s="442">
        <f>SUM(compras_mes7[[#This Row],[NETO GRAVADO]:[Otros / No Grav.]])</f>
        <v>26185.465</v>
      </c>
      <c r="Q28" s="443" t="str">
        <f>IFERROR(IF(compras_mes7[[#This Row],[CUIT]]="","-",VLOOKUP(compras_mes7[[#This Row],[CUIT]],Lista_CUIT[#All],3,0)),"CUIT NO CARGADO")</f>
        <v>SEGURIDAD</v>
      </c>
      <c r="R28" s="443">
        <f>IFERROR(IF(compras_mes7[[#This Row],[CUIT]]="","-",VLOOKUP(compras_mes7[[#This Row],[CUIT]],Lista_CUIT[#All],4,0)),"CUIT NO CARGADO")</f>
        <v>0</v>
      </c>
    </row>
    <row r="29" spans="2:18" x14ac:dyDescent="0.25">
      <c r="B29" s="219">
        <v>45113</v>
      </c>
      <c r="C29" s="209">
        <v>1</v>
      </c>
      <c r="D29" s="220">
        <v>4</v>
      </c>
      <c r="E29" s="221">
        <v>407</v>
      </c>
      <c r="F29" s="222">
        <v>20379223185</v>
      </c>
      <c r="G29" s="223" t="str">
        <f>IFERROR(IF(compras_mes7[[#This Row],[CUIT]]="","-",VLOOKUP(compras_mes7[[#This Row],[CUIT]],Lista_CUIT[#All],2,0)),"CUIT NO CARGADO")</f>
        <v>AYALA MAURICIO JUAN JOSE</v>
      </c>
      <c r="H29" s="224">
        <v>17890</v>
      </c>
      <c r="I29" s="225">
        <f>IF(compras_mes7[[#This Row],[NETO GRAVADO]]="","",compras_mes7[[#This Row],[NETO GRAVADO]]*0.21)</f>
        <v>3756.8999999999996</v>
      </c>
      <c r="J29" s="453"/>
      <c r="K29" s="453"/>
      <c r="L29" s="453"/>
      <c r="M29" s="453"/>
      <c r="N29" s="453"/>
      <c r="O29" s="453"/>
      <c r="P29" s="454">
        <f>SUM(compras_mes7[[#This Row],[NETO GRAVADO]:[Otros / No Grav.]])</f>
        <v>21646.9</v>
      </c>
      <c r="Q29" s="455" t="str">
        <f>IFERROR(IF(compras_mes7[[#This Row],[CUIT]]="","-",VLOOKUP(compras_mes7[[#This Row],[CUIT]],Lista_CUIT[#All],3,0)),"CUIT NO CARGADO")</f>
        <v>SERVICIOS</v>
      </c>
      <c r="R29" s="455">
        <f>IFERROR(IF(compras_mes7[[#This Row],[CUIT]]="","-",VLOOKUP(compras_mes7[[#This Row],[CUIT]],Lista_CUIT[#All],4,0)),"CUIT NO CARGADO")</f>
        <v>0</v>
      </c>
    </row>
    <row r="30" spans="2:18" x14ac:dyDescent="0.25">
      <c r="B30" s="394">
        <v>45113</v>
      </c>
      <c r="C30" s="395">
        <v>1</v>
      </c>
      <c r="D30" s="396">
        <v>7</v>
      </c>
      <c r="E30" s="397">
        <v>874</v>
      </c>
      <c r="F30" s="398">
        <v>30712187316</v>
      </c>
      <c r="G30" s="399" t="str">
        <f>IFERROR(IF(compras_mes7[[#This Row],[CUIT]]="","-",VLOOKUP(compras_mes7[[#This Row],[CUIT]],Lista_CUIT[#All],2,0)),"CUIT NO CARGADO")</f>
        <v>ITALOMED PRODUCTOS SRL</v>
      </c>
      <c r="H30" s="400">
        <v>53415.53</v>
      </c>
      <c r="I30" s="401">
        <f>IF(compras_mes7[[#This Row],[NETO GRAVADO]]="","",compras_mes7[[#This Row],[NETO GRAVADO]]*0.21)</f>
        <v>11217.2613</v>
      </c>
      <c r="J30" s="441"/>
      <c r="K30" s="441"/>
      <c r="L30" s="441"/>
      <c r="M30" s="441"/>
      <c r="N30" s="441"/>
      <c r="O30" s="441"/>
      <c r="P30" s="442">
        <f>SUM(compras_mes7[[#This Row],[NETO GRAVADO]:[Otros / No Grav.]])</f>
        <v>64632.791299999997</v>
      </c>
      <c r="Q30" s="443" t="str">
        <f>IFERROR(IF(compras_mes7[[#This Row],[CUIT]]="","-",VLOOKUP(compras_mes7[[#This Row],[CUIT]],Lista_CUIT[#All],3,0)),"CUIT NO CARGADO")</f>
        <v>Productos Ortopedicos</v>
      </c>
      <c r="R30" s="443">
        <f>IFERROR(IF(compras_mes7[[#This Row],[CUIT]]="","-",VLOOKUP(compras_mes7[[#This Row],[CUIT]],Lista_CUIT[#All],4,0)),"CUIT NO CARGADO")</f>
        <v>0</v>
      </c>
    </row>
    <row r="31" spans="2:18" x14ac:dyDescent="0.25">
      <c r="B31" s="394">
        <v>45113</v>
      </c>
      <c r="C31" s="395">
        <v>1</v>
      </c>
      <c r="D31" s="396">
        <v>3</v>
      </c>
      <c r="E31" s="397">
        <v>1180</v>
      </c>
      <c r="F31" s="398">
        <v>30715980807</v>
      </c>
      <c r="G31" s="399" t="str">
        <f>IFERROR(IF(compras_mes7[[#This Row],[CUIT]]="","-",VLOOKUP(compras_mes7[[#This Row],[CUIT]],Lista_CUIT[#All],2,0)),"CUIT NO CARGADO")</f>
        <v>FABORT SRL</v>
      </c>
      <c r="H31" s="400">
        <v>180800</v>
      </c>
      <c r="I31" s="401">
        <f>IF(compras_mes7[[#This Row],[NETO GRAVADO]]="","",compras_mes7[[#This Row],[NETO GRAVADO]]*0.21)</f>
        <v>37968</v>
      </c>
      <c r="J31" s="441"/>
      <c r="K31" s="441"/>
      <c r="L31" s="441"/>
      <c r="M31" s="441"/>
      <c r="N31" s="441"/>
      <c r="O31" s="441"/>
      <c r="P31" s="442">
        <f>SUM(compras_mes7[[#This Row],[NETO GRAVADO]:[Otros / No Grav.]])</f>
        <v>218768</v>
      </c>
      <c r="Q31" s="443" t="str">
        <f>IFERROR(IF(compras_mes7[[#This Row],[CUIT]]="","-",VLOOKUP(compras_mes7[[#This Row],[CUIT]],Lista_CUIT[#All],3,0)),"CUIT NO CARGADO")</f>
        <v>PROD ORTOP P/ALQ</v>
      </c>
      <c r="R31" s="443">
        <f>IFERROR(IF(compras_mes7[[#This Row],[CUIT]]="","-",VLOOKUP(compras_mes7[[#This Row],[CUIT]],Lista_CUIT[#All],4,0)),"CUIT NO CARGADO")</f>
        <v>0</v>
      </c>
    </row>
    <row r="32" spans="2:18" x14ac:dyDescent="0.25">
      <c r="B32" s="394">
        <v>45113</v>
      </c>
      <c r="C32" s="395">
        <v>1</v>
      </c>
      <c r="D32" s="396">
        <v>6</v>
      </c>
      <c r="E32" s="397">
        <v>49061</v>
      </c>
      <c r="F32" s="398">
        <v>30710177658</v>
      </c>
      <c r="G32" s="399" t="str">
        <f>IFERROR(IF(compras_mes7[[#This Row],[CUIT]]="","-",VLOOKUP(compras_mes7[[#This Row],[CUIT]],Lista_CUIT[#All],2,0)),"CUIT NO CARGADO")</f>
        <v>TARGET MEDICAL SA</v>
      </c>
      <c r="H32" s="400">
        <v>171247.68</v>
      </c>
      <c r="I32" s="401">
        <f>IF(compras_mes7[[#This Row],[NETO GRAVADO]]="","",compras_mes7[[#This Row],[NETO GRAVADO]]*0.21)</f>
        <v>35962.012799999997</v>
      </c>
      <c r="J32" s="441"/>
      <c r="K32" s="441"/>
      <c r="L32" s="441"/>
      <c r="M32" s="441"/>
      <c r="N32" s="441"/>
      <c r="O32" s="441"/>
      <c r="P32" s="442">
        <f>SUM(compras_mes7[[#This Row],[NETO GRAVADO]:[Otros / No Grav.]])</f>
        <v>207209.69279999999</v>
      </c>
      <c r="Q32" s="443" t="str">
        <f>IFERROR(IF(compras_mes7[[#This Row],[CUIT]]="","-",VLOOKUP(compras_mes7[[#This Row],[CUIT]],Lista_CUIT[#All],3,0)),"CUIT NO CARGADO")</f>
        <v>Productos Ortopedicos</v>
      </c>
      <c r="R32" s="443">
        <f>IFERROR(IF(compras_mes7[[#This Row],[CUIT]]="","-",VLOOKUP(compras_mes7[[#This Row],[CUIT]],Lista_CUIT[#All],4,0)),"CUIT NO CARGADO")</f>
        <v>0</v>
      </c>
    </row>
    <row r="33" spans="2:18" x14ac:dyDescent="0.25">
      <c r="B33" s="394">
        <v>45113</v>
      </c>
      <c r="C33" s="395">
        <v>1</v>
      </c>
      <c r="D33" s="396">
        <v>2019</v>
      </c>
      <c r="E33" s="397">
        <v>144251</v>
      </c>
      <c r="F33" s="398">
        <v>30516186670</v>
      </c>
      <c r="G33" s="399" t="str">
        <f>IFERROR(IF(compras_mes7[[#This Row],[CUIT]]="","-",VLOOKUP(compras_mes7[[#This Row],[CUIT]],Lista_CUIT[#All],2,0)),"CUIT NO CARGADO")</f>
        <v>DEHEZA SAICF E I</v>
      </c>
      <c r="H33" s="400">
        <v>7341.38</v>
      </c>
      <c r="I33" s="401">
        <f>IF(compras_mes7[[#This Row],[NETO GRAVADO]]="","",compras_mes7[[#This Row],[NETO GRAVADO]]*0.21)</f>
        <v>1541.6897999999999</v>
      </c>
      <c r="J33" s="441"/>
      <c r="K33" s="441"/>
      <c r="L33" s="441">
        <v>220.24</v>
      </c>
      <c r="M33" s="441"/>
      <c r="N33" s="441">
        <v>296.7</v>
      </c>
      <c r="O33" s="441">
        <v>1135.9000000000001</v>
      </c>
      <c r="P33" s="442">
        <f>SUM(compras_mes7[[#This Row],[NETO GRAVADO]:[Otros / No Grav.]])</f>
        <v>10535.909799999999</v>
      </c>
      <c r="Q33" s="443" t="str">
        <f>IFERROR(IF(compras_mes7[[#This Row],[CUIT]]="","-",VLOOKUP(compras_mes7[[#This Row],[CUIT]],Lista_CUIT[#All],3,0)),"CUIT NO CARGADO")</f>
        <v>COMBUSTIBLE</v>
      </c>
      <c r="R33" s="443">
        <f>IFERROR(IF(compras_mes7[[#This Row],[CUIT]]="","-",VLOOKUP(compras_mes7[[#This Row],[CUIT]],Lista_CUIT[#All],4,0)),"CUIT NO CARGADO")</f>
        <v>0</v>
      </c>
    </row>
    <row r="34" spans="2:18" x14ac:dyDescent="0.25">
      <c r="B34" s="219">
        <v>45114</v>
      </c>
      <c r="C34" s="209">
        <v>1</v>
      </c>
      <c r="D34" s="220">
        <v>5</v>
      </c>
      <c r="E34" s="221">
        <v>1306</v>
      </c>
      <c r="F34" s="222">
        <v>30712187316</v>
      </c>
      <c r="G34" s="223" t="str">
        <f>IFERROR(IF(compras_mes7[[#This Row],[CUIT]]="","-",VLOOKUP(compras_mes7[[#This Row],[CUIT]],Lista_CUIT[#All],2,0)),"CUIT NO CARGADO")</f>
        <v>ITALOMED PRODUCTOS SRL</v>
      </c>
      <c r="H34" s="224">
        <v>84321.97</v>
      </c>
      <c r="I34" s="225">
        <f>IF(compras_mes7[[#This Row],[NETO GRAVADO]]="","",compras_mes7[[#This Row],[NETO GRAVADO]]*0.21)</f>
        <v>17707.613699999998</v>
      </c>
      <c r="J34" s="453"/>
      <c r="K34" s="453"/>
      <c r="L34" s="453"/>
      <c r="M34" s="453"/>
      <c r="N34" s="453"/>
      <c r="O34" s="453"/>
      <c r="P34" s="454">
        <f>SUM(compras_mes7[[#This Row],[NETO GRAVADO]:[Otros / No Grav.]])</f>
        <v>102029.5837</v>
      </c>
      <c r="Q34" s="455" t="str">
        <f>IFERROR(IF(compras_mes7[[#This Row],[CUIT]]="","-",VLOOKUP(compras_mes7[[#This Row],[CUIT]],Lista_CUIT[#All],3,0)),"CUIT NO CARGADO")</f>
        <v>Productos Ortopedicos</v>
      </c>
      <c r="R34" s="455">
        <f>IFERROR(IF(compras_mes7[[#This Row],[CUIT]]="","-",VLOOKUP(compras_mes7[[#This Row],[CUIT]],Lista_CUIT[#All],4,0)),"CUIT NO CARGADO")</f>
        <v>0</v>
      </c>
    </row>
    <row r="35" spans="2:18" x14ac:dyDescent="0.25">
      <c r="B35" s="394">
        <v>45114</v>
      </c>
      <c r="C35" s="395">
        <v>1</v>
      </c>
      <c r="D35" s="396">
        <v>7</v>
      </c>
      <c r="E35" s="397">
        <v>15944</v>
      </c>
      <c r="F35" s="398">
        <v>30709214078</v>
      </c>
      <c r="G35" s="399" t="str">
        <f>IFERROR(IF(compras_mes7[[#This Row],[CUIT]]="","-",VLOOKUP(compras_mes7[[#This Row],[CUIT]],Lista_CUIT[#All],2,0)),"CUIT NO CARGADO")</f>
        <v>REHAVITA S.A</v>
      </c>
      <c r="H35" s="400">
        <v>106144</v>
      </c>
      <c r="I35" s="401"/>
      <c r="J35" s="441"/>
      <c r="K35" s="441">
        <v>11145.12</v>
      </c>
      <c r="L35" s="441"/>
      <c r="M35" s="441"/>
      <c r="N35" s="441"/>
      <c r="O35" s="441"/>
      <c r="P35" s="442">
        <f>SUM(compras_mes7[[#This Row],[NETO GRAVADO]:[Otros / No Grav.]])</f>
        <v>117289.12</v>
      </c>
      <c r="Q35" s="443" t="str">
        <f>IFERROR(IF(compras_mes7[[#This Row],[CUIT]]="","-",VLOOKUP(compras_mes7[[#This Row],[CUIT]],Lista_CUIT[#All],3,0)),"CUIT NO CARGADO")</f>
        <v>Productos Ortopedicos</v>
      </c>
      <c r="R35" s="443">
        <f>IFERROR(IF(compras_mes7[[#This Row],[CUIT]]="","-",VLOOKUP(compras_mes7[[#This Row],[CUIT]],Lista_CUIT[#All],4,0)),"CUIT NO CARGADO")</f>
        <v>0</v>
      </c>
    </row>
    <row r="36" spans="2:18" x14ac:dyDescent="0.25">
      <c r="B36" s="394">
        <v>45114</v>
      </c>
      <c r="C36" s="395">
        <v>1</v>
      </c>
      <c r="D36" s="396">
        <v>2</v>
      </c>
      <c r="E36" s="397">
        <v>8774</v>
      </c>
      <c r="F36" s="398">
        <v>30714331082</v>
      </c>
      <c r="G36" s="399" t="str">
        <f>IFERROR(IF(compras_mes7[[#This Row],[CUIT]]="","-",VLOOKUP(compras_mes7[[#This Row],[CUIT]],Lista_CUIT[#All],2,0)),"CUIT NO CARGADO")</f>
        <v>ORTOPEDIA CASA ESCALADA SRL</v>
      </c>
      <c r="H36" s="400">
        <v>406198.69</v>
      </c>
      <c r="I36" s="401">
        <f>IF(compras_mes7[[#This Row],[NETO GRAVADO]]="","",compras_mes7[[#This Row],[NETO GRAVADO]]*0.21)</f>
        <v>85301.724900000001</v>
      </c>
      <c r="J36" s="441"/>
      <c r="K36" s="441"/>
      <c r="L36" s="441"/>
      <c r="M36" s="441"/>
      <c r="N36" s="441"/>
      <c r="O36" s="441"/>
      <c r="P36" s="442">
        <f>SUM(compras_mes7[[#This Row],[NETO GRAVADO]:[Otros / No Grav.]])</f>
        <v>491500.41489999997</v>
      </c>
      <c r="Q36" s="443" t="str">
        <f>IFERROR(IF(compras_mes7[[#This Row],[CUIT]]="","-",VLOOKUP(compras_mes7[[#This Row],[CUIT]],Lista_CUIT[#All],3,0)),"CUIT NO CARGADO")</f>
        <v>Productos Ortopedicos</v>
      </c>
      <c r="R36" s="443">
        <f>IFERROR(IF(compras_mes7[[#This Row],[CUIT]]="","-",VLOOKUP(compras_mes7[[#This Row],[CUIT]],Lista_CUIT[#All],4,0)),"CUIT NO CARGADO")</f>
        <v>0</v>
      </c>
    </row>
    <row r="37" spans="2:18" x14ac:dyDescent="0.25">
      <c r="B37" s="394">
        <v>45114</v>
      </c>
      <c r="C37" s="395">
        <v>1</v>
      </c>
      <c r="D37" s="396">
        <v>5</v>
      </c>
      <c r="E37" s="397">
        <v>1305</v>
      </c>
      <c r="F37" s="398">
        <v>30712187316</v>
      </c>
      <c r="G37" s="399" t="str">
        <f>IFERROR(IF(compras_mes7[[#This Row],[CUIT]]="","-",VLOOKUP(compras_mes7[[#This Row],[CUIT]],Lista_CUIT[#All],2,0)),"CUIT NO CARGADO")</f>
        <v>ITALOMED PRODUCTOS SRL</v>
      </c>
      <c r="H37" s="400">
        <v>84321.97</v>
      </c>
      <c r="I37" s="401">
        <f>IF(compras_mes7[[#This Row],[NETO GRAVADO]]="","",compras_mes7[[#This Row],[NETO GRAVADO]]*0.21)</f>
        <v>17707.613699999998</v>
      </c>
      <c r="J37" s="441"/>
      <c r="K37" s="441"/>
      <c r="L37" s="441"/>
      <c r="M37" s="441"/>
      <c r="N37" s="441"/>
      <c r="O37" s="441"/>
      <c r="P37" s="442">
        <f>SUM(compras_mes7[[#This Row],[NETO GRAVADO]:[Otros / No Grav.]])</f>
        <v>102029.5837</v>
      </c>
      <c r="Q37" s="443" t="str">
        <f>IFERROR(IF(compras_mes7[[#This Row],[CUIT]]="","-",VLOOKUP(compras_mes7[[#This Row],[CUIT]],Lista_CUIT[#All],3,0)),"CUIT NO CARGADO")</f>
        <v>Productos Ortopedicos</v>
      </c>
      <c r="R37" s="443">
        <f>IFERROR(IF(compras_mes7[[#This Row],[CUIT]]="","-",VLOOKUP(compras_mes7[[#This Row],[CUIT]],Lista_CUIT[#All],4,0)),"CUIT NO CARGADO")</f>
        <v>0</v>
      </c>
    </row>
    <row r="38" spans="2:18" x14ac:dyDescent="0.25">
      <c r="B38" s="394">
        <v>45114</v>
      </c>
      <c r="C38" s="395">
        <v>1</v>
      </c>
      <c r="D38" s="396">
        <v>7</v>
      </c>
      <c r="E38" s="397">
        <v>881</v>
      </c>
      <c r="F38" s="398">
        <v>30712187316</v>
      </c>
      <c r="G38" s="399" t="str">
        <f>IFERROR(IF(compras_mes7[[#This Row],[CUIT]]="","-",VLOOKUP(compras_mes7[[#This Row],[CUIT]],Lista_CUIT[#All],2,0)),"CUIT NO CARGADO")</f>
        <v>ITALOMED PRODUCTOS SRL</v>
      </c>
      <c r="H38" s="400">
        <v>95298.09</v>
      </c>
      <c r="I38" s="401">
        <f>IF(compras_mes7[[#This Row],[NETO GRAVADO]]="","",compras_mes7[[#This Row],[NETO GRAVADO]]*0.21)</f>
        <v>20012.598899999997</v>
      </c>
      <c r="J38" s="441"/>
      <c r="K38" s="441"/>
      <c r="L38" s="441"/>
      <c r="M38" s="441"/>
      <c r="N38" s="441"/>
      <c r="O38" s="441"/>
      <c r="P38" s="442">
        <f>SUM(compras_mes7[[#This Row],[NETO GRAVADO]:[Otros / No Grav.]])</f>
        <v>115310.68889999999</v>
      </c>
      <c r="Q38" s="443" t="str">
        <f>IFERROR(IF(compras_mes7[[#This Row],[CUIT]]="","-",VLOOKUP(compras_mes7[[#This Row],[CUIT]],Lista_CUIT[#All],3,0)),"CUIT NO CARGADO")</f>
        <v>Productos Ortopedicos</v>
      </c>
      <c r="R38" s="443">
        <f>IFERROR(IF(compras_mes7[[#This Row],[CUIT]]="","-",VLOOKUP(compras_mes7[[#This Row],[CUIT]],Lista_CUIT[#All],4,0)),"CUIT NO CARGADO")</f>
        <v>0</v>
      </c>
    </row>
    <row r="39" spans="2:18" x14ac:dyDescent="0.25">
      <c r="B39" s="394">
        <v>45116</v>
      </c>
      <c r="C39" s="395">
        <v>1</v>
      </c>
      <c r="D39" s="396">
        <v>948</v>
      </c>
      <c r="E39" s="397">
        <v>1010874</v>
      </c>
      <c r="F39" s="398">
        <v>30639453975</v>
      </c>
      <c r="G39" s="399" t="str">
        <f>IFERROR(IF(compras_mes7[[#This Row],[CUIT]]="","-",VLOOKUP(compras_mes7[[#This Row],[CUIT]],Lista_CUIT[#All],2,0)),"CUIT NO CARGADO")</f>
        <v>TELEFONICA ARG SA</v>
      </c>
      <c r="H39" s="400">
        <v>13098.01</v>
      </c>
      <c r="I39" s="401"/>
      <c r="J39" s="441">
        <v>3536.46</v>
      </c>
      <c r="K39" s="441"/>
      <c r="L39" s="441">
        <v>392.94</v>
      </c>
      <c r="M39" s="441"/>
      <c r="N39" s="441">
        <v>458.43</v>
      </c>
      <c r="O39" s="441"/>
      <c r="P39" s="442">
        <f>SUM(compras_mes7[[#This Row],[NETO GRAVADO]:[Otros / No Grav.]])</f>
        <v>17485.84</v>
      </c>
      <c r="Q39" s="443" t="str">
        <f>IFERROR(IF(compras_mes7[[#This Row],[CUIT]]="","-",VLOOKUP(compras_mes7[[#This Row],[CUIT]],Lista_CUIT[#All],3,0)),"CUIT NO CARGADO")</f>
        <v>TELEFONIA</v>
      </c>
      <c r="R39" s="443">
        <f>IFERROR(IF(compras_mes7[[#This Row],[CUIT]]="","-",VLOOKUP(compras_mes7[[#This Row],[CUIT]],Lista_CUIT[#All],4,0)),"CUIT NO CARGADO")</f>
        <v>0</v>
      </c>
    </row>
    <row r="40" spans="2:18" x14ac:dyDescent="0.25">
      <c r="B40" s="394">
        <v>45117</v>
      </c>
      <c r="C40" s="395">
        <v>1</v>
      </c>
      <c r="D40" s="396">
        <v>3</v>
      </c>
      <c r="E40" s="397">
        <v>85</v>
      </c>
      <c r="F40" s="398">
        <v>20334976433</v>
      </c>
      <c r="G40" s="399" t="str">
        <f>IFERROR(IF(compras_mes7[[#This Row],[CUIT]]="","-",VLOOKUP(compras_mes7[[#This Row],[CUIT]],Lista_CUIT[#All],2,0)),"CUIT NO CARGADO")</f>
        <v>NARDOMARINO EZEQUIEL EDUARDO</v>
      </c>
      <c r="H40" s="400">
        <v>118644.63</v>
      </c>
      <c r="I40" s="401">
        <f>IF(compras_mes7[[#This Row],[NETO GRAVADO]]="","",compras_mes7[[#This Row],[NETO GRAVADO]]*0.21)</f>
        <v>24915.372299999999</v>
      </c>
      <c r="J40" s="441"/>
      <c r="K40" s="441"/>
      <c r="L40" s="441"/>
      <c r="M40" s="441"/>
      <c r="N40" s="441"/>
      <c r="O40" s="441"/>
      <c r="P40" s="442">
        <f>SUM(compras_mes7[[#This Row],[NETO GRAVADO]:[Otros / No Grav.]])</f>
        <v>143560.00229999999</v>
      </c>
      <c r="Q40" s="443" t="str">
        <f>IFERROR(IF(compras_mes7[[#This Row],[CUIT]]="","-",VLOOKUP(compras_mes7[[#This Row],[CUIT]],Lista_CUIT[#All],3,0)),"CUIT NO CARGADO")</f>
        <v>FLETE</v>
      </c>
      <c r="R40" s="443">
        <f>IFERROR(IF(compras_mes7[[#This Row],[CUIT]]="","-",VLOOKUP(compras_mes7[[#This Row],[CUIT]],Lista_CUIT[#All],4,0)),"CUIT NO CARGADO")</f>
        <v>0</v>
      </c>
    </row>
    <row r="41" spans="2:18" x14ac:dyDescent="0.25">
      <c r="B41" s="394">
        <v>45117</v>
      </c>
      <c r="C41" s="395">
        <v>1</v>
      </c>
      <c r="D41" s="396">
        <v>7</v>
      </c>
      <c r="E41" s="397">
        <v>27491</v>
      </c>
      <c r="F41" s="398">
        <v>20271532483</v>
      </c>
      <c r="G41" s="399" t="str">
        <f>IFERROR(IF(compras_mes7[[#This Row],[CUIT]]="","-",VLOOKUP(compras_mes7[[#This Row],[CUIT]],Lista_CUIT[#All],2,0)),"CUIT NO CARGADO")</f>
        <v>DIEGO MARTIN RIOS</v>
      </c>
      <c r="H41" s="400">
        <v>2169893.58</v>
      </c>
      <c r="I41" s="401">
        <f>IF(compras_mes7[[#This Row],[NETO GRAVADO]]="","",compras_mes7[[#This Row],[NETO GRAVADO]]*0.21)</f>
        <v>455677.65179999999</v>
      </c>
      <c r="J41" s="441"/>
      <c r="K41" s="441"/>
      <c r="L41" s="441"/>
      <c r="M41" s="441"/>
      <c r="N41" s="441">
        <v>75946.28</v>
      </c>
      <c r="O41" s="441"/>
      <c r="P41" s="442">
        <f>SUM(compras_mes7[[#This Row],[NETO GRAVADO]:[Otros / No Grav.]])</f>
        <v>2701517.5118</v>
      </c>
      <c r="Q41" s="443" t="str">
        <f>IFERROR(IF(compras_mes7[[#This Row],[CUIT]]="","-",VLOOKUP(compras_mes7[[#This Row],[CUIT]],Lista_CUIT[#All],3,0)),"CUIT NO CARGADO")</f>
        <v>Productos Ortopedicos</v>
      </c>
      <c r="R41" s="443">
        <f>IFERROR(IF(compras_mes7[[#This Row],[CUIT]]="","-",VLOOKUP(compras_mes7[[#This Row],[CUIT]],Lista_CUIT[#All],4,0)),"CUIT NO CARGADO")</f>
        <v>0</v>
      </c>
    </row>
    <row r="42" spans="2:18" x14ac:dyDescent="0.25">
      <c r="B42" s="394">
        <v>45117</v>
      </c>
      <c r="C42" s="395">
        <v>1</v>
      </c>
      <c r="D42" s="396">
        <v>7</v>
      </c>
      <c r="E42" s="397">
        <v>27501</v>
      </c>
      <c r="F42" s="398">
        <v>20271532483</v>
      </c>
      <c r="G42" s="399" t="str">
        <f>IFERROR(IF(compras_mes7[[#This Row],[CUIT]]="","-",VLOOKUP(compras_mes7[[#This Row],[CUIT]],Lista_CUIT[#All],2,0)),"CUIT NO CARGADO")</f>
        <v>DIEGO MARTIN RIOS</v>
      </c>
      <c r="H42" s="400">
        <v>1343840.57</v>
      </c>
      <c r="I42" s="401">
        <f>IF(compras_mes7[[#This Row],[NETO GRAVADO]]="","",compras_mes7[[#This Row],[NETO GRAVADO]]*0.21)</f>
        <v>282206.5197</v>
      </c>
      <c r="J42" s="441"/>
      <c r="K42" s="441"/>
      <c r="L42" s="441"/>
      <c r="M42" s="441"/>
      <c r="N42" s="441">
        <v>47034.42</v>
      </c>
      <c r="O42" s="441"/>
      <c r="P42" s="442">
        <f>SUM(compras_mes7[[#This Row],[NETO GRAVADO]:[Otros / No Grav.]])</f>
        <v>1673081.5097000001</v>
      </c>
      <c r="Q42" s="443" t="str">
        <f>IFERROR(IF(compras_mes7[[#This Row],[CUIT]]="","-",VLOOKUP(compras_mes7[[#This Row],[CUIT]],Lista_CUIT[#All],3,0)),"CUIT NO CARGADO")</f>
        <v>Productos Ortopedicos</v>
      </c>
      <c r="R42" s="443">
        <f>IFERROR(IF(compras_mes7[[#This Row],[CUIT]]="","-",VLOOKUP(compras_mes7[[#This Row],[CUIT]],Lista_CUIT[#All],4,0)),"CUIT NO CARGADO")</f>
        <v>0</v>
      </c>
    </row>
    <row r="43" spans="2:18" x14ac:dyDescent="0.25">
      <c r="B43" s="219">
        <v>45117</v>
      </c>
      <c r="C43" s="209">
        <v>1</v>
      </c>
      <c r="D43" s="220">
        <v>7</v>
      </c>
      <c r="E43" s="221">
        <v>27500</v>
      </c>
      <c r="F43" s="222">
        <v>20271532483</v>
      </c>
      <c r="G43" s="223" t="str">
        <f>IFERROR(IF(compras_mes7[[#This Row],[CUIT]]="","-",VLOOKUP(compras_mes7[[#This Row],[CUIT]],Lista_CUIT[#All],2,0)),"CUIT NO CARGADO")</f>
        <v>DIEGO MARTIN RIOS</v>
      </c>
      <c r="H43" s="224">
        <v>330442.57</v>
      </c>
      <c r="I43" s="225">
        <f>IF(compras_mes7[[#This Row],[NETO GRAVADO]]="","",compras_mes7[[#This Row],[NETO GRAVADO]]*0.21)</f>
        <v>69392.939700000003</v>
      </c>
      <c r="J43" s="453"/>
      <c r="K43" s="453"/>
      <c r="L43" s="453"/>
      <c r="M43" s="453"/>
      <c r="N43" s="453">
        <v>11565.49</v>
      </c>
      <c r="O43" s="453"/>
      <c r="P43" s="454">
        <f>SUM(compras_mes7[[#This Row],[NETO GRAVADO]:[Otros / No Grav.]])</f>
        <v>411400.99969999999</v>
      </c>
      <c r="Q43" s="455" t="str">
        <f>IFERROR(IF(compras_mes7[[#This Row],[CUIT]]="","-",VLOOKUP(compras_mes7[[#This Row],[CUIT]],Lista_CUIT[#All],3,0)),"CUIT NO CARGADO")</f>
        <v>Productos Ortopedicos</v>
      </c>
      <c r="R43" s="455">
        <f>IFERROR(IF(compras_mes7[[#This Row],[CUIT]]="","-",VLOOKUP(compras_mes7[[#This Row],[CUIT]],Lista_CUIT[#All],4,0)),"CUIT NO CARGADO")</f>
        <v>0</v>
      </c>
    </row>
    <row r="44" spans="2:18" x14ac:dyDescent="0.25">
      <c r="B44" s="394">
        <v>45118</v>
      </c>
      <c r="C44" s="395">
        <v>1</v>
      </c>
      <c r="D44" s="396">
        <v>5</v>
      </c>
      <c r="E44" s="397">
        <v>145403</v>
      </c>
      <c r="F44" s="398">
        <v>30598960093</v>
      </c>
      <c r="G44" s="399" t="str">
        <f>IFERROR(IF(compras_mes7[[#This Row],[CUIT]]="","-",VLOOKUP(compras_mes7[[#This Row],[CUIT]],Lista_CUIT[#All],2,0)),"CUIT NO CARGADO")</f>
        <v>SILVESTRIN FABRIS SRL</v>
      </c>
      <c r="H44" s="400">
        <v>641866.19999999995</v>
      </c>
      <c r="I44" s="401">
        <f>IF(compras_mes7[[#This Row],[NETO GRAVADO]]="","",compras_mes7[[#This Row],[NETO GRAVADO]]*0.21)</f>
        <v>134791.90199999997</v>
      </c>
      <c r="J44" s="441"/>
      <c r="K44" s="441"/>
      <c r="L44" s="441"/>
      <c r="M44" s="441"/>
      <c r="N44" s="441">
        <v>22465.32</v>
      </c>
      <c r="O44" s="441"/>
      <c r="P44" s="442">
        <f>SUM(compras_mes7[[#This Row],[NETO GRAVADO]:[Otros / No Grav.]])</f>
        <v>799123.4219999999</v>
      </c>
      <c r="Q44" s="443" t="str">
        <f>IFERROR(IF(compras_mes7[[#This Row],[CUIT]]="","-",VLOOKUP(compras_mes7[[#This Row],[CUIT]],Lista_CUIT[#All],3,0)),"CUIT NO CARGADO")</f>
        <v>Productos Ortopedicos</v>
      </c>
      <c r="R44" s="443">
        <f>IFERROR(IF(compras_mes7[[#This Row],[CUIT]]="","-",VLOOKUP(compras_mes7[[#This Row],[CUIT]],Lista_CUIT[#All],4,0)),"CUIT NO CARGADO")</f>
        <v>0</v>
      </c>
    </row>
    <row r="45" spans="2:18" x14ac:dyDescent="0.25">
      <c r="B45" s="394">
        <v>45118</v>
      </c>
      <c r="C45" s="395">
        <v>1</v>
      </c>
      <c r="D45" s="396">
        <v>7</v>
      </c>
      <c r="E45" s="397">
        <v>883</v>
      </c>
      <c r="F45" s="398">
        <v>30712187316</v>
      </c>
      <c r="G45" s="399" t="str">
        <f>IFERROR(IF(compras_mes7[[#This Row],[CUIT]]="","-",VLOOKUP(compras_mes7[[#This Row],[CUIT]],Lista_CUIT[#All],2,0)),"CUIT NO CARGADO")</f>
        <v>ITALOMED PRODUCTOS SRL</v>
      </c>
      <c r="H45" s="400">
        <v>56028.36</v>
      </c>
      <c r="I45" s="401">
        <f>IF(compras_mes7[[#This Row],[NETO GRAVADO]]="","",compras_mes7[[#This Row],[NETO GRAVADO]]*0.21)</f>
        <v>11765.955599999999</v>
      </c>
      <c r="J45" s="441"/>
      <c r="K45" s="441"/>
      <c r="L45" s="441"/>
      <c r="M45" s="441"/>
      <c r="N45" s="441"/>
      <c r="O45" s="441"/>
      <c r="P45" s="442">
        <f>SUM(compras_mes7[[#This Row],[NETO GRAVADO]:[Otros / No Grav.]])</f>
        <v>67794.315600000002</v>
      </c>
      <c r="Q45" s="443" t="str">
        <f>IFERROR(IF(compras_mes7[[#This Row],[CUIT]]="","-",VLOOKUP(compras_mes7[[#This Row],[CUIT]],Lista_CUIT[#All],3,0)),"CUIT NO CARGADO")</f>
        <v>Productos Ortopedicos</v>
      </c>
      <c r="R45" s="443">
        <f>IFERROR(IF(compras_mes7[[#This Row],[CUIT]]="","-",VLOOKUP(compras_mes7[[#This Row],[CUIT]],Lista_CUIT[#All],4,0)),"CUIT NO CARGADO")</f>
        <v>0</v>
      </c>
    </row>
    <row r="46" spans="2:18" x14ac:dyDescent="0.25">
      <c r="B46" s="394">
        <v>45118</v>
      </c>
      <c r="C46" s="395">
        <v>3</v>
      </c>
      <c r="D46" s="396">
        <v>7</v>
      </c>
      <c r="E46" s="397">
        <v>1072</v>
      </c>
      <c r="F46" s="398">
        <v>30709214078</v>
      </c>
      <c r="G46" s="399" t="str">
        <f>IFERROR(IF(compras_mes7[[#This Row],[CUIT]]="","-",VLOOKUP(compras_mes7[[#This Row],[CUIT]],Lista_CUIT[#All],2,0)),"CUIT NO CARGADO")</f>
        <v>REHAVITA S.A</v>
      </c>
      <c r="H46" s="400">
        <v>-106144</v>
      </c>
      <c r="I46" s="401"/>
      <c r="J46" s="441"/>
      <c r="K46" s="441">
        <v>-11145.12</v>
      </c>
      <c r="L46" s="441"/>
      <c r="M46" s="441"/>
      <c r="N46" s="441"/>
      <c r="O46" s="441"/>
      <c r="P46" s="442">
        <f>SUM(compras_mes7[[#This Row],[NETO GRAVADO]:[Otros / No Grav.]])</f>
        <v>-117289.12</v>
      </c>
      <c r="Q46" s="443" t="str">
        <f>IFERROR(IF(compras_mes7[[#This Row],[CUIT]]="","-",VLOOKUP(compras_mes7[[#This Row],[CUIT]],Lista_CUIT[#All],3,0)),"CUIT NO CARGADO")</f>
        <v>Productos Ortopedicos</v>
      </c>
      <c r="R46" s="443">
        <f>IFERROR(IF(compras_mes7[[#This Row],[CUIT]]="","-",VLOOKUP(compras_mes7[[#This Row],[CUIT]],Lista_CUIT[#All],4,0)),"CUIT NO CARGADO")</f>
        <v>0</v>
      </c>
    </row>
    <row r="47" spans="2:18" x14ac:dyDescent="0.25">
      <c r="B47" s="394">
        <v>45119</v>
      </c>
      <c r="C47" s="395">
        <v>1</v>
      </c>
      <c r="D47" s="396">
        <v>17</v>
      </c>
      <c r="E47" s="397">
        <v>1137</v>
      </c>
      <c r="F47" s="398">
        <v>30711764921</v>
      </c>
      <c r="G47" s="399" t="str">
        <f>IFERROR(IF(compras_mes7[[#This Row],[CUIT]]="","-",VLOOKUP(compras_mes7[[#This Row],[CUIT]],Lista_CUIT[#All],2,0)),"CUIT NO CARGADO")</f>
        <v>RELIEF CENTER SRL</v>
      </c>
      <c r="H47" s="400">
        <v>26481</v>
      </c>
      <c r="I47" s="401">
        <f>IF(compras_mes7[[#This Row],[NETO GRAVADO]]="","",compras_mes7[[#This Row],[NETO GRAVADO]]*0.21)</f>
        <v>5561.01</v>
      </c>
      <c r="J47" s="441"/>
      <c r="K47" s="441"/>
      <c r="L47" s="441"/>
      <c r="M47" s="441"/>
      <c r="N47" s="441"/>
      <c r="O47" s="441"/>
      <c r="P47" s="442">
        <f>SUM(compras_mes7[[#This Row],[NETO GRAVADO]:[Otros / No Grav.]])</f>
        <v>32042.010000000002</v>
      </c>
      <c r="Q47" s="443" t="str">
        <f>IFERROR(IF(compras_mes7[[#This Row],[CUIT]]="","-",VLOOKUP(compras_mes7[[#This Row],[CUIT]],Lista_CUIT[#All],3,0)),"CUIT NO CARGADO")</f>
        <v>Productos Ortopedicos</v>
      </c>
      <c r="R47" s="443">
        <f>IFERROR(IF(compras_mes7[[#This Row],[CUIT]]="","-",VLOOKUP(compras_mes7[[#This Row],[CUIT]],Lista_CUIT[#All],4,0)),"CUIT NO CARGADO")</f>
        <v>0</v>
      </c>
    </row>
    <row r="48" spans="2:18" x14ac:dyDescent="0.25">
      <c r="B48" s="394">
        <v>45119</v>
      </c>
      <c r="C48" s="395">
        <v>1</v>
      </c>
      <c r="D48" s="396">
        <v>4</v>
      </c>
      <c r="E48" s="397">
        <v>919</v>
      </c>
      <c r="F48" s="398">
        <v>30711645884</v>
      </c>
      <c r="G48" s="399" t="str">
        <f>IFERROR(IF(compras_mes7[[#This Row],[CUIT]]="","-",VLOOKUP(compras_mes7[[#This Row],[CUIT]],Lista_CUIT[#All],2,0)),"CUIT NO CARGADO")</f>
        <v>LABORATORIOS SLR</v>
      </c>
      <c r="H48" s="400">
        <v>43223.14</v>
      </c>
      <c r="I48" s="401">
        <f>IF(compras_mes7[[#This Row],[NETO GRAVADO]]="","",compras_mes7[[#This Row],[NETO GRAVADO]]*0.21)</f>
        <v>9076.8593999999994</v>
      </c>
      <c r="J48" s="441"/>
      <c r="K48" s="441"/>
      <c r="L48" s="441"/>
      <c r="M48" s="441"/>
      <c r="N48" s="441"/>
      <c r="O48" s="441"/>
      <c r="P48" s="442">
        <f>SUM(compras_mes7[[#This Row],[NETO GRAVADO]:[Otros / No Grav.]])</f>
        <v>52299.999400000001</v>
      </c>
      <c r="Q48" s="443" t="str">
        <f>IFERROR(IF(compras_mes7[[#This Row],[CUIT]]="","-",VLOOKUP(compras_mes7[[#This Row],[CUIT]],Lista_CUIT[#All],3,0)),"CUIT NO CARGADO")</f>
        <v>Productos Ortopedicos</v>
      </c>
      <c r="R48" s="443">
        <f>IFERROR(IF(compras_mes7[[#This Row],[CUIT]]="","-",VLOOKUP(compras_mes7[[#This Row],[CUIT]],Lista_CUIT[#All],4,0)),"CUIT NO CARGADO")</f>
        <v>0</v>
      </c>
    </row>
    <row r="49" spans="2:18" x14ac:dyDescent="0.25">
      <c r="B49" s="394">
        <v>45119</v>
      </c>
      <c r="C49" s="395">
        <v>1</v>
      </c>
      <c r="D49" s="396">
        <v>7</v>
      </c>
      <c r="E49" s="397">
        <v>885</v>
      </c>
      <c r="F49" s="398">
        <v>30712187316</v>
      </c>
      <c r="G49" s="399" t="str">
        <f>IFERROR(IF(compras_mes7[[#This Row],[CUIT]]="","-",VLOOKUP(compras_mes7[[#This Row],[CUIT]],Lista_CUIT[#All],2,0)),"CUIT NO CARGADO")</f>
        <v>ITALOMED PRODUCTOS SRL</v>
      </c>
      <c r="H49" s="400">
        <v>56028.36</v>
      </c>
      <c r="I49" s="401">
        <f>IF(compras_mes7[[#This Row],[NETO GRAVADO]]="","",compras_mes7[[#This Row],[NETO GRAVADO]]*0.21)</f>
        <v>11765.955599999999</v>
      </c>
      <c r="J49" s="441"/>
      <c r="K49" s="441"/>
      <c r="L49" s="441"/>
      <c r="M49" s="441"/>
      <c r="N49" s="441"/>
      <c r="O49" s="441"/>
      <c r="P49" s="442">
        <f>SUM(compras_mes7[[#This Row],[NETO GRAVADO]:[Otros / No Grav.]])</f>
        <v>67794.315600000002</v>
      </c>
      <c r="Q49" s="443" t="str">
        <f>IFERROR(IF(compras_mes7[[#This Row],[CUIT]]="","-",VLOOKUP(compras_mes7[[#This Row],[CUIT]],Lista_CUIT[#All],3,0)),"CUIT NO CARGADO")</f>
        <v>Productos Ortopedicos</v>
      </c>
      <c r="R49" s="443">
        <f>IFERROR(IF(compras_mes7[[#This Row],[CUIT]]="","-",VLOOKUP(compras_mes7[[#This Row],[CUIT]],Lista_CUIT[#All],4,0)),"CUIT NO CARGADO")</f>
        <v>0</v>
      </c>
    </row>
    <row r="50" spans="2:18" x14ac:dyDescent="0.25">
      <c r="B50" s="394">
        <v>45119</v>
      </c>
      <c r="C50" s="395">
        <v>1</v>
      </c>
      <c r="D50" s="396">
        <v>6</v>
      </c>
      <c r="E50" s="397">
        <v>49128</v>
      </c>
      <c r="F50" s="398">
        <v>30710177658</v>
      </c>
      <c r="G50" s="399" t="str">
        <f>IFERROR(IF(compras_mes7[[#This Row],[CUIT]]="","-",VLOOKUP(compras_mes7[[#This Row],[CUIT]],Lista_CUIT[#All],2,0)),"CUIT NO CARGADO")</f>
        <v>TARGET MEDICAL SA</v>
      </c>
      <c r="H50" s="400">
        <v>115274.8</v>
      </c>
      <c r="I50" s="401">
        <f>IF(compras_mes7[[#This Row],[NETO GRAVADO]]="","",compras_mes7[[#This Row],[NETO GRAVADO]]*0.21)</f>
        <v>24207.707999999999</v>
      </c>
      <c r="J50" s="441"/>
      <c r="K50" s="441"/>
      <c r="L50" s="441"/>
      <c r="M50" s="441"/>
      <c r="N50" s="441"/>
      <c r="O50" s="441"/>
      <c r="P50" s="442">
        <f>SUM(compras_mes7[[#This Row],[NETO GRAVADO]:[Otros / No Grav.]])</f>
        <v>139482.508</v>
      </c>
      <c r="Q50" s="443" t="str">
        <f>IFERROR(IF(compras_mes7[[#This Row],[CUIT]]="","-",VLOOKUP(compras_mes7[[#This Row],[CUIT]],Lista_CUIT[#All],3,0)),"CUIT NO CARGADO")</f>
        <v>Productos Ortopedicos</v>
      </c>
      <c r="R50" s="443">
        <f>IFERROR(IF(compras_mes7[[#This Row],[CUIT]]="","-",VLOOKUP(compras_mes7[[#This Row],[CUIT]],Lista_CUIT[#All],4,0)),"CUIT NO CARGADO")</f>
        <v>0</v>
      </c>
    </row>
    <row r="51" spans="2:18" x14ac:dyDescent="0.25">
      <c r="B51" s="394">
        <v>45119</v>
      </c>
      <c r="C51" s="395">
        <v>1</v>
      </c>
      <c r="D51" s="396">
        <v>5</v>
      </c>
      <c r="E51" s="397">
        <v>2878</v>
      </c>
      <c r="F51" s="398">
        <v>33693506099</v>
      </c>
      <c r="G51" s="399" t="str">
        <f>IFERROR(IF(compras_mes7[[#This Row],[CUIT]]="","-",VLOOKUP(compras_mes7[[#This Row],[CUIT]],Lista_CUIT[#All],2,0)),"CUIT NO CARGADO")</f>
        <v>SCALISE A. FALANGA C SH</v>
      </c>
      <c r="H51" s="400">
        <v>1680.03</v>
      </c>
      <c r="I51" s="401"/>
      <c r="J51" s="441"/>
      <c r="K51" s="441">
        <v>176.4</v>
      </c>
      <c r="L51" s="441"/>
      <c r="M51" s="441"/>
      <c r="N51" s="441"/>
      <c r="O51" s="441"/>
      <c r="P51" s="442">
        <f>SUM(compras_mes7[[#This Row],[NETO GRAVADO]:[Otros / No Grav.]])</f>
        <v>1856.43</v>
      </c>
      <c r="Q51" s="443" t="str">
        <f>IFERROR(IF(compras_mes7[[#This Row],[CUIT]]="","-",VLOOKUP(compras_mes7[[#This Row],[CUIT]],Lista_CUIT[#All],3,0)),"CUIT NO CARGADO")</f>
        <v>GASTOS VARIOS</v>
      </c>
      <c r="R51" s="443">
        <f>IFERROR(IF(compras_mes7[[#This Row],[CUIT]]="","-",VLOOKUP(compras_mes7[[#This Row],[CUIT]],Lista_CUIT[#All],4,0)),"CUIT NO CARGADO")</f>
        <v>0</v>
      </c>
    </row>
    <row r="52" spans="2:18" x14ac:dyDescent="0.25">
      <c r="B52" s="394">
        <v>45119</v>
      </c>
      <c r="C52" s="395">
        <v>1</v>
      </c>
      <c r="D52" s="396">
        <v>4</v>
      </c>
      <c r="E52" s="397">
        <v>65113</v>
      </c>
      <c r="F52" s="398">
        <v>33709738459</v>
      </c>
      <c r="G52" s="399" t="str">
        <f>IFERROR(IF(compras_mes7[[#This Row],[CUIT]]="","-",VLOOKUP(compras_mes7[[#This Row],[CUIT]],Lista_CUIT[#All],2,0)),"CUIT NO CARGADO")</f>
        <v>ORTOPEDICOS ALFOLATEX S.A</v>
      </c>
      <c r="H52" s="400">
        <v>123774.94</v>
      </c>
      <c r="I52" s="401">
        <f>IF(compras_mes7[[#This Row],[NETO GRAVADO]]="","",compras_mes7[[#This Row],[NETO GRAVADO]]*0.21)</f>
        <v>25992.737399999998</v>
      </c>
      <c r="J52" s="441"/>
      <c r="K52" s="441"/>
      <c r="L52" s="441"/>
      <c r="M52" s="441"/>
      <c r="N52" s="441"/>
      <c r="O52" s="441"/>
      <c r="P52" s="442">
        <f>SUM(compras_mes7[[#This Row],[NETO GRAVADO]:[Otros / No Grav.]])</f>
        <v>149767.67739999999</v>
      </c>
      <c r="Q52" s="443" t="str">
        <f>IFERROR(IF(compras_mes7[[#This Row],[CUIT]]="","-",VLOOKUP(compras_mes7[[#This Row],[CUIT]],Lista_CUIT[#All],3,0)),"CUIT NO CARGADO")</f>
        <v>Productos Ortopedicos</v>
      </c>
      <c r="R52" s="443">
        <f>IFERROR(IF(compras_mes7[[#This Row],[CUIT]]="","-",VLOOKUP(compras_mes7[[#This Row],[CUIT]],Lista_CUIT[#All],4,0)),"CUIT NO CARGADO")</f>
        <v>0</v>
      </c>
    </row>
    <row r="53" spans="2:18" x14ac:dyDescent="0.25">
      <c r="B53" s="394">
        <v>45120</v>
      </c>
      <c r="C53" s="395">
        <v>1</v>
      </c>
      <c r="D53" s="396">
        <v>3</v>
      </c>
      <c r="E53" s="397">
        <v>7909</v>
      </c>
      <c r="F53" s="398">
        <v>20045615473</v>
      </c>
      <c r="G53" s="399" t="str">
        <f>IFERROR(IF(compras_mes7[[#This Row],[CUIT]]="","-",VLOOKUP(compras_mes7[[#This Row],[CUIT]],Lista_CUIT[#All],2,0)),"CUIT NO CARGADO")</f>
        <v xml:space="preserve">DI FEO HUGO PASCUAL </v>
      </c>
      <c r="H53" s="400">
        <v>33340</v>
      </c>
      <c r="I53" s="401">
        <f>IF(compras_mes7[[#This Row],[NETO GRAVADO]]="","",compras_mes7[[#This Row],[NETO GRAVADO]]*0.21)</f>
        <v>7001.4</v>
      </c>
      <c r="J53" s="441"/>
      <c r="K53" s="441"/>
      <c r="L53" s="441"/>
      <c r="M53" s="441"/>
      <c r="N53" s="441"/>
      <c r="O53" s="441"/>
      <c r="P53" s="442">
        <f>SUM(compras_mes7[[#This Row],[NETO GRAVADO]:[Otros / No Grav.]])</f>
        <v>40341.4</v>
      </c>
      <c r="Q53" s="443" t="str">
        <f>IFERROR(IF(compras_mes7[[#This Row],[CUIT]]="","-",VLOOKUP(compras_mes7[[#This Row],[CUIT]],Lista_CUIT[#All],3,0)),"CUIT NO CARGADO")</f>
        <v>Productos Ortopedicos</v>
      </c>
      <c r="R53" s="443">
        <f>IFERROR(IF(compras_mes7[[#This Row],[CUIT]]="","-",VLOOKUP(compras_mes7[[#This Row],[CUIT]],Lista_CUIT[#All],4,0)),"CUIT NO CARGADO")</f>
        <v>0</v>
      </c>
    </row>
    <row r="54" spans="2:18" x14ac:dyDescent="0.25">
      <c r="B54" s="394">
        <v>45120</v>
      </c>
      <c r="C54" s="395">
        <v>1</v>
      </c>
      <c r="D54" s="396">
        <v>7</v>
      </c>
      <c r="E54" s="397">
        <v>889</v>
      </c>
      <c r="F54" s="398">
        <v>30712187316</v>
      </c>
      <c r="G54" s="399" t="str">
        <f>IFERROR(IF(compras_mes7[[#This Row],[CUIT]]="","-",VLOOKUP(compras_mes7[[#This Row],[CUIT]],Lista_CUIT[#All],2,0)),"CUIT NO CARGADO")</f>
        <v>ITALOMED PRODUCTOS SRL</v>
      </c>
      <c r="H54" s="400">
        <v>56028.36</v>
      </c>
      <c r="I54" s="401">
        <f>IF(compras_mes7[[#This Row],[NETO GRAVADO]]="","",compras_mes7[[#This Row],[NETO GRAVADO]]*0.21)</f>
        <v>11765.955599999999</v>
      </c>
      <c r="J54" s="441"/>
      <c r="K54" s="441"/>
      <c r="L54" s="441"/>
      <c r="M54" s="441"/>
      <c r="N54" s="441"/>
      <c r="O54" s="441"/>
      <c r="P54" s="442">
        <f>SUM(compras_mes7[[#This Row],[NETO GRAVADO]:[Otros / No Grav.]])</f>
        <v>67794.315600000002</v>
      </c>
      <c r="Q54" s="443" t="str">
        <f>IFERROR(IF(compras_mes7[[#This Row],[CUIT]]="","-",VLOOKUP(compras_mes7[[#This Row],[CUIT]],Lista_CUIT[#All],3,0)),"CUIT NO CARGADO")</f>
        <v>Productos Ortopedicos</v>
      </c>
      <c r="R54" s="443">
        <f>IFERROR(IF(compras_mes7[[#This Row],[CUIT]]="","-",VLOOKUP(compras_mes7[[#This Row],[CUIT]],Lista_CUIT[#All],4,0)),"CUIT NO CARGADO")</f>
        <v>0</v>
      </c>
    </row>
    <row r="55" spans="2:18" x14ac:dyDescent="0.25">
      <c r="B55" s="394">
        <v>45120</v>
      </c>
      <c r="C55" s="395">
        <v>1</v>
      </c>
      <c r="D55" s="396">
        <v>6</v>
      </c>
      <c r="E55" s="397">
        <v>49150</v>
      </c>
      <c r="F55" s="398">
        <v>30710177658</v>
      </c>
      <c r="G55" s="399" t="str">
        <f>IFERROR(IF(compras_mes7[[#This Row],[CUIT]]="","-",VLOOKUP(compras_mes7[[#This Row],[CUIT]],Lista_CUIT[#All],2,0)),"CUIT NO CARGADO")</f>
        <v>TARGET MEDICAL SA</v>
      </c>
      <c r="H55" s="400">
        <v>22580</v>
      </c>
      <c r="I55" s="401">
        <f>IF(compras_mes7[[#This Row],[NETO GRAVADO]]="","",compras_mes7[[#This Row],[NETO GRAVADO]]*0.21)</f>
        <v>4741.8</v>
      </c>
      <c r="J55" s="441"/>
      <c r="K55" s="441"/>
      <c r="L55" s="441"/>
      <c r="M55" s="441"/>
      <c r="N55" s="441"/>
      <c r="O55" s="441"/>
      <c r="P55" s="442">
        <f>SUM(compras_mes7[[#This Row],[NETO GRAVADO]:[Otros / No Grav.]])</f>
        <v>27321.8</v>
      </c>
      <c r="Q55" s="443" t="str">
        <f>IFERROR(IF(compras_mes7[[#This Row],[CUIT]]="","-",VLOOKUP(compras_mes7[[#This Row],[CUIT]],Lista_CUIT[#All],3,0)),"CUIT NO CARGADO")</f>
        <v>Productos Ortopedicos</v>
      </c>
      <c r="R55" s="443">
        <f>IFERROR(IF(compras_mes7[[#This Row],[CUIT]]="","-",VLOOKUP(compras_mes7[[#This Row],[CUIT]],Lista_CUIT[#All],4,0)),"CUIT NO CARGADO")</f>
        <v>0</v>
      </c>
    </row>
    <row r="56" spans="2:18" x14ac:dyDescent="0.25">
      <c r="B56" s="394">
        <v>45121</v>
      </c>
      <c r="C56" s="395">
        <v>1</v>
      </c>
      <c r="D56" s="396">
        <v>2</v>
      </c>
      <c r="E56" s="397">
        <v>8818</v>
      </c>
      <c r="F56" s="398">
        <v>30714331082</v>
      </c>
      <c r="G56" s="399" t="str">
        <f>IFERROR(IF(compras_mes7[[#This Row],[CUIT]]="","-",VLOOKUP(compras_mes7[[#This Row],[CUIT]],Lista_CUIT[#All],2,0)),"CUIT NO CARGADO")</f>
        <v>ORTOPEDIA CASA ESCALADA SRL</v>
      </c>
      <c r="H56" s="400">
        <v>87848</v>
      </c>
      <c r="I56" s="401">
        <f>IF(compras_mes7[[#This Row],[NETO GRAVADO]]="","",compras_mes7[[#This Row],[NETO GRAVADO]]*0.21)</f>
        <v>18448.079999999998</v>
      </c>
      <c r="J56" s="441"/>
      <c r="K56" s="441"/>
      <c r="L56" s="441"/>
      <c r="M56" s="441"/>
      <c r="N56" s="441"/>
      <c r="O56" s="441"/>
      <c r="P56" s="442">
        <f>SUM(compras_mes7[[#This Row],[NETO GRAVADO]:[Otros / No Grav.]])</f>
        <v>106296.08</v>
      </c>
      <c r="Q56" s="443" t="str">
        <f>IFERROR(IF(compras_mes7[[#This Row],[CUIT]]="","-",VLOOKUP(compras_mes7[[#This Row],[CUIT]],Lista_CUIT[#All],3,0)),"CUIT NO CARGADO")</f>
        <v>Productos Ortopedicos</v>
      </c>
      <c r="R56" s="443">
        <f>IFERROR(IF(compras_mes7[[#This Row],[CUIT]]="","-",VLOOKUP(compras_mes7[[#This Row],[CUIT]],Lista_CUIT[#All],4,0)),"CUIT NO CARGADO")</f>
        <v>0</v>
      </c>
    </row>
    <row r="57" spans="2:18" x14ac:dyDescent="0.25">
      <c r="B57" s="394">
        <v>45121</v>
      </c>
      <c r="C57" s="395">
        <v>1</v>
      </c>
      <c r="D57" s="396">
        <v>7</v>
      </c>
      <c r="E57" s="397">
        <v>27571</v>
      </c>
      <c r="F57" s="398">
        <v>20271532483</v>
      </c>
      <c r="G57" s="399" t="str">
        <f>IFERROR(IF(compras_mes7[[#This Row],[CUIT]]="","-",VLOOKUP(compras_mes7[[#This Row],[CUIT]],Lista_CUIT[#All],2,0)),"CUIT NO CARGADO")</f>
        <v>DIEGO MARTIN RIOS</v>
      </c>
      <c r="H57" s="400">
        <v>892899.98</v>
      </c>
      <c r="I57" s="401">
        <f>IF(compras_mes7[[#This Row],[NETO GRAVADO]]="","",compras_mes7[[#This Row],[NETO GRAVADO]]*0.21)</f>
        <v>187508.99579999998</v>
      </c>
      <c r="J57" s="441"/>
      <c r="K57" s="441"/>
      <c r="L57" s="441"/>
      <c r="M57" s="441"/>
      <c r="N57" s="441">
        <v>31251.5</v>
      </c>
      <c r="O57" s="441"/>
      <c r="P57" s="442">
        <f>SUM(compras_mes7[[#This Row],[NETO GRAVADO]:[Otros / No Grav.]])</f>
        <v>1111660.4757999999</v>
      </c>
      <c r="Q57" s="443" t="str">
        <f>IFERROR(IF(compras_mes7[[#This Row],[CUIT]]="","-",VLOOKUP(compras_mes7[[#This Row],[CUIT]],Lista_CUIT[#All],3,0)),"CUIT NO CARGADO")</f>
        <v>Productos Ortopedicos</v>
      </c>
      <c r="R57" s="443">
        <f>IFERROR(IF(compras_mes7[[#This Row],[CUIT]]="","-",VLOOKUP(compras_mes7[[#This Row],[CUIT]],Lista_CUIT[#All],4,0)),"CUIT NO CARGADO")</f>
        <v>0</v>
      </c>
    </row>
    <row r="58" spans="2:18" x14ac:dyDescent="0.25">
      <c r="B58" s="394">
        <v>45121</v>
      </c>
      <c r="C58" s="395">
        <v>1</v>
      </c>
      <c r="D58" s="396">
        <v>2</v>
      </c>
      <c r="E58" s="397">
        <v>26557</v>
      </c>
      <c r="F58" s="398">
        <v>30714696153</v>
      </c>
      <c r="G58" s="399" t="str">
        <f>IFERROR(IF(compras_mes7[[#This Row],[CUIT]]="","-",VLOOKUP(compras_mes7[[#This Row],[CUIT]],Lista_CUIT[#All],2,0)),"CUIT NO CARGADO")</f>
        <v>HOSPIMED SA</v>
      </c>
      <c r="H58" s="400">
        <v>62155.1</v>
      </c>
      <c r="I58" s="401">
        <f>IF(compras_mes7[[#This Row],[NETO GRAVADO]]="","",compras_mes7[[#This Row],[NETO GRAVADO]]*0.21)</f>
        <v>13052.571</v>
      </c>
      <c r="J58" s="441"/>
      <c r="K58" s="441"/>
      <c r="L58" s="441"/>
      <c r="M58" s="441"/>
      <c r="N58" s="441"/>
      <c r="O58" s="441"/>
      <c r="P58" s="442">
        <f>SUM(compras_mes7[[#This Row],[NETO GRAVADO]:[Otros / No Grav.]])</f>
        <v>75207.671000000002</v>
      </c>
      <c r="Q58" s="443" t="str">
        <f>IFERROR(IF(compras_mes7[[#This Row],[CUIT]]="","-",VLOOKUP(compras_mes7[[#This Row],[CUIT]],Lista_CUIT[#All],3,0)),"CUIT NO CARGADO")</f>
        <v>Productos Ortopedicos</v>
      </c>
      <c r="R58" s="443">
        <f>IFERROR(IF(compras_mes7[[#This Row],[CUIT]]="","-",VLOOKUP(compras_mes7[[#This Row],[CUIT]],Lista_CUIT[#All],4,0)),"CUIT NO CARGADO")</f>
        <v>0</v>
      </c>
    </row>
    <row r="59" spans="2:18" x14ac:dyDescent="0.25">
      <c r="B59" s="394">
        <v>45121</v>
      </c>
      <c r="C59" s="395">
        <v>1</v>
      </c>
      <c r="D59" s="396">
        <v>6</v>
      </c>
      <c r="E59" s="397">
        <v>75063</v>
      </c>
      <c r="F59" s="398">
        <v>30711553564</v>
      </c>
      <c r="G59" s="399" t="str">
        <f>IFERROR(IF(compras_mes7[[#This Row],[CUIT]]="","-",VLOOKUP(compras_mes7[[#This Row],[CUIT]],Lista_CUIT[#All],2,0)),"CUIT NO CARGADO")</f>
        <v>SALUD TEX S.A</v>
      </c>
      <c r="H59" s="400">
        <v>260716</v>
      </c>
      <c r="I59" s="401">
        <f>IF(compras_mes7[[#This Row],[NETO GRAVADO]]="","",compras_mes7[[#This Row],[NETO GRAVADO]]*0.21)</f>
        <v>54750.36</v>
      </c>
      <c r="J59" s="441"/>
      <c r="K59" s="441"/>
      <c r="L59" s="441"/>
      <c r="M59" s="441"/>
      <c r="N59" s="441"/>
      <c r="O59" s="441"/>
      <c r="P59" s="442">
        <f>SUM(compras_mes7[[#This Row],[NETO GRAVADO]:[Otros / No Grav.]])</f>
        <v>315466.36</v>
      </c>
      <c r="Q59" s="443" t="str">
        <f>IFERROR(IF(compras_mes7[[#This Row],[CUIT]]="","-",VLOOKUP(compras_mes7[[#This Row],[CUIT]],Lista_CUIT[#All],3,0)),"CUIT NO CARGADO")</f>
        <v>Productos Ortopedicos</v>
      </c>
      <c r="R59" s="443">
        <f>IFERROR(IF(compras_mes7[[#This Row],[CUIT]]="","-",VLOOKUP(compras_mes7[[#This Row],[CUIT]],Lista_CUIT[#All],4,0)),"CUIT NO CARGADO")</f>
        <v>0</v>
      </c>
    </row>
    <row r="60" spans="2:18" x14ac:dyDescent="0.25">
      <c r="B60" s="394">
        <v>45121</v>
      </c>
      <c r="C60" s="395">
        <v>1</v>
      </c>
      <c r="D60" s="396">
        <v>7</v>
      </c>
      <c r="E60" s="397">
        <v>15999</v>
      </c>
      <c r="F60" s="398">
        <v>30709214078</v>
      </c>
      <c r="G60" s="399" t="str">
        <f>IFERROR(IF(compras_mes7[[#This Row],[CUIT]]="","-",VLOOKUP(compras_mes7[[#This Row],[CUIT]],Lista_CUIT[#All],2,0)),"CUIT NO CARGADO")</f>
        <v>REHAVITA S.A</v>
      </c>
      <c r="H60" s="400">
        <v>808392.46</v>
      </c>
      <c r="I60" s="401">
        <f>IF(compras_mes7[[#This Row],[NETO GRAVADO]]="","",compras_mes7[[#This Row],[NETO GRAVADO]]*0.21)</f>
        <v>169762.4166</v>
      </c>
      <c r="J60" s="441"/>
      <c r="K60" s="441"/>
      <c r="L60" s="441"/>
      <c r="M60" s="441"/>
      <c r="N60" s="441"/>
      <c r="O60" s="441"/>
      <c r="P60" s="442">
        <f>SUM(compras_mes7[[#This Row],[NETO GRAVADO]:[Otros / No Grav.]])</f>
        <v>978154.87659999996</v>
      </c>
      <c r="Q60" s="443" t="str">
        <f>IFERROR(IF(compras_mes7[[#This Row],[CUIT]]="","-",VLOOKUP(compras_mes7[[#This Row],[CUIT]],Lista_CUIT[#All],3,0)),"CUIT NO CARGADO")</f>
        <v>Productos Ortopedicos</v>
      </c>
      <c r="R60" s="443">
        <f>IFERROR(IF(compras_mes7[[#This Row],[CUIT]]="","-",VLOOKUP(compras_mes7[[#This Row],[CUIT]],Lista_CUIT[#All],4,0)),"CUIT NO CARGADO")</f>
        <v>0</v>
      </c>
    </row>
    <row r="61" spans="2:18" x14ac:dyDescent="0.25">
      <c r="B61" s="394">
        <v>45121</v>
      </c>
      <c r="C61" s="395">
        <v>1</v>
      </c>
      <c r="D61" s="396">
        <v>7</v>
      </c>
      <c r="E61" s="397">
        <v>16000</v>
      </c>
      <c r="F61" s="398">
        <v>30709214078</v>
      </c>
      <c r="G61" s="399" t="str">
        <f>IFERROR(IF(compras_mes7[[#This Row],[CUIT]]="","-",VLOOKUP(compras_mes7[[#This Row],[CUIT]],Lista_CUIT[#All],2,0)),"CUIT NO CARGADO")</f>
        <v>REHAVITA S.A</v>
      </c>
      <c r="H61" s="400">
        <v>1515333.46</v>
      </c>
      <c r="I61" s="401">
        <f>IF(compras_mes7[[#This Row],[NETO GRAVADO]]="","",compras_mes7[[#This Row],[NETO GRAVADO]]*0.21)</f>
        <v>318220.02659999998</v>
      </c>
      <c r="J61" s="441"/>
      <c r="K61" s="441"/>
      <c r="L61" s="441"/>
      <c r="M61" s="441"/>
      <c r="N61" s="441"/>
      <c r="O61" s="441"/>
      <c r="P61" s="442">
        <f>SUM(compras_mes7[[#This Row],[NETO GRAVADO]:[Otros / No Grav.]])</f>
        <v>1833553.4865999999</v>
      </c>
      <c r="Q61" s="443" t="str">
        <f>IFERROR(IF(compras_mes7[[#This Row],[CUIT]]="","-",VLOOKUP(compras_mes7[[#This Row],[CUIT]],Lista_CUIT[#All],3,0)),"CUIT NO CARGADO")</f>
        <v>Productos Ortopedicos</v>
      </c>
      <c r="R61" s="443">
        <f>IFERROR(IF(compras_mes7[[#This Row],[CUIT]]="","-",VLOOKUP(compras_mes7[[#This Row],[CUIT]],Lista_CUIT[#All],4,0)),"CUIT NO CARGADO")</f>
        <v>0</v>
      </c>
    </row>
    <row r="62" spans="2:18" x14ac:dyDescent="0.25">
      <c r="B62" s="219">
        <v>45121</v>
      </c>
      <c r="C62" s="209">
        <v>3</v>
      </c>
      <c r="D62" s="220">
        <v>6</v>
      </c>
      <c r="E62" s="221">
        <v>4</v>
      </c>
      <c r="F62" s="222">
        <v>30715979213</v>
      </c>
      <c r="G62" s="223" t="str">
        <f>IFERROR(IF(compras_mes7[[#This Row],[CUIT]]="","-",VLOOKUP(compras_mes7[[#This Row],[CUIT]],Lista_CUIT[#All],2,0)),"CUIT NO CARGADO")</f>
        <v>PORTAL INSUMOS S R L</v>
      </c>
      <c r="H62" s="224">
        <v>-20829.34</v>
      </c>
      <c r="I62" s="225">
        <f>IF(compras_mes7[[#This Row],[NETO GRAVADO]]="","",compras_mes7[[#This Row],[NETO GRAVADO]]*0.21)</f>
        <v>-4374.1614</v>
      </c>
      <c r="J62" s="453"/>
      <c r="K62" s="453"/>
      <c r="L62" s="453"/>
      <c r="M62" s="453"/>
      <c r="N62" s="453"/>
      <c r="O62" s="453"/>
      <c r="P62" s="454">
        <f>SUM(compras_mes7[[#This Row],[NETO GRAVADO]:[Otros / No Grav.]])</f>
        <v>-25203.501400000001</v>
      </c>
      <c r="Q62" s="455" t="str">
        <f>IFERROR(IF(compras_mes7[[#This Row],[CUIT]]="","-",VLOOKUP(compras_mes7[[#This Row],[CUIT]],Lista_CUIT[#All],3,0)),"CUIT NO CARGADO")</f>
        <v>GASTOS ADMINISTRATIVOS</v>
      </c>
      <c r="R62" s="455">
        <f>IFERROR(IF(compras_mes7[[#This Row],[CUIT]]="","-",VLOOKUP(compras_mes7[[#This Row],[CUIT]],Lista_CUIT[#All],4,0)),"CUIT NO CARGADO")</f>
        <v>0</v>
      </c>
    </row>
    <row r="63" spans="2:18" x14ac:dyDescent="0.25">
      <c r="B63" s="219">
        <v>45122</v>
      </c>
      <c r="C63" s="209">
        <v>1</v>
      </c>
      <c r="D63" s="220">
        <v>4264</v>
      </c>
      <c r="E63" s="221">
        <v>2295321</v>
      </c>
      <c r="F63" s="222">
        <v>30639453738</v>
      </c>
      <c r="G63" s="223" t="str">
        <f>IFERROR(IF(compras_mes7[[#This Row],[CUIT]]="","-",VLOOKUP(compras_mes7[[#This Row],[CUIT]],Lista_CUIT[#All],2,0)),"CUIT NO CARGADO")</f>
        <v>TELECOM ARGENTINA SA</v>
      </c>
      <c r="H63" s="224">
        <v>12518.35</v>
      </c>
      <c r="I63" s="225">
        <f>IF(compras_mes7[[#This Row],[NETO GRAVADO]]="","",compras_mes7[[#This Row],[NETO GRAVADO]]*0.21)</f>
        <v>2628.8535000000002</v>
      </c>
      <c r="J63" s="453"/>
      <c r="K63" s="453"/>
      <c r="L63" s="453"/>
      <c r="M63" s="453"/>
      <c r="N63" s="453">
        <v>813.69</v>
      </c>
      <c r="O63" s="453"/>
      <c r="P63" s="454">
        <f>SUM(compras_mes7[[#This Row],[NETO GRAVADO]:[Otros / No Grav.]])</f>
        <v>15960.8935</v>
      </c>
      <c r="Q63" s="455" t="str">
        <f>IFERROR(IF(compras_mes7[[#This Row],[CUIT]]="","-",VLOOKUP(compras_mes7[[#This Row],[CUIT]],Lista_CUIT[#All],3,0)),"CUIT NO CARGADO")</f>
        <v>TELEFONIA</v>
      </c>
      <c r="R63" s="455">
        <f>IFERROR(IF(compras_mes7[[#This Row],[CUIT]]="","-",VLOOKUP(compras_mes7[[#This Row],[CUIT]],Lista_CUIT[#All],4,0)),"CUIT NO CARGADO")</f>
        <v>0</v>
      </c>
    </row>
    <row r="64" spans="2:18" x14ac:dyDescent="0.25">
      <c r="B64" s="219">
        <v>45124</v>
      </c>
      <c r="C64" s="209">
        <v>1</v>
      </c>
      <c r="D64" s="220">
        <v>17</v>
      </c>
      <c r="E64" s="221">
        <v>1153</v>
      </c>
      <c r="F64" s="222">
        <v>30711764921</v>
      </c>
      <c r="G64" s="223" t="str">
        <f>IFERROR(IF(compras_mes7[[#This Row],[CUIT]]="","-",VLOOKUP(compras_mes7[[#This Row],[CUIT]],Lista_CUIT[#All],2,0)),"CUIT NO CARGADO")</f>
        <v>RELIEF CENTER SRL</v>
      </c>
      <c r="H64" s="224">
        <v>14834</v>
      </c>
      <c r="I64" s="225">
        <f>IF(compras_mes7[[#This Row],[NETO GRAVADO]]="","",compras_mes7[[#This Row],[NETO GRAVADO]]*0.21)</f>
        <v>3115.14</v>
      </c>
      <c r="J64" s="453"/>
      <c r="K64" s="453"/>
      <c r="L64" s="453"/>
      <c r="M64" s="453"/>
      <c r="N64" s="453"/>
      <c r="O64" s="453"/>
      <c r="P64" s="454">
        <f>SUM(compras_mes7[[#This Row],[NETO GRAVADO]:[Otros / No Grav.]])</f>
        <v>17949.14</v>
      </c>
      <c r="Q64" s="455" t="str">
        <f>IFERROR(IF(compras_mes7[[#This Row],[CUIT]]="","-",VLOOKUP(compras_mes7[[#This Row],[CUIT]],Lista_CUIT[#All],3,0)),"CUIT NO CARGADO")</f>
        <v>Productos Ortopedicos</v>
      </c>
      <c r="R64" s="455">
        <f>IFERROR(IF(compras_mes7[[#This Row],[CUIT]]="","-",VLOOKUP(compras_mes7[[#This Row],[CUIT]],Lista_CUIT[#All],4,0)),"CUIT NO CARGADO")</f>
        <v>0</v>
      </c>
    </row>
    <row r="65" spans="2:18" x14ac:dyDescent="0.25">
      <c r="B65" s="394">
        <v>45124</v>
      </c>
      <c r="C65" s="395">
        <v>1</v>
      </c>
      <c r="D65" s="396">
        <v>5</v>
      </c>
      <c r="E65" s="397">
        <v>145686</v>
      </c>
      <c r="F65" s="398">
        <v>30598960093</v>
      </c>
      <c r="G65" s="399" t="str">
        <f>IFERROR(IF(compras_mes7[[#This Row],[CUIT]]="","-",VLOOKUP(compras_mes7[[#This Row],[CUIT]],Lista_CUIT[#All],2,0)),"CUIT NO CARGADO")</f>
        <v>SILVESTRIN FABRIS SRL</v>
      </c>
      <c r="H65" s="400">
        <v>192725.1</v>
      </c>
      <c r="I65" s="401">
        <f>IF(compras_mes7[[#This Row],[NETO GRAVADO]]="","",compras_mes7[[#This Row],[NETO GRAVADO]]*0.21)</f>
        <v>40472.271000000001</v>
      </c>
      <c r="J65" s="441"/>
      <c r="K65" s="441"/>
      <c r="L65" s="441"/>
      <c r="M65" s="441"/>
      <c r="N65" s="441">
        <v>6745.38</v>
      </c>
      <c r="O65" s="441"/>
      <c r="P65" s="442">
        <f>SUM(compras_mes7[[#This Row],[NETO GRAVADO]:[Otros / No Grav.]])</f>
        <v>239942.75100000002</v>
      </c>
      <c r="Q65" s="443" t="str">
        <f>IFERROR(IF(compras_mes7[[#This Row],[CUIT]]="","-",VLOOKUP(compras_mes7[[#This Row],[CUIT]],Lista_CUIT[#All],3,0)),"CUIT NO CARGADO")</f>
        <v>Productos Ortopedicos</v>
      </c>
      <c r="R65" s="443">
        <f>IFERROR(IF(compras_mes7[[#This Row],[CUIT]]="","-",VLOOKUP(compras_mes7[[#This Row],[CUIT]],Lista_CUIT[#All],4,0)),"CUIT NO CARGADO")</f>
        <v>0</v>
      </c>
    </row>
    <row r="66" spans="2:18" x14ac:dyDescent="0.25">
      <c r="B66" s="394">
        <v>45124</v>
      </c>
      <c r="C66" s="395">
        <v>1</v>
      </c>
      <c r="D66" s="396">
        <v>3</v>
      </c>
      <c r="E66" s="397">
        <v>87</v>
      </c>
      <c r="F66" s="398">
        <v>20334976433</v>
      </c>
      <c r="G66" s="399" t="str">
        <f>IFERROR(IF(compras_mes7[[#This Row],[CUIT]]="","-",VLOOKUP(compras_mes7[[#This Row],[CUIT]],Lista_CUIT[#All],2,0)),"CUIT NO CARGADO")</f>
        <v>NARDOMARINO EZEQUIEL EDUARDO</v>
      </c>
      <c r="H66" s="400">
        <v>108524.79</v>
      </c>
      <c r="I66" s="401">
        <f>IF(compras_mes7[[#This Row],[NETO GRAVADO]]="","",compras_mes7[[#This Row],[NETO GRAVADO]]*0.21)</f>
        <v>22790.205899999997</v>
      </c>
      <c r="J66" s="441"/>
      <c r="K66" s="441"/>
      <c r="L66" s="441"/>
      <c r="M66" s="441"/>
      <c r="N66" s="441"/>
      <c r="O66" s="441"/>
      <c r="P66" s="442">
        <f>SUM(compras_mes7[[#This Row],[NETO GRAVADO]:[Otros / No Grav.]])</f>
        <v>131314.99589999998</v>
      </c>
      <c r="Q66" s="443" t="str">
        <f>IFERROR(IF(compras_mes7[[#This Row],[CUIT]]="","-",VLOOKUP(compras_mes7[[#This Row],[CUIT]],Lista_CUIT[#All],3,0)),"CUIT NO CARGADO")</f>
        <v>FLETE</v>
      </c>
      <c r="R66" s="443">
        <f>IFERROR(IF(compras_mes7[[#This Row],[CUIT]]="","-",VLOOKUP(compras_mes7[[#This Row],[CUIT]],Lista_CUIT[#All],4,0)),"CUIT NO CARGADO")</f>
        <v>0</v>
      </c>
    </row>
    <row r="67" spans="2:18" x14ac:dyDescent="0.25">
      <c r="B67" s="219">
        <v>45124</v>
      </c>
      <c r="C67" s="209">
        <v>1</v>
      </c>
      <c r="D67" s="220">
        <v>4</v>
      </c>
      <c r="E67" s="221">
        <v>409</v>
      </c>
      <c r="F67" s="222">
        <v>20379223185</v>
      </c>
      <c r="G67" s="223" t="str">
        <f>IFERROR(IF(compras_mes7[[#This Row],[CUIT]]="","-",VLOOKUP(compras_mes7[[#This Row],[CUIT]],Lista_CUIT[#All],2,0)),"CUIT NO CARGADO")</f>
        <v>AYALA MAURICIO JUAN JOSE</v>
      </c>
      <c r="H67" s="224">
        <v>17890</v>
      </c>
      <c r="I67" s="225">
        <f>IF(compras_mes7[[#This Row],[NETO GRAVADO]]="","",compras_mes7[[#This Row],[NETO GRAVADO]]*0.21)</f>
        <v>3756.8999999999996</v>
      </c>
      <c r="J67" s="453"/>
      <c r="K67" s="453"/>
      <c r="L67" s="453"/>
      <c r="M67" s="453"/>
      <c r="N67" s="453"/>
      <c r="O67" s="453"/>
      <c r="P67" s="454">
        <f>SUM(compras_mes7[[#This Row],[NETO GRAVADO]:[Otros / No Grav.]])</f>
        <v>21646.9</v>
      </c>
      <c r="Q67" s="455" t="str">
        <f>IFERROR(IF(compras_mes7[[#This Row],[CUIT]]="","-",VLOOKUP(compras_mes7[[#This Row],[CUIT]],Lista_CUIT[#All],3,0)),"CUIT NO CARGADO")</f>
        <v>SERVICIOS</v>
      </c>
      <c r="R67" s="455">
        <f>IFERROR(IF(compras_mes7[[#This Row],[CUIT]]="","-",VLOOKUP(compras_mes7[[#This Row],[CUIT]],Lista_CUIT[#All],4,0)),"CUIT NO CARGADO")</f>
        <v>0</v>
      </c>
    </row>
    <row r="68" spans="2:18" x14ac:dyDescent="0.25">
      <c r="B68" s="394">
        <v>45124</v>
      </c>
      <c r="C68" s="395">
        <v>1</v>
      </c>
      <c r="D68" s="396">
        <v>4</v>
      </c>
      <c r="E68" s="397">
        <v>54</v>
      </c>
      <c r="F68" s="398">
        <v>20317488476</v>
      </c>
      <c r="G68" s="399" t="str">
        <f>IFERROR(IF(compras_mes7[[#This Row],[CUIT]]="","-",VLOOKUP(compras_mes7[[#This Row],[CUIT]],Lista_CUIT[#All],2,0)),"CUIT NO CARGADO")</f>
        <v>MIGUEL ANGEL VILLALBA</v>
      </c>
      <c r="H68" s="400">
        <v>228864</v>
      </c>
      <c r="I68" s="401">
        <f>IF(compras_mes7[[#This Row],[NETO GRAVADO]]="","",compras_mes7[[#This Row],[NETO GRAVADO]]*0.21)</f>
        <v>48061.439999999995</v>
      </c>
      <c r="J68" s="441"/>
      <c r="K68" s="441"/>
      <c r="L68" s="441"/>
      <c r="M68" s="441"/>
      <c r="N68" s="441"/>
      <c r="O68" s="441"/>
      <c r="P68" s="442">
        <f>SUM(compras_mes7[[#This Row],[NETO GRAVADO]:[Otros / No Grav.]])</f>
        <v>276925.44</v>
      </c>
      <c r="Q68" s="443" t="str">
        <f>IFERROR(IF(compras_mes7[[#This Row],[CUIT]]="","-",VLOOKUP(compras_mes7[[#This Row],[CUIT]],Lista_CUIT[#All],3,0)),"CUIT NO CARGADO")</f>
        <v>Recupero P. Ortopedicos</v>
      </c>
      <c r="R68" s="443">
        <f>IFERROR(IF(compras_mes7[[#This Row],[CUIT]]="","-",VLOOKUP(compras_mes7[[#This Row],[CUIT]],Lista_CUIT[#All],4,0)),"CUIT NO CARGADO")</f>
        <v>0</v>
      </c>
    </row>
    <row r="69" spans="2:18" x14ac:dyDescent="0.25">
      <c r="B69" s="219">
        <v>45124</v>
      </c>
      <c r="C69" s="209">
        <v>1</v>
      </c>
      <c r="D69" s="220">
        <v>4264</v>
      </c>
      <c r="E69" s="221">
        <v>2395412</v>
      </c>
      <c r="F69" s="222">
        <v>30639453738</v>
      </c>
      <c r="G69" s="223" t="str">
        <f>IFERROR(IF(compras_mes7[[#This Row],[CUIT]]="","-",VLOOKUP(compras_mes7[[#This Row],[CUIT]],Lista_CUIT[#All],2,0)),"CUIT NO CARGADO")</f>
        <v>TELECOM ARGENTINA SA</v>
      </c>
      <c r="H69" s="224">
        <v>14438.02</v>
      </c>
      <c r="I69" s="225">
        <f>IF(compras_mes7[[#This Row],[NETO GRAVADO]]="","",compras_mes7[[#This Row],[NETO GRAVADO]]*0.21)</f>
        <v>3031.9841999999999</v>
      </c>
      <c r="J69" s="453"/>
      <c r="K69" s="453"/>
      <c r="L69" s="453"/>
      <c r="M69" s="453"/>
      <c r="N69" s="453"/>
      <c r="O69" s="453">
        <v>938.47</v>
      </c>
      <c r="P69" s="454">
        <f>SUM(compras_mes7[[#This Row],[NETO GRAVADO]:[Otros / No Grav.]])</f>
        <v>18408.474200000001</v>
      </c>
      <c r="Q69" s="455" t="str">
        <f>IFERROR(IF(compras_mes7[[#This Row],[CUIT]]="","-",VLOOKUP(compras_mes7[[#This Row],[CUIT]],Lista_CUIT[#All],3,0)),"CUIT NO CARGADO")</f>
        <v>TELEFONIA</v>
      </c>
      <c r="R69" s="455">
        <f>IFERROR(IF(compras_mes7[[#This Row],[CUIT]]="","-",VLOOKUP(compras_mes7[[#This Row],[CUIT]],Lista_CUIT[#All],4,0)),"CUIT NO CARGADO")</f>
        <v>0</v>
      </c>
    </row>
    <row r="70" spans="2:18" x14ac:dyDescent="0.25">
      <c r="B70" s="394">
        <v>45124</v>
      </c>
      <c r="C70" s="395">
        <v>1</v>
      </c>
      <c r="D70" s="396">
        <v>6</v>
      </c>
      <c r="E70" s="397">
        <v>49191</v>
      </c>
      <c r="F70" s="398">
        <v>30710177658</v>
      </c>
      <c r="G70" s="399" t="str">
        <f>IFERROR(IF(compras_mes7[[#This Row],[CUIT]]="","-",VLOOKUP(compras_mes7[[#This Row],[CUIT]],Lista_CUIT[#All],2,0)),"CUIT NO CARGADO")</f>
        <v>TARGET MEDICAL SA</v>
      </c>
      <c r="H70" s="400">
        <v>111800</v>
      </c>
      <c r="I70" s="401">
        <f>IF(compras_mes7[[#This Row],[NETO GRAVADO]]="","",compras_mes7[[#This Row],[NETO GRAVADO]]*0.21)</f>
        <v>23478</v>
      </c>
      <c r="J70" s="441"/>
      <c r="K70" s="441"/>
      <c r="L70" s="441"/>
      <c r="M70" s="441"/>
      <c r="N70" s="441"/>
      <c r="O70" s="441"/>
      <c r="P70" s="442">
        <f>SUM(compras_mes7[[#This Row],[NETO GRAVADO]:[Otros / No Grav.]])</f>
        <v>135278</v>
      </c>
      <c r="Q70" s="443" t="str">
        <f>IFERROR(IF(compras_mes7[[#This Row],[CUIT]]="","-",VLOOKUP(compras_mes7[[#This Row],[CUIT]],Lista_CUIT[#All],3,0)),"CUIT NO CARGADO")</f>
        <v>Productos Ortopedicos</v>
      </c>
      <c r="R70" s="443">
        <f>IFERROR(IF(compras_mes7[[#This Row],[CUIT]]="","-",VLOOKUP(compras_mes7[[#This Row],[CUIT]],Lista_CUIT[#All],4,0)),"CUIT NO CARGADO")</f>
        <v>0</v>
      </c>
    </row>
    <row r="71" spans="2:18" x14ac:dyDescent="0.25">
      <c r="B71" s="394">
        <v>45124</v>
      </c>
      <c r="C71" s="395">
        <v>1</v>
      </c>
      <c r="D71" s="396">
        <v>27</v>
      </c>
      <c r="E71" s="397">
        <v>5383</v>
      </c>
      <c r="F71" s="398">
        <v>33712276539</v>
      </c>
      <c r="G71" s="399" t="str">
        <f>IFERROR(IF(compras_mes7[[#This Row],[CUIT]]="","-",VLOOKUP(compras_mes7[[#This Row],[CUIT]],Lista_CUIT[#All],2,0)),"CUIT NO CARGADO")</f>
        <v>CASTAÑO AUTOVOX SRL</v>
      </c>
      <c r="H71" s="400">
        <v>12929.88</v>
      </c>
      <c r="I71" s="401">
        <f>IF(compras_mes7[[#This Row],[NETO GRAVADO]]="","",compras_mes7[[#This Row],[NETO GRAVADO]]*0.21)</f>
        <v>2715.2747999999997</v>
      </c>
      <c r="J71" s="441"/>
      <c r="K71" s="441"/>
      <c r="L71" s="441"/>
      <c r="M71" s="441"/>
      <c r="N71" s="441">
        <v>452.55</v>
      </c>
      <c r="O71" s="441">
        <v>855.21</v>
      </c>
      <c r="P71" s="442">
        <f>SUM(compras_mes7[[#This Row],[NETO GRAVADO]:[Otros / No Grav.]])</f>
        <v>16952.914799999999</v>
      </c>
      <c r="Q71" s="443" t="str">
        <f>IFERROR(IF(compras_mes7[[#This Row],[CUIT]]="","-",VLOOKUP(compras_mes7[[#This Row],[CUIT]],Lista_CUIT[#All],3,0)),"CUIT NO CARGADO")</f>
        <v>COMBUSTIBLE</v>
      </c>
      <c r="R71" s="443">
        <f>IFERROR(IF(compras_mes7[[#This Row],[CUIT]]="","-",VLOOKUP(compras_mes7[[#This Row],[CUIT]],Lista_CUIT[#All],4,0)),"CUIT NO CARGADO")</f>
        <v>0</v>
      </c>
    </row>
    <row r="72" spans="2:18" x14ac:dyDescent="0.25">
      <c r="B72" s="394">
        <v>45125</v>
      </c>
      <c r="C72" s="395">
        <v>1</v>
      </c>
      <c r="D72" s="396">
        <v>2</v>
      </c>
      <c r="E72" s="397">
        <v>8827</v>
      </c>
      <c r="F72" s="398">
        <v>30714331082</v>
      </c>
      <c r="G72" s="399" t="str">
        <f>IFERROR(IF(compras_mes7[[#This Row],[CUIT]]="","-",VLOOKUP(compras_mes7[[#This Row],[CUIT]],Lista_CUIT[#All],2,0)),"CUIT NO CARGADO")</f>
        <v>ORTOPEDIA CASA ESCALADA SRL</v>
      </c>
      <c r="H72" s="400">
        <v>140925.9</v>
      </c>
      <c r="I72" s="401">
        <f>IF(compras_mes7[[#This Row],[NETO GRAVADO]]="","",compras_mes7[[#This Row],[NETO GRAVADO]]*0.21)</f>
        <v>29594.438999999998</v>
      </c>
      <c r="J72" s="441"/>
      <c r="K72" s="441"/>
      <c r="L72" s="441"/>
      <c r="M72" s="441"/>
      <c r="N72" s="441"/>
      <c r="O72" s="441"/>
      <c r="P72" s="442">
        <f>SUM(compras_mes7[[#This Row],[NETO GRAVADO]:[Otros / No Grav.]])</f>
        <v>170520.33899999998</v>
      </c>
      <c r="Q72" s="443" t="str">
        <f>IFERROR(IF(compras_mes7[[#This Row],[CUIT]]="","-",VLOOKUP(compras_mes7[[#This Row],[CUIT]],Lista_CUIT[#All],3,0)),"CUIT NO CARGADO")</f>
        <v>Productos Ortopedicos</v>
      </c>
      <c r="R72" s="443">
        <f>IFERROR(IF(compras_mes7[[#This Row],[CUIT]]="","-",VLOOKUP(compras_mes7[[#This Row],[CUIT]],Lista_CUIT[#All],4,0)),"CUIT NO CARGADO")</f>
        <v>0</v>
      </c>
    </row>
    <row r="73" spans="2:18" x14ac:dyDescent="0.25">
      <c r="B73" s="394">
        <v>45125</v>
      </c>
      <c r="C73" s="395">
        <v>1</v>
      </c>
      <c r="D73" s="396">
        <v>5</v>
      </c>
      <c r="E73" s="397">
        <v>18</v>
      </c>
      <c r="F73" s="398">
        <v>20929183143</v>
      </c>
      <c r="G73" s="399" t="str">
        <f>IFERROR(IF(compras_mes7[[#This Row],[CUIT]]="","-",VLOOKUP(compras_mes7[[#This Row],[CUIT]],Lista_CUIT[#All],2,0)),"CUIT NO CARGADO")</f>
        <v>MA JUN</v>
      </c>
      <c r="H73" s="400">
        <v>12000</v>
      </c>
      <c r="I73" s="401">
        <f>IF(compras_mes7[[#This Row],[NETO GRAVADO]]="","",compras_mes7[[#This Row],[NETO GRAVADO]]*0.21)</f>
        <v>2520</v>
      </c>
      <c r="J73" s="441"/>
      <c r="K73" s="441"/>
      <c r="L73" s="441"/>
      <c r="M73" s="441"/>
      <c r="N73" s="441"/>
      <c r="O73" s="441"/>
      <c r="P73" s="442">
        <f>SUM(compras_mes7[[#This Row],[NETO GRAVADO]:[Otros / No Grav.]])</f>
        <v>14520</v>
      </c>
      <c r="Q73" s="443" t="str">
        <f>IFERROR(IF(compras_mes7[[#This Row],[CUIT]]="","-",VLOOKUP(compras_mes7[[#This Row],[CUIT]],Lista_CUIT[#All],3,0)),"CUIT NO CARGADO")</f>
        <v>Gastos Varios</v>
      </c>
      <c r="R73" s="443">
        <f>IFERROR(IF(compras_mes7[[#This Row],[CUIT]]="","-",VLOOKUP(compras_mes7[[#This Row],[CUIT]],Lista_CUIT[#All],4,0)),"CUIT NO CARGADO")</f>
        <v>0</v>
      </c>
    </row>
    <row r="74" spans="2:18" x14ac:dyDescent="0.25">
      <c r="B74" s="394">
        <v>45125</v>
      </c>
      <c r="C74" s="395">
        <v>1</v>
      </c>
      <c r="D74" s="396">
        <v>4</v>
      </c>
      <c r="E74" s="397">
        <v>4062</v>
      </c>
      <c r="F74" s="398">
        <v>20129871947</v>
      </c>
      <c r="G74" s="399" t="str">
        <f>IFERROR(IF(compras_mes7[[#This Row],[CUIT]]="","-",VLOOKUP(compras_mes7[[#This Row],[CUIT]],Lista_CUIT[#All],2,0)),"CUIT NO CARGADO")</f>
        <v>CARLOS RODOLFO FERNANDEZ</v>
      </c>
      <c r="H74" s="400">
        <v>23310.01</v>
      </c>
      <c r="I74" s="401">
        <f>IF(compras_mes7[[#This Row],[NETO GRAVADO]]="","",compras_mes7[[#This Row],[NETO GRAVADO]]*0.21)</f>
        <v>4895.1020999999992</v>
      </c>
      <c r="J74" s="441"/>
      <c r="K74" s="441"/>
      <c r="L74" s="441"/>
      <c r="M74" s="441"/>
      <c r="N74" s="441"/>
      <c r="O74" s="441"/>
      <c r="P74" s="442">
        <f>SUM(compras_mes7[[#This Row],[NETO GRAVADO]:[Otros / No Grav.]])</f>
        <v>28205.112099999998</v>
      </c>
      <c r="Q74" s="443" t="str">
        <f>IFERROR(IF(compras_mes7[[#This Row],[CUIT]]="","-",VLOOKUP(compras_mes7[[#This Row],[CUIT]],Lista_CUIT[#All],3,0)),"CUIT NO CARGADO")</f>
        <v>INSUMO</v>
      </c>
      <c r="R74" s="443">
        <f>IFERROR(IF(compras_mes7[[#This Row],[CUIT]]="","-",VLOOKUP(compras_mes7[[#This Row],[CUIT]],Lista_CUIT[#All],4,0)),"CUIT NO CARGADO")</f>
        <v>0</v>
      </c>
    </row>
    <row r="75" spans="2:18" x14ac:dyDescent="0.25">
      <c r="B75" s="394">
        <v>45125</v>
      </c>
      <c r="C75" s="395">
        <v>1</v>
      </c>
      <c r="D75" s="396">
        <v>3</v>
      </c>
      <c r="E75" s="397">
        <v>47573</v>
      </c>
      <c r="F75" s="398">
        <v>30577744579</v>
      </c>
      <c r="G75" s="399" t="str">
        <f>IFERROR(IF(compras_mes7[[#This Row],[CUIT]]="","-",VLOOKUP(compras_mes7[[#This Row],[CUIT]],Lista_CUIT[#All],2,0)),"CUIT NO CARGADO")</f>
        <v>EXPRESO TROLE SRL</v>
      </c>
      <c r="H75" s="400">
        <v>10495.87</v>
      </c>
      <c r="I75" s="401">
        <f>IF(compras_mes7[[#This Row],[NETO GRAVADO]]="","",compras_mes7[[#This Row],[NETO GRAVADO]]*0.21)</f>
        <v>2204.1327000000001</v>
      </c>
      <c r="J75" s="441"/>
      <c r="K75" s="441"/>
      <c r="L75" s="441"/>
      <c r="M75" s="441"/>
      <c r="N75" s="441"/>
      <c r="O75" s="441"/>
      <c r="P75" s="442">
        <f>SUM(compras_mes7[[#This Row],[NETO GRAVADO]:[Otros / No Grav.]])</f>
        <v>12700.002700000001</v>
      </c>
      <c r="Q75" s="443" t="str">
        <f>IFERROR(IF(compras_mes7[[#This Row],[CUIT]]="","-",VLOOKUP(compras_mes7[[#This Row],[CUIT]],Lista_CUIT[#All],3,0)),"CUIT NO CARGADO")</f>
        <v>FLETE</v>
      </c>
      <c r="R75" s="443">
        <f>IFERROR(IF(compras_mes7[[#This Row],[CUIT]]="","-",VLOOKUP(compras_mes7[[#This Row],[CUIT]],Lista_CUIT[#All],4,0)),"CUIT NO CARGADO")</f>
        <v>0</v>
      </c>
    </row>
    <row r="76" spans="2:18" x14ac:dyDescent="0.25">
      <c r="B76" s="394">
        <v>45125</v>
      </c>
      <c r="C76" s="395">
        <v>1</v>
      </c>
      <c r="D76" s="396">
        <v>3</v>
      </c>
      <c r="E76" s="397">
        <v>5871</v>
      </c>
      <c r="F76" s="398">
        <v>33708218699</v>
      </c>
      <c r="G76" s="399" t="str">
        <f>IFERROR(IF(compras_mes7[[#This Row],[CUIT]]="","-",VLOOKUP(compras_mes7[[#This Row],[CUIT]],Lista_CUIT[#All],2,0)),"CUIT NO CARGADO")</f>
        <v>MANGGINI PABLO Y MANGGINI ULISES SOC. DE HECHO.</v>
      </c>
      <c r="H76" s="400">
        <v>3500</v>
      </c>
      <c r="I76" s="401">
        <f>IF(compras_mes7[[#This Row],[NETO GRAVADO]]="","",compras_mes7[[#This Row],[NETO GRAVADO]]*0.21)</f>
        <v>735</v>
      </c>
      <c r="J76" s="441"/>
      <c r="K76" s="441"/>
      <c r="L76" s="441"/>
      <c r="M76" s="441"/>
      <c r="N76" s="441"/>
      <c r="O76" s="441"/>
      <c r="P76" s="442">
        <f>SUM(compras_mes7[[#This Row],[NETO GRAVADO]:[Otros / No Grav.]])</f>
        <v>4235</v>
      </c>
      <c r="Q76" s="443" t="str">
        <f>IFERROR(IF(compras_mes7[[#This Row],[CUIT]]="","-",VLOOKUP(compras_mes7[[#This Row],[CUIT]],Lista_CUIT[#All],3,0)),"CUIT NO CARGADO")</f>
        <v>Gastos Varios</v>
      </c>
      <c r="R76" s="443">
        <f>IFERROR(IF(compras_mes7[[#This Row],[CUIT]]="","-",VLOOKUP(compras_mes7[[#This Row],[CUIT]],Lista_CUIT[#All],4,0)),"CUIT NO CARGADO")</f>
        <v>0</v>
      </c>
    </row>
    <row r="77" spans="2:18" x14ac:dyDescent="0.25">
      <c r="B77" s="394">
        <v>45125</v>
      </c>
      <c r="C77" s="395">
        <v>1</v>
      </c>
      <c r="D77" s="396">
        <v>3648</v>
      </c>
      <c r="E77" s="397">
        <v>513</v>
      </c>
      <c r="F77" s="398">
        <v>30526874249</v>
      </c>
      <c r="G77" s="399" t="str">
        <f>IFERROR(IF(compras_mes7[[#This Row],[CUIT]]="","-",VLOOKUP(compras_mes7[[#This Row],[CUIT]],Lista_CUIT[#All],2,0)),"CUIT NO CARGADO")</f>
        <v>FRAVEGA</v>
      </c>
      <c r="H77" s="400">
        <v>190081.82</v>
      </c>
      <c r="I77" s="401">
        <f>IF(compras_mes7[[#This Row],[NETO GRAVADO]]="","",compras_mes7[[#This Row],[NETO GRAVADO]]*0.21)</f>
        <v>39917.182200000003</v>
      </c>
      <c r="J77" s="441"/>
      <c r="K77" s="441"/>
      <c r="L77" s="441"/>
      <c r="M77" s="441"/>
      <c r="N77" s="441"/>
      <c r="O77" s="441"/>
      <c r="P77" s="442">
        <f>SUM(compras_mes7[[#This Row],[NETO GRAVADO]:[Otros / No Grav.]])</f>
        <v>229999.00220000002</v>
      </c>
      <c r="Q77" s="443" t="str">
        <f>IFERROR(IF(compras_mes7[[#This Row],[CUIT]]="","-",VLOOKUP(compras_mes7[[#This Row],[CUIT]],Lista_CUIT[#All],3,0)),"CUIT NO CARGADO")</f>
        <v>GASTOS ADMINISTRATIVOS</v>
      </c>
      <c r="R77" s="443">
        <f>IFERROR(IF(compras_mes7[[#This Row],[CUIT]]="","-",VLOOKUP(compras_mes7[[#This Row],[CUIT]],Lista_CUIT[#All],4,0)),"CUIT NO CARGADO")</f>
        <v>0</v>
      </c>
    </row>
    <row r="78" spans="2:18" x14ac:dyDescent="0.25">
      <c r="B78" s="219">
        <v>45125</v>
      </c>
      <c r="C78" s="209">
        <v>1</v>
      </c>
      <c r="D78" s="220">
        <v>711</v>
      </c>
      <c r="E78" s="221">
        <v>4538872</v>
      </c>
      <c r="F78" s="222">
        <v>30677237119</v>
      </c>
      <c r="G78" s="223" t="str">
        <f>IFERROR(IF(compras_mes7[[#This Row],[CUIT]]="","-",VLOOKUP(compras_mes7[[#This Row],[CUIT]],Lista_CUIT[#All],2,0)),"CUIT NO CARGADO")</f>
        <v>AUTOPISTAS DEL SOL SA</v>
      </c>
      <c r="H78" s="224">
        <v>537.16999999999996</v>
      </c>
      <c r="I78" s="225">
        <f>IF(compras_mes7[[#This Row],[NETO GRAVADO]]="","",compras_mes7[[#This Row],[NETO GRAVADO]]*0.21)</f>
        <v>112.80569999999999</v>
      </c>
      <c r="J78" s="453"/>
      <c r="K78" s="453"/>
      <c r="L78" s="453"/>
      <c r="M78" s="453"/>
      <c r="N78" s="453"/>
      <c r="O78" s="453">
        <v>18.8</v>
      </c>
      <c r="P78" s="454">
        <f>SUM(compras_mes7[[#This Row],[NETO GRAVADO]:[Otros / No Grav.]])</f>
        <v>668.77569999999992</v>
      </c>
      <c r="Q78" s="455" t="str">
        <f>IFERROR(IF(compras_mes7[[#This Row],[CUIT]]="","-",VLOOKUP(compras_mes7[[#This Row],[CUIT]],Lista_CUIT[#All],3,0)),"CUIT NO CARGADO")</f>
        <v>Autopista</v>
      </c>
      <c r="R78" s="455">
        <f>IFERROR(IF(compras_mes7[[#This Row],[CUIT]]="","-",VLOOKUP(compras_mes7[[#This Row],[CUIT]],Lista_CUIT[#All],4,0)),"CUIT NO CARGADO")</f>
        <v>0</v>
      </c>
    </row>
    <row r="79" spans="2:18" x14ac:dyDescent="0.25">
      <c r="B79" s="219">
        <v>45126</v>
      </c>
      <c r="C79" s="209">
        <v>1</v>
      </c>
      <c r="D79" s="220">
        <v>17</v>
      </c>
      <c r="E79" s="221">
        <v>1161</v>
      </c>
      <c r="F79" s="222">
        <v>30711764921</v>
      </c>
      <c r="G79" s="223" t="str">
        <f>IFERROR(IF(compras_mes7[[#This Row],[CUIT]]="","-",VLOOKUP(compras_mes7[[#This Row],[CUIT]],Lista_CUIT[#All],2,0)),"CUIT NO CARGADO")</f>
        <v>RELIEF CENTER SRL</v>
      </c>
      <c r="H79" s="224">
        <v>39660</v>
      </c>
      <c r="I79" s="225">
        <f>IF(compras_mes7[[#This Row],[NETO GRAVADO]]="","",compras_mes7[[#This Row],[NETO GRAVADO]]*0.21)</f>
        <v>8328.6</v>
      </c>
      <c r="J79" s="453"/>
      <c r="K79" s="453"/>
      <c r="L79" s="453"/>
      <c r="M79" s="453"/>
      <c r="N79" s="453"/>
      <c r="O79" s="453"/>
      <c r="P79" s="454">
        <f>SUM(compras_mes7[[#This Row],[NETO GRAVADO]:[Otros / No Grav.]])</f>
        <v>47988.6</v>
      </c>
      <c r="Q79" s="455" t="str">
        <f>IFERROR(IF(compras_mes7[[#This Row],[CUIT]]="","-",VLOOKUP(compras_mes7[[#This Row],[CUIT]],Lista_CUIT[#All],3,0)),"CUIT NO CARGADO")</f>
        <v>Productos Ortopedicos</v>
      </c>
      <c r="R79" s="455">
        <f>IFERROR(IF(compras_mes7[[#This Row],[CUIT]]="","-",VLOOKUP(compras_mes7[[#This Row],[CUIT]],Lista_CUIT[#All],4,0)),"CUIT NO CARGADO")</f>
        <v>0</v>
      </c>
    </row>
    <row r="80" spans="2:18" x14ac:dyDescent="0.25">
      <c r="B80" s="394">
        <v>45126</v>
      </c>
      <c r="C80" s="395">
        <v>1</v>
      </c>
      <c r="D80" s="396">
        <v>11</v>
      </c>
      <c r="E80" s="397">
        <v>985</v>
      </c>
      <c r="F80" s="398">
        <v>20920321292</v>
      </c>
      <c r="G80" s="399" t="str">
        <f>IFERROR(IF(compras_mes7[[#This Row],[CUIT]]="","-",VLOOKUP(compras_mes7[[#This Row],[CUIT]],Lista_CUIT[#All],2,0)),"CUIT NO CARGADO")</f>
        <v>BELLINI FILIPPINI ALBERTO MARCOS</v>
      </c>
      <c r="H80" s="400">
        <v>77008.350000000006</v>
      </c>
      <c r="I80" s="401">
        <f>IF(compras_mes7[[#This Row],[NETO GRAVADO]]="","",compras_mes7[[#This Row],[NETO GRAVADO]]*0.21)</f>
        <v>16171.753500000001</v>
      </c>
      <c r="J80" s="441"/>
      <c r="K80" s="441"/>
      <c r="L80" s="441"/>
      <c r="M80" s="441"/>
      <c r="N80" s="441"/>
      <c r="O80" s="441"/>
      <c r="P80" s="442">
        <f>SUM(compras_mes7[[#This Row],[NETO GRAVADO]:[Otros / No Grav.]])</f>
        <v>93180.103500000012</v>
      </c>
      <c r="Q80" s="443" t="str">
        <f>IFERROR(IF(compras_mes7[[#This Row],[CUIT]]="","-",VLOOKUP(compras_mes7[[#This Row],[CUIT]],Lista_CUIT[#All],3,0)),"CUIT NO CARGADO")</f>
        <v>Gastos Varios</v>
      </c>
      <c r="R80" s="443">
        <f>IFERROR(IF(compras_mes7[[#This Row],[CUIT]]="","-",VLOOKUP(compras_mes7[[#This Row],[CUIT]],Lista_CUIT[#All],4,0)),"CUIT NO CARGADO")</f>
        <v>0</v>
      </c>
    </row>
    <row r="81" spans="2:18" x14ac:dyDescent="0.25">
      <c r="B81" s="394">
        <v>45126</v>
      </c>
      <c r="C81" s="395">
        <v>1</v>
      </c>
      <c r="D81" s="396">
        <v>2</v>
      </c>
      <c r="E81" s="397">
        <v>8837</v>
      </c>
      <c r="F81" s="398">
        <v>30714331082</v>
      </c>
      <c r="G81" s="399" t="str">
        <f>IFERROR(IF(compras_mes7[[#This Row],[CUIT]]="","-",VLOOKUP(compras_mes7[[#This Row],[CUIT]],Lista_CUIT[#All],2,0)),"CUIT NO CARGADO")</f>
        <v>ORTOPEDIA CASA ESCALADA SRL</v>
      </c>
      <c r="H81" s="400">
        <v>384292.95</v>
      </c>
      <c r="I81" s="401">
        <f>IF(compras_mes7[[#This Row],[NETO GRAVADO]]="","",compras_mes7[[#This Row],[NETO GRAVADO]]*0.21)</f>
        <v>80701.519499999995</v>
      </c>
      <c r="J81" s="441"/>
      <c r="K81" s="441"/>
      <c r="L81" s="441"/>
      <c r="M81" s="441"/>
      <c r="N81" s="441"/>
      <c r="O81" s="441"/>
      <c r="P81" s="442">
        <f>SUM(compras_mes7[[#This Row],[NETO GRAVADO]:[Otros / No Grav.]])</f>
        <v>464994.46950000001</v>
      </c>
      <c r="Q81" s="443" t="str">
        <f>IFERROR(IF(compras_mes7[[#This Row],[CUIT]]="","-",VLOOKUP(compras_mes7[[#This Row],[CUIT]],Lista_CUIT[#All],3,0)),"CUIT NO CARGADO")</f>
        <v>Productos Ortopedicos</v>
      </c>
      <c r="R81" s="443">
        <f>IFERROR(IF(compras_mes7[[#This Row],[CUIT]]="","-",VLOOKUP(compras_mes7[[#This Row],[CUIT]],Lista_CUIT[#All],4,0)),"CUIT NO CARGADO")</f>
        <v>0</v>
      </c>
    </row>
    <row r="82" spans="2:18" x14ac:dyDescent="0.25">
      <c r="B82" s="394">
        <v>45126</v>
      </c>
      <c r="C82" s="395">
        <v>1</v>
      </c>
      <c r="D82" s="396">
        <v>3</v>
      </c>
      <c r="E82" s="397">
        <v>784</v>
      </c>
      <c r="F82" s="398">
        <v>30715869663</v>
      </c>
      <c r="G82" s="399" t="str">
        <f>IFERROR(IF(compras_mes7[[#This Row],[CUIT]]="","-",VLOOKUP(compras_mes7[[#This Row],[CUIT]],Lista_CUIT[#All],2,0)),"CUIT NO CARGADO")</f>
        <v>F&amp;F Color S.R.L.</v>
      </c>
      <c r="H82" s="400">
        <v>24109.01</v>
      </c>
      <c r="I82" s="401">
        <f>IF(compras_mes7[[#This Row],[NETO GRAVADO]]="","",compras_mes7[[#This Row],[NETO GRAVADO]]*0.21)</f>
        <v>5062.8920999999991</v>
      </c>
      <c r="J82" s="441"/>
      <c r="K82" s="441"/>
      <c r="L82" s="441"/>
      <c r="M82" s="441"/>
      <c r="N82" s="441"/>
      <c r="O82" s="441"/>
      <c r="P82" s="442">
        <f>SUM(compras_mes7[[#This Row],[NETO GRAVADO]:[Otros / No Grav.]])</f>
        <v>29171.902099999999</v>
      </c>
      <c r="Q82" s="443" t="str">
        <f>IFERROR(IF(compras_mes7[[#This Row],[CUIT]]="","-",VLOOKUP(compras_mes7[[#This Row],[CUIT]],Lista_CUIT[#All],3,0)),"CUIT NO CARGADO")</f>
        <v>GASTOS ADMINISTRATIVOS</v>
      </c>
      <c r="R82" s="443">
        <f>IFERROR(IF(compras_mes7[[#This Row],[CUIT]]="","-",VLOOKUP(compras_mes7[[#This Row],[CUIT]],Lista_CUIT[#All],4,0)),"CUIT NO CARGADO")</f>
        <v>0</v>
      </c>
    </row>
    <row r="83" spans="2:18" x14ac:dyDescent="0.25">
      <c r="B83" s="219">
        <v>45126</v>
      </c>
      <c r="C83" s="209">
        <v>1</v>
      </c>
      <c r="D83" s="220">
        <v>5011</v>
      </c>
      <c r="E83" s="221">
        <v>501788</v>
      </c>
      <c r="F83" s="222">
        <v>30574876474</v>
      </c>
      <c r="G83" s="223" t="str">
        <f>IFERROR(IF(compras_mes7[[#This Row],[CUIT]]="","-",VLOOKUP(compras_mes7[[#This Row],[CUIT]],Lista_CUIT[#All],2,0)),"CUIT NO CARGADO")</f>
        <v>AUTOP. URBANAS SA</v>
      </c>
      <c r="H83" s="224">
        <v>2992.37</v>
      </c>
      <c r="I83" s="225">
        <f>IF(compras_mes7[[#This Row],[NETO GRAVADO]]="","",compras_mes7[[#This Row],[NETO GRAVADO]]*0.21)</f>
        <v>628.39769999999999</v>
      </c>
      <c r="J83" s="453"/>
      <c r="K83" s="453"/>
      <c r="L83" s="453"/>
      <c r="M83" s="453"/>
      <c r="N83" s="453"/>
      <c r="O83" s="453">
        <f>299.23+89.77</f>
        <v>389</v>
      </c>
      <c r="P83" s="454">
        <f>SUM(compras_mes7[[#This Row],[NETO GRAVADO]:[Otros / No Grav.]])</f>
        <v>4009.7676999999999</v>
      </c>
      <c r="Q83" s="455" t="str">
        <f>IFERROR(IF(compras_mes7[[#This Row],[CUIT]]="","-",VLOOKUP(compras_mes7[[#This Row],[CUIT]],Lista_CUIT[#All],3,0)),"CUIT NO CARGADO")</f>
        <v>PEAJE</v>
      </c>
      <c r="R83" s="455">
        <f>IFERROR(IF(compras_mes7[[#This Row],[CUIT]]="","-",VLOOKUP(compras_mes7[[#This Row],[CUIT]],Lista_CUIT[#All],4,0)),"CUIT NO CARGADO")</f>
        <v>0</v>
      </c>
    </row>
    <row r="84" spans="2:18" x14ac:dyDescent="0.25">
      <c r="B84" s="219">
        <v>45126</v>
      </c>
      <c r="C84" s="209">
        <v>1</v>
      </c>
      <c r="D84" s="220">
        <v>5009</v>
      </c>
      <c r="E84" s="221">
        <v>712830</v>
      </c>
      <c r="F84" s="222">
        <v>30574876474</v>
      </c>
      <c r="G84" s="223" t="str">
        <f>IFERROR(IF(compras_mes7[[#This Row],[CUIT]]="","-",VLOOKUP(compras_mes7[[#This Row],[CUIT]],Lista_CUIT[#All],2,0)),"CUIT NO CARGADO")</f>
        <v>AUTOP. URBANAS SA</v>
      </c>
      <c r="H84" s="224">
        <v>1728.45</v>
      </c>
      <c r="I84" s="225">
        <f>IF(compras_mes7[[#This Row],[NETO GRAVADO]]="","",compras_mes7[[#This Row],[NETO GRAVADO]]*0.21)</f>
        <v>362.97449999999998</v>
      </c>
      <c r="J84" s="453"/>
      <c r="K84" s="453"/>
      <c r="L84" s="453"/>
      <c r="M84" s="453"/>
      <c r="N84" s="453"/>
      <c r="O84" s="453">
        <v>172.84</v>
      </c>
      <c r="P84" s="454">
        <f>SUM(compras_mes7[[#This Row],[NETO GRAVADO]:[Otros / No Grav.]])</f>
        <v>2264.2645000000002</v>
      </c>
      <c r="Q84" s="455" t="str">
        <f>IFERROR(IF(compras_mes7[[#This Row],[CUIT]]="","-",VLOOKUP(compras_mes7[[#This Row],[CUIT]],Lista_CUIT[#All],3,0)),"CUIT NO CARGADO")</f>
        <v>PEAJE</v>
      </c>
      <c r="R84" s="455">
        <f>IFERROR(IF(compras_mes7[[#This Row],[CUIT]]="","-",VLOOKUP(compras_mes7[[#This Row],[CUIT]],Lista_CUIT[#All],4,0)),"CUIT NO CARGADO")</f>
        <v>0</v>
      </c>
    </row>
    <row r="85" spans="2:18" x14ac:dyDescent="0.25">
      <c r="B85" s="394">
        <v>45126</v>
      </c>
      <c r="C85" s="395">
        <v>1</v>
      </c>
      <c r="D85" s="396">
        <v>4</v>
      </c>
      <c r="E85" s="397">
        <v>65240</v>
      </c>
      <c r="F85" s="398">
        <v>33709738459</v>
      </c>
      <c r="G85" s="399" t="str">
        <f>IFERROR(IF(compras_mes7[[#This Row],[CUIT]]="","-",VLOOKUP(compras_mes7[[#This Row],[CUIT]],Lista_CUIT[#All],2,0)),"CUIT NO CARGADO")</f>
        <v>ORTOPEDICOS ALFOLATEX S.A</v>
      </c>
      <c r="H85" s="400">
        <v>170802.85</v>
      </c>
      <c r="I85" s="401">
        <f>IF(compras_mes7[[#This Row],[NETO GRAVADO]]="","",compras_mes7[[#This Row],[NETO GRAVADO]]*0.21)</f>
        <v>35868.5985</v>
      </c>
      <c r="J85" s="441"/>
      <c r="K85" s="441"/>
      <c r="L85" s="441"/>
      <c r="M85" s="441"/>
      <c r="N85" s="441"/>
      <c r="O85" s="441"/>
      <c r="P85" s="442">
        <f>SUM(compras_mes7[[#This Row],[NETO GRAVADO]:[Otros / No Grav.]])</f>
        <v>206671.4485</v>
      </c>
      <c r="Q85" s="443" t="str">
        <f>IFERROR(IF(compras_mes7[[#This Row],[CUIT]]="","-",VLOOKUP(compras_mes7[[#This Row],[CUIT]],Lista_CUIT[#All],3,0)),"CUIT NO CARGADO")</f>
        <v>Productos Ortopedicos</v>
      </c>
      <c r="R85" s="443">
        <f>IFERROR(IF(compras_mes7[[#This Row],[CUIT]]="","-",VLOOKUP(compras_mes7[[#This Row],[CUIT]],Lista_CUIT[#All],4,0)),"CUIT NO CARGADO")</f>
        <v>0</v>
      </c>
    </row>
    <row r="86" spans="2:18" x14ac:dyDescent="0.25">
      <c r="B86" s="394">
        <v>45126</v>
      </c>
      <c r="C86" s="395">
        <v>1</v>
      </c>
      <c r="D86" s="396">
        <v>4</v>
      </c>
      <c r="E86" s="397">
        <v>1241</v>
      </c>
      <c r="F86" s="398">
        <v>20224819049</v>
      </c>
      <c r="G86" s="399" t="str">
        <f>IFERROR(IF(compras_mes7[[#This Row],[CUIT]]="","-",VLOOKUP(compras_mes7[[#This Row],[CUIT]],Lista_CUIT[#All],2,0)),"CUIT NO CARGADO")</f>
        <v>AFONSO BOAVENTURA RUBEN</v>
      </c>
      <c r="H86" s="400">
        <v>29008.26</v>
      </c>
      <c r="I86" s="401">
        <f>IF(compras_mes7[[#This Row],[NETO GRAVADO]]="","",compras_mes7[[#This Row],[NETO GRAVADO]]*0.21)</f>
        <v>6091.7345999999998</v>
      </c>
      <c r="J86" s="441"/>
      <c r="K86" s="441"/>
      <c r="L86" s="441"/>
      <c r="M86" s="441"/>
      <c r="N86" s="441"/>
      <c r="O86" s="441"/>
      <c r="P86" s="442">
        <f>SUM(compras_mes7[[#This Row],[NETO GRAVADO]:[Otros / No Grav.]])</f>
        <v>35099.994599999998</v>
      </c>
      <c r="Q86" s="443" t="str">
        <f>IFERROR(IF(compras_mes7[[#This Row],[CUIT]]="","-",VLOOKUP(compras_mes7[[#This Row],[CUIT]],Lista_CUIT[#All],3,0)),"CUIT NO CARGADO")</f>
        <v>GASTOS MANTENIMIENTO</v>
      </c>
      <c r="R86" s="443">
        <f>IFERROR(IF(compras_mes7[[#This Row],[CUIT]]="","-",VLOOKUP(compras_mes7[[#This Row],[CUIT]],Lista_CUIT[#All],4,0)),"CUIT NO CARGADO")</f>
        <v>0</v>
      </c>
    </row>
    <row r="87" spans="2:18" x14ac:dyDescent="0.25">
      <c r="B87" s="394">
        <v>45126</v>
      </c>
      <c r="C87" s="395">
        <v>3</v>
      </c>
      <c r="D87" s="396">
        <v>7</v>
      </c>
      <c r="E87" s="397">
        <v>925</v>
      </c>
      <c r="F87" s="398">
        <v>20271532483</v>
      </c>
      <c r="G87" s="399" t="str">
        <f>IFERROR(IF(compras_mes7[[#This Row],[CUIT]]="","-",VLOOKUP(compras_mes7[[#This Row],[CUIT]],Lista_CUIT[#All],2,0)),"CUIT NO CARGADO")</f>
        <v>DIEGO MARTIN RIOS</v>
      </c>
      <c r="H87" s="400">
        <v>-764001.73</v>
      </c>
      <c r="I87" s="401">
        <f>IF(compras_mes7[[#This Row],[NETO GRAVADO]]="","",compras_mes7[[#This Row],[NETO GRAVADO]]*0.21)</f>
        <v>-160440.3633</v>
      </c>
      <c r="J87" s="441"/>
      <c r="K87" s="441"/>
      <c r="L87" s="441"/>
      <c r="M87" s="441"/>
      <c r="N87" s="441">
        <v>-26740.06</v>
      </c>
      <c r="O87" s="441"/>
      <c r="P87" s="442">
        <f>SUM(compras_mes7[[#This Row],[NETO GRAVADO]:[Otros / No Grav.]])</f>
        <v>-951182.15330000001</v>
      </c>
      <c r="Q87" s="443" t="str">
        <f>IFERROR(IF(compras_mes7[[#This Row],[CUIT]]="","-",VLOOKUP(compras_mes7[[#This Row],[CUIT]],Lista_CUIT[#All],3,0)),"CUIT NO CARGADO")</f>
        <v>Productos Ortopedicos</v>
      </c>
      <c r="R87" s="443">
        <f>IFERROR(IF(compras_mes7[[#This Row],[CUIT]]="","-",VLOOKUP(compras_mes7[[#This Row],[CUIT]],Lista_CUIT[#All],4,0)),"CUIT NO CARGADO")</f>
        <v>0</v>
      </c>
    </row>
    <row r="88" spans="2:18" x14ac:dyDescent="0.25">
      <c r="B88" s="394">
        <v>45127</v>
      </c>
      <c r="C88" s="395">
        <v>1</v>
      </c>
      <c r="D88" s="396">
        <v>3</v>
      </c>
      <c r="E88" s="397">
        <v>7927</v>
      </c>
      <c r="F88" s="398">
        <v>20045615473</v>
      </c>
      <c r="G88" s="399" t="str">
        <f>IFERROR(IF(compras_mes7[[#This Row],[CUIT]]="","-",VLOOKUP(compras_mes7[[#This Row],[CUIT]],Lista_CUIT[#All],2,0)),"CUIT NO CARGADO")</f>
        <v xml:space="preserve">DI FEO HUGO PASCUAL </v>
      </c>
      <c r="H88" s="400">
        <v>34710</v>
      </c>
      <c r="I88" s="401">
        <f>IF(compras_mes7[[#This Row],[NETO GRAVADO]]="","",compras_mes7[[#This Row],[NETO GRAVADO]]*0.21)</f>
        <v>7289.0999999999995</v>
      </c>
      <c r="J88" s="441"/>
      <c r="K88" s="441"/>
      <c r="L88" s="441"/>
      <c r="M88" s="441"/>
      <c r="N88" s="441"/>
      <c r="O88" s="441"/>
      <c r="P88" s="442">
        <f>SUM(compras_mes7[[#This Row],[NETO GRAVADO]:[Otros / No Grav.]])</f>
        <v>41999.1</v>
      </c>
      <c r="Q88" s="443" t="str">
        <f>IFERROR(IF(compras_mes7[[#This Row],[CUIT]]="","-",VLOOKUP(compras_mes7[[#This Row],[CUIT]],Lista_CUIT[#All],3,0)),"CUIT NO CARGADO")</f>
        <v>Productos Ortopedicos</v>
      </c>
      <c r="R88" s="443">
        <f>IFERROR(IF(compras_mes7[[#This Row],[CUIT]]="","-",VLOOKUP(compras_mes7[[#This Row],[CUIT]],Lista_CUIT[#All],4,0)),"CUIT NO CARGADO")</f>
        <v>0</v>
      </c>
    </row>
    <row r="89" spans="2:18" x14ac:dyDescent="0.25">
      <c r="B89" s="219">
        <v>45127</v>
      </c>
      <c r="C89" s="209">
        <v>1</v>
      </c>
      <c r="D89" s="220">
        <v>7</v>
      </c>
      <c r="E89" s="221">
        <v>2010</v>
      </c>
      <c r="F89" s="222">
        <v>20284183534</v>
      </c>
      <c r="G89" s="223" t="str">
        <f>IFERROR(IF(compras_mes7[[#This Row],[CUIT]]="","-",VLOOKUP(compras_mes7[[#This Row],[CUIT]],Lista_CUIT[#All],2,0)),"CUIT NO CARGADO")</f>
        <v>FURLANETTO MARTIN</v>
      </c>
      <c r="H89" s="224">
        <v>2479.34</v>
      </c>
      <c r="I89" s="225">
        <f>IF(compras_mes7[[#This Row],[NETO GRAVADO]]="","",compras_mes7[[#This Row],[NETO GRAVADO]]*0.21)</f>
        <v>520.66139999999996</v>
      </c>
      <c r="J89" s="453"/>
      <c r="K89" s="453"/>
      <c r="L89" s="453"/>
      <c r="M89" s="453"/>
      <c r="N89" s="453"/>
      <c r="O89" s="453"/>
      <c r="P89" s="454">
        <f>SUM(compras_mes7[[#This Row],[NETO GRAVADO]:[Otros / No Grav.]])</f>
        <v>3000.0014000000001</v>
      </c>
      <c r="Q89" s="455" t="str">
        <f>IFERROR(IF(compras_mes7[[#This Row],[CUIT]]="","-",VLOOKUP(compras_mes7[[#This Row],[CUIT]],Lista_CUIT[#All],3,0)),"CUIT NO CARGADO")</f>
        <v>PAPELERIA</v>
      </c>
      <c r="R89" s="455">
        <f>IFERROR(IF(compras_mes7[[#This Row],[CUIT]]="","-",VLOOKUP(compras_mes7[[#This Row],[CUIT]],Lista_CUIT[#All],4,0)),"CUIT NO CARGADO")</f>
        <v>0</v>
      </c>
    </row>
    <row r="90" spans="2:18" x14ac:dyDescent="0.25">
      <c r="B90" s="394">
        <v>45127</v>
      </c>
      <c r="C90" s="395">
        <v>1</v>
      </c>
      <c r="D90" s="396">
        <v>4</v>
      </c>
      <c r="E90" s="397">
        <v>411</v>
      </c>
      <c r="F90" s="398">
        <v>20379223185</v>
      </c>
      <c r="G90" s="399" t="str">
        <f>IFERROR(IF(compras_mes7[[#This Row],[CUIT]]="","-",VLOOKUP(compras_mes7[[#This Row],[CUIT]],Lista_CUIT[#All],2,0)),"CUIT NO CARGADO")</f>
        <v>AYALA MAURICIO JUAN JOSE</v>
      </c>
      <c r="H90" s="400">
        <v>74720</v>
      </c>
      <c r="I90" s="401">
        <f>IF(compras_mes7[[#This Row],[NETO GRAVADO]]="","",compras_mes7[[#This Row],[NETO GRAVADO]]*0.21)</f>
        <v>15691.199999999999</v>
      </c>
      <c r="J90" s="441"/>
      <c r="K90" s="441"/>
      <c r="L90" s="441"/>
      <c r="M90" s="441"/>
      <c r="N90" s="441"/>
      <c r="O90" s="441"/>
      <c r="P90" s="442">
        <f>SUM(compras_mes7[[#This Row],[NETO GRAVADO]:[Otros / No Grav.]])</f>
        <v>90411.199999999997</v>
      </c>
      <c r="Q90" s="443" t="str">
        <f>IFERROR(IF(compras_mes7[[#This Row],[CUIT]]="","-",VLOOKUP(compras_mes7[[#This Row],[CUIT]],Lista_CUIT[#All],3,0)),"CUIT NO CARGADO")</f>
        <v>SERVICIOS</v>
      </c>
      <c r="R90" s="443">
        <f>IFERROR(IF(compras_mes7[[#This Row],[CUIT]]="","-",VLOOKUP(compras_mes7[[#This Row],[CUIT]],Lista_CUIT[#All],4,0)),"CUIT NO CARGADO")</f>
        <v>0</v>
      </c>
    </row>
    <row r="91" spans="2:18" x14ac:dyDescent="0.25">
      <c r="B91" s="219">
        <v>45127</v>
      </c>
      <c r="C91" s="209">
        <v>3</v>
      </c>
      <c r="D91" s="220">
        <v>4</v>
      </c>
      <c r="E91" s="221">
        <v>24</v>
      </c>
      <c r="F91" s="222">
        <v>20379223185</v>
      </c>
      <c r="G91" s="223" t="str">
        <f>IFERROR(IF(compras_mes7[[#This Row],[CUIT]]="","-",VLOOKUP(compras_mes7[[#This Row],[CUIT]],Lista_CUIT[#All],2,0)),"CUIT NO CARGADO")</f>
        <v>AYALA MAURICIO JUAN JOSE</v>
      </c>
      <c r="H91" s="224">
        <v>-17890</v>
      </c>
      <c r="I91" s="225">
        <f>IF(compras_mes7[[#This Row],[NETO GRAVADO]]="","",compras_mes7[[#This Row],[NETO GRAVADO]]*0.21)</f>
        <v>-3756.8999999999996</v>
      </c>
      <c r="J91" s="219"/>
      <c r="K91" s="453"/>
      <c r="L91" s="453"/>
      <c r="M91" s="453"/>
      <c r="N91" s="453"/>
      <c r="O91" s="453"/>
      <c r="P91" s="454">
        <f>SUM(compras_mes7[[#This Row],[NETO GRAVADO]:[Otros / No Grav.]])</f>
        <v>-21646.9</v>
      </c>
      <c r="Q91" s="455" t="str">
        <f>IFERROR(IF(compras_mes7[[#This Row],[CUIT]]="","-",VLOOKUP(compras_mes7[[#This Row],[CUIT]],Lista_CUIT[#All],3,0)),"CUIT NO CARGADO")</f>
        <v>SERVICIOS</v>
      </c>
      <c r="R91" s="455">
        <f>IFERROR(IF(compras_mes7[[#This Row],[CUIT]]="","-",VLOOKUP(compras_mes7[[#This Row],[CUIT]],Lista_CUIT[#All],4,0)),"CUIT NO CARGADO")</f>
        <v>0</v>
      </c>
    </row>
    <row r="92" spans="2:18" x14ac:dyDescent="0.25">
      <c r="B92" s="394">
        <v>45128</v>
      </c>
      <c r="C92" s="395">
        <v>1</v>
      </c>
      <c r="D92" s="396">
        <v>1001</v>
      </c>
      <c r="E92" s="397">
        <v>15234</v>
      </c>
      <c r="F92" s="398">
        <v>30715393251</v>
      </c>
      <c r="G92" s="399" t="str">
        <f>IFERROR(IF(compras_mes7[[#This Row],[CUIT]]="","-",VLOOKUP(compras_mes7[[#This Row],[CUIT]],Lista_CUIT[#All],2,0)),"CUIT NO CARGADO")</f>
        <v>OMNICHANNEL S.A.</v>
      </c>
      <c r="H92" s="400">
        <v>8284.2999999999993</v>
      </c>
      <c r="I92" s="401">
        <f>IF(compras_mes7[[#This Row],[NETO GRAVADO]]="","",compras_mes7[[#This Row],[NETO GRAVADO]]*0.21)</f>
        <v>1739.7029999999997</v>
      </c>
      <c r="J92" s="441"/>
      <c r="K92" s="441"/>
      <c r="L92" s="441"/>
      <c r="M92" s="441"/>
      <c r="N92" s="441"/>
      <c r="O92" s="441"/>
      <c r="P92" s="442">
        <f>SUM(compras_mes7[[#This Row],[NETO GRAVADO]:[Otros / No Grav.]])</f>
        <v>10024.002999999999</v>
      </c>
      <c r="Q92" s="443" t="str">
        <f>IFERROR(IF(compras_mes7[[#This Row],[CUIT]]="","-",VLOOKUP(compras_mes7[[#This Row],[CUIT]],Lista_CUIT[#All],3,0)),"CUIT NO CARGADO")</f>
        <v>PAPELERIA</v>
      </c>
      <c r="R92" s="443">
        <f>IFERROR(IF(compras_mes7[[#This Row],[CUIT]]="","-",VLOOKUP(compras_mes7[[#This Row],[CUIT]],Lista_CUIT[#All],4,0)),"CUIT NO CARGADO")</f>
        <v>0</v>
      </c>
    </row>
    <row r="93" spans="2:18" x14ac:dyDescent="0.25">
      <c r="B93" s="219">
        <v>45128</v>
      </c>
      <c r="C93" s="209">
        <v>1</v>
      </c>
      <c r="D93" s="220">
        <v>700</v>
      </c>
      <c r="E93" s="221">
        <v>1037006</v>
      </c>
      <c r="F93" s="222">
        <v>30715804812</v>
      </c>
      <c r="G93" s="223" t="str">
        <f>IFERROR(IF(compras_mes7[[#This Row],[CUIT]]="","-",VLOOKUP(compras_mes7[[#This Row],[CUIT]],Lista_CUIT[#All],2,0)),"CUIT NO CARGADO")</f>
        <v>CORREDORES VIALES SOCIEDAD ANONIMA</v>
      </c>
      <c r="H93" s="224">
        <v>2438.02</v>
      </c>
      <c r="I93" s="225">
        <f>IF(compras_mes7[[#This Row],[NETO GRAVADO]]="","",compras_mes7[[#This Row],[NETO GRAVADO]]*0.21)</f>
        <v>511.98419999999999</v>
      </c>
      <c r="J93" s="453"/>
      <c r="K93" s="453"/>
      <c r="L93" s="453"/>
      <c r="M93" s="453"/>
      <c r="N93" s="453"/>
      <c r="O93" s="453"/>
      <c r="P93" s="454">
        <f>SUM(compras_mes7[[#This Row],[NETO GRAVADO]:[Otros / No Grav.]])</f>
        <v>2950.0041999999999</v>
      </c>
      <c r="Q93" s="455" t="str">
        <f>IFERROR(IF(compras_mes7[[#This Row],[CUIT]]="","-",VLOOKUP(compras_mes7[[#This Row],[CUIT]],Lista_CUIT[#All],3,0)),"CUIT NO CARGADO")</f>
        <v>Autopista</v>
      </c>
      <c r="R93" s="455">
        <f>IFERROR(IF(compras_mes7[[#This Row],[CUIT]]="","-",VLOOKUP(compras_mes7[[#This Row],[CUIT]],Lista_CUIT[#All],4,0)),"CUIT NO CARGADO")</f>
        <v>0</v>
      </c>
    </row>
    <row r="94" spans="2:18" x14ac:dyDescent="0.25">
      <c r="B94" s="219">
        <v>45128</v>
      </c>
      <c r="C94" s="209">
        <v>1</v>
      </c>
      <c r="D94" s="220">
        <v>700</v>
      </c>
      <c r="E94" s="221">
        <v>1037007</v>
      </c>
      <c r="F94" s="222">
        <v>30715804812</v>
      </c>
      <c r="G94" s="223" t="str">
        <f>IFERROR(IF(compras_mes7[[#This Row],[CUIT]]="","-",VLOOKUP(compras_mes7[[#This Row],[CUIT]],Lista_CUIT[#All],2,0)),"CUIT NO CARGADO")</f>
        <v>CORREDORES VIALES SOCIEDAD ANONIMA</v>
      </c>
      <c r="H94" s="224">
        <v>1033.06</v>
      </c>
      <c r="I94" s="225">
        <f>IF(compras_mes7[[#This Row],[NETO GRAVADO]]="","",compras_mes7[[#This Row],[NETO GRAVADO]]*0.21)</f>
        <v>216.94259999999997</v>
      </c>
      <c r="J94" s="453"/>
      <c r="K94" s="453"/>
      <c r="L94" s="453"/>
      <c r="M94" s="453"/>
      <c r="N94" s="453"/>
      <c r="O94" s="453"/>
      <c r="P94" s="454">
        <f>SUM(compras_mes7[[#This Row],[NETO GRAVADO]:[Otros / No Grav.]])</f>
        <v>1250.0025999999998</v>
      </c>
      <c r="Q94" s="455" t="str">
        <f>IFERROR(IF(compras_mes7[[#This Row],[CUIT]]="","-",VLOOKUP(compras_mes7[[#This Row],[CUIT]],Lista_CUIT[#All],3,0)),"CUIT NO CARGADO")</f>
        <v>Autopista</v>
      </c>
      <c r="R94" s="455">
        <f>IFERROR(IF(compras_mes7[[#This Row],[CUIT]]="","-",VLOOKUP(compras_mes7[[#This Row],[CUIT]],Lista_CUIT[#All],4,0)),"CUIT NO CARGADO")</f>
        <v>0</v>
      </c>
    </row>
    <row r="95" spans="2:18" x14ac:dyDescent="0.25">
      <c r="B95" s="394">
        <v>45128</v>
      </c>
      <c r="C95" s="395">
        <v>1</v>
      </c>
      <c r="D95" s="396">
        <v>5</v>
      </c>
      <c r="E95" s="397">
        <v>145889</v>
      </c>
      <c r="F95" s="398">
        <v>30598960093</v>
      </c>
      <c r="G95" s="399" t="str">
        <f>IFERROR(IF(compras_mes7[[#This Row],[CUIT]]="","-",VLOOKUP(compras_mes7[[#This Row],[CUIT]],Lista_CUIT[#All],2,0)),"CUIT NO CARGADO")</f>
        <v>SILVESTRIN FABRIS SRL</v>
      </c>
      <c r="H95" s="400">
        <v>153941.79999999999</v>
      </c>
      <c r="I95" s="401">
        <f>IF(compras_mes7[[#This Row],[NETO GRAVADO]]="","",compras_mes7[[#This Row],[NETO GRAVADO]]*0.21)</f>
        <v>32327.777999999995</v>
      </c>
      <c r="J95" s="441"/>
      <c r="K95" s="441"/>
      <c r="L95" s="441"/>
      <c r="M95" s="441"/>
      <c r="N95" s="441">
        <v>5387.96</v>
      </c>
      <c r="O95" s="441"/>
      <c r="P95" s="442">
        <f>SUM(compras_mes7[[#This Row],[NETO GRAVADO]:[Otros / No Grav.]])</f>
        <v>191657.53799999997</v>
      </c>
      <c r="Q95" s="443" t="str">
        <f>IFERROR(IF(compras_mes7[[#This Row],[CUIT]]="","-",VLOOKUP(compras_mes7[[#This Row],[CUIT]],Lista_CUIT[#All],3,0)),"CUIT NO CARGADO")</f>
        <v>Productos Ortopedicos</v>
      </c>
      <c r="R95" s="443">
        <f>IFERROR(IF(compras_mes7[[#This Row],[CUIT]]="","-",VLOOKUP(compras_mes7[[#This Row],[CUIT]],Lista_CUIT[#All],4,0)),"CUIT NO CARGADO")</f>
        <v>0</v>
      </c>
    </row>
    <row r="96" spans="2:18" x14ac:dyDescent="0.25">
      <c r="B96" s="219">
        <v>45128</v>
      </c>
      <c r="C96" s="209">
        <v>1</v>
      </c>
      <c r="D96" s="220">
        <v>7</v>
      </c>
      <c r="E96" s="221">
        <v>2019</v>
      </c>
      <c r="F96" s="222">
        <v>20284183534</v>
      </c>
      <c r="G96" s="223" t="str">
        <f>IFERROR(IF(compras_mes7[[#This Row],[CUIT]]="","-",VLOOKUP(compras_mes7[[#This Row],[CUIT]],Lista_CUIT[#All],2,0)),"CUIT NO CARGADO")</f>
        <v>FURLANETTO MARTIN</v>
      </c>
      <c r="H96" s="224">
        <v>1818.18</v>
      </c>
      <c r="I96" s="225">
        <f>IF(compras_mes7[[#This Row],[NETO GRAVADO]]="","",compras_mes7[[#This Row],[NETO GRAVADO]]*0.21)</f>
        <v>381.81779999999998</v>
      </c>
      <c r="J96" s="453"/>
      <c r="K96" s="453"/>
      <c r="L96" s="453"/>
      <c r="M96" s="453"/>
      <c r="N96" s="453"/>
      <c r="O96" s="453"/>
      <c r="P96" s="454">
        <f>SUM(compras_mes7[[#This Row],[NETO GRAVADO]:[Otros / No Grav.]])</f>
        <v>2199.9978000000001</v>
      </c>
      <c r="Q96" s="455" t="str">
        <f>IFERROR(IF(compras_mes7[[#This Row],[CUIT]]="","-",VLOOKUP(compras_mes7[[#This Row],[CUIT]],Lista_CUIT[#All],3,0)),"CUIT NO CARGADO")</f>
        <v>PAPELERIA</v>
      </c>
      <c r="R96" s="455">
        <f>IFERROR(IF(compras_mes7[[#This Row],[CUIT]]="","-",VLOOKUP(compras_mes7[[#This Row],[CUIT]],Lista_CUIT[#All],4,0)),"CUIT NO CARGADO")</f>
        <v>0</v>
      </c>
    </row>
    <row r="97" spans="2:18" x14ac:dyDescent="0.25">
      <c r="B97" s="219">
        <v>45128</v>
      </c>
      <c r="C97" s="209">
        <v>1</v>
      </c>
      <c r="D97" s="220">
        <v>7</v>
      </c>
      <c r="E97" s="221">
        <v>2020</v>
      </c>
      <c r="F97" s="222">
        <v>20284183534</v>
      </c>
      <c r="G97" s="223" t="str">
        <f>IFERROR(IF(compras_mes7[[#This Row],[CUIT]]="","-",VLOOKUP(compras_mes7[[#This Row],[CUIT]],Lista_CUIT[#All],2,0)),"CUIT NO CARGADO")</f>
        <v>FURLANETTO MARTIN</v>
      </c>
      <c r="H97" s="224">
        <v>851.25</v>
      </c>
      <c r="I97" s="225">
        <f>IF(compras_mes7[[#This Row],[NETO GRAVADO]]="","",compras_mes7[[#This Row],[NETO GRAVADO]]*0.21)</f>
        <v>178.76249999999999</v>
      </c>
      <c r="J97" s="453"/>
      <c r="K97" s="453"/>
      <c r="L97" s="453"/>
      <c r="M97" s="453"/>
      <c r="N97" s="453"/>
      <c r="O97" s="453"/>
      <c r="P97" s="454">
        <f>SUM(compras_mes7[[#This Row],[NETO GRAVADO]:[Otros / No Grav.]])</f>
        <v>1030.0125</v>
      </c>
      <c r="Q97" s="455" t="str">
        <f>IFERROR(IF(compras_mes7[[#This Row],[CUIT]]="","-",VLOOKUP(compras_mes7[[#This Row],[CUIT]],Lista_CUIT[#All],3,0)),"CUIT NO CARGADO")</f>
        <v>PAPELERIA</v>
      </c>
      <c r="R97" s="455">
        <f>IFERROR(IF(compras_mes7[[#This Row],[CUIT]]="","-",VLOOKUP(compras_mes7[[#This Row],[CUIT]],Lista_CUIT[#All],4,0)),"CUIT NO CARGADO")</f>
        <v>0</v>
      </c>
    </row>
    <row r="98" spans="2:18" x14ac:dyDescent="0.25">
      <c r="B98" s="219">
        <v>45128</v>
      </c>
      <c r="C98" s="209">
        <v>1</v>
      </c>
      <c r="D98" s="220">
        <v>7</v>
      </c>
      <c r="E98" s="221">
        <v>2017</v>
      </c>
      <c r="F98" s="222">
        <v>20284183534</v>
      </c>
      <c r="G98" s="223" t="str">
        <f>IFERROR(IF(compras_mes7[[#This Row],[CUIT]]="","-",VLOOKUP(compras_mes7[[#This Row],[CUIT]],Lista_CUIT[#All],2,0)),"CUIT NO CARGADO")</f>
        <v>FURLANETTO MARTIN</v>
      </c>
      <c r="H98" s="224">
        <v>404.96</v>
      </c>
      <c r="I98" s="225">
        <f>IF(compras_mes7[[#This Row],[NETO GRAVADO]]="","",compras_mes7[[#This Row],[NETO GRAVADO]]*0.21)</f>
        <v>85.041599999999988</v>
      </c>
      <c r="J98" s="453"/>
      <c r="K98" s="453"/>
      <c r="L98" s="453"/>
      <c r="M98" s="453"/>
      <c r="N98" s="453"/>
      <c r="O98" s="453"/>
      <c r="P98" s="454">
        <f>SUM(compras_mes7[[#This Row],[NETO GRAVADO]:[Otros / No Grav.]])</f>
        <v>490.00159999999994</v>
      </c>
      <c r="Q98" s="455" t="str">
        <f>IFERROR(IF(compras_mes7[[#This Row],[CUIT]]="","-",VLOOKUP(compras_mes7[[#This Row],[CUIT]],Lista_CUIT[#All],3,0)),"CUIT NO CARGADO")</f>
        <v>PAPELERIA</v>
      </c>
      <c r="R98" s="455">
        <f>IFERROR(IF(compras_mes7[[#This Row],[CUIT]]="","-",VLOOKUP(compras_mes7[[#This Row],[CUIT]],Lista_CUIT[#All],4,0)),"CUIT NO CARGADO")</f>
        <v>0</v>
      </c>
    </row>
    <row r="99" spans="2:18" x14ac:dyDescent="0.25">
      <c r="B99" s="394">
        <v>45128</v>
      </c>
      <c r="C99" s="395">
        <v>1</v>
      </c>
      <c r="D99" s="396">
        <v>5</v>
      </c>
      <c r="E99" s="397">
        <v>2821947</v>
      </c>
      <c r="F99" s="398">
        <v>30702652975</v>
      </c>
      <c r="G99" s="399" t="str">
        <f>IFERROR(IF(compras_mes7[[#This Row],[CUIT]]="","-",VLOOKUP(compras_mes7[[#This Row],[CUIT]],Lista_CUIT[#All],2,0)),"CUIT NO CARGADO")</f>
        <v>NSS SA</v>
      </c>
      <c r="H99" s="400">
        <v>8185.37</v>
      </c>
      <c r="I99" s="401">
        <f>IF(compras_mes7[[#This Row],[NETO GRAVADO]]="","",compras_mes7[[#This Row],[NETO GRAVADO]]*0.21)</f>
        <v>1718.9277</v>
      </c>
      <c r="J99" s="441"/>
      <c r="K99" s="441"/>
      <c r="L99" s="441"/>
      <c r="M99" s="441"/>
      <c r="N99" s="441">
        <v>286.49</v>
      </c>
      <c r="O99" s="441"/>
      <c r="P99" s="442">
        <f>SUM(compras_mes7[[#This Row],[NETO GRAVADO]:[Otros / No Grav.]])</f>
        <v>10190.787699999999</v>
      </c>
      <c r="Q99" s="443" t="str">
        <f>IFERROR(IF(compras_mes7[[#This Row],[CUIT]]="","-",VLOOKUP(compras_mes7[[#This Row],[CUIT]],Lista_CUIT[#All],3,0)),"CUIT NO CARGADO")</f>
        <v>TELEFONIA</v>
      </c>
      <c r="R99" s="443">
        <f>IFERROR(IF(compras_mes7[[#This Row],[CUIT]]="","-",VLOOKUP(compras_mes7[[#This Row],[CUIT]],Lista_CUIT[#All],4,0)),"CUIT NO CARGADO")</f>
        <v>0</v>
      </c>
    </row>
    <row r="100" spans="2:18" x14ac:dyDescent="0.25">
      <c r="B100" s="394">
        <v>45128</v>
      </c>
      <c r="C100" s="395">
        <v>1</v>
      </c>
      <c r="D100" s="396">
        <v>34</v>
      </c>
      <c r="E100" s="397">
        <v>46</v>
      </c>
      <c r="F100" s="398">
        <v>33712276539</v>
      </c>
      <c r="G100" s="399" t="str">
        <f>IFERROR(IF(compras_mes7[[#This Row],[CUIT]]="","-",VLOOKUP(compras_mes7[[#This Row],[CUIT]],Lista_CUIT[#All],2,0)),"CUIT NO CARGADO")</f>
        <v>CASTAÑO AUTOVOX SRL</v>
      </c>
      <c r="H100" s="400">
        <v>7836.04</v>
      </c>
      <c r="I100" s="401">
        <f>IF(compras_mes7[[#This Row],[NETO GRAVADO]]="","",compras_mes7[[#This Row],[NETO GRAVADO]]*0.21)</f>
        <v>1645.5683999999999</v>
      </c>
      <c r="J100" s="441"/>
      <c r="K100" s="441"/>
      <c r="L100" s="441"/>
      <c r="M100" s="441"/>
      <c r="N100" s="441">
        <v>274.26</v>
      </c>
      <c r="O100" s="441">
        <v>518.29</v>
      </c>
      <c r="P100" s="442">
        <f>SUM(compras_mes7[[#This Row],[NETO GRAVADO]:[Otros / No Grav.]])</f>
        <v>10274.1584</v>
      </c>
      <c r="Q100" s="443" t="str">
        <f>IFERROR(IF(compras_mes7[[#This Row],[CUIT]]="","-",VLOOKUP(compras_mes7[[#This Row],[CUIT]],Lista_CUIT[#All],3,0)),"CUIT NO CARGADO")</f>
        <v>COMBUSTIBLE</v>
      </c>
      <c r="R100" s="443">
        <f>IFERROR(IF(compras_mes7[[#This Row],[CUIT]]="","-",VLOOKUP(compras_mes7[[#This Row],[CUIT]],Lista_CUIT[#All],4,0)),"CUIT NO CARGADO")</f>
        <v>0</v>
      </c>
    </row>
    <row r="101" spans="2:18" x14ac:dyDescent="0.25">
      <c r="B101" s="394">
        <v>45128</v>
      </c>
      <c r="C101" s="395">
        <v>1</v>
      </c>
      <c r="D101" s="396">
        <v>18</v>
      </c>
      <c r="E101" s="397">
        <v>1090</v>
      </c>
      <c r="F101" s="398">
        <v>30711727236</v>
      </c>
      <c r="G101" s="399" t="str">
        <f>IFERROR(IF(compras_mes7[[#This Row],[CUIT]]="","-",VLOOKUP(compras_mes7[[#This Row],[CUIT]],Lista_CUIT[#All],2,0)),"CUIT NO CARGADO")</f>
        <v>DULCE ESTILO S.A.</v>
      </c>
      <c r="H101" s="400">
        <v>22092.27</v>
      </c>
      <c r="I101" s="401">
        <f>IF(compras_mes7[[#This Row],[NETO GRAVADO]]="","",compras_mes7[[#This Row],[NETO GRAVADO]]*0.21)</f>
        <v>4639.3766999999998</v>
      </c>
      <c r="J101" s="441"/>
      <c r="K101" s="441"/>
      <c r="L101" s="441"/>
      <c r="M101" s="441"/>
      <c r="N101" s="441"/>
      <c r="O101" s="441"/>
      <c r="P101" s="442">
        <f>SUM(compras_mes7[[#This Row],[NETO GRAVADO]:[Otros / No Grav.]])</f>
        <v>26731.646700000001</v>
      </c>
      <c r="Q101" s="443" t="str">
        <f>IFERROR(IF(compras_mes7[[#This Row],[CUIT]]="","-",VLOOKUP(compras_mes7[[#This Row],[CUIT]],Lista_CUIT[#All],3,0)),"CUIT NO CARGADO")</f>
        <v>Gastos Varios</v>
      </c>
      <c r="R101" s="443">
        <f>IFERROR(IF(compras_mes7[[#This Row],[CUIT]]="","-",VLOOKUP(compras_mes7[[#This Row],[CUIT]],Lista_CUIT[#All],4,0)),"CUIT NO CARGADO")</f>
        <v>0</v>
      </c>
    </row>
    <row r="102" spans="2:18" x14ac:dyDescent="0.25">
      <c r="B102" s="394">
        <v>45128</v>
      </c>
      <c r="C102" s="395">
        <v>2</v>
      </c>
      <c r="D102" s="396">
        <v>7</v>
      </c>
      <c r="E102" s="397">
        <v>2</v>
      </c>
      <c r="F102" s="398">
        <v>30712187316</v>
      </c>
      <c r="G102" s="399" t="str">
        <f>IFERROR(IF(compras_mes7[[#This Row],[CUIT]]="","-",VLOOKUP(compras_mes7[[#This Row],[CUIT]],Lista_CUIT[#All],2,0)),"CUIT NO CARGADO")</f>
        <v>ITALOMED PRODUCTOS SRL</v>
      </c>
      <c r="H102" s="400">
        <v>8209</v>
      </c>
      <c r="I102" s="401">
        <f>IF(compras_mes7[[#This Row],[NETO GRAVADO]]="","",compras_mes7[[#This Row],[NETO GRAVADO]]*0.21)</f>
        <v>1723.8899999999999</v>
      </c>
      <c r="J102" s="85"/>
      <c r="K102" s="85"/>
      <c r="L102" s="85"/>
      <c r="M102" s="85"/>
      <c r="N102" s="85"/>
      <c r="O102" s="85"/>
      <c r="P102" s="48">
        <f>SUM(compras_mes7[[#This Row],[NETO GRAVADO]:[Otros / No Grav.]])</f>
        <v>9932.89</v>
      </c>
      <c r="Q102" s="49" t="str">
        <f>IFERROR(IF(compras_mes7[[#This Row],[CUIT]]="","-",VLOOKUP(compras_mes7[[#This Row],[CUIT]],Lista_CUIT[#All],3,0)),"CUIT NO CARGADO")</f>
        <v>Productos Ortopedicos</v>
      </c>
      <c r="R102" s="49">
        <f>IFERROR(IF(compras_mes7[[#This Row],[CUIT]]="","-",VLOOKUP(compras_mes7[[#This Row],[CUIT]],Lista_CUIT[#All],4,0)),"CUIT NO CARGADO")</f>
        <v>0</v>
      </c>
    </row>
    <row r="103" spans="2:18" x14ac:dyDescent="0.25">
      <c r="B103" s="219">
        <v>45128</v>
      </c>
      <c r="C103" s="209">
        <v>1</v>
      </c>
      <c r="D103" s="220">
        <v>15</v>
      </c>
      <c r="E103" s="221">
        <v>23029</v>
      </c>
      <c r="F103" s="222">
        <v>30685116657</v>
      </c>
      <c r="G103" s="223" t="str">
        <f>IFERROR(IF(compras_mes7[[#This Row],[CUIT]]="","-",VLOOKUP(compras_mes7[[#This Row],[CUIT]],Lista_CUIT[#All],2,0)),"CUIT NO CARGADO")</f>
        <v>MIRVAR SA</v>
      </c>
      <c r="H103" s="224">
        <v>9890.7099999999991</v>
      </c>
      <c r="I103" s="225">
        <f>IF(compras_mes7[[#This Row],[NETO GRAVADO]]="","",compras_mes7[[#This Row],[NETO GRAVADO]]*0.21)</f>
        <v>2077.0490999999997</v>
      </c>
      <c r="J103" s="219"/>
      <c r="K103" s="453"/>
      <c r="L103" s="453"/>
      <c r="M103" s="453"/>
      <c r="N103" s="453"/>
      <c r="O103" s="453">
        <v>1038.3399999999999</v>
      </c>
      <c r="P103" s="454">
        <f>SUM(compras_mes7[[#This Row],[NETO GRAVADO]:[Otros / No Grav.]])</f>
        <v>13006.099099999999</v>
      </c>
      <c r="Q103" s="455" t="str">
        <f>IFERROR(IF(compras_mes7[[#This Row],[CUIT]]="","-",VLOOKUP(compras_mes7[[#This Row],[CUIT]],Lista_CUIT[#All],3,0)),"CUIT NO CARGADO")</f>
        <v>COMBUSTIBLE</v>
      </c>
      <c r="R103" s="455">
        <f>IFERROR(IF(compras_mes7[[#This Row],[CUIT]]="","-",VLOOKUP(compras_mes7[[#This Row],[CUIT]],Lista_CUIT[#All],4,0)),"CUIT NO CARGADO")</f>
        <v>0</v>
      </c>
    </row>
    <row r="104" spans="2:18" x14ac:dyDescent="0.25">
      <c r="B104" s="219">
        <v>45129</v>
      </c>
      <c r="C104" s="209">
        <v>1</v>
      </c>
      <c r="D104" s="220">
        <v>8208</v>
      </c>
      <c r="E104" s="221">
        <v>7305</v>
      </c>
      <c r="F104" s="222">
        <v>30678774495</v>
      </c>
      <c r="G104" s="223" t="str">
        <f>IFERROR(IF(compras_mes7[[#This Row],[CUIT]]="","-",VLOOKUP(compras_mes7[[#This Row],[CUIT]],Lista_CUIT[#All],2,0)),"CUIT NO CARGADO")</f>
        <v>OPER. DE EST. DE SERV. SA</v>
      </c>
      <c r="H104" s="224">
        <v>12126.68</v>
      </c>
      <c r="I104" s="225">
        <f>IF(compras_mes7[[#This Row],[NETO GRAVADO]]="","",compras_mes7[[#This Row],[NETO GRAVADO]]*0.21)</f>
        <v>2546.6028000000001</v>
      </c>
      <c r="J104" s="453"/>
      <c r="K104" s="453"/>
      <c r="L104" s="453"/>
      <c r="M104" s="453"/>
      <c r="N104" s="453"/>
      <c r="O104" s="453">
        <v>827.31</v>
      </c>
      <c r="P104" s="454">
        <f>SUM(compras_mes7[[#This Row],[NETO GRAVADO]:[Otros / No Grav.]])</f>
        <v>15500.5928</v>
      </c>
      <c r="Q104" s="455" t="str">
        <f>IFERROR(IF(compras_mes7[[#This Row],[CUIT]]="","-",VLOOKUP(compras_mes7[[#This Row],[CUIT]],Lista_CUIT[#All],3,0)),"CUIT NO CARGADO")</f>
        <v>COMBUSTIBLE</v>
      </c>
      <c r="R104" s="455">
        <f>IFERROR(IF(compras_mes7[[#This Row],[CUIT]]="","-",VLOOKUP(compras_mes7[[#This Row],[CUIT]],Lista_CUIT[#All],4,0)),"CUIT NO CARGADO")</f>
        <v>0</v>
      </c>
    </row>
    <row r="105" spans="2:18" x14ac:dyDescent="0.25">
      <c r="B105" s="394">
        <v>45131</v>
      </c>
      <c r="C105" s="395">
        <v>1</v>
      </c>
      <c r="D105" s="396">
        <v>6</v>
      </c>
      <c r="E105" s="397">
        <v>653</v>
      </c>
      <c r="F105" s="398">
        <v>20247225243</v>
      </c>
      <c r="G105" s="399" t="str">
        <f>IFERROR(IF(compras_mes7[[#This Row],[CUIT]]="","-",VLOOKUP(compras_mes7[[#This Row],[CUIT]],Lista_CUIT[#All],2,0)),"CUIT NO CARGADO")</f>
        <v>VENTO HUGO GABRIEL</v>
      </c>
      <c r="H105" s="400">
        <v>10409</v>
      </c>
      <c r="I105" s="401">
        <f>IF(compras_mes7[[#This Row],[NETO GRAVADO]]="","",compras_mes7[[#This Row],[NETO GRAVADO]]*0.21)</f>
        <v>2185.89</v>
      </c>
      <c r="J105" s="441"/>
      <c r="K105" s="441"/>
      <c r="L105" s="441"/>
      <c r="M105" s="441"/>
      <c r="N105" s="441"/>
      <c r="O105" s="441"/>
      <c r="P105" s="442">
        <f>SUM(compras_mes7[[#This Row],[NETO GRAVADO]:[Otros / No Grav.]])</f>
        <v>12594.89</v>
      </c>
      <c r="Q105" s="443" t="str">
        <f>IFERROR(IF(compras_mes7[[#This Row],[CUIT]]="","-",VLOOKUP(compras_mes7[[#This Row],[CUIT]],Lista_CUIT[#All],3,0)),"CUIT NO CARGADO")</f>
        <v>Productos Ortopedicos</v>
      </c>
      <c r="R105" s="443">
        <f>IFERROR(IF(compras_mes7[[#This Row],[CUIT]]="","-",VLOOKUP(compras_mes7[[#This Row],[CUIT]],Lista_CUIT[#All],4,0)),"CUIT NO CARGADO")</f>
        <v>0</v>
      </c>
    </row>
    <row r="106" spans="2:18" x14ac:dyDescent="0.25">
      <c r="B106" s="219">
        <v>45131</v>
      </c>
      <c r="C106" s="209">
        <v>1</v>
      </c>
      <c r="D106" s="220">
        <v>7</v>
      </c>
      <c r="E106" s="221">
        <v>2024</v>
      </c>
      <c r="F106" s="222">
        <v>20284183534</v>
      </c>
      <c r="G106" s="223" t="str">
        <f>IFERROR(IF(compras_mes7[[#This Row],[CUIT]]="","-",VLOOKUP(compras_mes7[[#This Row],[CUIT]],Lista_CUIT[#All],2,0)),"CUIT NO CARGADO")</f>
        <v>FURLANETTO MARTIN</v>
      </c>
      <c r="H106" s="224">
        <v>1603.31</v>
      </c>
      <c r="I106" s="225">
        <f>IF(compras_mes7[[#This Row],[NETO GRAVADO]]="","",compras_mes7[[#This Row],[NETO GRAVADO]]*0.21)</f>
        <v>336.69509999999997</v>
      </c>
      <c r="J106" s="453"/>
      <c r="K106" s="453"/>
      <c r="L106" s="453"/>
      <c r="M106" s="453"/>
      <c r="N106" s="453"/>
      <c r="O106" s="453"/>
      <c r="P106" s="454">
        <f>SUM(compras_mes7[[#This Row],[NETO GRAVADO]:[Otros / No Grav.]])</f>
        <v>1940.0050999999999</v>
      </c>
      <c r="Q106" s="455" t="str">
        <f>IFERROR(IF(compras_mes7[[#This Row],[CUIT]]="","-",VLOOKUP(compras_mes7[[#This Row],[CUIT]],Lista_CUIT[#All],3,0)),"CUIT NO CARGADO")</f>
        <v>PAPELERIA</v>
      </c>
      <c r="R106" s="455">
        <f>IFERROR(IF(compras_mes7[[#This Row],[CUIT]]="","-",VLOOKUP(compras_mes7[[#This Row],[CUIT]],Lista_CUIT[#All],4,0)),"CUIT NO CARGADO")</f>
        <v>0</v>
      </c>
    </row>
    <row r="107" spans="2:18" x14ac:dyDescent="0.25">
      <c r="B107" s="394">
        <v>45131</v>
      </c>
      <c r="C107" s="395">
        <v>1</v>
      </c>
      <c r="D107" s="396">
        <v>5</v>
      </c>
      <c r="E107" s="397">
        <v>1332</v>
      </c>
      <c r="F107" s="398">
        <v>30712187316</v>
      </c>
      <c r="G107" s="399" t="str">
        <f>IFERROR(IF(compras_mes7[[#This Row],[CUIT]]="","-",VLOOKUP(compras_mes7[[#This Row],[CUIT]],Lista_CUIT[#All],2,0)),"CUIT NO CARGADO")</f>
        <v>ITALOMED PRODUCTOS SRL</v>
      </c>
      <c r="H107" s="400">
        <v>92417.3</v>
      </c>
      <c r="I107" s="401">
        <f>IF(compras_mes7[[#This Row],[NETO GRAVADO]]="","",compras_mes7[[#This Row],[NETO GRAVADO]]*0.21)</f>
        <v>19407.633000000002</v>
      </c>
      <c r="J107" s="441"/>
      <c r="K107" s="441"/>
      <c r="L107" s="441"/>
      <c r="M107" s="441"/>
      <c r="N107" s="441"/>
      <c r="O107" s="441"/>
      <c r="P107" s="442">
        <f>SUM(compras_mes7[[#This Row],[NETO GRAVADO]:[Otros / No Grav.]])</f>
        <v>111824.933</v>
      </c>
      <c r="Q107" s="443" t="str">
        <f>IFERROR(IF(compras_mes7[[#This Row],[CUIT]]="","-",VLOOKUP(compras_mes7[[#This Row],[CUIT]],Lista_CUIT[#All],3,0)),"CUIT NO CARGADO")</f>
        <v>Productos Ortopedicos</v>
      </c>
      <c r="R107" s="443">
        <f>IFERROR(IF(compras_mes7[[#This Row],[CUIT]]="","-",VLOOKUP(compras_mes7[[#This Row],[CUIT]],Lista_CUIT[#All],4,0)),"CUIT NO CARGADO")</f>
        <v>0</v>
      </c>
    </row>
    <row r="108" spans="2:18" x14ac:dyDescent="0.25">
      <c r="B108" s="394">
        <v>45131</v>
      </c>
      <c r="C108" s="395">
        <v>1</v>
      </c>
      <c r="D108" s="396">
        <v>5</v>
      </c>
      <c r="E108" s="397">
        <v>1330</v>
      </c>
      <c r="F108" s="398">
        <v>30712187316</v>
      </c>
      <c r="G108" s="399" t="str">
        <f>IFERROR(IF(compras_mes7[[#This Row],[CUIT]]="","-",VLOOKUP(compras_mes7[[#This Row],[CUIT]],Lista_CUIT[#All],2,0)),"CUIT NO CARGADO")</f>
        <v>ITALOMED PRODUCTOS SRL</v>
      </c>
      <c r="H108" s="400">
        <v>86801.3</v>
      </c>
      <c r="I108" s="401">
        <f>IF(compras_mes7[[#This Row],[NETO GRAVADO]]="","",compras_mes7[[#This Row],[NETO GRAVADO]]*0.21)</f>
        <v>18228.273000000001</v>
      </c>
      <c r="J108" s="441"/>
      <c r="K108" s="441"/>
      <c r="L108" s="441"/>
      <c r="M108" s="441"/>
      <c r="N108" s="441"/>
      <c r="O108" s="441"/>
      <c r="P108" s="442">
        <f>SUM(compras_mes7[[#This Row],[NETO GRAVADO]:[Otros / No Grav.]])</f>
        <v>105029.573</v>
      </c>
      <c r="Q108" s="443" t="str">
        <f>IFERROR(IF(compras_mes7[[#This Row],[CUIT]]="","-",VLOOKUP(compras_mes7[[#This Row],[CUIT]],Lista_CUIT[#All],3,0)),"CUIT NO CARGADO")</f>
        <v>Productos Ortopedicos</v>
      </c>
      <c r="R108" s="443">
        <f>IFERROR(IF(compras_mes7[[#This Row],[CUIT]]="","-",VLOOKUP(compras_mes7[[#This Row],[CUIT]],Lista_CUIT[#All],4,0)),"CUIT NO CARGADO")</f>
        <v>0</v>
      </c>
    </row>
    <row r="109" spans="2:18" x14ac:dyDescent="0.25">
      <c r="B109" s="394">
        <v>45131</v>
      </c>
      <c r="C109" s="395">
        <v>1</v>
      </c>
      <c r="D109" s="396">
        <v>1001</v>
      </c>
      <c r="E109" s="397">
        <v>15285</v>
      </c>
      <c r="F109" s="398">
        <v>30715393251</v>
      </c>
      <c r="G109" s="399" t="str">
        <f>IFERROR(IF(compras_mes7[[#This Row],[CUIT]]="","-",VLOOKUP(compras_mes7[[#This Row],[CUIT]],Lista_CUIT[#All],2,0)),"CUIT NO CARGADO")</f>
        <v>OMNICHANNEL S.A.</v>
      </c>
      <c r="H109" s="400">
        <v>17023.14</v>
      </c>
      <c r="I109" s="401">
        <f>IF(compras_mes7[[#This Row],[NETO GRAVADO]]="","",compras_mes7[[#This Row],[NETO GRAVADO]]*0.21)</f>
        <v>3574.8593999999998</v>
      </c>
      <c r="J109" s="441"/>
      <c r="K109" s="441"/>
      <c r="L109" s="441"/>
      <c r="M109" s="441"/>
      <c r="N109" s="441"/>
      <c r="O109" s="441"/>
      <c r="P109" s="442">
        <f>SUM(compras_mes7[[#This Row],[NETO GRAVADO]:[Otros / No Grav.]])</f>
        <v>20597.999400000001</v>
      </c>
      <c r="Q109" s="443" t="str">
        <f>IFERROR(IF(compras_mes7[[#This Row],[CUIT]]="","-",VLOOKUP(compras_mes7[[#This Row],[CUIT]],Lista_CUIT[#All],3,0)),"CUIT NO CARGADO")</f>
        <v>PAPELERIA</v>
      </c>
      <c r="R109" s="443">
        <f>IFERROR(IF(compras_mes7[[#This Row],[CUIT]]="","-",VLOOKUP(compras_mes7[[#This Row],[CUIT]],Lista_CUIT[#All],4,0)),"CUIT NO CARGADO")</f>
        <v>0</v>
      </c>
    </row>
    <row r="110" spans="2:18" x14ac:dyDescent="0.25">
      <c r="B110" s="394">
        <v>45131</v>
      </c>
      <c r="C110" s="395">
        <v>1</v>
      </c>
      <c r="D110" s="396">
        <v>10</v>
      </c>
      <c r="E110" s="397">
        <v>338</v>
      </c>
      <c r="F110" s="398">
        <v>30716229552</v>
      </c>
      <c r="G110" s="399" t="str">
        <f>IFERROR(IF(compras_mes7[[#This Row],[CUIT]]="","-",VLOOKUP(compras_mes7[[#This Row],[CUIT]],Lista_CUIT[#All],2,0)),"CUIT NO CARGADO")</f>
        <v>LUBRICANTES RUTA DE P e H SRL</v>
      </c>
      <c r="H110" s="400">
        <v>2462.81</v>
      </c>
      <c r="I110" s="401">
        <f>IF(compras_mes7[[#This Row],[NETO GRAVADO]]="","",compras_mes7[[#This Row],[NETO GRAVADO]]*0.21)</f>
        <v>517.19009999999992</v>
      </c>
      <c r="J110" s="441"/>
      <c r="K110" s="441"/>
      <c r="L110" s="441"/>
      <c r="M110" s="441"/>
      <c r="N110" s="441"/>
      <c r="O110" s="441"/>
      <c r="P110" s="442">
        <f>SUM(compras_mes7[[#This Row],[NETO GRAVADO]:[Otros / No Grav.]])</f>
        <v>2980.0000999999997</v>
      </c>
      <c r="Q110" s="443" t="str">
        <f>IFERROR(IF(compras_mes7[[#This Row],[CUIT]]="","-",VLOOKUP(compras_mes7[[#This Row],[CUIT]],Lista_CUIT[#All],3,0)),"CUIT NO CARGADO")</f>
        <v>COMBUSTIBLE</v>
      </c>
      <c r="R110" s="443">
        <f>IFERROR(IF(compras_mes7[[#This Row],[CUIT]]="","-",VLOOKUP(compras_mes7[[#This Row],[CUIT]],Lista_CUIT[#All],4,0)),"CUIT NO CARGADO")</f>
        <v>0</v>
      </c>
    </row>
    <row r="111" spans="2:18" x14ac:dyDescent="0.25">
      <c r="B111" s="219">
        <v>45131</v>
      </c>
      <c r="C111" s="209">
        <v>3</v>
      </c>
      <c r="D111" s="220">
        <v>4</v>
      </c>
      <c r="E111" s="221">
        <v>25</v>
      </c>
      <c r="F111" s="222">
        <v>20379223185</v>
      </c>
      <c r="G111" s="223" t="str">
        <f>IFERROR(IF(compras_mes7[[#This Row],[CUIT]]="","-",VLOOKUP(compras_mes7[[#This Row],[CUIT]],Lista_CUIT[#All],2,0)),"CUIT NO CARGADO")</f>
        <v>AYALA MAURICIO JUAN JOSE</v>
      </c>
      <c r="H111" s="224">
        <v>-17890</v>
      </c>
      <c r="I111" s="225">
        <f>IF(compras_mes7[[#This Row],[NETO GRAVADO]]="","",compras_mes7[[#This Row],[NETO GRAVADO]]*0.21)</f>
        <v>-3756.8999999999996</v>
      </c>
      <c r="J111" s="219"/>
      <c r="K111" s="453"/>
      <c r="L111" s="453"/>
      <c r="M111" s="453"/>
      <c r="N111" s="453"/>
      <c r="O111" s="453"/>
      <c r="P111" s="454">
        <f>SUM(compras_mes7[[#This Row],[NETO GRAVADO]:[Otros / No Grav.]])</f>
        <v>-21646.9</v>
      </c>
      <c r="Q111" s="455" t="str">
        <f>IFERROR(IF(compras_mes7[[#This Row],[CUIT]]="","-",VLOOKUP(compras_mes7[[#This Row],[CUIT]],Lista_CUIT[#All],3,0)),"CUIT NO CARGADO")</f>
        <v>SERVICIOS</v>
      </c>
      <c r="R111" s="455">
        <f>IFERROR(IF(compras_mes7[[#This Row],[CUIT]]="","-",VLOOKUP(compras_mes7[[#This Row],[CUIT]],Lista_CUIT[#All],4,0)),"CUIT NO CARGADO")</f>
        <v>0</v>
      </c>
    </row>
    <row r="112" spans="2:18" x14ac:dyDescent="0.25">
      <c r="B112" s="394">
        <v>45132</v>
      </c>
      <c r="C112" s="395">
        <v>1</v>
      </c>
      <c r="D112" s="396">
        <v>1001</v>
      </c>
      <c r="E112" s="397">
        <v>15410</v>
      </c>
      <c r="F112" s="398">
        <v>30715393251</v>
      </c>
      <c r="G112" s="399" t="str">
        <f>IFERROR(IF(compras_mes7[[#This Row],[CUIT]]="","-",VLOOKUP(compras_mes7[[#This Row],[CUIT]],Lista_CUIT[#All],2,0)),"CUIT NO CARGADO")</f>
        <v>OMNICHANNEL S.A.</v>
      </c>
      <c r="H112" s="400">
        <v>9999.17</v>
      </c>
      <c r="I112" s="401">
        <f>IF(compras_mes7[[#This Row],[NETO GRAVADO]]="","",compras_mes7[[#This Row],[NETO GRAVADO]]*0.21)</f>
        <v>2099.8256999999999</v>
      </c>
      <c r="J112" s="441"/>
      <c r="K112" s="441"/>
      <c r="L112" s="441"/>
      <c r="M112" s="441"/>
      <c r="N112" s="441"/>
      <c r="O112" s="441"/>
      <c r="P112" s="442">
        <f>SUM(compras_mes7[[#This Row],[NETO GRAVADO]:[Otros / No Grav.]])</f>
        <v>12098.995699999999</v>
      </c>
      <c r="Q112" s="443" t="str">
        <f>IFERROR(IF(compras_mes7[[#This Row],[CUIT]]="","-",VLOOKUP(compras_mes7[[#This Row],[CUIT]],Lista_CUIT[#All],3,0)),"CUIT NO CARGADO")</f>
        <v>PAPELERIA</v>
      </c>
      <c r="R112" s="443">
        <f>IFERROR(IF(compras_mes7[[#This Row],[CUIT]]="","-",VLOOKUP(compras_mes7[[#This Row],[CUIT]],Lista_CUIT[#All],4,0)),"CUIT NO CARGADO")</f>
        <v>0</v>
      </c>
    </row>
    <row r="113" spans="2:18" x14ac:dyDescent="0.25">
      <c r="B113" s="394">
        <v>45132</v>
      </c>
      <c r="C113" s="395">
        <v>1</v>
      </c>
      <c r="D113" s="396">
        <v>7</v>
      </c>
      <c r="E113" s="397">
        <v>2026</v>
      </c>
      <c r="F113" s="398">
        <v>20284183534</v>
      </c>
      <c r="G113" s="399" t="str">
        <f>IFERROR(IF(compras_mes7[[#This Row],[CUIT]]="","-",VLOOKUP(compras_mes7[[#This Row],[CUIT]],Lista_CUIT[#All],2,0)),"CUIT NO CARGADO")</f>
        <v>FURLANETTO MARTIN</v>
      </c>
      <c r="H113" s="400">
        <v>2471.0700000000002</v>
      </c>
      <c r="I113" s="401">
        <f>IF(compras_mes7[[#This Row],[NETO GRAVADO]]="","",compras_mes7[[#This Row],[NETO GRAVADO]]*0.21)</f>
        <v>518.92470000000003</v>
      </c>
      <c r="J113" s="441"/>
      <c r="K113" s="441"/>
      <c r="L113" s="441"/>
      <c r="M113" s="441"/>
      <c r="N113" s="441"/>
      <c r="O113" s="441"/>
      <c r="P113" s="442">
        <f>SUM(compras_mes7[[#This Row],[NETO GRAVADO]:[Otros / No Grav.]])</f>
        <v>2989.9947000000002</v>
      </c>
      <c r="Q113" s="443" t="str">
        <f>IFERROR(IF(compras_mes7[[#This Row],[CUIT]]="","-",VLOOKUP(compras_mes7[[#This Row],[CUIT]],Lista_CUIT[#All],3,0)),"CUIT NO CARGADO")</f>
        <v>PAPELERIA</v>
      </c>
      <c r="R113" s="443">
        <f>IFERROR(IF(compras_mes7[[#This Row],[CUIT]]="","-",VLOOKUP(compras_mes7[[#This Row],[CUIT]],Lista_CUIT[#All],4,0)),"CUIT NO CARGADO")</f>
        <v>0</v>
      </c>
    </row>
    <row r="114" spans="2:18" x14ac:dyDescent="0.25">
      <c r="B114" s="394">
        <v>45133</v>
      </c>
      <c r="C114" s="395">
        <v>1</v>
      </c>
      <c r="D114" s="396">
        <v>2</v>
      </c>
      <c r="E114" s="397">
        <v>8859</v>
      </c>
      <c r="F114" s="398">
        <v>30714331082</v>
      </c>
      <c r="G114" s="399" t="str">
        <f>IFERROR(IF(compras_mes7[[#This Row],[CUIT]]="","-",VLOOKUP(compras_mes7[[#This Row],[CUIT]],Lista_CUIT[#All],2,0)),"CUIT NO CARGADO")</f>
        <v>ORTOPEDIA CASA ESCALADA SRL</v>
      </c>
      <c r="H114" s="400">
        <v>301992.64</v>
      </c>
      <c r="I114" s="401">
        <f>IF(compras_mes7[[#This Row],[NETO GRAVADO]]="","",compras_mes7[[#This Row],[NETO GRAVADO]]*0.21)</f>
        <v>63418.454400000002</v>
      </c>
      <c r="J114" s="441"/>
      <c r="K114" s="441"/>
      <c r="L114" s="441"/>
      <c r="M114" s="441"/>
      <c r="N114" s="441"/>
      <c r="O114" s="441"/>
      <c r="P114" s="442">
        <f>SUM(compras_mes7[[#This Row],[NETO GRAVADO]:[Otros / No Grav.]])</f>
        <v>365411.0944</v>
      </c>
      <c r="Q114" s="443" t="str">
        <f>IFERROR(IF(compras_mes7[[#This Row],[CUIT]]="","-",VLOOKUP(compras_mes7[[#This Row],[CUIT]],Lista_CUIT[#All],3,0)),"CUIT NO CARGADO")</f>
        <v>Productos Ortopedicos</v>
      </c>
      <c r="R114" s="443">
        <f>IFERROR(IF(compras_mes7[[#This Row],[CUIT]]="","-",VLOOKUP(compras_mes7[[#This Row],[CUIT]],Lista_CUIT[#All],4,0)),"CUIT NO CARGADO")</f>
        <v>0</v>
      </c>
    </row>
    <row r="115" spans="2:18" x14ac:dyDescent="0.25">
      <c r="B115" s="394">
        <v>45133</v>
      </c>
      <c r="C115" s="395">
        <v>1</v>
      </c>
      <c r="D115" s="396">
        <v>3</v>
      </c>
      <c r="E115" s="397">
        <v>88</v>
      </c>
      <c r="F115" s="398">
        <v>20334976433</v>
      </c>
      <c r="G115" s="399" t="str">
        <f>IFERROR(IF(compras_mes7[[#This Row],[CUIT]]="","-",VLOOKUP(compras_mes7[[#This Row],[CUIT]],Lista_CUIT[#All],2,0)),"CUIT NO CARGADO")</f>
        <v>NARDOMARINO EZEQUIEL EDUARDO</v>
      </c>
      <c r="H115" s="400">
        <v>106578.51</v>
      </c>
      <c r="I115" s="401">
        <f>IF(compras_mes7[[#This Row],[NETO GRAVADO]]="","",compras_mes7[[#This Row],[NETO GRAVADO]]*0.21)</f>
        <v>22381.487099999998</v>
      </c>
      <c r="J115" s="441"/>
      <c r="K115" s="441"/>
      <c r="L115" s="441"/>
      <c r="M115" s="441"/>
      <c r="N115" s="441"/>
      <c r="O115" s="441"/>
      <c r="P115" s="442">
        <f>SUM(compras_mes7[[#This Row],[NETO GRAVADO]:[Otros / No Grav.]])</f>
        <v>128959.99709999999</v>
      </c>
      <c r="Q115" s="443" t="str">
        <f>IFERROR(IF(compras_mes7[[#This Row],[CUIT]]="","-",VLOOKUP(compras_mes7[[#This Row],[CUIT]],Lista_CUIT[#All],3,0)),"CUIT NO CARGADO")</f>
        <v>FLETE</v>
      </c>
      <c r="R115" s="443">
        <f>IFERROR(IF(compras_mes7[[#This Row],[CUIT]]="","-",VLOOKUP(compras_mes7[[#This Row],[CUIT]],Lista_CUIT[#All],4,0)),"CUIT NO CARGADO")</f>
        <v>0</v>
      </c>
    </row>
    <row r="116" spans="2:18" x14ac:dyDescent="0.25">
      <c r="B116" s="394">
        <v>45133</v>
      </c>
      <c r="C116" s="395">
        <v>1</v>
      </c>
      <c r="D116" s="396">
        <v>2</v>
      </c>
      <c r="E116" s="397">
        <v>26697</v>
      </c>
      <c r="F116" s="398">
        <v>30714696153</v>
      </c>
      <c r="G116" s="399" t="str">
        <f>IFERROR(IF(compras_mes7[[#This Row],[CUIT]]="","-",VLOOKUP(compras_mes7[[#This Row],[CUIT]],Lista_CUIT[#All],2,0)),"CUIT NO CARGADO")</f>
        <v>HOSPIMED SA</v>
      </c>
      <c r="H116" s="400">
        <v>20592</v>
      </c>
      <c r="I116" s="401">
        <f>IF(compras_mes7[[#This Row],[NETO GRAVADO]]="","",compras_mes7[[#This Row],[NETO GRAVADO]]*0.21)</f>
        <v>4324.32</v>
      </c>
      <c r="J116" s="441"/>
      <c r="K116" s="441"/>
      <c r="L116" s="441"/>
      <c r="M116" s="441"/>
      <c r="N116" s="441"/>
      <c r="O116" s="441"/>
      <c r="P116" s="442">
        <f>SUM(compras_mes7[[#This Row],[NETO GRAVADO]:[Otros / No Grav.]])</f>
        <v>24916.32</v>
      </c>
      <c r="Q116" s="443" t="str">
        <f>IFERROR(IF(compras_mes7[[#This Row],[CUIT]]="","-",VLOOKUP(compras_mes7[[#This Row],[CUIT]],Lista_CUIT[#All],3,0)),"CUIT NO CARGADO")</f>
        <v>Productos Ortopedicos</v>
      </c>
      <c r="R116" s="443">
        <f>IFERROR(IF(compras_mes7[[#This Row],[CUIT]]="","-",VLOOKUP(compras_mes7[[#This Row],[CUIT]],Lista_CUIT[#All],4,0)),"CUIT NO CARGADO")</f>
        <v>0</v>
      </c>
    </row>
    <row r="117" spans="2:18" x14ac:dyDescent="0.25">
      <c r="B117" s="394">
        <v>45133</v>
      </c>
      <c r="C117" s="395">
        <v>1</v>
      </c>
      <c r="D117" s="396">
        <v>2016</v>
      </c>
      <c r="E117" s="397">
        <v>45392</v>
      </c>
      <c r="F117" s="398">
        <v>30516186670</v>
      </c>
      <c r="G117" s="399" t="str">
        <f>IFERROR(IF(compras_mes7[[#This Row],[CUIT]]="","-",VLOOKUP(compras_mes7[[#This Row],[CUIT]],Lista_CUIT[#All],2,0)),"CUIT NO CARGADO")</f>
        <v>DEHEZA SAICF E I</v>
      </c>
      <c r="H117" s="400">
        <v>14541.31</v>
      </c>
      <c r="I117" s="401">
        <f>IF(compras_mes7[[#This Row],[NETO GRAVADO]]="","",compras_mes7[[#This Row],[NETO GRAVADO]]*0.21)</f>
        <v>3053.6750999999999</v>
      </c>
      <c r="J117" s="441"/>
      <c r="K117" s="441"/>
      <c r="L117" s="441">
        <v>436.24</v>
      </c>
      <c r="M117" s="441"/>
      <c r="N117" s="441">
        <v>543.89</v>
      </c>
      <c r="O117" s="441">
        <v>998.31</v>
      </c>
      <c r="P117" s="442">
        <f>SUM(compras_mes7[[#This Row],[NETO GRAVADO]:[Otros / No Grav.]])</f>
        <v>19573.4251</v>
      </c>
      <c r="Q117" s="443" t="str">
        <f>IFERROR(IF(compras_mes7[[#This Row],[CUIT]]="","-",VLOOKUP(compras_mes7[[#This Row],[CUIT]],Lista_CUIT[#All],3,0)),"CUIT NO CARGADO")</f>
        <v>COMBUSTIBLE</v>
      </c>
      <c r="R117" s="443">
        <f>IFERROR(IF(compras_mes7[[#This Row],[CUIT]]="","-",VLOOKUP(compras_mes7[[#This Row],[CUIT]],Lista_CUIT[#All],4,0)),"CUIT NO CARGADO")</f>
        <v>0</v>
      </c>
    </row>
    <row r="118" spans="2:18" x14ac:dyDescent="0.25">
      <c r="B118" s="394">
        <v>45134</v>
      </c>
      <c r="C118" s="395">
        <v>1</v>
      </c>
      <c r="D118" s="396">
        <v>3</v>
      </c>
      <c r="E118" s="397">
        <v>7943</v>
      </c>
      <c r="F118" s="398">
        <v>20045615473</v>
      </c>
      <c r="G118" s="399" t="str">
        <f>IFERROR(IF(compras_mes7[[#This Row],[CUIT]]="","-",VLOOKUP(compras_mes7[[#This Row],[CUIT]],Lista_CUIT[#All],2,0)),"CUIT NO CARGADO")</f>
        <v xml:space="preserve">DI FEO HUGO PASCUAL </v>
      </c>
      <c r="H118" s="400">
        <v>3680</v>
      </c>
      <c r="I118" s="401">
        <f>IF(compras_mes7[[#This Row],[NETO GRAVADO]]="","",compras_mes7[[#This Row],[NETO GRAVADO]]*0.21)</f>
        <v>772.8</v>
      </c>
      <c r="J118" s="441"/>
      <c r="K118" s="441"/>
      <c r="L118" s="441"/>
      <c r="M118" s="441"/>
      <c r="N118" s="441"/>
      <c r="O118" s="441"/>
      <c r="P118" s="442">
        <f>SUM(compras_mes7[[#This Row],[NETO GRAVADO]:[Otros / No Grav.]])</f>
        <v>4452.8</v>
      </c>
      <c r="Q118" s="443" t="str">
        <f>IFERROR(IF(compras_mes7[[#This Row],[CUIT]]="","-",VLOOKUP(compras_mes7[[#This Row],[CUIT]],Lista_CUIT[#All],3,0)),"CUIT NO CARGADO")</f>
        <v>Productos Ortopedicos</v>
      </c>
      <c r="R118" s="443">
        <f>IFERROR(IF(compras_mes7[[#This Row],[CUIT]]="","-",VLOOKUP(compras_mes7[[#This Row],[CUIT]],Lista_CUIT[#All],4,0)),"CUIT NO CARGADO")</f>
        <v>0</v>
      </c>
    </row>
    <row r="119" spans="2:18" x14ac:dyDescent="0.25">
      <c r="B119" s="394">
        <v>45134</v>
      </c>
      <c r="C119" s="395">
        <v>1</v>
      </c>
      <c r="D119" s="396">
        <v>3</v>
      </c>
      <c r="E119" s="397">
        <v>7942</v>
      </c>
      <c r="F119" s="398">
        <v>20045615473</v>
      </c>
      <c r="G119" s="399" t="str">
        <f>IFERROR(IF(compras_mes7[[#This Row],[CUIT]]="","-",VLOOKUP(compras_mes7[[#This Row],[CUIT]],Lista_CUIT[#All],2,0)),"CUIT NO CARGADO")</f>
        <v xml:space="preserve">DI FEO HUGO PASCUAL </v>
      </c>
      <c r="H119" s="400">
        <v>88020</v>
      </c>
      <c r="I119" s="401">
        <f>IF(compras_mes7[[#This Row],[NETO GRAVADO]]="","",compras_mes7[[#This Row],[NETO GRAVADO]]*0.21)</f>
        <v>18484.2</v>
      </c>
      <c r="J119" s="441"/>
      <c r="K119" s="441"/>
      <c r="L119" s="441"/>
      <c r="M119" s="441"/>
      <c r="N119" s="441"/>
      <c r="O119" s="441"/>
      <c r="P119" s="442">
        <f>SUM(compras_mes7[[#This Row],[NETO GRAVADO]:[Otros / No Grav.]])</f>
        <v>106504.2</v>
      </c>
      <c r="Q119" s="443" t="str">
        <f>IFERROR(IF(compras_mes7[[#This Row],[CUIT]]="","-",VLOOKUP(compras_mes7[[#This Row],[CUIT]],Lista_CUIT[#All],3,0)),"CUIT NO CARGADO")</f>
        <v>Productos Ortopedicos</v>
      </c>
      <c r="R119" s="443">
        <f>IFERROR(IF(compras_mes7[[#This Row],[CUIT]]="","-",VLOOKUP(compras_mes7[[#This Row],[CUIT]],Lista_CUIT[#All],4,0)),"CUIT NO CARGADO")</f>
        <v>0</v>
      </c>
    </row>
    <row r="120" spans="2:18" x14ac:dyDescent="0.25">
      <c r="B120" s="219">
        <v>45136</v>
      </c>
      <c r="C120" s="209">
        <v>1</v>
      </c>
      <c r="D120" s="220">
        <v>23</v>
      </c>
      <c r="E120" s="221">
        <v>1467486</v>
      </c>
      <c r="F120" s="222">
        <v>30703088534</v>
      </c>
      <c r="G120" s="223" t="str">
        <f>IFERROR(IF(compras_mes7[[#This Row],[CUIT]]="","-",VLOOKUP(compras_mes7[[#This Row],[CUIT]],Lista_CUIT[#All],2,0)),"CUIT NO CARGADO")</f>
        <v>MERCADO LIBRE SRL</v>
      </c>
      <c r="H120" s="224">
        <v>8994.7099999999991</v>
      </c>
      <c r="I120" s="225">
        <f>IF(compras_mes7[[#This Row],[NETO GRAVADO]]="","",compras_mes7[[#This Row],[NETO GRAVADO]]*0.21)</f>
        <v>1888.8890999999996</v>
      </c>
      <c r="J120" s="453"/>
      <c r="K120" s="453"/>
      <c r="L120" s="453"/>
      <c r="M120" s="453"/>
      <c r="N120" s="453"/>
      <c r="O120" s="453">
        <v>584.66</v>
      </c>
      <c r="P120" s="454">
        <f>SUM(compras_mes7[[#This Row],[NETO GRAVADO]:[Otros / No Grav.]])</f>
        <v>11468.259099999999</v>
      </c>
      <c r="Q120" s="455" t="str">
        <f>IFERROR(IF(compras_mes7[[#This Row],[CUIT]]="","-",VLOOKUP(compras_mes7[[#This Row],[CUIT]],Lista_CUIT[#All],3,0)),"CUIT NO CARGADO")</f>
        <v>GASTOS COMERCIALIZACION</v>
      </c>
      <c r="R120" s="455">
        <f>IFERROR(IF(compras_mes7[[#This Row],[CUIT]]="","-",VLOOKUP(compras_mes7[[#This Row],[CUIT]],Lista_CUIT[#All],4,0)),"CUIT NO CARGADO")</f>
        <v>0</v>
      </c>
    </row>
    <row r="121" spans="2:18" ht="15.75" customHeight="1" x14ac:dyDescent="0.25">
      <c r="B121" s="394">
        <v>45138</v>
      </c>
      <c r="C121" s="395">
        <v>1</v>
      </c>
      <c r="D121" s="396">
        <v>8</v>
      </c>
      <c r="E121" s="397">
        <v>1493</v>
      </c>
      <c r="F121" s="398">
        <v>30708973501</v>
      </c>
      <c r="G121" s="399" t="str">
        <f>IFERROR(IF(compras_mes7[[#This Row],[CUIT]]="","-",VLOOKUP(compras_mes7[[#This Row],[CUIT]],Lista_CUIT[#All],2,0)),"CUIT NO CARGADO")</f>
        <v>ASIAL SRL</v>
      </c>
      <c r="H121" s="400">
        <v>290825</v>
      </c>
      <c r="I121" s="401">
        <f>IF(compras_mes7[[#This Row],[NETO GRAVADO]]="","",compras_mes7[[#This Row],[NETO GRAVADO]]*0.21)</f>
        <v>61073.25</v>
      </c>
      <c r="J121" s="441"/>
      <c r="K121" s="441"/>
      <c r="L121" s="441"/>
      <c r="M121" s="441"/>
      <c r="N121" s="441"/>
      <c r="O121" s="441"/>
      <c r="P121" s="442">
        <f>SUM(compras_mes7[[#This Row],[NETO GRAVADO]:[Otros / No Grav.]])</f>
        <v>351898.25</v>
      </c>
      <c r="Q121" s="443" t="str">
        <f>IFERROR(IF(compras_mes7[[#This Row],[CUIT]]="","-",VLOOKUP(compras_mes7[[#This Row],[CUIT]],Lista_CUIT[#All],3,0)),"CUIT NO CARGADO")</f>
        <v>Productos Ortopedicos</v>
      </c>
      <c r="R121" s="443">
        <f>IFERROR(IF(compras_mes7[[#This Row],[CUIT]]="","-",VLOOKUP(compras_mes7[[#This Row],[CUIT]],Lista_CUIT[#All],4,0)),"CUIT NO CARGADO")</f>
        <v>0</v>
      </c>
    </row>
    <row r="122" spans="2:18" x14ac:dyDescent="0.25">
      <c r="B122" s="394">
        <v>45138</v>
      </c>
      <c r="C122" s="395">
        <v>1</v>
      </c>
      <c r="D122" s="396">
        <v>8</v>
      </c>
      <c r="E122" s="397">
        <v>1494</v>
      </c>
      <c r="F122" s="398">
        <v>30708973501</v>
      </c>
      <c r="G122" s="399" t="str">
        <f>IFERROR(IF(compras_mes7[[#This Row],[CUIT]]="","-",VLOOKUP(compras_mes7[[#This Row],[CUIT]],Lista_CUIT[#All],2,0)),"CUIT NO CARGADO")</f>
        <v>ASIAL SRL</v>
      </c>
      <c r="H122" s="400">
        <v>94600</v>
      </c>
      <c r="I122" s="401">
        <f>IF(compras_mes7[[#This Row],[NETO GRAVADO]]="","",compras_mes7[[#This Row],[NETO GRAVADO]]*0.21)</f>
        <v>19866</v>
      </c>
      <c r="J122" s="441"/>
      <c r="K122" s="441"/>
      <c r="L122" s="441"/>
      <c r="M122" s="441"/>
      <c r="N122" s="441"/>
      <c r="O122" s="441"/>
      <c r="P122" s="442">
        <f>SUM(compras_mes7[[#This Row],[NETO GRAVADO]:[Otros / No Grav.]])</f>
        <v>114466</v>
      </c>
      <c r="Q122" s="443" t="str">
        <f>IFERROR(IF(compras_mes7[[#This Row],[CUIT]]="","-",VLOOKUP(compras_mes7[[#This Row],[CUIT]],Lista_CUIT[#All],3,0)),"CUIT NO CARGADO")</f>
        <v>Productos Ortopedicos</v>
      </c>
      <c r="R122" s="443">
        <f>IFERROR(IF(compras_mes7[[#This Row],[CUIT]]="","-",VLOOKUP(compras_mes7[[#This Row],[CUIT]],Lista_CUIT[#All],4,0)),"CUIT NO CARGADO")</f>
        <v>0</v>
      </c>
    </row>
    <row r="123" spans="2:18" x14ac:dyDescent="0.25">
      <c r="B123" s="219">
        <v>45138</v>
      </c>
      <c r="C123" s="209">
        <v>1</v>
      </c>
      <c r="D123" s="220">
        <v>20</v>
      </c>
      <c r="E123" s="221">
        <v>156206</v>
      </c>
      <c r="F123" s="222">
        <v>30696850972</v>
      </c>
      <c r="G123" s="223" t="str">
        <f>IFERROR(IF(compras_mes7[[#This Row],[CUIT]]="","-",VLOOKUP(compras_mes7[[#This Row],[CUIT]],Lista_CUIT[#All],2,0)),"CUIT NO CARGADO")</f>
        <v>CPS COMUNICACIONES SA</v>
      </c>
      <c r="H123" s="224">
        <v>4302.05</v>
      </c>
      <c r="I123" s="225"/>
      <c r="J123" s="453">
        <v>1161.57</v>
      </c>
      <c r="K123" s="453"/>
      <c r="L123" s="453"/>
      <c r="M123" s="453"/>
      <c r="N123" s="453">
        <v>150.57</v>
      </c>
      <c r="O123" s="453"/>
      <c r="P123" s="454">
        <f>SUM(compras_mes7[[#This Row],[NETO GRAVADO]:[Otros / No Grav.]])</f>
        <v>5614.19</v>
      </c>
      <c r="Q123" s="455" t="str">
        <f>IFERROR(IF(compras_mes7[[#This Row],[CUIT]]="","-",VLOOKUP(compras_mes7[[#This Row],[CUIT]],Lista_CUIT[#All],3,0)),"CUIT NO CARGADO")</f>
        <v>SERVICIO DE TELEFONIA</v>
      </c>
      <c r="R123" s="455">
        <f>IFERROR(IF(compras_mes7[[#This Row],[CUIT]]="","-",VLOOKUP(compras_mes7[[#This Row],[CUIT]],Lista_CUIT[#All],4,0)),"CUIT NO CARGADO")</f>
        <v>0</v>
      </c>
    </row>
    <row r="124" spans="2:18" x14ac:dyDescent="0.25">
      <c r="B124" s="219">
        <v>45138</v>
      </c>
      <c r="C124" s="209">
        <v>1</v>
      </c>
      <c r="D124" s="220">
        <v>9044</v>
      </c>
      <c r="E124" s="221">
        <v>17802</v>
      </c>
      <c r="F124" s="222">
        <v>30678774495</v>
      </c>
      <c r="G124" s="223" t="str">
        <f>IFERROR(IF(compras_mes7[[#This Row],[CUIT]]="","-",VLOOKUP(compras_mes7[[#This Row],[CUIT]],Lista_CUIT[#All],2,0)),"CUIT NO CARGADO")</f>
        <v>OPER. DE EST. DE SERV. SA</v>
      </c>
      <c r="H124" s="224">
        <v>11747.47</v>
      </c>
      <c r="I124" s="225">
        <f>IF(compras_mes7[[#This Row],[NETO GRAVADO]]="","",compras_mes7[[#This Row],[NETO GRAVADO]]*0.21)</f>
        <v>2466.9686999999999</v>
      </c>
      <c r="J124" s="453"/>
      <c r="K124" s="453"/>
      <c r="L124" s="453"/>
      <c r="M124" s="453"/>
      <c r="N124" s="453"/>
      <c r="O124" s="453">
        <v>785.56</v>
      </c>
      <c r="P124" s="454">
        <f>SUM(compras_mes7[[#This Row],[NETO GRAVADO]:[Otros / No Grav.]])</f>
        <v>14999.998699999998</v>
      </c>
      <c r="Q124" s="455" t="str">
        <f>IFERROR(IF(compras_mes7[[#This Row],[CUIT]]="","-",VLOOKUP(compras_mes7[[#This Row],[CUIT]],Lista_CUIT[#All],3,0)),"CUIT NO CARGADO")</f>
        <v>COMBUSTIBLE</v>
      </c>
      <c r="R124" s="455">
        <f>IFERROR(IF(compras_mes7[[#This Row],[CUIT]]="","-",VLOOKUP(compras_mes7[[#This Row],[CUIT]],Lista_CUIT[#All],4,0)),"CUIT NO CARGADO")</f>
        <v>0</v>
      </c>
    </row>
    <row r="125" spans="2:18" x14ac:dyDescent="0.25">
      <c r="B125" s="394">
        <v>45138</v>
      </c>
      <c r="C125" s="395">
        <v>1</v>
      </c>
      <c r="D125" s="396">
        <v>120</v>
      </c>
      <c r="E125" s="397">
        <v>3043</v>
      </c>
      <c r="F125" s="398">
        <v>30587197215</v>
      </c>
      <c r="G125" s="399" t="str">
        <f>IFERROR(IF(compras_mes7[[#This Row],[CUIT]]="","-",VLOOKUP(compras_mes7[[#This Row],[CUIT]],Lista_CUIT[#All],2,0)),"CUIT NO CARGADO")</f>
        <v>PANATEL SOCIEDAD ANONIMA</v>
      </c>
      <c r="H125" s="400">
        <v>16528.93</v>
      </c>
      <c r="I125" s="401">
        <f>IF(compras_mes7[[#This Row],[NETO GRAVADO]]="","",compras_mes7[[#This Row],[NETO GRAVADO]]*0.21)</f>
        <v>3471.0753</v>
      </c>
      <c r="J125" s="441"/>
      <c r="K125" s="441"/>
      <c r="L125" s="441"/>
      <c r="M125" s="441"/>
      <c r="N125" s="441"/>
      <c r="O125" s="441"/>
      <c r="P125" s="442">
        <f>SUM(compras_mes7[[#This Row],[NETO GRAVADO]:[Otros / No Grav.]])</f>
        <v>20000.005300000001</v>
      </c>
      <c r="Q125" s="443" t="str">
        <f>IFERROR(IF(compras_mes7[[#This Row],[CUIT]]="","-",VLOOKUP(compras_mes7[[#This Row],[CUIT]],Lista_CUIT[#All],3,0)),"CUIT NO CARGADO")</f>
        <v>Gastos Varios</v>
      </c>
      <c r="R125" s="443">
        <f>IFERROR(IF(compras_mes7[[#This Row],[CUIT]]="","-",VLOOKUP(compras_mes7[[#This Row],[CUIT]],Lista_CUIT[#All],4,0)),"CUIT NO CARGADO")</f>
        <v>0</v>
      </c>
    </row>
    <row r="126" spans="2:18" x14ac:dyDescent="0.25">
      <c r="B126" s="219">
        <v>45138</v>
      </c>
      <c r="C126" s="209">
        <v>1</v>
      </c>
      <c r="D126" s="220">
        <v>6</v>
      </c>
      <c r="E126" s="221">
        <v>14512481</v>
      </c>
      <c r="F126" s="222">
        <v>30620177497</v>
      </c>
      <c r="G126" s="223" t="str">
        <f>IFERROR(IF(compras_mes7[[#This Row],[CUIT]]="","-",VLOOKUP(compras_mes7[[#This Row],[CUIT]],Lista_CUIT[#All],2,0)),"CUIT NO CARGADO")</f>
        <v>POSNET SOCIEDAD DE RESPONSABILIDAD LIMITADA</v>
      </c>
      <c r="H126" s="224">
        <v>5323.44</v>
      </c>
      <c r="I126" s="225">
        <f>IF(compras_mes7[[#This Row],[NETO GRAVADO]]="","",compras_mes7[[#This Row],[NETO GRAVADO]]*0.21)</f>
        <v>1117.9223999999999</v>
      </c>
      <c r="J126" s="453"/>
      <c r="K126" s="453"/>
      <c r="L126" s="453"/>
      <c r="M126" s="453"/>
      <c r="N126" s="453"/>
      <c r="O126" s="453">
        <v>346.02</v>
      </c>
      <c r="P126" s="454">
        <f>SUM(compras_mes7[[#This Row],[NETO GRAVADO]:[Otros / No Grav.]])</f>
        <v>6787.3824000000004</v>
      </c>
      <c r="Q126" s="455" t="str">
        <f>IFERROR(IF(compras_mes7[[#This Row],[CUIT]]="","-",VLOOKUP(compras_mes7[[#This Row],[CUIT]],Lista_CUIT[#All],3,0)),"CUIT NO CARGADO")</f>
        <v>GASTOS VARIOS</v>
      </c>
      <c r="R126" s="455">
        <f>IFERROR(IF(compras_mes7[[#This Row],[CUIT]]="","-",VLOOKUP(compras_mes7[[#This Row],[CUIT]],Lista_CUIT[#All],4,0)),"CUIT NO CARGADO")</f>
        <v>0</v>
      </c>
    </row>
    <row r="127" spans="2:18" x14ac:dyDescent="0.25">
      <c r="B127" s="394">
        <v>45138</v>
      </c>
      <c r="C127" s="395">
        <v>1</v>
      </c>
      <c r="D127" s="396">
        <v>5</v>
      </c>
      <c r="E127" s="397">
        <v>771</v>
      </c>
      <c r="F127" s="398">
        <v>20242126158</v>
      </c>
      <c r="G127" s="399" t="str">
        <f>IFERROR(IF(compras_mes7[[#This Row],[CUIT]]="","-",VLOOKUP(compras_mes7[[#This Row],[CUIT]],Lista_CUIT[#All],2,0)),"CUIT NO CARGADO")</f>
        <v>IALLONARDO SERGIO</v>
      </c>
      <c r="H127" s="400">
        <v>141483</v>
      </c>
      <c r="I127" s="401">
        <f>IF(compras_mes7[[#This Row],[NETO GRAVADO]]="","",compras_mes7[[#This Row],[NETO GRAVADO]]*0.21)</f>
        <v>29711.43</v>
      </c>
      <c r="J127" s="441"/>
      <c r="K127" s="441"/>
      <c r="L127" s="441"/>
      <c r="M127" s="441"/>
      <c r="N127" s="441"/>
      <c r="O127" s="441"/>
      <c r="P127" s="442">
        <f>SUM(compras_mes7[[#This Row],[NETO GRAVADO]:[Otros / No Grav.]])</f>
        <v>171194.43</v>
      </c>
      <c r="Q127" s="443" t="str">
        <f>IFERROR(IF(compras_mes7[[#This Row],[CUIT]]="","-",VLOOKUP(compras_mes7[[#This Row],[CUIT]],Lista_CUIT[#All],3,0)),"CUIT NO CARGADO")</f>
        <v>PROD ORTOP P/ALQ</v>
      </c>
      <c r="R127" s="443">
        <f>IFERROR(IF(compras_mes7[[#This Row],[CUIT]]="","-",VLOOKUP(compras_mes7[[#This Row],[CUIT]],Lista_CUIT[#All],4,0)),"CUIT NO CARGADO")</f>
        <v>0</v>
      </c>
    </row>
    <row r="128" spans="2:18" x14ac:dyDescent="0.25">
      <c r="B128" s="219">
        <v>45138</v>
      </c>
      <c r="C128" s="209">
        <v>1</v>
      </c>
      <c r="D128" s="220">
        <v>4</v>
      </c>
      <c r="E128" s="221">
        <v>92</v>
      </c>
      <c r="F128" s="222">
        <v>30716317028</v>
      </c>
      <c r="G128" s="223" t="str">
        <f>IFERROR(IF(compras_mes7[[#This Row],[CUIT]]="","-",VLOOKUP(compras_mes7[[#This Row],[CUIT]],Lista_CUIT[#All],2,0)),"CUIT NO CARGADO")</f>
        <v>ELECTRO ILUMINATE S.R.L.</v>
      </c>
      <c r="H128" s="224">
        <v>15675.32</v>
      </c>
      <c r="I128" s="225">
        <f>IF(compras_mes7[[#This Row],[NETO GRAVADO]]="","",compras_mes7[[#This Row],[NETO GRAVADO]]*0.21)</f>
        <v>3291.8172</v>
      </c>
      <c r="J128" s="453"/>
      <c r="K128" s="453"/>
      <c r="L128" s="453"/>
      <c r="M128" s="453"/>
      <c r="N128" s="453"/>
      <c r="O128" s="453"/>
      <c r="P128" s="454">
        <f>SUM(compras_mes7[[#This Row],[NETO GRAVADO]:[Otros / No Grav.]])</f>
        <v>18967.137200000001</v>
      </c>
      <c r="Q128" s="455" t="str">
        <f>IFERROR(IF(compras_mes7[[#This Row],[CUIT]]="","-",VLOOKUP(compras_mes7[[#This Row],[CUIT]],Lista_CUIT[#All],3,0)),"CUIT NO CARGADO")</f>
        <v>GASTOS ADMINISTRATIVOS</v>
      </c>
      <c r="R128" s="455">
        <f>IFERROR(IF(compras_mes7[[#This Row],[CUIT]]="","-",VLOOKUP(compras_mes7[[#This Row],[CUIT]],Lista_CUIT[#All],4,0)),"CUIT NO CARGADO")</f>
        <v>0</v>
      </c>
    </row>
    <row r="129" spans="2:18" x14ac:dyDescent="0.25">
      <c r="B129" s="446"/>
      <c r="C129" s="438"/>
      <c r="D129" s="447"/>
      <c r="E129" s="447"/>
      <c r="F129" s="449"/>
      <c r="G129" s="439" t="str">
        <f>IFERROR(IF(compras_mes7[[#This Row],[CUIT]]="","-",VLOOKUP(compras_mes7[[#This Row],[CUIT]],Lista_CUIT[#All],2,0)),"CUIT NO CARGADO")</f>
        <v>-</v>
      </c>
      <c r="H129" s="440"/>
      <c r="I129" s="441" t="str">
        <f>IF(compras_mes7[[#This Row],[NETO GRAVADO]]="","",compras_mes7[[#This Row],[NETO GRAVADO]]*0.21)</f>
        <v/>
      </c>
      <c r="J129" s="441"/>
      <c r="K129" s="441"/>
      <c r="L129" s="441"/>
      <c r="M129" s="441"/>
      <c r="N129" s="441"/>
      <c r="O129" s="441"/>
      <c r="P129" s="442">
        <f>SUM(compras_mes7[[#This Row],[NETO GRAVADO]:[Otros / No Grav.]])</f>
        <v>0</v>
      </c>
      <c r="Q129" s="443" t="str">
        <f>IFERROR(IF(compras_mes7[[#This Row],[CUIT]]="","-",VLOOKUP(compras_mes7[[#This Row],[CUIT]],Lista_CUIT[#All],3,0)),"CUIT NO CARGADO")</f>
        <v>-</v>
      </c>
      <c r="R129" s="443" t="str">
        <f>IFERROR(IF(compras_mes7[[#This Row],[CUIT]]="","-",VLOOKUP(compras_mes7[[#This Row],[CUIT]],Lista_CUIT[#All],4,0)),"CUIT NO CARGADO")</f>
        <v>-</v>
      </c>
    </row>
    <row r="130" spans="2:18" x14ac:dyDescent="0.25">
      <c r="B130" s="446"/>
      <c r="C130" s="438"/>
      <c r="D130" s="447"/>
      <c r="E130" s="447"/>
      <c r="F130" s="449"/>
      <c r="G130" s="439" t="str">
        <f>IFERROR(IF(compras_mes7[[#This Row],[CUIT]]="","-",VLOOKUP(compras_mes7[[#This Row],[CUIT]],Lista_CUIT[#All],2,0)),"CUIT NO CARGADO")</f>
        <v>-</v>
      </c>
      <c r="H130" s="440"/>
      <c r="I130" s="441" t="str">
        <f>IF(compras_mes7[[#This Row],[NETO GRAVADO]]="","",compras_mes7[[#This Row],[NETO GRAVADO]]*0.21)</f>
        <v/>
      </c>
      <c r="J130" s="441"/>
      <c r="K130" s="441"/>
      <c r="L130" s="441"/>
      <c r="M130" s="441"/>
      <c r="N130" s="441"/>
      <c r="O130" s="441"/>
      <c r="P130" s="442">
        <f>SUM(compras_mes7[[#This Row],[NETO GRAVADO]:[Otros / No Grav.]])</f>
        <v>0</v>
      </c>
      <c r="Q130" s="443" t="str">
        <f>IFERROR(IF(compras_mes7[[#This Row],[CUIT]]="","-",VLOOKUP(compras_mes7[[#This Row],[CUIT]],Lista_CUIT[#All],3,0)),"CUIT NO CARGADO")</f>
        <v>-</v>
      </c>
      <c r="R130" s="443" t="str">
        <f>IFERROR(IF(compras_mes7[[#This Row],[CUIT]]="","-",VLOOKUP(compras_mes7[[#This Row],[CUIT]],Lista_CUIT[#All],4,0)),"CUIT NO CARGADO")</f>
        <v>-</v>
      </c>
    </row>
    <row r="131" spans="2:18" ht="17.25" customHeight="1" x14ac:dyDescent="0.25">
      <c r="B131" s="446"/>
      <c r="C131" s="438"/>
      <c r="D131" s="447"/>
      <c r="E131" s="447"/>
      <c r="F131" s="449"/>
      <c r="G131" s="439" t="str">
        <f>IFERROR(IF(compras_mes7[[#This Row],[CUIT]]="","-",VLOOKUP(compras_mes7[[#This Row],[CUIT]],Lista_CUIT[#All],2,0)),"CUIT NO CARGADO")</f>
        <v>-</v>
      </c>
      <c r="H131" s="440"/>
      <c r="I131" s="441" t="str">
        <f>IF(compras_mes7[[#This Row],[NETO GRAVADO]]="","",compras_mes7[[#This Row],[NETO GRAVADO]]*0.21)</f>
        <v/>
      </c>
      <c r="J131" s="441"/>
      <c r="K131" s="441"/>
      <c r="L131" s="441"/>
      <c r="M131" s="441"/>
      <c r="N131" s="441"/>
      <c r="O131" s="441"/>
      <c r="P131" s="442">
        <f>SUM(compras_mes7[[#This Row],[NETO GRAVADO]:[Otros / No Grav.]])</f>
        <v>0</v>
      </c>
      <c r="Q131" s="443" t="str">
        <f>IFERROR(IF(compras_mes7[[#This Row],[CUIT]]="","-",VLOOKUP(compras_mes7[[#This Row],[CUIT]],Lista_CUIT[#All],3,0)),"CUIT NO CARGADO")</f>
        <v>-</v>
      </c>
      <c r="R131" s="443" t="str">
        <f>IFERROR(IF(compras_mes7[[#This Row],[CUIT]]="","-",VLOOKUP(compras_mes7[[#This Row],[CUIT]],Lista_CUIT[#All],4,0)),"CUIT NO CARGADO")</f>
        <v>-</v>
      </c>
    </row>
    <row r="132" spans="2:18" x14ac:dyDescent="0.25">
      <c r="B132" s="446"/>
      <c r="C132" s="438"/>
      <c r="D132" s="447"/>
      <c r="E132" s="447"/>
      <c r="F132" s="449"/>
      <c r="G132" s="439" t="str">
        <f>IFERROR(IF(compras_mes7[[#This Row],[CUIT]]="","-",VLOOKUP(compras_mes7[[#This Row],[CUIT]],Lista_CUIT[#All],2,0)),"CUIT NO CARGADO")</f>
        <v>-</v>
      </c>
      <c r="H132" s="440"/>
      <c r="I132" s="441" t="str">
        <f>IF(compras_mes7[[#This Row],[NETO GRAVADO]]="","",compras_mes7[[#This Row],[NETO GRAVADO]]*0.21)</f>
        <v/>
      </c>
      <c r="J132" s="441"/>
      <c r="K132" s="441"/>
      <c r="L132" s="441"/>
      <c r="M132" s="441"/>
      <c r="N132" s="441"/>
      <c r="O132" s="441"/>
      <c r="P132" s="442">
        <f>SUM(compras_mes7[[#This Row],[NETO GRAVADO]:[Otros / No Grav.]])</f>
        <v>0</v>
      </c>
      <c r="Q132" s="443" t="str">
        <f>IFERROR(IF(compras_mes7[[#This Row],[CUIT]]="","-",VLOOKUP(compras_mes7[[#This Row],[CUIT]],Lista_CUIT[#All],3,0)),"CUIT NO CARGADO")</f>
        <v>-</v>
      </c>
      <c r="R132" s="443" t="str">
        <f>IFERROR(IF(compras_mes7[[#This Row],[CUIT]]="","-",VLOOKUP(compras_mes7[[#This Row],[CUIT]],Lista_CUIT[#All],4,0)),"CUIT NO CARGADO")</f>
        <v>-</v>
      </c>
    </row>
    <row r="133" spans="2:18" x14ac:dyDescent="0.25">
      <c r="B133" s="446"/>
      <c r="C133" s="438"/>
      <c r="D133" s="447"/>
      <c r="E133" s="447"/>
      <c r="F133" s="449"/>
      <c r="G133" s="439" t="str">
        <f>IFERROR(IF(compras_mes7[[#This Row],[CUIT]]="","-",VLOOKUP(compras_mes7[[#This Row],[CUIT]],Lista_CUIT[#All],2,0)),"CUIT NO CARGADO")</f>
        <v>-</v>
      </c>
      <c r="H133" s="440"/>
      <c r="I133" s="441" t="str">
        <f>IF(compras_mes7[[#This Row],[NETO GRAVADO]]="","",compras_mes7[[#This Row],[NETO GRAVADO]]*0.21)</f>
        <v/>
      </c>
      <c r="J133" s="441"/>
      <c r="K133" s="441"/>
      <c r="L133" s="441"/>
      <c r="M133" s="441"/>
      <c r="N133" s="441"/>
      <c r="O133" s="441"/>
      <c r="P133" s="442">
        <f>SUM(compras_mes7[[#This Row],[NETO GRAVADO]:[Otros / No Grav.]])</f>
        <v>0</v>
      </c>
      <c r="Q133" s="443" t="str">
        <f>IFERROR(IF(compras_mes7[[#This Row],[CUIT]]="","-",VLOOKUP(compras_mes7[[#This Row],[CUIT]],Lista_CUIT[#All],3,0)),"CUIT NO CARGADO")</f>
        <v>-</v>
      </c>
      <c r="R133" s="443" t="str">
        <f>IFERROR(IF(compras_mes7[[#This Row],[CUIT]]="","-",VLOOKUP(compras_mes7[[#This Row],[CUIT]],Lista_CUIT[#All],4,0)),"CUIT NO CARGADO")</f>
        <v>-</v>
      </c>
    </row>
    <row r="134" spans="2:18" x14ac:dyDescent="0.25">
      <c r="B134" s="89"/>
      <c r="C134" s="90"/>
      <c r="D134" s="91"/>
      <c r="E134" s="92"/>
      <c r="F134" s="93"/>
      <c r="G134" s="94" t="str">
        <f>IFERROR(IF(compras_mes7[[#This Row],[CUIT]]="","-",VLOOKUP(compras_mes7[[#This Row],[CUIT]],Lista_CUIT[#All],2,0)),"CUIT NO CARGADO")</f>
        <v>-</v>
      </c>
      <c r="H134" s="95"/>
      <c r="I134" s="86" t="str">
        <f>IF(compras_mes7[[#This Row],[NETO GRAVADO]]="","",compras_mes7[[#This Row],[NETO GRAVADO]]*0.21)</f>
        <v/>
      </c>
      <c r="J134" s="86"/>
      <c r="K134" s="86"/>
      <c r="L134" s="86"/>
      <c r="M134" s="86"/>
      <c r="N134" s="86"/>
      <c r="O134" s="86"/>
      <c r="P134" s="87">
        <f>SUM(compras_mes7[[#This Row],[NETO GRAVADO]:[Otros / No Grav.]])</f>
        <v>0</v>
      </c>
      <c r="Q134" s="88" t="str">
        <f>IFERROR(IF(compras_mes7[[#This Row],[CUIT]]="","-",VLOOKUP(compras_mes7[[#This Row],[CUIT]],Lista_CUIT[#All],3,0)),"CUIT NO CARGADO")</f>
        <v>-</v>
      </c>
      <c r="R134" s="88" t="str">
        <f>IFERROR(IF(compras_mes7[[#This Row],[CUIT]]="","-",VLOOKUP(compras_mes7[[#This Row],[CUIT]],Lista_CUIT[#All],4,0)),"CUIT NO CARGADO")</f>
        <v>-</v>
      </c>
    </row>
    <row r="135" spans="2:18" x14ac:dyDescent="0.25">
      <c r="B135" s="96" t="s">
        <v>110</v>
      </c>
      <c r="C135" s="96"/>
      <c r="D135" s="96"/>
      <c r="E135" s="96"/>
      <c r="F135" s="96"/>
      <c r="G135" s="97"/>
      <c r="H135" s="98">
        <f>SUBTOTAL(109,compras_mes7[NETO GRAVADO])</f>
        <v>18472292.770000007</v>
      </c>
      <c r="I135" s="98">
        <f>SUBTOTAL(109,compras_mes7[IVA 21 %])</f>
        <v>3853879.1928000003</v>
      </c>
      <c r="J135" s="98">
        <f>SUBTOTAL(109,compras_mes7[IVA 27%])</f>
        <v>5966.49</v>
      </c>
      <c r="K135" s="98">
        <f>SUBTOTAL(109,compras_mes7[IVA 10,5%])</f>
        <v>10330.849999999999</v>
      </c>
      <c r="L135" s="98">
        <f>SUBTOTAL(109,compras_mes7[PERC. IVA])</f>
        <v>1049.42</v>
      </c>
      <c r="M135" s="98">
        <f>SUBTOTAL(109,compras_mes7[PERC IIBB 
BS AS])</f>
        <v>233.28</v>
      </c>
      <c r="N135" s="98">
        <f>SUBTOTAL(109,compras_mes7[PERC. IIBB CABA])</f>
        <v>295320.03000000003</v>
      </c>
      <c r="O135" s="98">
        <f>SUBTOTAL(109,compras_mes7[Otros / No Grav.])</f>
        <v>9530.43</v>
      </c>
      <c r="P135" s="98">
        <f>SUBTOTAL(109,compras_mes7[TOTAL])</f>
        <v>22648602.462800018</v>
      </c>
      <c r="Q135" s="96"/>
      <c r="R135" s="96"/>
    </row>
    <row r="136" spans="2:18" x14ac:dyDescent="0.25">
      <c r="B136" s="40"/>
      <c r="C136" s="41"/>
      <c r="D136" s="42"/>
      <c r="E136" s="43"/>
      <c r="F136" s="44"/>
      <c r="G136" s="45"/>
      <c r="H136" s="46"/>
      <c r="I136" s="47"/>
      <c r="J136" s="47"/>
      <c r="K136" s="47"/>
      <c r="L136" s="47"/>
      <c r="M136" s="47"/>
      <c r="N136" s="47"/>
      <c r="O136" s="47"/>
      <c r="P136" s="48"/>
      <c r="Q136" s="49"/>
      <c r="R136" s="49"/>
    </row>
    <row r="137" spans="2:18" x14ac:dyDescent="0.25">
      <c r="B137" s="40"/>
      <c r="C137" s="41"/>
      <c r="D137" s="42"/>
      <c r="E137" s="43"/>
      <c r="F137" s="44"/>
      <c r="G137" s="45"/>
      <c r="H137" s="46"/>
      <c r="I137" s="47"/>
      <c r="J137" s="47"/>
      <c r="K137" s="47"/>
      <c r="L137" s="47"/>
      <c r="M137" s="47"/>
      <c r="N137" s="47"/>
      <c r="O137" s="47"/>
      <c r="P137" s="48"/>
      <c r="Q137" s="49"/>
      <c r="R137" s="49"/>
    </row>
    <row r="138" spans="2:18" x14ac:dyDescent="0.25">
      <c r="B138" s="40"/>
      <c r="C138" s="41"/>
      <c r="D138" s="42"/>
      <c r="E138" s="43"/>
      <c r="F138" s="44"/>
      <c r="G138" s="45"/>
      <c r="H138" s="46"/>
      <c r="I138" s="47"/>
      <c r="J138" s="47"/>
      <c r="K138" s="47"/>
      <c r="L138" s="47"/>
      <c r="M138" s="47"/>
      <c r="N138" s="47"/>
      <c r="O138" s="47"/>
      <c r="P138" s="48"/>
      <c r="Q138" s="49"/>
      <c r="R138" s="49"/>
    </row>
    <row r="139" spans="2:18" x14ac:dyDescent="0.25">
      <c r="B139" s="40"/>
      <c r="C139" s="41"/>
      <c r="D139" s="42"/>
      <c r="E139" s="43"/>
      <c r="F139" s="44"/>
      <c r="G139" s="45"/>
      <c r="H139" s="46"/>
      <c r="I139" s="47"/>
      <c r="J139" s="47"/>
      <c r="K139" s="47"/>
      <c r="L139" s="47"/>
    </row>
    <row r="140" spans="2:18" ht="21" x14ac:dyDescent="0.25">
      <c r="D140" s="524" t="s">
        <v>15</v>
      </c>
      <c r="E140" s="524"/>
      <c r="F140" s="524"/>
      <c r="G140" s="524"/>
      <c r="H140" s="524"/>
      <c r="I140" s="524"/>
      <c r="J140" s="524"/>
      <c r="K140" s="524"/>
      <c r="L140" s="524"/>
    </row>
    <row r="141" spans="2:18" ht="15.75" x14ac:dyDescent="0.25">
      <c r="D141" s="73" t="s">
        <v>0</v>
      </c>
      <c r="E141" s="74" t="s">
        <v>26</v>
      </c>
      <c r="F141" s="74" t="s">
        <v>16</v>
      </c>
      <c r="G141" s="74" t="s">
        <v>5</v>
      </c>
      <c r="H141" s="74" t="s">
        <v>17</v>
      </c>
      <c r="I141" s="74" t="s">
        <v>7</v>
      </c>
      <c r="J141" s="75" t="s">
        <v>18</v>
      </c>
      <c r="K141" s="75" t="s">
        <v>19</v>
      </c>
      <c r="L141" s="76" t="s">
        <v>20</v>
      </c>
    </row>
    <row r="142" spans="2:18" x14ac:dyDescent="0.25">
      <c r="D142" s="50">
        <v>45138</v>
      </c>
      <c r="E142" s="80">
        <v>31072023</v>
      </c>
      <c r="F142" s="80" t="s">
        <v>2227</v>
      </c>
      <c r="G142" s="81">
        <v>5473</v>
      </c>
      <c r="H142" s="81">
        <v>1149.33</v>
      </c>
      <c r="I142" s="81"/>
      <c r="J142" s="81">
        <v>161</v>
      </c>
      <c r="K142" s="81">
        <v>138</v>
      </c>
      <c r="L142" s="81"/>
    </row>
    <row r="143" spans="2:18" x14ac:dyDescent="0.25">
      <c r="D143" s="50">
        <v>45138</v>
      </c>
      <c r="E143" s="80">
        <v>20233107</v>
      </c>
      <c r="F143" s="80" t="s">
        <v>2228</v>
      </c>
      <c r="G143" s="81">
        <v>7311</v>
      </c>
      <c r="H143" s="81">
        <v>1535.3100000000002</v>
      </c>
      <c r="I143" s="81"/>
      <c r="J143" s="81">
        <v>227.5</v>
      </c>
      <c r="K143" s="81">
        <v>195</v>
      </c>
      <c r="L143" s="81"/>
    </row>
    <row r="144" spans="2:18" x14ac:dyDescent="0.25">
      <c r="D144" s="50"/>
      <c r="E144" s="79"/>
      <c r="F144" s="80"/>
      <c r="G144" s="81"/>
      <c r="H144" s="81"/>
      <c r="I144" s="81"/>
      <c r="J144" s="81"/>
      <c r="K144" s="81"/>
      <c r="L144" s="81"/>
    </row>
    <row r="145" spans="4:12" x14ac:dyDescent="0.25">
      <c r="D145" s="82" t="s">
        <v>110</v>
      </c>
      <c r="E145" s="80"/>
      <c r="F145" s="80"/>
      <c r="G145" s="83">
        <f>SUBTOTAL(109,extracto_banco_mes7[NETO])</f>
        <v>12784</v>
      </c>
      <c r="H145" s="83">
        <f>SUBTOTAL(109,extracto_banco_mes7[IVA 21%])</f>
        <v>2684.6400000000003</v>
      </c>
      <c r="I145" s="83">
        <f>SUBTOTAL(109,extracto_banco_mes7[IVA 10,5%])</f>
        <v>0</v>
      </c>
      <c r="J145" s="83">
        <f>SUBTOTAL(109,extracto_banco_mes7[RET IIBB CABA])</f>
        <v>388.5</v>
      </c>
      <c r="K145" s="83">
        <f>SUBTOTAL(109,extracto_banco_mes7[PERC IVA])</f>
        <v>333</v>
      </c>
      <c r="L145" s="83">
        <f>SUBTOTAL(109,extracto_banco_mes7[PERC IIBB])</f>
        <v>0</v>
      </c>
    </row>
    <row r="149" spans="4:12" ht="21" x14ac:dyDescent="0.25">
      <c r="D149" s="524" t="s">
        <v>25</v>
      </c>
      <c r="E149" s="524"/>
      <c r="F149" s="524"/>
      <c r="G149" s="524"/>
      <c r="H149" s="524"/>
      <c r="I149" s="524"/>
      <c r="J149" s="524"/>
      <c r="K149" s="524"/>
    </row>
    <row r="150" spans="4:12" x14ac:dyDescent="0.25">
      <c r="D150" s="51" t="s">
        <v>0</v>
      </c>
      <c r="E150" s="51" t="s">
        <v>2</v>
      </c>
      <c r="F150" s="51" t="s">
        <v>74</v>
      </c>
      <c r="G150" s="51" t="s">
        <v>3</v>
      </c>
      <c r="H150" s="51" t="s">
        <v>4</v>
      </c>
      <c r="I150" s="52" t="s">
        <v>10</v>
      </c>
      <c r="J150" s="51" t="s">
        <v>13</v>
      </c>
      <c r="K150" s="51" t="s">
        <v>38</v>
      </c>
    </row>
    <row r="151" spans="4:12" x14ac:dyDescent="0.25">
      <c r="D151" s="457">
        <v>45109</v>
      </c>
      <c r="E151" s="448">
        <v>2</v>
      </c>
      <c r="F151" s="448">
        <v>54</v>
      </c>
      <c r="G151" s="36">
        <v>20314536852</v>
      </c>
      <c r="H151" s="53" t="str">
        <f>IFERROR(IF(factura_c_mes7[[#This Row],[CUIT]]="","-",VLOOKUP(factura_c_mes7[[#This Row],[CUIT]],Lista_CUIT[#All],2,0)),"CUIT NO CARGADO")</f>
        <v>FRANCESE GONZALO ROMAN</v>
      </c>
      <c r="I151" s="444">
        <v>54800</v>
      </c>
      <c r="J151" s="54" t="str">
        <f>IFERROR(IF(factura_c_mes7[[#This Row],[CUIT]]="","-",VLOOKUP(factura_c_mes7[[#This Row],[CUIT]],Lista_CUIT[#All],3,0)),"CUIT NO CARGADO")</f>
        <v>FLETE</v>
      </c>
      <c r="K151" s="54">
        <f>IFERROR(IF(factura_c_mes7[[#This Row],[CUIT]]="","-",VLOOKUP(factura_c_mes7[[#This Row],[CUIT]],Lista_CUIT[#All],4,0)),"CUIT NO CARGADO")</f>
        <v>0</v>
      </c>
    </row>
    <row r="152" spans="4:12" x14ac:dyDescent="0.25">
      <c r="D152" s="457">
        <v>45109</v>
      </c>
      <c r="E152" s="448">
        <v>1</v>
      </c>
      <c r="F152" s="448">
        <v>13</v>
      </c>
      <c r="G152" s="36">
        <v>20392730444</v>
      </c>
      <c r="H152" s="53" t="str">
        <f>IFERROR(IF(factura_c_mes7[[#This Row],[CUIT]]="","-",VLOOKUP(factura_c_mes7[[#This Row],[CUIT]],Lista_CUIT[#All],2,0)),"CUIT NO CARGADO")</f>
        <v>MIÑO GUSTAVO SEBASTIAN</v>
      </c>
      <c r="I152" s="444">
        <v>83700</v>
      </c>
      <c r="J152" s="54" t="str">
        <f>IFERROR(IF(factura_c_mes7[[#This Row],[CUIT]]="","-",VLOOKUP(factura_c_mes7[[#This Row],[CUIT]],Lista_CUIT[#All],3,0)),"CUIT NO CARGADO")</f>
        <v>FLETE</v>
      </c>
      <c r="K152" s="54">
        <f>IFERROR(IF(factura_c_mes7[[#This Row],[CUIT]]="","-",VLOOKUP(factura_c_mes7[[#This Row],[CUIT]],Lista_CUIT[#All],4,0)),"CUIT NO CARGADO")</f>
        <v>0</v>
      </c>
    </row>
    <row r="153" spans="4:12" x14ac:dyDescent="0.25">
      <c r="D153" s="457">
        <v>45110</v>
      </c>
      <c r="E153" s="448">
        <v>3</v>
      </c>
      <c r="F153" s="448">
        <v>749</v>
      </c>
      <c r="G153" s="36">
        <v>20086277523</v>
      </c>
      <c r="H153" s="53" t="str">
        <f>IFERROR(IF(factura_c_mes7[[#This Row],[CUIT]]="","-",VLOOKUP(factura_c_mes7[[#This Row],[CUIT]],Lista_CUIT[#All],2,0)),"CUIT NO CARGADO")</f>
        <v>BOTINDARI JUAN CARLOS</v>
      </c>
      <c r="I153" s="444">
        <v>118200</v>
      </c>
      <c r="J153" s="54" t="str">
        <f>IFERROR(IF(factura_c_mes7[[#This Row],[CUIT]]="","-",VLOOKUP(factura_c_mes7[[#This Row],[CUIT]],Lista_CUIT[#All],3,0)),"CUIT NO CARGADO")</f>
        <v>HONORARIOS CONTABLES</v>
      </c>
      <c r="K153" s="54">
        <f>IFERROR(IF(factura_c_mes7[[#This Row],[CUIT]]="","-",VLOOKUP(factura_c_mes7[[#This Row],[CUIT]],Lista_CUIT[#All],4,0)),"CUIT NO CARGADO")</f>
        <v>0</v>
      </c>
    </row>
    <row r="154" spans="4:12" x14ac:dyDescent="0.25">
      <c r="D154" s="456">
        <v>45110</v>
      </c>
      <c r="E154" s="450">
        <v>3</v>
      </c>
      <c r="F154" s="450">
        <v>247</v>
      </c>
      <c r="G154" s="451">
        <v>23306035444</v>
      </c>
      <c r="H154" s="362" t="str">
        <f>IFERROR(IF(factura_c_mes7[[#This Row],[CUIT]]="","-",VLOOKUP(factura_c_mes7[[#This Row],[CUIT]],Lista_CUIT[#All],2,0)),"CUIT NO CARGADO")</f>
        <v>NADIA TARANTINO</v>
      </c>
      <c r="I154" s="452">
        <v>25615</v>
      </c>
      <c r="J154" s="364" t="str">
        <f>IFERROR(IF(factura_c_mes7[[#This Row],[CUIT]]="","-",VLOOKUP(factura_c_mes7[[#This Row],[CUIT]],Lista_CUIT[#All],3,0)),"CUIT NO CARGADO")</f>
        <v>GASTOS CONTABLES</v>
      </c>
      <c r="K154" s="364">
        <f>IFERROR(IF(factura_c_mes7[[#This Row],[CUIT]]="","-",VLOOKUP(factura_c_mes7[[#This Row],[CUIT]],Lista_CUIT[#All],4,0)),"CUIT NO CARGADO")</f>
        <v>0</v>
      </c>
    </row>
    <row r="155" spans="4:12" x14ac:dyDescent="0.25">
      <c r="D155" s="457">
        <v>45110</v>
      </c>
      <c r="E155" s="448">
        <v>1</v>
      </c>
      <c r="F155" s="448">
        <v>163</v>
      </c>
      <c r="G155" s="36">
        <v>20181517957</v>
      </c>
      <c r="H155" s="53" t="str">
        <f>IFERROR(IF(factura_c_mes7[[#This Row],[CUIT]]="","-",VLOOKUP(factura_c_mes7[[#This Row],[CUIT]],Lista_CUIT[#All],2,0)),"CUIT NO CARGADO")</f>
        <v>MAZAFFRE DANIEL ALBERTO</v>
      </c>
      <c r="I155" s="444">
        <v>37240</v>
      </c>
      <c r="J155" s="54" t="str">
        <f>IFERROR(IF(factura_c_mes7[[#This Row],[CUIT]]="","-",VLOOKUP(factura_c_mes7[[#This Row],[CUIT]],Lista_CUIT[#All],3,0)),"CUIT NO CARGADO")</f>
        <v>Productos Ortopedicos</v>
      </c>
      <c r="K155" s="54">
        <f>IFERROR(IF(factura_c_mes7[[#This Row],[CUIT]]="","-",VLOOKUP(factura_c_mes7[[#This Row],[CUIT]],Lista_CUIT[#All],4,0)),"CUIT NO CARGADO")</f>
        <v>0</v>
      </c>
    </row>
    <row r="156" spans="4:12" x14ac:dyDescent="0.25">
      <c r="D156" s="457">
        <v>45110</v>
      </c>
      <c r="E156" s="448">
        <v>2</v>
      </c>
      <c r="F156" s="448">
        <v>196</v>
      </c>
      <c r="G156" s="36">
        <v>27265832178</v>
      </c>
      <c r="H156" s="53" t="str">
        <f>IFERROR(IF(factura_c_mes7[[#This Row],[CUIT]]="","-",VLOOKUP(factura_c_mes7[[#This Row],[CUIT]],Lista_CUIT[#All],2,0)),"CUIT NO CARGADO")</f>
        <v>BLASCO MARIA GUADALUPE</v>
      </c>
      <c r="I156" s="444">
        <v>150000</v>
      </c>
      <c r="J156" s="54" t="str">
        <f>IFERROR(IF(factura_c_mes7[[#This Row],[CUIT]]="","-",VLOOKUP(factura_c_mes7[[#This Row],[CUIT]],Lista_CUIT[#All],3,0)),"CUIT NO CARGADO")</f>
        <v>Gastos Varios</v>
      </c>
      <c r="K156" s="54">
        <f>IFERROR(IF(factura_c_mes7[[#This Row],[CUIT]]="","-",VLOOKUP(factura_c_mes7[[#This Row],[CUIT]],Lista_CUIT[#All],4,0)),"CUIT NO CARGADO")</f>
        <v>0</v>
      </c>
    </row>
    <row r="157" spans="4:12" x14ac:dyDescent="0.25">
      <c r="D157" s="456">
        <v>45111</v>
      </c>
      <c r="E157" s="450">
        <v>1</v>
      </c>
      <c r="F157" s="450">
        <v>98</v>
      </c>
      <c r="G157" s="451">
        <v>27338342840</v>
      </c>
      <c r="H157" s="362" t="str">
        <f>IFERROR(IF(factura_c_mes7[[#This Row],[CUIT]]="","-",VLOOKUP(factura_c_mes7[[#This Row],[CUIT]],Lista_CUIT[#All],2,0)),"CUIT NO CARGADO")</f>
        <v>CANCINO PAMELA RITA</v>
      </c>
      <c r="I157" s="452">
        <v>109850</v>
      </c>
      <c r="J157" s="364" t="str">
        <f>IFERROR(IF(factura_c_mes7[[#This Row],[CUIT]]="","-",VLOOKUP(factura_c_mes7[[#This Row],[CUIT]],Lista_CUIT[#All],3,0)),"CUIT NO CARGADO")</f>
        <v>Productos Ortopedicos</v>
      </c>
      <c r="K157" s="364">
        <f>IFERROR(IF(factura_c_mes7[[#This Row],[CUIT]]="","-",VLOOKUP(factura_c_mes7[[#This Row],[CUIT]],Lista_CUIT[#All],4,0)),"CUIT NO CARGADO")</f>
        <v>0</v>
      </c>
    </row>
    <row r="158" spans="4:12" x14ac:dyDescent="0.25">
      <c r="D158" s="457">
        <v>45114</v>
      </c>
      <c r="E158" s="448">
        <v>3</v>
      </c>
      <c r="F158" s="448">
        <v>710</v>
      </c>
      <c r="G158" s="36">
        <v>20216451679</v>
      </c>
      <c r="H158" s="53" t="str">
        <f>IFERROR(IF(factura_c_mes7[[#This Row],[CUIT]]="","-",VLOOKUP(factura_c_mes7[[#This Row],[CUIT]],Lista_CUIT[#All],2,0)),"CUIT NO CARGADO")</f>
        <v>VAZQUEZ RICARDO OSCAR</v>
      </c>
      <c r="I158" s="444">
        <v>95000</v>
      </c>
      <c r="J158" s="54" t="str">
        <f>IFERROR(IF(factura_c_mes7[[#This Row],[CUIT]]="","-",VLOOKUP(factura_c_mes7[[#This Row],[CUIT]],Lista_CUIT[#All],3,0)),"CUIT NO CARGADO")</f>
        <v>Productos Ortopedicos</v>
      </c>
      <c r="K158" s="54">
        <f>IFERROR(IF(factura_c_mes7[[#This Row],[CUIT]]="","-",VLOOKUP(factura_c_mes7[[#This Row],[CUIT]],Lista_CUIT[#All],4,0)),"CUIT NO CARGADO")</f>
        <v>0</v>
      </c>
    </row>
    <row r="159" spans="4:12" x14ac:dyDescent="0.25">
      <c r="D159" s="457">
        <v>45117</v>
      </c>
      <c r="E159" s="448">
        <v>2</v>
      </c>
      <c r="F159" s="448">
        <v>56</v>
      </c>
      <c r="G159" s="36">
        <v>20314536852</v>
      </c>
      <c r="H159" s="53" t="str">
        <f>IFERROR(IF(factura_c_mes7[[#This Row],[CUIT]]="","-",VLOOKUP(factura_c_mes7[[#This Row],[CUIT]],Lista_CUIT[#All],2,0)),"CUIT NO CARGADO")</f>
        <v>FRANCESE GONZALO ROMAN</v>
      </c>
      <c r="I159" s="444">
        <v>89750</v>
      </c>
      <c r="J159" s="54" t="str">
        <f>IFERROR(IF(factura_c_mes7[[#This Row],[CUIT]]="","-",VLOOKUP(factura_c_mes7[[#This Row],[CUIT]],Lista_CUIT[#All],3,0)),"CUIT NO CARGADO")</f>
        <v>FLETE</v>
      </c>
      <c r="K159" s="54">
        <f>IFERROR(IF(factura_c_mes7[[#This Row],[CUIT]]="","-",VLOOKUP(factura_c_mes7[[#This Row],[CUIT]],Lista_CUIT[#All],4,0)),"CUIT NO CARGADO")</f>
        <v>0</v>
      </c>
    </row>
    <row r="160" spans="4:12" x14ac:dyDescent="0.25">
      <c r="D160" s="457">
        <v>45118</v>
      </c>
      <c r="E160" s="448">
        <v>2</v>
      </c>
      <c r="F160" s="448">
        <v>476</v>
      </c>
      <c r="G160" s="36">
        <v>27299725761</v>
      </c>
      <c r="H160" s="53" t="str">
        <f>IFERROR(IF(factura_c_mes7[[#This Row],[CUIT]]="","-",VLOOKUP(factura_c_mes7[[#This Row],[CUIT]],Lista_CUIT[#All],2,0)),"CUIT NO CARGADO")</f>
        <v>TURSARKISIAN MISISIAN VERONICA GEMA</v>
      </c>
      <c r="I160" s="444">
        <v>81000</v>
      </c>
      <c r="J160" s="54" t="str">
        <f>IFERROR(IF(factura_c_mes7[[#This Row],[CUIT]]="","-",VLOOKUP(factura_c_mes7[[#This Row],[CUIT]],Lista_CUIT[#All],3,0)),"CUIT NO CARGADO")</f>
        <v>Productos Ortopedicos</v>
      </c>
      <c r="K160" s="54">
        <f>IFERROR(IF(factura_c_mes7[[#This Row],[CUIT]]="","-",VLOOKUP(factura_c_mes7[[#This Row],[CUIT]],Lista_CUIT[#All],4,0)),"CUIT NO CARGADO")</f>
        <v>0</v>
      </c>
    </row>
    <row r="161" spans="4:11" x14ac:dyDescent="0.25">
      <c r="D161" s="457">
        <v>45118</v>
      </c>
      <c r="E161" s="448">
        <v>2</v>
      </c>
      <c r="F161" s="448">
        <v>475</v>
      </c>
      <c r="G161" s="36">
        <v>27299725761</v>
      </c>
      <c r="H161" s="53" t="str">
        <f>IFERROR(IF(factura_c_mes7[[#This Row],[CUIT]]="","-",VLOOKUP(factura_c_mes7[[#This Row],[CUIT]],Lista_CUIT[#All],2,0)),"CUIT NO CARGADO")</f>
        <v>TURSARKISIAN MISISIAN VERONICA GEMA</v>
      </c>
      <c r="I161" s="444">
        <v>20000</v>
      </c>
      <c r="J161" s="54" t="str">
        <f>IFERROR(IF(factura_c_mes7[[#This Row],[CUIT]]="","-",VLOOKUP(factura_c_mes7[[#This Row],[CUIT]],Lista_CUIT[#All],3,0)),"CUIT NO CARGADO")</f>
        <v>Productos Ortopedicos</v>
      </c>
      <c r="K161" s="54">
        <f>IFERROR(IF(factura_c_mes7[[#This Row],[CUIT]]="","-",VLOOKUP(factura_c_mes7[[#This Row],[CUIT]],Lista_CUIT[#All],4,0)),"CUIT NO CARGADO")</f>
        <v>0</v>
      </c>
    </row>
    <row r="162" spans="4:11" x14ac:dyDescent="0.25">
      <c r="D162" s="457">
        <v>45118</v>
      </c>
      <c r="E162" s="448">
        <v>2</v>
      </c>
      <c r="F162" s="448">
        <v>473</v>
      </c>
      <c r="G162" s="36">
        <v>27299725761</v>
      </c>
      <c r="H162" s="53" t="str">
        <f>IFERROR(IF(factura_c_mes7[[#This Row],[CUIT]]="","-",VLOOKUP(factura_c_mes7[[#This Row],[CUIT]],Lista_CUIT[#All],2,0)),"CUIT NO CARGADO")</f>
        <v>TURSARKISIAN MISISIAN VERONICA GEMA</v>
      </c>
      <c r="I162" s="444">
        <v>65000</v>
      </c>
      <c r="J162" s="54" t="str">
        <f>IFERROR(IF(factura_c_mes7[[#This Row],[CUIT]]="","-",VLOOKUP(factura_c_mes7[[#This Row],[CUIT]],Lista_CUIT[#All],3,0)),"CUIT NO CARGADO")</f>
        <v>Productos Ortopedicos</v>
      </c>
      <c r="K162" s="54">
        <f>IFERROR(IF(factura_c_mes7[[#This Row],[CUIT]]="","-",VLOOKUP(factura_c_mes7[[#This Row],[CUIT]],Lista_CUIT[#All],4,0)),"CUIT NO CARGADO")</f>
        <v>0</v>
      </c>
    </row>
    <row r="163" spans="4:11" x14ac:dyDescent="0.25">
      <c r="D163" s="457">
        <v>45118</v>
      </c>
      <c r="E163" s="448">
        <v>2</v>
      </c>
      <c r="F163" s="448">
        <v>474</v>
      </c>
      <c r="G163" s="36">
        <v>27299725761</v>
      </c>
      <c r="H163" s="53" t="str">
        <f>IFERROR(IF(factura_c_mes7[[#This Row],[CUIT]]="","-",VLOOKUP(factura_c_mes7[[#This Row],[CUIT]],Lista_CUIT[#All],2,0)),"CUIT NO CARGADO")</f>
        <v>TURSARKISIAN MISISIAN VERONICA GEMA</v>
      </c>
      <c r="I163" s="444">
        <v>76000</v>
      </c>
      <c r="J163" s="54" t="str">
        <f>IFERROR(IF(factura_c_mes7[[#This Row],[CUIT]]="","-",VLOOKUP(factura_c_mes7[[#This Row],[CUIT]],Lista_CUIT[#All],3,0)),"CUIT NO CARGADO")</f>
        <v>Productos Ortopedicos</v>
      </c>
      <c r="K163" s="54">
        <f>IFERROR(IF(factura_c_mes7[[#This Row],[CUIT]]="","-",VLOOKUP(factura_c_mes7[[#This Row],[CUIT]],Lista_CUIT[#All],4,0)),"CUIT NO CARGADO")</f>
        <v>0</v>
      </c>
    </row>
    <row r="164" spans="4:11" x14ac:dyDescent="0.25">
      <c r="D164" s="457">
        <v>45123</v>
      </c>
      <c r="E164" s="448">
        <v>2</v>
      </c>
      <c r="F164" s="448">
        <v>57</v>
      </c>
      <c r="G164" s="36">
        <v>20314536852</v>
      </c>
      <c r="H164" s="53" t="str">
        <f>IFERROR(IF(factura_c_mes7[[#This Row],[CUIT]]="","-",VLOOKUP(factura_c_mes7[[#This Row],[CUIT]],Lista_CUIT[#All],2,0)),"CUIT NO CARGADO")</f>
        <v>FRANCESE GONZALO ROMAN</v>
      </c>
      <c r="I164" s="444">
        <v>63500</v>
      </c>
      <c r="J164" s="54" t="str">
        <f>IFERROR(IF(factura_c_mes7[[#This Row],[CUIT]]="","-",VLOOKUP(factura_c_mes7[[#This Row],[CUIT]],Lista_CUIT[#All],3,0)),"CUIT NO CARGADO")</f>
        <v>FLETE</v>
      </c>
      <c r="K164" s="54">
        <f>IFERROR(IF(factura_c_mes7[[#This Row],[CUIT]]="","-",VLOOKUP(factura_c_mes7[[#This Row],[CUIT]],Lista_CUIT[#All],4,0)),"CUIT NO CARGADO")</f>
        <v>0</v>
      </c>
    </row>
    <row r="165" spans="4:11" x14ac:dyDescent="0.25">
      <c r="D165" s="457">
        <v>45124</v>
      </c>
      <c r="E165" s="448">
        <v>1</v>
      </c>
      <c r="F165" s="448">
        <v>149</v>
      </c>
      <c r="G165" s="36">
        <v>27217606255</v>
      </c>
      <c r="H165" s="53" t="str">
        <f>IFERROR(IF(factura_c_mes7[[#This Row],[CUIT]]="","-",VLOOKUP(factura_c_mes7[[#This Row],[CUIT]],Lista_CUIT[#All],2,0)),"CUIT NO CARGADO")</f>
        <v>SAPUNA MARIAN KARINA</v>
      </c>
      <c r="I165" s="444">
        <v>74000</v>
      </c>
      <c r="J165" s="54" t="str">
        <f>IFERROR(IF(factura_c_mes7[[#This Row],[CUIT]]="","-",VLOOKUP(factura_c_mes7[[#This Row],[CUIT]],Lista_CUIT[#All],3,0)),"CUIT NO CARGADO")</f>
        <v>GASTOS MANTENIMIENTO</v>
      </c>
      <c r="K165" s="54">
        <f>IFERROR(IF(factura_c_mes7[[#This Row],[CUIT]]="","-",VLOOKUP(factura_c_mes7[[#This Row],[CUIT]],Lista_CUIT[#All],4,0)),"CUIT NO CARGADO")</f>
        <v>0</v>
      </c>
    </row>
    <row r="166" spans="4:11" x14ac:dyDescent="0.25">
      <c r="D166" s="457">
        <v>45124</v>
      </c>
      <c r="E166" s="448">
        <v>2</v>
      </c>
      <c r="F166" s="448">
        <v>199</v>
      </c>
      <c r="G166" s="36">
        <v>27265832178</v>
      </c>
      <c r="H166" s="53" t="str">
        <f>IFERROR(IF(factura_c_mes7[[#This Row],[CUIT]]="","-",VLOOKUP(factura_c_mes7[[#This Row],[CUIT]],Lista_CUIT[#All],2,0)),"CUIT NO CARGADO")</f>
        <v>BLASCO MARIA GUADALUPE</v>
      </c>
      <c r="I166" s="444">
        <v>150000</v>
      </c>
      <c r="J166" s="54" t="str">
        <f>IFERROR(IF(factura_c_mes7[[#This Row],[CUIT]]="","-",VLOOKUP(factura_c_mes7[[#This Row],[CUIT]],Lista_CUIT[#All],3,0)),"CUIT NO CARGADO")</f>
        <v>Gastos Varios</v>
      </c>
      <c r="K166" s="54">
        <f>IFERROR(IF(factura_c_mes7[[#This Row],[CUIT]]="","-",VLOOKUP(factura_c_mes7[[#This Row],[CUIT]],Lista_CUIT[#All],4,0)),"CUIT NO CARGADO")</f>
        <v>0</v>
      </c>
    </row>
    <row r="167" spans="4:11" x14ac:dyDescent="0.25">
      <c r="D167" s="457">
        <v>45125</v>
      </c>
      <c r="E167" s="448">
        <v>1</v>
      </c>
      <c r="F167" s="448">
        <v>150</v>
      </c>
      <c r="G167" s="36">
        <v>27217606255</v>
      </c>
      <c r="H167" s="53" t="str">
        <f>IFERROR(IF(factura_c_mes7[[#This Row],[CUIT]]="","-",VLOOKUP(factura_c_mes7[[#This Row],[CUIT]],Lista_CUIT[#All],2,0)),"CUIT NO CARGADO")</f>
        <v>SAPUNA MARIAN KARINA</v>
      </c>
      <c r="I167" s="444">
        <v>64800</v>
      </c>
      <c r="J167" s="54" t="str">
        <f>IFERROR(IF(factura_c_mes7[[#This Row],[CUIT]]="","-",VLOOKUP(factura_c_mes7[[#This Row],[CUIT]],Lista_CUIT[#All],3,0)),"CUIT NO CARGADO")</f>
        <v>GASTOS MANTENIMIENTO</v>
      </c>
      <c r="K167" s="54">
        <f>IFERROR(IF(factura_c_mes7[[#This Row],[CUIT]]="","-",VLOOKUP(factura_c_mes7[[#This Row],[CUIT]],Lista_CUIT[#All],4,0)),"CUIT NO CARGADO")</f>
        <v>0</v>
      </c>
    </row>
    <row r="168" spans="4:11" x14ac:dyDescent="0.25">
      <c r="D168" s="457">
        <v>45125</v>
      </c>
      <c r="E168" s="448">
        <v>1</v>
      </c>
      <c r="F168" s="448">
        <v>151</v>
      </c>
      <c r="G168" s="36">
        <v>27217606255</v>
      </c>
      <c r="H168" s="53" t="str">
        <f>IFERROR(IF(factura_c_mes7[[#This Row],[CUIT]]="","-",VLOOKUP(factura_c_mes7[[#This Row],[CUIT]],Lista_CUIT[#All],2,0)),"CUIT NO CARGADO")</f>
        <v>SAPUNA MARIAN KARINA</v>
      </c>
      <c r="I168" s="444">
        <v>52360</v>
      </c>
      <c r="J168" s="54" t="str">
        <f>IFERROR(IF(factura_c_mes7[[#This Row],[CUIT]]="","-",VLOOKUP(factura_c_mes7[[#This Row],[CUIT]],Lista_CUIT[#All],3,0)),"CUIT NO CARGADO")</f>
        <v>GASTOS MANTENIMIENTO</v>
      </c>
      <c r="K168" s="54">
        <f>IFERROR(IF(factura_c_mes7[[#This Row],[CUIT]]="","-",VLOOKUP(factura_c_mes7[[#This Row],[CUIT]],Lista_CUIT[#All],4,0)),"CUIT NO CARGADO")</f>
        <v>0</v>
      </c>
    </row>
    <row r="169" spans="4:11" x14ac:dyDescent="0.25">
      <c r="D169" s="456">
        <v>45126</v>
      </c>
      <c r="E169" s="450">
        <v>1</v>
      </c>
      <c r="F169" s="450">
        <v>15</v>
      </c>
      <c r="G169" s="451">
        <v>20421469769</v>
      </c>
      <c r="H169" s="362" t="str">
        <f>IFERROR(IF(factura_c_mes7[[#This Row],[CUIT]]="","-",VLOOKUP(factura_c_mes7[[#This Row],[CUIT]],Lista_CUIT[#All],2,0)),"CUIT NO CARGADO")</f>
        <v>DI PARDO EMIGDIO MAXIMILIANO</v>
      </c>
      <c r="I169" s="452">
        <v>45000</v>
      </c>
      <c r="J169" s="364" t="str">
        <f>IFERROR(IF(factura_c_mes7[[#This Row],[CUIT]]="","-",VLOOKUP(factura_c_mes7[[#This Row],[CUIT]],Lista_CUIT[#All],3,0)),"CUIT NO CARGADO")</f>
        <v>Gastos Varios</v>
      </c>
      <c r="K169" s="364">
        <f>IFERROR(IF(factura_c_mes7[[#This Row],[CUIT]]="","-",VLOOKUP(factura_c_mes7[[#This Row],[CUIT]],Lista_CUIT[#All],4,0)),"CUIT NO CARGADO")</f>
        <v>0</v>
      </c>
    </row>
    <row r="170" spans="4:11" x14ac:dyDescent="0.25">
      <c r="D170" s="457">
        <v>45127</v>
      </c>
      <c r="E170" s="448">
        <v>1</v>
      </c>
      <c r="F170" s="448">
        <v>152</v>
      </c>
      <c r="G170" s="36">
        <v>27217606255</v>
      </c>
      <c r="H170" s="53" t="str">
        <f>IFERROR(IF(factura_c_mes7[[#This Row],[CUIT]]="","-",VLOOKUP(factura_c_mes7[[#This Row],[CUIT]],Lista_CUIT[#All],2,0)),"CUIT NO CARGADO")</f>
        <v>SAPUNA MARIAN KARINA</v>
      </c>
      <c r="I170" s="444">
        <v>92500</v>
      </c>
      <c r="J170" s="54" t="str">
        <f>IFERROR(IF(factura_c_mes7[[#This Row],[CUIT]]="","-",VLOOKUP(factura_c_mes7[[#This Row],[CUIT]],Lista_CUIT[#All],3,0)),"CUIT NO CARGADO")</f>
        <v>GASTOS MANTENIMIENTO</v>
      </c>
      <c r="K170" s="54">
        <f>IFERROR(IF(factura_c_mes7[[#This Row],[CUIT]]="","-",VLOOKUP(factura_c_mes7[[#This Row],[CUIT]],Lista_CUIT[#All],4,0)),"CUIT NO CARGADO")</f>
        <v>0</v>
      </c>
    </row>
    <row r="171" spans="4:11" x14ac:dyDescent="0.25">
      <c r="D171" s="457">
        <v>45130</v>
      </c>
      <c r="E171" s="448">
        <v>2</v>
      </c>
      <c r="F171" s="448">
        <v>59</v>
      </c>
      <c r="G171" s="36">
        <v>20314536852</v>
      </c>
      <c r="H171" s="53" t="str">
        <f>IFERROR(IF(factura_c_mes7[[#This Row],[CUIT]]="","-",VLOOKUP(factura_c_mes7[[#This Row],[CUIT]],Lista_CUIT[#All],2,0)),"CUIT NO CARGADO")</f>
        <v>FRANCESE GONZALO ROMAN</v>
      </c>
      <c r="I171" s="444">
        <v>79750</v>
      </c>
      <c r="J171" s="54" t="str">
        <f>IFERROR(IF(factura_c_mes7[[#This Row],[CUIT]]="","-",VLOOKUP(factura_c_mes7[[#This Row],[CUIT]],Lista_CUIT[#All],3,0)),"CUIT NO CARGADO")</f>
        <v>FLETE</v>
      </c>
      <c r="K171" s="54">
        <f>IFERROR(IF(factura_c_mes7[[#This Row],[CUIT]]="","-",VLOOKUP(factura_c_mes7[[#This Row],[CUIT]],Lista_CUIT[#All],4,0)),"CUIT NO CARGADO")</f>
        <v>0</v>
      </c>
    </row>
    <row r="172" spans="4:11" x14ac:dyDescent="0.25">
      <c r="D172" s="457">
        <v>45131</v>
      </c>
      <c r="E172" s="448">
        <v>2019</v>
      </c>
      <c r="F172" s="448">
        <v>2528</v>
      </c>
      <c r="G172" s="36">
        <v>20277164192</v>
      </c>
      <c r="H172" s="53" t="str">
        <f>IFERROR(IF(factura_c_mes7[[#This Row],[CUIT]]="","-",VLOOKUP(factura_c_mes7[[#This Row],[CUIT]],Lista_CUIT[#All],2,0)),"CUIT NO CARGADO")</f>
        <v>PABLO ROBERTO MURUA POU</v>
      </c>
      <c r="I172" s="444">
        <v>1400</v>
      </c>
      <c r="J172" s="54" t="str">
        <f>IFERROR(IF(factura_c_mes7[[#This Row],[CUIT]]="","-",VLOOKUP(factura_c_mes7[[#This Row],[CUIT]],Lista_CUIT[#All],3,0)),"CUIT NO CARGADO")</f>
        <v>GASTOS VARIOS</v>
      </c>
      <c r="K172" s="54">
        <f>IFERROR(IF(factura_c_mes7[[#This Row],[CUIT]]="","-",VLOOKUP(factura_c_mes7[[#This Row],[CUIT]],Lista_CUIT[#All],4,0)),"CUIT NO CARGADO")</f>
        <v>0</v>
      </c>
    </row>
    <row r="173" spans="4:11" x14ac:dyDescent="0.25">
      <c r="D173" s="457">
        <v>45131</v>
      </c>
      <c r="E173" s="448">
        <v>1</v>
      </c>
      <c r="F173" s="448">
        <v>154</v>
      </c>
      <c r="G173" s="36">
        <v>27217606255</v>
      </c>
      <c r="H173" s="53" t="str">
        <f>IFERROR(IF(factura_c_mes7[[#This Row],[CUIT]]="","-",VLOOKUP(factura_c_mes7[[#This Row],[CUIT]],Lista_CUIT[#All],2,0)),"CUIT NO CARGADO")</f>
        <v>SAPUNA MARIAN KARINA</v>
      </c>
      <c r="I173" s="444">
        <v>70000</v>
      </c>
      <c r="J173" s="54" t="str">
        <f>IFERROR(IF(factura_c_mes7[[#This Row],[CUIT]]="","-",VLOOKUP(factura_c_mes7[[#This Row],[CUIT]],Lista_CUIT[#All],3,0)),"CUIT NO CARGADO")</f>
        <v>GASTOS MANTENIMIENTO</v>
      </c>
      <c r="K173" s="54">
        <f>IFERROR(IF(factura_c_mes7[[#This Row],[CUIT]]="","-",VLOOKUP(factura_c_mes7[[#This Row],[CUIT]],Lista_CUIT[#All],4,0)),"CUIT NO CARGADO")</f>
        <v>0</v>
      </c>
    </row>
    <row r="174" spans="4:11" x14ac:dyDescent="0.25">
      <c r="D174" s="457">
        <v>45131</v>
      </c>
      <c r="E174" s="448">
        <v>1</v>
      </c>
      <c r="F174" s="448">
        <v>153</v>
      </c>
      <c r="G174" s="36">
        <v>27217606255</v>
      </c>
      <c r="H174" s="53" t="str">
        <f>IFERROR(IF(factura_c_mes7[[#This Row],[CUIT]]="","-",VLOOKUP(factura_c_mes7[[#This Row],[CUIT]],Lista_CUIT[#All],2,0)),"CUIT NO CARGADO")</f>
        <v>SAPUNA MARIAN KARINA</v>
      </c>
      <c r="I174" s="444">
        <v>81900</v>
      </c>
      <c r="J174" s="54" t="str">
        <f>IFERROR(IF(factura_c_mes7[[#This Row],[CUIT]]="","-",VLOOKUP(factura_c_mes7[[#This Row],[CUIT]],Lista_CUIT[#All],3,0)),"CUIT NO CARGADO")</f>
        <v>GASTOS MANTENIMIENTO</v>
      </c>
      <c r="K174" s="54">
        <f>IFERROR(IF(factura_c_mes7[[#This Row],[CUIT]]="","-",VLOOKUP(factura_c_mes7[[#This Row],[CUIT]],Lista_CUIT[#All],4,0)),"CUIT NO CARGADO")</f>
        <v>0</v>
      </c>
    </row>
    <row r="175" spans="4:11" x14ac:dyDescent="0.25">
      <c r="D175" s="457">
        <v>45132</v>
      </c>
      <c r="E175" s="448">
        <v>2</v>
      </c>
      <c r="F175" s="448">
        <v>477</v>
      </c>
      <c r="G175" s="36">
        <v>27299725761</v>
      </c>
      <c r="H175" s="53" t="str">
        <f>IFERROR(IF(factura_c_mes7[[#This Row],[CUIT]]="","-",VLOOKUP(factura_c_mes7[[#This Row],[CUIT]],Lista_CUIT[#All],2,0)),"CUIT NO CARGADO")</f>
        <v>TURSARKISIAN MISISIAN VERONICA GEMA</v>
      </c>
      <c r="I175" s="444">
        <v>73000</v>
      </c>
      <c r="J175" s="54" t="str">
        <f>IFERROR(IF(factura_c_mes7[[#This Row],[CUIT]]="","-",VLOOKUP(factura_c_mes7[[#This Row],[CUIT]],Lista_CUIT[#All],3,0)),"CUIT NO CARGADO")</f>
        <v>Productos Ortopedicos</v>
      </c>
      <c r="K175" s="54">
        <f>IFERROR(IF(factura_c_mes7[[#This Row],[CUIT]]="","-",VLOOKUP(factura_c_mes7[[#This Row],[CUIT]],Lista_CUIT[#All],4,0)),"CUIT NO CARGADO")</f>
        <v>0</v>
      </c>
    </row>
    <row r="176" spans="4:11" x14ac:dyDescent="0.25">
      <c r="D176" s="457">
        <v>45132</v>
      </c>
      <c r="E176" s="448">
        <v>2</v>
      </c>
      <c r="F176" s="448">
        <v>478</v>
      </c>
      <c r="G176" s="36">
        <v>27299725761</v>
      </c>
      <c r="H176" s="53" t="str">
        <f>IFERROR(IF(factura_c_mes7[[#This Row],[CUIT]]="","-",VLOOKUP(factura_c_mes7[[#This Row],[CUIT]],Lista_CUIT[#All],2,0)),"CUIT NO CARGADO")</f>
        <v>TURSARKISIAN MISISIAN VERONICA GEMA</v>
      </c>
      <c r="I176" s="444">
        <v>85000</v>
      </c>
      <c r="J176" s="54" t="str">
        <f>IFERROR(IF(factura_c_mes7[[#This Row],[CUIT]]="","-",VLOOKUP(factura_c_mes7[[#This Row],[CUIT]],Lista_CUIT[#All],3,0)),"CUIT NO CARGADO")</f>
        <v>Productos Ortopedicos</v>
      </c>
      <c r="K176" s="54">
        <f>IFERROR(IF(factura_c_mes7[[#This Row],[CUIT]]="","-",VLOOKUP(factura_c_mes7[[#This Row],[CUIT]],Lista_CUIT[#All],4,0)),"CUIT NO CARGADO")</f>
        <v>0</v>
      </c>
    </row>
    <row r="177" spans="2:18" x14ac:dyDescent="0.25">
      <c r="D177" s="457">
        <v>45132</v>
      </c>
      <c r="E177" s="448">
        <v>1</v>
      </c>
      <c r="F177" s="448">
        <v>56</v>
      </c>
      <c r="G177" s="36">
        <v>23281233084</v>
      </c>
      <c r="H177" s="53" t="str">
        <f>IFERROR(IF(factura_c_mes7[[#This Row],[CUIT]]="","-",VLOOKUP(factura_c_mes7[[#This Row],[CUIT]],Lista_CUIT[#All],2,0)),"CUIT NO CARGADO")</f>
        <v>DRUETTA ANDREA MARIEL</v>
      </c>
      <c r="I177" s="444">
        <v>52967</v>
      </c>
      <c r="J177" s="54" t="str">
        <f>IFERROR(IF(factura_c_mes7[[#This Row],[CUIT]]="","-",VLOOKUP(factura_c_mes7[[#This Row],[CUIT]],Lista_CUIT[#All],3,0)),"CUIT NO CARGADO")</f>
        <v>HONORARIOS TECNICOS</v>
      </c>
      <c r="K177" s="54">
        <f>IFERROR(IF(factura_c_mes7[[#This Row],[CUIT]]="","-",VLOOKUP(factura_c_mes7[[#This Row],[CUIT]],Lista_CUIT[#All],4,0)),"CUIT NO CARGADO")</f>
        <v>0</v>
      </c>
    </row>
    <row r="178" spans="2:18" x14ac:dyDescent="0.25">
      <c r="D178" s="457">
        <v>45132</v>
      </c>
      <c r="E178" s="448">
        <v>1</v>
      </c>
      <c r="F178" s="448">
        <v>155</v>
      </c>
      <c r="G178" s="36">
        <v>27217606255</v>
      </c>
      <c r="H178" s="53" t="str">
        <f>IFERROR(IF(factura_c_mes7[[#This Row],[CUIT]]="","-",VLOOKUP(factura_c_mes7[[#This Row],[CUIT]],Lista_CUIT[#All],2,0)),"CUIT NO CARGADO")</f>
        <v>SAPUNA MARIAN KARINA</v>
      </c>
      <c r="I178" s="444">
        <v>62700</v>
      </c>
      <c r="J178" s="54" t="str">
        <f>IFERROR(IF(factura_c_mes7[[#This Row],[CUIT]]="","-",VLOOKUP(factura_c_mes7[[#This Row],[CUIT]],Lista_CUIT[#All],3,0)),"CUIT NO CARGADO")</f>
        <v>GASTOS MANTENIMIENTO</v>
      </c>
      <c r="K178" s="54">
        <f>IFERROR(IF(factura_c_mes7[[#This Row],[CUIT]]="","-",VLOOKUP(factura_c_mes7[[#This Row],[CUIT]],Lista_CUIT[#All],4,0)),"CUIT NO CARGADO")</f>
        <v>0</v>
      </c>
    </row>
    <row r="179" spans="2:18" x14ac:dyDescent="0.25">
      <c r="D179" s="456">
        <v>45132</v>
      </c>
      <c r="E179" s="450">
        <v>1</v>
      </c>
      <c r="F179" s="450">
        <v>38</v>
      </c>
      <c r="G179" s="451">
        <v>20403969886</v>
      </c>
      <c r="H179" s="362" t="str">
        <f>IFERROR(IF(factura_c_mes7[[#This Row],[CUIT]]="","-",VLOOKUP(factura_c_mes7[[#This Row],[CUIT]],Lista_CUIT[#All],2,0)),"CUIT NO CARGADO")</f>
        <v>DEL GESSO FRANCO JESUS</v>
      </c>
      <c r="I179" s="452">
        <v>291520</v>
      </c>
      <c r="J179" s="364" t="str">
        <f>IFERROR(IF(factura_c_mes7[[#This Row],[CUIT]]="","-",VLOOKUP(factura_c_mes7[[#This Row],[CUIT]],Lista_CUIT[#All],3,0)),"CUIT NO CARGADO")</f>
        <v>GASTOS ADMINISTRATIVOS</v>
      </c>
      <c r="K179" s="364">
        <f>IFERROR(IF(factura_c_mes7[[#This Row],[CUIT]]="","-",VLOOKUP(factura_c_mes7[[#This Row],[CUIT]],Lista_CUIT[#All],4,0)),"CUIT NO CARGADO")</f>
        <v>0</v>
      </c>
    </row>
    <row r="180" spans="2:18" x14ac:dyDescent="0.25">
      <c r="D180" s="457">
        <v>45132</v>
      </c>
      <c r="E180" s="448">
        <v>3</v>
      </c>
      <c r="F180" s="448">
        <v>717</v>
      </c>
      <c r="G180" s="36">
        <v>20216451679</v>
      </c>
      <c r="H180" s="53" t="str">
        <f>IFERROR(IF(factura_c_mes7[[#This Row],[CUIT]]="","-",VLOOKUP(factura_c_mes7[[#This Row],[CUIT]],Lista_CUIT[#All],2,0)),"CUIT NO CARGADO")</f>
        <v>VAZQUEZ RICARDO OSCAR</v>
      </c>
      <c r="I180" s="444">
        <v>36000</v>
      </c>
      <c r="J180" s="54" t="str">
        <f>IFERROR(IF(factura_c_mes7[[#This Row],[CUIT]]="","-",VLOOKUP(factura_c_mes7[[#This Row],[CUIT]],Lista_CUIT[#All],3,0)),"CUIT NO CARGADO")</f>
        <v>Productos Ortopedicos</v>
      </c>
      <c r="K180" s="54">
        <f>IFERROR(IF(factura_c_mes7[[#This Row],[CUIT]]="","-",VLOOKUP(factura_c_mes7[[#This Row],[CUIT]],Lista_CUIT[#All],4,0)),"CUIT NO CARGADO")</f>
        <v>0</v>
      </c>
    </row>
    <row r="181" spans="2:18" x14ac:dyDescent="0.25">
      <c r="D181" s="456">
        <v>45133</v>
      </c>
      <c r="E181" s="450">
        <v>2</v>
      </c>
      <c r="F181" s="450">
        <v>95</v>
      </c>
      <c r="G181" s="451">
        <v>20220423655</v>
      </c>
      <c r="H181" s="362" t="str">
        <f>IFERROR(IF(factura_c_mes7[[#This Row],[CUIT]]="","-",VLOOKUP(factura_c_mes7[[#This Row],[CUIT]],Lista_CUIT[#All],2,0)),"CUIT NO CARGADO")</f>
        <v>LANDRO FERNANDO GABRIEL</v>
      </c>
      <c r="I181" s="452">
        <v>272085</v>
      </c>
      <c r="J181" s="364" t="str">
        <f>IFERROR(IF(factura_c_mes7[[#This Row],[CUIT]]="","-",VLOOKUP(factura_c_mes7[[#This Row],[CUIT]],Lista_CUIT[#All],3,0)),"CUIT NO CARGADO")</f>
        <v>GESTION COBRANZAS</v>
      </c>
      <c r="K181" s="364">
        <f>IFERROR(IF(factura_c_mes7[[#This Row],[CUIT]]="","-",VLOOKUP(factura_c_mes7[[#This Row],[CUIT]],Lista_CUIT[#All],4,0)),"CUIT NO CARGADO")</f>
        <v>0</v>
      </c>
    </row>
    <row r="182" spans="2:18" x14ac:dyDescent="0.25">
      <c r="D182" s="456">
        <v>45134</v>
      </c>
      <c r="E182" s="450">
        <v>2</v>
      </c>
      <c r="F182" s="450">
        <v>96</v>
      </c>
      <c r="G182" s="451">
        <v>20220423655</v>
      </c>
      <c r="H182" s="362" t="str">
        <f>IFERROR(IF(factura_c_mes7[[#This Row],[CUIT]]="","-",VLOOKUP(factura_c_mes7[[#This Row],[CUIT]],Lista_CUIT[#All],2,0)),"CUIT NO CARGADO")</f>
        <v>LANDRO FERNANDO GABRIEL</v>
      </c>
      <c r="I182" s="452">
        <v>262980</v>
      </c>
      <c r="J182" s="364" t="str">
        <f>IFERROR(IF(factura_c_mes7[[#This Row],[CUIT]]="","-",VLOOKUP(factura_c_mes7[[#This Row],[CUIT]],Lista_CUIT[#All],3,0)),"CUIT NO CARGADO")</f>
        <v>GESTION COBRANZAS</v>
      </c>
      <c r="K182" s="364">
        <f>IFERROR(IF(factura_c_mes7[[#This Row],[CUIT]]="","-",VLOOKUP(factura_c_mes7[[#This Row],[CUIT]],Lista_CUIT[#All],4,0)),"CUIT NO CARGADO")</f>
        <v>0</v>
      </c>
    </row>
    <row r="183" spans="2:18" x14ac:dyDescent="0.25">
      <c r="D183" s="265"/>
      <c r="E183" s="265"/>
      <c r="F183" s="265"/>
      <c r="G183" s="119"/>
      <c r="H183" s="53" t="str">
        <f>IFERROR(IF(factura_c_mes7[[#This Row],[CUIT]]="","-",VLOOKUP(factura_c_mes7[[#This Row],[CUIT]],Lista_CUIT[#All],2,0)),"CUIT NO CARGADO")</f>
        <v>-</v>
      </c>
      <c r="I183" s="266"/>
      <c r="J183" s="54" t="str">
        <f>IFERROR(IF(factura_c_mes7[[#This Row],[CUIT]]="","-",VLOOKUP(factura_c_mes7[[#This Row],[CUIT]],Lista_CUIT[#All],3,0)),"CUIT NO CARGADO")</f>
        <v>-</v>
      </c>
      <c r="K183" s="54" t="str">
        <f>IFERROR(IF(factura_c_mes7[[#This Row],[CUIT]]="","-",VLOOKUP(factura_c_mes7[[#This Row],[CUIT]],Lista_CUIT[#All],4,0)),"CUIT NO CARGADO")</f>
        <v>-</v>
      </c>
    </row>
    <row r="184" spans="2:18" x14ac:dyDescent="0.25">
      <c r="D184" s="265"/>
      <c r="E184" s="265"/>
      <c r="F184" s="265"/>
      <c r="G184" s="119"/>
      <c r="H184" s="53" t="str">
        <f>IFERROR(IF(factura_c_mes7[[#This Row],[CUIT]]="","-",VLOOKUP(factura_c_mes7[[#This Row],[CUIT]],Lista_CUIT[#All],2,0)),"CUIT NO CARGADO")</f>
        <v>-</v>
      </c>
      <c r="I184" s="266"/>
      <c r="J184" s="54" t="str">
        <f>IFERROR(IF(factura_c_mes7[[#This Row],[CUIT]]="","-",VLOOKUP(factura_c_mes7[[#This Row],[CUIT]],Lista_CUIT[#All],3,0)),"CUIT NO CARGADO")</f>
        <v>-</v>
      </c>
      <c r="K184" s="54" t="str">
        <f>IFERROR(IF(factura_c_mes7[[#This Row],[CUIT]]="","-",VLOOKUP(factura_c_mes7[[#This Row],[CUIT]],Lista_CUIT[#All],4,0)),"CUIT NO CARGADO")</f>
        <v>-</v>
      </c>
    </row>
    <row r="185" spans="2:18" x14ac:dyDescent="0.25">
      <c r="D185" s="55" t="s">
        <v>110</v>
      </c>
      <c r="E185" s="55"/>
      <c r="F185" s="55"/>
      <c r="G185" s="55"/>
      <c r="H185" s="57"/>
      <c r="I185" s="58">
        <f>SUBTOTAL(109,factura_c_mes7[TOTAL])</f>
        <v>2917617</v>
      </c>
      <c r="J185" s="55"/>
      <c r="K185" s="55"/>
    </row>
    <row r="186" spans="2:18" x14ac:dyDescent="0.25">
      <c r="B186" s="56"/>
      <c r="C186" s="56"/>
      <c r="L186" s="56"/>
      <c r="M186" s="56"/>
      <c r="N186" s="56"/>
      <c r="O186" s="56"/>
      <c r="P186" s="56"/>
      <c r="Q186" s="56"/>
      <c r="R186" s="56"/>
    </row>
    <row r="191" spans="2:18" ht="26.25" x14ac:dyDescent="0.25">
      <c r="B191" s="532" t="s">
        <v>29</v>
      </c>
      <c r="C191" s="532"/>
      <c r="D191" s="532"/>
      <c r="E191" s="532"/>
      <c r="F191" s="532"/>
      <c r="G191" s="532"/>
      <c r="H191" s="532"/>
      <c r="I191" s="532"/>
      <c r="J191" s="532"/>
      <c r="K191" s="528">
        <f>N1</f>
        <v>45108</v>
      </c>
      <c r="L191" s="528"/>
      <c r="M191" s="528"/>
    </row>
    <row r="193" spans="2:13" ht="21" x14ac:dyDescent="0.25">
      <c r="B193" s="525" t="s">
        <v>30</v>
      </c>
      <c r="C193" s="525"/>
    </row>
    <row r="194" spans="2:13" ht="15.75" x14ac:dyDescent="0.25">
      <c r="B194" s="60" t="s">
        <v>0</v>
      </c>
      <c r="C194" s="61" t="s">
        <v>1</v>
      </c>
      <c r="D194" s="61" t="s">
        <v>21</v>
      </c>
      <c r="E194" s="61" t="s">
        <v>22</v>
      </c>
      <c r="F194" s="61" t="s">
        <v>3</v>
      </c>
      <c r="G194" s="61" t="s">
        <v>4</v>
      </c>
      <c r="H194" s="61" t="s">
        <v>23</v>
      </c>
      <c r="I194" s="61" t="s">
        <v>17</v>
      </c>
      <c r="J194" s="61" t="s">
        <v>7</v>
      </c>
      <c r="K194" s="61" t="s">
        <v>24</v>
      </c>
      <c r="L194" s="61" t="s">
        <v>10</v>
      </c>
      <c r="M194" s="62" t="s">
        <v>38</v>
      </c>
    </row>
    <row r="195" spans="2:13" x14ac:dyDescent="0.25">
      <c r="B195" s="40"/>
      <c r="C195" s="41"/>
      <c r="D195" s="42"/>
      <c r="E195" s="43"/>
      <c r="F195" s="44"/>
      <c r="G195" s="99" t="str">
        <f>IFERROR(IF(venta_a_mes7[[#This Row],[CUIT]]="","-",VLOOKUP(venta_a_mes7[[#This Row],[CUIT]],Lista_CUIT[#All],2,0)),"CUIT NO CARGADO")</f>
        <v>-</v>
      </c>
      <c r="H195" s="100"/>
      <c r="I195" s="101">
        <f>venta_a_mes7[[#This Row],[IMPORTE NETO]]*0.21</f>
        <v>0</v>
      </c>
      <c r="J195" s="65"/>
      <c r="K195" s="65"/>
      <c r="L195" s="65">
        <f>SUM(venta_a_mes7[[#This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99" t="str">
        <f>IFERROR(IF(venta_a_mes7[[#This Row],[CUIT]]="","-",VLOOKUP(venta_a_mes7[[#This Row],[CUIT]],Lista_CUIT[#All],2,0)),"CUIT NO CARGADO")</f>
        <v>-</v>
      </c>
      <c r="H196" s="100"/>
      <c r="I196" s="101">
        <f>venta_a_mes7[[#This Row],[IMPORTE NETO]]*0.21</f>
        <v>0</v>
      </c>
      <c r="J196" s="65"/>
      <c r="K196" s="65"/>
      <c r="L196" s="65">
        <f>SUM(venta_a_mes7[[#This Row],[IMPORTE NETO]:[EXENTO]])</f>
        <v>0</v>
      </c>
      <c r="M196" s="59"/>
    </row>
    <row r="197" spans="2:13" x14ac:dyDescent="0.25">
      <c r="B197" s="40"/>
      <c r="C197" s="41"/>
      <c r="D197" s="42"/>
      <c r="E197" s="43"/>
      <c r="F197" s="44"/>
      <c r="G197" s="99" t="str">
        <f>IFERROR(IF(venta_a_mes7[[#This Row],[CUIT]]="","-",VLOOKUP(venta_a_mes7[[#This Row],[CUIT]],Lista_CUIT[#All],2,0)),"CUIT NO CARGADO")</f>
        <v>-</v>
      </c>
      <c r="H197" s="100"/>
      <c r="I197" s="101">
        <f>venta_a_mes7[[#This Row],[IMPORTE NETO]]*0.21</f>
        <v>0</v>
      </c>
      <c r="J197" s="65"/>
      <c r="K197" s="65"/>
      <c r="L197" s="65">
        <f>SUM(venta_a_mes7[[#This Row],[IMPORTE NETO]:[EXENTO]])</f>
        <v>0</v>
      </c>
      <c r="M197" s="59"/>
    </row>
    <row r="198" spans="2:13" x14ac:dyDescent="0.25">
      <c r="B198" s="40"/>
      <c r="C198" s="41"/>
      <c r="D198" s="42"/>
      <c r="E198" s="43"/>
      <c r="F198" s="44"/>
      <c r="G198" s="99" t="str">
        <f>IFERROR(IF(venta_a_mes7[[#This Row],[CUIT]]="","-",VLOOKUP(venta_a_mes7[[#This Row],[CUIT]],Lista_CUIT[#All],2,0)),"CUIT NO CARGADO")</f>
        <v>-</v>
      </c>
      <c r="H198" s="100"/>
      <c r="I198" s="101">
        <f>venta_a_mes7[[#This Row],[IMPORTE NETO]]*0.21</f>
        <v>0</v>
      </c>
      <c r="J198" s="65"/>
      <c r="K198" s="65"/>
      <c r="L198" s="65">
        <f>SUM(venta_a_mes7[[#This Row],[IMPORTE NETO]:[EXENTO]])</f>
        <v>0</v>
      </c>
      <c r="M198" s="59"/>
    </row>
    <row r="199" spans="2:13" x14ac:dyDescent="0.25">
      <c r="B199" s="40"/>
      <c r="C199" s="41"/>
      <c r="D199" s="42"/>
      <c r="E199" s="43"/>
      <c r="F199" s="44"/>
      <c r="G199" s="99" t="str">
        <f>IFERROR(IF(venta_a_mes7[[#This Row],[CUIT]]="","-",VLOOKUP(venta_a_mes7[[#This Row],[CUIT]],Lista_CUIT[#All],2,0)),"CUIT NO CARGADO")</f>
        <v>-</v>
      </c>
      <c r="H199" s="100"/>
      <c r="I199" s="101">
        <f>venta_a_mes7[[#This Row],[IMPORTE NETO]]*0.21</f>
        <v>0</v>
      </c>
      <c r="J199" s="65"/>
      <c r="K199" s="65"/>
      <c r="L199" s="65">
        <f>SUM(venta_a_mes7[[#This Row],[IMPORTE NETO]:[EXENTO]])</f>
        <v>0</v>
      </c>
      <c r="M199" s="59"/>
    </row>
    <row r="200" spans="2:13" x14ac:dyDescent="0.25">
      <c r="B200" s="40"/>
      <c r="C200" s="41"/>
      <c r="D200" s="42"/>
      <c r="E200" s="43"/>
      <c r="F200" s="44"/>
      <c r="G200" s="99" t="str">
        <f>IFERROR(IF(venta_a_mes7[[#This Row],[CUIT]]="","-",VLOOKUP(venta_a_mes7[[#This Row],[CUIT]],Lista_CUIT[#All],2,0)),"CUIT NO CARGADO")</f>
        <v>-</v>
      </c>
      <c r="H200" s="100"/>
      <c r="I200" s="101">
        <f>venta_a_mes7[[#This Row],[IMPORTE NETO]]*0.21</f>
        <v>0</v>
      </c>
      <c r="J200" s="65"/>
      <c r="K200" s="65"/>
      <c r="L200" s="65">
        <f>SUM(venta_a_mes7[[#This Row],[IMPORTE NETO]:[EXENTO]])</f>
        <v>0</v>
      </c>
      <c r="M200" s="59"/>
    </row>
    <row r="201" spans="2:13" x14ac:dyDescent="0.25">
      <c r="B201" s="40"/>
      <c r="C201" s="41"/>
      <c r="D201" s="42"/>
      <c r="E201" s="43"/>
      <c r="F201" s="44"/>
      <c r="G201" s="99" t="str">
        <f>IFERROR(IF(venta_a_mes7[[#This Row],[CUIT]]="","-",VLOOKUP(venta_a_mes7[[#This Row],[CUIT]],Lista_CUIT[#All],2,0)),"CUIT NO CARGADO")</f>
        <v>-</v>
      </c>
      <c r="H201" s="100"/>
      <c r="I201" s="101">
        <f>venta_a_mes7[[#This Row],[IMPORTE NETO]]*0.21</f>
        <v>0</v>
      </c>
      <c r="J201" s="65"/>
      <c r="K201" s="65"/>
      <c r="L201" s="65">
        <f>SUM(venta_a_mes7[[#This Row],[IMPORTE NETO]:[EXENTO]])</f>
        <v>0</v>
      </c>
      <c r="M201" s="63"/>
    </row>
    <row r="202" spans="2:13" x14ac:dyDescent="0.25">
      <c r="B202" s="102"/>
      <c r="C202" s="103"/>
      <c r="D202" s="104"/>
      <c r="E202" s="105"/>
      <c r="F202" s="106"/>
      <c r="G202" s="99" t="str">
        <f>IFERROR(IF(venta_a_mes7[[#This Row],[CUIT]]="","-",VLOOKUP(venta_a_mes7[[#This Row],[CUIT]],Lista_CUIT[#All],2,0)),"CUIT NO CARGADO")</f>
        <v>-</v>
      </c>
      <c r="H202" s="107"/>
      <c r="I202" s="108">
        <f>venta_a_mes7[[#This Row],[IMPORTE NETO]]*0.21</f>
        <v>0</v>
      </c>
      <c r="J202" s="72"/>
      <c r="K202" s="72"/>
      <c r="L202" s="72">
        <f>SUM(venta_a_mes7[[#This Row],[IMPORTE NETO]:[EXENTO]])</f>
        <v>0</v>
      </c>
      <c r="M202" s="63"/>
    </row>
    <row r="203" spans="2:13" x14ac:dyDescent="0.25">
      <c r="B203" s="109"/>
      <c r="C203" s="110"/>
      <c r="D203" s="111"/>
      <c r="E203" s="112"/>
      <c r="F203" s="113"/>
      <c r="G203" s="99" t="str">
        <f>IFERROR(IF(venta_a_mes7[[#This Row],[CUIT]]="","-",VLOOKUP(venta_a_mes7[[#This Row],[CUIT]],Lista_CUIT[#All],2,0)),"CUIT NO CARGADO")</f>
        <v>-</v>
      </c>
      <c r="H203" s="100"/>
      <c r="I203" s="101">
        <f>venta_a_mes7[[#This Row],[IMPORTE NETO]]*0.21</f>
        <v>0</v>
      </c>
      <c r="J203" s="65"/>
      <c r="K203" s="65"/>
      <c r="L203" s="65">
        <f>SUM(venta_a_mes7[[#This Row],[IMPORTE NETO]:[EXENTO]])</f>
        <v>0</v>
      </c>
      <c r="M203" s="59"/>
    </row>
    <row r="204" spans="2:13" x14ac:dyDescent="0.25">
      <c r="B204" s="66" t="s">
        <v>110</v>
      </c>
      <c r="C204" s="67"/>
      <c r="D204" s="67"/>
      <c r="E204" s="67"/>
      <c r="F204" s="67"/>
      <c r="G204" s="67"/>
      <c r="H204" s="69">
        <f>SUBTOTAL(109,venta_a_mes7[IMPORTE NETO])</f>
        <v>0</v>
      </c>
      <c r="I204" s="70">
        <f>SUBTOTAL(109,venta_a_mes7[IVA 21%])</f>
        <v>0</v>
      </c>
      <c r="J204" s="71">
        <f>SUBTOTAL(109,venta_a_mes7[IVA 10,5%])</f>
        <v>0</v>
      </c>
      <c r="K204" s="71">
        <f>SUBTOTAL(109,venta_a_mes7[EXENTO])</f>
        <v>0</v>
      </c>
      <c r="L204" s="71">
        <f>SUBTOTAL(109,venta_a_mes7[TOTAL])</f>
        <v>0</v>
      </c>
      <c r="M204" s="68">
        <f>SUBTOTAL(103,venta_a_mes7[Provincia])</f>
        <v>0</v>
      </c>
    </row>
    <row r="207" spans="2:13" ht="21" x14ac:dyDescent="0.25">
      <c r="B207" s="525" t="s">
        <v>31</v>
      </c>
      <c r="C207" s="525"/>
    </row>
    <row r="208" spans="2:13" ht="15.75" x14ac:dyDescent="0.25">
      <c r="B208" s="60" t="s">
        <v>0</v>
      </c>
      <c r="C208" s="61" t="s">
        <v>1</v>
      </c>
      <c r="D208" s="61" t="s">
        <v>21</v>
      </c>
      <c r="E208" s="61" t="s">
        <v>22</v>
      </c>
      <c r="F208" s="61" t="s">
        <v>3</v>
      </c>
      <c r="G208" s="61" t="s">
        <v>4</v>
      </c>
      <c r="H208" s="61" t="s">
        <v>23</v>
      </c>
      <c r="I208" s="61" t="s">
        <v>17</v>
      </c>
      <c r="J208" s="61" t="s">
        <v>7</v>
      </c>
      <c r="K208" s="61" t="s">
        <v>24</v>
      </c>
      <c r="L208" s="61" t="s">
        <v>10</v>
      </c>
      <c r="M208" s="62" t="s">
        <v>38</v>
      </c>
    </row>
    <row r="209" spans="2:13" x14ac:dyDescent="0.25">
      <c r="B209" s="40"/>
      <c r="C209" s="41"/>
      <c r="D209" s="42"/>
      <c r="E209" s="43"/>
      <c r="F209" s="44"/>
      <c r="G209" s="1" t="str">
        <f>IFERROR(IF(ventas_b_mes7[[#This Row],[CUIT]]="","-",VLOOKUP(ventas_b_mes7[[#This Row],[CUIT]],Lista_CUIT[#All],2,0)),"CUIT NO CARGADO")</f>
        <v>-</v>
      </c>
      <c r="H209" s="64"/>
      <c r="I209" s="64"/>
      <c r="J209" s="64"/>
      <c r="K209" s="64"/>
      <c r="L209" s="64">
        <f>SUM(ventas_b_mes7[[#This Row],[IMPORTE NETO]:[EXENTO]])</f>
        <v>0</v>
      </c>
      <c r="M209" s="59"/>
    </row>
    <row r="210" spans="2:13" x14ac:dyDescent="0.25">
      <c r="B210" s="40"/>
      <c r="C210" s="41"/>
      <c r="D210" s="42"/>
      <c r="E210" s="43"/>
      <c r="F210" s="44"/>
      <c r="G210" s="1"/>
      <c r="H210" s="64"/>
      <c r="I210" s="64"/>
      <c r="J210" s="64"/>
      <c r="K210" s="64"/>
      <c r="L210" s="64">
        <f>SUM(ventas_b_mes7[[#This Row],[IMPORTE NETO]:[EXENTO]])</f>
        <v>0</v>
      </c>
      <c r="M210" s="59"/>
    </row>
    <row r="211" spans="2:13" x14ac:dyDescent="0.25">
      <c r="B211" s="40"/>
      <c r="C211" s="41"/>
      <c r="D211" s="42"/>
      <c r="E211" s="43"/>
      <c r="F211" s="44"/>
      <c r="G211" s="1"/>
      <c r="H211" s="64"/>
      <c r="I211" s="64"/>
      <c r="J211" s="64"/>
      <c r="K211" s="64"/>
      <c r="L211" s="64">
        <f>SUM(ventas_b_mes7[[#This Row],[IMPORTE NETO]:[EXENTO]])</f>
        <v>0</v>
      </c>
      <c r="M211" s="59"/>
    </row>
    <row r="212" spans="2:13" x14ac:dyDescent="0.25">
      <c r="B212" s="40"/>
      <c r="C212" s="41"/>
      <c r="D212" s="42"/>
      <c r="E212" s="43"/>
      <c r="F212" s="44"/>
      <c r="G212" s="1"/>
      <c r="H212" s="64"/>
      <c r="I212" s="64"/>
      <c r="J212" s="64"/>
      <c r="K212" s="64"/>
      <c r="L212" s="64">
        <f>SUM(ventas_b_mes7[[#This Row],[IMPORTE NETO]:[EXENTO]])</f>
        <v>0</v>
      </c>
      <c r="M212" s="59"/>
    </row>
    <row r="213" spans="2:13" x14ac:dyDescent="0.25">
      <c r="B213" s="40"/>
      <c r="C213" s="41"/>
      <c r="D213" s="42"/>
      <c r="E213" s="43"/>
      <c r="F213" s="44"/>
      <c r="G213" s="1"/>
      <c r="H213" s="64"/>
      <c r="I213" s="64"/>
      <c r="J213" s="64"/>
      <c r="K213" s="64"/>
      <c r="L213" s="64">
        <f>SUM(ventas_b_mes7[[#This Row],[IMPORTE NETO]:[EXENTO]])</f>
        <v>0</v>
      </c>
      <c r="M213" s="59"/>
    </row>
    <row r="214" spans="2:13" x14ac:dyDescent="0.25">
      <c r="B214" s="40"/>
      <c r="C214" s="41"/>
      <c r="D214" s="42"/>
      <c r="E214" s="43"/>
      <c r="F214" s="44"/>
      <c r="G214" s="1"/>
      <c r="H214" s="64"/>
      <c r="I214" s="64"/>
      <c r="J214" s="64"/>
      <c r="K214" s="64"/>
      <c r="L214" s="64">
        <f>SUM(ventas_b_mes7[[#This Row],[IMPORTE NETO]:[EXENTO]])</f>
        <v>0</v>
      </c>
      <c r="M214" s="59"/>
    </row>
    <row r="215" spans="2:13" x14ac:dyDescent="0.25">
      <c r="B215" s="66" t="s">
        <v>110</v>
      </c>
      <c r="C215" s="67"/>
      <c r="D215" s="67"/>
      <c r="E215" s="67"/>
      <c r="F215" s="67"/>
      <c r="G215" s="67"/>
      <c r="H215" s="77">
        <f>SUBTOTAL(109,ventas_b_mes7[IMPORTE NETO])</f>
        <v>0</v>
      </c>
      <c r="I215" s="77">
        <f>SUBTOTAL(109,ventas_b_mes7[IVA 21%])</f>
        <v>0</v>
      </c>
      <c r="J215" s="78">
        <f>SUBTOTAL(109,ventas_b_mes7[IVA 10,5%])</f>
        <v>0</v>
      </c>
      <c r="K215" s="78">
        <f>SUBTOTAL(109,ventas_b_mes7[EXENTO])</f>
        <v>0</v>
      </c>
      <c r="L215" s="78">
        <f>SUBTOTAL(109,ventas_b_mes7[TOTAL])</f>
        <v>0</v>
      </c>
      <c r="M215" s="68">
        <f>SUBTOTAL(103,ventas_b_mes7[Provincia])</f>
        <v>0</v>
      </c>
    </row>
    <row r="222" spans="2:13" ht="15.75" thickBot="1" x14ac:dyDescent="0.3"/>
    <row r="223" spans="2:13" ht="15.75" thickTop="1" x14ac:dyDescent="0.25">
      <c r="C223" s="522" t="s">
        <v>66</v>
      </c>
      <c r="D223" s="522"/>
      <c r="E223" s="522"/>
      <c r="F223" s="522"/>
      <c r="G223" s="522"/>
      <c r="H223" s="32"/>
      <c r="I223" s="32"/>
      <c r="J223" s="32"/>
    </row>
    <row r="224" spans="2:13" ht="15.75" x14ac:dyDescent="0.25">
      <c r="C224" s="114" t="s">
        <v>67</v>
      </c>
      <c r="D224" s="115" t="s">
        <v>68</v>
      </c>
      <c r="E224" s="115" t="s">
        <v>112</v>
      </c>
      <c r="F224" s="115" t="s">
        <v>3</v>
      </c>
      <c r="G224" s="115" t="s">
        <v>4</v>
      </c>
      <c r="H224" s="116" t="s">
        <v>69</v>
      </c>
      <c r="I224" s="116" t="s">
        <v>70</v>
      </c>
      <c r="J224" s="116" t="s">
        <v>71</v>
      </c>
      <c r="K224" s="116" t="s">
        <v>72</v>
      </c>
      <c r="L224" s="116" t="s">
        <v>73</v>
      </c>
    </row>
    <row r="225" spans="3:12" x14ac:dyDescent="0.25">
      <c r="C225" s="117"/>
      <c r="D225" s="118"/>
      <c r="E225" s="118"/>
      <c r="F225" s="119"/>
      <c r="G225" s="53" t="str">
        <f>IFERROR(IF(Retenciones_mes7[[#This Row],[CUIT]]="","-",VLOOKUP(Retenciones_mes7[[#This Row],[CUIT]],Lista_CUIT[#All],2,0)),"CUIT NO CARGADO")</f>
        <v>-</v>
      </c>
      <c r="H225" s="120"/>
      <c r="I225" s="120"/>
      <c r="J225" s="120"/>
      <c r="K225" s="120"/>
      <c r="L225" s="120"/>
    </row>
    <row r="226" spans="3:12" x14ac:dyDescent="0.25">
      <c r="C226" s="117"/>
      <c r="D226" s="118"/>
      <c r="E226" s="118"/>
      <c r="F226" s="119"/>
      <c r="G226" s="53" t="str">
        <f>IFERROR(IF(Retenciones_mes7[[#This Row],[CUIT]]="","-",VLOOKUP(Retenciones_mes7[[#This Row],[CUIT]],Lista_CUIT[#All],2,0)),"CUIT NO CARGADO")</f>
        <v>-</v>
      </c>
      <c r="H226" s="120"/>
      <c r="I226" s="120"/>
      <c r="J226" s="120"/>
      <c r="K226" s="120"/>
      <c r="L226" s="120"/>
    </row>
    <row r="227" spans="3:12" x14ac:dyDescent="0.25">
      <c r="C227" s="117"/>
      <c r="D227" s="118"/>
      <c r="E227" s="118"/>
      <c r="F227" s="119"/>
      <c r="G227" s="53" t="str">
        <f>IFERROR(IF(Retenciones_mes7[[#This Row],[CUIT]]="","-",VLOOKUP(Retenciones_mes7[[#This Row],[CUIT]],Lista_CUIT[#All],2,0)),"CUIT NO CARGADO")</f>
        <v>-</v>
      </c>
      <c r="H227" s="120"/>
      <c r="I227" s="120"/>
      <c r="J227" s="120"/>
      <c r="K227" s="120"/>
      <c r="L227" s="120"/>
    </row>
    <row r="228" spans="3:12" x14ac:dyDescent="0.25">
      <c r="C228" s="117"/>
      <c r="D228" s="118"/>
      <c r="E228" s="118"/>
      <c r="F228" s="119"/>
      <c r="G228" s="53" t="str">
        <f>IFERROR(IF(Retenciones_mes7[[#This Row],[CUIT]]="","-",VLOOKUP(Retenciones_mes7[[#This Row],[CUIT]],Lista_CUIT[#All],2,0)),"CUIT NO CARGADO")</f>
        <v>-</v>
      </c>
      <c r="H228" s="120"/>
      <c r="I228" s="120"/>
      <c r="J228" s="120"/>
      <c r="K228" s="120"/>
      <c r="L228" s="120"/>
    </row>
    <row r="229" spans="3:12" x14ac:dyDescent="0.25">
      <c r="D229" s="118"/>
      <c r="E229" s="118"/>
      <c r="G229" s="53" t="str">
        <f>IFERROR(IF(Retenciones_mes7[[#This Row],[CUIT]]="","-",VLOOKUP(Retenciones_mes7[[#This Row],[CUIT]],Lista_CUIT[#All],2,0)),"CUIT NO CARGADO")</f>
        <v>-</v>
      </c>
    </row>
    <row r="230" spans="3:12" x14ac:dyDescent="0.25">
      <c r="C230" s="33"/>
    </row>
  </sheetData>
  <mergeCells count="20">
    <mergeCell ref="C223:G223"/>
    <mergeCell ref="B4:E4"/>
    <mergeCell ref="G4:H4"/>
    <mergeCell ref="J4:K4"/>
    <mergeCell ref="M4:N4"/>
    <mergeCell ref="D149:K149"/>
    <mergeCell ref="B191:J191"/>
    <mergeCell ref="K191:M191"/>
    <mergeCell ref="B193:C193"/>
    <mergeCell ref="B207:C207"/>
    <mergeCell ref="P4:R4"/>
    <mergeCell ref="D140:L140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E151:E184 D195:D203 D209:D214 D9:D134" xr:uid="{00000000-0002-0000-0700-000000000000}">
      <formula1>1</formula1>
      <formula2>9999</formula2>
    </dataValidation>
    <dataValidation type="whole" allowBlank="1" showInputMessage="1" showErrorMessage="1" sqref="F151:F184 E195:E203 E209:E214 E9:E134" xr:uid="{00000000-0002-0000-0700-000001000000}">
      <formula1>1</formula1>
      <formula2>99999999</formula2>
    </dataValidation>
    <dataValidation type="whole" allowBlank="1" showInputMessage="1" showErrorMessage="1" sqref="G151:G184 F195:F203 F209:F214 F9:F134" xr:uid="{00000000-0002-0000-0700-000002000000}">
      <formula1>20000000000</formula1>
      <formula2>33999999999</formula2>
    </dataValidation>
    <dataValidation type="date" allowBlank="1" showInputMessage="1" showErrorMessage="1" sqref="D142:D144 B195:B203 D151:D184 B136:B139 B209:B214 B9:B134" xr:uid="{00000000-0002-0000-0700-000003000000}">
      <formula1>40179</formula1>
      <formula2>TODAY()</formula2>
    </dataValidation>
    <dataValidation type="whole" allowBlank="1" showInputMessage="1" showErrorMessage="1" sqref="C195:C203 C136:C139 C9:C134" xr:uid="{00000000-0002-0000-0700-000004000000}">
      <formula1>1</formula1>
      <formula2>3</formula2>
    </dataValidation>
    <dataValidation type="custom" allowBlank="1" showInputMessage="1" showErrorMessage="1" sqref="H195:K195 H197:K197 H199:K199 H201:K201" xr:uid="{00000000-0002-0000-0700-000005000000}">
      <formula1>IF($C195=3,H195&lt;0,H195&gt;=0)</formula1>
    </dataValidation>
    <dataValidation type="whole" allowBlank="1" showInputMessage="1" showErrorMessage="1" sqref="C209:C214" xr:uid="{00000000-0002-0000-0700-000006000000}">
      <formula1>6</formula1>
      <formula2>8</formula2>
    </dataValidation>
    <dataValidation type="custom" allowBlank="1" showInputMessage="1" showErrorMessage="1" sqref="L195:L196" xr:uid="{00000000-0002-0000-0700-000007000000}">
      <formula1>IF(#REF!=3,#REF!&lt;0,#REF!&gt;=0)</formula1>
    </dataValidation>
    <dataValidation type="custom" allowBlank="1" showInputMessage="1" showErrorMessage="1" sqref="L197:L199" xr:uid="{00000000-0002-0000-0700-000008000000}">
      <formula1>IF(#REF!=3,#REF!&lt;0,#REF!&gt;=0)</formula1>
    </dataValidation>
    <dataValidation type="custom" allowBlank="1" showInputMessage="1" showErrorMessage="1" sqref="L200:L201" xr:uid="{00000000-0002-0000-0700-000009000000}">
      <formula1>IF($C135=3,L135&lt;0,L135&gt;=0)</formula1>
    </dataValidation>
    <dataValidation type="custom" allowBlank="1" showInputMessage="1" showErrorMessage="1" sqref="H209:L214" xr:uid="{00000000-0002-0000-0700-00000A000000}">
      <formula1>IF($C209=8,H209&lt;0,H209&gt;=0)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34" xr:uid="{00000000-0002-0000-0700-00000B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212"/>
  <sheetViews>
    <sheetView showGridLines="0" topLeftCell="G108" zoomScale="80" zoomScaleNormal="80" workbookViewId="0">
      <selection activeCell="N136" sqref="N136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16" customWidth="1"/>
    <col min="9" max="9" width="17.5703125" customWidth="1"/>
    <col min="10" max="11" width="13.7109375" customWidth="1"/>
    <col min="12" max="12" width="18.28515625" bestFit="1" customWidth="1"/>
    <col min="13" max="13" width="13.28515625" customWidth="1"/>
    <col min="14" max="14" width="17.7109375" bestFit="1" customWidth="1"/>
    <col min="15" max="15" width="13.42578125" customWidth="1"/>
    <col min="16" max="16" width="23.140625" customWidth="1"/>
    <col min="17" max="17" width="12.5703125" customWidth="1"/>
    <col min="18" max="18" width="14.28515625" customWidth="1"/>
    <col min="19" max="19" width="11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EDATE('Ene-23'!N1,7)</f>
        <v>45139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SUM(compras_mes8[[#Totals],[NETO GRAVADO]])+extracto_banco_mes8[[#Totals],[NETO]]</f>
        <v>24407799.09</v>
      </c>
      <c r="C4" s="530"/>
      <c r="D4" s="530"/>
      <c r="E4" s="530"/>
      <c r="F4" s="39"/>
      <c r="G4" s="531">
        <f>compras_mes8[[#Totals],[IVA 21 %]]+compras_mes8[[#Totals],[IVA 27%]]+compras_mes8[[#Totals],[IVA 10,5%]]+extracto_banco_mes8[[#Totals],[IVA 21%]]+extracto_banco_mes8[[#Totals],[IVA 10,5%]]</f>
        <v>4960284.5266999984</v>
      </c>
      <c r="H4" s="531"/>
      <c r="I4" s="39"/>
      <c r="J4" s="537">
        <f>venta_a_mes8[[#Totals],[IMPORTE NETO]]+ventas_b_mes8[[#Totals],[IMPORTE NETO]]</f>
        <v>0</v>
      </c>
      <c r="K4" s="537"/>
      <c r="L4" s="39"/>
      <c r="M4" s="537">
        <f>venta_a_mes8[[#Totals],[IVA 21%]]+venta_a_mes8[[#Totals],[IVA 10,5%]]+ventas_b_mes8[[#Totals],[IVA 21%]]+ventas_b_mes8[[#Totals],[IVA 10,5%]]</f>
        <v>0</v>
      </c>
      <c r="N4" s="537"/>
      <c r="O4" s="39"/>
      <c r="P4" s="533">
        <f>G4-M4</f>
        <v>4960284.5266999984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45124</v>
      </c>
      <c r="C9" s="41">
        <v>1</v>
      </c>
      <c r="D9" s="42">
        <v>13</v>
      </c>
      <c r="E9" s="43">
        <v>1208</v>
      </c>
      <c r="F9" s="44">
        <v>33709914109</v>
      </c>
      <c r="G9" s="45" t="str">
        <f>IFERROR(IF(compras_mes8[[#This Row],[CUIT]]="","-",VLOOKUP(compras_mes8[[#This Row],[CUIT]],Lista_CUIT[#All],2,0)),"CUIT NO CARGADO")</f>
        <v xml:space="preserve">ALAN COLLECTION SA </v>
      </c>
      <c r="H9" s="46">
        <v>4628.1000000000004</v>
      </c>
      <c r="I9" s="85">
        <f>IF(compras_mes8[[#This Row],[NETO GRAVADO]]="","",compras_mes8[[#This Row],[NETO GRAVADO]]*0.21)</f>
        <v>971.90100000000007</v>
      </c>
      <c r="J9" s="85"/>
      <c r="K9" s="85"/>
      <c r="L9" s="85"/>
      <c r="M9" s="85"/>
      <c r="N9" s="85"/>
      <c r="O9" s="85"/>
      <c r="P9" s="48">
        <f>SUM(compras_mes8[[#This Row],[NETO GRAVADO]:[Otros / No Grav.]])</f>
        <v>5600.0010000000002</v>
      </c>
      <c r="Q9" s="49" t="str">
        <f>IFERROR(IF(compras_mes8[[#This Row],[CUIT]]="","-",VLOOKUP(compras_mes8[[#This Row],[CUIT]],Lista_CUIT[#All],3,0)),"CUIT NO CARGADO")</f>
        <v>MERCADERIA</v>
      </c>
      <c r="R9" s="49">
        <f>IFERROR(IF(compras_mes8[[#This Row],[CUIT]]="","-",VLOOKUP(compras_mes8[[#This Row],[CUIT]],Lista_CUIT[#All],4,0)),"CUIT NO CARGADO")</f>
        <v>0</v>
      </c>
    </row>
    <row r="10" spans="1:26" x14ac:dyDescent="0.25">
      <c r="B10" s="40">
        <v>45138</v>
      </c>
      <c r="C10" s="41">
        <v>1</v>
      </c>
      <c r="D10" s="42">
        <v>9044</v>
      </c>
      <c r="E10" s="43">
        <v>17803</v>
      </c>
      <c r="F10" s="44">
        <v>30678774495</v>
      </c>
      <c r="G10" s="45" t="str">
        <f>IFERROR(IF(compras_mes8[[#This Row],[CUIT]]="","-",VLOOKUP(compras_mes8[[#This Row],[CUIT]],Lista_CUIT[#All],2,0)),"CUIT NO CARGADO")</f>
        <v>OPER. DE EST. DE SERV. SA</v>
      </c>
      <c r="H10" s="46">
        <v>2358.11</v>
      </c>
      <c r="I10" s="85">
        <f>IF(compras_mes8[[#This Row],[NETO GRAVADO]]="","",compras_mes8[[#This Row],[NETO GRAVADO]]*0.21)</f>
        <v>495.20310000000001</v>
      </c>
      <c r="J10" s="85"/>
      <c r="K10" s="85"/>
      <c r="L10" s="85"/>
      <c r="M10" s="85"/>
      <c r="N10" s="85"/>
      <c r="O10" s="85">
        <v>157.69</v>
      </c>
      <c r="P10" s="48">
        <f>SUM(compras_mes8[[#This Row],[NETO GRAVADO]:[Otros / No Grav.]])</f>
        <v>3011.0031000000004</v>
      </c>
      <c r="Q10" s="49" t="str">
        <f>IFERROR(IF(compras_mes8[[#This Row],[CUIT]]="","-",VLOOKUP(compras_mes8[[#This Row],[CUIT]],Lista_CUIT[#All],3,0)),"CUIT NO CARGADO")</f>
        <v>COMBUSTIBLE</v>
      </c>
      <c r="R10" s="49">
        <f>IFERROR(IF(compras_mes8[[#This Row],[CUIT]]="","-",VLOOKUP(compras_mes8[[#This Row],[CUIT]],Lista_CUIT[#All],4,0)),"CUIT NO CARGADO")</f>
        <v>0</v>
      </c>
    </row>
    <row r="11" spans="1:26" x14ac:dyDescent="0.25">
      <c r="B11" s="40">
        <v>45139</v>
      </c>
      <c r="C11" s="41">
        <v>1</v>
      </c>
      <c r="D11" s="42">
        <v>4</v>
      </c>
      <c r="E11" s="43">
        <v>56</v>
      </c>
      <c r="F11" s="44">
        <v>20317488476</v>
      </c>
      <c r="G11" s="45" t="str">
        <f>IFERROR(IF(compras_mes8[[#This Row],[CUIT]]="","-",VLOOKUP(compras_mes8[[#This Row],[CUIT]],Lista_CUIT[#All],2,0)),"CUIT NO CARGADO")</f>
        <v>MIGUEL ANGEL VILLALBA</v>
      </c>
      <c r="H11" s="46">
        <v>170912</v>
      </c>
      <c r="I11" s="85">
        <f>IF(compras_mes8[[#This Row],[NETO GRAVADO]]="","",compras_mes8[[#This Row],[NETO GRAVADO]]*0.21)</f>
        <v>35891.519999999997</v>
      </c>
      <c r="J11" s="85"/>
      <c r="K11" s="85"/>
      <c r="L11" s="85"/>
      <c r="M11" s="85"/>
      <c r="N11" s="85"/>
      <c r="O11" s="85"/>
      <c r="P11" s="48">
        <f>SUM(compras_mes8[[#This Row],[NETO GRAVADO]:[Otros / No Grav.]])</f>
        <v>206803.52</v>
      </c>
      <c r="Q11" s="49" t="str">
        <f>IFERROR(IF(compras_mes8[[#This Row],[CUIT]]="","-",VLOOKUP(compras_mes8[[#This Row],[CUIT]],Lista_CUIT[#All],3,0)),"CUIT NO CARGADO")</f>
        <v>Recupero P. Ortopedicos</v>
      </c>
      <c r="R11" s="49">
        <f>IFERROR(IF(compras_mes8[[#This Row],[CUIT]]="","-",VLOOKUP(compras_mes8[[#This Row],[CUIT]],Lista_CUIT[#All],4,0)),"CUIT NO CARGADO")</f>
        <v>0</v>
      </c>
    </row>
    <row r="12" spans="1:26" x14ac:dyDescent="0.25">
      <c r="B12" s="219">
        <v>45139</v>
      </c>
      <c r="C12" s="209">
        <v>1</v>
      </c>
      <c r="D12" s="220">
        <v>4</v>
      </c>
      <c r="E12" s="221">
        <v>96</v>
      </c>
      <c r="F12" s="222">
        <v>30716317028</v>
      </c>
      <c r="G12" s="223" t="str">
        <f>IFERROR(IF(compras_mes8[[#This Row],[CUIT]]="","-",VLOOKUP(compras_mes8[[#This Row],[CUIT]],Lista_CUIT[#All],2,0)),"CUIT NO CARGADO")</f>
        <v>ELECTRO ILUMINATE S.R.L.</v>
      </c>
      <c r="H12" s="224">
        <v>1174.24</v>
      </c>
      <c r="I12" s="225">
        <f>IF(compras_mes8[[#This Row],[NETO GRAVADO]]="","",compras_mes8[[#This Row],[NETO GRAVADO]]*0.21)</f>
        <v>246.59039999999999</v>
      </c>
      <c r="J12" s="225"/>
      <c r="K12" s="225"/>
      <c r="L12" s="225"/>
      <c r="M12" s="225"/>
      <c r="N12" s="225"/>
      <c r="O12" s="225"/>
      <c r="P12" s="226">
        <f>SUM(compras_mes8[[#This Row],[NETO GRAVADO]:[Otros / No Grav.]])</f>
        <v>1420.8304000000001</v>
      </c>
      <c r="Q12" s="227" t="str">
        <f>IFERROR(IF(compras_mes8[[#This Row],[CUIT]]="","-",VLOOKUP(compras_mes8[[#This Row],[CUIT]],Lista_CUIT[#All],3,0)),"CUIT NO CARGADO")</f>
        <v>GASTOS ADMINISTRATIVOS</v>
      </c>
      <c r="R12" s="227">
        <f>IFERROR(IF(compras_mes8[[#This Row],[CUIT]]="","-",VLOOKUP(compras_mes8[[#This Row],[CUIT]],Lista_CUIT[#All],4,0)),"CUIT NO CARGADO")</f>
        <v>0</v>
      </c>
    </row>
    <row r="13" spans="1:26" x14ac:dyDescent="0.25">
      <c r="B13" s="40">
        <v>45139</v>
      </c>
      <c r="C13" s="41">
        <v>1</v>
      </c>
      <c r="D13" s="42">
        <v>2</v>
      </c>
      <c r="E13" s="43">
        <v>190</v>
      </c>
      <c r="F13" s="44">
        <v>30605344352</v>
      </c>
      <c r="G13" s="45" t="str">
        <f>IFERROR(IF(compras_mes8[[#This Row],[CUIT]]="","-",VLOOKUP(compras_mes8[[#This Row],[CUIT]],Lista_CUIT[#All],2,0)),"CUIT NO CARGADO")</f>
        <v>CONSORCIO BARTOLME MITRE 2466</v>
      </c>
      <c r="H13" s="46">
        <v>230000</v>
      </c>
      <c r="I13" s="85">
        <f>IF(compras_mes8[[#This Row],[NETO GRAVADO]]="","",compras_mes8[[#This Row],[NETO GRAVADO]]*0.21)</f>
        <v>48300</v>
      </c>
      <c r="J13" s="85"/>
      <c r="K13" s="85"/>
      <c r="L13" s="85"/>
      <c r="M13" s="85"/>
      <c r="N13" s="85"/>
      <c r="O13" s="85"/>
      <c r="P13" s="48">
        <f>SUM(compras_mes8[[#This Row],[NETO GRAVADO]:[Otros / No Grav.]])</f>
        <v>278300</v>
      </c>
      <c r="Q13" s="49" t="str">
        <f>IFERROR(IF(compras_mes8[[#This Row],[CUIT]]="","-",VLOOKUP(compras_mes8[[#This Row],[CUIT]],Lista_CUIT[#All],3,0)),"CUIT NO CARGADO")</f>
        <v>Gastos Varios</v>
      </c>
      <c r="R13" s="49">
        <f>IFERROR(IF(compras_mes8[[#This Row],[CUIT]]="","-",VLOOKUP(compras_mes8[[#This Row],[CUIT]],Lista_CUIT[#All],4,0)),"CUIT NO CARGADO")</f>
        <v>0</v>
      </c>
    </row>
    <row r="14" spans="1:26" x14ac:dyDescent="0.25">
      <c r="B14" s="40">
        <v>45139</v>
      </c>
      <c r="C14" s="41">
        <v>1</v>
      </c>
      <c r="D14" s="42">
        <v>10</v>
      </c>
      <c r="E14" s="43">
        <v>646</v>
      </c>
      <c r="F14" s="44">
        <v>23324039759</v>
      </c>
      <c r="G14" s="45" t="str">
        <f>IFERROR(IF(compras_mes8[[#This Row],[CUIT]]="","-",VLOOKUP(compras_mes8[[#This Row],[CUIT]],Lista_CUIT[#All],2,0)),"CUIT NO CARGADO")</f>
        <v>RAGO DIEGO ORLANDO</v>
      </c>
      <c r="H14" s="46">
        <v>17834.71</v>
      </c>
      <c r="I14" s="85">
        <f>IF(compras_mes8[[#This Row],[NETO GRAVADO]]="","",compras_mes8[[#This Row],[NETO GRAVADO]]*0.21)</f>
        <v>3745.2890999999995</v>
      </c>
      <c r="J14" s="85"/>
      <c r="K14" s="85"/>
      <c r="L14" s="85"/>
      <c r="M14" s="85"/>
      <c r="N14" s="85"/>
      <c r="O14" s="85"/>
      <c r="P14" s="48">
        <f>SUM(compras_mes8[[#This Row],[NETO GRAVADO]:[Otros / No Grav.]])</f>
        <v>21579.999099999997</v>
      </c>
      <c r="Q14" s="49" t="str">
        <f>IFERROR(IF(compras_mes8[[#This Row],[CUIT]]="","-",VLOOKUP(compras_mes8[[#This Row],[CUIT]],Lista_CUIT[#All],3,0)),"CUIT NO CARGADO")</f>
        <v>LIBRERÍA</v>
      </c>
      <c r="R14" s="49">
        <f>IFERROR(IF(compras_mes8[[#This Row],[CUIT]]="","-",VLOOKUP(compras_mes8[[#This Row],[CUIT]],Lista_CUIT[#All],4,0)),"CUIT NO CARGADO")</f>
        <v>0</v>
      </c>
    </row>
    <row r="15" spans="1:26" x14ac:dyDescent="0.25">
      <c r="B15" s="40">
        <v>45139</v>
      </c>
      <c r="C15" s="41">
        <v>1</v>
      </c>
      <c r="D15" s="42">
        <v>7</v>
      </c>
      <c r="E15" s="43">
        <v>16138</v>
      </c>
      <c r="F15" s="44">
        <v>30709214078</v>
      </c>
      <c r="G15" s="45" t="str">
        <f>IFERROR(IF(compras_mes8[[#This Row],[CUIT]]="","-",VLOOKUP(compras_mes8[[#This Row],[CUIT]],Lista_CUIT[#All],2,0)),"CUIT NO CARGADO")</f>
        <v>REHAVITA S.A</v>
      </c>
      <c r="H15" s="46">
        <v>1529952.46</v>
      </c>
      <c r="I15" s="85">
        <v>302414.59000000003</v>
      </c>
      <c r="J15" s="85"/>
      <c r="K15" s="85">
        <v>9437.7199999999993</v>
      </c>
      <c r="L15" s="85"/>
      <c r="M15" s="85"/>
      <c r="N15" s="85"/>
      <c r="O15" s="85"/>
      <c r="P15" s="48">
        <f>SUM(compras_mes8[[#This Row],[NETO GRAVADO]:[Otros / No Grav.]])</f>
        <v>1841804.77</v>
      </c>
      <c r="Q15" s="49" t="str">
        <f>IFERROR(IF(compras_mes8[[#This Row],[CUIT]]="","-",VLOOKUP(compras_mes8[[#This Row],[CUIT]],Lista_CUIT[#All],3,0)),"CUIT NO CARGADO")</f>
        <v>Productos Ortopedicos</v>
      </c>
      <c r="R15" s="49">
        <f>IFERROR(IF(compras_mes8[[#This Row],[CUIT]]="","-",VLOOKUP(compras_mes8[[#This Row],[CUIT]],Lista_CUIT[#All],4,0)),"CUIT NO CARGADO")</f>
        <v>0</v>
      </c>
    </row>
    <row r="16" spans="1:26" x14ac:dyDescent="0.25">
      <c r="B16" s="40">
        <v>45139</v>
      </c>
      <c r="C16" s="41">
        <v>1</v>
      </c>
      <c r="D16" s="42">
        <v>7</v>
      </c>
      <c r="E16" s="43">
        <v>16142</v>
      </c>
      <c r="F16" s="44">
        <v>30709214078</v>
      </c>
      <c r="G16" s="45" t="str">
        <f>IFERROR(IF(compras_mes8[[#This Row],[CUIT]]="","-",VLOOKUP(compras_mes8[[#This Row],[CUIT]],Lista_CUIT[#All],2,0)),"CUIT NO CARGADO")</f>
        <v>REHAVITA S.A</v>
      </c>
      <c r="H16" s="46">
        <v>37740</v>
      </c>
      <c r="I16" s="85"/>
      <c r="J16" s="85"/>
      <c r="K16" s="85">
        <v>3962.7</v>
      </c>
      <c r="L16" s="85"/>
      <c r="M16" s="85"/>
      <c r="N16" s="85"/>
      <c r="O16" s="85"/>
      <c r="P16" s="48">
        <f>SUM(compras_mes8[[#This Row],[NETO GRAVADO]:[Otros / No Grav.]])</f>
        <v>41702.699999999997</v>
      </c>
      <c r="Q16" s="49" t="str">
        <f>IFERROR(IF(compras_mes8[[#This Row],[CUIT]]="","-",VLOOKUP(compras_mes8[[#This Row],[CUIT]],Lista_CUIT[#All],3,0)),"CUIT NO CARGADO")</f>
        <v>Productos Ortopedicos</v>
      </c>
      <c r="R16" s="49">
        <f>IFERROR(IF(compras_mes8[[#This Row],[CUIT]]="","-",VLOOKUP(compras_mes8[[#This Row],[CUIT]],Lista_CUIT[#All],4,0)),"CUIT NO CARGADO")</f>
        <v>0</v>
      </c>
    </row>
    <row r="17" spans="2:18" x14ac:dyDescent="0.25">
      <c r="B17" s="219">
        <v>45139</v>
      </c>
      <c r="C17" s="209">
        <v>1</v>
      </c>
      <c r="D17" s="220">
        <v>500</v>
      </c>
      <c r="E17" s="221">
        <v>1365373</v>
      </c>
      <c r="F17" s="222">
        <v>30654118767</v>
      </c>
      <c r="G17" s="223" t="str">
        <f>IFERROR(IF(compras_mes8[[#This Row],[CUIT]]="","-",VLOOKUP(compras_mes8[[#This Row],[CUIT]],Lista_CUIT[#All],2,0)),"CUIT NO CARGADO")</f>
        <v>SOLUCIONES MULTIMEDIA SA</v>
      </c>
      <c r="H17" s="224">
        <v>13158.05</v>
      </c>
      <c r="I17" s="225">
        <f>IF(compras_mes8[[#This Row],[NETO GRAVADO]]="","",compras_mes8[[#This Row],[NETO GRAVADO]]*0.21)</f>
        <v>2763.1904999999997</v>
      </c>
      <c r="J17" s="225"/>
      <c r="K17" s="225"/>
      <c r="L17" s="225"/>
      <c r="M17" s="225"/>
      <c r="N17" s="225"/>
      <c r="O17" s="225"/>
      <c r="P17" s="226">
        <f>SUM(compras_mes8[[#This Row],[NETO GRAVADO]:[Otros / No Grav.]])</f>
        <v>15921.2405</v>
      </c>
      <c r="Q17" s="227" t="str">
        <f>IFERROR(IF(compras_mes8[[#This Row],[CUIT]]="","-",VLOOKUP(compras_mes8[[#This Row],[CUIT]],Lista_CUIT[#All],3,0)),"CUIT NO CARGADO")</f>
        <v>GASTOS ADMINISTRATIVOS</v>
      </c>
      <c r="R17" s="227">
        <f>IFERROR(IF(compras_mes8[[#This Row],[CUIT]]="","-",VLOOKUP(compras_mes8[[#This Row],[CUIT]],Lista_CUIT[#All],4,0)),"CUIT NO CARGADO")</f>
        <v>0</v>
      </c>
    </row>
    <row r="18" spans="2:18" x14ac:dyDescent="0.25">
      <c r="B18" s="219">
        <v>45139</v>
      </c>
      <c r="C18" s="209">
        <v>1</v>
      </c>
      <c r="D18" s="220">
        <v>1305</v>
      </c>
      <c r="E18" s="221">
        <v>1602460</v>
      </c>
      <c r="F18" s="222">
        <v>30663288497</v>
      </c>
      <c r="G18" s="223" t="str">
        <f>IFERROR(IF(compras_mes8[[#This Row],[CUIT]]="","-",VLOOKUP(compras_mes8[[#This Row],[CUIT]],Lista_CUIT[#All],2,0)),"CUIT NO CARGADO")</f>
        <v>AMX ARG SA</v>
      </c>
      <c r="H18" s="224">
        <v>8490</v>
      </c>
      <c r="I18" s="225">
        <v>708.75</v>
      </c>
      <c r="J18" s="225">
        <v>1381.05</v>
      </c>
      <c r="K18" s="225"/>
      <c r="L18" s="225"/>
      <c r="M18" s="225"/>
      <c r="N18" s="225">
        <v>297.14999999999998</v>
      </c>
      <c r="O18" s="225">
        <f>254.7+269.21</f>
        <v>523.91</v>
      </c>
      <c r="P18" s="226">
        <f>SUM(compras_mes8[[#This Row],[NETO GRAVADO]:[Otros / No Grav.]])</f>
        <v>11400.859999999999</v>
      </c>
      <c r="Q18" s="227" t="str">
        <f>IFERROR(IF(compras_mes8[[#This Row],[CUIT]]="","-",VLOOKUP(compras_mes8[[#This Row],[CUIT]],Lista_CUIT[#All],3,0)),"CUIT NO CARGADO")</f>
        <v>SERVICIOS DE INTERNET</v>
      </c>
      <c r="R18" s="227">
        <f>IFERROR(IF(compras_mes8[[#This Row],[CUIT]]="","-",VLOOKUP(compras_mes8[[#This Row],[CUIT]],Lista_CUIT[#All],4,0)),"CUIT NO CARGADO")</f>
        <v>0</v>
      </c>
    </row>
    <row r="19" spans="2:18" x14ac:dyDescent="0.25">
      <c r="B19" s="40">
        <v>45140</v>
      </c>
      <c r="C19" s="41">
        <v>1</v>
      </c>
      <c r="D19" s="42">
        <v>2</v>
      </c>
      <c r="E19" s="43">
        <v>7361</v>
      </c>
      <c r="F19" s="44">
        <v>30694549817</v>
      </c>
      <c r="G19" s="45" t="str">
        <f>IFERROR(IF(compras_mes8[[#This Row],[CUIT]]="","-",VLOOKUP(compras_mes8[[#This Row],[CUIT]],Lista_CUIT[#All],2,0)),"CUIT NO CARGADO")</f>
        <v>DISEÑOS JERY SRL</v>
      </c>
      <c r="H19" s="46">
        <v>477494.37</v>
      </c>
      <c r="I19" s="85">
        <f>IF(compras_mes8[[#This Row],[NETO GRAVADO]]="","",compras_mes8[[#This Row],[NETO GRAVADO]]*0.21)</f>
        <v>100273.8177</v>
      </c>
      <c r="J19" s="85"/>
      <c r="K19" s="85"/>
      <c r="L19" s="85"/>
      <c r="M19" s="85"/>
      <c r="N19" s="85"/>
      <c r="O19" s="85"/>
      <c r="P19" s="48">
        <f>SUM(compras_mes8[[#This Row],[NETO GRAVADO]:[Otros / No Grav.]])</f>
        <v>577768.18770000001</v>
      </c>
      <c r="Q19" s="49" t="str">
        <f>IFERROR(IF(compras_mes8[[#This Row],[CUIT]]="","-",VLOOKUP(compras_mes8[[#This Row],[CUIT]],Lista_CUIT[#All],3,0)),"CUIT NO CARGADO")</f>
        <v>Productos Ortopedicos</v>
      </c>
      <c r="R19" s="49">
        <f>IFERROR(IF(compras_mes8[[#This Row],[CUIT]]="","-",VLOOKUP(compras_mes8[[#This Row],[CUIT]],Lista_CUIT[#All],4,0)),"CUIT NO CARGADO")</f>
        <v>0</v>
      </c>
    </row>
    <row r="20" spans="2:18" x14ac:dyDescent="0.25">
      <c r="B20" s="40">
        <v>45140</v>
      </c>
      <c r="C20" s="41">
        <v>1</v>
      </c>
      <c r="D20" s="42">
        <v>7</v>
      </c>
      <c r="E20" s="43">
        <v>16163</v>
      </c>
      <c r="F20" s="44">
        <v>30709214078</v>
      </c>
      <c r="G20" s="45" t="str">
        <f>IFERROR(IF(compras_mes8[[#This Row],[CUIT]]="","-",VLOOKUP(compras_mes8[[#This Row],[CUIT]],Lista_CUIT[#All],2,0)),"CUIT NO CARGADO")</f>
        <v>REHAVITA S.A</v>
      </c>
      <c r="H20" s="46">
        <v>90596</v>
      </c>
      <c r="I20" s="85">
        <f>IF(compras_mes8[[#This Row],[NETO GRAVADO]]="","",compras_mes8[[#This Row],[NETO GRAVADO]]*0.21)</f>
        <v>19025.16</v>
      </c>
      <c r="J20" s="85"/>
      <c r="K20" s="85"/>
      <c r="L20" s="85"/>
      <c r="M20" s="85"/>
      <c r="N20" s="85"/>
      <c r="O20" s="85"/>
      <c r="P20" s="48">
        <f>SUM(compras_mes8[[#This Row],[NETO GRAVADO]:[Otros / No Grav.]])</f>
        <v>109621.16</v>
      </c>
      <c r="Q20" s="49" t="str">
        <f>IFERROR(IF(compras_mes8[[#This Row],[CUIT]]="","-",VLOOKUP(compras_mes8[[#This Row],[CUIT]],Lista_CUIT[#All],3,0)),"CUIT NO CARGADO")</f>
        <v>Productos Ortopedicos</v>
      </c>
      <c r="R20" s="49">
        <f>IFERROR(IF(compras_mes8[[#This Row],[CUIT]]="","-",VLOOKUP(compras_mes8[[#This Row],[CUIT]],Lista_CUIT[#All],4,0)),"CUIT NO CARGADO")</f>
        <v>0</v>
      </c>
    </row>
    <row r="21" spans="2:18" x14ac:dyDescent="0.25">
      <c r="B21" s="40">
        <v>45140</v>
      </c>
      <c r="C21" s="41">
        <v>1</v>
      </c>
      <c r="D21" s="42">
        <v>7</v>
      </c>
      <c r="E21" s="43">
        <v>16164</v>
      </c>
      <c r="F21" s="44">
        <v>30709214078</v>
      </c>
      <c r="G21" s="45" t="str">
        <f>IFERROR(IF(compras_mes8[[#This Row],[CUIT]]="","-",VLOOKUP(compras_mes8[[#This Row],[CUIT]],Lista_CUIT[#All],2,0)),"CUIT NO CARGADO")</f>
        <v>REHAVITA S.A</v>
      </c>
      <c r="H21" s="46">
        <v>136437.5</v>
      </c>
      <c r="I21" s="85"/>
      <c r="J21" s="85"/>
      <c r="K21" s="85">
        <v>14325.94</v>
      </c>
      <c r="L21" s="85"/>
      <c r="M21" s="85"/>
      <c r="N21" s="85"/>
      <c r="O21" s="85"/>
      <c r="P21" s="48">
        <f>SUM(compras_mes8[[#This Row],[NETO GRAVADO]:[Otros / No Grav.]])</f>
        <v>150763.44</v>
      </c>
      <c r="Q21" s="49" t="str">
        <f>IFERROR(IF(compras_mes8[[#This Row],[CUIT]]="","-",VLOOKUP(compras_mes8[[#This Row],[CUIT]],Lista_CUIT[#All],3,0)),"CUIT NO CARGADO")</f>
        <v>Productos Ortopedicos</v>
      </c>
      <c r="R21" s="49">
        <f>IFERROR(IF(compras_mes8[[#This Row],[CUIT]]="","-",VLOOKUP(compras_mes8[[#This Row],[CUIT]],Lista_CUIT[#All],4,0)),"CUIT NO CARGADO")</f>
        <v>0</v>
      </c>
    </row>
    <row r="22" spans="2:18" x14ac:dyDescent="0.25">
      <c r="B22" s="40">
        <v>45141</v>
      </c>
      <c r="C22" s="41">
        <v>3</v>
      </c>
      <c r="D22" s="42">
        <v>2</v>
      </c>
      <c r="E22" s="43">
        <v>1</v>
      </c>
      <c r="F22" s="44">
        <v>20272865869</v>
      </c>
      <c r="G22" s="45" t="str">
        <f>IFERROR(IF(compras_mes8[[#This Row],[CUIT]]="","-",VLOOKUP(compras_mes8[[#This Row],[CUIT]],Lista_CUIT[#All],2,0)),"CUIT NO CARGADO")</f>
        <v>DI FEO MARTIN EZEQUIEL</v>
      </c>
      <c r="H22" s="46">
        <v>-3655.36</v>
      </c>
      <c r="I22" s="85">
        <f>IF(compras_mes8[[#This Row],[NETO GRAVADO]]="","",compras_mes8[[#This Row],[NETO GRAVADO]]*0.21)</f>
        <v>-767.62559999999996</v>
      </c>
      <c r="J22" s="85"/>
      <c r="K22" s="85"/>
      <c r="L22" s="85"/>
      <c r="M22" s="85"/>
      <c r="N22" s="85"/>
      <c r="O22" s="85"/>
      <c r="P22" s="48">
        <f>SUM(compras_mes8[[#This Row],[NETO GRAVADO]:[Otros / No Grav.]])</f>
        <v>-4422.9856</v>
      </c>
      <c r="Q22" s="49" t="str">
        <f>IFERROR(IF(compras_mes8[[#This Row],[CUIT]]="","-",VLOOKUP(compras_mes8[[#This Row],[CUIT]],Lista_CUIT[#All],3,0)),"CUIT NO CARGADO")</f>
        <v>Productos Ortopedicos</v>
      </c>
      <c r="R22" s="49">
        <f>IFERROR(IF(compras_mes8[[#This Row],[CUIT]]="","-",VLOOKUP(compras_mes8[[#This Row],[CUIT]],Lista_CUIT[#All],4,0)),"CUIT NO CARGADO")</f>
        <v>0</v>
      </c>
    </row>
    <row r="23" spans="2:18" x14ac:dyDescent="0.25">
      <c r="B23" s="40">
        <v>45141</v>
      </c>
      <c r="C23" s="41">
        <v>1</v>
      </c>
      <c r="D23" s="42">
        <v>2</v>
      </c>
      <c r="E23" s="43">
        <v>6</v>
      </c>
      <c r="F23" s="44">
        <v>20272865869</v>
      </c>
      <c r="G23" s="45" t="str">
        <f>IFERROR(IF(compras_mes8[[#This Row],[CUIT]]="","-",VLOOKUP(compras_mes8[[#This Row],[CUIT]],Lista_CUIT[#All],2,0)),"CUIT NO CARGADO")</f>
        <v>DI FEO MARTIN EZEQUIEL</v>
      </c>
      <c r="H23" s="46">
        <v>43522.239999999998</v>
      </c>
      <c r="I23" s="85">
        <f>IF(compras_mes8[[#This Row],[NETO GRAVADO]]="","",compras_mes8[[#This Row],[NETO GRAVADO]]*0.21)</f>
        <v>9139.6703999999991</v>
      </c>
      <c r="J23" s="85"/>
      <c r="K23" s="85"/>
      <c r="L23" s="85"/>
      <c r="M23" s="85"/>
      <c r="N23" s="85"/>
      <c r="O23" s="85"/>
      <c r="P23" s="48">
        <f>SUM(compras_mes8[[#This Row],[NETO GRAVADO]:[Otros / No Grav.]])</f>
        <v>52661.910399999993</v>
      </c>
      <c r="Q23" s="49" t="str">
        <f>IFERROR(IF(compras_mes8[[#This Row],[CUIT]]="","-",VLOOKUP(compras_mes8[[#This Row],[CUIT]],Lista_CUIT[#All],3,0)),"CUIT NO CARGADO")</f>
        <v>Productos Ortopedicos</v>
      </c>
      <c r="R23" s="49">
        <f>IFERROR(IF(compras_mes8[[#This Row],[CUIT]]="","-",VLOOKUP(compras_mes8[[#This Row],[CUIT]],Lista_CUIT[#All],4,0)),"CUIT NO CARGADO")</f>
        <v>0</v>
      </c>
    </row>
    <row r="24" spans="2:18" x14ac:dyDescent="0.25">
      <c r="B24" s="219">
        <v>45141</v>
      </c>
      <c r="C24" s="209">
        <v>1</v>
      </c>
      <c r="D24" s="220">
        <v>4</v>
      </c>
      <c r="E24" s="221">
        <v>98</v>
      </c>
      <c r="F24" s="222">
        <v>30716317028</v>
      </c>
      <c r="G24" s="223" t="str">
        <f>IFERROR(IF(compras_mes8[[#This Row],[CUIT]]="","-",VLOOKUP(compras_mes8[[#This Row],[CUIT]],Lista_CUIT[#All],2,0)),"CUIT NO CARGADO")</f>
        <v>ELECTRO ILUMINATE S.R.L.</v>
      </c>
      <c r="H24" s="224">
        <v>7349.1</v>
      </c>
      <c r="I24" s="225">
        <f>IF(compras_mes8[[#This Row],[NETO GRAVADO]]="","",compras_mes8[[#This Row],[NETO GRAVADO]]*0.21)</f>
        <v>1543.3109999999999</v>
      </c>
      <c r="J24" s="225"/>
      <c r="K24" s="225"/>
      <c r="L24" s="225"/>
      <c r="M24" s="225"/>
      <c r="N24" s="225"/>
      <c r="O24" s="225"/>
      <c r="P24" s="226">
        <f>SUM(compras_mes8[[#This Row],[NETO GRAVADO]:[Otros / No Grav.]])</f>
        <v>8892.4110000000001</v>
      </c>
      <c r="Q24" s="227" t="str">
        <f>IFERROR(IF(compras_mes8[[#This Row],[CUIT]]="","-",VLOOKUP(compras_mes8[[#This Row],[CUIT]],Lista_CUIT[#All],3,0)),"CUIT NO CARGADO")</f>
        <v>GASTOS ADMINISTRATIVOS</v>
      </c>
      <c r="R24" s="227">
        <f>IFERROR(IF(compras_mes8[[#This Row],[CUIT]]="","-",VLOOKUP(compras_mes8[[#This Row],[CUIT]],Lista_CUIT[#All],4,0)),"CUIT NO CARGADO")</f>
        <v>0</v>
      </c>
    </row>
    <row r="25" spans="2:18" x14ac:dyDescent="0.25">
      <c r="B25" s="40">
        <v>45141</v>
      </c>
      <c r="C25" s="41">
        <v>1</v>
      </c>
      <c r="D25" s="42">
        <v>6</v>
      </c>
      <c r="E25" s="43">
        <v>469</v>
      </c>
      <c r="F25" s="44">
        <v>20289111329</v>
      </c>
      <c r="G25" s="45" t="str">
        <f>IFERROR(IF(compras_mes8[[#This Row],[CUIT]]="","-",VLOOKUP(compras_mes8[[#This Row],[CUIT]],Lista_CUIT[#All],2,0)),"CUIT NO CARGADO")</f>
        <v>R. N. LEDESMA</v>
      </c>
      <c r="H25" s="46">
        <v>9936277.7400000002</v>
      </c>
      <c r="I25" s="85">
        <f>IF(compras_mes8[[#This Row],[NETO GRAVADO]]="","",compras_mes8[[#This Row],[NETO GRAVADO]]*0.21)</f>
        <v>2086618.3254</v>
      </c>
      <c r="J25" s="85"/>
      <c r="K25" s="85"/>
      <c r="L25" s="85"/>
      <c r="M25" s="85"/>
      <c r="N25" s="85"/>
      <c r="O25" s="85"/>
      <c r="P25" s="48">
        <f>SUM(compras_mes8[[#This Row],[NETO GRAVADO]:[Otros / No Grav.]])</f>
        <v>12022896.065400001</v>
      </c>
      <c r="Q25" s="49" t="str">
        <f>IFERROR(IF(compras_mes8[[#This Row],[CUIT]]="","-",VLOOKUP(compras_mes8[[#This Row],[CUIT]],Lista_CUIT[#All],3,0)),"CUIT NO CARGADO")</f>
        <v>Productos Ortopedicos</v>
      </c>
      <c r="R25" s="49">
        <f>IFERROR(IF(compras_mes8[[#This Row],[CUIT]]="","-",VLOOKUP(compras_mes8[[#This Row],[CUIT]],Lista_CUIT[#All],4,0)),"CUIT NO CARGADO")</f>
        <v>0</v>
      </c>
    </row>
    <row r="26" spans="2:18" x14ac:dyDescent="0.25">
      <c r="B26" s="40">
        <v>45141</v>
      </c>
      <c r="C26" s="41">
        <v>1</v>
      </c>
      <c r="D26" s="42">
        <v>7</v>
      </c>
      <c r="E26" s="43">
        <v>2070</v>
      </c>
      <c r="F26" s="44">
        <v>20284183534</v>
      </c>
      <c r="G26" s="45" t="str">
        <f>IFERROR(IF(compras_mes8[[#This Row],[CUIT]]="","-",VLOOKUP(compras_mes8[[#This Row],[CUIT]],Lista_CUIT[#All],2,0)),"CUIT NO CARGADO")</f>
        <v>FURLANETTO MARTIN</v>
      </c>
      <c r="H26" s="46">
        <v>330.58</v>
      </c>
      <c r="I26" s="85">
        <f>IF(compras_mes8[[#This Row],[NETO GRAVADO]]="","",compras_mes8[[#This Row],[NETO GRAVADO]]*0.21)</f>
        <v>69.42179999999999</v>
      </c>
      <c r="J26" s="85"/>
      <c r="K26" s="85"/>
      <c r="L26" s="85"/>
      <c r="M26" s="85"/>
      <c r="N26" s="85"/>
      <c r="O26" s="85"/>
      <c r="P26" s="48">
        <f>SUM(compras_mes8[[#This Row],[NETO GRAVADO]:[Otros / No Grav.]])</f>
        <v>400.0018</v>
      </c>
      <c r="Q26" s="49" t="str">
        <f>IFERROR(IF(compras_mes8[[#This Row],[CUIT]]="","-",VLOOKUP(compras_mes8[[#This Row],[CUIT]],Lista_CUIT[#All],3,0)),"CUIT NO CARGADO")</f>
        <v>PAPELERIA</v>
      </c>
      <c r="R26" s="49">
        <f>IFERROR(IF(compras_mes8[[#This Row],[CUIT]]="","-",VLOOKUP(compras_mes8[[#This Row],[CUIT]],Lista_CUIT[#All],4,0)),"CUIT NO CARGADO")</f>
        <v>0</v>
      </c>
    </row>
    <row r="27" spans="2:18" x14ac:dyDescent="0.25">
      <c r="B27" s="40">
        <v>45141</v>
      </c>
      <c r="C27" s="41">
        <v>1</v>
      </c>
      <c r="D27" s="42">
        <v>7</v>
      </c>
      <c r="E27" s="43">
        <v>27748</v>
      </c>
      <c r="F27" s="44">
        <v>20271532483</v>
      </c>
      <c r="G27" s="45" t="str">
        <f>IFERROR(IF(compras_mes8[[#This Row],[CUIT]]="","-",VLOOKUP(compras_mes8[[#This Row],[CUIT]],Lista_CUIT[#All],2,0)),"CUIT NO CARGADO")</f>
        <v>DIEGO MARTIN RIOS</v>
      </c>
      <c r="H27" s="46">
        <v>1362250.2</v>
      </c>
      <c r="I27" s="85">
        <f>IF(compras_mes8[[#This Row],[NETO GRAVADO]]="","",compras_mes8[[#This Row],[NETO GRAVADO]]*0.21)</f>
        <v>286072.54199999996</v>
      </c>
      <c r="J27" s="85"/>
      <c r="K27" s="85"/>
      <c r="L27" s="85"/>
      <c r="M27" s="85"/>
      <c r="N27" s="85"/>
      <c r="O27" s="85">
        <v>47678.76</v>
      </c>
      <c r="P27" s="48">
        <f>SUM(compras_mes8[[#This Row],[NETO GRAVADO]:[Otros / No Grav.]])</f>
        <v>1696001.5019999999</v>
      </c>
      <c r="Q27" s="49" t="str">
        <f>IFERROR(IF(compras_mes8[[#This Row],[CUIT]]="","-",VLOOKUP(compras_mes8[[#This Row],[CUIT]],Lista_CUIT[#All],3,0)),"CUIT NO CARGADO")</f>
        <v>Productos Ortopedicos</v>
      </c>
      <c r="R27" s="49">
        <f>IFERROR(IF(compras_mes8[[#This Row],[CUIT]]="","-",VLOOKUP(compras_mes8[[#This Row],[CUIT]],Lista_CUIT[#All],4,0)),"CUIT NO CARGADO")</f>
        <v>0</v>
      </c>
    </row>
    <row r="28" spans="2:18" x14ac:dyDescent="0.25">
      <c r="B28" s="40">
        <v>45141</v>
      </c>
      <c r="C28" s="41">
        <v>1</v>
      </c>
      <c r="D28" s="42">
        <v>7</v>
      </c>
      <c r="E28" s="43">
        <v>27749</v>
      </c>
      <c r="F28" s="44">
        <v>20271532483</v>
      </c>
      <c r="G28" s="45" t="str">
        <f>IFERROR(IF(compras_mes8[[#This Row],[CUIT]]="","-",VLOOKUP(compras_mes8[[#This Row],[CUIT]],Lista_CUIT[#All],2,0)),"CUIT NO CARGADO")</f>
        <v>DIEGO MARTIN RIOS</v>
      </c>
      <c r="H28" s="46">
        <v>1702175.81</v>
      </c>
      <c r="I28" s="85">
        <f>IF(compras_mes8[[#This Row],[NETO GRAVADO]]="","",compras_mes8[[#This Row],[NETO GRAVADO]]*0.21)</f>
        <v>357456.92009999999</v>
      </c>
      <c r="J28" s="85"/>
      <c r="K28" s="85"/>
      <c r="L28" s="85"/>
      <c r="M28" s="85"/>
      <c r="N28" s="85"/>
      <c r="O28" s="85">
        <v>59576.15</v>
      </c>
      <c r="P28" s="48">
        <f>SUM(compras_mes8[[#This Row],[NETO GRAVADO]:[Otros / No Grav.]])</f>
        <v>2119208.8801000002</v>
      </c>
      <c r="Q28" s="49" t="str">
        <f>IFERROR(IF(compras_mes8[[#This Row],[CUIT]]="","-",VLOOKUP(compras_mes8[[#This Row],[CUIT]],Lista_CUIT[#All],3,0)),"CUIT NO CARGADO")</f>
        <v>Productos Ortopedicos</v>
      </c>
      <c r="R28" s="49">
        <f>IFERROR(IF(compras_mes8[[#This Row],[CUIT]]="","-",VLOOKUP(compras_mes8[[#This Row],[CUIT]],Lista_CUIT[#All],4,0)),"CUIT NO CARGADO")</f>
        <v>0</v>
      </c>
    </row>
    <row r="29" spans="2:18" x14ac:dyDescent="0.25">
      <c r="B29" s="40">
        <v>45141</v>
      </c>
      <c r="C29" s="41">
        <v>1</v>
      </c>
      <c r="D29" s="42">
        <v>7</v>
      </c>
      <c r="E29" s="43">
        <v>27750</v>
      </c>
      <c r="F29" s="44">
        <v>20271532483</v>
      </c>
      <c r="G29" s="45" t="str">
        <f>IFERROR(IF(compras_mes8[[#This Row],[CUIT]]="","-",VLOOKUP(compras_mes8[[#This Row],[CUIT]],Lista_CUIT[#All],2,0)),"CUIT NO CARGADO")</f>
        <v>DIEGO MARTIN RIOS</v>
      </c>
      <c r="H29" s="46">
        <v>79172.100000000006</v>
      </c>
      <c r="I29" s="85">
        <f>IF(compras_mes8[[#This Row],[NETO GRAVADO]]="","",compras_mes8[[#This Row],[NETO GRAVADO]]*0.21)</f>
        <v>16626.141</v>
      </c>
      <c r="J29" s="85"/>
      <c r="K29" s="85"/>
      <c r="L29" s="85"/>
      <c r="M29" s="85"/>
      <c r="N29" s="85"/>
      <c r="O29" s="85">
        <v>2771.02</v>
      </c>
      <c r="P29" s="48">
        <f>SUM(compras_mes8[[#This Row],[NETO GRAVADO]:[Otros / No Grav.]])</f>
        <v>98569.261000000013</v>
      </c>
      <c r="Q29" s="49" t="str">
        <f>IFERROR(IF(compras_mes8[[#This Row],[CUIT]]="","-",VLOOKUP(compras_mes8[[#This Row],[CUIT]],Lista_CUIT[#All],3,0)),"CUIT NO CARGADO")</f>
        <v>Productos Ortopedicos</v>
      </c>
      <c r="R29" s="49">
        <f>IFERROR(IF(compras_mes8[[#This Row],[CUIT]]="","-",VLOOKUP(compras_mes8[[#This Row],[CUIT]],Lista_CUIT[#All],4,0)),"CUIT NO CARGADO")</f>
        <v>0</v>
      </c>
    </row>
    <row r="30" spans="2:18" x14ac:dyDescent="0.25">
      <c r="B30" s="40">
        <v>45141</v>
      </c>
      <c r="C30" s="41">
        <v>1</v>
      </c>
      <c r="D30" s="42">
        <v>6</v>
      </c>
      <c r="E30" s="43">
        <v>49420</v>
      </c>
      <c r="F30" s="44">
        <v>30710177658</v>
      </c>
      <c r="G30" s="45" t="str">
        <f>IFERROR(IF(compras_mes8[[#This Row],[CUIT]]="","-",VLOOKUP(compras_mes8[[#This Row],[CUIT]],Lista_CUIT[#All],2,0)),"CUIT NO CARGADO")</f>
        <v>TARGET MEDICAL SA</v>
      </c>
      <c r="H30" s="46">
        <v>196280</v>
      </c>
      <c r="I30" s="85">
        <f>IF(compras_mes8[[#This Row],[NETO GRAVADO]]="","",compras_mes8[[#This Row],[NETO GRAVADO]]*0.21)</f>
        <v>41218.799999999996</v>
      </c>
      <c r="J30" s="85"/>
      <c r="K30" s="85"/>
      <c r="L30" s="85"/>
      <c r="M30" s="85"/>
      <c r="N30" s="85"/>
      <c r="O30" s="85"/>
      <c r="P30" s="48">
        <f>SUM(compras_mes8[[#This Row],[NETO GRAVADO]:[Otros / No Grav.]])</f>
        <v>237498.8</v>
      </c>
      <c r="Q30" s="49" t="str">
        <f>IFERROR(IF(compras_mes8[[#This Row],[CUIT]]="","-",VLOOKUP(compras_mes8[[#This Row],[CUIT]],Lista_CUIT[#All],3,0)),"CUIT NO CARGADO")</f>
        <v>Productos Ortopedicos</v>
      </c>
      <c r="R30" s="49">
        <f>IFERROR(IF(compras_mes8[[#This Row],[CUIT]]="","-",VLOOKUP(compras_mes8[[#This Row],[CUIT]],Lista_CUIT[#All],4,0)),"CUIT NO CARGADO")</f>
        <v>0</v>
      </c>
    </row>
    <row r="31" spans="2:18" x14ac:dyDescent="0.25">
      <c r="B31" s="219">
        <v>45141</v>
      </c>
      <c r="C31" s="209">
        <v>1</v>
      </c>
      <c r="D31" s="220">
        <v>5011</v>
      </c>
      <c r="E31" s="221">
        <v>506918</v>
      </c>
      <c r="F31" s="222">
        <v>30574876474</v>
      </c>
      <c r="G31" s="223" t="str">
        <f>IFERROR(IF(compras_mes8[[#This Row],[CUIT]]="","-",VLOOKUP(compras_mes8[[#This Row],[CUIT]],Lista_CUIT[#All],2,0)),"CUIT NO CARGADO")</f>
        <v>AUTOP. URBANAS SA</v>
      </c>
      <c r="H31" s="224">
        <v>3985.5</v>
      </c>
      <c r="I31" s="225">
        <f>IF(compras_mes8[[#This Row],[NETO GRAVADO]]="","",compras_mes8[[#This Row],[NETO GRAVADO]]*0.21)</f>
        <v>836.95499999999993</v>
      </c>
      <c r="J31" s="225"/>
      <c r="K31" s="225"/>
      <c r="L31" s="225"/>
      <c r="M31" s="225">
        <v>119.56</v>
      </c>
      <c r="N31" s="225"/>
      <c r="O31" s="225">
        <v>398.54</v>
      </c>
      <c r="P31" s="226">
        <f>SUM(compras_mes8[[#This Row],[NETO GRAVADO]:[Otros / No Grav.]])</f>
        <v>5340.5550000000003</v>
      </c>
      <c r="Q31" s="227" t="str">
        <f>IFERROR(IF(compras_mes8[[#This Row],[CUIT]]="","-",VLOOKUP(compras_mes8[[#This Row],[CUIT]],Lista_CUIT[#All],3,0)),"CUIT NO CARGADO")</f>
        <v>PEAJE</v>
      </c>
      <c r="R31" s="227">
        <f>IFERROR(IF(compras_mes8[[#This Row],[CUIT]]="","-",VLOOKUP(compras_mes8[[#This Row],[CUIT]],Lista_CUIT[#All],4,0)),"CUIT NO CARGADO")</f>
        <v>0</v>
      </c>
    </row>
    <row r="32" spans="2:18" x14ac:dyDescent="0.25">
      <c r="B32" s="219">
        <v>45141</v>
      </c>
      <c r="C32" s="209">
        <v>1</v>
      </c>
      <c r="D32" s="220">
        <v>629</v>
      </c>
      <c r="E32" s="221">
        <v>4376342</v>
      </c>
      <c r="F32" s="222">
        <v>30663498513</v>
      </c>
      <c r="G32" s="223" t="str">
        <f>IFERROR(IF(compras_mes8[[#This Row],[CUIT]]="","-",VLOOKUP(compras_mes8[[#This Row],[CUIT]],Lista_CUIT[#All],2,0)),"CUIT NO CARGADO")</f>
        <v>GRUPO CONCES. DEL OESTE SA</v>
      </c>
      <c r="H32" s="224">
        <v>247.92</v>
      </c>
      <c r="I32" s="225">
        <f>IF(compras_mes8[[#This Row],[NETO GRAVADO]]="","",compras_mes8[[#This Row],[NETO GRAVADO]]*0.21)</f>
        <v>52.063199999999995</v>
      </c>
      <c r="J32" s="225"/>
      <c r="K32" s="225"/>
      <c r="L32" s="225"/>
      <c r="M32" s="225"/>
      <c r="N32" s="225"/>
      <c r="O32" s="225"/>
      <c r="P32" s="226">
        <f>SUM(compras_mes8[[#This Row],[NETO GRAVADO]:[Otros / No Grav.]])</f>
        <v>299.98320000000001</v>
      </c>
      <c r="Q32" s="227" t="str">
        <f>IFERROR(IF(compras_mes8[[#This Row],[CUIT]]="","-",VLOOKUP(compras_mes8[[#This Row],[CUIT]],Lista_CUIT[#All],3,0)),"CUIT NO CARGADO")</f>
        <v>PEAJE</v>
      </c>
      <c r="R32" s="227">
        <f>IFERROR(IF(compras_mes8[[#This Row],[CUIT]]="","-",VLOOKUP(compras_mes8[[#This Row],[CUIT]],Lista_CUIT[#All],4,0)),"CUIT NO CARGADO")</f>
        <v>0</v>
      </c>
    </row>
    <row r="33" spans="2:18" x14ac:dyDescent="0.25">
      <c r="B33" s="219">
        <v>45141</v>
      </c>
      <c r="C33" s="209">
        <v>1</v>
      </c>
      <c r="D33" s="220">
        <v>711</v>
      </c>
      <c r="E33" s="221">
        <v>4597351</v>
      </c>
      <c r="F33" s="222">
        <v>30677237119</v>
      </c>
      <c r="G33" s="223" t="str">
        <f>IFERROR(IF(compras_mes8[[#This Row],[CUIT]]="","-",VLOOKUP(compras_mes8[[#This Row],[CUIT]],Lista_CUIT[#All],2,0)),"CUIT NO CARGADO")</f>
        <v>AUTOPISTAS DEL SOL SA</v>
      </c>
      <c r="H33" s="224">
        <v>537.19000000000005</v>
      </c>
      <c r="I33" s="225">
        <f>IF(compras_mes8[[#This Row],[NETO GRAVADO]]="","",compras_mes8[[#This Row],[NETO GRAVADO]]*0.21)</f>
        <v>112.80990000000001</v>
      </c>
      <c r="J33" s="225"/>
      <c r="K33" s="225"/>
      <c r="L33" s="225"/>
      <c r="M33" s="225"/>
      <c r="N33" s="225">
        <v>18.8</v>
      </c>
      <c r="O33" s="225"/>
      <c r="P33" s="226">
        <f>SUM(compras_mes8[[#This Row],[NETO GRAVADO]:[Otros / No Grav.]])</f>
        <v>668.79989999999998</v>
      </c>
      <c r="Q33" s="227" t="str">
        <f>IFERROR(IF(compras_mes8[[#This Row],[CUIT]]="","-",VLOOKUP(compras_mes8[[#This Row],[CUIT]],Lista_CUIT[#All],3,0)),"CUIT NO CARGADO")</f>
        <v>Autopista</v>
      </c>
      <c r="R33" s="227">
        <f>IFERROR(IF(compras_mes8[[#This Row],[CUIT]]="","-",VLOOKUP(compras_mes8[[#This Row],[CUIT]],Lista_CUIT[#All],4,0)),"CUIT NO CARGADO")</f>
        <v>0</v>
      </c>
    </row>
    <row r="34" spans="2:18" x14ac:dyDescent="0.25">
      <c r="B34" s="40">
        <v>45142</v>
      </c>
      <c r="C34" s="41">
        <v>1</v>
      </c>
      <c r="D34" s="42">
        <v>1</v>
      </c>
      <c r="E34" s="43">
        <v>650</v>
      </c>
      <c r="F34" s="44">
        <v>30715048066</v>
      </c>
      <c r="G34" s="45" t="str">
        <f>IFERROR(IF(compras_mes8[[#This Row],[CUIT]]="","-",VLOOKUP(compras_mes8[[#This Row],[CUIT]],Lista_CUIT[#All],2,0)),"CUIT NO CARGADO")</f>
        <v>ROLLS Y EMPANADAS SA</v>
      </c>
      <c r="H34" s="46">
        <v>274910</v>
      </c>
      <c r="I34" s="85">
        <f>IF(compras_mes8[[#This Row],[NETO GRAVADO]]="","",compras_mes8[[#This Row],[NETO GRAVADO]]*0.21)</f>
        <v>57731.1</v>
      </c>
      <c r="J34" s="85"/>
      <c r="K34" s="85"/>
      <c r="L34" s="85"/>
      <c r="M34" s="85"/>
      <c r="N34" s="85"/>
      <c r="O34" s="85"/>
      <c r="P34" s="48">
        <f>SUM(compras_mes8[[#This Row],[NETO GRAVADO]:[Otros / No Grav.]])</f>
        <v>332641.09999999998</v>
      </c>
      <c r="Q34" s="49" t="str">
        <f>IFERROR(IF(compras_mes8[[#This Row],[CUIT]]="","-",VLOOKUP(compras_mes8[[#This Row],[CUIT]],Lista_CUIT[#All],3,0)),"CUIT NO CARGADO")</f>
        <v>Catering</v>
      </c>
      <c r="R34" s="49">
        <f>IFERROR(IF(compras_mes8[[#This Row],[CUIT]]="","-",VLOOKUP(compras_mes8[[#This Row],[CUIT]],Lista_CUIT[#All],4,0)),"CUIT NO CARGADO")</f>
        <v>0</v>
      </c>
    </row>
    <row r="35" spans="2:18" x14ac:dyDescent="0.25">
      <c r="B35" s="40">
        <v>45142</v>
      </c>
      <c r="C35" s="41">
        <v>1</v>
      </c>
      <c r="D35" s="42">
        <v>5054</v>
      </c>
      <c r="E35" s="43">
        <v>22102</v>
      </c>
      <c r="F35" s="44">
        <v>30695542476</v>
      </c>
      <c r="G35" s="45" t="str">
        <f>IFERROR(IF(compras_mes8[[#This Row],[CUIT]]="","-",VLOOKUP(compras_mes8[[#This Row],[CUIT]],Lista_CUIT[#All],2,0)),"CUIT NO CARGADO")</f>
        <v>PAN AMERICAN ENERGY LLC</v>
      </c>
      <c r="H35" s="46">
        <v>5098.24</v>
      </c>
      <c r="I35" s="85">
        <f>IF(compras_mes8[[#This Row],[NETO GRAVADO]]="","",compras_mes8[[#This Row],[NETO GRAVADO]]*0.21)</f>
        <v>1070.6304</v>
      </c>
      <c r="J35" s="85"/>
      <c r="K35" s="85"/>
      <c r="L35" s="85"/>
      <c r="M35" s="85"/>
      <c r="N35" s="85"/>
      <c r="O35" s="85">
        <v>484.08</v>
      </c>
      <c r="P35" s="48">
        <f>SUM(compras_mes8[[#This Row],[NETO GRAVADO]:[Otros / No Grav.]])</f>
        <v>6652.9503999999997</v>
      </c>
      <c r="Q35" s="49" t="str">
        <f>IFERROR(IF(compras_mes8[[#This Row],[CUIT]]="","-",VLOOKUP(compras_mes8[[#This Row],[CUIT]],Lista_CUIT[#All],3,0)),"CUIT NO CARGADO")</f>
        <v>COMBUSTIBLE</v>
      </c>
      <c r="R35" s="49">
        <f>IFERROR(IF(compras_mes8[[#This Row],[CUIT]]="","-",VLOOKUP(compras_mes8[[#This Row],[CUIT]],Lista_CUIT[#All],4,0)),"CUIT NO CARGADO")</f>
        <v>0</v>
      </c>
    </row>
    <row r="36" spans="2:18" x14ac:dyDescent="0.25">
      <c r="B36" s="40">
        <v>45142</v>
      </c>
      <c r="C36" s="41">
        <v>1</v>
      </c>
      <c r="D36" s="42">
        <v>7</v>
      </c>
      <c r="E36" s="43">
        <v>27775</v>
      </c>
      <c r="F36" s="44">
        <v>20271532483</v>
      </c>
      <c r="G36" s="45" t="str">
        <f>IFERROR(IF(compras_mes8[[#This Row],[CUIT]]="","-",VLOOKUP(compras_mes8[[#This Row],[CUIT]],Lista_CUIT[#All],2,0)),"CUIT NO CARGADO")</f>
        <v>DIEGO MARTIN RIOS</v>
      </c>
      <c r="H36" s="46">
        <v>51189.36</v>
      </c>
      <c r="I36" s="85">
        <f>IF(compras_mes8[[#This Row],[NETO GRAVADO]]="","",compras_mes8[[#This Row],[NETO GRAVADO]]*0.21)</f>
        <v>10749.765600000001</v>
      </c>
      <c r="J36" s="85"/>
      <c r="K36" s="85"/>
      <c r="L36" s="85"/>
      <c r="M36" s="85"/>
      <c r="N36" s="85"/>
      <c r="O36" s="85">
        <v>1791.63</v>
      </c>
      <c r="P36" s="48">
        <f>SUM(compras_mes8[[#This Row],[NETO GRAVADO]:[Otros / No Grav.]])</f>
        <v>63730.755599999997</v>
      </c>
      <c r="Q36" s="49" t="str">
        <f>IFERROR(IF(compras_mes8[[#This Row],[CUIT]]="","-",VLOOKUP(compras_mes8[[#This Row],[CUIT]],Lista_CUIT[#All],3,0)),"CUIT NO CARGADO")</f>
        <v>Productos Ortopedicos</v>
      </c>
      <c r="R36" s="49">
        <f>IFERROR(IF(compras_mes8[[#This Row],[CUIT]]="","-",VLOOKUP(compras_mes8[[#This Row],[CUIT]],Lista_CUIT[#All],4,0)),"CUIT NO CARGADO")</f>
        <v>0</v>
      </c>
    </row>
    <row r="37" spans="2:18" x14ac:dyDescent="0.25">
      <c r="B37" s="40">
        <v>45144</v>
      </c>
      <c r="C37" s="41">
        <v>1</v>
      </c>
      <c r="D37" s="42">
        <v>2080</v>
      </c>
      <c r="E37" s="43">
        <v>86349</v>
      </c>
      <c r="F37" s="44">
        <v>30548083156</v>
      </c>
      <c r="G37" s="45" t="str">
        <f>IFERROR(IF(compras_mes8[[#This Row],[CUIT]]="","-",VLOOKUP(compras_mes8[[#This Row],[CUIT]],Lista_CUIT[#All],2,0)),"CUIT NO CARGADO")</f>
        <v>COTO CICSA</v>
      </c>
      <c r="H37" s="46">
        <v>64253.98</v>
      </c>
      <c r="I37" s="85">
        <v>10923.02</v>
      </c>
      <c r="J37" s="85"/>
      <c r="K37" s="85">
        <v>1285.1600000000001</v>
      </c>
      <c r="L37" s="85">
        <v>1529.7</v>
      </c>
      <c r="M37" s="85"/>
      <c r="N37" s="85">
        <v>1920.97</v>
      </c>
      <c r="O37" s="85">
        <v>183.59</v>
      </c>
      <c r="P37" s="48">
        <f>SUM(compras_mes8[[#This Row],[NETO GRAVADO]:[Otros / No Grav.]])</f>
        <v>80096.42</v>
      </c>
      <c r="Q37" s="49" t="str">
        <f>IFERROR(IF(compras_mes8[[#This Row],[CUIT]]="","-",VLOOKUP(compras_mes8[[#This Row],[CUIT]],Lista_CUIT[#All],3,0)),"CUIT NO CARGADO")</f>
        <v>Gastos Varios</v>
      </c>
      <c r="R37" s="49">
        <f>IFERROR(IF(compras_mes8[[#This Row],[CUIT]]="","-",VLOOKUP(compras_mes8[[#This Row],[CUIT]],Lista_CUIT[#All],4,0)),"CUIT NO CARGADO")</f>
        <v>0</v>
      </c>
    </row>
    <row r="38" spans="2:18" x14ac:dyDescent="0.25">
      <c r="B38" s="40">
        <v>45145</v>
      </c>
      <c r="C38" s="41">
        <v>1</v>
      </c>
      <c r="D38" s="42">
        <v>3</v>
      </c>
      <c r="E38" s="43">
        <v>90</v>
      </c>
      <c r="F38" s="44">
        <v>20334976433</v>
      </c>
      <c r="G38" s="45" t="str">
        <f>IFERROR(IF(compras_mes8[[#This Row],[CUIT]]="","-",VLOOKUP(compras_mes8[[#This Row],[CUIT]],Lista_CUIT[#All],2,0)),"CUIT NO CARGADO")</f>
        <v>NARDOMARINO EZEQUIEL EDUARDO</v>
      </c>
      <c r="H38" s="46">
        <v>98482.64</v>
      </c>
      <c r="I38" s="85">
        <f>IF(compras_mes8[[#This Row],[NETO GRAVADO]]="","",compras_mes8[[#This Row],[NETO GRAVADO]]*0.21)</f>
        <v>20681.3544</v>
      </c>
      <c r="J38" s="85"/>
      <c r="K38" s="85"/>
      <c r="L38" s="85"/>
      <c r="M38" s="85"/>
      <c r="N38" s="85"/>
      <c r="O38" s="85"/>
      <c r="P38" s="48">
        <f>SUM(compras_mes8[[#This Row],[NETO GRAVADO]:[Otros / No Grav.]])</f>
        <v>119163.9944</v>
      </c>
      <c r="Q38" s="49" t="str">
        <f>IFERROR(IF(compras_mes8[[#This Row],[CUIT]]="","-",VLOOKUP(compras_mes8[[#This Row],[CUIT]],Lista_CUIT[#All],3,0)),"CUIT NO CARGADO")</f>
        <v>FLETE</v>
      </c>
      <c r="R38" s="49">
        <f>IFERROR(IF(compras_mes8[[#This Row],[CUIT]]="","-",VLOOKUP(compras_mes8[[#This Row],[CUIT]],Lista_CUIT[#All],4,0)),"CUIT NO CARGADO")</f>
        <v>0</v>
      </c>
    </row>
    <row r="39" spans="2:18" x14ac:dyDescent="0.25">
      <c r="B39" s="40">
        <v>45145</v>
      </c>
      <c r="C39" s="41">
        <v>1</v>
      </c>
      <c r="D39" s="42">
        <v>17</v>
      </c>
      <c r="E39" s="43">
        <v>1205</v>
      </c>
      <c r="F39" s="44">
        <v>30711764921</v>
      </c>
      <c r="G39" s="45" t="str">
        <f>IFERROR(IF(compras_mes8[[#This Row],[CUIT]]="","-",VLOOKUP(compras_mes8[[#This Row],[CUIT]],Lista_CUIT[#All],2,0)),"CUIT NO CARGADO")</f>
        <v>RELIEF CENTER SRL</v>
      </c>
      <c r="H39" s="46">
        <v>143680</v>
      </c>
      <c r="I39" s="85">
        <f>IF(compras_mes8[[#This Row],[NETO GRAVADO]]="","",compras_mes8[[#This Row],[NETO GRAVADO]]*0.21)</f>
        <v>30172.799999999999</v>
      </c>
      <c r="J39" s="85"/>
      <c r="K39" s="85"/>
      <c r="L39" s="85"/>
      <c r="M39" s="85"/>
      <c r="N39" s="85"/>
      <c r="O39" s="85"/>
      <c r="P39" s="48">
        <f>SUM(compras_mes8[[#This Row],[NETO GRAVADO]:[Otros / No Grav.]])</f>
        <v>173852.79999999999</v>
      </c>
      <c r="Q39" s="49" t="str">
        <f>IFERROR(IF(compras_mes8[[#This Row],[CUIT]]="","-",VLOOKUP(compras_mes8[[#This Row],[CUIT]],Lista_CUIT[#All],3,0)),"CUIT NO CARGADO")</f>
        <v>Productos Ortopedicos</v>
      </c>
      <c r="R39" s="49">
        <f>IFERROR(IF(compras_mes8[[#This Row],[CUIT]]="","-",VLOOKUP(compras_mes8[[#This Row],[CUIT]],Lista_CUIT[#All],4,0)),"CUIT NO CARGADO")</f>
        <v>0</v>
      </c>
    </row>
    <row r="40" spans="2:18" x14ac:dyDescent="0.25">
      <c r="B40" s="40">
        <v>45145</v>
      </c>
      <c r="C40" s="41">
        <v>1</v>
      </c>
      <c r="D40" s="42">
        <v>13</v>
      </c>
      <c r="E40" s="43">
        <v>1254</v>
      </c>
      <c r="F40" s="44">
        <v>33709914109</v>
      </c>
      <c r="G40" s="45" t="str">
        <f>IFERROR(IF(compras_mes8[[#This Row],[CUIT]]="","-",VLOOKUP(compras_mes8[[#This Row],[CUIT]],Lista_CUIT[#All],2,0)),"CUIT NO CARGADO")</f>
        <v xml:space="preserve">ALAN COLLECTION SA </v>
      </c>
      <c r="H40" s="46">
        <v>3305.79</v>
      </c>
      <c r="I40" s="85">
        <f>IF(compras_mes8[[#This Row],[NETO GRAVADO]]="","",compras_mes8[[#This Row],[NETO GRAVADO]]*0.21)</f>
        <v>694.21589999999992</v>
      </c>
      <c r="J40" s="85"/>
      <c r="K40" s="85"/>
      <c r="L40" s="85"/>
      <c r="M40" s="85"/>
      <c r="N40" s="85"/>
      <c r="O40" s="85"/>
      <c r="P40" s="48">
        <f>SUM(compras_mes8[[#This Row],[NETO GRAVADO]:[Otros / No Grav.]])</f>
        <v>4000.0059000000001</v>
      </c>
      <c r="Q40" s="49" t="str">
        <f>IFERROR(IF(compras_mes8[[#This Row],[CUIT]]="","-",VLOOKUP(compras_mes8[[#This Row],[CUIT]],Lista_CUIT[#All],3,0)),"CUIT NO CARGADO")</f>
        <v>MERCADERIA</v>
      </c>
      <c r="R40" s="49">
        <f>IFERROR(IF(compras_mes8[[#This Row],[CUIT]]="","-",VLOOKUP(compras_mes8[[#This Row],[CUIT]],Lista_CUIT[#All],4,0)),"CUIT NO CARGADO")</f>
        <v>0</v>
      </c>
    </row>
    <row r="41" spans="2:18" x14ac:dyDescent="0.25">
      <c r="B41" s="40">
        <v>45146</v>
      </c>
      <c r="C41" s="41">
        <v>1</v>
      </c>
      <c r="D41" s="42">
        <v>2</v>
      </c>
      <c r="E41" s="43">
        <v>22453</v>
      </c>
      <c r="F41" s="44">
        <v>23233422029</v>
      </c>
      <c r="G41" s="45" t="str">
        <f>IFERROR(IF(compras_mes8[[#This Row],[CUIT]]="","-",VLOOKUP(compras_mes8[[#This Row],[CUIT]],Lista_CUIT[#All],2,0)),"CUIT NO CARGADO")</f>
        <v>RODOLFO SCHULZE</v>
      </c>
      <c r="H41" s="46">
        <v>169039.5</v>
      </c>
      <c r="I41" s="85">
        <f>IF(compras_mes8[[#This Row],[NETO GRAVADO]]="","",compras_mes8[[#This Row],[NETO GRAVADO]]*0.21)</f>
        <v>35498.294999999998</v>
      </c>
      <c r="J41" s="85"/>
      <c r="K41" s="85"/>
      <c r="L41" s="85"/>
      <c r="M41" s="85"/>
      <c r="N41" s="85"/>
      <c r="O41" s="85"/>
      <c r="P41" s="48">
        <f>SUM(compras_mes8[[#This Row],[NETO GRAVADO]:[Otros / No Grav.]])</f>
        <v>204537.79499999998</v>
      </c>
      <c r="Q41" s="49" t="str">
        <f>IFERROR(IF(compras_mes8[[#This Row],[CUIT]]="","-",VLOOKUP(compras_mes8[[#This Row],[CUIT]],Lista_CUIT[#All],3,0)),"CUIT NO CARGADO")</f>
        <v>Productos Ortopedicos</v>
      </c>
      <c r="R41" s="49">
        <f>IFERROR(IF(compras_mes8[[#This Row],[CUIT]]="","-",VLOOKUP(compras_mes8[[#This Row],[CUIT]],Lista_CUIT[#All],4,0)),"CUIT NO CARGADO")</f>
        <v>0</v>
      </c>
    </row>
    <row r="42" spans="2:18" x14ac:dyDescent="0.25">
      <c r="B42" s="40">
        <v>45146</v>
      </c>
      <c r="C42" s="41">
        <v>1</v>
      </c>
      <c r="D42" s="42">
        <v>11</v>
      </c>
      <c r="E42" s="43">
        <v>1577044</v>
      </c>
      <c r="F42" s="44">
        <v>30709776564</v>
      </c>
      <c r="G42" s="45" t="str">
        <f>IFERROR(IF(compras_mes8[[#This Row],[CUIT]]="","-",VLOOKUP(compras_mes8[[#This Row],[CUIT]],Lista_CUIT[#All],2,0)),"CUIT NO CARGADO")</f>
        <v>PROSEGUR ACTIVA ARG SA</v>
      </c>
      <c r="H42" s="46">
        <v>22988.52</v>
      </c>
      <c r="I42" s="85">
        <f>IF(compras_mes8[[#This Row],[NETO GRAVADO]]="","",compras_mes8[[#This Row],[NETO GRAVADO]]*0.21)</f>
        <v>4827.5892000000003</v>
      </c>
      <c r="J42" s="85"/>
      <c r="K42" s="85"/>
      <c r="L42" s="85"/>
      <c r="M42" s="85"/>
      <c r="N42" s="85">
        <v>804.6</v>
      </c>
      <c r="O42" s="85"/>
      <c r="P42" s="48">
        <f>SUM(compras_mes8[[#This Row],[NETO GRAVADO]:[Otros / No Grav.]])</f>
        <v>28620.709199999998</v>
      </c>
      <c r="Q42" s="49" t="str">
        <f>IFERROR(IF(compras_mes8[[#This Row],[CUIT]]="","-",VLOOKUP(compras_mes8[[#This Row],[CUIT]],Lista_CUIT[#All],3,0)),"CUIT NO CARGADO")</f>
        <v>SEGURIDAD</v>
      </c>
      <c r="R42" s="49">
        <f>IFERROR(IF(compras_mes8[[#This Row],[CUIT]]="","-",VLOOKUP(compras_mes8[[#This Row],[CUIT]],Lista_CUIT[#All],4,0)),"CUIT NO CARGADO")</f>
        <v>0</v>
      </c>
    </row>
    <row r="43" spans="2:18" x14ac:dyDescent="0.25">
      <c r="B43" s="40">
        <v>45147</v>
      </c>
      <c r="C43" s="41">
        <v>1</v>
      </c>
      <c r="D43" s="42">
        <v>2</v>
      </c>
      <c r="E43" s="43">
        <v>7996</v>
      </c>
      <c r="F43" s="44">
        <v>30643862928</v>
      </c>
      <c r="G43" s="45" t="str">
        <f>IFERROR(IF(compras_mes8[[#This Row],[CUIT]]="","-",VLOOKUP(compras_mes8[[#This Row],[CUIT]],Lista_CUIT[#All],2,0)),"CUIT NO CARGADO")</f>
        <v>OUTLANDISH SRL</v>
      </c>
      <c r="H43" s="46">
        <v>40571.9</v>
      </c>
      <c r="I43" s="85">
        <f>IF(compras_mes8[[#This Row],[NETO GRAVADO]]="","",compras_mes8[[#This Row],[NETO GRAVADO]]*0.21)</f>
        <v>8520.0990000000002</v>
      </c>
      <c r="J43" s="85"/>
      <c r="K43" s="85"/>
      <c r="L43" s="85"/>
      <c r="M43" s="85"/>
      <c r="N43" s="85"/>
      <c r="O43" s="85"/>
      <c r="P43" s="48">
        <f>SUM(compras_mes8[[#This Row],[NETO GRAVADO]:[Otros / No Grav.]])</f>
        <v>49091.999000000003</v>
      </c>
      <c r="Q43" s="49" t="str">
        <f>IFERROR(IF(compras_mes8[[#This Row],[CUIT]]="","-",VLOOKUP(compras_mes8[[#This Row],[CUIT]],Lista_CUIT[#All],3,0)),"CUIT NO CARGADO")</f>
        <v>Productos Ortopedicos</v>
      </c>
      <c r="R43" s="49">
        <f>IFERROR(IF(compras_mes8[[#This Row],[CUIT]]="","-",VLOOKUP(compras_mes8[[#This Row],[CUIT]],Lista_CUIT[#All],4,0)),"CUIT NO CARGADO")</f>
        <v>0</v>
      </c>
    </row>
    <row r="44" spans="2:18" x14ac:dyDescent="0.25">
      <c r="B44" s="40">
        <v>45147</v>
      </c>
      <c r="C44" s="41">
        <v>1</v>
      </c>
      <c r="D44" s="42">
        <v>2</v>
      </c>
      <c r="E44" s="43">
        <v>8941</v>
      </c>
      <c r="F44" s="44">
        <v>30714331082</v>
      </c>
      <c r="G44" s="45" t="str">
        <f>IFERROR(IF(compras_mes8[[#This Row],[CUIT]]="","-",VLOOKUP(compras_mes8[[#This Row],[CUIT]],Lista_CUIT[#All],2,0)),"CUIT NO CARGADO")</f>
        <v>ORTOPEDIA CASA ESCALADA SRL</v>
      </c>
      <c r="H44" s="46">
        <v>591711.14</v>
      </c>
      <c r="I44" s="85"/>
      <c r="J44" s="85"/>
      <c r="K44" s="85">
        <v>62129.67</v>
      </c>
      <c r="L44" s="85"/>
      <c r="M44" s="85"/>
      <c r="N44" s="85"/>
      <c r="O44" s="85"/>
      <c r="P44" s="48">
        <f>SUM(compras_mes8[[#This Row],[NETO GRAVADO]:[Otros / No Grav.]])</f>
        <v>653840.81000000006</v>
      </c>
      <c r="Q44" s="49" t="str">
        <f>IFERROR(IF(compras_mes8[[#This Row],[CUIT]]="","-",VLOOKUP(compras_mes8[[#This Row],[CUIT]],Lista_CUIT[#All],3,0)),"CUIT NO CARGADO")</f>
        <v>Productos Ortopedicos</v>
      </c>
      <c r="R44" s="49">
        <f>IFERROR(IF(compras_mes8[[#This Row],[CUIT]]="","-",VLOOKUP(compras_mes8[[#This Row],[CUIT]],Lista_CUIT[#All],4,0)),"CUIT NO CARGADO")</f>
        <v>0</v>
      </c>
    </row>
    <row r="45" spans="2:18" x14ac:dyDescent="0.25">
      <c r="B45" s="40">
        <v>45147</v>
      </c>
      <c r="C45" s="41">
        <v>1</v>
      </c>
      <c r="D45" s="42">
        <v>9044</v>
      </c>
      <c r="E45" s="43">
        <v>18170</v>
      </c>
      <c r="F45" s="44">
        <v>30678774495</v>
      </c>
      <c r="G45" s="45" t="str">
        <f>IFERROR(IF(compras_mes8[[#This Row],[CUIT]]="","-",VLOOKUP(compras_mes8[[#This Row],[CUIT]],Lista_CUIT[#All],2,0)),"CUIT NO CARGADO")</f>
        <v>OPER. DE EST. DE SERV. SA</v>
      </c>
      <c r="H45" s="46">
        <v>4709.8999999999996</v>
      </c>
      <c r="I45" s="85">
        <f>IF(compras_mes8[[#This Row],[NETO GRAVADO]]="","",compras_mes8[[#This Row],[NETO GRAVADO]]*0.21)</f>
        <v>989.07899999999984</v>
      </c>
      <c r="J45" s="85"/>
      <c r="K45" s="85"/>
      <c r="L45" s="85"/>
      <c r="M45" s="85"/>
      <c r="N45" s="85"/>
      <c r="O45" s="85">
        <v>301.02</v>
      </c>
      <c r="P45" s="48">
        <f>SUM(compras_mes8[[#This Row],[NETO GRAVADO]:[Otros / No Grav.]])</f>
        <v>5999.9989999999998</v>
      </c>
      <c r="Q45" s="49" t="str">
        <f>IFERROR(IF(compras_mes8[[#This Row],[CUIT]]="","-",VLOOKUP(compras_mes8[[#This Row],[CUIT]],Lista_CUIT[#All],3,0)),"CUIT NO CARGADO")</f>
        <v>COMBUSTIBLE</v>
      </c>
      <c r="R45" s="49">
        <f>IFERROR(IF(compras_mes8[[#This Row],[CUIT]]="","-",VLOOKUP(compras_mes8[[#This Row],[CUIT]],Lista_CUIT[#All],4,0)),"CUIT NO CARGADO")</f>
        <v>0</v>
      </c>
    </row>
    <row r="46" spans="2:18" x14ac:dyDescent="0.25">
      <c r="B46" s="40">
        <v>45147</v>
      </c>
      <c r="C46" s="41">
        <v>1</v>
      </c>
      <c r="D46" s="42">
        <v>9044</v>
      </c>
      <c r="E46" s="43">
        <v>18171</v>
      </c>
      <c r="F46" s="44">
        <v>30678774495</v>
      </c>
      <c r="G46" s="45" t="str">
        <f>IFERROR(IF(compras_mes8[[#This Row],[CUIT]]="","-",VLOOKUP(compras_mes8[[#This Row],[CUIT]],Lista_CUIT[#All],2,0)),"CUIT NO CARGADO")</f>
        <v>OPER. DE EST. DE SERV. SA</v>
      </c>
      <c r="H46" s="46">
        <v>7457.34</v>
      </c>
      <c r="I46" s="85">
        <f>IF(compras_mes8[[#This Row],[NETO GRAVADO]]="","",compras_mes8[[#This Row],[NETO GRAVADO]]*0.21)</f>
        <v>1566.0414000000001</v>
      </c>
      <c r="J46" s="85"/>
      <c r="K46" s="85"/>
      <c r="L46" s="85"/>
      <c r="M46" s="85"/>
      <c r="N46" s="85"/>
      <c r="O46" s="85">
        <v>476.62</v>
      </c>
      <c r="P46" s="48">
        <f>SUM(compras_mes8[[#This Row],[NETO GRAVADO]:[Otros / No Grav.]])</f>
        <v>9500.001400000001</v>
      </c>
      <c r="Q46" s="49" t="str">
        <f>IFERROR(IF(compras_mes8[[#This Row],[CUIT]]="","-",VLOOKUP(compras_mes8[[#This Row],[CUIT]],Lista_CUIT[#All],3,0)),"CUIT NO CARGADO")</f>
        <v>COMBUSTIBLE</v>
      </c>
      <c r="R46" s="49">
        <f>IFERROR(IF(compras_mes8[[#This Row],[CUIT]]="","-",VLOOKUP(compras_mes8[[#This Row],[CUIT]],Lista_CUIT[#All],4,0)),"CUIT NO CARGADO")</f>
        <v>0</v>
      </c>
    </row>
    <row r="47" spans="2:18" x14ac:dyDescent="0.25">
      <c r="B47" s="40">
        <v>45147</v>
      </c>
      <c r="C47" s="41">
        <v>1</v>
      </c>
      <c r="D47" s="42">
        <v>30</v>
      </c>
      <c r="E47" s="43">
        <v>38765</v>
      </c>
      <c r="F47" s="44">
        <v>30703088534</v>
      </c>
      <c r="G47" s="45" t="str">
        <f>IFERROR(IF(compras_mes8[[#This Row],[CUIT]]="","-",VLOOKUP(compras_mes8[[#This Row],[CUIT]],Lista_CUIT[#All],2,0)),"CUIT NO CARGADO")</f>
        <v>MERCADO LIBRE SRL</v>
      </c>
      <c r="H47" s="46">
        <v>8614.8700000000008</v>
      </c>
      <c r="I47" s="85">
        <f>IF(compras_mes8[[#This Row],[NETO GRAVADO]]="","",compras_mes8[[#This Row],[NETO GRAVADO]]*0.21)</f>
        <v>1809.1227000000001</v>
      </c>
      <c r="J47" s="85"/>
      <c r="K47" s="85"/>
      <c r="L47" s="85"/>
      <c r="M47" s="85"/>
      <c r="N47" s="85"/>
      <c r="O47" s="85"/>
      <c r="P47" s="48">
        <f>SUM(compras_mes8[[#This Row],[NETO GRAVADO]:[Otros / No Grav.]])</f>
        <v>10423.992700000001</v>
      </c>
      <c r="Q47" s="49" t="str">
        <f>IFERROR(IF(compras_mes8[[#This Row],[CUIT]]="","-",VLOOKUP(compras_mes8[[#This Row],[CUIT]],Lista_CUIT[#All],3,0)),"CUIT NO CARGADO")</f>
        <v>GASTOS COMERCIALIZACION</v>
      </c>
      <c r="R47" s="49">
        <f>IFERROR(IF(compras_mes8[[#This Row],[CUIT]]="","-",VLOOKUP(compras_mes8[[#This Row],[CUIT]],Lista_CUIT[#All],4,0)),"CUIT NO CARGADO")</f>
        <v>0</v>
      </c>
    </row>
    <row r="48" spans="2:18" x14ac:dyDescent="0.25">
      <c r="B48" s="40">
        <v>45147</v>
      </c>
      <c r="C48" s="41">
        <v>1</v>
      </c>
      <c r="D48" s="42">
        <v>948</v>
      </c>
      <c r="E48" s="43">
        <v>1031903</v>
      </c>
      <c r="F48" s="44">
        <v>30639453975</v>
      </c>
      <c r="G48" s="45" t="str">
        <f>IFERROR(IF(compras_mes8[[#This Row],[CUIT]]="","-",VLOOKUP(compras_mes8[[#This Row],[CUIT]],Lista_CUIT[#All],2,0)),"CUIT NO CARGADO")</f>
        <v>TELEFONICA ARG SA</v>
      </c>
      <c r="H48" s="46">
        <v>13366.04</v>
      </c>
      <c r="I48" s="85"/>
      <c r="J48" s="85">
        <v>3608.83</v>
      </c>
      <c r="K48" s="85"/>
      <c r="L48" s="85">
        <v>400.98</v>
      </c>
      <c r="M48" s="85"/>
      <c r="N48" s="85">
        <v>467.81</v>
      </c>
      <c r="O48" s="85"/>
      <c r="P48" s="48">
        <f>SUM(compras_mes8[[#This Row],[NETO GRAVADO]:[Otros / No Grav.]])</f>
        <v>17843.660000000003</v>
      </c>
      <c r="Q48" s="49" t="str">
        <f>IFERROR(IF(compras_mes8[[#This Row],[CUIT]]="","-",VLOOKUP(compras_mes8[[#This Row],[CUIT]],Lista_CUIT[#All],3,0)),"CUIT NO CARGADO")</f>
        <v>TELEFONIA</v>
      </c>
      <c r="R48" s="49">
        <f>IFERROR(IF(compras_mes8[[#This Row],[CUIT]]="","-",VLOOKUP(compras_mes8[[#This Row],[CUIT]],Lista_CUIT[#All],4,0)),"CUIT NO CARGADO")</f>
        <v>0</v>
      </c>
    </row>
    <row r="49" spans="2:18" x14ac:dyDescent="0.25">
      <c r="B49" s="219">
        <v>45147</v>
      </c>
      <c r="C49" s="209">
        <v>1</v>
      </c>
      <c r="D49" s="220">
        <v>105</v>
      </c>
      <c r="E49" s="221">
        <v>1304102</v>
      </c>
      <c r="F49" s="222">
        <v>30537882871</v>
      </c>
      <c r="G49" s="223" t="str">
        <f>IFERROR(IF(compras_mes8[[#This Row],[CUIT]]="","-",VLOOKUP(compras_mes8[[#This Row],[CUIT]],Lista_CUIT[#All],2,0)),"CUIT NO CARGADO")</f>
        <v>EL JUMILIANO SA</v>
      </c>
      <c r="H49" s="224">
        <v>2661.16</v>
      </c>
      <c r="I49" s="225">
        <f>IF(compras_mes8[[#This Row],[NETO GRAVADO]]="","",compras_mes8[[#This Row],[NETO GRAVADO]]*0.21)</f>
        <v>558.84359999999992</v>
      </c>
      <c r="J49" s="225"/>
      <c r="K49" s="225"/>
      <c r="L49" s="225"/>
      <c r="M49" s="225"/>
      <c r="N49" s="225"/>
      <c r="O49" s="225"/>
      <c r="P49" s="226">
        <f>SUM(compras_mes8[[#This Row],[NETO GRAVADO]:[Otros / No Grav.]])</f>
        <v>3220.0036</v>
      </c>
      <c r="Q49" s="227" t="str">
        <f>IFERROR(IF(compras_mes8[[#This Row],[CUIT]]="","-",VLOOKUP(compras_mes8[[#This Row],[CUIT]],Lista_CUIT[#All],3,0)),"CUIT NO CARGADO")</f>
        <v>SERVICIOS</v>
      </c>
      <c r="R49" s="227">
        <f>IFERROR(IF(compras_mes8[[#This Row],[CUIT]]="","-",VLOOKUP(compras_mes8[[#This Row],[CUIT]],Lista_CUIT[#All],4,0)),"CUIT NO CARGADO")</f>
        <v>0</v>
      </c>
    </row>
    <row r="50" spans="2:18" x14ac:dyDescent="0.25">
      <c r="B50" s="40">
        <v>45148</v>
      </c>
      <c r="C50" s="41">
        <v>1</v>
      </c>
      <c r="D50" s="42">
        <v>2</v>
      </c>
      <c r="E50" s="43">
        <v>17</v>
      </c>
      <c r="F50" s="44">
        <v>20272865869</v>
      </c>
      <c r="G50" s="45" t="str">
        <f>IFERROR(IF(compras_mes8[[#This Row],[CUIT]]="","-",VLOOKUP(compras_mes8[[#This Row],[CUIT]],Lista_CUIT[#All],2,0)),"CUIT NO CARGADO")</f>
        <v>DI FEO MARTIN EZEQUIEL</v>
      </c>
      <c r="H50" s="46">
        <v>29426.45</v>
      </c>
      <c r="I50" s="85">
        <f>IF(compras_mes8[[#This Row],[NETO GRAVADO]]="","",compras_mes8[[#This Row],[NETO GRAVADO]]*0.21)</f>
        <v>6179.5545000000002</v>
      </c>
      <c r="J50" s="85"/>
      <c r="K50" s="85"/>
      <c r="L50" s="85"/>
      <c r="M50" s="85"/>
      <c r="N50" s="85"/>
      <c r="O50" s="85"/>
      <c r="P50" s="48">
        <f>SUM(compras_mes8[[#This Row],[NETO GRAVADO]:[Otros / No Grav.]])</f>
        <v>35606.004500000003</v>
      </c>
      <c r="Q50" s="49" t="str">
        <f>IFERROR(IF(compras_mes8[[#This Row],[CUIT]]="","-",VLOOKUP(compras_mes8[[#This Row],[CUIT]],Lista_CUIT[#All],3,0)),"CUIT NO CARGADO")</f>
        <v>Productos Ortopedicos</v>
      </c>
      <c r="R50" s="49">
        <f>IFERROR(IF(compras_mes8[[#This Row],[CUIT]]="","-",VLOOKUP(compras_mes8[[#This Row],[CUIT]],Lista_CUIT[#All],4,0)),"CUIT NO CARGADO")</f>
        <v>0</v>
      </c>
    </row>
    <row r="51" spans="2:18" x14ac:dyDescent="0.25">
      <c r="B51" s="40">
        <v>45148</v>
      </c>
      <c r="C51" s="41">
        <v>1</v>
      </c>
      <c r="D51" s="42">
        <v>4</v>
      </c>
      <c r="E51" s="43">
        <v>61</v>
      </c>
      <c r="F51" s="44">
        <v>20317488476</v>
      </c>
      <c r="G51" s="45" t="str">
        <f>IFERROR(IF(compras_mes8[[#This Row],[CUIT]]="","-",VLOOKUP(compras_mes8[[#This Row],[CUIT]],Lista_CUIT[#All],2,0)),"CUIT NO CARGADO")</f>
        <v>MIGUEL ANGEL VILLALBA</v>
      </c>
      <c r="H51" s="46">
        <v>289952</v>
      </c>
      <c r="I51" s="85">
        <f>IF(compras_mes8[[#This Row],[NETO GRAVADO]]="","",compras_mes8[[#This Row],[NETO GRAVADO]]*0.21)</f>
        <v>60889.919999999998</v>
      </c>
      <c r="J51" s="85"/>
      <c r="K51" s="85"/>
      <c r="L51" s="85"/>
      <c r="M51" s="85"/>
      <c r="N51" s="85"/>
      <c r="O51" s="85"/>
      <c r="P51" s="48">
        <f>SUM(compras_mes8[[#This Row],[NETO GRAVADO]:[Otros / No Grav.]])</f>
        <v>350841.92</v>
      </c>
      <c r="Q51" s="49" t="str">
        <f>IFERROR(IF(compras_mes8[[#This Row],[CUIT]]="","-",VLOOKUP(compras_mes8[[#This Row],[CUIT]],Lista_CUIT[#All],3,0)),"CUIT NO CARGADO")</f>
        <v>Recupero P. Ortopedicos</v>
      </c>
      <c r="R51" s="49">
        <f>IFERROR(IF(compras_mes8[[#This Row],[CUIT]]="","-",VLOOKUP(compras_mes8[[#This Row],[CUIT]],Lista_CUIT[#All],4,0)),"CUIT NO CARGADO")</f>
        <v>0</v>
      </c>
    </row>
    <row r="52" spans="2:18" x14ac:dyDescent="0.25">
      <c r="B52" s="40">
        <v>45148</v>
      </c>
      <c r="C52" s="41">
        <v>1</v>
      </c>
      <c r="D52" s="42">
        <v>1</v>
      </c>
      <c r="E52" s="43">
        <v>861</v>
      </c>
      <c r="F52" s="44">
        <v>30715224468</v>
      </c>
      <c r="G52" s="45" t="str">
        <f>IFERROR(IF(compras_mes8[[#This Row],[CUIT]]="","-",VLOOKUP(compras_mes8[[#This Row],[CUIT]],Lista_CUIT[#All],2,0)),"CUIT NO CARGADO")</f>
        <v>MLND SRL</v>
      </c>
      <c r="H52" s="46">
        <v>19000</v>
      </c>
      <c r="I52" s="85">
        <f>IF(compras_mes8[[#This Row],[NETO GRAVADO]]="","",compras_mes8[[#This Row],[NETO GRAVADO]]*0.21)</f>
        <v>3990</v>
      </c>
      <c r="J52" s="85"/>
      <c r="K52" s="85"/>
      <c r="L52" s="85"/>
      <c r="M52" s="85"/>
      <c r="N52" s="85"/>
      <c r="O52" s="85"/>
      <c r="P52" s="48">
        <f>SUM(compras_mes8[[#This Row],[NETO GRAVADO]:[Otros / No Grav.]])</f>
        <v>22990</v>
      </c>
      <c r="Q52" s="49" t="str">
        <f>IFERROR(IF(compras_mes8[[#This Row],[CUIT]]="","-",VLOOKUP(compras_mes8[[#This Row],[CUIT]],Lista_CUIT[#All],3,0)),"CUIT NO CARGADO")</f>
        <v>Productos Ortopedicos</v>
      </c>
      <c r="R52" s="49">
        <f>IFERROR(IF(compras_mes8[[#This Row],[CUIT]]="","-",VLOOKUP(compras_mes8[[#This Row],[CUIT]],Lista_CUIT[#All],4,0)),"CUIT NO CARGADO")</f>
        <v>0</v>
      </c>
    </row>
    <row r="53" spans="2:18" x14ac:dyDescent="0.25">
      <c r="B53" s="40">
        <v>45148</v>
      </c>
      <c r="C53" s="41">
        <v>1</v>
      </c>
      <c r="D53" s="42">
        <v>17</v>
      </c>
      <c r="E53" s="43">
        <v>1209</v>
      </c>
      <c r="F53" s="44">
        <v>30711764921</v>
      </c>
      <c r="G53" s="45" t="str">
        <f>IFERROR(IF(compras_mes8[[#This Row],[CUIT]]="","-",VLOOKUP(compras_mes8[[#This Row],[CUIT]],Lista_CUIT[#All],2,0)),"CUIT NO CARGADO")</f>
        <v>RELIEF CENTER SRL</v>
      </c>
      <c r="H53" s="46">
        <v>29169</v>
      </c>
      <c r="I53" s="85">
        <f>IF(compras_mes8[[#This Row],[NETO GRAVADO]]="","",compras_mes8[[#This Row],[NETO GRAVADO]]*0.21)</f>
        <v>6125.49</v>
      </c>
      <c r="J53" s="85"/>
      <c r="K53" s="85"/>
      <c r="L53" s="85"/>
      <c r="M53" s="85"/>
      <c r="N53" s="85"/>
      <c r="O53" s="85"/>
      <c r="P53" s="48">
        <f>SUM(compras_mes8[[#This Row],[NETO GRAVADO]:[Otros / No Grav.]])</f>
        <v>35294.49</v>
      </c>
      <c r="Q53" s="49" t="str">
        <f>IFERROR(IF(compras_mes8[[#This Row],[CUIT]]="","-",VLOOKUP(compras_mes8[[#This Row],[CUIT]],Lista_CUIT[#All],3,0)),"CUIT NO CARGADO")</f>
        <v>Productos Ortopedicos</v>
      </c>
      <c r="R53" s="49">
        <f>IFERROR(IF(compras_mes8[[#This Row],[CUIT]]="","-",VLOOKUP(compras_mes8[[#This Row],[CUIT]],Lista_CUIT[#All],4,0)),"CUIT NO CARGADO")</f>
        <v>0</v>
      </c>
    </row>
    <row r="54" spans="2:18" x14ac:dyDescent="0.25">
      <c r="B54" s="40">
        <v>45148</v>
      </c>
      <c r="C54" s="41">
        <v>1</v>
      </c>
      <c r="D54" s="42">
        <v>13</v>
      </c>
      <c r="E54" s="43">
        <v>1256</v>
      </c>
      <c r="F54" s="44">
        <v>33709914109</v>
      </c>
      <c r="G54" s="45" t="str">
        <f>IFERROR(IF(compras_mes8[[#This Row],[CUIT]]="","-",VLOOKUP(compras_mes8[[#This Row],[CUIT]],Lista_CUIT[#All],2,0)),"CUIT NO CARGADO")</f>
        <v xml:space="preserve">ALAN COLLECTION SA </v>
      </c>
      <c r="H54" s="46">
        <v>3719.01</v>
      </c>
      <c r="I54" s="85">
        <f>IF(compras_mes8[[#This Row],[NETO GRAVADO]]="","",compras_mes8[[#This Row],[NETO GRAVADO]]*0.21)</f>
        <v>780.99210000000005</v>
      </c>
      <c r="J54" s="85"/>
      <c r="K54" s="85"/>
      <c r="L54" s="85"/>
      <c r="M54" s="85"/>
      <c r="N54" s="85"/>
      <c r="O54" s="85"/>
      <c r="P54" s="48">
        <f>SUM(compras_mes8[[#This Row],[NETO GRAVADO]:[Otros / No Grav.]])</f>
        <v>4500.0021000000006</v>
      </c>
      <c r="Q54" s="49" t="str">
        <f>IFERROR(IF(compras_mes8[[#This Row],[CUIT]]="","-",VLOOKUP(compras_mes8[[#This Row],[CUIT]],Lista_CUIT[#All],3,0)),"CUIT NO CARGADO")</f>
        <v>MERCADERIA</v>
      </c>
      <c r="R54" s="49">
        <f>IFERROR(IF(compras_mes8[[#This Row],[CUIT]]="","-",VLOOKUP(compras_mes8[[#This Row],[CUIT]],Lista_CUIT[#All],4,0)),"CUIT NO CARGADO")</f>
        <v>0</v>
      </c>
    </row>
    <row r="55" spans="2:18" x14ac:dyDescent="0.25">
      <c r="B55" s="40">
        <v>45148</v>
      </c>
      <c r="C55" s="41">
        <v>1</v>
      </c>
      <c r="D55" s="42">
        <v>7</v>
      </c>
      <c r="E55" s="43">
        <v>2100</v>
      </c>
      <c r="F55" s="44">
        <v>20284183534</v>
      </c>
      <c r="G55" s="45" t="str">
        <f>IFERROR(IF(compras_mes8[[#This Row],[CUIT]]="","-",VLOOKUP(compras_mes8[[#This Row],[CUIT]],Lista_CUIT[#All],2,0)),"CUIT NO CARGADO")</f>
        <v>FURLANETTO MARTIN</v>
      </c>
      <c r="H55" s="46">
        <v>619.85</v>
      </c>
      <c r="I55" s="85">
        <f>IF(compras_mes8[[#This Row],[NETO GRAVADO]]="","",compras_mes8[[#This Row],[NETO GRAVADO]]*0.21)</f>
        <v>130.16849999999999</v>
      </c>
      <c r="J55" s="85"/>
      <c r="K55" s="85"/>
      <c r="L55" s="85"/>
      <c r="M55" s="85"/>
      <c r="N55" s="85"/>
      <c r="O55" s="85"/>
      <c r="P55" s="48">
        <f>SUM(compras_mes8[[#This Row],[NETO GRAVADO]:[Otros / No Grav.]])</f>
        <v>750.01850000000002</v>
      </c>
      <c r="Q55" s="49" t="str">
        <f>IFERROR(IF(compras_mes8[[#This Row],[CUIT]]="","-",VLOOKUP(compras_mes8[[#This Row],[CUIT]],Lista_CUIT[#All],3,0)),"CUIT NO CARGADO")</f>
        <v>PAPELERIA</v>
      </c>
      <c r="R55" s="49">
        <f>IFERROR(IF(compras_mes8[[#This Row],[CUIT]]="","-",VLOOKUP(compras_mes8[[#This Row],[CUIT]],Lista_CUIT[#All],4,0)),"CUIT NO CARGADO")</f>
        <v>0</v>
      </c>
    </row>
    <row r="56" spans="2:18" x14ac:dyDescent="0.25">
      <c r="B56" s="40">
        <v>45148</v>
      </c>
      <c r="C56" s="41">
        <v>1</v>
      </c>
      <c r="D56" s="42">
        <v>15</v>
      </c>
      <c r="E56" s="43">
        <v>2343</v>
      </c>
      <c r="F56" s="44">
        <v>30688140923</v>
      </c>
      <c r="G56" s="45" t="str">
        <f>IFERROR(IF(compras_mes8[[#This Row],[CUIT]]="","-",VLOOKUP(compras_mes8[[#This Row],[CUIT]],Lista_CUIT[#All],2,0)),"CUIT NO CARGADO")</f>
        <v>COLTEX SRL</v>
      </c>
      <c r="H56" s="46">
        <v>269641.99</v>
      </c>
      <c r="I56" s="85">
        <f>IF(compras_mes8[[#This Row],[NETO GRAVADO]]="","",compras_mes8[[#This Row],[NETO GRAVADO]]*0.21)</f>
        <v>56624.817899999995</v>
      </c>
      <c r="J56" s="85"/>
      <c r="K56" s="85"/>
      <c r="L56" s="85"/>
      <c r="M56" s="85"/>
      <c r="N56" s="85"/>
      <c r="O56" s="85"/>
      <c r="P56" s="48">
        <f>SUM(compras_mes8[[#This Row],[NETO GRAVADO]:[Otros / No Grav.]])</f>
        <v>326266.80790000001</v>
      </c>
      <c r="Q56" s="49" t="str">
        <f>IFERROR(IF(compras_mes8[[#This Row],[CUIT]]="","-",VLOOKUP(compras_mes8[[#This Row],[CUIT]],Lista_CUIT[#All],3,0)),"CUIT NO CARGADO")</f>
        <v>Productos Ortopedicos</v>
      </c>
      <c r="R56" s="49">
        <f>IFERROR(IF(compras_mes8[[#This Row],[CUIT]]="","-",VLOOKUP(compras_mes8[[#This Row],[CUIT]],Lista_CUIT[#All],4,0)),"CUIT NO CARGADO")</f>
        <v>0</v>
      </c>
    </row>
    <row r="57" spans="2:18" x14ac:dyDescent="0.25">
      <c r="B57" s="40">
        <v>45149</v>
      </c>
      <c r="C57" s="41">
        <v>1</v>
      </c>
      <c r="D57" s="42">
        <v>2</v>
      </c>
      <c r="E57" s="43">
        <v>7373</v>
      </c>
      <c r="F57" s="44">
        <v>30694549817</v>
      </c>
      <c r="G57" s="45" t="str">
        <f>IFERROR(IF(compras_mes8[[#This Row],[CUIT]]="","-",VLOOKUP(compras_mes8[[#This Row],[CUIT]],Lista_CUIT[#All],2,0)),"CUIT NO CARGADO")</f>
        <v>DISEÑOS JERY SRL</v>
      </c>
      <c r="H57" s="46">
        <v>537319.47</v>
      </c>
      <c r="I57" s="85">
        <f>IF(compras_mes8[[#This Row],[NETO GRAVADO]]="","",compras_mes8[[#This Row],[NETO GRAVADO]]*0.21)</f>
        <v>112837.08869999999</v>
      </c>
      <c r="J57" s="85"/>
      <c r="K57" s="85"/>
      <c r="L57" s="85"/>
      <c r="M57" s="85"/>
      <c r="N57" s="85"/>
      <c r="O57" s="85"/>
      <c r="P57" s="48">
        <f>SUM(compras_mes8[[#This Row],[NETO GRAVADO]:[Otros / No Grav.]])</f>
        <v>650156.55869999994</v>
      </c>
      <c r="Q57" s="49" t="str">
        <f>IFERROR(IF(compras_mes8[[#This Row],[CUIT]]="","-",VLOOKUP(compras_mes8[[#This Row],[CUIT]],Lista_CUIT[#All],3,0)),"CUIT NO CARGADO")</f>
        <v>Productos Ortopedicos</v>
      </c>
      <c r="R57" s="49">
        <f>IFERROR(IF(compras_mes8[[#This Row],[CUIT]]="","-",VLOOKUP(compras_mes8[[#This Row],[CUIT]],Lista_CUIT[#All],4,0)),"CUIT NO CARGADO")</f>
        <v>0</v>
      </c>
    </row>
    <row r="58" spans="2:18" x14ac:dyDescent="0.25">
      <c r="B58" s="40">
        <v>45150</v>
      </c>
      <c r="C58" s="41">
        <v>1</v>
      </c>
      <c r="D58" s="42">
        <v>9038</v>
      </c>
      <c r="E58" s="43">
        <v>14959</v>
      </c>
      <c r="F58" s="44">
        <v>30678774495</v>
      </c>
      <c r="G58" s="45" t="str">
        <f>IFERROR(IF(compras_mes8[[#This Row],[CUIT]]="","-",VLOOKUP(compras_mes8[[#This Row],[CUIT]],Lista_CUIT[#All],2,0)),"CUIT NO CARGADO")</f>
        <v>OPER. DE EST. DE SERV. SA</v>
      </c>
      <c r="H58" s="46">
        <v>4710.17</v>
      </c>
      <c r="I58" s="85">
        <f>IF(compras_mes8[[#This Row],[NETO GRAVADO]]="","",compras_mes8[[#This Row],[NETO GRAVADO]]*0.21)</f>
        <v>989.13569999999993</v>
      </c>
      <c r="J58" s="85"/>
      <c r="K58" s="85"/>
      <c r="L58" s="85"/>
      <c r="M58" s="85"/>
      <c r="N58" s="85"/>
      <c r="O58" s="85">
        <v>300.69</v>
      </c>
      <c r="P58" s="48">
        <f>SUM(compras_mes8[[#This Row],[NETO GRAVADO]:[Otros / No Grav.]])</f>
        <v>5999.9956999999995</v>
      </c>
      <c r="Q58" s="49" t="str">
        <f>IFERROR(IF(compras_mes8[[#This Row],[CUIT]]="","-",VLOOKUP(compras_mes8[[#This Row],[CUIT]],Lista_CUIT[#All],3,0)),"CUIT NO CARGADO")</f>
        <v>COMBUSTIBLE</v>
      </c>
      <c r="R58" s="49">
        <f>IFERROR(IF(compras_mes8[[#This Row],[CUIT]]="","-",VLOOKUP(compras_mes8[[#This Row],[CUIT]],Lista_CUIT[#All],4,0)),"CUIT NO CARGADO")</f>
        <v>0</v>
      </c>
    </row>
    <row r="59" spans="2:18" x14ac:dyDescent="0.25">
      <c r="B59" s="40">
        <v>45150</v>
      </c>
      <c r="C59" s="41">
        <v>1</v>
      </c>
      <c r="D59" s="42">
        <v>9038</v>
      </c>
      <c r="E59" s="43">
        <v>14960</v>
      </c>
      <c r="F59" s="44">
        <v>30678774495</v>
      </c>
      <c r="G59" s="45" t="str">
        <f>IFERROR(IF(compras_mes8[[#This Row],[CUIT]]="","-",VLOOKUP(compras_mes8[[#This Row],[CUIT]],Lista_CUIT[#All],2,0)),"CUIT NO CARGADO")</f>
        <v>OPER. DE EST. DE SERV. SA</v>
      </c>
      <c r="H59" s="46">
        <v>2355.0700000000002</v>
      </c>
      <c r="I59" s="85">
        <f>IF(compras_mes8[[#This Row],[NETO GRAVADO]]="","",compras_mes8[[#This Row],[NETO GRAVADO]]*0.21)</f>
        <v>494.56470000000002</v>
      </c>
      <c r="J59" s="85"/>
      <c r="K59" s="85"/>
      <c r="L59" s="85"/>
      <c r="M59" s="85"/>
      <c r="N59" s="85"/>
      <c r="O59" s="85">
        <v>150.35</v>
      </c>
      <c r="P59" s="48">
        <f>SUM(compras_mes8[[#This Row],[NETO GRAVADO]:[Otros / No Grav.]])</f>
        <v>2999.9847</v>
      </c>
      <c r="Q59" s="49" t="str">
        <f>IFERROR(IF(compras_mes8[[#This Row],[CUIT]]="","-",VLOOKUP(compras_mes8[[#This Row],[CUIT]],Lista_CUIT[#All],3,0)),"CUIT NO CARGADO")</f>
        <v>COMBUSTIBLE</v>
      </c>
      <c r="R59" s="49">
        <f>IFERROR(IF(compras_mes8[[#This Row],[CUIT]]="","-",VLOOKUP(compras_mes8[[#This Row],[CUIT]],Lista_CUIT[#All],4,0)),"CUIT NO CARGADO")</f>
        <v>0</v>
      </c>
    </row>
    <row r="60" spans="2:18" x14ac:dyDescent="0.25">
      <c r="B60" s="40">
        <v>45152</v>
      </c>
      <c r="C60" s="41">
        <v>1</v>
      </c>
      <c r="D60" s="42">
        <v>3</v>
      </c>
      <c r="E60" s="43">
        <v>93</v>
      </c>
      <c r="F60" s="44">
        <v>20334976433</v>
      </c>
      <c r="G60" s="45" t="str">
        <f>IFERROR(IF(compras_mes8[[#This Row],[CUIT]]="","-",VLOOKUP(compras_mes8[[#This Row],[CUIT]],Lista_CUIT[#All],2,0)),"CUIT NO CARGADO")</f>
        <v>NARDOMARINO EZEQUIEL EDUARDO</v>
      </c>
      <c r="H60" s="46">
        <v>137294.21</v>
      </c>
      <c r="I60" s="85">
        <f>IF(compras_mes8[[#This Row],[NETO GRAVADO]]="","",compras_mes8[[#This Row],[NETO GRAVADO]]*0.21)</f>
        <v>28831.784099999997</v>
      </c>
      <c r="J60" s="85"/>
      <c r="K60" s="85"/>
      <c r="L60" s="85"/>
      <c r="M60" s="85"/>
      <c r="N60" s="85"/>
      <c r="O60" s="85"/>
      <c r="P60" s="48">
        <f>SUM(compras_mes8[[#This Row],[NETO GRAVADO]:[Otros / No Grav.]])</f>
        <v>166125.99409999998</v>
      </c>
      <c r="Q60" s="49" t="str">
        <f>IFERROR(IF(compras_mes8[[#This Row],[CUIT]]="","-",VLOOKUP(compras_mes8[[#This Row],[CUIT]],Lista_CUIT[#All],3,0)),"CUIT NO CARGADO")</f>
        <v>FLETE</v>
      </c>
      <c r="R60" s="49">
        <f>IFERROR(IF(compras_mes8[[#This Row],[CUIT]]="","-",VLOOKUP(compras_mes8[[#This Row],[CUIT]],Lista_CUIT[#All],4,0)),"CUIT NO CARGADO")</f>
        <v>0</v>
      </c>
    </row>
    <row r="61" spans="2:18" x14ac:dyDescent="0.25">
      <c r="B61" s="219">
        <v>45152</v>
      </c>
      <c r="C61" s="209">
        <v>1</v>
      </c>
      <c r="D61" s="220">
        <v>3</v>
      </c>
      <c r="E61" s="221">
        <v>4605</v>
      </c>
      <c r="F61" s="222">
        <v>30710449658</v>
      </c>
      <c r="G61" s="223" t="str">
        <f>IFERROR(IF(compras_mes8[[#This Row],[CUIT]]="","-",VLOOKUP(compras_mes8[[#This Row],[CUIT]],Lista_CUIT[#All],2,0)),"CUIT NO CARGADO")</f>
        <v>PORTUMAT  S.R.L.</v>
      </c>
      <c r="H61" s="224">
        <v>102836.01</v>
      </c>
      <c r="I61" s="225">
        <f>IF(compras_mes8[[#This Row],[NETO GRAVADO]]="","",compras_mes8[[#This Row],[NETO GRAVADO]]*0.21)</f>
        <v>21595.562099999999</v>
      </c>
      <c r="J61" s="225"/>
      <c r="K61" s="225"/>
      <c r="L61" s="225"/>
      <c r="M61" s="225"/>
      <c r="N61" s="225"/>
      <c r="O61" s="225"/>
      <c r="P61" s="226">
        <f>SUM(compras_mes8[[#This Row],[NETO GRAVADO]:[Otros / No Grav.]])</f>
        <v>124431.57209999999</v>
      </c>
      <c r="Q61" s="227" t="str">
        <f>IFERROR(IF(compras_mes8[[#This Row],[CUIT]]="","-",VLOOKUP(compras_mes8[[#This Row],[CUIT]],Lista_CUIT[#All],3,0)),"CUIT NO CARGADO")</f>
        <v>GASTOS MANTENIMIENTO</v>
      </c>
      <c r="R61" s="227">
        <f>IFERROR(IF(compras_mes8[[#This Row],[CUIT]]="","-",VLOOKUP(compras_mes8[[#This Row],[CUIT]],Lista_CUIT[#All],4,0)),"CUIT NO CARGADO")</f>
        <v>0</v>
      </c>
    </row>
    <row r="62" spans="2:18" x14ac:dyDescent="0.25">
      <c r="B62" s="40">
        <v>45152</v>
      </c>
      <c r="C62" s="41">
        <v>1</v>
      </c>
      <c r="D62" s="42">
        <v>4</v>
      </c>
      <c r="E62" s="43">
        <v>35692</v>
      </c>
      <c r="F62" s="44">
        <v>20289111329</v>
      </c>
      <c r="G62" s="45" t="str">
        <f>IFERROR(IF(compras_mes8[[#This Row],[CUIT]]="","-",VLOOKUP(compras_mes8[[#This Row],[CUIT]],Lista_CUIT[#All],2,0)),"CUIT NO CARGADO")</f>
        <v>R. N. LEDESMA</v>
      </c>
      <c r="H62" s="46">
        <v>252256.63</v>
      </c>
      <c r="I62" s="85">
        <f>IF(compras_mes8[[#This Row],[NETO GRAVADO]]="","",compras_mes8[[#This Row],[NETO GRAVADO]]*0.21)</f>
        <v>52973.8923</v>
      </c>
      <c r="J62" s="85"/>
      <c r="K62" s="85"/>
      <c r="L62" s="85"/>
      <c r="M62" s="85"/>
      <c r="N62" s="85"/>
      <c r="O62" s="85"/>
      <c r="P62" s="48">
        <f>SUM(compras_mes8[[#This Row],[NETO GRAVADO]:[Otros / No Grav.]])</f>
        <v>305230.52230000001</v>
      </c>
      <c r="Q62" s="49" t="str">
        <f>IFERROR(IF(compras_mes8[[#This Row],[CUIT]]="","-",VLOOKUP(compras_mes8[[#This Row],[CUIT]],Lista_CUIT[#All],3,0)),"CUIT NO CARGADO")</f>
        <v>Productos Ortopedicos</v>
      </c>
      <c r="R62" s="49">
        <f>IFERROR(IF(compras_mes8[[#This Row],[CUIT]]="","-",VLOOKUP(compras_mes8[[#This Row],[CUIT]],Lista_CUIT[#All],4,0)),"CUIT NO CARGADO")</f>
        <v>0</v>
      </c>
    </row>
    <row r="63" spans="2:18" x14ac:dyDescent="0.25">
      <c r="B63" s="40">
        <v>45154</v>
      </c>
      <c r="C63" s="41">
        <v>1</v>
      </c>
      <c r="D63" s="42">
        <v>7780</v>
      </c>
      <c r="E63" s="43">
        <v>209</v>
      </c>
      <c r="F63" s="44">
        <v>30678774495</v>
      </c>
      <c r="G63" s="45" t="str">
        <f>IFERROR(IF(compras_mes8[[#This Row],[CUIT]]="","-",VLOOKUP(compras_mes8[[#This Row],[CUIT]],Lista_CUIT[#All],2,0)),"CUIT NO CARGADO")</f>
        <v>OPER. DE EST. DE SERV. SA</v>
      </c>
      <c r="H63" s="46">
        <v>4008.26</v>
      </c>
      <c r="I63" s="85">
        <f>IF(compras_mes8[[#This Row],[NETO GRAVADO]]="","",compras_mes8[[#This Row],[NETO GRAVADO]]*0.21)</f>
        <v>841.7346</v>
      </c>
      <c r="J63" s="85"/>
      <c r="K63" s="85"/>
      <c r="L63" s="85"/>
      <c r="M63" s="85"/>
      <c r="N63" s="85"/>
      <c r="O63" s="85"/>
      <c r="P63" s="48">
        <f>SUM(compras_mes8[[#This Row],[NETO GRAVADO]:[Otros / No Grav.]])</f>
        <v>4849.9946</v>
      </c>
      <c r="Q63" s="49" t="str">
        <f>IFERROR(IF(compras_mes8[[#This Row],[CUIT]]="","-",VLOOKUP(compras_mes8[[#This Row],[CUIT]],Lista_CUIT[#All],3,0)),"CUIT NO CARGADO")</f>
        <v>COMBUSTIBLE</v>
      </c>
      <c r="R63" s="49">
        <f>IFERROR(IF(compras_mes8[[#This Row],[CUIT]]="","-",VLOOKUP(compras_mes8[[#This Row],[CUIT]],Lista_CUIT[#All],4,0)),"CUIT NO CARGADO")</f>
        <v>0</v>
      </c>
    </row>
    <row r="64" spans="2:18" x14ac:dyDescent="0.25">
      <c r="B64" s="40">
        <v>45154</v>
      </c>
      <c r="C64" s="41">
        <v>1</v>
      </c>
      <c r="D64" s="42">
        <v>120</v>
      </c>
      <c r="E64" s="43">
        <v>3159</v>
      </c>
      <c r="F64" s="44">
        <v>30587197215</v>
      </c>
      <c r="G64" s="45" t="str">
        <f>IFERROR(IF(compras_mes8[[#This Row],[CUIT]]="","-",VLOOKUP(compras_mes8[[#This Row],[CUIT]],Lista_CUIT[#All],2,0)),"CUIT NO CARGADO")</f>
        <v>PANATEL SOCIEDAD ANONIMA</v>
      </c>
      <c r="H64" s="46">
        <v>21487.599999999999</v>
      </c>
      <c r="I64" s="85">
        <f>IF(compras_mes8[[#This Row],[NETO GRAVADO]]="","",compras_mes8[[#This Row],[NETO GRAVADO]]*0.21)</f>
        <v>4512.3959999999997</v>
      </c>
      <c r="J64" s="85"/>
      <c r="K64" s="85"/>
      <c r="L64" s="85"/>
      <c r="M64" s="85"/>
      <c r="N64" s="85"/>
      <c r="O64" s="85"/>
      <c r="P64" s="48">
        <f>SUM(compras_mes8[[#This Row],[NETO GRAVADO]:[Otros / No Grav.]])</f>
        <v>25999.995999999999</v>
      </c>
      <c r="Q64" s="49" t="str">
        <f>IFERROR(IF(compras_mes8[[#This Row],[CUIT]]="","-",VLOOKUP(compras_mes8[[#This Row],[CUIT]],Lista_CUIT[#All],3,0)),"CUIT NO CARGADO")</f>
        <v>Gastos Varios</v>
      </c>
      <c r="R64" s="49">
        <f>IFERROR(IF(compras_mes8[[#This Row],[CUIT]]="","-",VLOOKUP(compras_mes8[[#This Row],[CUIT]],Lista_CUIT[#All],4,0)),"CUIT NO CARGADO")</f>
        <v>0</v>
      </c>
    </row>
    <row r="65" spans="2:18" x14ac:dyDescent="0.25">
      <c r="B65" s="40">
        <v>45154</v>
      </c>
      <c r="C65" s="41">
        <v>1</v>
      </c>
      <c r="D65" s="42">
        <v>7</v>
      </c>
      <c r="E65" s="43">
        <v>16311</v>
      </c>
      <c r="F65" s="44">
        <v>30709214078</v>
      </c>
      <c r="G65" s="45" t="str">
        <f>IFERROR(IF(compras_mes8[[#This Row],[CUIT]]="","-",VLOOKUP(compras_mes8[[#This Row],[CUIT]],Lista_CUIT[#All],2,0)),"CUIT NO CARGADO")</f>
        <v>REHAVITA S.A</v>
      </c>
      <c r="H65" s="46">
        <v>1071187</v>
      </c>
      <c r="I65" s="85">
        <f>IF(compras_mes8[[#This Row],[NETO GRAVADO]]="","",compras_mes8[[#This Row],[NETO GRAVADO]]*0.21)</f>
        <v>224949.27</v>
      </c>
      <c r="J65" s="85"/>
      <c r="K65" s="85"/>
      <c r="L65" s="85"/>
      <c r="M65" s="85"/>
      <c r="N65" s="85"/>
      <c r="O65" s="85"/>
      <c r="P65" s="48">
        <f>SUM(compras_mes8[[#This Row],[NETO GRAVADO]:[Otros / No Grav.]])</f>
        <v>1296136.27</v>
      </c>
      <c r="Q65" s="49" t="str">
        <f>IFERROR(IF(compras_mes8[[#This Row],[CUIT]]="","-",VLOOKUP(compras_mes8[[#This Row],[CUIT]],Lista_CUIT[#All],3,0)),"CUIT NO CARGADO")</f>
        <v>Productos Ortopedicos</v>
      </c>
      <c r="R65" s="49">
        <f>IFERROR(IF(compras_mes8[[#This Row],[CUIT]]="","-",VLOOKUP(compras_mes8[[#This Row],[CUIT]],Lista_CUIT[#All],4,0)),"CUIT NO CARGADO")</f>
        <v>0</v>
      </c>
    </row>
    <row r="66" spans="2:18" x14ac:dyDescent="0.25">
      <c r="B66" s="219">
        <v>45154</v>
      </c>
      <c r="C66" s="209">
        <v>1</v>
      </c>
      <c r="D66" s="220">
        <v>6</v>
      </c>
      <c r="E66" s="221">
        <v>30213</v>
      </c>
      <c r="F66" s="222">
        <v>30707080198</v>
      </c>
      <c r="G66" s="223" t="str">
        <f>IFERROR(IF(compras_mes8[[#This Row],[CUIT]]="","-",VLOOKUP(compras_mes8[[#This Row],[CUIT]],Lista_CUIT[#All],2,0)),"CUIT NO CARGADO")</f>
        <v>OTTO BOCK ARG SA</v>
      </c>
      <c r="H66" s="224">
        <v>18590</v>
      </c>
      <c r="I66" s="225">
        <f>IF(compras_mes8[[#This Row],[NETO GRAVADO]]="","",compras_mes8[[#This Row],[NETO GRAVADO]]*0.21)</f>
        <v>3903.8999999999996</v>
      </c>
      <c r="J66" s="225"/>
      <c r="K66" s="225"/>
      <c r="L66" s="225"/>
      <c r="M66" s="225"/>
      <c r="N66" s="225">
        <v>650.65</v>
      </c>
      <c r="O66" s="225"/>
      <c r="P66" s="226">
        <f>SUM(compras_mes8[[#This Row],[NETO GRAVADO]:[Otros / No Grav.]])</f>
        <v>23144.550000000003</v>
      </c>
      <c r="Q66" s="227" t="str">
        <f>IFERROR(IF(compras_mes8[[#This Row],[CUIT]]="","-",VLOOKUP(compras_mes8[[#This Row],[CUIT]],Lista_CUIT[#All],3,0)),"CUIT NO CARGADO")</f>
        <v>PROD ORTOP P/ALQ</v>
      </c>
      <c r="R66" s="227">
        <f>IFERROR(IF(compras_mes8[[#This Row],[CUIT]]="","-",VLOOKUP(compras_mes8[[#This Row],[CUIT]],Lista_CUIT[#All],4,0)),"CUIT NO CARGADO")</f>
        <v>0</v>
      </c>
    </row>
    <row r="67" spans="2:18" x14ac:dyDescent="0.25">
      <c r="B67" s="219">
        <v>45154</v>
      </c>
      <c r="C67" s="209">
        <v>1</v>
      </c>
      <c r="D67" s="220">
        <v>4264</v>
      </c>
      <c r="E67" s="221">
        <v>2462883</v>
      </c>
      <c r="F67" s="222">
        <v>30639453738</v>
      </c>
      <c r="G67" s="223" t="str">
        <f>IFERROR(IF(compras_mes8[[#This Row],[CUIT]]="","-",VLOOKUP(compras_mes8[[#This Row],[CUIT]],Lista_CUIT[#All],2,0)),"CUIT NO CARGADO")</f>
        <v>TELECOM ARGENTINA SA</v>
      </c>
      <c r="H67" s="224">
        <v>14004.13</v>
      </c>
      <c r="I67" s="225">
        <f>IF(compras_mes8[[#This Row],[NETO GRAVADO]]="","",compras_mes8[[#This Row],[NETO GRAVADO]]*0.21)</f>
        <v>2940.8672999999999</v>
      </c>
      <c r="J67" s="225"/>
      <c r="K67" s="225"/>
      <c r="L67" s="225"/>
      <c r="M67" s="225"/>
      <c r="N67" s="225">
        <v>910.26</v>
      </c>
      <c r="O67" s="225"/>
      <c r="P67" s="226">
        <f>SUM(compras_mes8[[#This Row],[NETO GRAVADO]:[Otros / No Grav.]])</f>
        <v>17855.257299999997</v>
      </c>
      <c r="Q67" s="227" t="str">
        <f>IFERROR(IF(compras_mes8[[#This Row],[CUIT]]="","-",VLOOKUP(compras_mes8[[#This Row],[CUIT]],Lista_CUIT[#All],3,0)),"CUIT NO CARGADO")</f>
        <v>TELEFONIA</v>
      </c>
      <c r="R67" s="227">
        <f>IFERROR(IF(compras_mes8[[#This Row],[CUIT]]="","-",VLOOKUP(compras_mes8[[#This Row],[CUIT]],Lista_CUIT[#All],4,0)),"CUIT NO CARGADO")</f>
        <v>0</v>
      </c>
    </row>
    <row r="68" spans="2:18" x14ac:dyDescent="0.25">
      <c r="B68" s="40">
        <v>45155</v>
      </c>
      <c r="C68" s="41">
        <v>3</v>
      </c>
      <c r="D68" s="42">
        <v>2</v>
      </c>
      <c r="E68" s="43">
        <v>3</v>
      </c>
      <c r="F68" s="44">
        <v>20272865869</v>
      </c>
      <c r="G68" s="45" t="str">
        <f>IFERROR(IF(compras_mes8[[#This Row],[CUIT]]="","-",VLOOKUP(compras_mes8[[#This Row],[CUIT]],Lista_CUIT[#All],2,0)),"CUIT NO CARGADO")</f>
        <v>DI FEO MARTIN EZEQUIEL</v>
      </c>
      <c r="H68" s="46">
        <v>-4680.58</v>
      </c>
      <c r="I68" s="85">
        <f>IF(compras_mes8[[#This Row],[NETO GRAVADO]]="","",compras_mes8[[#This Row],[NETO GRAVADO]]*0.21)</f>
        <v>-982.92179999999996</v>
      </c>
      <c r="J68" s="85"/>
      <c r="K68" s="85"/>
      <c r="L68" s="85"/>
      <c r="M68" s="85"/>
      <c r="N68" s="85"/>
      <c r="O68" s="85"/>
      <c r="P68" s="48">
        <f>SUM(compras_mes8[[#This Row],[NETO GRAVADO]:[Otros / No Grav.]])</f>
        <v>-5663.5018</v>
      </c>
      <c r="Q68" s="49" t="str">
        <f>IFERROR(IF(compras_mes8[[#This Row],[CUIT]]="","-",VLOOKUP(compras_mes8[[#This Row],[CUIT]],Lista_CUIT[#All],3,0)),"CUIT NO CARGADO")</f>
        <v>Productos Ortopedicos</v>
      </c>
      <c r="R68" s="49">
        <f>IFERROR(IF(compras_mes8[[#This Row],[CUIT]]="","-",VLOOKUP(compras_mes8[[#This Row],[CUIT]],Lista_CUIT[#All],4,0)),"CUIT NO CARGADO")</f>
        <v>0</v>
      </c>
    </row>
    <row r="69" spans="2:18" x14ac:dyDescent="0.25">
      <c r="B69" s="40">
        <v>45155</v>
      </c>
      <c r="C69" s="41">
        <v>1</v>
      </c>
      <c r="D69" s="42">
        <v>2</v>
      </c>
      <c r="E69" s="43">
        <v>31</v>
      </c>
      <c r="F69" s="44">
        <v>20272865869</v>
      </c>
      <c r="G69" s="45" t="str">
        <f>IFERROR(IF(compras_mes8[[#This Row],[CUIT]]="","-",VLOOKUP(compras_mes8[[#This Row],[CUIT]],Lista_CUIT[#All],2,0)),"CUIT NO CARGADO")</f>
        <v>DI FEO MARTIN EZEQUIEL</v>
      </c>
      <c r="H69" s="46">
        <v>72810.509999999995</v>
      </c>
      <c r="I69" s="85">
        <f>IF(compras_mes8[[#This Row],[NETO GRAVADO]]="","",compras_mes8[[#This Row],[NETO GRAVADO]]*0.21)</f>
        <v>15290.207099999998</v>
      </c>
      <c r="J69" s="85"/>
      <c r="K69" s="85"/>
      <c r="L69" s="85"/>
      <c r="M69" s="85"/>
      <c r="N69" s="85"/>
      <c r="O69" s="85"/>
      <c r="P69" s="48">
        <f>SUM(compras_mes8[[#This Row],[NETO GRAVADO]:[Otros / No Grav.]])</f>
        <v>88100.717099999994</v>
      </c>
      <c r="Q69" s="49" t="str">
        <f>IFERROR(IF(compras_mes8[[#This Row],[CUIT]]="","-",VLOOKUP(compras_mes8[[#This Row],[CUIT]],Lista_CUIT[#All],3,0)),"CUIT NO CARGADO")</f>
        <v>Productos Ortopedicos</v>
      </c>
      <c r="R69" s="49">
        <f>IFERROR(IF(compras_mes8[[#This Row],[CUIT]]="","-",VLOOKUP(compras_mes8[[#This Row],[CUIT]],Lista_CUIT[#All],4,0)),"CUIT NO CARGADO")</f>
        <v>0</v>
      </c>
    </row>
    <row r="70" spans="2:18" x14ac:dyDescent="0.25">
      <c r="B70" s="40">
        <v>45155</v>
      </c>
      <c r="C70" s="41">
        <v>1</v>
      </c>
      <c r="D70" s="42">
        <v>2</v>
      </c>
      <c r="E70" s="43">
        <v>35</v>
      </c>
      <c r="F70" s="44">
        <v>20272865869</v>
      </c>
      <c r="G70" s="45" t="str">
        <f>IFERROR(IF(compras_mes8[[#This Row],[CUIT]]="","-",VLOOKUP(compras_mes8[[#This Row],[CUIT]],Lista_CUIT[#All],2,0)),"CUIT NO CARGADO")</f>
        <v>DI FEO MARTIN EZEQUIEL</v>
      </c>
      <c r="H70" s="46">
        <v>5160.58</v>
      </c>
      <c r="I70" s="85">
        <f>IF(compras_mes8[[#This Row],[NETO GRAVADO]]="","",compras_mes8[[#This Row],[NETO GRAVADO]]*0.21)</f>
        <v>1083.7218</v>
      </c>
      <c r="J70" s="85"/>
      <c r="K70" s="85"/>
      <c r="L70" s="85"/>
      <c r="M70" s="85"/>
      <c r="N70" s="85"/>
      <c r="O70" s="85"/>
      <c r="P70" s="48">
        <f>SUM(compras_mes8[[#This Row],[NETO GRAVADO]:[Otros / No Grav.]])</f>
        <v>6244.3018000000002</v>
      </c>
      <c r="Q70" s="49" t="str">
        <f>IFERROR(IF(compras_mes8[[#This Row],[CUIT]]="","-",VLOOKUP(compras_mes8[[#This Row],[CUIT]],Lista_CUIT[#All],3,0)),"CUIT NO CARGADO")</f>
        <v>Productos Ortopedicos</v>
      </c>
      <c r="R70" s="49">
        <f>IFERROR(IF(compras_mes8[[#This Row],[CUIT]]="","-",VLOOKUP(compras_mes8[[#This Row],[CUIT]],Lista_CUIT[#All],4,0)),"CUIT NO CARGADO")</f>
        <v>0</v>
      </c>
    </row>
    <row r="71" spans="2:18" x14ac:dyDescent="0.25">
      <c r="B71" s="40">
        <v>45155</v>
      </c>
      <c r="C71" s="41">
        <v>1</v>
      </c>
      <c r="D71" s="42">
        <v>1001</v>
      </c>
      <c r="E71" s="43">
        <v>278</v>
      </c>
      <c r="F71" s="44">
        <v>30707370552</v>
      </c>
      <c r="G71" s="45" t="str">
        <f>IFERROR(IF(compras_mes8[[#This Row],[CUIT]]="","-",VLOOKUP(compras_mes8[[#This Row],[CUIT]],Lista_CUIT[#All],2,0)),"CUIT NO CARGADO")</f>
        <v>RAKE SA</v>
      </c>
      <c r="H71" s="46">
        <v>299173.56</v>
      </c>
      <c r="I71" s="85">
        <f>IF(compras_mes8[[#This Row],[NETO GRAVADO]]="","",compras_mes8[[#This Row],[NETO GRAVADO]]*0.21)</f>
        <v>62826.4476</v>
      </c>
      <c r="J71" s="85"/>
      <c r="K71" s="85"/>
      <c r="L71" s="85"/>
      <c r="M71" s="85"/>
      <c r="N71" s="85"/>
      <c r="O71" s="85"/>
      <c r="P71" s="48">
        <f>SUM(compras_mes8[[#This Row],[NETO GRAVADO]:[Otros / No Grav.]])</f>
        <v>362000.00760000001</v>
      </c>
      <c r="Q71" s="49" t="str">
        <f>IFERROR(IF(compras_mes8[[#This Row],[CUIT]]="","-",VLOOKUP(compras_mes8[[#This Row],[CUIT]],Lista_CUIT[#All],3,0)),"CUIT NO CARGADO")</f>
        <v>Alquileres</v>
      </c>
      <c r="R71" s="49">
        <f>IFERROR(IF(compras_mes8[[#This Row],[CUIT]]="","-",VLOOKUP(compras_mes8[[#This Row],[CUIT]],Lista_CUIT[#All],4,0)),"CUIT NO CARGADO")</f>
        <v>0</v>
      </c>
    </row>
    <row r="72" spans="2:18" x14ac:dyDescent="0.25">
      <c r="B72" s="40">
        <v>45155</v>
      </c>
      <c r="C72" s="41">
        <v>1</v>
      </c>
      <c r="D72" s="42">
        <v>1001</v>
      </c>
      <c r="E72" s="43">
        <v>279</v>
      </c>
      <c r="F72" s="44">
        <v>30707370552</v>
      </c>
      <c r="G72" s="45" t="str">
        <f>IFERROR(IF(compras_mes8[[#This Row],[CUIT]]="","-",VLOOKUP(compras_mes8[[#This Row],[CUIT]],Lista_CUIT[#All],2,0)),"CUIT NO CARGADO")</f>
        <v>RAKE SA</v>
      </c>
      <c r="H72" s="46">
        <v>229752.07</v>
      </c>
      <c r="I72" s="85">
        <f>IF(compras_mes8[[#This Row],[NETO GRAVADO]]="","",compras_mes8[[#This Row],[NETO GRAVADO]]*0.21)</f>
        <v>48247.934699999998</v>
      </c>
      <c r="J72" s="85"/>
      <c r="K72" s="85"/>
      <c r="L72" s="85"/>
      <c r="M72" s="85"/>
      <c r="N72" s="85"/>
      <c r="O72" s="85"/>
      <c r="P72" s="48">
        <f>SUM(compras_mes8[[#This Row],[NETO GRAVADO]:[Otros / No Grav.]])</f>
        <v>278000.00469999999</v>
      </c>
      <c r="Q72" s="49" t="str">
        <f>IFERROR(IF(compras_mes8[[#This Row],[CUIT]]="","-",VLOOKUP(compras_mes8[[#This Row],[CUIT]],Lista_CUIT[#All],3,0)),"CUIT NO CARGADO")</f>
        <v>Alquileres</v>
      </c>
      <c r="R72" s="49">
        <f>IFERROR(IF(compras_mes8[[#This Row],[CUIT]]="","-",VLOOKUP(compras_mes8[[#This Row],[CUIT]],Lista_CUIT[#All],4,0)),"CUIT NO CARGADO")</f>
        <v>0</v>
      </c>
    </row>
    <row r="73" spans="2:18" x14ac:dyDescent="0.25">
      <c r="B73" s="40">
        <v>45155</v>
      </c>
      <c r="C73" s="41">
        <v>1</v>
      </c>
      <c r="D73" s="42">
        <v>1001</v>
      </c>
      <c r="E73" s="43">
        <v>280</v>
      </c>
      <c r="F73" s="44">
        <v>30707370552</v>
      </c>
      <c r="G73" s="45" t="str">
        <f>IFERROR(IF(compras_mes8[[#This Row],[CUIT]]="","-",VLOOKUP(compras_mes8[[#This Row],[CUIT]],Lista_CUIT[#All],2,0)),"CUIT NO CARGADO")</f>
        <v>RAKE SA</v>
      </c>
      <c r="H73" s="46">
        <v>82231.399999999994</v>
      </c>
      <c r="I73" s="85">
        <f>IF(compras_mes8[[#This Row],[NETO GRAVADO]]="","",compras_mes8[[#This Row],[NETO GRAVADO]]*0.21)</f>
        <v>17268.593999999997</v>
      </c>
      <c r="J73" s="85"/>
      <c r="K73" s="85"/>
      <c r="L73" s="85"/>
      <c r="M73" s="85"/>
      <c r="N73" s="85"/>
      <c r="O73" s="85"/>
      <c r="P73" s="48">
        <f>SUM(compras_mes8[[#This Row],[NETO GRAVADO]:[Otros / No Grav.]])</f>
        <v>99499.993999999992</v>
      </c>
      <c r="Q73" s="49" t="str">
        <f>IFERROR(IF(compras_mes8[[#This Row],[CUIT]]="","-",VLOOKUP(compras_mes8[[#This Row],[CUIT]],Lista_CUIT[#All],3,0)),"CUIT NO CARGADO")</f>
        <v>Alquileres</v>
      </c>
      <c r="R73" s="49">
        <f>IFERROR(IF(compras_mes8[[#This Row],[CUIT]]="","-",VLOOKUP(compras_mes8[[#This Row],[CUIT]],Lista_CUIT[#All],4,0)),"CUIT NO CARGADO")</f>
        <v>0</v>
      </c>
    </row>
    <row r="74" spans="2:18" x14ac:dyDescent="0.25">
      <c r="B74" s="219">
        <v>45155</v>
      </c>
      <c r="C74" s="209">
        <v>1</v>
      </c>
      <c r="D74" s="220">
        <v>7</v>
      </c>
      <c r="E74" s="221">
        <v>2128</v>
      </c>
      <c r="F74" s="222">
        <v>20284183534</v>
      </c>
      <c r="G74" s="223" t="str">
        <f>IFERROR(IF(compras_mes8[[#This Row],[CUIT]]="","-",VLOOKUP(compras_mes8[[#This Row],[CUIT]],Lista_CUIT[#All],2,0)),"CUIT NO CARGADO")</f>
        <v>FURLANETTO MARTIN</v>
      </c>
      <c r="H74" s="224">
        <v>702.48</v>
      </c>
      <c r="I74" s="225">
        <f>IF(compras_mes8[[#This Row],[NETO GRAVADO]]="","",compras_mes8[[#This Row],[NETO GRAVADO]]*0.21)</f>
        <v>147.52080000000001</v>
      </c>
      <c r="J74" s="225"/>
      <c r="K74" s="225"/>
      <c r="L74" s="225"/>
      <c r="M74" s="225"/>
      <c r="N74" s="225"/>
      <c r="O74" s="225"/>
      <c r="P74" s="226">
        <f>SUM(compras_mes8[[#This Row],[NETO GRAVADO]:[Otros / No Grav.]])</f>
        <v>850.00080000000003</v>
      </c>
      <c r="Q74" s="227" t="str">
        <f>IFERROR(IF(compras_mes8[[#This Row],[CUIT]]="","-",VLOOKUP(compras_mes8[[#This Row],[CUIT]],Lista_CUIT[#All],3,0)),"CUIT NO CARGADO")</f>
        <v>PAPELERIA</v>
      </c>
      <c r="R74" s="227">
        <f>IFERROR(IF(compras_mes8[[#This Row],[CUIT]]="","-",VLOOKUP(compras_mes8[[#This Row],[CUIT]],Lista_CUIT[#All],4,0)),"CUIT NO CARGADO")</f>
        <v>0</v>
      </c>
    </row>
    <row r="75" spans="2:18" x14ac:dyDescent="0.25">
      <c r="B75" s="40">
        <v>45155</v>
      </c>
      <c r="C75" s="41">
        <v>1</v>
      </c>
      <c r="D75" s="42">
        <v>27</v>
      </c>
      <c r="E75" s="43">
        <v>5724</v>
      </c>
      <c r="F75" s="44">
        <v>33712276539</v>
      </c>
      <c r="G75" s="45" t="str">
        <f>IFERROR(IF(compras_mes8[[#This Row],[CUIT]]="","-",VLOOKUP(compras_mes8[[#This Row],[CUIT]],Lista_CUIT[#All],2,0)),"CUIT NO CARGADO")</f>
        <v>CASTAÑO AUTOVOX SRL</v>
      </c>
      <c r="H75" s="46">
        <v>12276.11</v>
      </c>
      <c r="I75" s="85">
        <f>IF(compras_mes8[[#This Row],[NETO GRAVADO]]="","",compras_mes8[[#This Row],[NETO GRAVADO]]*0.21)</f>
        <v>2577.9830999999999</v>
      </c>
      <c r="J75" s="85"/>
      <c r="K75" s="85"/>
      <c r="L75" s="85"/>
      <c r="M75" s="85"/>
      <c r="N75" s="85"/>
      <c r="O75" s="85">
        <v>1099.17</v>
      </c>
      <c r="P75" s="48">
        <f>SUM(compras_mes8[[#This Row],[NETO GRAVADO]:[Otros / No Grav.]])</f>
        <v>15953.2631</v>
      </c>
      <c r="Q75" s="49" t="str">
        <f>IFERROR(IF(compras_mes8[[#This Row],[CUIT]]="","-",VLOOKUP(compras_mes8[[#This Row],[CUIT]],Lista_CUIT[#All],3,0)),"CUIT NO CARGADO")</f>
        <v>COMBUSTIBLE</v>
      </c>
      <c r="R75" s="49">
        <f>IFERROR(IF(compras_mes8[[#This Row],[CUIT]]="","-",VLOOKUP(compras_mes8[[#This Row],[CUIT]],Lista_CUIT[#All],4,0)),"CUIT NO CARGADO")</f>
        <v>0</v>
      </c>
    </row>
    <row r="76" spans="2:18" x14ac:dyDescent="0.25">
      <c r="B76" s="40">
        <v>45155</v>
      </c>
      <c r="C76" s="41">
        <v>1</v>
      </c>
      <c r="D76" s="42">
        <v>3</v>
      </c>
      <c r="E76" s="43">
        <v>5985</v>
      </c>
      <c r="F76" s="44">
        <v>33708218699</v>
      </c>
      <c r="G76" s="45" t="str">
        <f>IFERROR(IF(compras_mes8[[#This Row],[CUIT]]="","-",VLOOKUP(compras_mes8[[#This Row],[CUIT]],Lista_CUIT[#All],2,0)),"CUIT NO CARGADO")</f>
        <v>MANGGINI PABLO Y MANGGINI ULISES SOC. DE HECHO.</v>
      </c>
      <c r="H76" s="46">
        <v>3500</v>
      </c>
      <c r="I76" s="85">
        <f>IF(compras_mes8[[#This Row],[NETO GRAVADO]]="","",compras_mes8[[#This Row],[NETO GRAVADO]]*0.21)</f>
        <v>735</v>
      </c>
      <c r="J76" s="85"/>
      <c r="K76" s="85"/>
      <c r="L76" s="85"/>
      <c r="M76" s="85"/>
      <c r="N76" s="85"/>
      <c r="O76" s="85"/>
      <c r="P76" s="48">
        <f>SUM(compras_mes8[[#This Row],[NETO GRAVADO]:[Otros / No Grav.]])</f>
        <v>4235</v>
      </c>
      <c r="Q76" s="49" t="str">
        <f>IFERROR(IF(compras_mes8[[#This Row],[CUIT]]="","-",VLOOKUP(compras_mes8[[#This Row],[CUIT]],Lista_CUIT[#All],3,0)),"CUIT NO CARGADO")</f>
        <v>Gastos Varios</v>
      </c>
      <c r="R76" s="49">
        <f>IFERROR(IF(compras_mes8[[#This Row],[CUIT]]="","-",VLOOKUP(compras_mes8[[#This Row],[CUIT]],Lista_CUIT[#All],4,0)),"CUIT NO CARGADO")</f>
        <v>0</v>
      </c>
    </row>
    <row r="77" spans="2:18" x14ac:dyDescent="0.25">
      <c r="B77" s="219">
        <v>45155</v>
      </c>
      <c r="C77" s="209">
        <v>1</v>
      </c>
      <c r="D77" s="220">
        <v>711</v>
      </c>
      <c r="E77" s="221">
        <v>4654693</v>
      </c>
      <c r="F77" s="222">
        <v>30677237119</v>
      </c>
      <c r="G77" s="223" t="str">
        <f>IFERROR(IF(compras_mes8[[#This Row],[CUIT]]="","-",VLOOKUP(compras_mes8[[#This Row],[CUIT]],Lista_CUIT[#All],2,0)),"CUIT NO CARGADO")</f>
        <v>AUTOPISTAS DEL SOL SA</v>
      </c>
      <c r="H77" s="224">
        <v>1363.66</v>
      </c>
      <c r="I77" s="225">
        <f>IF(compras_mes8[[#This Row],[NETO GRAVADO]]="","",compras_mes8[[#This Row],[NETO GRAVADO]]*0.21)</f>
        <v>286.36860000000001</v>
      </c>
      <c r="J77" s="225"/>
      <c r="K77" s="225"/>
      <c r="L77" s="225"/>
      <c r="M77" s="225"/>
      <c r="N77" s="225">
        <v>47.73</v>
      </c>
      <c r="O77" s="225"/>
      <c r="P77" s="226">
        <f>SUM(compras_mes8[[#This Row],[NETO GRAVADO]:[Otros / No Grav.]])</f>
        <v>1697.7586000000001</v>
      </c>
      <c r="Q77" s="227" t="str">
        <f>IFERROR(IF(compras_mes8[[#This Row],[CUIT]]="","-",VLOOKUP(compras_mes8[[#This Row],[CUIT]],Lista_CUIT[#All],3,0)),"CUIT NO CARGADO")</f>
        <v>Autopista</v>
      </c>
      <c r="R77" s="227">
        <f>IFERROR(IF(compras_mes8[[#This Row],[CUIT]]="","-",VLOOKUP(compras_mes8[[#This Row],[CUIT]],Lista_CUIT[#All],4,0)),"CUIT NO CARGADO")</f>
        <v>0</v>
      </c>
    </row>
    <row r="78" spans="2:18" x14ac:dyDescent="0.25">
      <c r="B78" s="40">
        <v>45156</v>
      </c>
      <c r="C78" s="41">
        <v>1</v>
      </c>
      <c r="D78" s="42">
        <v>2</v>
      </c>
      <c r="E78" s="43">
        <v>3145</v>
      </c>
      <c r="F78" s="44">
        <v>30661498575</v>
      </c>
      <c r="G78" s="45" t="str">
        <f>IFERROR(IF(compras_mes8[[#This Row],[CUIT]]="","-",VLOOKUP(compras_mes8[[#This Row],[CUIT]],Lista_CUIT[#All],2,0)),"CUIT NO CARGADO")</f>
        <v>ORTOPEDIA GULLONE SRL</v>
      </c>
      <c r="H78" s="46">
        <v>34628.1</v>
      </c>
      <c r="I78" s="85">
        <f>IF(compras_mes8[[#This Row],[NETO GRAVADO]]="","",compras_mes8[[#This Row],[NETO GRAVADO]]*0.21)</f>
        <v>7271.9009999999998</v>
      </c>
      <c r="J78" s="85"/>
      <c r="K78" s="85"/>
      <c r="L78" s="85"/>
      <c r="M78" s="85"/>
      <c r="N78" s="85"/>
      <c r="O78" s="85"/>
      <c r="P78" s="48">
        <f>SUM(compras_mes8[[#This Row],[NETO GRAVADO]:[Otros / No Grav.]])</f>
        <v>41900.000999999997</v>
      </c>
      <c r="Q78" s="49" t="str">
        <f>IFERROR(IF(compras_mes8[[#This Row],[CUIT]]="","-",VLOOKUP(compras_mes8[[#This Row],[CUIT]],Lista_CUIT[#All],3,0)),"CUIT NO CARGADO")</f>
        <v>Productos Ortopedicos</v>
      </c>
      <c r="R78" s="49">
        <f>IFERROR(IF(compras_mes8[[#This Row],[CUIT]]="","-",VLOOKUP(compras_mes8[[#This Row],[CUIT]],Lista_CUIT[#All],4,0)),"CUIT NO CARGADO")</f>
        <v>0</v>
      </c>
    </row>
    <row r="79" spans="2:18" x14ac:dyDescent="0.25">
      <c r="B79" s="219">
        <v>45156</v>
      </c>
      <c r="C79" s="209">
        <v>1</v>
      </c>
      <c r="D79" s="220">
        <v>5011</v>
      </c>
      <c r="E79" s="221">
        <v>513071</v>
      </c>
      <c r="F79" s="222">
        <v>30574876474</v>
      </c>
      <c r="G79" s="223" t="str">
        <f>IFERROR(IF(compras_mes8[[#This Row],[CUIT]]="","-",VLOOKUP(compras_mes8[[#This Row],[CUIT]],Lista_CUIT[#All],2,0)),"CUIT NO CARGADO")</f>
        <v>AUTOP. URBANAS SA</v>
      </c>
      <c r="H79" s="224">
        <v>4724.09</v>
      </c>
      <c r="I79" s="225">
        <f>IF(compras_mes8[[#This Row],[NETO GRAVADO]]="","",compras_mes8[[#This Row],[NETO GRAVADO]]*0.21)</f>
        <v>992.05889999999999</v>
      </c>
      <c r="J79" s="225"/>
      <c r="K79" s="225"/>
      <c r="L79" s="225"/>
      <c r="M79" s="225">
        <v>141.72</v>
      </c>
      <c r="N79" s="225"/>
      <c r="O79" s="225">
        <v>472.39</v>
      </c>
      <c r="P79" s="226">
        <f>SUM(compras_mes8[[#This Row],[NETO GRAVADO]:[Otros / No Grav.]])</f>
        <v>6330.2589000000007</v>
      </c>
      <c r="Q79" s="227" t="str">
        <f>IFERROR(IF(compras_mes8[[#This Row],[CUIT]]="","-",VLOOKUP(compras_mes8[[#This Row],[CUIT]],Lista_CUIT[#All],3,0)),"CUIT NO CARGADO")</f>
        <v>PEAJE</v>
      </c>
      <c r="R79" s="227">
        <f>IFERROR(IF(compras_mes8[[#This Row],[CUIT]]="","-",VLOOKUP(compras_mes8[[#This Row],[CUIT]],Lista_CUIT[#All],4,0)),"CUIT NO CARGADO")</f>
        <v>0</v>
      </c>
    </row>
    <row r="80" spans="2:18" x14ac:dyDescent="0.25">
      <c r="B80" s="219">
        <v>45156</v>
      </c>
      <c r="C80" s="209">
        <v>1</v>
      </c>
      <c r="D80" s="220">
        <v>5009</v>
      </c>
      <c r="E80" s="221">
        <v>733171</v>
      </c>
      <c r="F80" s="222">
        <v>30574876474</v>
      </c>
      <c r="G80" s="223" t="str">
        <f>IFERROR(IF(compras_mes8[[#This Row],[CUIT]]="","-",VLOOKUP(compras_mes8[[#This Row],[CUIT]],Lista_CUIT[#All],2,0)),"CUIT NO CARGADO")</f>
        <v>AUTOP. URBANAS SA</v>
      </c>
      <c r="H80" s="224">
        <v>932.88</v>
      </c>
      <c r="I80" s="225">
        <f>IF(compras_mes8[[#This Row],[NETO GRAVADO]]="","",compras_mes8[[#This Row],[NETO GRAVADO]]*0.21)</f>
        <v>195.90479999999999</v>
      </c>
      <c r="J80" s="225"/>
      <c r="K80" s="225"/>
      <c r="L80" s="225"/>
      <c r="M80" s="225"/>
      <c r="N80" s="225"/>
      <c r="O80" s="225">
        <v>93.28</v>
      </c>
      <c r="P80" s="226">
        <f>SUM(compras_mes8[[#This Row],[NETO GRAVADO]:[Otros / No Grav.]])</f>
        <v>1222.0647999999999</v>
      </c>
      <c r="Q80" s="227" t="str">
        <f>IFERROR(IF(compras_mes8[[#This Row],[CUIT]]="","-",VLOOKUP(compras_mes8[[#This Row],[CUIT]],Lista_CUIT[#All],3,0)),"CUIT NO CARGADO")</f>
        <v>PEAJE</v>
      </c>
      <c r="R80" s="227">
        <f>IFERROR(IF(compras_mes8[[#This Row],[CUIT]]="","-",VLOOKUP(compras_mes8[[#This Row],[CUIT]],Lista_CUIT[#All],4,0)),"CUIT NO CARGADO")</f>
        <v>0</v>
      </c>
    </row>
    <row r="81" spans="2:18" x14ac:dyDescent="0.25">
      <c r="B81" s="475">
        <v>45156</v>
      </c>
      <c r="C81" s="489">
        <v>1</v>
      </c>
      <c r="D81" s="476">
        <v>13</v>
      </c>
      <c r="E81" s="477">
        <v>1263</v>
      </c>
      <c r="F81" s="478">
        <v>33709914109</v>
      </c>
      <c r="G81" s="479" t="str">
        <f>IFERROR(IF(compras_mes8[[#This Row],[CUIT]]="","-",VLOOKUP(compras_mes8[[#This Row],[CUIT]],Lista_CUIT[#All],2,0)),"CUIT NO CARGADO")</f>
        <v xml:space="preserve">ALAN COLLECTION SA </v>
      </c>
      <c r="H81" s="480">
        <v>991.74</v>
      </c>
      <c r="I81" s="481">
        <f>IF(compras_mes8[[#This Row],[NETO GRAVADO]]="","",compras_mes8[[#This Row],[NETO GRAVADO]]*0.21)</f>
        <v>208.2654</v>
      </c>
      <c r="J81" s="481"/>
      <c r="K81" s="481"/>
      <c r="L81" s="481"/>
      <c r="M81" s="481"/>
      <c r="N81" s="481"/>
      <c r="O81" s="481"/>
      <c r="P81" s="482">
        <f>SUM(compras_mes8[[#This Row],[NETO GRAVADO]:[Otros / No Grav.]])</f>
        <v>1200.0054</v>
      </c>
      <c r="Q81" s="483" t="str">
        <f>IFERROR(IF(compras_mes8[[#This Row],[CUIT]]="","-",VLOOKUP(compras_mes8[[#This Row],[CUIT]],Lista_CUIT[#All],3,0)),"CUIT NO CARGADO")</f>
        <v>MERCADERIA</v>
      </c>
      <c r="R81" s="483">
        <f>IFERROR(IF(compras_mes8[[#This Row],[CUIT]]="","-",VLOOKUP(compras_mes8[[#This Row],[CUIT]],Lista_CUIT[#All],4,0)),"CUIT NO CARGADO")</f>
        <v>0</v>
      </c>
    </row>
    <row r="82" spans="2:18" x14ac:dyDescent="0.25">
      <c r="B82" s="219">
        <v>45157</v>
      </c>
      <c r="C82" s="209">
        <v>1</v>
      </c>
      <c r="D82" s="220">
        <v>503</v>
      </c>
      <c r="E82" s="221">
        <v>979535</v>
      </c>
      <c r="F82" s="222">
        <v>30639935872</v>
      </c>
      <c r="G82" s="223" t="str">
        <f>IFERROR(IF(compras_mes8[[#This Row],[CUIT]]="","-",VLOOKUP(compras_mes8[[#This Row],[CUIT]],Lista_CUIT[#All],2,0)),"CUIT NO CARGADO")</f>
        <v>CAMINOS DEL RIO URUGUAY S A DE CONSTRUCCIONES Y CONCESIONES VIALES</v>
      </c>
      <c r="H82" s="224">
        <v>950.4</v>
      </c>
      <c r="I82" s="225">
        <f>IF(compras_mes8[[#This Row],[NETO GRAVADO]]="","",compras_mes8[[#This Row],[NETO GRAVADO]]*0.21)</f>
        <v>199.58399999999997</v>
      </c>
      <c r="J82" s="225"/>
      <c r="K82" s="225"/>
      <c r="L82" s="225"/>
      <c r="M82" s="225"/>
      <c r="N82" s="225">
        <v>33.26</v>
      </c>
      <c r="O82" s="225"/>
      <c r="P82" s="226">
        <f>SUM(compras_mes8[[#This Row],[NETO GRAVADO]:[Otros / No Grav.]])</f>
        <v>1183.2439999999999</v>
      </c>
      <c r="Q82" s="227" t="str">
        <f>IFERROR(IF(compras_mes8[[#This Row],[CUIT]]="","-",VLOOKUP(compras_mes8[[#This Row],[CUIT]],Lista_CUIT[#All],3,0)),"CUIT NO CARGADO")</f>
        <v>PEAJE</v>
      </c>
      <c r="R82" s="227">
        <f>IFERROR(IF(compras_mes8[[#This Row],[CUIT]]="","-",VLOOKUP(compras_mes8[[#This Row],[CUIT]],Lista_CUIT[#All],4,0)),"CUIT NO CARGADO")</f>
        <v>0</v>
      </c>
    </row>
    <row r="83" spans="2:18" x14ac:dyDescent="0.25">
      <c r="B83" s="40">
        <v>45157</v>
      </c>
      <c r="C83" s="41">
        <v>1</v>
      </c>
      <c r="D83" s="42">
        <v>4264</v>
      </c>
      <c r="E83" s="43">
        <v>2560668</v>
      </c>
      <c r="F83" s="44">
        <v>30639453738</v>
      </c>
      <c r="G83" s="45" t="str">
        <f>IFERROR(IF(compras_mes8[[#This Row],[CUIT]]="","-",VLOOKUP(compras_mes8[[#This Row],[CUIT]],Lista_CUIT[#All],2,0)),"CUIT NO CARGADO")</f>
        <v>TELECOM ARGENTINA SA</v>
      </c>
      <c r="H83" s="46">
        <v>15429.75</v>
      </c>
      <c r="I83" s="85">
        <f>IF(compras_mes8[[#This Row],[NETO GRAVADO]]="","",compras_mes8[[#This Row],[NETO GRAVADO]]*0.21)</f>
        <v>3240.2474999999999</v>
      </c>
      <c r="J83" s="85"/>
      <c r="K83" s="85"/>
      <c r="L83" s="85">
        <v>462.89</v>
      </c>
      <c r="M83" s="85"/>
      <c r="N83" s="85">
        <v>540.04</v>
      </c>
      <c r="O83" s="85"/>
      <c r="P83" s="48">
        <f>SUM(compras_mes8[[#This Row],[NETO GRAVADO]:[Otros / No Grav.]])</f>
        <v>19672.927500000002</v>
      </c>
      <c r="Q83" s="49" t="str">
        <f>IFERROR(IF(compras_mes8[[#This Row],[CUIT]]="","-",VLOOKUP(compras_mes8[[#This Row],[CUIT]],Lista_CUIT[#All],3,0)),"CUIT NO CARGADO")</f>
        <v>TELEFONIA</v>
      </c>
      <c r="R83" s="49">
        <f>IFERROR(IF(compras_mes8[[#This Row],[CUIT]]="","-",VLOOKUP(compras_mes8[[#This Row],[CUIT]],Lista_CUIT[#All],4,0)),"CUIT NO CARGADO")</f>
        <v>0</v>
      </c>
    </row>
    <row r="84" spans="2:18" x14ac:dyDescent="0.25">
      <c r="B84" s="219">
        <v>45157</v>
      </c>
      <c r="C84" s="209">
        <v>1</v>
      </c>
      <c r="D84" s="220">
        <v>104</v>
      </c>
      <c r="E84" s="221">
        <v>3786759</v>
      </c>
      <c r="F84" s="222">
        <v>30715804812</v>
      </c>
      <c r="G84" s="223" t="str">
        <f>IFERROR(IF(compras_mes8[[#This Row],[CUIT]]="","-",VLOOKUP(compras_mes8[[#This Row],[CUIT]],Lista_CUIT[#All],2,0)),"CUIT NO CARGADO")</f>
        <v>CORREDORES VIALES SOCIEDAD ANONIMA</v>
      </c>
      <c r="H84" s="224">
        <v>123.97</v>
      </c>
      <c r="I84" s="225">
        <f>IF(compras_mes8[[#This Row],[NETO GRAVADO]]="","",compras_mes8[[#This Row],[NETO GRAVADO]]*0.21)</f>
        <v>26.0337</v>
      </c>
      <c r="J84" s="225"/>
      <c r="K84" s="225"/>
      <c r="L84" s="225"/>
      <c r="M84" s="225"/>
      <c r="N84" s="225"/>
      <c r="O84" s="225"/>
      <c r="P84" s="226">
        <f>SUM(compras_mes8[[#This Row],[NETO GRAVADO]:[Otros / No Grav.]])</f>
        <v>150.00370000000001</v>
      </c>
      <c r="Q84" s="227" t="str">
        <f>IFERROR(IF(compras_mes8[[#This Row],[CUIT]]="","-",VLOOKUP(compras_mes8[[#This Row],[CUIT]],Lista_CUIT[#All],3,0)),"CUIT NO CARGADO")</f>
        <v>Autopista</v>
      </c>
      <c r="R84" s="227">
        <f>IFERROR(IF(compras_mes8[[#This Row],[CUIT]]="","-",VLOOKUP(compras_mes8[[#This Row],[CUIT]],Lista_CUIT[#All],4,0)),"CUIT NO CARGADO")</f>
        <v>0</v>
      </c>
    </row>
    <row r="85" spans="2:18" x14ac:dyDescent="0.25">
      <c r="B85" s="219">
        <v>45158</v>
      </c>
      <c r="C85" s="209">
        <v>1</v>
      </c>
      <c r="D85" s="220">
        <v>104</v>
      </c>
      <c r="E85" s="221">
        <v>3946271</v>
      </c>
      <c r="F85" s="222">
        <v>30715804812</v>
      </c>
      <c r="G85" s="223" t="str">
        <f>IFERROR(IF(compras_mes8[[#This Row],[CUIT]]="","-",VLOOKUP(compras_mes8[[#This Row],[CUIT]],Lista_CUIT[#All],2,0)),"CUIT NO CARGADO")</f>
        <v>CORREDORES VIALES SOCIEDAD ANONIMA</v>
      </c>
      <c r="H85" s="224">
        <v>247.93</v>
      </c>
      <c r="I85" s="225">
        <f>IF(compras_mes8[[#This Row],[NETO GRAVADO]]="","",compras_mes8[[#This Row],[NETO GRAVADO]]*0.21)</f>
        <v>52.065300000000001</v>
      </c>
      <c r="J85" s="225"/>
      <c r="K85" s="225"/>
      <c r="L85" s="225"/>
      <c r="M85" s="225"/>
      <c r="N85" s="225"/>
      <c r="O85" s="225"/>
      <c r="P85" s="226">
        <f>SUM(compras_mes8[[#This Row],[NETO GRAVADO]:[Otros / No Grav.]])</f>
        <v>299.99529999999999</v>
      </c>
      <c r="Q85" s="227" t="str">
        <f>IFERROR(IF(compras_mes8[[#This Row],[CUIT]]="","-",VLOOKUP(compras_mes8[[#This Row],[CUIT]],Lista_CUIT[#All],3,0)),"CUIT NO CARGADO")</f>
        <v>Autopista</v>
      </c>
      <c r="R85" s="227">
        <f>IFERROR(IF(compras_mes8[[#This Row],[CUIT]]="","-",VLOOKUP(compras_mes8[[#This Row],[CUIT]],Lista_CUIT[#All],4,0)),"CUIT NO CARGADO")</f>
        <v>0</v>
      </c>
    </row>
    <row r="86" spans="2:18" x14ac:dyDescent="0.25">
      <c r="B86" s="40">
        <v>45160</v>
      </c>
      <c r="C86" s="41">
        <v>1</v>
      </c>
      <c r="D86" s="42">
        <v>22</v>
      </c>
      <c r="E86" s="43">
        <v>19</v>
      </c>
      <c r="F86" s="44">
        <v>30693066022</v>
      </c>
      <c r="G86" s="45" t="str">
        <f>IFERROR(IF(compras_mes8[[#This Row],[CUIT]]="","-",VLOOKUP(compras_mes8[[#This Row],[CUIT]],Lista_CUIT[#All],2,0)),"CUIT NO CARGADO")</f>
        <v>MG FARMACEUTICA SA</v>
      </c>
      <c r="H86" s="46">
        <v>1033.04</v>
      </c>
      <c r="I86" s="85">
        <f>IF(compras_mes8[[#This Row],[NETO GRAVADO]]="","",compras_mes8[[#This Row],[NETO GRAVADO]]*0.21)</f>
        <v>216.93839999999997</v>
      </c>
      <c r="J86" s="85"/>
      <c r="K86" s="85"/>
      <c r="L86" s="85"/>
      <c r="M86" s="85"/>
      <c r="N86" s="85"/>
      <c r="O86" s="85">
        <v>14817.18</v>
      </c>
      <c r="P86" s="48">
        <f>SUM(compras_mes8[[#This Row],[NETO GRAVADO]:[Otros / No Grav.]])</f>
        <v>16067.1584</v>
      </c>
      <c r="Q86" s="49" t="str">
        <f>IFERROR(IF(compras_mes8[[#This Row],[CUIT]]="","-",VLOOKUP(compras_mes8[[#This Row],[CUIT]],Lista_CUIT[#All],3,0)),"CUIT NO CARGADO")</f>
        <v>Gastos Varios</v>
      </c>
      <c r="R86" s="49">
        <f>IFERROR(IF(compras_mes8[[#This Row],[CUIT]]="","-",VLOOKUP(compras_mes8[[#This Row],[CUIT]],Lista_CUIT[#All],4,0)),"CUIT NO CARGADO")</f>
        <v>0</v>
      </c>
    </row>
    <row r="87" spans="2:18" x14ac:dyDescent="0.25">
      <c r="B87" s="40">
        <v>45160</v>
      </c>
      <c r="C87" s="41">
        <v>1</v>
      </c>
      <c r="D87" s="42">
        <v>3</v>
      </c>
      <c r="E87" s="43">
        <v>94</v>
      </c>
      <c r="F87" s="44">
        <v>20334976433</v>
      </c>
      <c r="G87" s="45" t="str">
        <f>IFERROR(IF(compras_mes8[[#This Row],[CUIT]]="","-",VLOOKUP(compras_mes8[[#This Row],[CUIT]],Lista_CUIT[#All],2,0)),"CUIT NO CARGADO")</f>
        <v>NARDOMARINO EZEQUIEL EDUARDO</v>
      </c>
      <c r="H87" s="46">
        <v>60000</v>
      </c>
      <c r="I87" s="85">
        <f>IF(compras_mes8[[#This Row],[NETO GRAVADO]]="","",compras_mes8[[#This Row],[NETO GRAVADO]]*0.21)</f>
        <v>12600</v>
      </c>
      <c r="J87" s="85"/>
      <c r="K87" s="85"/>
      <c r="L87" s="85"/>
      <c r="M87" s="85"/>
      <c r="N87" s="85"/>
      <c r="O87" s="85"/>
      <c r="P87" s="48">
        <f>SUM(compras_mes8[[#This Row],[NETO GRAVADO]:[Otros / No Grav.]])</f>
        <v>72600</v>
      </c>
      <c r="Q87" s="49" t="str">
        <f>IFERROR(IF(compras_mes8[[#This Row],[CUIT]]="","-",VLOOKUP(compras_mes8[[#This Row],[CUIT]],Lista_CUIT[#All],3,0)),"CUIT NO CARGADO")</f>
        <v>FLETE</v>
      </c>
      <c r="R87" s="49">
        <f>IFERROR(IF(compras_mes8[[#This Row],[CUIT]]="","-",VLOOKUP(compras_mes8[[#This Row],[CUIT]],Lista_CUIT[#All],4,0)),"CUIT NO CARGADO")</f>
        <v>0</v>
      </c>
    </row>
    <row r="88" spans="2:18" x14ac:dyDescent="0.25">
      <c r="B88" s="40">
        <v>45160</v>
      </c>
      <c r="C88" s="41">
        <v>1</v>
      </c>
      <c r="D88" s="42">
        <v>5</v>
      </c>
      <c r="E88" s="43">
        <v>2844000</v>
      </c>
      <c r="F88" s="44">
        <v>30702652975</v>
      </c>
      <c r="G88" s="45" t="str">
        <f>IFERROR(IF(compras_mes8[[#This Row],[CUIT]]="","-",VLOOKUP(compras_mes8[[#This Row],[CUIT]],Lista_CUIT[#All],2,0)),"CUIT NO CARGADO")</f>
        <v>NSS SA</v>
      </c>
      <c r="H88" s="46">
        <v>8185.37</v>
      </c>
      <c r="I88" s="85">
        <f>IF(compras_mes8[[#This Row],[NETO GRAVADO]]="","",compras_mes8[[#This Row],[NETO GRAVADO]]*0.21)</f>
        <v>1718.9277</v>
      </c>
      <c r="J88" s="85"/>
      <c r="K88" s="85"/>
      <c r="L88" s="85"/>
      <c r="M88" s="85"/>
      <c r="N88" s="85">
        <v>286.49</v>
      </c>
      <c r="O88" s="85"/>
      <c r="P88" s="48">
        <f>SUM(compras_mes8[[#This Row],[NETO GRAVADO]:[Otros / No Grav.]])</f>
        <v>10190.787699999999</v>
      </c>
      <c r="Q88" s="49" t="str">
        <f>IFERROR(IF(compras_mes8[[#This Row],[CUIT]]="","-",VLOOKUP(compras_mes8[[#This Row],[CUIT]],Lista_CUIT[#All],3,0)),"CUIT NO CARGADO")</f>
        <v>TELEFONIA</v>
      </c>
      <c r="R88" s="49">
        <f>IFERROR(IF(compras_mes8[[#This Row],[CUIT]]="","-",VLOOKUP(compras_mes8[[#This Row],[CUIT]],Lista_CUIT[#All],4,0)),"CUIT NO CARGADO")</f>
        <v>0</v>
      </c>
    </row>
    <row r="89" spans="2:18" x14ac:dyDescent="0.25">
      <c r="B89" s="219">
        <v>45160</v>
      </c>
      <c r="C89" s="209">
        <v>1</v>
      </c>
      <c r="D89" s="220">
        <v>113</v>
      </c>
      <c r="E89" s="221">
        <v>3288528</v>
      </c>
      <c r="F89" s="222">
        <v>30577207190</v>
      </c>
      <c r="G89" s="223" t="str">
        <f>IFERROR(IF(compras_mes8[[#This Row],[CUIT]]="","-",VLOOKUP(compras_mes8[[#This Row],[CUIT]],Lista_CUIT[#All],2,0)),"CUIT NO CARGADO")</f>
        <v>COORDINACION ECOLOGICA AREA METROPOLITANA SOCIEDAD DEL ESTADO</v>
      </c>
      <c r="H89" s="224">
        <v>247.93</v>
      </c>
      <c r="I89" s="225">
        <f>IF(compras_mes8[[#This Row],[NETO GRAVADO]]="","",compras_mes8[[#This Row],[NETO GRAVADO]]*0.21)</f>
        <v>52.065300000000001</v>
      </c>
      <c r="J89" s="225"/>
      <c r="K89" s="225"/>
      <c r="L89" s="225"/>
      <c r="M89" s="225"/>
      <c r="N89" s="225"/>
      <c r="O89" s="225"/>
      <c r="P89" s="226">
        <f>SUM(compras_mes8[[#This Row],[NETO GRAVADO]:[Otros / No Grav.]])</f>
        <v>299.99529999999999</v>
      </c>
      <c r="Q89" s="227" t="str">
        <f>IFERROR(IF(compras_mes8[[#This Row],[CUIT]]="","-",VLOOKUP(compras_mes8[[#This Row],[CUIT]],Lista_CUIT[#All],3,0)),"CUIT NO CARGADO")</f>
        <v>gastos varios</v>
      </c>
      <c r="R89" s="227">
        <f>IFERROR(IF(compras_mes8[[#This Row],[CUIT]]="","-",VLOOKUP(compras_mes8[[#This Row],[CUIT]],Lista_CUIT[#All],4,0)),"CUIT NO CARGADO")</f>
        <v>0</v>
      </c>
    </row>
    <row r="90" spans="2:18" x14ac:dyDescent="0.25">
      <c r="B90" s="40">
        <v>45161</v>
      </c>
      <c r="C90" s="41">
        <v>1</v>
      </c>
      <c r="D90" s="42">
        <v>17</v>
      </c>
      <c r="E90" s="43">
        <v>1247</v>
      </c>
      <c r="F90" s="44">
        <v>30711764921</v>
      </c>
      <c r="G90" s="45" t="str">
        <f>IFERROR(IF(compras_mes8[[#This Row],[CUIT]]="","-",VLOOKUP(compras_mes8[[#This Row],[CUIT]],Lista_CUIT[#All],2,0)),"CUIT NO CARGADO")</f>
        <v>RELIEF CENTER SRL</v>
      </c>
      <c r="H90" s="46">
        <v>71472</v>
      </c>
      <c r="I90" s="85">
        <f>IF(compras_mes8[[#This Row],[NETO GRAVADO]]="","",compras_mes8[[#This Row],[NETO GRAVADO]]*0.21)</f>
        <v>15009.119999999999</v>
      </c>
      <c r="J90" s="85"/>
      <c r="K90" s="85"/>
      <c r="L90" s="85"/>
      <c r="M90" s="85"/>
      <c r="N90" s="85"/>
      <c r="O90" s="85"/>
      <c r="P90" s="48">
        <f>SUM(compras_mes8[[#This Row],[NETO GRAVADO]:[Otros / No Grav.]])</f>
        <v>86481.12</v>
      </c>
      <c r="Q90" s="49" t="str">
        <f>IFERROR(IF(compras_mes8[[#This Row],[CUIT]]="","-",VLOOKUP(compras_mes8[[#This Row],[CUIT]],Lista_CUIT[#All],3,0)),"CUIT NO CARGADO")</f>
        <v>Productos Ortopedicos</v>
      </c>
      <c r="R90" s="49">
        <f>IFERROR(IF(compras_mes8[[#This Row],[CUIT]]="","-",VLOOKUP(compras_mes8[[#This Row],[CUIT]],Lista_CUIT[#All],4,0)),"CUIT NO CARGADO")</f>
        <v>0</v>
      </c>
    </row>
    <row r="91" spans="2:18" x14ac:dyDescent="0.25">
      <c r="B91" s="40">
        <v>45161</v>
      </c>
      <c r="C91" s="41">
        <v>1</v>
      </c>
      <c r="D91" s="42">
        <v>15</v>
      </c>
      <c r="E91" s="43">
        <v>2374</v>
      </c>
      <c r="F91" s="44">
        <v>30688140923</v>
      </c>
      <c r="G91" s="45" t="str">
        <f>IFERROR(IF(compras_mes8[[#This Row],[CUIT]]="","-",VLOOKUP(compras_mes8[[#This Row],[CUIT]],Lista_CUIT[#All],2,0)),"CUIT NO CARGADO")</f>
        <v>COLTEX SRL</v>
      </c>
      <c r="H91" s="46">
        <v>34363.17</v>
      </c>
      <c r="I91" s="85">
        <f>IF(compras_mes8[[#This Row],[NETO GRAVADO]]="","",compras_mes8[[#This Row],[NETO GRAVADO]]*0.21)</f>
        <v>7216.265699999999</v>
      </c>
      <c r="J91" s="85"/>
      <c r="K91" s="85"/>
      <c r="L91" s="85"/>
      <c r="M91" s="85"/>
      <c r="N91" s="85"/>
      <c r="O91" s="85"/>
      <c r="P91" s="48">
        <f>SUM(compras_mes8[[#This Row],[NETO GRAVADO]:[Otros / No Grav.]])</f>
        <v>41579.435699999995</v>
      </c>
      <c r="Q91" s="49" t="str">
        <f>IFERROR(IF(compras_mes8[[#This Row],[CUIT]]="","-",VLOOKUP(compras_mes8[[#This Row],[CUIT]],Lista_CUIT[#All],3,0)),"CUIT NO CARGADO")</f>
        <v>Productos Ortopedicos</v>
      </c>
      <c r="R91" s="49">
        <f>IFERROR(IF(compras_mes8[[#This Row],[CUIT]]="","-",VLOOKUP(compras_mes8[[#This Row],[CUIT]],Lista_CUIT[#All],4,0)),"CUIT NO CARGADO")</f>
        <v>0</v>
      </c>
    </row>
    <row r="92" spans="2:18" s="56" customFormat="1" ht="18.600000000000001" customHeight="1" x14ac:dyDescent="0.25">
      <c r="B92" s="40">
        <v>45161</v>
      </c>
      <c r="C92" s="41">
        <v>1</v>
      </c>
      <c r="D92" s="42">
        <v>2</v>
      </c>
      <c r="E92" s="43">
        <v>9039</v>
      </c>
      <c r="F92" s="44">
        <v>30714331082</v>
      </c>
      <c r="G92" s="45" t="str">
        <f>IFERROR(IF(compras_mes8[[#This Row],[CUIT]]="","-",VLOOKUP(compras_mes8[[#This Row],[CUIT]],Lista_CUIT[#All],2,0)),"CUIT NO CARGADO")</f>
        <v>ORTOPEDIA CASA ESCALADA SRL</v>
      </c>
      <c r="H92" s="46">
        <v>119042.49</v>
      </c>
      <c r="I92" s="85">
        <f>IF(compras_mes8[[#This Row],[NETO GRAVADO]]="","",compras_mes8[[#This Row],[NETO GRAVADO]]*0.21)</f>
        <v>24998.922900000001</v>
      </c>
      <c r="J92" s="85"/>
      <c r="K92" s="85"/>
      <c r="L92" s="85"/>
      <c r="M92" s="85"/>
      <c r="N92" s="85"/>
      <c r="O92" s="85"/>
      <c r="P92" s="48">
        <f>SUM(compras_mes8[[#This Row],[NETO GRAVADO]:[Otros / No Grav.]])</f>
        <v>144041.4129</v>
      </c>
      <c r="Q92" s="49" t="str">
        <f>IFERROR(IF(compras_mes8[[#This Row],[CUIT]]="","-",VLOOKUP(compras_mes8[[#This Row],[CUIT]],Lista_CUIT[#All],3,0)),"CUIT NO CARGADO")</f>
        <v>Productos Ortopedicos</v>
      </c>
      <c r="R92" s="49">
        <f>IFERROR(IF(compras_mes8[[#This Row],[CUIT]]="","-",VLOOKUP(compras_mes8[[#This Row],[CUIT]],Lista_CUIT[#All],4,0)),"CUIT NO CARGADO")</f>
        <v>0</v>
      </c>
    </row>
    <row r="93" spans="2:18" x14ac:dyDescent="0.25">
      <c r="B93" s="40">
        <v>45161</v>
      </c>
      <c r="C93" s="41">
        <v>1</v>
      </c>
      <c r="D93" s="42">
        <v>7</v>
      </c>
      <c r="E93" s="43">
        <v>16358</v>
      </c>
      <c r="F93" s="44">
        <v>30709214078</v>
      </c>
      <c r="G93" s="45" t="str">
        <f>IFERROR(IF(compras_mes8[[#This Row],[CUIT]]="","-",VLOOKUP(compras_mes8[[#This Row],[CUIT]],Lista_CUIT[#All],2,0)),"CUIT NO CARGADO")</f>
        <v>REHAVITA S.A</v>
      </c>
      <c r="H93" s="46">
        <v>45510</v>
      </c>
      <c r="I93" s="85"/>
      <c r="J93" s="85"/>
      <c r="K93" s="85">
        <v>4778.55</v>
      </c>
      <c r="L93" s="85"/>
      <c r="M93" s="85"/>
      <c r="N93" s="85"/>
      <c r="O93" s="85"/>
      <c r="P93" s="48">
        <f>SUM(compras_mes8[[#This Row],[NETO GRAVADO]:[Otros / No Grav.]])</f>
        <v>50288.55</v>
      </c>
      <c r="Q93" s="49" t="str">
        <f>IFERROR(IF(compras_mes8[[#This Row],[CUIT]]="","-",VLOOKUP(compras_mes8[[#This Row],[CUIT]],Lista_CUIT[#All],3,0)),"CUIT NO CARGADO")</f>
        <v>Productos Ortopedicos</v>
      </c>
      <c r="R93" s="49">
        <f>IFERROR(IF(compras_mes8[[#This Row],[CUIT]]="","-",VLOOKUP(compras_mes8[[#This Row],[CUIT]],Lista_CUIT[#All],4,0)),"CUIT NO CARGADO")</f>
        <v>0</v>
      </c>
    </row>
    <row r="94" spans="2:18" x14ac:dyDescent="0.25">
      <c r="B94" s="40">
        <v>45162</v>
      </c>
      <c r="C94" s="41">
        <v>1</v>
      </c>
      <c r="D94" s="42">
        <v>3</v>
      </c>
      <c r="E94" s="43">
        <v>7</v>
      </c>
      <c r="F94" s="44">
        <v>20396584809</v>
      </c>
      <c r="G94" s="45" t="str">
        <f>IFERROR(IF(compras_mes8[[#This Row],[CUIT]]="","-",VLOOKUP(compras_mes8[[#This Row],[CUIT]],Lista_CUIT[#All],2,0)),"CUIT NO CARGADO")</f>
        <v>DEBELIUCH TOMAS IVAN</v>
      </c>
      <c r="H94" s="46">
        <v>54225</v>
      </c>
      <c r="I94" s="85"/>
      <c r="J94" s="85"/>
      <c r="K94" s="85">
        <v>5693.62</v>
      </c>
      <c r="L94" s="85"/>
      <c r="M94" s="85"/>
      <c r="N94" s="85"/>
      <c r="O94" s="85"/>
      <c r="P94" s="48">
        <f>SUM(compras_mes8[[#This Row],[NETO GRAVADO]:[Otros / No Grav.]])</f>
        <v>59918.62</v>
      </c>
      <c r="Q94" s="49" t="str">
        <f>IFERROR(IF(compras_mes8[[#This Row],[CUIT]]="","-",VLOOKUP(compras_mes8[[#This Row],[CUIT]],Lista_CUIT[#All],3,0)),"CUIT NO CARGADO")</f>
        <v>Productos Ortopedicos</v>
      </c>
      <c r="R94" s="49">
        <f>IFERROR(IF(compras_mes8[[#This Row],[CUIT]]="","-",VLOOKUP(compras_mes8[[#This Row],[CUIT]],Lista_CUIT[#All],4,0)),"CUIT NO CARGADO")</f>
        <v>0</v>
      </c>
    </row>
    <row r="95" spans="2:18" x14ac:dyDescent="0.25">
      <c r="B95" s="40">
        <v>45162</v>
      </c>
      <c r="C95" s="41">
        <v>1</v>
      </c>
      <c r="D95" s="42">
        <v>2</v>
      </c>
      <c r="E95" s="43">
        <v>46</v>
      </c>
      <c r="F95" s="44">
        <v>20272865869</v>
      </c>
      <c r="G95" s="45" t="str">
        <f>IFERROR(IF(compras_mes8[[#This Row],[CUIT]]="","-",VLOOKUP(compras_mes8[[#This Row],[CUIT]],Lista_CUIT[#All],2,0)),"CUIT NO CARGADO")</f>
        <v>DI FEO MARTIN EZEQUIEL</v>
      </c>
      <c r="H95" s="46">
        <v>60158.19</v>
      </c>
      <c r="I95" s="85">
        <f>IF(compras_mes8[[#This Row],[NETO GRAVADO]]="","",compras_mes8[[#This Row],[NETO GRAVADO]]*0.21)</f>
        <v>12633.2199</v>
      </c>
      <c r="J95" s="85"/>
      <c r="K95" s="85"/>
      <c r="L95" s="85"/>
      <c r="M95" s="85"/>
      <c r="N95" s="85"/>
      <c r="O95" s="85"/>
      <c r="P95" s="48">
        <f>SUM(compras_mes8[[#This Row],[NETO GRAVADO]:[Otros / No Grav.]])</f>
        <v>72791.409899999999</v>
      </c>
      <c r="Q95" s="49" t="str">
        <f>IFERROR(IF(compras_mes8[[#This Row],[CUIT]]="","-",VLOOKUP(compras_mes8[[#This Row],[CUIT]],Lista_CUIT[#All],3,0)),"CUIT NO CARGADO")</f>
        <v>Productos Ortopedicos</v>
      </c>
      <c r="R95" s="49">
        <f>IFERROR(IF(compras_mes8[[#This Row],[CUIT]]="","-",VLOOKUP(compras_mes8[[#This Row],[CUIT]],Lista_CUIT[#All],4,0)),"CUIT NO CARGADO")</f>
        <v>0</v>
      </c>
    </row>
    <row r="96" spans="2:18" ht="14.45" customHeight="1" x14ac:dyDescent="0.25">
      <c r="B96" s="40">
        <v>45162</v>
      </c>
      <c r="C96" s="41">
        <v>1</v>
      </c>
      <c r="D96" s="42">
        <v>7</v>
      </c>
      <c r="E96" s="43">
        <v>27833</v>
      </c>
      <c r="F96" s="44">
        <v>20271532483</v>
      </c>
      <c r="G96" s="45" t="str">
        <f>IFERROR(IF(compras_mes8[[#This Row],[CUIT]]="","-",VLOOKUP(compras_mes8[[#This Row],[CUIT]],Lista_CUIT[#All],2,0)),"CUIT NO CARGADO")</f>
        <v>DIEGO MARTIN RIOS</v>
      </c>
      <c r="H96" s="46">
        <v>96000</v>
      </c>
      <c r="I96" s="85">
        <f>IF(compras_mes8[[#This Row],[NETO GRAVADO]]="","",compras_mes8[[#This Row],[NETO GRAVADO]]*0.21)</f>
        <v>20160</v>
      </c>
      <c r="J96" s="85"/>
      <c r="K96" s="85"/>
      <c r="L96" s="85"/>
      <c r="M96" s="85"/>
      <c r="N96" s="85"/>
      <c r="O96" s="85">
        <v>3360</v>
      </c>
      <c r="P96" s="48">
        <f>SUM(compras_mes8[[#This Row],[NETO GRAVADO]:[Otros / No Grav.]])</f>
        <v>119520</v>
      </c>
      <c r="Q96" s="49" t="str">
        <f>IFERROR(IF(compras_mes8[[#This Row],[CUIT]]="","-",VLOOKUP(compras_mes8[[#This Row],[CUIT]],Lista_CUIT[#All],3,0)),"CUIT NO CARGADO")</f>
        <v>Productos Ortopedicos</v>
      </c>
      <c r="R96" s="49">
        <f>IFERROR(IF(compras_mes8[[#This Row],[CUIT]]="","-",VLOOKUP(compras_mes8[[#This Row],[CUIT]],Lista_CUIT[#All],4,0)),"CUIT NO CARGADO")</f>
        <v>0</v>
      </c>
    </row>
    <row r="97" spans="2:18" x14ac:dyDescent="0.25">
      <c r="B97" s="219">
        <v>45163</v>
      </c>
      <c r="C97" s="209">
        <v>3</v>
      </c>
      <c r="D97" s="220">
        <v>3</v>
      </c>
      <c r="E97" s="221">
        <v>1</v>
      </c>
      <c r="F97" s="222">
        <v>23928499804</v>
      </c>
      <c r="G97" s="223" t="str">
        <f>IFERROR(IF(compras_mes8[[#This Row],[CUIT]]="","-",VLOOKUP(compras_mes8[[#This Row],[CUIT]],Lista_CUIT[#All],2,0)),"CUIT NO CARGADO")</f>
        <v>BRITOS MARIA GABRIELA</v>
      </c>
      <c r="H97" s="224">
        <v>-2479.34</v>
      </c>
      <c r="I97" s="225">
        <f>IF(compras_mes8[[#This Row],[NETO GRAVADO]]="","",compras_mes8[[#This Row],[NETO GRAVADO]]*0.21)</f>
        <v>-520.66139999999996</v>
      </c>
      <c r="J97" s="225"/>
      <c r="K97" s="225"/>
      <c r="L97" s="225"/>
      <c r="M97" s="225"/>
      <c r="N97" s="225"/>
      <c r="O97" s="225"/>
      <c r="P97" s="226">
        <f>SUM(compras_mes8[[#This Row],[NETO GRAVADO]:[Otros / No Grav.]])</f>
        <v>-3000.0014000000001</v>
      </c>
      <c r="Q97" s="227" t="str">
        <f>IFERROR(IF(compras_mes8[[#This Row],[CUIT]]="","-",VLOOKUP(compras_mes8[[#This Row],[CUIT]],Lista_CUIT[#All],3,0)),"CUIT NO CARGADO")</f>
        <v>GASTOS ADMINISTRATIVOS</v>
      </c>
      <c r="R97" s="227">
        <f>IFERROR(IF(compras_mes8[[#This Row],[CUIT]]="","-",VLOOKUP(compras_mes8[[#This Row],[CUIT]],Lista_CUIT[#All],4,0)),"CUIT NO CARGADO")</f>
        <v>0</v>
      </c>
    </row>
    <row r="98" spans="2:18" x14ac:dyDescent="0.25">
      <c r="B98" s="40">
        <v>45163</v>
      </c>
      <c r="C98" s="41">
        <v>1</v>
      </c>
      <c r="D98" s="42">
        <v>5</v>
      </c>
      <c r="E98" s="43">
        <v>19</v>
      </c>
      <c r="F98" s="44">
        <v>20929183143</v>
      </c>
      <c r="G98" s="45" t="str">
        <f>IFERROR(IF(compras_mes8[[#This Row],[CUIT]]="","-",VLOOKUP(compras_mes8[[#This Row],[CUIT]],Lista_CUIT[#All],2,0)),"CUIT NO CARGADO")</f>
        <v>MA JUN</v>
      </c>
      <c r="H98" s="46">
        <v>12000</v>
      </c>
      <c r="I98" s="85">
        <f>IF(compras_mes8[[#This Row],[NETO GRAVADO]]="","",compras_mes8[[#This Row],[NETO GRAVADO]]*0.21)</f>
        <v>2520</v>
      </c>
      <c r="J98" s="85"/>
      <c r="K98" s="85"/>
      <c r="L98" s="85"/>
      <c r="M98" s="85"/>
      <c r="N98" s="85"/>
      <c r="O98" s="85"/>
      <c r="P98" s="48">
        <f>SUM(compras_mes8[[#This Row],[NETO GRAVADO]:[Otros / No Grav.]])</f>
        <v>14520</v>
      </c>
      <c r="Q98" s="49" t="str">
        <f>IFERROR(IF(compras_mes8[[#This Row],[CUIT]]="","-",VLOOKUP(compras_mes8[[#This Row],[CUIT]],Lista_CUIT[#All],3,0)),"CUIT NO CARGADO")</f>
        <v>Gastos Varios</v>
      </c>
      <c r="R98" s="49">
        <f>IFERROR(IF(compras_mes8[[#This Row],[CUIT]]="","-",VLOOKUP(compras_mes8[[#This Row],[CUIT]],Lista_CUIT[#All],4,0)),"CUIT NO CARGADO")</f>
        <v>0</v>
      </c>
    </row>
    <row r="99" spans="2:18" ht="14.45" customHeight="1" x14ac:dyDescent="0.25">
      <c r="B99" s="40">
        <v>45163</v>
      </c>
      <c r="C99" s="41">
        <v>1</v>
      </c>
      <c r="D99" s="42">
        <v>3</v>
      </c>
      <c r="E99" s="43">
        <v>144</v>
      </c>
      <c r="F99" s="44">
        <v>23928499804</v>
      </c>
      <c r="G99" s="45" t="str">
        <f>IFERROR(IF(compras_mes8[[#This Row],[CUIT]]="","-",VLOOKUP(compras_mes8[[#This Row],[CUIT]],Lista_CUIT[#All],2,0)),"CUIT NO CARGADO")</f>
        <v>BRITOS MARIA GABRIELA</v>
      </c>
      <c r="H99" s="46">
        <v>2479.34</v>
      </c>
      <c r="I99" s="85">
        <f>IF(compras_mes8[[#This Row],[NETO GRAVADO]]="","",compras_mes8[[#This Row],[NETO GRAVADO]]*0.21)</f>
        <v>520.66139999999996</v>
      </c>
      <c r="J99" s="85"/>
      <c r="K99" s="85"/>
      <c r="L99" s="85"/>
      <c r="M99" s="85"/>
      <c r="N99" s="85"/>
      <c r="O99" s="85"/>
      <c r="P99" s="48">
        <f>SUM(compras_mes8[[#This Row],[NETO GRAVADO]:[Otros / No Grav.]])</f>
        <v>3000.0014000000001</v>
      </c>
      <c r="Q99" s="49" t="str">
        <f>IFERROR(IF(compras_mes8[[#This Row],[CUIT]]="","-",VLOOKUP(compras_mes8[[#This Row],[CUIT]],Lista_CUIT[#All],3,0)),"CUIT NO CARGADO")</f>
        <v>GASTOS ADMINISTRATIVOS</v>
      </c>
      <c r="R99" s="49">
        <f>IFERROR(IF(compras_mes8[[#This Row],[CUIT]]="","-",VLOOKUP(compras_mes8[[#This Row],[CUIT]],Lista_CUIT[#All],4,0)),"CUIT NO CARGADO")</f>
        <v>0</v>
      </c>
    </row>
    <row r="100" spans="2:18" ht="14.45" customHeight="1" x14ac:dyDescent="0.25">
      <c r="B100" s="40">
        <v>45163</v>
      </c>
      <c r="C100" s="41">
        <v>1</v>
      </c>
      <c r="D100" s="42">
        <v>3</v>
      </c>
      <c r="E100" s="43">
        <v>145</v>
      </c>
      <c r="F100" s="44">
        <v>23928499804</v>
      </c>
      <c r="G100" s="45" t="str">
        <f>IFERROR(IF(compras_mes8[[#This Row],[CUIT]]="","-",VLOOKUP(compras_mes8[[#This Row],[CUIT]],Lista_CUIT[#All],2,0)),"CUIT NO CARGADO")</f>
        <v>BRITOS MARIA GABRIELA</v>
      </c>
      <c r="H100" s="46">
        <v>12148.76</v>
      </c>
      <c r="I100" s="85">
        <f>IF(compras_mes8[[#This Row],[NETO GRAVADO]]="","",compras_mes8[[#This Row],[NETO GRAVADO]]*0.21)</f>
        <v>2551.2395999999999</v>
      </c>
      <c r="J100" s="85"/>
      <c r="K100" s="85"/>
      <c r="L100" s="85"/>
      <c r="M100" s="85"/>
      <c r="N100" s="85"/>
      <c r="O100" s="85"/>
      <c r="P100" s="48">
        <f>SUM(compras_mes8[[#This Row],[NETO GRAVADO]:[Otros / No Grav.]])</f>
        <v>14699.999599999999</v>
      </c>
      <c r="Q100" s="49" t="str">
        <f>IFERROR(IF(compras_mes8[[#This Row],[CUIT]]="","-",VLOOKUP(compras_mes8[[#This Row],[CUIT]],Lista_CUIT[#All],3,0)),"CUIT NO CARGADO")</f>
        <v>GASTOS ADMINISTRATIVOS</v>
      </c>
      <c r="R100" s="49">
        <f>IFERROR(IF(compras_mes8[[#This Row],[CUIT]]="","-",VLOOKUP(compras_mes8[[#This Row],[CUIT]],Lista_CUIT[#All],4,0)),"CUIT NO CARGADO")</f>
        <v>0</v>
      </c>
    </row>
    <row r="101" spans="2:18" ht="15" customHeight="1" x14ac:dyDescent="0.25">
      <c r="B101" s="219">
        <v>45163</v>
      </c>
      <c r="C101" s="209">
        <v>1</v>
      </c>
      <c r="D101" s="220">
        <v>700</v>
      </c>
      <c r="E101" s="221">
        <v>1079527</v>
      </c>
      <c r="F101" s="222">
        <v>30715804812</v>
      </c>
      <c r="G101" s="223" t="str">
        <f>IFERROR(IF(compras_mes8[[#This Row],[CUIT]]="","-",VLOOKUP(compras_mes8[[#This Row],[CUIT]],Lista_CUIT[#All],2,0)),"CUIT NO CARGADO")</f>
        <v>CORREDORES VIALES SOCIEDAD ANONIMA</v>
      </c>
      <c r="H101" s="224">
        <v>6528.92</v>
      </c>
      <c r="I101" s="225">
        <f>IF(compras_mes8[[#This Row],[NETO GRAVADO]]="","",compras_mes8[[#This Row],[NETO GRAVADO]]*0.21)</f>
        <v>1371.0732</v>
      </c>
      <c r="J101" s="225"/>
      <c r="K101" s="225"/>
      <c r="L101" s="225"/>
      <c r="M101" s="225"/>
      <c r="N101" s="225">
        <v>228.51</v>
      </c>
      <c r="O101" s="225"/>
      <c r="P101" s="226">
        <f>SUM(compras_mes8[[#This Row],[NETO GRAVADO]:[Otros / No Grav.]])</f>
        <v>8128.5032000000001</v>
      </c>
      <c r="Q101" s="227" t="str">
        <f>IFERROR(IF(compras_mes8[[#This Row],[CUIT]]="","-",VLOOKUP(compras_mes8[[#This Row],[CUIT]],Lista_CUIT[#All],3,0)),"CUIT NO CARGADO")</f>
        <v>Autopista</v>
      </c>
      <c r="R101" s="227">
        <f>IFERROR(IF(compras_mes8[[#This Row],[CUIT]]="","-",VLOOKUP(compras_mes8[[#This Row],[CUIT]],Lista_CUIT[#All],4,0)),"CUIT NO CARGADO")</f>
        <v>0</v>
      </c>
    </row>
    <row r="102" spans="2:18" ht="15" customHeight="1" x14ac:dyDescent="0.25">
      <c r="B102" s="219">
        <v>45163</v>
      </c>
      <c r="C102" s="209">
        <v>1</v>
      </c>
      <c r="D102" s="220">
        <v>700</v>
      </c>
      <c r="E102" s="221">
        <v>1079528</v>
      </c>
      <c r="F102" s="222">
        <v>30715804812</v>
      </c>
      <c r="G102" s="223" t="str">
        <f>IFERROR(IF(compras_mes8[[#This Row],[CUIT]]="","-",VLOOKUP(compras_mes8[[#This Row],[CUIT]],Lista_CUIT[#All],2,0)),"CUIT NO CARGADO")</f>
        <v>CORREDORES VIALES SOCIEDAD ANONIMA</v>
      </c>
      <c r="H102" s="224">
        <v>661.16</v>
      </c>
      <c r="I102" s="225">
        <f>IF(compras_mes8[[#This Row],[NETO GRAVADO]]="","",compras_mes8[[#This Row],[NETO GRAVADO]]*0.21)</f>
        <v>138.84359999999998</v>
      </c>
      <c r="J102" s="225"/>
      <c r="K102" s="225"/>
      <c r="L102" s="225"/>
      <c r="M102" s="225"/>
      <c r="N102" s="225"/>
      <c r="O102" s="225"/>
      <c r="P102" s="226">
        <f>SUM(compras_mes8[[#This Row],[NETO GRAVADO]:[Otros / No Grav.]])</f>
        <v>800.00360000000001</v>
      </c>
      <c r="Q102" s="227" t="str">
        <f>IFERROR(IF(compras_mes8[[#This Row],[CUIT]]="","-",VLOOKUP(compras_mes8[[#This Row],[CUIT]],Lista_CUIT[#All],3,0)),"CUIT NO CARGADO")</f>
        <v>Autopista</v>
      </c>
      <c r="R102" s="227">
        <f>IFERROR(IF(compras_mes8[[#This Row],[CUIT]]="","-",VLOOKUP(compras_mes8[[#This Row],[CUIT]],Lista_CUIT[#All],4,0)),"CUIT NO CARGADO")</f>
        <v>0</v>
      </c>
    </row>
    <row r="103" spans="2:18" ht="15" customHeight="1" x14ac:dyDescent="0.25">
      <c r="B103" s="40">
        <v>45166</v>
      </c>
      <c r="C103" s="41">
        <v>1</v>
      </c>
      <c r="D103" s="42">
        <v>3</v>
      </c>
      <c r="E103" s="43">
        <v>96</v>
      </c>
      <c r="F103" s="44">
        <v>20334976433</v>
      </c>
      <c r="G103" s="45" t="str">
        <f>IFERROR(IF(compras_mes8[[#This Row],[CUIT]]="","-",VLOOKUP(compras_mes8[[#This Row],[CUIT]],Lista_CUIT[#All],2,0)),"CUIT NO CARGADO")</f>
        <v>NARDOMARINO EZEQUIEL EDUARDO</v>
      </c>
      <c r="H103" s="46">
        <v>101543.8</v>
      </c>
      <c r="I103" s="85">
        <f>IF(compras_mes8[[#This Row],[NETO GRAVADO]]="","",compras_mes8[[#This Row],[NETO GRAVADO]]*0.21)</f>
        <v>21324.198</v>
      </c>
      <c r="J103" s="85"/>
      <c r="K103" s="85"/>
      <c r="L103" s="85"/>
      <c r="M103" s="85"/>
      <c r="N103" s="85"/>
      <c r="O103" s="85"/>
      <c r="P103" s="48">
        <f>SUM(compras_mes8[[#This Row],[NETO GRAVADO]:[Otros / No Grav.]])</f>
        <v>122867.99800000001</v>
      </c>
      <c r="Q103" s="49" t="str">
        <f>IFERROR(IF(compras_mes8[[#This Row],[CUIT]]="","-",VLOOKUP(compras_mes8[[#This Row],[CUIT]],Lista_CUIT[#All],3,0)),"CUIT NO CARGADO")</f>
        <v>FLETE</v>
      </c>
      <c r="R103" s="49">
        <f>IFERROR(IF(compras_mes8[[#This Row],[CUIT]]="","-",VLOOKUP(compras_mes8[[#This Row],[CUIT]],Lista_CUIT[#All],4,0)),"CUIT NO CARGADO")</f>
        <v>0</v>
      </c>
    </row>
    <row r="104" spans="2:18" ht="15" customHeight="1" x14ac:dyDescent="0.25">
      <c r="B104" s="40">
        <v>45166</v>
      </c>
      <c r="C104" s="41">
        <v>1</v>
      </c>
      <c r="D104" s="42">
        <v>6</v>
      </c>
      <c r="E104" s="43">
        <v>712</v>
      </c>
      <c r="F104" s="44">
        <v>20247225243</v>
      </c>
      <c r="G104" s="45" t="str">
        <f>IFERROR(IF(compras_mes8[[#This Row],[CUIT]]="","-",VLOOKUP(compras_mes8[[#This Row],[CUIT]],Lista_CUIT[#All],2,0)),"CUIT NO CARGADO")</f>
        <v>VENTO HUGO GABRIEL</v>
      </c>
      <c r="H104" s="46">
        <v>45184</v>
      </c>
      <c r="I104" s="85">
        <f>IF(compras_mes8[[#This Row],[NETO GRAVADO]]="","",compras_mes8[[#This Row],[NETO GRAVADO]]*0.21)</f>
        <v>9488.64</v>
      </c>
      <c r="J104" s="85"/>
      <c r="K104" s="85"/>
      <c r="L104" s="85"/>
      <c r="M104" s="85"/>
      <c r="N104" s="85"/>
      <c r="O104" s="85"/>
      <c r="P104" s="48">
        <f>SUM(compras_mes8[[#This Row],[NETO GRAVADO]:[Otros / No Grav.]])</f>
        <v>54672.639999999999</v>
      </c>
      <c r="Q104" s="49" t="str">
        <f>IFERROR(IF(compras_mes8[[#This Row],[CUIT]]="","-",VLOOKUP(compras_mes8[[#This Row],[CUIT]],Lista_CUIT[#All],3,0)),"CUIT NO CARGADO")</f>
        <v>Productos Ortopedicos</v>
      </c>
      <c r="R104" s="49">
        <f>IFERROR(IF(compras_mes8[[#This Row],[CUIT]]="","-",VLOOKUP(compras_mes8[[#This Row],[CUIT]],Lista_CUIT[#All],4,0)),"CUIT NO CARGADO")</f>
        <v>0</v>
      </c>
    </row>
    <row r="105" spans="2:18" ht="15" customHeight="1" x14ac:dyDescent="0.25">
      <c r="B105" s="219">
        <v>45166</v>
      </c>
      <c r="C105" s="209">
        <v>1</v>
      </c>
      <c r="D105" s="220">
        <v>6</v>
      </c>
      <c r="E105" s="221">
        <v>1070</v>
      </c>
      <c r="F105" s="222">
        <v>30716815710</v>
      </c>
      <c r="G105" s="223" t="str">
        <f>IFERROR(IF(compras_mes8[[#This Row],[CUIT]]="","-",VLOOKUP(compras_mes8[[#This Row],[CUIT]],Lista_CUIT[#All],2,0)),"CUIT NO CARGADO")</f>
        <v>PAPELERA GEOPEL SRL</v>
      </c>
      <c r="H105" s="224">
        <v>6290</v>
      </c>
      <c r="I105" s="225">
        <f>IF(compras_mes8[[#This Row],[NETO GRAVADO]]="","",compras_mes8[[#This Row],[NETO GRAVADO]]*0.21)</f>
        <v>1320.8999999999999</v>
      </c>
      <c r="J105" s="225"/>
      <c r="K105" s="225"/>
      <c r="L105" s="225"/>
      <c r="M105" s="225"/>
      <c r="N105" s="225"/>
      <c r="O105" s="225"/>
      <c r="P105" s="226">
        <f>SUM(compras_mes8[[#This Row],[NETO GRAVADO]:[Otros / No Grav.]])</f>
        <v>7610.9</v>
      </c>
      <c r="Q105" s="227" t="str">
        <f>IFERROR(IF(compras_mes8[[#This Row],[CUIT]]="","-",VLOOKUP(compras_mes8[[#This Row],[CUIT]],Lista_CUIT[#All],3,0)),"CUIT NO CARGADO")</f>
        <v>PAPELERIA</v>
      </c>
      <c r="R105" s="227">
        <f>IFERROR(IF(compras_mes8[[#This Row],[CUIT]]="","-",VLOOKUP(compras_mes8[[#This Row],[CUIT]],Lista_CUIT[#All],4,0)),"CUIT NO CARGADO")</f>
        <v>0</v>
      </c>
    </row>
    <row r="106" spans="2:18" x14ac:dyDescent="0.25">
      <c r="B106" s="40">
        <v>45166</v>
      </c>
      <c r="C106" s="41">
        <v>1</v>
      </c>
      <c r="D106" s="42">
        <v>6</v>
      </c>
      <c r="E106" s="43">
        <v>1074</v>
      </c>
      <c r="F106" s="44">
        <v>30716815710</v>
      </c>
      <c r="G106" s="45" t="str">
        <f>IFERROR(IF(compras_mes8[[#This Row],[CUIT]]="","-",VLOOKUP(compras_mes8[[#This Row],[CUIT]],Lista_CUIT[#All],2,0)),"CUIT NO CARGADO")</f>
        <v>PAPELERA GEOPEL SRL</v>
      </c>
      <c r="H106" s="46">
        <v>4500</v>
      </c>
      <c r="I106" s="85">
        <f>IF(compras_mes8[[#This Row],[NETO GRAVADO]]="","",compras_mes8[[#This Row],[NETO GRAVADO]]*0.21)</f>
        <v>945</v>
      </c>
      <c r="J106" s="85"/>
      <c r="K106" s="85"/>
      <c r="L106" s="85"/>
      <c r="M106" s="85"/>
      <c r="N106" s="85"/>
      <c r="O106" s="85"/>
      <c r="P106" s="48">
        <f>SUM(compras_mes8[[#This Row],[NETO GRAVADO]:[Otros / No Grav.]])</f>
        <v>5445</v>
      </c>
      <c r="Q106" s="49" t="str">
        <f>IFERROR(IF(compras_mes8[[#This Row],[CUIT]]="","-",VLOOKUP(compras_mes8[[#This Row],[CUIT]],Lista_CUIT[#All],3,0)),"CUIT NO CARGADO")</f>
        <v>PAPELERIA</v>
      </c>
      <c r="R106" s="49">
        <f>IFERROR(IF(compras_mes8[[#This Row],[CUIT]]="","-",VLOOKUP(compras_mes8[[#This Row],[CUIT]],Lista_CUIT[#All],4,0)),"CUIT NO CARGADO")</f>
        <v>0</v>
      </c>
    </row>
    <row r="107" spans="2:18" x14ac:dyDescent="0.25">
      <c r="B107" s="40">
        <v>45166</v>
      </c>
      <c r="C107" s="41">
        <v>1</v>
      </c>
      <c r="D107" s="42">
        <v>4</v>
      </c>
      <c r="E107" s="43">
        <v>11176</v>
      </c>
      <c r="F107" s="44">
        <v>33531122599</v>
      </c>
      <c r="G107" s="45" t="str">
        <f>IFERROR(IF(compras_mes8[[#This Row],[CUIT]]="","-",VLOOKUP(compras_mes8[[#This Row],[CUIT]],Lista_CUIT[#All],2,0)),"CUIT NO CARGADO")</f>
        <v>LA CAMIONERA MENDOCINA SRL</v>
      </c>
      <c r="H107" s="46">
        <v>8633.5499999999993</v>
      </c>
      <c r="I107" s="85">
        <f>IF(compras_mes8[[#This Row],[NETO GRAVADO]]="","",compras_mes8[[#This Row],[NETO GRAVADO]]*0.21)</f>
        <v>1813.0454999999997</v>
      </c>
      <c r="J107" s="85"/>
      <c r="K107" s="85"/>
      <c r="L107" s="85"/>
      <c r="M107" s="85"/>
      <c r="N107" s="85"/>
      <c r="O107" s="85"/>
      <c r="P107" s="48">
        <f>SUM(compras_mes8[[#This Row],[NETO GRAVADO]:[Otros / No Grav.]])</f>
        <v>10446.595499999999</v>
      </c>
      <c r="Q107" s="49" t="str">
        <f>IFERROR(IF(compras_mes8[[#This Row],[CUIT]]="","-",VLOOKUP(compras_mes8[[#This Row],[CUIT]],Lista_CUIT[#All],3,0)),"CUIT NO CARGADO")</f>
        <v>FLETE</v>
      </c>
      <c r="R107" s="49">
        <f>IFERROR(IF(compras_mes8[[#This Row],[CUIT]]="","-",VLOOKUP(compras_mes8[[#This Row],[CUIT]],Lista_CUIT[#All],4,0)),"CUIT NO CARGADO")</f>
        <v>0</v>
      </c>
    </row>
    <row r="108" spans="2:18" x14ac:dyDescent="0.25">
      <c r="B108" s="40">
        <v>45166</v>
      </c>
      <c r="C108" s="41">
        <v>1</v>
      </c>
      <c r="D108" s="42">
        <v>31</v>
      </c>
      <c r="E108" s="43">
        <v>45772</v>
      </c>
      <c r="F108" s="44">
        <v>30581106234</v>
      </c>
      <c r="G108" s="45" t="str">
        <f>IFERROR(IF(compras_mes8[[#This Row],[CUIT]]="","-",VLOOKUP(compras_mes8[[#This Row],[CUIT]],Lista_CUIT[#All],2,0)),"CUIT NO CARGADO")</f>
        <v>TRANSPORTES IMAZ S R L</v>
      </c>
      <c r="H108" s="46">
        <v>6450</v>
      </c>
      <c r="I108" s="85">
        <f>IF(compras_mes8[[#This Row],[NETO GRAVADO]]="","",compras_mes8[[#This Row],[NETO GRAVADO]]*0.21)</f>
        <v>1354.5</v>
      </c>
      <c r="J108" s="85"/>
      <c r="K108" s="85"/>
      <c r="L108" s="85"/>
      <c r="M108" s="85"/>
      <c r="N108" s="85"/>
      <c r="O108" s="85"/>
      <c r="P108" s="48">
        <f>SUM(compras_mes8[[#This Row],[NETO GRAVADO]:[Otros / No Grav.]])</f>
        <v>7804.5</v>
      </c>
      <c r="Q108" s="49" t="str">
        <f>IFERROR(IF(compras_mes8[[#This Row],[CUIT]]="","-",VLOOKUP(compras_mes8[[#This Row],[CUIT]],Lista_CUIT[#All],3,0)),"CUIT NO CARGADO")</f>
        <v>Productos Ortopedicos</v>
      </c>
      <c r="R108" s="49">
        <f>IFERROR(IF(compras_mes8[[#This Row],[CUIT]]="","-",VLOOKUP(compras_mes8[[#This Row],[CUIT]],Lista_CUIT[#All],4,0)),"CUIT NO CARGADO")</f>
        <v>0</v>
      </c>
    </row>
    <row r="109" spans="2:18" x14ac:dyDescent="0.25">
      <c r="B109" s="40">
        <v>45167</v>
      </c>
      <c r="C109" s="41">
        <v>1</v>
      </c>
      <c r="D109" s="42">
        <v>34</v>
      </c>
      <c r="E109" s="43">
        <v>540</v>
      </c>
      <c r="F109" s="44">
        <v>33712276539</v>
      </c>
      <c r="G109" s="45" t="str">
        <f>IFERROR(IF(compras_mes8[[#This Row],[CUIT]]="","-",VLOOKUP(compras_mes8[[#This Row],[CUIT]],Lista_CUIT[#All],2,0)),"CUIT NO CARGADO")</f>
        <v>CASTAÑO AUTOVOX SRL</v>
      </c>
      <c r="H109" s="46">
        <v>12872.83</v>
      </c>
      <c r="I109" s="85">
        <f>IF(compras_mes8[[#This Row],[NETO GRAVADO]]="","",compras_mes8[[#This Row],[NETO GRAVADO]]*0.21)</f>
        <v>2703.2943</v>
      </c>
      <c r="J109" s="85"/>
      <c r="K109" s="85"/>
      <c r="L109" s="85"/>
      <c r="M109" s="85"/>
      <c r="N109" s="85"/>
      <c r="O109" s="85">
        <v>1152.5999999999999</v>
      </c>
      <c r="P109" s="48">
        <f>SUM(compras_mes8[[#This Row],[NETO GRAVADO]:[Otros / No Grav.]])</f>
        <v>16728.724299999998</v>
      </c>
      <c r="Q109" s="49" t="str">
        <f>IFERROR(IF(compras_mes8[[#This Row],[CUIT]]="","-",VLOOKUP(compras_mes8[[#This Row],[CUIT]],Lista_CUIT[#All],3,0)),"CUIT NO CARGADO")</f>
        <v>COMBUSTIBLE</v>
      </c>
      <c r="R109" s="49">
        <f>IFERROR(IF(compras_mes8[[#This Row],[CUIT]]="","-",VLOOKUP(compras_mes8[[#This Row],[CUIT]],Lista_CUIT[#All],4,0)),"CUIT NO CARGADO")</f>
        <v>0</v>
      </c>
    </row>
    <row r="110" spans="2:18" x14ac:dyDescent="0.25">
      <c r="B110" s="40">
        <v>45167</v>
      </c>
      <c r="C110" s="41">
        <v>1</v>
      </c>
      <c r="D110" s="42">
        <v>2635</v>
      </c>
      <c r="E110" s="43">
        <v>1100</v>
      </c>
      <c r="F110" s="44">
        <v>33699685459</v>
      </c>
      <c r="G110" s="45" t="str">
        <f>IFERROR(IF(compras_mes8[[#This Row],[CUIT]]="","-",VLOOKUP(compras_mes8[[#This Row],[CUIT]],Lista_CUIT[#All],2,0)),"CUIT NO CARGADO")</f>
        <v>CORREO ANDREANI SA</v>
      </c>
      <c r="H110" s="46">
        <v>4131.41</v>
      </c>
      <c r="I110" s="85">
        <f>IF(compras_mes8[[#This Row],[NETO GRAVADO]]="","",compras_mes8[[#This Row],[NETO GRAVADO]]*0.21)</f>
        <v>867.59609999999998</v>
      </c>
      <c r="J110" s="85"/>
      <c r="K110" s="85"/>
      <c r="L110" s="85"/>
      <c r="M110" s="85"/>
      <c r="N110" s="85"/>
      <c r="O110" s="85"/>
      <c r="P110" s="48">
        <f>SUM(compras_mes8[[#This Row],[NETO GRAVADO]:[Otros / No Grav.]])</f>
        <v>4999.0060999999996</v>
      </c>
      <c r="Q110" s="49" t="str">
        <f>IFERROR(IF(compras_mes8[[#This Row],[CUIT]]="","-",VLOOKUP(compras_mes8[[#This Row],[CUIT]],Lista_CUIT[#All],3,0)),"CUIT NO CARGADO")</f>
        <v>FLETE</v>
      </c>
      <c r="R110" s="49">
        <f>IFERROR(IF(compras_mes8[[#This Row],[CUIT]]="","-",VLOOKUP(compras_mes8[[#This Row],[CUIT]],Lista_CUIT[#All],4,0)),"CUIT NO CARGADO")</f>
        <v>0</v>
      </c>
    </row>
    <row r="111" spans="2:18" x14ac:dyDescent="0.25">
      <c r="B111" s="219">
        <v>45167</v>
      </c>
      <c r="C111" s="209">
        <v>1</v>
      </c>
      <c r="D111" s="220">
        <v>7</v>
      </c>
      <c r="E111" s="221">
        <v>2164</v>
      </c>
      <c r="F111" s="222">
        <v>20284183534</v>
      </c>
      <c r="G111" s="223" t="str">
        <f>IFERROR(IF(compras_mes8[[#This Row],[CUIT]]="","-",VLOOKUP(compras_mes8[[#This Row],[CUIT]],Lista_CUIT[#All],2,0)),"CUIT NO CARGADO")</f>
        <v>FURLANETTO MARTIN</v>
      </c>
      <c r="H111" s="224">
        <v>6520.66</v>
      </c>
      <c r="I111" s="225">
        <f>IF(compras_mes8[[#This Row],[NETO GRAVADO]]="","",compras_mes8[[#This Row],[NETO GRAVADO]]*0.21)</f>
        <v>1369.3385999999998</v>
      </c>
      <c r="J111" s="225"/>
      <c r="K111" s="225"/>
      <c r="L111" s="225"/>
      <c r="M111" s="225"/>
      <c r="N111" s="225"/>
      <c r="O111" s="225"/>
      <c r="P111" s="226">
        <f>SUM(compras_mes8[[#This Row],[NETO GRAVADO]:[Otros / No Grav.]])</f>
        <v>7889.9985999999999</v>
      </c>
      <c r="Q111" s="227" t="str">
        <f>IFERROR(IF(compras_mes8[[#This Row],[CUIT]]="","-",VLOOKUP(compras_mes8[[#This Row],[CUIT]],Lista_CUIT[#All],3,0)),"CUIT NO CARGADO")</f>
        <v>PAPELERIA</v>
      </c>
      <c r="R111" s="227">
        <f>IFERROR(IF(compras_mes8[[#This Row],[CUIT]]="","-",VLOOKUP(compras_mes8[[#This Row],[CUIT]],Lista_CUIT[#All],4,0)),"CUIT NO CARGADO")</f>
        <v>0</v>
      </c>
    </row>
    <row r="112" spans="2:18" x14ac:dyDescent="0.25">
      <c r="B112" s="40">
        <v>45168</v>
      </c>
      <c r="C112" s="41">
        <v>1</v>
      </c>
      <c r="D112" s="42">
        <v>2</v>
      </c>
      <c r="E112" s="43">
        <v>45</v>
      </c>
      <c r="F112" s="44">
        <v>33716367539</v>
      </c>
      <c r="G112" s="45" t="str">
        <f>IFERROR(IF(compras_mes8[[#This Row],[CUIT]]="","-",VLOOKUP(compras_mes8[[#This Row],[CUIT]],Lista_CUIT[#All],2,0)),"CUIT NO CARGADO")</f>
        <v>3PI S.A.S.</v>
      </c>
      <c r="H112" s="46">
        <v>1633500</v>
      </c>
      <c r="I112" s="85">
        <f>IF(compras_mes8[[#This Row],[NETO GRAVADO]]="","",compras_mes8[[#This Row],[NETO GRAVADO]]*0.21)</f>
        <v>343035</v>
      </c>
      <c r="J112" s="85"/>
      <c r="K112" s="85"/>
      <c r="L112" s="85"/>
      <c r="M112" s="85"/>
      <c r="N112" s="85"/>
      <c r="O112" s="85"/>
      <c r="P112" s="48">
        <f>SUM(compras_mes8[[#This Row],[NETO GRAVADO]:[Otros / No Grav.]])</f>
        <v>1976535</v>
      </c>
      <c r="Q112" s="49" t="str">
        <f>IFERROR(IF(compras_mes8[[#This Row],[CUIT]]="","-",VLOOKUP(compras_mes8[[#This Row],[CUIT]],Lista_CUIT[#All],3,0)),"CUIT NO CARGADO")</f>
        <v>Productos Ortopedicos</v>
      </c>
      <c r="R112" s="49">
        <f>IFERROR(IF(compras_mes8[[#This Row],[CUIT]]="","-",VLOOKUP(compras_mes8[[#This Row],[CUIT]],Lista_CUIT[#All],4,0)),"CUIT NO CARGADO")</f>
        <v>0</v>
      </c>
    </row>
    <row r="113" spans="2:18" x14ac:dyDescent="0.25">
      <c r="B113" s="40">
        <v>45168</v>
      </c>
      <c r="C113" s="41">
        <v>1</v>
      </c>
      <c r="D113" s="42">
        <v>10</v>
      </c>
      <c r="E113" s="43">
        <v>1993</v>
      </c>
      <c r="F113" s="44">
        <v>20259150249</v>
      </c>
      <c r="G113" s="45" t="str">
        <f>IFERROR(IF(compras_mes8[[#This Row],[CUIT]]="","-",VLOOKUP(compras_mes8[[#This Row],[CUIT]],Lista_CUIT[#All],2,0)),"CUIT NO CARGADO")</f>
        <v>BIANCHI CRISTIAN MAXIMILIANO</v>
      </c>
      <c r="H113" s="46">
        <v>25611.57</v>
      </c>
      <c r="I113" s="85">
        <f>IF(compras_mes8[[#This Row],[NETO GRAVADO]]="","",compras_mes8[[#This Row],[NETO GRAVADO]]*0.21)</f>
        <v>5378.4296999999997</v>
      </c>
      <c r="J113" s="85"/>
      <c r="K113" s="85"/>
      <c r="L113" s="85"/>
      <c r="M113" s="85"/>
      <c r="N113" s="85"/>
      <c r="O113" s="85"/>
      <c r="P113" s="48">
        <f>SUM(compras_mes8[[#This Row],[NETO GRAVADO]:[Otros / No Grav.]])</f>
        <v>30989.9997</v>
      </c>
      <c r="Q113" s="49" t="str">
        <f>IFERROR(IF(compras_mes8[[#This Row],[CUIT]]="","-",VLOOKUP(compras_mes8[[#This Row],[CUIT]],Lista_CUIT[#All],3,0)),"CUIT NO CARGADO")</f>
        <v>LIBRERÍA</v>
      </c>
      <c r="R113" s="49">
        <f>IFERROR(IF(compras_mes8[[#This Row],[CUIT]]="","-",VLOOKUP(compras_mes8[[#This Row],[CUIT]],Lista_CUIT[#All],4,0)),"CUIT NO CARGADO")</f>
        <v>0</v>
      </c>
    </row>
    <row r="114" spans="2:18" x14ac:dyDescent="0.25">
      <c r="B114" s="219">
        <v>45168</v>
      </c>
      <c r="C114" s="209">
        <v>1</v>
      </c>
      <c r="D114" s="220">
        <v>105</v>
      </c>
      <c r="E114" s="221">
        <v>1318317</v>
      </c>
      <c r="F114" s="222">
        <v>30537882871</v>
      </c>
      <c r="G114" s="223" t="str">
        <f>IFERROR(IF(compras_mes8[[#This Row],[CUIT]]="","-",VLOOKUP(compras_mes8[[#This Row],[CUIT]],Lista_CUIT[#All],2,0)),"CUIT NO CARGADO")</f>
        <v>EL JUMILIANO SA</v>
      </c>
      <c r="H114" s="224">
        <v>3206.61</v>
      </c>
      <c r="I114" s="225">
        <f>IF(compras_mes8[[#This Row],[NETO GRAVADO]]="","",compras_mes8[[#This Row],[NETO GRAVADO]]*0.21)</f>
        <v>673.38810000000001</v>
      </c>
      <c r="J114" s="225"/>
      <c r="K114" s="225"/>
      <c r="L114" s="225"/>
      <c r="M114" s="225"/>
      <c r="N114" s="225">
        <v>112.23</v>
      </c>
      <c r="O114" s="225"/>
      <c r="P114" s="226">
        <f>SUM(compras_mes8[[#This Row],[NETO GRAVADO]:[Otros / No Grav.]])</f>
        <v>3992.2281000000003</v>
      </c>
      <c r="Q114" s="227" t="str">
        <f>IFERROR(IF(compras_mes8[[#This Row],[CUIT]]="","-",VLOOKUP(compras_mes8[[#This Row],[CUIT]],Lista_CUIT[#All],3,0)),"CUIT NO CARGADO")</f>
        <v>SERVICIOS</v>
      </c>
      <c r="R114" s="227">
        <f>IFERROR(IF(compras_mes8[[#This Row],[CUIT]]="","-",VLOOKUP(compras_mes8[[#This Row],[CUIT]],Lista_CUIT[#All],4,0)),"CUIT NO CARGADO")</f>
        <v>0</v>
      </c>
    </row>
    <row r="115" spans="2:18" x14ac:dyDescent="0.25">
      <c r="B115" s="40">
        <v>45169</v>
      </c>
      <c r="C115" s="41">
        <v>1</v>
      </c>
      <c r="D115" s="42">
        <v>5</v>
      </c>
      <c r="E115" s="43">
        <v>851</v>
      </c>
      <c r="F115" s="44">
        <v>20242126158</v>
      </c>
      <c r="G115" s="45" t="str">
        <f>IFERROR(IF(compras_mes8[[#This Row],[CUIT]]="","-",VLOOKUP(compras_mes8[[#This Row],[CUIT]],Lista_CUIT[#All],2,0)),"CUIT NO CARGADO")</f>
        <v>IALLONARDO SERGIO</v>
      </c>
      <c r="H115" s="46">
        <v>620542.5</v>
      </c>
      <c r="I115" s="85"/>
      <c r="J115" s="85"/>
      <c r="K115" s="85">
        <v>65156.959999999999</v>
      </c>
      <c r="L115" s="85"/>
      <c r="M115" s="85"/>
      <c r="N115" s="85"/>
      <c r="O115" s="85"/>
      <c r="P115" s="48">
        <f>SUM(compras_mes8[[#This Row],[NETO GRAVADO]:[Otros / No Grav.]])</f>
        <v>685699.46</v>
      </c>
      <c r="Q115" s="49" t="str">
        <f>IFERROR(IF(compras_mes8[[#This Row],[CUIT]]="","-",VLOOKUP(compras_mes8[[#This Row],[CUIT]],Lista_CUIT[#All],3,0)),"CUIT NO CARGADO")</f>
        <v>PROD ORTOP P/ALQ</v>
      </c>
      <c r="R115" s="49">
        <f>IFERROR(IF(compras_mes8[[#This Row],[CUIT]]="","-",VLOOKUP(compras_mes8[[#This Row],[CUIT]],Lista_CUIT[#All],4,0)),"CUIT NO CARGADO")</f>
        <v>0</v>
      </c>
    </row>
    <row r="116" spans="2:18" x14ac:dyDescent="0.25">
      <c r="B116" s="40">
        <v>45169</v>
      </c>
      <c r="C116" s="41">
        <v>1</v>
      </c>
      <c r="D116" s="42">
        <v>17</v>
      </c>
      <c r="E116" s="43">
        <v>1268</v>
      </c>
      <c r="F116" s="44">
        <v>30711764921</v>
      </c>
      <c r="G116" s="45" t="str">
        <f>IFERROR(IF(compras_mes8[[#This Row],[CUIT]]="","-",VLOOKUP(compras_mes8[[#This Row],[CUIT]],Lista_CUIT[#All],2,0)),"CUIT NO CARGADO")</f>
        <v>RELIEF CENTER SRL</v>
      </c>
      <c r="H116" s="46">
        <v>58484</v>
      </c>
      <c r="I116" s="85">
        <f>IF(compras_mes8[[#This Row],[NETO GRAVADO]]="","",compras_mes8[[#This Row],[NETO GRAVADO]]*0.21)</f>
        <v>12281.64</v>
      </c>
      <c r="J116" s="85"/>
      <c r="K116" s="85"/>
      <c r="L116" s="85"/>
      <c r="M116" s="85"/>
      <c r="N116" s="85"/>
      <c r="O116" s="85"/>
      <c r="P116" s="48">
        <f>SUM(compras_mes8[[#This Row],[NETO GRAVADO]:[Otros / No Grav.]])</f>
        <v>70765.64</v>
      </c>
      <c r="Q116" s="49" t="str">
        <f>IFERROR(IF(compras_mes8[[#This Row],[CUIT]]="","-",VLOOKUP(compras_mes8[[#This Row],[CUIT]],Lista_CUIT[#All],3,0)),"CUIT NO CARGADO")</f>
        <v>Productos Ortopedicos</v>
      </c>
      <c r="R116" s="49">
        <f>IFERROR(IF(compras_mes8[[#This Row],[CUIT]]="","-",VLOOKUP(compras_mes8[[#This Row],[CUIT]],Lista_CUIT[#All],4,0)),"CUIT NO CARGADO")</f>
        <v>0</v>
      </c>
    </row>
    <row r="117" spans="2:18" x14ac:dyDescent="0.25">
      <c r="B117" s="40">
        <v>45169</v>
      </c>
      <c r="C117" s="41">
        <v>1</v>
      </c>
      <c r="D117" s="42">
        <v>4</v>
      </c>
      <c r="E117" s="43">
        <v>66080</v>
      </c>
      <c r="F117" s="44">
        <v>33709738459</v>
      </c>
      <c r="G117" s="45" t="str">
        <f>IFERROR(IF(compras_mes8[[#This Row],[CUIT]]="","-",VLOOKUP(compras_mes8[[#This Row],[CUIT]],Lista_CUIT[#All],2,0)),"CUIT NO CARGADO")</f>
        <v>ORTOPEDICOS ALFOLATEX S.A</v>
      </c>
      <c r="H117" s="46">
        <v>138702.46</v>
      </c>
      <c r="I117" s="85">
        <f>IF(compras_mes8[[#This Row],[NETO GRAVADO]]="","",compras_mes8[[#This Row],[NETO GRAVADO]]*0.21)</f>
        <v>29127.516599999999</v>
      </c>
      <c r="J117" s="85"/>
      <c r="K117" s="85"/>
      <c r="L117" s="85"/>
      <c r="M117" s="85"/>
      <c r="N117" s="85"/>
      <c r="O117" s="85"/>
      <c r="P117" s="48">
        <f>SUM(compras_mes8[[#This Row],[NETO GRAVADO]:[Otros / No Grav.]])</f>
        <v>167829.97659999999</v>
      </c>
      <c r="Q117" s="49" t="str">
        <f>IFERROR(IF(compras_mes8[[#This Row],[CUIT]]="","-",VLOOKUP(compras_mes8[[#This Row],[CUIT]],Lista_CUIT[#All],3,0)),"CUIT NO CARGADO")</f>
        <v>Productos Ortopedicos</v>
      </c>
      <c r="R117" s="49">
        <f>IFERROR(IF(compras_mes8[[#This Row],[CUIT]]="","-",VLOOKUP(compras_mes8[[#This Row],[CUIT]],Lista_CUIT[#All],4,0)),"CUIT NO CARGADO")</f>
        <v>0</v>
      </c>
    </row>
    <row r="118" spans="2:18" x14ac:dyDescent="0.25">
      <c r="B118" s="40">
        <v>45169</v>
      </c>
      <c r="C118" s="41">
        <v>1</v>
      </c>
      <c r="D118" s="42">
        <v>20</v>
      </c>
      <c r="E118" s="43">
        <v>159337</v>
      </c>
      <c r="F118" s="44">
        <v>30696850972</v>
      </c>
      <c r="G118" s="45" t="str">
        <f>IFERROR(IF(compras_mes8[[#This Row],[CUIT]]="","-",VLOOKUP(compras_mes8[[#This Row],[CUIT]],Lista_CUIT[#All],2,0)),"CUIT NO CARGADO")</f>
        <v>CPS COMUNICACIONES SA</v>
      </c>
      <c r="H118" s="46">
        <v>5136.2</v>
      </c>
      <c r="I118" s="85"/>
      <c r="J118" s="85">
        <v>1386.77</v>
      </c>
      <c r="K118" s="85"/>
      <c r="L118" s="85"/>
      <c r="M118" s="85"/>
      <c r="N118" s="85">
        <v>179.77</v>
      </c>
      <c r="O118" s="85"/>
      <c r="P118" s="48">
        <f>SUM(compras_mes8[[#This Row],[NETO GRAVADO]:[Otros / No Grav.]])</f>
        <v>6702.74</v>
      </c>
      <c r="Q118" s="49" t="str">
        <f>IFERROR(IF(compras_mes8[[#This Row],[CUIT]]="","-",VLOOKUP(compras_mes8[[#This Row],[CUIT]],Lista_CUIT[#All],3,0)),"CUIT NO CARGADO")</f>
        <v>SERVICIO DE TELEFONIA</v>
      </c>
      <c r="R118" s="49">
        <f>IFERROR(IF(compras_mes8[[#This Row],[CUIT]]="","-",VLOOKUP(compras_mes8[[#This Row],[CUIT]],Lista_CUIT[#All],4,0)),"CUIT NO CARGADO")</f>
        <v>0</v>
      </c>
    </row>
    <row r="119" spans="2:18" x14ac:dyDescent="0.25">
      <c r="B119" s="219">
        <v>45169</v>
      </c>
      <c r="C119" s="209">
        <v>1</v>
      </c>
      <c r="D119" s="220">
        <v>23</v>
      </c>
      <c r="E119" s="221">
        <v>1578110</v>
      </c>
      <c r="F119" s="222">
        <v>30703088534</v>
      </c>
      <c r="G119" s="223" t="str">
        <f>IFERROR(IF(compras_mes8[[#This Row],[CUIT]]="","-",VLOOKUP(compras_mes8[[#This Row],[CUIT]],Lista_CUIT[#All],2,0)),"CUIT NO CARGADO")</f>
        <v>MERCADO LIBRE SRL</v>
      </c>
      <c r="H119" s="224">
        <v>12588.33</v>
      </c>
      <c r="I119" s="225">
        <f>IF(compras_mes8[[#This Row],[NETO GRAVADO]]="","",compras_mes8[[#This Row],[NETO GRAVADO]]*0.21)</f>
        <v>2643.5492999999997</v>
      </c>
      <c r="J119" s="225"/>
      <c r="K119" s="225"/>
      <c r="L119" s="225"/>
      <c r="M119" s="225"/>
      <c r="N119" s="225"/>
      <c r="O119" s="225">
        <v>818.24</v>
      </c>
      <c r="P119" s="226">
        <f>SUM(compras_mes8[[#This Row],[NETO GRAVADO]:[Otros / No Grav.]])</f>
        <v>16050.1193</v>
      </c>
      <c r="Q119" s="227" t="str">
        <f>IFERROR(IF(compras_mes8[[#This Row],[CUIT]]="","-",VLOOKUP(compras_mes8[[#This Row],[CUIT]],Lista_CUIT[#All],3,0)),"CUIT NO CARGADO")</f>
        <v>GASTOS COMERCIALIZACION</v>
      </c>
      <c r="R119" s="227">
        <f>IFERROR(IF(compras_mes8[[#This Row],[CUIT]]="","-",VLOOKUP(compras_mes8[[#This Row],[CUIT]],Lista_CUIT[#All],4,0)),"CUIT NO CARGADO")</f>
        <v>0</v>
      </c>
    </row>
    <row r="120" spans="2:18" x14ac:dyDescent="0.25">
      <c r="B120" s="219">
        <v>45169</v>
      </c>
      <c r="C120" s="209">
        <v>1</v>
      </c>
      <c r="D120" s="220">
        <v>6</v>
      </c>
      <c r="E120" s="221">
        <v>14679997</v>
      </c>
      <c r="F120" s="222">
        <v>30620177497</v>
      </c>
      <c r="G120" s="223" t="str">
        <f>IFERROR(IF(compras_mes8[[#This Row],[CUIT]]="","-",VLOOKUP(compras_mes8[[#This Row],[CUIT]],Lista_CUIT[#All],2,0)),"CUIT NO CARGADO")</f>
        <v>POSNET SOCIEDAD DE RESPONSABILIDAD LIMITADA</v>
      </c>
      <c r="H120" s="224">
        <v>7335.7</v>
      </c>
      <c r="I120" s="225">
        <f>IF(compras_mes8[[#This Row],[NETO GRAVADO]]="","",compras_mes8[[#This Row],[NETO GRAVADO]]*0.21)</f>
        <v>1540.4969999999998</v>
      </c>
      <c r="J120" s="225"/>
      <c r="K120" s="225"/>
      <c r="L120" s="225"/>
      <c r="M120" s="225"/>
      <c r="N120" s="225">
        <v>476.82</v>
      </c>
      <c r="O120" s="225"/>
      <c r="P120" s="226">
        <f>SUM(compras_mes8[[#This Row],[NETO GRAVADO]:[Otros / No Grav.]])</f>
        <v>9353.0169999999998</v>
      </c>
      <c r="Q120" s="227" t="str">
        <f>IFERROR(IF(compras_mes8[[#This Row],[CUIT]]="","-",VLOOKUP(compras_mes8[[#This Row],[CUIT]],Lista_CUIT[#All],3,0)),"CUIT NO CARGADO")</f>
        <v>GASTOS VARIOS</v>
      </c>
      <c r="R120" s="227">
        <f>IFERROR(IF(compras_mes8[[#This Row],[CUIT]]="","-",VLOOKUP(compras_mes8[[#This Row],[CUIT]],Lista_CUIT[#All],4,0)),"CUIT NO CARGADO")</f>
        <v>0</v>
      </c>
    </row>
    <row r="121" spans="2:18" x14ac:dyDescent="0.25">
      <c r="B121" s="96" t="s">
        <v>110</v>
      </c>
      <c r="C121" s="96"/>
      <c r="D121" s="96"/>
      <c r="E121" s="96"/>
      <c r="F121" s="96"/>
      <c r="G121" s="97"/>
      <c r="H121" s="98">
        <f>SUBTOTAL(109,compras_mes8[NETO GRAVADO])</f>
        <v>24401994.09</v>
      </c>
      <c r="I121" s="98">
        <f>SUBTOTAL(109,compras_mes8[IVA 21 %])</f>
        <v>4785918.5066999979</v>
      </c>
      <c r="J121" s="98">
        <f>SUBTOTAL(109,compras_mes8[IVA 27%])</f>
        <v>6376.65</v>
      </c>
      <c r="K121" s="98">
        <f>SUBTOTAL(109,compras_mes8[IVA 10,5%])</f>
        <v>166770.32</v>
      </c>
      <c r="L121" s="98">
        <f>SUBTOTAL(109,compras_mes8[PERC. IVA])</f>
        <v>2393.5700000000002</v>
      </c>
      <c r="M121" s="98">
        <f>SUBTOTAL(109,compras_mes8[PERC IIBB 
BS AS])</f>
        <v>261.27999999999997</v>
      </c>
      <c r="N121" s="98">
        <f>SUBTOTAL(109,compras_mes8[PERC. IIBB CABA])</f>
        <v>6975.0899999999992</v>
      </c>
      <c r="O121" s="98">
        <f>SUBTOTAL(109,compras_mes8[Otros / No Grav.])</f>
        <v>136606.91</v>
      </c>
      <c r="P121" s="98">
        <f>SUBTOTAL(109,compras_mes8[TOTAL])</f>
        <v>29507296.416700002</v>
      </c>
      <c r="Q121" s="96"/>
      <c r="R121" s="96"/>
    </row>
    <row r="122" spans="2:18" x14ac:dyDescent="0.25">
      <c r="B122" s="40"/>
      <c r="C122" s="41"/>
      <c r="D122" s="42"/>
      <c r="E122" s="43"/>
      <c r="F122" s="44"/>
      <c r="G122" s="45"/>
      <c r="H122" s="46"/>
      <c r="I122" s="47"/>
      <c r="J122" s="47"/>
      <c r="K122" s="47"/>
      <c r="L122" s="47"/>
      <c r="M122" s="47"/>
      <c r="N122" s="47"/>
      <c r="O122" s="47"/>
      <c r="P122" s="48"/>
      <c r="Q122" s="49"/>
      <c r="R122" s="49"/>
    </row>
    <row r="123" spans="2:18" x14ac:dyDescent="0.25">
      <c r="B123" s="40"/>
      <c r="C123" s="41"/>
      <c r="D123" s="42"/>
      <c r="E123" s="43"/>
      <c r="F123" s="44"/>
      <c r="G123" s="45"/>
      <c r="H123" s="46"/>
      <c r="I123" s="47"/>
      <c r="J123" s="47"/>
      <c r="K123" s="47"/>
      <c r="L123" s="47"/>
      <c r="M123" s="47"/>
      <c r="N123" s="47"/>
      <c r="O123" s="47"/>
      <c r="P123" s="48"/>
      <c r="Q123" s="49"/>
      <c r="R123" s="49"/>
    </row>
    <row r="124" spans="2:18" x14ac:dyDescent="0.25">
      <c r="B124" s="40"/>
      <c r="C124" s="41"/>
      <c r="D124" s="42"/>
      <c r="E124" s="43"/>
      <c r="F124" s="44"/>
      <c r="G124" s="45"/>
      <c r="H124" s="46"/>
      <c r="I124" s="47"/>
      <c r="J124" s="47"/>
      <c r="K124" s="47"/>
      <c r="L124" s="47"/>
      <c r="M124" s="47"/>
      <c r="N124" s="47"/>
      <c r="O124" s="47"/>
      <c r="P124" s="48"/>
      <c r="Q124" s="49"/>
      <c r="R124" s="49"/>
    </row>
    <row r="125" spans="2:18" x14ac:dyDescent="0.25">
      <c r="B125" s="40"/>
      <c r="C125" s="41"/>
      <c r="D125" s="42"/>
      <c r="E125" s="43"/>
      <c r="F125" s="44"/>
      <c r="G125" s="45"/>
      <c r="H125" s="46"/>
      <c r="I125" s="47"/>
      <c r="J125" s="47"/>
      <c r="K125" s="47"/>
      <c r="L125" s="47"/>
    </row>
    <row r="126" spans="2:18" ht="21" x14ac:dyDescent="0.25">
      <c r="D126" s="524" t="s">
        <v>15</v>
      </c>
      <c r="E126" s="524"/>
      <c r="F126" s="524"/>
      <c r="G126" s="524"/>
      <c r="H126" s="524"/>
      <c r="I126" s="524"/>
      <c r="J126" s="524"/>
      <c r="K126" s="524"/>
      <c r="L126" s="524"/>
    </row>
    <row r="127" spans="2:18" ht="15.75" x14ac:dyDescent="0.25">
      <c r="D127" s="73" t="s">
        <v>0</v>
      </c>
      <c r="E127" s="74" t="s">
        <v>26</v>
      </c>
      <c r="F127" s="74" t="s">
        <v>16</v>
      </c>
      <c r="G127" s="74" t="s">
        <v>5</v>
      </c>
      <c r="H127" s="74" t="s">
        <v>17</v>
      </c>
      <c r="I127" s="74" t="s">
        <v>7</v>
      </c>
      <c r="J127" s="75" t="s">
        <v>18</v>
      </c>
      <c r="K127" s="75" t="s">
        <v>19</v>
      </c>
      <c r="L127" s="76" t="s">
        <v>20</v>
      </c>
    </row>
    <row r="128" spans="2:18" x14ac:dyDescent="0.25">
      <c r="D128" s="50">
        <v>45169</v>
      </c>
      <c r="E128" s="80">
        <v>31082023</v>
      </c>
      <c r="F128" s="80" t="s">
        <v>2227</v>
      </c>
      <c r="G128" s="81">
        <f>24+2.5+49+2.5+70+302.5+150+16+70+2.5+4600+500+16</f>
        <v>5805</v>
      </c>
      <c r="H128" s="81">
        <f>extracto_banco_mes8[[#This Row],[NETO]]*0.21</f>
        <v>1219.05</v>
      </c>
      <c r="I128" s="81"/>
      <c r="J128" s="81">
        <v>161</v>
      </c>
      <c r="K128" s="81"/>
      <c r="L128" s="81"/>
    </row>
    <row r="129" spans="2:18" x14ac:dyDescent="0.25">
      <c r="D129" s="50"/>
      <c r="E129" s="79"/>
      <c r="F129" s="80"/>
      <c r="G129" s="81"/>
      <c r="H129" s="81">
        <f>extracto_banco_mes8[[#This Row],[NETO]]*0.21</f>
        <v>0</v>
      </c>
      <c r="I129" s="81"/>
      <c r="J129" s="81"/>
      <c r="K129" s="81"/>
      <c r="L129" s="81"/>
    </row>
    <row r="130" spans="2:18" x14ac:dyDescent="0.25">
      <c r="D130" s="50"/>
      <c r="E130" s="79"/>
      <c r="F130" s="80"/>
      <c r="G130" s="81"/>
      <c r="H130" s="81">
        <f>extracto_banco_mes8[[#This Row],[NETO]]*0.21</f>
        <v>0</v>
      </c>
      <c r="I130" s="81"/>
      <c r="J130" s="81"/>
      <c r="K130" s="81"/>
      <c r="L130" s="81"/>
    </row>
    <row r="131" spans="2:18" x14ac:dyDescent="0.25">
      <c r="D131" s="82" t="s">
        <v>110</v>
      </c>
      <c r="E131" s="80"/>
      <c r="F131" s="80"/>
      <c r="G131" s="83">
        <f>SUBTOTAL(109,extracto_banco_mes8[NETO])</f>
        <v>5805</v>
      </c>
      <c r="H131" s="83">
        <f>SUBTOTAL(109,extracto_banco_mes8[IVA 21%])</f>
        <v>1219.05</v>
      </c>
      <c r="I131" s="83">
        <f>SUBTOTAL(109,extracto_banco_mes8[IVA 10,5%])</f>
        <v>0</v>
      </c>
      <c r="J131" s="83">
        <f>SUBTOTAL(109,extracto_banco_mes8[RET IIBB CABA])</f>
        <v>161</v>
      </c>
      <c r="K131" s="83">
        <f>SUBTOTAL(109,extracto_banco_mes8[PERC IVA])</f>
        <v>0</v>
      </c>
      <c r="L131" s="83">
        <f>SUBTOTAL(109,extracto_banco_mes8[PERC IIBB])</f>
        <v>0</v>
      </c>
    </row>
    <row r="135" spans="2:18" ht="21" x14ac:dyDescent="0.25">
      <c r="D135" s="524" t="s">
        <v>25</v>
      </c>
      <c r="E135" s="524"/>
      <c r="F135" s="524"/>
      <c r="G135" s="524"/>
      <c r="H135" s="524"/>
      <c r="I135" s="524"/>
      <c r="J135" s="524"/>
      <c r="K135" s="524"/>
    </row>
    <row r="136" spans="2:18" x14ac:dyDescent="0.25">
      <c r="D136" s="51" t="s">
        <v>0</v>
      </c>
      <c r="E136" s="51" t="s">
        <v>2</v>
      </c>
      <c r="F136" s="51" t="s">
        <v>74</v>
      </c>
      <c r="G136" s="51" t="s">
        <v>3</v>
      </c>
      <c r="H136" s="51" t="s">
        <v>4</v>
      </c>
      <c r="I136" s="52" t="s">
        <v>10</v>
      </c>
      <c r="J136" s="51" t="s">
        <v>13</v>
      </c>
      <c r="K136" s="51" t="s">
        <v>38</v>
      </c>
    </row>
    <row r="137" spans="2:18" x14ac:dyDescent="0.25">
      <c r="D137" s="50">
        <v>45139</v>
      </c>
      <c r="E137" s="42">
        <v>3</v>
      </c>
      <c r="F137" s="43">
        <v>257</v>
      </c>
      <c r="G137" s="44">
        <v>23306035444</v>
      </c>
      <c r="H137" s="53" t="str">
        <f>IFERROR(IF(factura_c_mes8[[#This Row],[CUIT]]="","-",VLOOKUP(factura_c_mes8[[#This Row],[CUIT]],Lista_CUIT[#All],2,0)),"CUIT NO CARGADO")</f>
        <v>NADIA TARANTINO</v>
      </c>
      <c r="I137" s="459">
        <v>25615</v>
      </c>
      <c r="J137" s="54" t="str">
        <f>IFERROR(IF(factura_c_mes8[[#This Row],[CUIT]]="","-",VLOOKUP(factura_c_mes8[[#This Row],[CUIT]],Lista_CUIT[#All],3,0)),"CUIT NO CARGADO")</f>
        <v>GASTOS CONTABLES</v>
      </c>
      <c r="K137" s="54">
        <f>IFERROR(IF(factura_c_mes8[[#This Row],[CUIT]]="","-",VLOOKUP(factura_c_mes8[[#This Row],[CUIT]],Lista_CUIT[#All],4,0)),"CUIT NO CARGADO")</f>
        <v>0</v>
      </c>
    </row>
    <row r="138" spans="2:18" x14ac:dyDescent="0.25">
      <c r="D138" s="50">
        <v>45140</v>
      </c>
      <c r="E138" s="42">
        <v>3</v>
      </c>
      <c r="F138" s="43">
        <v>758</v>
      </c>
      <c r="G138" s="44">
        <v>20086277523</v>
      </c>
      <c r="H138" s="53" t="str">
        <f>IFERROR(IF(factura_c_mes8[[#This Row],[CUIT]]="","-",VLOOKUP(factura_c_mes8[[#This Row],[CUIT]],Lista_CUIT[#All],2,0)),"CUIT NO CARGADO")</f>
        <v>BOTINDARI JUAN CARLOS</v>
      </c>
      <c r="I138" s="460">
        <v>118200</v>
      </c>
      <c r="J138" s="54" t="str">
        <f>IFERROR(IF(factura_c_mes8[[#This Row],[CUIT]]="","-",VLOOKUP(factura_c_mes8[[#This Row],[CUIT]],Lista_CUIT[#All],3,0)),"CUIT NO CARGADO")</f>
        <v>HONORARIOS CONTABLES</v>
      </c>
      <c r="K138" s="54">
        <f>IFERROR(IF(factura_c_mes8[[#This Row],[CUIT]]="","-",VLOOKUP(factura_c_mes8[[#This Row],[CUIT]],Lista_CUIT[#All],4,0)),"CUIT NO CARGADO")</f>
        <v>0</v>
      </c>
    </row>
    <row r="139" spans="2:18" x14ac:dyDescent="0.25">
      <c r="D139" s="50">
        <v>45141</v>
      </c>
      <c r="E139" s="42">
        <v>2</v>
      </c>
      <c r="F139" s="43">
        <v>480</v>
      </c>
      <c r="G139" s="44">
        <v>27299725761</v>
      </c>
      <c r="H139" s="53" t="str">
        <f>IFERROR(IF(factura_c_mes8[[#This Row],[CUIT]]="","-",VLOOKUP(factura_c_mes8[[#This Row],[CUIT]],Lista_CUIT[#All],2,0)),"CUIT NO CARGADO")</f>
        <v>TURSARKISIAN MISISIAN VERONICA GEMA</v>
      </c>
      <c r="I139" s="460">
        <v>65000</v>
      </c>
      <c r="J139" s="54" t="str">
        <f>IFERROR(IF(factura_c_mes8[[#This Row],[CUIT]]="","-",VLOOKUP(factura_c_mes8[[#This Row],[CUIT]],Lista_CUIT[#All],3,0)),"CUIT NO CARGADO")</f>
        <v>Productos Ortopedicos</v>
      </c>
      <c r="K139" s="54">
        <f>IFERROR(IF(factura_c_mes8[[#This Row],[CUIT]]="","-",VLOOKUP(factura_c_mes8[[#This Row],[CUIT]],Lista_CUIT[#All],4,0)),"CUIT NO CARGADO")</f>
        <v>0</v>
      </c>
    </row>
    <row r="140" spans="2:18" s="56" customFormat="1" ht="18.600000000000001" customHeight="1" x14ac:dyDescent="0.25">
      <c r="B140"/>
      <c r="C140"/>
      <c r="D140" s="50">
        <v>45141</v>
      </c>
      <c r="E140" s="42">
        <v>2</v>
      </c>
      <c r="F140" s="43">
        <v>479</v>
      </c>
      <c r="G140" s="44">
        <v>27299725761</v>
      </c>
      <c r="H140" s="53" t="str">
        <f>IFERROR(IF(factura_c_mes8[[#This Row],[CUIT]]="","-",VLOOKUP(factura_c_mes8[[#This Row],[CUIT]],Lista_CUIT[#All],2,0)),"CUIT NO CARGADO")</f>
        <v>TURSARKISIAN MISISIAN VERONICA GEMA</v>
      </c>
      <c r="I140" s="460">
        <v>30000</v>
      </c>
      <c r="J140" s="54" t="str">
        <f>IFERROR(IF(factura_c_mes8[[#This Row],[CUIT]]="","-",VLOOKUP(factura_c_mes8[[#This Row],[CUIT]],Lista_CUIT[#All],3,0)),"CUIT NO CARGADO")</f>
        <v>Productos Ortopedicos</v>
      </c>
      <c r="K140" s="54">
        <f>IFERROR(IF(factura_c_mes8[[#This Row],[CUIT]]="","-",VLOOKUP(factura_c_mes8[[#This Row],[CUIT]],Lista_CUIT[#All],4,0)),"CUIT NO CARGADO")</f>
        <v>0</v>
      </c>
      <c r="L140"/>
      <c r="M140"/>
      <c r="N140"/>
      <c r="O140"/>
      <c r="P140"/>
      <c r="Q140"/>
      <c r="R140"/>
    </row>
    <row r="141" spans="2:18" x14ac:dyDescent="0.25">
      <c r="D141" s="50">
        <v>45141</v>
      </c>
      <c r="E141" s="42">
        <v>1</v>
      </c>
      <c r="F141" s="43">
        <v>258</v>
      </c>
      <c r="G141" s="44">
        <v>23255855204</v>
      </c>
      <c r="H141" s="53" t="str">
        <f>IFERROR(IF(factura_c_mes8[[#This Row],[CUIT]]="","-",VLOOKUP(factura_c_mes8[[#This Row],[CUIT]],Lista_CUIT[#All],2,0)),"CUIT NO CARGADO")</f>
        <v>CABELLO LETICIA JESICA</v>
      </c>
      <c r="I141" s="460">
        <v>6000</v>
      </c>
      <c r="J141" s="54" t="str">
        <f>IFERROR(IF(factura_c_mes8[[#This Row],[CUIT]]="","-",VLOOKUP(factura_c_mes8[[#This Row],[CUIT]],Lista_CUIT[#All],3,0)),"CUIT NO CARGADO")</f>
        <v>ALQUILERES</v>
      </c>
      <c r="K141" s="54">
        <f>IFERROR(IF(factura_c_mes8[[#This Row],[CUIT]]="","-",VLOOKUP(factura_c_mes8[[#This Row],[CUIT]],Lista_CUIT[#All],4,0)),"CUIT NO CARGADO")</f>
        <v>0</v>
      </c>
    </row>
    <row r="142" spans="2:18" x14ac:dyDescent="0.25">
      <c r="D142" s="50">
        <v>45141</v>
      </c>
      <c r="E142" s="42">
        <v>1</v>
      </c>
      <c r="F142" s="43">
        <v>52</v>
      </c>
      <c r="G142" s="44">
        <v>20299835260</v>
      </c>
      <c r="H142" s="53" t="str">
        <f>IFERROR(IF(factura_c_mes8[[#This Row],[CUIT]]="","-",VLOOKUP(factura_c_mes8[[#This Row],[CUIT]],Lista_CUIT[#All],2,0)),"CUIT NO CARGADO")</f>
        <v>MALGAREJO NICOLAS EMILIO</v>
      </c>
      <c r="I142" s="460">
        <v>50000</v>
      </c>
      <c r="J142" s="54" t="str">
        <f>IFERROR(IF(factura_c_mes8[[#This Row],[CUIT]]="","-",VLOOKUP(factura_c_mes8[[#This Row],[CUIT]],Lista_CUIT[#All],3,0)),"CUIT NO CARGADO")</f>
        <v>Productos Ortopedicos</v>
      </c>
      <c r="K142" s="54">
        <f>IFERROR(IF(factura_c_mes8[[#This Row],[CUIT]]="","-",VLOOKUP(factura_c_mes8[[#This Row],[CUIT]],Lista_CUIT[#All],4,0)),"CUIT NO CARGADO")</f>
        <v>0</v>
      </c>
    </row>
    <row r="143" spans="2:18" x14ac:dyDescent="0.25">
      <c r="D143" s="50">
        <v>45141</v>
      </c>
      <c r="E143" s="42">
        <v>1</v>
      </c>
      <c r="F143" s="43">
        <v>53</v>
      </c>
      <c r="G143" s="44">
        <v>20299835260</v>
      </c>
      <c r="H143" s="53" t="str">
        <f>IFERROR(IF(factura_c_mes8[[#This Row],[CUIT]]="","-",VLOOKUP(factura_c_mes8[[#This Row],[CUIT]],Lista_CUIT[#All],2,0)),"CUIT NO CARGADO")</f>
        <v>MALGAREJO NICOLAS EMILIO</v>
      </c>
      <c r="I143" s="460">
        <v>76000</v>
      </c>
      <c r="J143" s="54" t="str">
        <f>IFERROR(IF(factura_c_mes8[[#This Row],[CUIT]]="","-",VLOOKUP(factura_c_mes8[[#This Row],[CUIT]],Lista_CUIT[#All],3,0)),"CUIT NO CARGADO")</f>
        <v>Productos Ortopedicos</v>
      </c>
      <c r="K143" s="54">
        <f>IFERROR(IF(factura_c_mes8[[#This Row],[CUIT]]="","-",VLOOKUP(factura_c_mes8[[#This Row],[CUIT]],Lista_CUIT[#All],4,0)),"CUIT NO CARGADO")</f>
        <v>0</v>
      </c>
    </row>
    <row r="144" spans="2:18" x14ac:dyDescent="0.25">
      <c r="D144" s="50">
        <v>45143</v>
      </c>
      <c r="E144" s="42">
        <v>1</v>
      </c>
      <c r="F144" s="43">
        <v>58</v>
      </c>
      <c r="G144" s="44">
        <v>20426451167</v>
      </c>
      <c r="H144" s="53" t="str">
        <f>IFERROR(IF(factura_c_mes8[[#This Row],[CUIT]]="","-",VLOOKUP(factura_c_mes8[[#This Row],[CUIT]],Lista_CUIT[#All],2,0)),"CUIT NO CARGADO")</f>
        <v>NUNEZ MATIAS YOEL</v>
      </c>
      <c r="I144" s="459">
        <v>4000</v>
      </c>
      <c r="J144" s="54" t="str">
        <f>IFERROR(IF(factura_c_mes8[[#This Row],[CUIT]]="","-",VLOOKUP(factura_c_mes8[[#This Row],[CUIT]],Lista_CUIT[#All],3,0)),"CUIT NO CARGADO")</f>
        <v>FLETE</v>
      </c>
      <c r="K144" s="54">
        <f>IFERROR(IF(factura_c_mes8[[#This Row],[CUIT]]="","-",VLOOKUP(factura_c_mes8[[#This Row],[CUIT]],Lista_CUIT[#All],4,0)),"CUIT NO CARGADO")</f>
        <v>0</v>
      </c>
    </row>
    <row r="145" spans="4:11" x14ac:dyDescent="0.25">
      <c r="D145" s="50">
        <v>45145</v>
      </c>
      <c r="E145" s="42">
        <v>2</v>
      </c>
      <c r="F145" s="43">
        <v>204</v>
      </c>
      <c r="G145" s="44">
        <v>27265832178</v>
      </c>
      <c r="H145" s="53" t="str">
        <f>IFERROR(IF(factura_c_mes8[[#This Row],[CUIT]]="","-",VLOOKUP(factura_c_mes8[[#This Row],[CUIT]],Lista_CUIT[#All],2,0)),"CUIT NO CARGADO")</f>
        <v>BLASCO MARIA GUADALUPE</v>
      </c>
      <c r="I145" s="459">
        <v>150000</v>
      </c>
      <c r="J145" s="54" t="str">
        <f>IFERROR(IF(factura_c_mes8[[#This Row],[CUIT]]="","-",VLOOKUP(factura_c_mes8[[#This Row],[CUIT]],Lista_CUIT[#All],3,0)),"CUIT NO CARGADO")</f>
        <v>Gastos Varios</v>
      </c>
      <c r="K145" s="54">
        <f>IFERROR(IF(factura_c_mes8[[#This Row],[CUIT]]="","-",VLOOKUP(factura_c_mes8[[#This Row],[CUIT]],Lista_CUIT[#All],4,0)),"CUIT NO CARGADO")</f>
        <v>0</v>
      </c>
    </row>
    <row r="146" spans="4:11" x14ac:dyDescent="0.25">
      <c r="D146" s="50">
        <v>45145</v>
      </c>
      <c r="E146" s="42">
        <v>5</v>
      </c>
      <c r="F146" s="43">
        <v>151</v>
      </c>
      <c r="G146" s="44">
        <v>27062343449</v>
      </c>
      <c r="H146" s="53" t="str">
        <f>IFERROR(IF(factura_c_mes8[[#This Row],[CUIT]]="","-",VLOOKUP(factura_c_mes8[[#This Row],[CUIT]],Lista_CUIT[#All],2,0)),"CUIT NO CARGADO")</f>
        <v>FERREIRS LILISNS INES</v>
      </c>
      <c r="I146" s="459">
        <v>135000</v>
      </c>
      <c r="J146" s="54" t="str">
        <f>IFERROR(IF(factura_c_mes8[[#This Row],[CUIT]]="","-",VLOOKUP(factura_c_mes8[[#This Row],[CUIT]],Lista_CUIT[#All],3,0)),"CUIT NO CARGADO")</f>
        <v>ALQUILERES</v>
      </c>
      <c r="K146" s="54">
        <f>IFERROR(IF(factura_c_mes8[[#This Row],[CUIT]]="","-",VLOOKUP(factura_c_mes8[[#This Row],[CUIT]],Lista_CUIT[#All],4,0)),"CUIT NO CARGADO")</f>
        <v>0</v>
      </c>
    </row>
    <row r="147" spans="4:11" ht="22.5" customHeight="1" x14ac:dyDescent="0.25">
      <c r="D147" s="50">
        <v>45146</v>
      </c>
      <c r="E147" s="42">
        <v>2</v>
      </c>
      <c r="F147" s="43">
        <v>611</v>
      </c>
      <c r="G147" s="44">
        <v>20400104094</v>
      </c>
      <c r="H147" s="53" t="str">
        <f>IFERROR(IF(factura_c_mes8[[#This Row],[CUIT]]="","-",VLOOKUP(factura_c_mes8[[#This Row],[CUIT]],Lista_CUIT[#All],2,0)),"CUIT NO CARGADO")</f>
        <v>FEDERICO BOTINDARI</v>
      </c>
      <c r="I147" s="459">
        <v>354600</v>
      </c>
      <c r="J147" s="54" t="str">
        <f>IFERROR(IF(factura_c_mes8[[#This Row],[CUIT]]="","-",VLOOKUP(factura_c_mes8[[#This Row],[CUIT]],Lista_CUIT[#All],3,0)),"CUIT NO CARGADO")</f>
        <v>HONORARIOS CONTABLES</v>
      </c>
      <c r="K147" s="54">
        <f>IFERROR(IF(factura_c_mes8[[#This Row],[CUIT]]="","-",VLOOKUP(factura_c_mes8[[#This Row],[CUIT]],Lista_CUIT[#All],4,0)),"CUIT NO CARGADO")</f>
        <v>0</v>
      </c>
    </row>
    <row r="148" spans="4:11" x14ac:dyDescent="0.25">
      <c r="D148" s="50">
        <v>45146</v>
      </c>
      <c r="E148" s="42">
        <v>1</v>
      </c>
      <c r="F148" s="43">
        <v>39</v>
      </c>
      <c r="G148" s="44">
        <v>20403969886</v>
      </c>
      <c r="H148" s="53" t="str">
        <f>IFERROR(IF(factura_c_mes8[[#This Row],[CUIT]]="","-",VLOOKUP(factura_c_mes8[[#This Row],[CUIT]],Lista_CUIT[#All],2,0)),"CUIT NO CARGADO")</f>
        <v>DEL GESSO FRANCO JESUS</v>
      </c>
      <c r="I148" s="459">
        <v>291835</v>
      </c>
      <c r="J148" s="54" t="str">
        <f>IFERROR(IF(factura_c_mes8[[#This Row],[CUIT]]="","-",VLOOKUP(factura_c_mes8[[#This Row],[CUIT]],Lista_CUIT[#All],3,0)),"CUIT NO CARGADO")</f>
        <v>GASTOS ADMINISTRATIVOS</v>
      </c>
      <c r="K148" s="54">
        <f>IFERROR(IF(factura_c_mes8[[#This Row],[CUIT]]="","-",VLOOKUP(factura_c_mes8[[#This Row],[CUIT]],Lista_CUIT[#All],4,0)),"CUIT NO CARGADO")</f>
        <v>0</v>
      </c>
    </row>
    <row r="149" spans="4:11" ht="18" customHeight="1" x14ac:dyDescent="0.25">
      <c r="D149" s="50">
        <v>45146</v>
      </c>
      <c r="E149" s="42">
        <v>5</v>
      </c>
      <c r="F149" s="43">
        <v>152</v>
      </c>
      <c r="G149" s="44">
        <v>27062343449</v>
      </c>
      <c r="H149" s="53" t="str">
        <f>IFERROR(IF(factura_c_mes8[[#This Row],[CUIT]]="","-",VLOOKUP(factura_c_mes8[[#This Row],[CUIT]],Lista_CUIT[#All],2,0)),"CUIT NO CARGADO")</f>
        <v>FERREIRS LILISNS INES</v>
      </c>
      <c r="I149" s="459">
        <v>135000</v>
      </c>
      <c r="J149" s="54" t="str">
        <f>IFERROR(IF(factura_c_mes8[[#This Row],[CUIT]]="","-",VLOOKUP(factura_c_mes8[[#This Row],[CUIT]],Lista_CUIT[#All],3,0)),"CUIT NO CARGADO")</f>
        <v>ALQUILERES</v>
      </c>
      <c r="K149" s="54">
        <f>IFERROR(IF(factura_c_mes8[[#This Row],[CUIT]]="","-",VLOOKUP(factura_c_mes8[[#This Row],[CUIT]],Lista_CUIT[#All],4,0)),"CUIT NO CARGADO")</f>
        <v>0</v>
      </c>
    </row>
    <row r="150" spans="4:11" x14ac:dyDescent="0.25">
      <c r="D150" s="50">
        <v>45147</v>
      </c>
      <c r="E150" s="42">
        <v>2</v>
      </c>
      <c r="F150" s="43">
        <v>97</v>
      </c>
      <c r="G150" s="44">
        <v>20220423655</v>
      </c>
      <c r="H150" s="53" t="str">
        <f>IFERROR(IF(factura_c_mes8[[#This Row],[CUIT]]="","-",VLOOKUP(factura_c_mes8[[#This Row],[CUIT]],Lista_CUIT[#All],2,0)),"CUIT NO CARGADO")</f>
        <v>LANDRO FERNANDO GABRIEL</v>
      </c>
      <c r="I150" s="459">
        <v>269110</v>
      </c>
      <c r="J150" s="54" t="str">
        <f>IFERROR(IF(factura_c_mes8[[#This Row],[CUIT]]="","-",VLOOKUP(factura_c_mes8[[#This Row],[CUIT]],Lista_CUIT[#All],3,0)),"CUIT NO CARGADO")</f>
        <v>GESTION COBRANZAS</v>
      </c>
      <c r="K150" s="54">
        <f>IFERROR(IF(factura_c_mes8[[#This Row],[CUIT]]="","-",VLOOKUP(factura_c_mes8[[#This Row],[CUIT]],Lista_CUIT[#All],4,0)),"CUIT NO CARGADO")</f>
        <v>0</v>
      </c>
    </row>
    <row r="151" spans="4:11" x14ac:dyDescent="0.25">
      <c r="D151" s="50">
        <v>45147</v>
      </c>
      <c r="E151" s="42">
        <v>2</v>
      </c>
      <c r="F151" s="43">
        <v>98</v>
      </c>
      <c r="G151" s="44">
        <v>20220423655</v>
      </c>
      <c r="H151" s="53" t="str">
        <f>IFERROR(IF(factura_c_mes8[[#This Row],[CUIT]]="","-",VLOOKUP(factura_c_mes8[[#This Row],[CUIT]],Lista_CUIT[#All],2,0)),"CUIT NO CARGADO")</f>
        <v>LANDRO FERNANDO GABRIEL</v>
      </c>
      <c r="I151" s="459">
        <v>266790</v>
      </c>
      <c r="J151" s="54" t="str">
        <f>IFERROR(IF(factura_c_mes8[[#This Row],[CUIT]]="","-",VLOOKUP(factura_c_mes8[[#This Row],[CUIT]],Lista_CUIT[#All],3,0)),"CUIT NO CARGADO")</f>
        <v>GESTION COBRANZAS</v>
      </c>
      <c r="K151" s="54">
        <f>IFERROR(IF(factura_c_mes8[[#This Row],[CUIT]]="","-",VLOOKUP(factura_c_mes8[[#This Row],[CUIT]],Lista_CUIT[#All],4,0)),"CUIT NO CARGADO")</f>
        <v>0</v>
      </c>
    </row>
    <row r="152" spans="4:11" x14ac:dyDescent="0.25">
      <c r="D152" s="50">
        <v>45151</v>
      </c>
      <c r="E152" s="42">
        <v>2</v>
      </c>
      <c r="F152" s="43">
        <v>61</v>
      </c>
      <c r="G152" s="44">
        <v>20314536852</v>
      </c>
      <c r="H152" s="53" t="str">
        <f>IFERROR(IF(factura_c_mes8[[#This Row],[CUIT]]="","-",VLOOKUP(factura_c_mes8[[#This Row],[CUIT]],Lista_CUIT[#All],2,0)),"CUIT NO CARGADO")</f>
        <v>FRANCESE GONZALO ROMAN</v>
      </c>
      <c r="I152" s="459">
        <v>72000</v>
      </c>
      <c r="J152" s="54" t="str">
        <f>IFERROR(IF(factura_c_mes8[[#This Row],[CUIT]]="","-",VLOOKUP(factura_c_mes8[[#This Row],[CUIT]],Lista_CUIT[#All],3,0)),"CUIT NO CARGADO")</f>
        <v>FLETE</v>
      </c>
      <c r="K152" s="54">
        <f>IFERROR(IF(factura_c_mes8[[#This Row],[CUIT]]="","-",VLOOKUP(factura_c_mes8[[#This Row],[CUIT]],Lista_CUIT[#All],4,0)),"CUIT NO CARGADO")</f>
        <v>0</v>
      </c>
    </row>
    <row r="153" spans="4:11" x14ac:dyDescent="0.25">
      <c r="D153" s="50">
        <v>45153</v>
      </c>
      <c r="E153" s="42">
        <v>1</v>
      </c>
      <c r="F153" s="43">
        <v>40</v>
      </c>
      <c r="G153" s="44">
        <v>20403969886</v>
      </c>
      <c r="H153" s="53" t="str">
        <f>IFERROR(IF(factura_c_mes8[[#This Row],[CUIT]]="","-",VLOOKUP(factura_c_mes8[[#This Row],[CUIT]],Lista_CUIT[#All],2,0)),"CUIT NO CARGADO")</f>
        <v>DEL GESSO FRANCO JESUS</v>
      </c>
      <c r="I153" s="459">
        <v>350225</v>
      </c>
      <c r="J153" s="54" t="str">
        <f>IFERROR(IF(factura_c_mes8[[#This Row],[CUIT]]="","-",VLOOKUP(factura_c_mes8[[#This Row],[CUIT]],Lista_CUIT[#All],3,0)),"CUIT NO CARGADO")</f>
        <v>GASTOS ADMINISTRATIVOS</v>
      </c>
      <c r="K153" s="54">
        <f>IFERROR(IF(factura_c_mes8[[#This Row],[CUIT]]="","-",VLOOKUP(factura_c_mes8[[#This Row],[CUIT]],Lista_CUIT[#All],4,0)),"CUIT NO CARGADO")</f>
        <v>0</v>
      </c>
    </row>
    <row r="154" spans="4:11" x14ac:dyDescent="0.25">
      <c r="D154" s="50">
        <v>45153</v>
      </c>
      <c r="E154" s="42">
        <v>3</v>
      </c>
      <c r="F154" s="43">
        <v>731</v>
      </c>
      <c r="G154" s="44">
        <v>20216451679</v>
      </c>
      <c r="H154" s="53" t="str">
        <f>IFERROR(IF(factura_c_mes8[[#This Row],[CUIT]]="","-",VLOOKUP(factura_c_mes8[[#This Row],[CUIT]],Lista_CUIT[#All],2,0)),"CUIT NO CARGADO")</f>
        <v>VAZQUEZ RICARDO OSCAR</v>
      </c>
      <c r="I154" s="459">
        <v>72000</v>
      </c>
      <c r="J154" s="54" t="str">
        <f>IFERROR(IF(factura_c_mes8[[#This Row],[CUIT]]="","-",VLOOKUP(factura_c_mes8[[#This Row],[CUIT]],Lista_CUIT[#All],3,0)),"CUIT NO CARGADO")</f>
        <v>Productos Ortopedicos</v>
      </c>
      <c r="K154" s="54">
        <f>IFERROR(IF(factura_c_mes8[[#This Row],[CUIT]]="","-",VLOOKUP(factura_c_mes8[[#This Row],[CUIT]],Lista_CUIT[#All],4,0)),"CUIT NO CARGADO")</f>
        <v>0</v>
      </c>
    </row>
    <row r="155" spans="4:11" x14ac:dyDescent="0.25">
      <c r="D155" s="50">
        <v>45153</v>
      </c>
      <c r="E155" s="42">
        <v>1</v>
      </c>
      <c r="F155" s="43">
        <v>101</v>
      </c>
      <c r="G155" s="44">
        <v>27338342840</v>
      </c>
      <c r="H155" s="53" t="str">
        <f>IFERROR(IF(factura_c_mes8[[#This Row],[CUIT]]="","-",VLOOKUP(factura_c_mes8[[#This Row],[CUIT]],Lista_CUIT[#All],2,0)),"CUIT NO CARGADO")</f>
        <v>CANCINO PAMELA RITA</v>
      </c>
      <c r="I155" s="459">
        <v>94750</v>
      </c>
      <c r="J155" s="54" t="str">
        <f>IFERROR(IF(factura_c_mes8[[#This Row],[CUIT]]="","-",VLOOKUP(factura_c_mes8[[#This Row],[CUIT]],Lista_CUIT[#All],3,0)),"CUIT NO CARGADO")</f>
        <v>Productos Ortopedicos</v>
      </c>
      <c r="K155" s="54">
        <f>IFERROR(IF(factura_c_mes8[[#This Row],[CUIT]]="","-",VLOOKUP(factura_c_mes8[[#This Row],[CUIT]],Lista_CUIT[#All],4,0)),"CUIT NO CARGADO")</f>
        <v>0</v>
      </c>
    </row>
    <row r="156" spans="4:11" x14ac:dyDescent="0.25">
      <c r="D156" s="50">
        <v>45159</v>
      </c>
      <c r="E156" s="42">
        <v>2</v>
      </c>
      <c r="F156" s="43">
        <v>62</v>
      </c>
      <c r="G156" s="44">
        <v>20314536852</v>
      </c>
      <c r="H156" s="53" t="str">
        <f>IFERROR(IF(factura_c_mes8[[#This Row],[CUIT]]="","-",VLOOKUP(factura_c_mes8[[#This Row],[CUIT]],Lista_CUIT[#All],2,0)),"CUIT NO CARGADO")</f>
        <v>FRANCESE GONZALO ROMAN</v>
      </c>
      <c r="I156" s="459">
        <v>69600</v>
      </c>
      <c r="J156" s="54" t="str">
        <f>IFERROR(IF(factura_c_mes8[[#This Row],[CUIT]]="","-",VLOOKUP(factura_c_mes8[[#This Row],[CUIT]],Lista_CUIT[#All],3,0)),"CUIT NO CARGADO")</f>
        <v>FLETE</v>
      </c>
      <c r="K156" s="54">
        <f>IFERROR(IF(factura_c_mes8[[#This Row],[CUIT]]="","-",VLOOKUP(factura_c_mes8[[#This Row],[CUIT]],Lista_CUIT[#All],4,0)),"CUIT NO CARGADO")</f>
        <v>0</v>
      </c>
    </row>
    <row r="157" spans="4:11" x14ac:dyDescent="0.25">
      <c r="D157" s="50">
        <v>45159</v>
      </c>
      <c r="E157" s="42">
        <v>2</v>
      </c>
      <c r="F157" s="43">
        <v>207</v>
      </c>
      <c r="G157" s="44">
        <v>27265832178</v>
      </c>
      <c r="H157" s="53" t="str">
        <f>IFERROR(IF(factura_c_mes8[[#This Row],[CUIT]]="","-",VLOOKUP(factura_c_mes8[[#This Row],[CUIT]],Lista_CUIT[#All],2,0)),"CUIT NO CARGADO")</f>
        <v>BLASCO MARIA GUADALUPE</v>
      </c>
      <c r="I157" s="459">
        <v>150000</v>
      </c>
      <c r="J157" s="54" t="str">
        <f>IFERROR(IF(factura_c_mes8[[#This Row],[CUIT]]="","-",VLOOKUP(factura_c_mes8[[#This Row],[CUIT]],Lista_CUIT[#All],3,0)),"CUIT NO CARGADO")</f>
        <v>Gastos Varios</v>
      </c>
      <c r="K157" s="54">
        <f>IFERROR(IF(factura_c_mes8[[#This Row],[CUIT]]="","-",VLOOKUP(factura_c_mes8[[#This Row],[CUIT]],Lista_CUIT[#All],4,0)),"CUIT NO CARGADO")</f>
        <v>0</v>
      </c>
    </row>
    <row r="158" spans="4:11" x14ac:dyDescent="0.25">
      <c r="D158" s="50">
        <v>45163</v>
      </c>
      <c r="E158" s="42">
        <v>1</v>
      </c>
      <c r="F158" s="43">
        <v>57</v>
      </c>
      <c r="G158" s="44">
        <v>23281233084</v>
      </c>
      <c r="H158" s="53" t="str">
        <f>IFERROR(IF(factura_c_mes8[[#This Row],[CUIT]]="","-",VLOOKUP(factura_c_mes8[[#This Row],[CUIT]],Lista_CUIT[#All],2,0)),"CUIT NO CARGADO")</f>
        <v>DRUETTA ANDREA MARIEL</v>
      </c>
      <c r="I158" s="459">
        <v>55068</v>
      </c>
      <c r="J158" s="54" t="str">
        <f>IFERROR(IF(factura_c_mes8[[#This Row],[CUIT]]="","-",VLOOKUP(factura_c_mes8[[#This Row],[CUIT]],Lista_CUIT[#All],3,0)),"CUIT NO CARGADO")</f>
        <v>HONORARIOS TECNICOS</v>
      </c>
      <c r="K158" s="54">
        <f>IFERROR(IF(factura_c_mes8[[#This Row],[CUIT]]="","-",VLOOKUP(factura_c_mes8[[#This Row],[CUIT]],Lista_CUIT[#All],4,0)),"CUIT NO CARGADO")</f>
        <v>0</v>
      </c>
    </row>
    <row r="159" spans="4:11" x14ac:dyDescent="0.25">
      <c r="D159" s="50">
        <v>45166</v>
      </c>
      <c r="E159" s="42">
        <v>2</v>
      </c>
      <c r="F159" s="43">
        <v>63</v>
      </c>
      <c r="G159" s="44">
        <v>20314536852</v>
      </c>
      <c r="H159" s="53" t="str">
        <f>IFERROR(IF(factura_c_mes8[[#This Row],[CUIT]]="","-",VLOOKUP(factura_c_mes8[[#This Row],[CUIT]],Lista_CUIT[#All],2,0)),"CUIT NO CARGADO")</f>
        <v>FRANCESE GONZALO ROMAN</v>
      </c>
      <c r="I159" s="459">
        <v>33600</v>
      </c>
      <c r="J159" s="54" t="str">
        <f>IFERROR(IF(factura_c_mes8[[#This Row],[CUIT]]="","-",VLOOKUP(factura_c_mes8[[#This Row],[CUIT]],Lista_CUIT[#All],3,0)),"CUIT NO CARGADO")</f>
        <v>FLETE</v>
      </c>
      <c r="K159" s="54">
        <f>IFERROR(IF(factura_c_mes8[[#This Row],[CUIT]]="","-",VLOOKUP(factura_c_mes8[[#This Row],[CUIT]],Lista_CUIT[#All],4,0)),"CUIT NO CARGADO")</f>
        <v>0</v>
      </c>
    </row>
    <row r="160" spans="4:11" x14ac:dyDescent="0.25">
      <c r="D160" s="50">
        <v>45166</v>
      </c>
      <c r="E160" s="42">
        <v>3</v>
      </c>
      <c r="F160" s="43">
        <v>743</v>
      </c>
      <c r="G160" s="44">
        <v>20216451679</v>
      </c>
      <c r="H160" s="53" t="str">
        <f>IFERROR(IF(factura_c_mes8[[#This Row],[CUIT]]="","-",VLOOKUP(factura_c_mes8[[#This Row],[CUIT]],Lista_CUIT[#All],2,0)),"CUIT NO CARGADO")</f>
        <v>VAZQUEZ RICARDO OSCAR</v>
      </c>
      <c r="I160" s="459">
        <v>36000</v>
      </c>
      <c r="J160" s="54" t="str">
        <f>IFERROR(IF(factura_c_mes8[[#This Row],[CUIT]]="","-",VLOOKUP(factura_c_mes8[[#This Row],[CUIT]],Lista_CUIT[#All],3,0)),"CUIT NO CARGADO")</f>
        <v>Productos Ortopedicos</v>
      </c>
      <c r="K160" s="54">
        <f>IFERROR(IF(factura_c_mes8[[#This Row],[CUIT]]="","-",VLOOKUP(factura_c_mes8[[#This Row],[CUIT]],Lista_CUIT[#All],4,0)),"CUIT NO CARGADO")</f>
        <v>0</v>
      </c>
    </row>
    <row r="161" spans="2:18" ht="17.25" customHeight="1" x14ac:dyDescent="0.25">
      <c r="D161" s="50">
        <v>45169</v>
      </c>
      <c r="E161" s="42">
        <v>1</v>
      </c>
      <c r="F161" s="43">
        <v>159</v>
      </c>
      <c r="G161" s="44">
        <v>27217606255</v>
      </c>
      <c r="H161" s="53" t="str">
        <f>IFERROR(IF(factura_c_mes8[[#This Row],[CUIT]]="","-",VLOOKUP(factura_c_mes8[[#This Row],[CUIT]],Lista_CUIT[#All],2,0)),"CUIT NO CARGADO")</f>
        <v>SAPUNA MARIAN KARINA</v>
      </c>
      <c r="I161" s="459">
        <v>43500</v>
      </c>
      <c r="J161" s="54" t="str">
        <f>IFERROR(IF(factura_c_mes8[[#This Row],[CUIT]]="","-",VLOOKUP(factura_c_mes8[[#This Row],[CUIT]],Lista_CUIT[#All],3,0)),"CUIT NO CARGADO")</f>
        <v>GASTOS MANTENIMIENTO</v>
      </c>
      <c r="K161" s="54">
        <f>IFERROR(IF(factura_c_mes8[[#This Row],[CUIT]]="","-",VLOOKUP(factura_c_mes8[[#This Row],[CUIT]],Lista_CUIT[#All],4,0)),"CUIT NO CARGADO")</f>
        <v>0</v>
      </c>
    </row>
    <row r="162" spans="2:18" x14ac:dyDescent="0.25">
      <c r="D162" s="50">
        <v>45169</v>
      </c>
      <c r="E162" s="42">
        <v>1</v>
      </c>
      <c r="F162" s="43">
        <v>160</v>
      </c>
      <c r="G162" s="44">
        <v>27217606255</v>
      </c>
      <c r="H162" s="53" t="str">
        <f>IFERROR(IF(factura_c_mes8[[#This Row],[CUIT]]="","-",VLOOKUP(factura_c_mes8[[#This Row],[CUIT]],Lista_CUIT[#All],2,0)),"CUIT NO CARGADO")</f>
        <v>SAPUNA MARIAN KARINA</v>
      </c>
      <c r="I162" s="459">
        <v>55700</v>
      </c>
      <c r="J162" s="54" t="str">
        <f>IFERROR(IF(factura_c_mes8[[#This Row],[CUIT]]="","-",VLOOKUP(factura_c_mes8[[#This Row],[CUIT]],Lista_CUIT[#All],3,0)),"CUIT NO CARGADO")</f>
        <v>GASTOS MANTENIMIENTO</v>
      </c>
      <c r="K162" s="54">
        <f>IFERROR(IF(factura_c_mes8[[#This Row],[CUIT]]="","-",VLOOKUP(factura_c_mes8[[#This Row],[CUIT]],Lista_CUIT[#All],4,0)),"CUIT NO CARGADO")</f>
        <v>0</v>
      </c>
    </row>
    <row r="163" spans="2:18" x14ac:dyDescent="0.25">
      <c r="D163" s="50">
        <v>45169</v>
      </c>
      <c r="E163" s="42">
        <v>1</v>
      </c>
      <c r="F163" s="43">
        <v>158</v>
      </c>
      <c r="G163" s="44">
        <v>27217606255</v>
      </c>
      <c r="H163" s="53" t="str">
        <f>IFERROR(IF(factura_c_mes8[[#This Row],[CUIT]]="","-",VLOOKUP(factura_c_mes8[[#This Row],[CUIT]],Lista_CUIT[#All],2,0)),"CUIT NO CARGADO")</f>
        <v>SAPUNA MARIAN KARINA</v>
      </c>
      <c r="I163" s="459">
        <v>96000</v>
      </c>
      <c r="J163" s="54" t="str">
        <f>IFERROR(IF(factura_c_mes8[[#This Row],[CUIT]]="","-",VLOOKUP(factura_c_mes8[[#This Row],[CUIT]],Lista_CUIT[#All],3,0)),"CUIT NO CARGADO")</f>
        <v>GASTOS MANTENIMIENTO</v>
      </c>
      <c r="K163" s="54">
        <f>IFERROR(IF(factura_c_mes8[[#This Row],[CUIT]]="","-",VLOOKUP(factura_c_mes8[[#This Row],[CUIT]],Lista_CUIT[#All],4,0)),"CUIT NO CARGADO")</f>
        <v>0</v>
      </c>
    </row>
    <row r="164" spans="2:18" x14ac:dyDescent="0.25">
      <c r="D164" s="50">
        <v>45169</v>
      </c>
      <c r="E164" s="42">
        <v>1</v>
      </c>
      <c r="F164" s="43">
        <v>157</v>
      </c>
      <c r="G164" s="44">
        <v>27217606255</v>
      </c>
      <c r="H164" s="53" t="str">
        <f>IFERROR(IF(factura_c_mes8[[#This Row],[CUIT]]="","-",VLOOKUP(factura_c_mes8[[#This Row],[CUIT]],Lista_CUIT[#All],2,0)),"CUIT NO CARGADO")</f>
        <v>SAPUNA MARIAN KARINA</v>
      </c>
      <c r="I164" s="459">
        <v>55000</v>
      </c>
      <c r="J164" s="54" t="str">
        <f>IFERROR(IF(factura_c_mes8[[#This Row],[CUIT]]="","-",VLOOKUP(factura_c_mes8[[#This Row],[CUIT]],Lista_CUIT[#All],3,0)),"CUIT NO CARGADO")</f>
        <v>GASTOS MANTENIMIENTO</v>
      </c>
      <c r="K164" s="54">
        <f>IFERROR(IF(factura_c_mes8[[#This Row],[CUIT]]="","-",VLOOKUP(factura_c_mes8[[#This Row],[CUIT]],Lista_CUIT[#All],4,0)),"CUIT NO CARGADO")</f>
        <v>0</v>
      </c>
    </row>
    <row r="165" spans="2:18" x14ac:dyDescent="0.25">
      <c r="D165" s="50">
        <v>45169</v>
      </c>
      <c r="E165" s="42">
        <v>1</v>
      </c>
      <c r="F165" s="43">
        <v>156</v>
      </c>
      <c r="G165" s="44">
        <v>27217606255</v>
      </c>
      <c r="H165" s="53" t="str">
        <f>IFERROR(IF(factura_c_mes8[[#This Row],[CUIT]]="","-",VLOOKUP(factura_c_mes8[[#This Row],[CUIT]],Lista_CUIT[#All],2,0)),"CUIT NO CARGADO")</f>
        <v>SAPUNA MARIAN KARINA</v>
      </c>
      <c r="I165" s="459">
        <v>67000</v>
      </c>
      <c r="J165" s="54" t="str">
        <f>IFERROR(IF(factura_c_mes8[[#This Row],[CUIT]]="","-",VLOOKUP(factura_c_mes8[[#This Row],[CUIT]],Lista_CUIT[#All],3,0)),"CUIT NO CARGADO")</f>
        <v>GASTOS MANTENIMIENTO</v>
      </c>
      <c r="K165" s="54">
        <f>IFERROR(IF(factura_c_mes8[[#This Row],[CUIT]]="","-",VLOOKUP(factura_c_mes8[[#This Row],[CUIT]],Lista_CUIT[#All],4,0)),"CUIT NO CARGADO")</f>
        <v>0</v>
      </c>
    </row>
    <row r="166" spans="2:18" x14ac:dyDescent="0.25">
      <c r="D166" s="50"/>
      <c r="E166" s="42"/>
      <c r="F166" s="43"/>
      <c r="G166" s="44"/>
      <c r="H166" s="53" t="str">
        <f>IFERROR(IF(factura_c_mes8[[#This Row],[CUIT]]="","-",VLOOKUP(factura_c_mes8[[#This Row],[CUIT]],Lista_CUIT[#All],2,0)),"CUIT NO CARGADO")</f>
        <v>-</v>
      </c>
      <c r="I166" s="81"/>
      <c r="J166" s="54" t="str">
        <f>IFERROR(IF(factura_c_mes8[[#This Row],[CUIT]]="","-",VLOOKUP(factura_c_mes8[[#This Row],[CUIT]],Lista_CUIT[#All],3,0)),"CUIT NO CARGADO")</f>
        <v>-</v>
      </c>
      <c r="K166" s="54" t="str">
        <f>IFERROR(IF(factura_c_mes8[[#This Row],[CUIT]]="","-",VLOOKUP(factura_c_mes8[[#This Row],[CUIT]],Lista_CUIT[#All],4,0)),"CUIT NO CARGADO")</f>
        <v>-</v>
      </c>
    </row>
    <row r="167" spans="2:18" x14ac:dyDescent="0.25">
      <c r="D167" s="55" t="s">
        <v>110</v>
      </c>
      <c r="E167" s="55"/>
      <c r="F167" s="55"/>
      <c r="G167" s="55"/>
      <c r="H167" s="57"/>
      <c r="I167" s="58">
        <f>SUBTOTAL(109,factura_c_mes8[TOTAL])</f>
        <v>3227593</v>
      </c>
      <c r="J167" s="55"/>
      <c r="K167" s="55"/>
    </row>
    <row r="168" spans="2:18" x14ac:dyDescent="0.25">
      <c r="B168" s="56"/>
      <c r="C168" s="56"/>
      <c r="L168" s="56"/>
      <c r="M168" s="56"/>
      <c r="N168" s="56"/>
      <c r="O168" s="56"/>
      <c r="P168" s="56"/>
      <c r="Q168" s="56"/>
      <c r="R168" s="56"/>
    </row>
    <row r="170" spans="2:18" ht="19.149999999999999" customHeight="1" x14ac:dyDescent="0.25"/>
    <row r="171" spans="2:18" ht="28.9" customHeight="1" x14ac:dyDescent="0.25"/>
    <row r="173" spans="2:18" ht="26.25" x14ac:dyDescent="0.25">
      <c r="B173" s="532" t="s">
        <v>29</v>
      </c>
      <c r="C173" s="532"/>
      <c r="D173" s="532"/>
      <c r="E173" s="532"/>
      <c r="F173" s="532"/>
      <c r="G173" s="532"/>
      <c r="H173" s="532"/>
      <c r="I173" s="532"/>
      <c r="J173" s="532"/>
      <c r="K173" s="528">
        <f>N1</f>
        <v>45139</v>
      </c>
      <c r="L173" s="528"/>
      <c r="M173" s="528"/>
    </row>
    <row r="175" spans="2:18" ht="21" x14ac:dyDescent="0.25">
      <c r="B175" s="525" t="s">
        <v>30</v>
      </c>
      <c r="C175" s="525"/>
    </row>
    <row r="176" spans="2:18" ht="31.5" x14ac:dyDescent="0.25">
      <c r="B176" s="60" t="s">
        <v>0</v>
      </c>
      <c r="C176" s="61" t="s">
        <v>1</v>
      </c>
      <c r="D176" s="61" t="s">
        <v>21</v>
      </c>
      <c r="E176" s="61" t="s">
        <v>22</v>
      </c>
      <c r="F176" s="61" t="s">
        <v>3</v>
      </c>
      <c r="G176" s="61" t="s">
        <v>4</v>
      </c>
      <c r="H176" s="61" t="s">
        <v>23</v>
      </c>
      <c r="I176" s="61" t="s">
        <v>17</v>
      </c>
      <c r="J176" s="61" t="s">
        <v>7</v>
      </c>
      <c r="K176" s="61" t="s">
        <v>24</v>
      </c>
      <c r="L176" s="61" t="s">
        <v>10</v>
      </c>
      <c r="M176" s="62" t="s">
        <v>38</v>
      </c>
    </row>
    <row r="177" spans="2:13" x14ac:dyDescent="0.25">
      <c r="B177" s="40"/>
      <c r="C177" s="41"/>
      <c r="D177" s="42"/>
      <c r="E177" s="43"/>
      <c r="F177" s="44"/>
      <c r="G177" s="99" t="str">
        <f>IFERROR(IF(venta_a_mes8[[#This Row],[CUIT]]="","-",VLOOKUP(venta_a_mes8[[#This Row],[CUIT]],Lista_CUIT[#All],2,0)),"CUIT NO CARGADO")</f>
        <v>-</v>
      </c>
      <c r="H177" s="100"/>
      <c r="I177" s="101">
        <f>venta_a_mes8[[#This Row],[IMPORTE NETO]]*0.21</f>
        <v>0</v>
      </c>
      <c r="J177" s="65"/>
      <c r="K177" s="65"/>
      <c r="L177" s="65">
        <f>SUM(venta_a_mes8[[#This Row],[IMPORTE NETO]:[EXENTO]])</f>
        <v>0</v>
      </c>
      <c r="M177" s="59"/>
    </row>
    <row r="178" spans="2:13" x14ac:dyDescent="0.25">
      <c r="B178" s="40"/>
      <c r="C178" s="41"/>
      <c r="D178" s="42"/>
      <c r="E178" s="43"/>
      <c r="F178" s="44"/>
      <c r="G178" s="99" t="str">
        <f>IFERROR(IF(venta_a_mes8[[#This Row],[CUIT]]="","-",VLOOKUP(venta_a_mes8[[#This Row],[CUIT]],Lista_CUIT[#All],2,0)),"CUIT NO CARGADO")</f>
        <v>-</v>
      </c>
      <c r="H178" s="100"/>
      <c r="I178" s="101">
        <f>venta_a_mes8[[#This Row],[IMPORTE NETO]]*0.21</f>
        <v>0</v>
      </c>
      <c r="J178" s="65"/>
      <c r="K178" s="65"/>
      <c r="L178" s="65">
        <f>SUM(venta_a_mes8[[#This Row],[IMPORTE NETO]:[EXENTO]])</f>
        <v>0</v>
      </c>
      <c r="M178" s="59"/>
    </row>
    <row r="179" spans="2:13" x14ac:dyDescent="0.25">
      <c r="B179" s="40"/>
      <c r="C179" s="41"/>
      <c r="D179" s="42"/>
      <c r="E179" s="43"/>
      <c r="F179" s="44"/>
      <c r="G179" s="99" t="str">
        <f>IFERROR(IF(venta_a_mes8[[#This Row],[CUIT]]="","-",VLOOKUP(venta_a_mes8[[#This Row],[CUIT]],Lista_CUIT[#All],2,0)),"CUIT NO CARGADO")</f>
        <v>-</v>
      </c>
      <c r="H179" s="100"/>
      <c r="I179" s="101">
        <f>venta_a_mes8[[#This Row],[IMPORTE NETO]]*0.21</f>
        <v>0</v>
      </c>
      <c r="J179" s="65"/>
      <c r="K179" s="65"/>
      <c r="L179" s="65">
        <f>SUM(venta_a_mes8[[#This Row],[IMPORTE NETO]:[EXENTO]])</f>
        <v>0</v>
      </c>
      <c r="M179" s="59"/>
    </row>
    <row r="180" spans="2:13" x14ac:dyDescent="0.25">
      <c r="B180" s="40"/>
      <c r="C180" s="41"/>
      <c r="D180" s="42"/>
      <c r="E180" s="43"/>
      <c r="F180" s="44"/>
      <c r="G180" s="99" t="str">
        <f>IFERROR(IF(venta_a_mes8[[#This Row],[CUIT]]="","-",VLOOKUP(venta_a_mes8[[#This Row],[CUIT]],Lista_CUIT[#All],2,0)),"CUIT NO CARGADO")</f>
        <v>-</v>
      </c>
      <c r="H180" s="100"/>
      <c r="I180" s="101">
        <f>venta_a_mes8[[#This Row],[IMPORTE NETO]]*0.21</f>
        <v>0</v>
      </c>
      <c r="J180" s="65"/>
      <c r="K180" s="65"/>
      <c r="L180" s="65">
        <f>SUM(venta_a_mes8[[#This Row],[IMPORTE NETO]:[EXENTO]])</f>
        <v>0</v>
      </c>
      <c r="M180" s="59"/>
    </row>
    <row r="181" spans="2:13" x14ac:dyDescent="0.25">
      <c r="B181" s="40"/>
      <c r="C181" s="41"/>
      <c r="D181" s="42"/>
      <c r="E181" s="43"/>
      <c r="F181" s="44"/>
      <c r="G181" s="99" t="str">
        <f>IFERROR(IF(venta_a_mes8[[#This Row],[CUIT]]="","-",VLOOKUP(venta_a_mes8[[#This Row],[CUIT]],Lista_CUIT[#All],2,0)),"CUIT NO CARGADO")</f>
        <v>-</v>
      </c>
      <c r="H181" s="100"/>
      <c r="I181" s="101">
        <f>venta_a_mes8[[#This Row],[IMPORTE NETO]]*0.21</f>
        <v>0</v>
      </c>
      <c r="J181" s="65"/>
      <c r="K181" s="65"/>
      <c r="L181" s="65">
        <f>SUM(venta_a_mes8[[#This Row],[IMPORTE NETO]:[EXENTO]])</f>
        <v>0</v>
      </c>
      <c r="M181" s="59"/>
    </row>
    <row r="182" spans="2:13" x14ac:dyDescent="0.25">
      <c r="B182" s="40"/>
      <c r="C182" s="41"/>
      <c r="D182" s="42"/>
      <c r="E182" s="43"/>
      <c r="F182" s="44"/>
      <c r="G182" s="99" t="str">
        <f>IFERROR(IF(venta_a_mes8[[#This Row],[CUIT]]="","-",VLOOKUP(venta_a_mes8[[#This Row],[CUIT]],Lista_CUIT[#All],2,0)),"CUIT NO CARGADO")</f>
        <v>-</v>
      </c>
      <c r="H182" s="100"/>
      <c r="I182" s="101">
        <f>venta_a_mes8[[#This Row],[IMPORTE NETO]]*0.21</f>
        <v>0</v>
      </c>
      <c r="J182" s="65"/>
      <c r="K182" s="65"/>
      <c r="L182" s="65">
        <f>SUM(venta_a_mes8[[#This Row],[IMPORTE NETO]:[EXENTO]])</f>
        <v>0</v>
      </c>
      <c r="M182" s="59"/>
    </row>
    <row r="183" spans="2:13" x14ac:dyDescent="0.25">
      <c r="B183" s="40"/>
      <c r="C183" s="41"/>
      <c r="D183" s="42"/>
      <c r="E183" s="43"/>
      <c r="F183" s="44"/>
      <c r="G183" s="99" t="str">
        <f>IFERROR(IF(venta_a_mes8[[#This Row],[CUIT]]="","-",VLOOKUP(venta_a_mes8[[#This Row],[CUIT]],Lista_CUIT[#All],2,0)),"CUIT NO CARGADO")</f>
        <v>-</v>
      </c>
      <c r="H183" s="100"/>
      <c r="I183" s="101">
        <f>venta_a_mes8[[#This Row],[IMPORTE NETO]]*0.21</f>
        <v>0</v>
      </c>
      <c r="J183" s="65"/>
      <c r="K183" s="65"/>
      <c r="L183" s="65">
        <f>SUM(venta_a_mes8[[#This Row],[IMPORTE NETO]:[EXENTO]])</f>
        <v>0</v>
      </c>
      <c r="M183" s="63"/>
    </row>
    <row r="184" spans="2:13" x14ac:dyDescent="0.25">
      <c r="B184" s="102"/>
      <c r="C184" s="103"/>
      <c r="D184" s="104"/>
      <c r="E184" s="105"/>
      <c r="F184" s="106"/>
      <c r="G184" s="99" t="str">
        <f>IFERROR(IF(venta_a_mes8[[#This Row],[CUIT]]="","-",VLOOKUP(venta_a_mes8[[#This Row],[CUIT]],Lista_CUIT[#All],2,0)),"CUIT NO CARGADO")</f>
        <v>-</v>
      </c>
      <c r="H184" s="107"/>
      <c r="I184" s="108">
        <f>venta_a_mes8[[#This Row],[IMPORTE NETO]]*0.21</f>
        <v>0</v>
      </c>
      <c r="J184" s="72"/>
      <c r="K184" s="72"/>
      <c r="L184" s="72">
        <f>SUM(venta_a_mes8[[#This Row],[IMPORTE NETO]:[EXENTO]])</f>
        <v>0</v>
      </c>
      <c r="M184" s="63"/>
    </row>
    <row r="185" spans="2:13" x14ac:dyDescent="0.25">
      <c r="B185" s="109"/>
      <c r="C185" s="110"/>
      <c r="D185" s="111"/>
      <c r="E185" s="112"/>
      <c r="F185" s="113"/>
      <c r="G185" s="99" t="str">
        <f>IFERROR(IF(venta_a_mes8[[#This Row],[CUIT]]="","-",VLOOKUP(venta_a_mes8[[#This Row],[CUIT]],Lista_CUIT[#All],2,0)),"CUIT NO CARGADO")</f>
        <v>-</v>
      </c>
      <c r="H185" s="100"/>
      <c r="I185" s="101">
        <f>venta_a_mes8[[#This Row],[IMPORTE NETO]]*0.21</f>
        <v>0</v>
      </c>
      <c r="J185" s="65"/>
      <c r="K185" s="65"/>
      <c r="L185" s="65">
        <f>SUM(venta_a_mes8[[#This Row],[IMPORTE NETO]:[EXENTO]])</f>
        <v>0</v>
      </c>
      <c r="M185" s="59"/>
    </row>
    <row r="186" spans="2:13" x14ac:dyDescent="0.25">
      <c r="B186" s="66" t="s">
        <v>110</v>
      </c>
      <c r="C186" s="67"/>
      <c r="D186" s="67"/>
      <c r="E186" s="67"/>
      <c r="F186" s="67"/>
      <c r="G186" s="67"/>
      <c r="H186" s="69">
        <f>SUBTOTAL(109,venta_a_mes8[IMPORTE NETO])</f>
        <v>0</v>
      </c>
      <c r="I186" s="70">
        <f>SUBTOTAL(109,venta_a_mes8[IVA 21%])</f>
        <v>0</v>
      </c>
      <c r="J186" s="71">
        <f>SUBTOTAL(109,venta_a_mes8[IVA 10,5%])</f>
        <v>0</v>
      </c>
      <c r="K186" s="71">
        <f>SUBTOTAL(109,venta_a_mes8[EXENTO])</f>
        <v>0</v>
      </c>
      <c r="L186" s="71">
        <f>SUBTOTAL(109,venta_a_mes8[TOTAL])</f>
        <v>0</v>
      </c>
      <c r="M186" s="68">
        <f>SUBTOTAL(103,venta_a_mes8[Provincia])</f>
        <v>0</v>
      </c>
    </row>
    <row r="189" spans="2:13" ht="21" x14ac:dyDescent="0.25">
      <c r="B189" s="525" t="s">
        <v>31</v>
      </c>
      <c r="C189" s="525"/>
    </row>
    <row r="190" spans="2:13" ht="31.5" x14ac:dyDescent="0.25">
      <c r="B190" s="60" t="s">
        <v>0</v>
      </c>
      <c r="C190" s="61" t="s">
        <v>1</v>
      </c>
      <c r="D190" s="61" t="s">
        <v>21</v>
      </c>
      <c r="E190" s="61" t="s">
        <v>22</v>
      </c>
      <c r="F190" s="61" t="s">
        <v>3</v>
      </c>
      <c r="G190" s="61" t="s">
        <v>4</v>
      </c>
      <c r="H190" s="61" t="s">
        <v>23</v>
      </c>
      <c r="I190" s="61" t="s">
        <v>17</v>
      </c>
      <c r="J190" s="61" t="s">
        <v>7</v>
      </c>
      <c r="K190" s="61" t="s">
        <v>24</v>
      </c>
      <c r="L190" s="61" t="s">
        <v>10</v>
      </c>
      <c r="M190" s="62" t="s">
        <v>38</v>
      </c>
    </row>
    <row r="191" spans="2:13" x14ac:dyDescent="0.25">
      <c r="B191" s="40"/>
      <c r="C191" s="41"/>
      <c r="D191" s="42"/>
      <c r="E191" s="43"/>
      <c r="F191" s="44"/>
      <c r="G191" s="1" t="str">
        <f>IFERROR(IF(ventas_b_mes8[[#This Row],[CUIT]]="","-",VLOOKUP(ventas_b_mes8[[#This Row],[CUIT]],Lista_CUIT[#All],2,0)),"CUIT NO CARGADO")</f>
        <v>-</v>
      </c>
      <c r="H191" s="64"/>
      <c r="I191" s="64"/>
      <c r="J191" s="64"/>
      <c r="K191" s="64"/>
      <c r="L191" s="64">
        <f>SUM(ventas_b_mes8[[#This Row],[IMPORTE NETO]:[EXENTO]])</f>
        <v>0</v>
      </c>
      <c r="M191" s="59"/>
    </row>
    <row r="192" spans="2:13" x14ac:dyDescent="0.25">
      <c r="B192" s="40"/>
      <c r="C192" s="41"/>
      <c r="D192" s="42"/>
      <c r="E192" s="43"/>
      <c r="F192" s="44"/>
      <c r="G192" s="1"/>
      <c r="H192" s="64"/>
      <c r="I192" s="64"/>
      <c r="J192" s="64"/>
      <c r="K192" s="64"/>
      <c r="L192" s="64">
        <f>SUM(ventas_b_mes8[[#This Row],[IMPORTE NETO]:[EXENTO]])</f>
        <v>0</v>
      </c>
      <c r="M192" s="59"/>
    </row>
    <row r="193" spans="2:13" x14ac:dyDescent="0.25">
      <c r="B193" s="40"/>
      <c r="C193" s="41"/>
      <c r="D193" s="42"/>
      <c r="E193" s="43"/>
      <c r="F193" s="44"/>
      <c r="G193" s="1"/>
      <c r="H193" s="64"/>
      <c r="I193" s="64"/>
      <c r="J193" s="64"/>
      <c r="K193" s="64"/>
      <c r="L193" s="64">
        <f>SUM(ventas_b_mes8[[#This Row],[IMPORTE NETO]:[EXENTO]])</f>
        <v>0</v>
      </c>
      <c r="M193" s="59"/>
    </row>
    <row r="194" spans="2:13" x14ac:dyDescent="0.25">
      <c r="B194" s="40"/>
      <c r="C194" s="41"/>
      <c r="D194" s="42"/>
      <c r="E194" s="43"/>
      <c r="F194" s="44"/>
      <c r="G194" s="1"/>
      <c r="H194" s="64"/>
      <c r="I194" s="64"/>
      <c r="J194" s="64"/>
      <c r="K194" s="64"/>
      <c r="L194" s="64">
        <f>SUM(ventas_b_mes8[[#This Row],[IMPORTE NETO]:[EXENTO]])</f>
        <v>0</v>
      </c>
      <c r="M194" s="59"/>
    </row>
    <row r="195" spans="2:13" x14ac:dyDescent="0.25">
      <c r="B195" s="40"/>
      <c r="C195" s="41"/>
      <c r="D195" s="42"/>
      <c r="E195" s="43"/>
      <c r="F195" s="44"/>
      <c r="G195" s="1"/>
      <c r="H195" s="64"/>
      <c r="I195" s="64"/>
      <c r="J195" s="64"/>
      <c r="K195" s="64"/>
      <c r="L195" s="64">
        <f>SUM(ventas_b_mes8[[#This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SUM(ventas_b_mes8[[#This Row],[IMPORTE NETO]:[EXENTO]])</f>
        <v>0</v>
      </c>
      <c r="M196" s="59"/>
    </row>
    <row r="197" spans="2:13" x14ac:dyDescent="0.25">
      <c r="B197" s="66" t="s">
        <v>110</v>
      </c>
      <c r="C197" s="67"/>
      <c r="D197" s="67"/>
      <c r="E197" s="67"/>
      <c r="F197" s="67"/>
      <c r="G197" s="67"/>
      <c r="H197" s="77">
        <f>SUBTOTAL(109,ventas_b_mes8[IMPORTE NETO])</f>
        <v>0</v>
      </c>
      <c r="I197" s="77">
        <f>SUBTOTAL(109,ventas_b_mes8[IVA 21%])</f>
        <v>0</v>
      </c>
      <c r="J197" s="78">
        <f>SUBTOTAL(109,ventas_b_mes8[IVA 10,5%])</f>
        <v>0</v>
      </c>
      <c r="K197" s="78">
        <f>SUBTOTAL(109,ventas_b_mes8[EXENTO])</f>
        <v>0</v>
      </c>
      <c r="L197" s="78">
        <f>SUBTOTAL(109,ventas_b_mes8[TOTAL])</f>
        <v>0</v>
      </c>
      <c r="M197" s="68">
        <f>SUBTOTAL(103,ventas_b_mes8[Provincia])</f>
        <v>0</v>
      </c>
    </row>
    <row r="204" spans="2:13" ht="15.75" thickBot="1" x14ac:dyDescent="0.3"/>
    <row r="205" spans="2:13" ht="15.75" thickTop="1" x14ac:dyDescent="0.25">
      <c r="C205" s="522" t="s">
        <v>66</v>
      </c>
      <c r="D205" s="522"/>
      <c r="E205" s="522"/>
      <c r="F205" s="522"/>
      <c r="G205" s="522"/>
      <c r="H205" s="32"/>
      <c r="I205" s="32"/>
      <c r="J205" s="32"/>
    </row>
    <row r="206" spans="2:13" ht="15.75" x14ac:dyDescent="0.25">
      <c r="C206" s="114" t="s">
        <v>67</v>
      </c>
      <c r="D206" s="115" t="s">
        <v>68</v>
      </c>
      <c r="E206" s="115" t="s">
        <v>112</v>
      </c>
      <c r="F206" s="115" t="s">
        <v>3</v>
      </c>
      <c r="G206" s="115" t="s">
        <v>4</v>
      </c>
      <c r="H206" s="116" t="s">
        <v>69</v>
      </c>
      <c r="I206" s="116" t="s">
        <v>70</v>
      </c>
      <c r="J206" s="116" t="s">
        <v>71</v>
      </c>
      <c r="K206" s="116" t="s">
        <v>72</v>
      </c>
      <c r="L206" s="116" t="s">
        <v>73</v>
      </c>
    </row>
    <row r="207" spans="2:13" x14ac:dyDescent="0.25">
      <c r="C207" s="117"/>
      <c r="D207" s="118"/>
      <c r="E207" s="118"/>
      <c r="F207" s="119"/>
      <c r="G207" s="53" t="str">
        <f>IFERROR(IF(Retenciones_mes8[[#This Row],[CUIT]]="","-",VLOOKUP(Retenciones_mes8[[#This Row],[CUIT]],Lista_CUIT[#All],2,0)),"CUIT NO CARGADO")</f>
        <v>-</v>
      </c>
      <c r="H207" s="120"/>
      <c r="I207" s="120"/>
      <c r="J207" s="120"/>
      <c r="K207" s="120"/>
      <c r="L207" s="120"/>
    </row>
    <row r="208" spans="2:13" x14ac:dyDescent="0.25">
      <c r="C208" s="117"/>
      <c r="D208" s="118"/>
      <c r="E208" s="118"/>
      <c r="F208" s="119"/>
      <c r="G208" s="53" t="str">
        <f>IFERROR(IF(Retenciones_mes8[[#This Row],[CUIT]]="","-",VLOOKUP(Retenciones_mes8[[#This Row],[CUIT]],Lista_CUIT[#All],2,0)),"CUIT NO CARGADO")</f>
        <v>-</v>
      </c>
      <c r="H208" s="120"/>
      <c r="I208" s="120"/>
      <c r="J208" s="120"/>
      <c r="K208" s="120"/>
      <c r="L208" s="120"/>
    </row>
    <row r="209" spans="3:12" x14ac:dyDescent="0.25">
      <c r="C209" s="117"/>
      <c r="D209" s="118"/>
      <c r="E209" s="118"/>
      <c r="F209" s="119"/>
      <c r="G209" s="53" t="str">
        <f>IFERROR(IF(Retenciones_mes8[[#This Row],[CUIT]]="","-",VLOOKUP(Retenciones_mes8[[#This Row],[CUIT]],Lista_CUIT[#All],2,0)),"CUIT NO CARGADO")</f>
        <v>-</v>
      </c>
      <c r="H209" s="120"/>
      <c r="I209" s="120"/>
      <c r="J209" s="120"/>
      <c r="K209" s="120"/>
      <c r="L209" s="120"/>
    </row>
    <row r="210" spans="3:12" x14ac:dyDescent="0.25">
      <c r="C210" s="117"/>
      <c r="D210" s="118"/>
      <c r="E210" s="118"/>
      <c r="F210" s="119"/>
      <c r="G210" s="53" t="str">
        <f>IFERROR(IF(Retenciones_mes8[[#This Row],[CUIT]]="","-",VLOOKUP(Retenciones_mes8[[#This Row],[CUIT]],Lista_CUIT[#All],2,0)),"CUIT NO CARGADO")</f>
        <v>-</v>
      </c>
      <c r="H210" s="120"/>
      <c r="I210" s="120"/>
      <c r="J210" s="120"/>
      <c r="K210" s="120"/>
      <c r="L210" s="120"/>
    </row>
    <row r="211" spans="3:12" x14ac:dyDescent="0.25">
      <c r="D211" s="118"/>
      <c r="E211" s="118"/>
      <c r="G211" s="53" t="str">
        <f>IFERROR(IF(Retenciones_mes8[[#This Row],[CUIT]]="","-",VLOOKUP(Retenciones_mes8[[#This Row],[CUIT]],Lista_CUIT[#All],2,0)),"CUIT NO CARGADO")</f>
        <v>-</v>
      </c>
    </row>
    <row r="212" spans="3:12" x14ac:dyDescent="0.25">
      <c r="C212" s="33"/>
    </row>
  </sheetData>
  <mergeCells count="20">
    <mergeCell ref="C205:G205"/>
    <mergeCell ref="B4:E4"/>
    <mergeCell ref="G4:H4"/>
    <mergeCell ref="J4:K4"/>
    <mergeCell ref="M4:N4"/>
    <mergeCell ref="D135:K135"/>
    <mergeCell ref="B173:J173"/>
    <mergeCell ref="K173:M173"/>
    <mergeCell ref="B175:C175"/>
    <mergeCell ref="B189:C189"/>
    <mergeCell ref="P4:R4"/>
    <mergeCell ref="D126:L126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91:L196" xr:uid="{00000000-0002-0000-0800-000000000000}">
      <formula1>IF($C191=8,H191&lt;0,H191&gt;=0)</formula1>
    </dataValidation>
    <dataValidation type="custom" allowBlank="1" showInputMessage="1" showErrorMessage="1" sqref="L179:L181" xr:uid="{00000000-0002-0000-0800-000001000000}">
      <formula1>IF($C89=3,L89&lt;0,L89&gt;=0)</formula1>
    </dataValidation>
    <dataValidation type="whole" allowBlank="1" showInputMessage="1" showErrorMessage="1" sqref="C191:C196" xr:uid="{00000000-0002-0000-0800-000002000000}">
      <formula1>6</formula1>
      <formula2>8</formula2>
    </dataValidation>
    <dataValidation type="custom" allowBlank="1" showInputMessage="1" showErrorMessage="1" sqref="H177:K177 H179:K179 H181:K181 H183:K183" xr:uid="{00000000-0002-0000-0800-000003000000}">
      <formula1>IF($C177=3,H177&lt;0,H177&gt;=0)</formula1>
    </dataValidation>
    <dataValidation type="whole" allowBlank="1" showInputMessage="1" showErrorMessage="1" sqref="C177:C185 C122:C125 C9:C120" xr:uid="{00000000-0002-0000-0800-000004000000}">
      <formula1>1</formula1>
      <formula2>3</formula2>
    </dataValidation>
    <dataValidation type="date" allowBlank="1" showInputMessage="1" showErrorMessage="1" sqref="D128:D130 B177:B185 D137:D166 B122:B125 B191:B196 B9:B120" xr:uid="{00000000-0002-0000-0800-000005000000}">
      <formula1>40179</formula1>
      <formula2>TODAY()</formula2>
    </dataValidation>
    <dataValidation type="whole" allowBlank="1" showInputMessage="1" showErrorMessage="1" sqref="G137:G166 F177:F185 F191:F196 F9:F120" xr:uid="{00000000-0002-0000-0800-000006000000}">
      <formula1>20000000000</formula1>
      <formula2>33999999999</formula2>
    </dataValidation>
    <dataValidation type="whole" allowBlank="1" showInputMessage="1" showErrorMessage="1" sqref="F137:F166 E177:E185 E191:E196 E9:E120" xr:uid="{00000000-0002-0000-0800-000007000000}">
      <formula1>1</formula1>
      <formula2>99999999</formula2>
    </dataValidation>
    <dataValidation type="whole" allowBlank="1" showInputMessage="1" showErrorMessage="1" sqref="E137:E166 D177:D185 D191:D196 D9:D120" xr:uid="{00000000-0002-0000-0800-000008000000}">
      <formula1>1</formula1>
      <formula2>9999</formula2>
    </dataValidation>
    <dataValidation type="custom" allowBlank="1" showInputMessage="1" showErrorMessage="1" sqref="L177" xr:uid="{00000000-0002-0000-0800-000009000000}">
      <formula1>IF($C9=3,L9&lt;0,L9&gt;=0)</formula1>
    </dataValidation>
    <dataValidation type="custom" allowBlank="1" showInputMessage="1" showErrorMessage="1" sqref="L178" xr:uid="{00000000-0002-0000-0800-00000A000000}">
      <formula1>IF($C86=3,L86&lt;0,L86&gt;=0)</formula1>
    </dataValidation>
    <dataValidation type="custom" allowBlank="1" showInputMessage="1" showErrorMessage="1" sqref="L182:L183" xr:uid="{00000000-0002-0000-0800-00000B000000}">
      <formula1>IF($C121=3,L121&lt;0,L121&gt;=0)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20" xr:uid="{00000000-0002-0000-08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Z203"/>
  <sheetViews>
    <sheetView showGridLines="0" topLeftCell="C88" zoomScale="80" zoomScaleNormal="80" workbookViewId="0">
      <selection activeCell="K99" sqref="K99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EDATE('Ene-23'!N1,8)</f>
        <v>45170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SUM(compras_mes9[[#Totals],[NETO GRAVADO]])+extracto_banco_mes9[[#Totals],[NETO]]</f>
        <v>30762473.759999979</v>
      </c>
      <c r="C4" s="530"/>
      <c r="D4" s="530"/>
      <c r="E4" s="530"/>
      <c r="F4" s="39"/>
      <c r="G4" s="531">
        <f>compras_mes9[[#Totals],[IVA 21 %]]+compras_mes9[[#Totals],[IVA 27%]]+compras_mes9[[#Totals],[IVA 10,5%]]+extracto_banco_mes9[[#Totals],[IVA 21%]]+extracto_banco_mes9[[#Totals],[IVA 10,5%]]</f>
        <v>6426111.7153499993</v>
      </c>
      <c r="H4" s="531"/>
      <c r="I4" s="39"/>
      <c r="J4" s="537">
        <f>venta_a_mes9[[#Totals],[IMPORTE NETO]]+ventas_b_mes9[[#Totals],[IMPORTE NETO]]</f>
        <v>0</v>
      </c>
      <c r="K4" s="537"/>
      <c r="L4" s="39"/>
      <c r="M4" s="537">
        <f>venta_a_mes9[[#Totals],[IVA 21%]]+venta_a_mes9[[#Totals],[IVA 10,5%]]+ventas_b_mes9[[#Totals],[IVA 21%]]+ventas_b_mes9[[#Totals],[IVA 10,5%]]</f>
        <v>0</v>
      </c>
      <c r="N4" s="537"/>
      <c r="O4" s="39"/>
      <c r="P4" s="533">
        <f>G4-M4</f>
        <v>6426111.7153499993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>
        <v>45170</v>
      </c>
      <c r="C9" s="41">
        <v>1</v>
      </c>
      <c r="D9" s="42">
        <v>2</v>
      </c>
      <c r="E9" s="43">
        <v>192</v>
      </c>
      <c r="F9" s="44">
        <v>30605344352</v>
      </c>
      <c r="G9" s="45" t="str">
        <f>IFERROR(IF(compras_mes9[[#This Row],[CUIT]]="","-",VLOOKUP(compras_mes9[[#This Row],[CUIT]],Lista_CUIT[#All],2,0)),"CUIT NO CARGADO")</f>
        <v>CONSORCIO BARTOLME MITRE 2466</v>
      </c>
      <c r="H9" s="46">
        <v>230000</v>
      </c>
      <c r="I9" s="85">
        <f>IF(compras_mes9[[#This Row],[NETO GRAVADO]]="","",compras_mes9[[#This Row],[NETO GRAVADO]]*0.21)</f>
        <v>48300</v>
      </c>
      <c r="J9" s="85"/>
      <c r="K9" s="85"/>
      <c r="L9" s="85"/>
      <c r="M9" s="85"/>
      <c r="N9" s="85"/>
      <c r="O9" s="85"/>
      <c r="P9" s="48">
        <f>SUM(compras_mes9[[#This Row],[NETO GRAVADO]:[Otros / No Grav.]])</f>
        <v>278300</v>
      </c>
      <c r="Q9" s="49" t="str">
        <f>IFERROR(IF(compras_mes9[[#This Row],[CUIT]]="","-",VLOOKUP(compras_mes9[[#This Row],[CUIT]],Lista_CUIT[#All],3,0)),"CUIT NO CARGADO")</f>
        <v>Gastos Varios</v>
      </c>
      <c r="R9" s="49">
        <f>IFERROR(IF(compras_mes9[[#This Row],[CUIT]]="","-",VLOOKUP(compras_mes9[[#This Row],[CUIT]],Lista_CUIT[#All],4,0)),"CUIT NO CARGADO")</f>
        <v>0</v>
      </c>
    </row>
    <row r="10" spans="1:26" x14ac:dyDescent="0.25">
      <c r="B10" s="40">
        <v>45170</v>
      </c>
      <c r="C10" s="41">
        <v>1</v>
      </c>
      <c r="D10" s="42">
        <v>4</v>
      </c>
      <c r="E10" s="43">
        <v>418</v>
      </c>
      <c r="F10" s="44">
        <v>20253515512</v>
      </c>
      <c r="G10" s="45" t="str">
        <f>IFERROR(IF(compras_mes9[[#This Row],[CUIT]]="","-",VLOOKUP(compras_mes9[[#This Row],[CUIT]],Lista_CUIT[#All],2,0)),"CUIT NO CARGADO")</f>
        <v>ORTOPEDIA Y CIRUGIA DELGADO</v>
      </c>
      <c r="H10" s="46">
        <v>396694.22</v>
      </c>
      <c r="I10" s="85">
        <f>IF(compras_mes9[[#This Row],[NETO GRAVADO]]="","",compras_mes9[[#This Row],[NETO GRAVADO]]*0.21)</f>
        <v>83305.786199999988</v>
      </c>
      <c r="J10" s="85"/>
      <c r="K10" s="85"/>
      <c r="L10" s="85"/>
      <c r="M10" s="85"/>
      <c r="N10" s="85"/>
      <c r="O10" s="85"/>
      <c r="P10" s="48">
        <f>SUM(compras_mes9[[#This Row],[NETO GRAVADO]:[Otros / No Grav.]])</f>
        <v>480000.00619999995</v>
      </c>
      <c r="Q10" s="49" t="str">
        <f>IFERROR(IF(compras_mes9[[#This Row],[CUIT]]="","-",VLOOKUP(compras_mes9[[#This Row],[CUIT]],Lista_CUIT[#All],3,0)),"CUIT NO CARGADO")</f>
        <v>Productos Ortopedicos</v>
      </c>
      <c r="R10" s="49">
        <f>IFERROR(IF(compras_mes9[[#This Row],[CUIT]]="","-",VLOOKUP(compras_mes9[[#This Row],[CUIT]],Lista_CUIT[#All],4,0)),"CUIT NO CARGADO")</f>
        <v>0</v>
      </c>
    </row>
    <row r="11" spans="1:26" x14ac:dyDescent="0.25">
      <c r="B11" s="40">
        <v>45170</v>
      </c>
      <c r="C11" s="41">
        <v>1</v>
      </c>
      <c r="D11" s="42">
        <v>5</v>
      </c>
      <c r="E11" s="43">
        <v>21148</v>
      </c>
      <c r="F11" s="44">
        <v>30656038752</v>
      </c>
      <c r="G11" s="45" t="str">
        <f>IFERROR(IF(compras_mes9[[#This Row],[CUIT]]="","-",VLOOKUP(compras_mes9[[#This Row],[CUIT]],Lista_CUIT[#All],2,0)),"CUIT NO CARGADO")</f>
        <v xml:space="preserve">ALFREDO OMAR POTENZA SRL </v>
      </c>
      <c r="H11" s="46">
        <v>92884.25</v>
      </c>
      <c r="I11" s="85">
        <f>IF(compras_mes9[[#This Row],[NETO GRAVADO]]="","",compras_mes9[[#This Row],[NETO GRAVADO]]*0.21)</f>
        <v>19505.692500000001</v>
      </c>
      <c r="J11" s="85"/>
      <c r="K11" s="85"/>
      <c r="L11" s="85"/>
      <c r="M11" s="85"/>
      <c r="N11" s="85"/>
      <c r="O11" s="85"/>
      <c r="P11" s="48">
        <f>SUM(compras_mes9[[#This Row],[NETO GRAVADO]:[Otros / No Grav.]])</f>
        <v>112389.9425</v>
      </c>
      <c r="Q11" s="49" t="str">
        <f>IFERROR(IF(compras_mes9[[#This Row],[CUIT]]="","-",VLOOKUP(compras_mes9[[#This Row],[CUIT]],Lista_CUIT[#All],3,0)),"CUIT NO CARGADO")</f>
        <v>INSUMO</v>
      </c>
      <c r="R11" s="49">
        <f>IFERROR(IF(compras_mes9[[#This Row],[CUIT]]="","-",VLOOKUP(compras_mes9[[#This Row],[CUIT]],Lista_CUIT[#All],4,0)),"CUIT NO CARGADO")</f>
        <v>0</v>
      </c>
    </row>
    <row r="12" spans="1:26" x14ac:dyDescent="0.25">
      <c r="B12" s="40">
        <v>45170</v>
      </c>
      <c r="C12" s="41">
        <v>1</v>
      </c>
      <c r="D12" s="42">
        <v>1305</v>
      </c>
      <c r="E12" s="43">
        <v>1755870</v>
      </c>
      <c r="F12" s="44">
        <v>30663288497</v>
      </c>
      <c r="G12" s="45" t="str">
        <f>IFERROR(IF(compras_mes9[[#This Row],[CUIT]]="","-",VLOOKUP(compras_mes9[[#This Row],[CUIT]],Lista_CUIT[#All],2,0)),"CUIT NO CARGADO")</f>
        <v>AMX ARG SA</v>
      </c>
      <c r="H12" s="46">
        <v>9150</v>
      </c>
      <c r="I12" s="85">
        <v>778.05</v>
      </c>
      <c r="J12" s="85">
        <v>1470.15</v>
      </c>
      <c r="K12" s="85"/>
      <c r="L12" s="85">
        <v>274.5</v>
      </c>
      <c r="M12" s="85"/>
      <c r="N12" s="85">
        <v>366</v>
      </c>
      <c r="O12" s="85">
        <v>286.58</v>
      </c>
      <c r="P12" s="48">
        <f>SUM(compras_mes9[[#This Row],[NETO GRAVADO]:[Otros / No Grav.]])</f>
        <v>12325.279999999999</v>
      </c>
      <c r="Q12" s="49" t="str">
        <f>IFERROR(IF(compras_mes9[[#This Row],[CUIT]]="","-",VLOOKUP(compras_mes9[[#This Row],[CUIT]],Lista_CUIT[#All],3,0)),"CUIT NO CARGADO")</f>
        <v>SERVICIOS DE INTERNET</v>
      </c>
      <c r="R12" s="49">
        <f>IFERROR(IF(compras_mes9[[#This Row],[CUIT]]="","-",VLOOKUP(compras_mes9[[#This Row],[CUIT]],Lista_CUIT[#All],4,0)),"CUIT NO CARGADO")</f>
        <v>0</v>
      </c>
    </row>
    <row r="13" spans="1:26" x14ac:dyDescent="0.25">
      <c r="B13" s="40">
        <v>45170</v>
      </c>
      <c r="C13" s="41">
        <v>1</v>
      </c>
      <c r="D13" s="42">
        <v>33</v>
      </c>
      <c r="E13" s="43">
        <v>314</v>
      </c>
      <c r="F13" s="44">
        <v>33712276539</v>
      </c>
      <c r="G13" s="45" t="str">
        <f>IFERROR(IF(compras_mes9[[#This Row],[CUIT]]="","-",VLOOKUP(compras_mes9[[#This Row],[CUIT]],Lista_CUIT[#All],2,0)),"CUIT NO CARGADO")</f>
        <v>CASTAÑO AUTOVOX SRL</v>
      </c>
      <c r="H13" s="46">
        <v>13446.74</v>
      </c>
      <c r="I13" s="85">
        <f>IF(compras_mes9[[#This Row],[NETO GRAVADO]]="","",compras_mes9[[#This Row],[NETO GRAVADO]]*0.21)</f>
        <v>2823.8154</v>
      </c>
      <c r="J13" s="85"/>
      <c r="K13" s="85"/>
      <c r="L13" s="85"/>
      <c r="M13" s="85"/>
      <c r="N13" s="85">
        <v>537.87</v>
      </c>
      <c r="O13" s="85">
        <v>733.36</v>
      </c>
      <c r="P13" s="48">
        <f>SUM(compras_mes9[[#This Row],[NETO GRAVADO]:[Otros / No Grav.]])</f>
        <v>17541.785400000001</v>
      </c>
      <c r="Q13" s="49" t="str">
        <f>IFERROR(IF(compras_mes9[[#This Row],[CUIT]]="","-",VLOOKUP(compras_mes9[[#This Row],[CUIT]],Lista_CUIT[#All],3,0)),"CUIT NO CARGADO")</f>
        <v>COMBUSTIBLE</v>
      </c>
      <c r="R13" s="49">
        <f>IFERROR(IF(compras_mes9[[#This Row],[CUIT]]="","-",VLOOKUP(compras_mes9[[#This Row],[CUIT]],Lista_CUIT[#All],4,0)),"CUIT NO CARGADO")</f>
        <v>0</v>
      </c>
    </row>
    <row r="14" spans="1:26" x14ac:dyDescent="0.25">
      <c r="B14" s="219">
        <v>45170</v>
      </c>
      <c r="C14" s="209">
        <v>1</v>
      </c>
      <c r="D14" s="220">
        <v>500</v>
      </c>
      <c r="E14" s="221">
        <v>1393938</v>
      </c>
      <c r="F14" s="222">
        <v>30654118767</v>
      </c>
      <c r="G14" s="223" t="str">
        <f>IFERROR(IF(compras_mes9[[#This Row],[CUIT]]="","-",VLOOKUP(compras_mes9[[#This Row],[CUIT]],Lista_CUIT[#All],2,0)),"CUIT NO CARGADO")</f>
        <v>SOLUCIONES MULTIMEDIA SA</v>
      </c>
      <c r="H14" s="224">
        <v>19637.330000000002</v>
      </c>
      <c r="I14" s="225">
        <f>IF(compras_mes9[[#This Row],[NETO GRAVADO]]="","",compras_mes9[[#This Row],[NETO GRAVADO]]*0.21)</f>
        <v>4123.8393000000005</v>
      </c>
      <c r="J14" s="225"/>
      <c r="K14" s="225"/>
      <c r="L14" s="225"/>
      <c r="M14" s="225"/>
      <c r="N14" s="225"/>
      <c r="O14" s="225"/>
      <c r="P14" s="226">
        <f>SUM(compras_mes9[[#This Row],[NETO GRAVADO]:[Otros / No Grav.]])</f>
        <v>23761.169300000001</v>
      </c>
      <c r="Q14" s="227" t="str">
        <f>IFERROR(IF(compras_mes9[[#This Row],[CUIT]]="","-",VLOOKUP(compras_mes9[[#This Row],[CUIT]],Lista_CUIT[#All],3,0)),"CUIT NO CARGADO")</f>
        <v>GASTOS ADMINISTRATIVOS</v>
      </c>
      <c r="R14" s="227">
        <f>IFERROR(IF(compras_mes9[[#This Row],[CUIT]]="","-",VLOOKUP(compras_mes9[[#This Row],[CUIT]],Lista_CUIT[#All],4,0)),"CUIT NO CARGADO")</f>
        <v>0</v>
      </c>
    </row>
    <row r="15" spans="1:26" x14ac:dyDescent="0.25">
      <c r="B15" s="40">
        <v>45173</v>
      </c>
      <c r="C15" s="41">
        <v>1</v>
      </c>
      <c r="D15" s="42">
        <v>1</v>
      </c>
      <c r="E15" s="43">
        <v>668</v>
      </c>
      <c r="F15" s="44">
        <v>30715048066</v>
      </c>
      <c r="G15" s="45" t="str">
        <f>IFERROR(IF(compras_mes9[[#This Row],[CUIT]]="","-",VLOOKUP(compras_mes9[[#This Row],[CUIT]],Lista_CUIT[#All],2,0)),"CUIT NO CARGADO")</f>
        <v>ROLLS Y EMPANADAS SA</v>
      </c>
      <c r="H15" s="46">
        <v>330770</v>
      </c>
      <c r="I15" s="85">
        <f>IF(compras_mes9[[#This Row],[NETO GRAVADO]]="","",compras_mes9[[#This Row],[NETO GRAVADO]]*0.21)</f>
        <v>69461.7</v>
      </c>
      <c r="J15" s="85"/>
      <c r="K15" s="85"/>
      <c r="L15" s="85"/>
      <c r="M15" s="85"/>
      <c r="N15" s="85"/>
      <c r="O15" s="85"/>
      <c r="P15" s="48">
        <f>SUM(compras_mes9[[#This Row],[NETO GRAVADO]:[Otros / No Grav.]])</f>
        <v>400231.7</v>
      </c>
      <c r="Q15" s="49" t="str">
        <f>IFERROR(IF(compras_mes9[[#This Row],[CUIT]]="","-",VLOOKUP(compras_mes9[[#This Row],[CUIT]],Lista_CUIT[#All],3,0)),"CUIT NO CARGADO")</f>
        <v>Catering</v>
      </c>
      <c r="R15" s="49">
        <f>IFERROR(IF(compras_mes9[[#This Row],[CUIT]]="","-",VLOOKUP(compras_mes9[[#This Row],[CUIT]],Lista_CUIT[#All],4,0)),"CUIT NO CARGADO")</f>
        <v>0</v>
      </c>
    </row>
    <row r="16" spans="1:26" x14ac:dyDescent="0.25">
      <c r="B16" s="40">
        <v>45173</v>
      </c>
      <c r="C16" s="41">
        <v>1</v>
      </c>
      <c r="D16" s="42">
        <v>3</v>
      </c>
      <c r="E16" s="43">
        <v>97</v>
      </c>
      <c r="F16" s="44">
        <v>20334976433</v>
      </c>
      <c r="G16" s="45" t="str">
        <f>IFERROR(IF(compras_mes9[[#This Row],[CUIT]]="","-",VLOOKUP(compras_mes9[[#This Row],[CUIT]],Lista_CUIT[#All],2,0)),"CUIT NO CARGADO")</f>
        <v>NARDOMARINO EZEQUIEL EDUARDO</v>
      </c>
      <c r="H16" s="46">
        <v>158489.26</v>
      </c>
      <c r="I16" s="85">
        <f>IF(compras_mes9[[#This Row],[NETO GRAVADO]]="","",compras_mes9[[#This Row],[NETO GRAVADO]]*0.21)</f>
        <v>33282.744599999998</v>
      </c>
      <c r="J16" s="85"/>
      <c r="K16" s="85"/>
      <c r="L16" s="85"/>
      <c r="M16" s="85"/>
      <c r="N16" s="85"/>
      <c r="O16" s="85"/>
      <c r="P16" s="48">
        <f>SUM(compras_mes9[[#This Row],[NETO GRAVADO]:[Otros / No Grav.]])</f>
        <v>191772.00460000001</v>
      </c>
      <c r="Q16" s="49" t="str">
        <f>IFERROR(IF(compras_mes9[[#This Row],[CUIT]]="","-",VLOOKUP(compras_mes9[[#This Row],[CUIT]],Lista_CUIT[#All],3,0)),"CUIT NO CARGADO")</f>
        <v>FLETE</v>
      </c>
      <c r="R16" s="49">
        <f>IFERROR(IF(compras_mes9[[#This Row],[CUIT]]="","-",VLOOKUP(compras_mes9[[#This Row],[CUIT]],Lista_CUIT[#All],4,0)),"CUIT NO CARGADO")</f>
        <v>0</v>
      </c>
    </row>
    <row r="17" spans="2:18" x14ac:dyDescent="0.25">
      <c r="B17" s="40">
        <v>45173</v>
      </c>
      <c r="C17" s="41">
        <v>1</v>
      </c>
      <c r="D17" s="42">
        <v>2</v>
      </c>
      <c r="E17" s="43">
        <v>64</v>
      </c>
      <c r="F17" s="44">
        <v>20272865869</v>
      </c>
      <c r="G17" s="45" t="str">
        <f>IFERROR(IF(compras_mes9[[#This Row],[CUIT]]="","-",VLOOKUP(compras_mes9[[#This Row],[CUIT]],Lista_CUIT[#All],2,0)),"CUIT NO CARGADO")</f>
        <v>DI FEO MARTIN EZEQUIEL</v>
      </c>
      <c r="H17" s="46">
        <v>26885.58</v>
      </c>
      <c r="I17" s="85">
        <f>IF(compras_mes9[[#This Row],[NETO GRAVADO]]="","",compras_mes9[[#This Row],[NETO GRAVADO]]*0.21)</f>
        <v>5645.9718000000003</v>
      </c>
      <c r="J17" s="85"/>
      <c r="K17" s="85"/>
      <c r="L17" s="85"/>
      <c r="M17" s="85"/>
      <c r="N17" s="85"/>
      <c r="O17" s="85"/>
      <c r="P17" s="48">
        <f>SUM(compras_mes9[[#This Row],[NETO GRAVADO]:[Otros / No Grav.]])</f>
        <v>32531.551800000001</v>
      </c>
      <c r="Q17" s="49" t="str">
        <f>IFERROR(IF(compras_mes9[[#This Row],[CUIT]]="","-",VLOOKUP(compras_mes9[[#This Row],[CUIT]],Lista_CUIT[#All],3,0)),"CUIT NO CARGADO")</f>
        <v>Productos Ortopedicos</v>
      </c>
      <c r="R17" s="49">
        <f>IFERROR(IF(compras_mes9[[#This Row],[CUIT]]="","-",VLOOKUP(compras_mes9[[#This Row],[CUIT]],Lista_CUIT[#All],4,0)),"CUIT NO CARGADO")</f>
        <v>0</v>
      </c>
    </row>
    <row r="18" spans="2:18" x14ac:dyDescent="0.25">
      <c r="B18" s="40">
        <v>45173</v>
      </c>
      <c r="C18" s="41">
        <v>1</v>
      </c>
      <c r="D18" s="42">
        <v>4</v>
      </c>
      <c r="E18" s="43">
        <v>62</v>
      </c>
      <c r="F18" s="44">
        <v>20317488476</v>
      </c>
      <c r="G18" s="45" t="str">
        <f>IFERROR(IF(compras_mes9[[#This Row],[CUIT]]="","-",VLOOKUP(compras_mes9[[#This Row],[CUIT]],Lista_CUIT[#All],2,0)),"CUIT NO CARGADO")</f>
        <v>MIGUEL ANGEL VILLALBA</v>
      </c>
      <c r="H18" s="46">
        <v>183408</v>
      </c>
      <c r="I18" s="85">
        <f>IF(compras_mes9[[#This Row],[NETO GRAVADO]]="","",compras_mes9[[#This Row],[NETO GRAVADO]]*0.21)</f>
        <v>38515.68</v>
      </c>
      <c r="J18" s="85"/>
      <c r="K18" s="85"/>
      <c r="L18" s="85"/>
      <c r="M18" s="85"/>
      <c r="N18" s="85"/>
      <c r="O18" s="85"/>
      <c r="P18" s="48">
        <f>SUM(compras_mes9[[#This Row],[NETO GRAVADO]:[Otros / No Grav.]])</f>
        <v>221923.68</v>
      </c>
      <c r="Q18" s="49" t="str">
        <f>IFERROR(IF(compras_mes9[[#This Row],[CUIT]]="","-",VLOOKUP(compras_mes9[[#This Row],[CUIT]],Lista_CUIT[#All],3,0)),"CUIT NO CARGADO")</f>
        <v>Recupero P. Ortopedicos</v>
      </c>
      <c r="R18" s="49">
        <f>IFERROR(IF(compras_mes9[[#This Row],[CUIT]]="","-",VLOOKUP(compras_mes9[[#This Row],[CUIT]],Lista_CUIT[#All],4,0)),"CUIT NO CARGADO")</f>
        <v>0</v>
      </c>
    </row>
    <row r="19" spans="2:18" x14ac:dyDescent="0.25">
      <c r="B19" s="40">
        <v>45173</v>
      </c>
      <c r="C19" s="41">
        <v>1</v>
      </c>
      <c r="D19" s="42">
        <v>5</v>
      </c>
      <c r="E19" s="43">
        <v>1368</v>
      </c>
      <c r="F19" s="44">
        <v>30712187316</v>
      </c>
      <c r="G19" s="45" t="str">
        <f>IFERROR(IF(compras_mes9[[#This Row],[CUIT]]="","-",VLOOKUP(compras_mes9[[#This Row],[CUIT]],Lista_CUIT[#All],2,0)),"CUIT NO CARGADO")</f>
        <v>ITALOMED PRODUCTOS SRL</v>
      </c>
      <c r="H19" s="46">
        <v>155206.59</v>
      </c>
      <c r="I19" s="85">
        <f>IF(compras_mes9[[#This Row],[NETO GRAVADO]]="","",compras_mes9[[#This Row],[NETO GRAVADO]]*0.21)</f>
        <v>32593.383899999997</v>
      </c>
      <c r="J19" s="85"/>
      <c r="K19" s="85"/>
      <c r="L19" s="85"/>
      <c r="M19" s="85"/>
      <c r="N19" s="85"/>
      <c r="O19" s="85"/>
      <c r="P19" s="48">
        <f>SUM(compras_mes9[[#This Row],[NETO GRAVADO]:[Otros / No Grav.]])</f>
        <v>187799.97389999998</v>
      </c>
      <c r="Q19" s="49" t="str">
        <f>IFERROR(IF(compras_mes9[[#This Row],[CUIT]]="","-",VLOOKUP(compras_mes9[[#This Row],[CUIT]],Lista_CUIT[#All],3,0)),"CUIT NO CARGADO")</f>
        <v>Productos Ortopedicos</v>
      </c>
      <c r="R19" s="49">
        <f>IFERROR(IF(compras_mes9[[#This Row],[CUIT]]="","-",VLOOKUP(compras_mes9[[#This Row],[CUIT]],Lista_CUIT[#All],4,0)),"CUIT NO CARGADO")</f>
        <v>0</v>
      </c>
    </row>
    <row r="20" spans="2:18" x14ac:dyDescent="0.25">
      <c r="B20" s="40">
        <v>45173</v>
      </c>
      <c r="C20" s="41">
        <v>1</v>
      </c>
      <c r="D20" s="42">
        <v>7</v>
      </c>
      <c r="E20" s="43">
        <v>918</v>
      </c>
      <c r="F20" s="44">
        <v>30712187316</v>
      </c>
      <c r="G20" s="45" t="str">
        <f>IFERROR(IF(compras_mes9[[#This Row],[CUIT]]="","-",VLOOKUP(compras_mes9[[#This Row],[CUIT]],Lista_CUIT[#All],2,0)),"CUIT NO CARGADO")</f>
        <v>ITALOMED PRODUCTOS SRL</v>
      </c>
      <c r="H20" s="46">
        <v>123262.39999999999</v>
      </c>
      <c r="I20" s="85">
        <f>IF(compras_mes9[[#This Row],[NETO GRAVADO]]="","",compras_mes9[[#This Row],[NETO GRAVADO]]*0.21)</f>
        <v>25885.103999999999</v>
      </c>
      <c r="J20" s="85"/>
      <c r="K20" s="85"/>
      <c r="L20" s="85"/>
      <c r="M20" s="85"/>
      <c r="N20" s="85"/>
      <c r="O20" s="85"/>
      <c r="P20" s="48">
        <f>SUM(compras_mes9[[#This Row],[NETO GRAVADO]:[Otros / No Grav.]])</f>
        <v>149147.50399999999</v>
      </c>
      <c r="Q20" s="49" t="str">
        <f>IFERROR(IF(compras_mes9[[#This Row],[CUIT]]="","-",VLOOKUP(compras_mes9[[#This Row],[CUIT]],Lista_CUIT[#All],3,0)),"CUIT NO CARGADO")</f>
        <v>Productos Ortopedicos</v>
      </c>
      <c r="R20" s="49">
        <f>IFERROR(IF(compras_mes9[[#This Row],[CUIT]]="","-",VLOOKUP(compras_mes9[[#This Row],[CUIT]],Lista_CUIT[#All],4,0)),"CUIT NO CARGADO")</f>
        <v>0</v>
      </c>
    </row>
    <row r="21" spans="2:18" x14ac:dyDescent="0.25">
      <c r="B21" s="40">
        <v>45173</v>
      </c>
      <c r="C21" s="41">
        <v>1</v>
      </c>
      <c r="D21" s="42">
        <v>10</v>
      </c>
      <c r="E21" s="43">
        <v>488</v>
      </c>
      <c r="F21" s="44">
        <v>30716229552</v>
      </c>
      <c r="G21" s="45" t="str">
        <f>IFERROR(IF(compras_mes9[[#This Row],[CUIT]]="","-",VLOOKUP(compras_mes9[[#This Row],[CUIT]],Lista_CUIT[#All],2,0)),"CUIT NO CARGADO")</f>
        <v>LUBRICANTES RUTA DE P e H SRL</v>
      </c>
      <c r="H21" s="46">
        <v>1735.54</v>
      </c>
      <c r="I21" s="85">
        <f>IF(compras_mes9[[#This Row],[NETO GRAVADO]]="","",compras_mes9[[#This Row],[NETO GRAVADO]]*0.21)</f>
        <v>364.46339999999998</v>
      </c>
      <c r="J21" s="85"/>
      <c r="K21" s="85"/>
      <c r="L21" s="85"/>
      <c r="M21" s="85"/>
      <c r="N21" s="85"/>
      <c r="O21" s="85"/>
      <c r="P21" s="48">
        <f>SUM(compras_mes9[[#This Row],[NETO GRAVADO]:[Otros / No Grav.]])</f>
        <v>2100.0034000000001</v>
      </c>
      <c r="Q21" s="49" t="str">
        <f>IFERROR(IF(compras_mes9[[#This Row],[CUIT]]="","-",VLOOKUP(compras_mes9[[#This Row],[CUIT]],Lista_CUIT[#All],3,0)),"CUIT NO CARGADO")</f>
        <v>COMBUSTIBLE</v>
      </c>
      <c r="R21" s="49">
        <f>IFERROR(IF(compras_mes9[[#This Row],[CUIT]]="","-",VLOOKUP(compras_mes9[[#This Row],[CUIT]],Lista_CUIT[#All],4,0)),"CUIT NO CARGADO")</f>
        <v>0</v>
      </c>
    </row>
    <row r="22" spans="2:18" x14ac:dyDescent="0.25">
      <c r="B22" s="219">
        <v>45173</v>
      </c>
      <c r="C22" s="209">
        <v>1</v>
      </c>
      <c r="D22" s="220">
        <v>5011</v>
      </c>
      <c r="E22" s="221">
        <v>522954</v>
      </c>
      <c r="F22" s="222">
        <v>30574876474</v>
      </c>
      <c r="G22" s="223" t="str">
        <f>IFERROR(IF(compras_mes9[[#This Row],[CUIT]]="","-",VLOOKUP(compras_mes9[[#This Row],[CUIT]],Lista_CUIT[#All],2,0)),"CUIT NO CARGADO")</f>
        <v>AUTOP. URBANAS SA</v>
      </c>
      <c r="H22" s="224">
        <v>4724.34</v>
      </c>
      <c r="I22" s="225">
        <f>IF(compras_mes9[[#This Row],[NETO GRAVADO]]="","",compras_mes9[[#This Row],[NETO GRAVADO]]*0.21)</f>
        <v>992.1114</v>
      </c>
      <c r="J22" s="225"/>
      <c r="K22" s="225"/>
      <c r="L22" s="225"/>
      <c r="M22" s="225">
        <v>141.72999999999999</v>
      </c>
      <c r="N22" s="225"/>
      <c r="O22" s="225">
        <v>472.43</v>
      </c>
      <c r="P22" s="226">
        <f>SUM(compras_mes9[[#This Row],[NETO GRAVADO]:[Otros / No Grav.]])</f>
        <v>6330.6113999999998</v>
      </c>
      <c r="Q22" s="227" t="str">
        <f>IFERROR(IF(compras_mes9[[#This Row],[CUIT]]="","-",VLOOKUP(compras_mes9[[#This Row],[CUIT]],Lista_CUIT[#All],3,0)),"CUIT NO CARGADO")</f>
        <v>PEAJE</v>
      </c>
      <c r="R22" s="227">
        <f>IFERROR(IF(compras_mes9[[#This Row],[CUIT]]="","-",VLOOKUP(compras_mes9[[#This Row],[CUIT]],Lista_CUIT[#All],4,0)),"CUIT NO CARGADO")</f>
        <v>0</v>
      </c>
    </row>
    <row r="23" spans="2:18" x14ac:dyDescent="0.25">
      <c r="B23" s="40">
        <v>45175</v>
      </c>
      <c r="C23" s="41">
        <v>1</v>
      </c>
      <c r="D23" s="42">
        <v>12</v>
      </c>
      <c r="E23" s="43">
        <v>16</v>
      </c>
      <c r="F23" s="44">
        <v>27202892936</v>
      </c>
      <c r="G23" s="45" t="str">
        <f>IFERROR(IF(compras_mes9[[#This Row],[CUIT]]="","-",VLOOKUP(compras_mes9[[#This Row],[CUIT]],Lista_CUIT[#All],2,0)),"CUIT NO CARGADO")</f>
        <v>Moriondo, Adriana Ines</v>
      </c>
      <c r="H23" s="46">
        <v>383514.8</v>
      </c>
      <c r="I23" s="85">
        <f>IF(compras_mes9[[#This Row],[NETO GRAVADO]]="","",compras_mes9[[#This Row],[NETO GRAVADO]]*0.21)</f>
        <v>80538.107999999993</v>
      </c>
      <c r="J23" s="85"/>
      <c r="K23" s="85"/>
      <c r="L23" s="85"/>
      <c r="M23" s="85"/>
      <c r="N23" s="85"/>
      <c r="O23" s="85"/>
      <c r="P23" s="48">
        <f>SUM(compras_mes9[[#This Row],[NETO GRAVADO]:[Otros / No Grav.]])</f>
        <v>464052.908</v>
      </c>
      <c r="Q23" s="49" t="str">
        <f>IFERROR(IF(compras_mes9[[#This Row],[CUIT]]="","-",VLOOKUP(compras_mes9[[#This Row],[CUIT]],Lista_CUIT[#All],3,0)),"CUIT NO CARGADO")</f>
        <v>PATENTES</v>
      </c>
      <c r="R23" s="49">
        <f>IFERROR(IF(compras_mes9[[#This Row],[CUIT]]="","-",VLOOKUP(compras_mes9[[#This Row],[CUIT]],Lista_CUIT[#All],4,0)),"CUIT NO CARGADO")</f>
        <v>0</v>
      </c>
    </row>
    <row r="24" spans="2:18" x14ac:dyDescent="0.25">
      <c r="B24" s="40">
        <v>45176</v>
      </c>
      <c r="C24" s="41">
        <v>1</v>
      </c>
      <c r="D24" s="42">
        <v>12</v>
      </c>
      <c r="E24" s="43">
        <v>1646144</v>
      </c>
      <c r="F24" s="44">
        <v>30709776564</v>
      </c>
      <c r="G24" s="45" t="str">
        <f>IFERROR(IF(compras_mes9[[#This Row],[CUIT]]="","-",VLOOKUP(compras_mes9[[#This Row],[CUIT]],Lista_CUIT[#All],2,0)),"CUIT NO CARGADO")</f>
        <v>PROSEGUR ACTIVA ARG SA</v>
      </c>
      <c r="H24" s="46">
        <v>26919.56</v>
      </c>
      <c r="I24" s="85">
        <f>IF(compras_mes9[[#This Row],[NETO GRAVADO]]="","",compras_mes9[[#This Row],[NETO GRAVADO]]*0.21)</f>
        <v>5653.1076000000003</v>
      </c>
      <c r="J24" s="85"/>
      <c r="K24" s="85"/>
      <c r="L24" s="85"/>
      <c r="M24" s="85"/>
      <c r="N24" s="85">
        <v>1076.78</v>
      </c>
      <c r="O24" s="85"/>
      <c r="P24" s="48">
        <f>SUM(compras_mes9[[#This Row],[NETO GRAVADO]:[Otros / No Grav.]])</f>
        <v>33649.4476</v>
      </c>
      <c r="Q24" s="49" t="str">
        <f>IFERROR(IF(compras_mes9[[#This Row],[CUIT]]="","-",VLOOKUP(compras_mes9[[#This Row],[CUIT]],Lista_CUIT[#All],3,0)),"CUIT NO CARGADO")</f>
        <v>SEGURIDAD</v>
      </c>
      <c r="R24" s="49">
        <f>IFERROR(IF(compras_mes9[[#This Row],[CUIT]]="","-",VLOOKUP(compras_mes9[[#This Row],[CUIT]],Lista_CUIT[#All],4,0)),"CUIT NO CARGADO")</f>
        <v>0</v>
      </c>
    </row>
    <row r="25" spans="2:18" x14ac:dyDescent="0.25">
      <c r="B25" s="40">
        <v>45176</v>
      </c>
      <c r="C25" s="41">
        <v>1</v>
      </c>
      <c r="D25" s="42">
        <v>2</v>
      </c>
      <c r="E25" s="43">
        <v>75</v>
      </c>
      <c r="F25" s="44">
        <v>20272865869</v>
      </c>
      <c r="G25" s="45" t="str">
        <f>IFERROR(IF(compras_mes9[[#This Row],[CUIT]]="","-",VLOOKUP(compras_mes9[[#This Row],[CUIT]],Lista_CUIT[#All],2,0)),"CUIT NO CARGADO")</f>
        <v>DI FEO MARTIN EZEQUIEL</v>
      </c>
      <c r="H25" s="46">
        <v>15025</v>
      </c>
      <c r="I25" s="85">
        <f>IF(compras_mes9[[#This Row],[NETO GRAVADO]]="","",compras_mes9[[#This Row],[NETO GRAVADO]]*0.21)</f>
        <v>3155.25</v>
      </c>
      <c r="J25" s="85"/>
      <c r="K25" s="85"/>
      <c r="L25" s="85"/>
      <c r="M25" s="85"/>
      <c r="N25" s="85"/>
      <c r="O25" s="85"/>
      <c r="P25" s="48">
        <f>SUM(compras_mes9[[#This Row],[NETO GRAVADO]:[Otros / No Grav.]])</f>
        <v>18180.25</v>
      </c>
      <c r="Q25" s="49" t="str">
        <f>IFERROR(IF(compras_mes9[[#This Row],[CUIT]]="","-",VLOOKUP(compras_mes9[[#This Row],[CUIT]],Lista_CUIT[#All],3,0)),"CUIT NO CARGADO")</f>
        <v>Productos Ortopedicos</v>
      </c>
      <c r="R25" s="49">
        <f>IFERROR(IF(compras_mes9[[#This Row],[CUIT]]="","-",VLOOKUP(compras_mes9[[#This Row],[CUIT]],Lista_CUIT[#All],4,0)),"CUIT NO CARGADO")</f>
        <v>0</v>
      </c>
    </row>
    <row r="26" spans="2:18" x14ac:dyDescent="0.25">
      <c r="B26" s="40">
        <v>45176</v>
      </c>
      <c r="C26" s="41">
        <v>1</v>
      </c>
      <c r="D26" s="42">
        <v>2</v>
      </c>
      <c r="E26" s="43">
        <v>74</v>
      </c>
      <c r="F26" s="44">
        <v>20272865869</v>
      </c>
      <c r="G26" s="45" t="str">
        <f>IFERROR(IF(compras_mes9[[#This Row],[CUIT]]="","-",VLOOKUP(compras_mes9[[#This Row],[CUIT]],Lista_CUIT[#All],2,0)),"CUIT NO CARGADO")</f>
        <v>DI FEO MARTIN EZEQUIEL</v>
      </c>
      <c r="H26" s="46">
        <v>114103.84</v>
      </c>
      <c r="I26" s="85">
        <f>IF(compras_mes9[[#This Row],[NETO GRAVADO]]="","",compras_mes9[[#This Row],[NETO GRAVADO]]*0.21)</f>
        <v>23961.806399999998</v>
      </c>
      <c r="J26" s="85"/>
      <c r="K26" s="85"/>
      <c r="L26" s="85"/>
      <c r="M26" s="85"/>
      <c r="N26" s="85"/>
      <c r="O26" s="85"/>
      <c r="P26" s="48">
        <f>SUM(compras_mes9[[#This Row],[NETO GRAVADO]:[Otros / No Grav.]])</f>
        <v>138065.6464</v>
      </c>
      <c r="Q26" s="49" t="str">
        <f>IFERROR(IF(compras_mes9[[#This Row],[CUIT]]="","-",VLOOKUP(compras_mes9[[#This Row],[CUIT]],Lista_CUIT[#All],3,0)),"CUIT NO CARGADO")</f>
        <v>Productos Ortopedicos</v>
      </c>
      <c r="R26" s="49">
        <f>IFERROR(IF(compras_mes9[[#This Row],[CUIT]]="","-",VLOOKUP(compras_mes9[[#This Row],[CUIT]],Lista_CUIT[#All],4,0)),"CUIT NO CARGADO")</f>
        <v>0</v>
      </c>
    </row>
    <row r="27" spans="2:18" x14ac:dyDescent="0.25">
      <c r="B27" s="40">
        <v>45176</v>
      </c>
      <c r="C27" s="41">
        <v>1</v>
      </c>
      <c r="D27" s="42">
        <v>5</v>
      </c>
      <c r="E27" s="43">
        <v>1374</v>
      </c>
      <c r="F27" s="44">
        <v>30712187316</v>
      </c>
      <c r="G27" s="45" t="str">
        <f>IFERROR(IF(compras_mes9[[#This Row],[CUIT]]="","-",VLOOKUP(compras_mes9[[#This Row],[CUIT]],Lista_CUIT[#All],2,0)),"CUIT NO CARGADO")</f>
        <v>ITALOMED PRODUCTOS SRL</v>
      </c>
      <c r="H27" s="46">
        <v>155206.59</v>
      </c>
      <c r="I27" s="85">
        <f>IF(compras_mes9[[#This Row],[NETO GRAVADO]]="","",compras_mes9[[#This Row],[NETO GRAVADO]]*0.21)</f>
        <v>32593.383899999997</v>
      </c>
      <c r="J27" s="85"/>
      <c r="K27" s="85"/>
      <c r="L27" s="85"/>
      <c r="M27" s="85"/>
      <c r="N27" s="85"/>
      <c r="O27" s="85"/>
      <c r="P27" s="48">
        <f>SUM(compras_mes9[[#This Row],[NETO GRAVADO]:[Otros / No Grav.]])</f>
        <v>187799.97389999998</v>
      </c>
      <c r="Q27" s="49" t="str">
        <f>IFERROR(IF(compras_mes9[[#This Row],[CUIT]]="","-",VLOOKUP(compras_mes9[[#This Row],[CUIT]],Lista_CUIT[#All],3,0)),"CUIT NO CARGADO")</f>
        <v>Productos Ortopedicos</v>
      </c>
      <c r="R27" s="49">
        <f>IFERROR(IF(compras_mes9[[#This Row],[CUIT]]="","-",VLOOKUP(compras_mes9[[#This Row],[CUIT]],Lista_CUIT[#All],4,0)),"CUIT NO CARGADO")</f>
        <v>0</v>
      </c>
    </row>
    <row r="28" spans="2:18" x14ac:dyDescent="0.25">
      <c r="B28" s="219">
        <v>45176</v>
      </c>
      <c r="C28" s="209">
        <v>1</v>
      </c>
      <c r="D28" s="220">
        <v>700</v>
      </c>
      <c r="E28" s="221">
        <v>1123594</v>
      </c>
      <c r="F28" s="222">
        <v>30715804812</v>
      </c>
      <c r="G28" s="223" t="str">
        <f>IFERROR(IF(compras_mes9[[#This Row],[CUIT]]="","-",VLOOKUP(compras_mes9[[#This Row],[CUIT]],Lista_CUIT[#All],2,0)),"CUIT NO CARGADO")</f>
        <v>CORREDORES VIALES SOCIEDAD ANONIMA</v>
      </c>
      <c r="H28" s="224">
        <v>3347.11</v>
      </c>
      <c r="I28" s="225">
        <f>IF(compras_mes9[[#This Row],[NETO GRAVADO]]="","",compras_mes9[[#This Row],[NETO GRAVADO]]*0.21)</f>
        <v>702.8931</v>
      </c>
      <c r="J28" s="225"/>
      <c r="K28" s="225"/>
      <c r="L28" s="225"/>
      <c r="M28" s="225"/>
      <c r="N28" s="225">
        <v>133.88999999999999</v>
      </c>
      <c r="O28" s="225"/>
      <c r="P28" s="226">
        <f>SUM(compras_mes9[[#This Row],[NETO GRAVADO]:[Otros / No Grav.]])</f>
        <v>4183.8931000000002</v>
      </c>
      <c r="Q28" s="227" t="str">
        <f>IFERROR(IF(compras_mes9[[#This Row],[CUIT]]="","-",VLOOKUP(compras_mes9[[#This Row],[CUIT]],Lista_CUIT[#All],3,0)),"CUIT NO CARGADO")</f>
        <v>Autopista</v>
      </c>
      <c r="R28" s="227">
        <f>IFERROR(IF(compras_mes9[[#This Row],[CUIT]]="","-",VLOOKUP(compras_mes9[[#This Row],[CUIT]],Lista_CUIT[#All],4,0)),"CUIT NO CARGADO")</f>
        <v>0</v>
      </c>
    </row>
    <row r="29" spans="2:18" x14ac:dyDescent="0.25">
      <c r="B29" s="219">
        <v>45176</v>
      </c>
      <c r="C29" s="209">
        <v>1</v>
      </c>
      <c r="D29" s="220">
        <v>7</v>
      </c>
      <c r="E29" s="221">
        <v>27879</v>
      </c>
      <c r="F29" s="222">
        <v>20271532483</v>
      </c>
      <c r="G29" s="223" t="str">
        <f>IFERROR(IF(compras_mes9[[#This Row],[CUIT]]="","-",VLOOKUP(compras_mes9[[#This Row],[CUIT]],Lista_CUIT[#All],2,0)),"CUIT NO CARGADO")</f>
        <v>DIEGO MARTIN RIOS</v>
      </c>
      <c r="H29" s="224">
        <v>23850</v>
      </c>
      <c r="I29" s="225">
        <f>IF(compras_mes9[[#This Row],[NETO GRAVADO]]="","",compras_mes9[[#This Row],[NETO GRAVADO]]*0.21)</f>
        <v>5008.5</v>
      </c>
      <c r="J29" s="225"/>
      <c r="K29" s="225"/>
      <c r="L29" s="225"/>
      <c r="M29" s="225"/>
      <c r="N29" s="225">
        <v>954</v>
      </c>
      <c r="O29" s="225"/>
      <c r="P29" s="226">
        <f>SUM(compras_mes9[[#This Row],[NETO GRAVADO]:[Otros / No Grav.]])</f>
        <v>29812.5</v>
      </c>
      <c r="Q29" s="227" t="str">
        <f>IFERROR(IF(compras_mes9[[#This Row],[CUIT]]="","-",VLOOKUP(compras_mes9[[#This Row],[CUIT]],Lista_CUIT[#All],3,0)),"CUIT NO CARGADO")</f>
        <v>Productos Ortopedicos</v>
      </c>
      <c r="R29" s="227">
        <f>IFERROR(IF(compras_mes9[[#This Row],[CUIT]]="","-",VLOOKUP(compras_mes9[[#This Row],[CUIT]],Lista_CUIT[#All],4,0)),"CUIT NO CARGADO")</f>
        <v>0</v>
      </c>
    </row>
    <row r="30" spans="2:18" x14ac:dyDescent="0.25">
      <c r="B30" s="40">
        <v>45177</v>
      </c>
      <c r="C30" s="41">
        <v>1</v>
      </c>
      <c r="D30" s="42">
        <v>7</v>
      </c>
      <c r="E30" s="43">
        <v>27887</v>
      </c>
      <c r="F30" s="44">
        <v>20271532483</v>
      </c>
      <c r="G30" s="45" t="str">
        <f>IFERROR(IF(compras_mes9[[#This Row],[CUIT]]="","-",VLOOKUP(compras_mes9[[#This Row],[CUIT]],Lista_CUIT[#All],2,0)),"CUIT NO CARGADO")</f>
        <v>DIEGO MARTIN RIOS</v>
      </c>
      <c r="H30" s="46">
        <v>5687109.8700000001</v>
      </c>
      <c r="I30" s="85">
        <f>IF(compras_mes9[[#This Row],[NETO GRAVADO]]="","",compras_mes9[[#This Row],[NETO GRAVADO]]*0.21)</f>
        <v>1194293.0726999999</v>
      </c>
      <c r="J30" s="85"/>
      <c r="K30" s="85"/>
      <c r="L30" s="85"/>
      <c r="M30" s="85"/>
      <c r="N30" s="85">
        <v>227484.39</v>
      </c>
      <c r="O30" s="85"/>
      <c r="P30" s="48">
        <f>SUM(compras_mes9[[#This Row],[NETO GRAVADO]:[Otros / No Grav.]])</f>
        <v>7108887.3327000001</v>
      </c>
      <c r="Q30" s="49" t="str">
        <f>IFERROR(IF(compras_mes9[[#This Row],[CUIT]]="","-",VLOOKUP(compras_mes9[[#This Row],[CUIT]],Lista_CUIT[#All],3,0)),"CUIT NO CARGADO")</f>
        <v>Productos Ortopedicos</v>
      </c>
      <c r="R30" s="49">
        <f>IFERROR(IF(compras_mes9[[#This Row],[CUIT]]="","-",VLOOKUP(compras_mes9[[#This Row],[CUIT]],Lista_CUIT[#All],4,0)),"CUIT NO CARGADO")</f>
        <v>0</v>
      </c>
    </row>
    <row r="31" spans="2:18" x14ac:dyDescent="0.25">
      <c r="B31" s="40">
        <v>45177</v>
      </c>
      <c r="C31" s="41">
        <v>1</v>
      </c>
      <c r="D31" s="42">
        <v>2</v>
      </c>
      <c r="E31" s="43">
        <v>22764</v>
      </c>
      <c r="F31" s="44">
        <v>23233422029</v>
      </c>
      <c r="G31" s="45" t="str">
        <f>IFERROR(IF(compras_mes9[[#This Row],[CUIT]]="","-",VLOOKUP(compras_mes9[[#This Row],[CUIT]],Lista_CUIT[#All],2,0)),"CUIT NO CARGADO")</f>
        <v>RODOLFO SCHULZE</v>
      </c>
      <c r="H31" s="46">
        <v>14570.7</v>
      </c>
      <c r="I31" s="85">
        <f>IF(compras_mes9[[#This Row],[NETO GRAVADO]]="","",compras_mes9[[#This Row],[NETO GRAVADO]]*0.21)</f>
        <v>3059.8470000000002</v>
      </c>
      <c r="J31" s="85"/>
      <c r="K31" s="85"/>
      <c r="L31" s="85"/>
      <c r="M31" s="85"/>
      <c r="N31" s="85"/>
      <c r="O31" s="85"/>
      <c r="P31" s="48">
        <f>SUM(compras_mes9[[#This Row],[NETO GRAVADO]:[Otros / No Grav.]])</f>
        <v>17630.547000000002</v>
      </c>
      <c r="Q31" s="49" t="str">
        <f>IFERROR(IF(compras_mes9[[#This Row],[CUIT]]="","-",VLOOKUP(compras_mes9[[#This Row],[CUIT]],Lista_CUIT[#All],3,0)),"CUIT NO CARGADO")</f>
        <v>Productos Ortopedicos</v>
      </c>
      <c r="R31" s="49">
        <f>IFERROR(IF(compras_mes9[[#This Row],[CUIT]]="","-",VLOOKUP(compras_mes9[[#This Row],[CUIT]],Lista_CUIT[#All],4,0)),"CUIT NO CARGADO")</f>
        <v>0</v>
      </c>
    </row>
    <row r="32" spans="2:18" x14ac:dyDescent="0.25">
      <c r="B32" s="40">
        <v>45178</v>
      </c>
      <c r="C32" s="41">
        <v>1</v>
      </c>
      <c r="D32" s="42">
        <v>948</v>
      </c>
      <c r="E32" s="43">
        <v>1053721</v>
      </c>
      <c r="F32" s="44">
        <v>30639453975</v>
      </c>
      <c r="G32" s="45" t="str">
        <f>IFERROR(IF(compras_mes9[[#This Row],[CUIT]]="","-",VLOOKUP(compras_mes9[[#This Row],[CUIT]],Lista_CUIT[#All],2,0)),"CUIT NO CARGADO")</f>
        <v>TELEFONICA ARG SA</v>
      </c>
      <c r="H32" s="46">
        <v>14020.64</v>
      </c>
      <c r="I32" s="85"/>
      <c r="J32" s="85">
        <v>3785.57</v>
      </c>
      <c r="K32" s="85"/>
      <c r="L32" s="85">
        <v>420.62</v>
      </c>
      <c r="M32" s="85"/>
      <c r="N32" s="85">
        <v>560.83000000000004</v>
      </c>
      <c r="O32" s="85"/>
      <c r="P32" s="48">
        <f>SUM(compras_mes9[[#This Row],[NETO GRAVADO]:[Otros / No Grav.]])</f>
        <v>18787.66</v>
      </c>
      <c r="Q32" s="49" t="str">
        <f>IFERROR(IF(compras_mes9[[#This Row],[CUIT]]="","-",VLOOKUP(compras_mes9[[#This Row],[CUIT]],Lista_CUIT[#All],3,0)),"CUIT NO CARGADO")</f>
        <v>TELEFONIA</v>
      </c>
      <c r="R32" s="49">
        <f>IFERROR(IF(compras_mes9[[#This Row],[CUIT]]="","-",VLOOKUP(compras_mes9[[#This Row],[CUIT]],Lista_CUIT[#All],4,0)),"CUIT NO CARGADO")</f>
        <v>0</v>
      </c>
    </row>
    <row r="33" spans="2:18" x14ac:dyDescent="0.25">
      <c r="B33" s="40">
        <v>45180</v>
      </c>
      <c r="C33" s="41">
        <v>1</v>
      </c>
      <c r="D33" s="42">
        <v>4</v>
      </c>
      <c r="E33" s="43">
        <v>283</v>
      </c>
      <c r="F33" s="44">
        <v>20110663316</v>
      </c>
      <c r="G33" s="45" t="str">
        <f>IFERROR(IF(compras_mes9[[#This Row],[CUIT]]="","-",VLOOKUP(compras_mes9[[#This Row],[CUIT]],Lista_CUIT[#All],2,0)),"CUIT NO CARGADO")</f>
        <v>COSTA JOSE ANIBAL</v>
      </c>
      <c r="H33" s="46">
        <v>125454.55</v>
      </c>
      <c r="I33" s="85">
        <f>IF(compras_mes9[[#This Row],[NETO GRAVADO]]="","",compras_mes9[[#This Row],[NETO GRAVADO]]*0.21)</f>
        <v>26345.4555</v>
      </c>
      <c r="J33" s="85"/>
      <c r="K33" s="85"/>
      <c r="L33" s="85"/>
      <c r="M33" s="85"/>
      <c r="N33" s="85"/>
      <c r="O33" s="85"/>
      <c r="P33" s="48">
        <f>SUM(compras_mes9[[#This Row],[NETO GRAVADO]:[Otros / No Grav.]])</f>
        <v>151800.0055</v>
      </c>
      <c r="Q33" s="49" t="str">
        <f>IFERROR(IF(compras_mes9[[#This Row],[CUIT]]="","-",VLOOKUP(compras_mes9[[#This Row],[CUIT]],Lista_CUIT[#All],3,0)),"CUIT NO CARGADO")</f>
        <v>Productos Ortopedicos</v>
      </c>
      <c r="R33" s="49">
        <f>IFERROR(IF(compras_mes9[[#This Row],[CUIT]]="","-",VLOOKUP(compras_mes9[[#This Row],[CUIT]],Lista_CUIT[#All],4,0)),"CUIT NO CARGADO")</f>
        <v>0</v>
      </c>
    </row>
    <row r="34" spans="2:18" x14ac:dyDescent="0.25">
      <c r="B34" s="40">
        <v>45180</v>
      </c>
      <c r="C34" s="41">
        <v>1</v>
      </c>
      <c r="D34" s="42">
        <v>3</v>
      </c>
      <c r="E34" s="43">
        <v>99</v>
      </c>
      <c r="F34" s="44">
        <v>20334976433</v>
      </c>
      <c r="G34" s="45" t="str">
        <f>IFERROR(IF(compras_mes9[[#This Row],[CUIT]]="","-",VLOOKUP(compras_mes9[[#This Row],[CUIT]],Lista_CUIT[#All],2,0)),"CUIT NO CARGADO")</f>
        <v>NARDOMARINO EZEQUIEL EDUARDO</v>
      </c>
      <c r="H34" s="46">
        <v>165497.51999999999</v>
      </c>
      <c r="I34" s="85">
        <f>IF(compras_mes9[[#This Row],[NETO GRAVADO]]="","",compras_mes9[[#This Row],[NETO GRAVADO]]*0.21)</f>
        <v>34754.479199999994</v>
      </c>
      <c r="J34" s="85"/>
      <c r="K34" s="85"/>
      <c r="L34" s="85"/>
      <c r="M34" s="85"/>
      <c r="N34" s="85"/>
      <c r="O34" s="85"/>
      <c r="P34" s="48">
        <f>SUM(compras_mes9[[#This Row],[NETO GRAVADO]:[Otros / No Grav.]])</f>
        <v>200251.99919999999</v>
      </c>
      <c r="Q34" s="49" t="str">
        <f>IFERROR(IF(compras_mes9[[#This Row],[CUIT]]="","-",VLOOKUP(compras_mes9[[#This Row],[CUIT]],Lista_CUIT[#All],3,0)),"CUIT NO CARGADO")</f>
        <v>FLETE</v>
      </c>
      <c r="R34" s="49">
        <f>IFERROR(IF(compras_mes9[[#This Row],[CUIT]]="","-",VLOOKUP(compras_mes9[[#This Row],[CUIT]],Lista_CUIT[#All],4,0)),"CUIT NO CARGADO")</f>
        <v>0</v>
      </c>
    </row>
    <row r="35" spans="2:18" x14ac:dyDescent="0.25">
      <c r="B35" s="40">
        <v>45180</v>
      </c>
      <c r="C35" s="41">
        <v>1</v>
      </c>
      <c r="D35" s="42">
        <v>4</v>
      </c>
      <c r="E35" s="43">
        <v>66</v>
      </c>
      <c r="F35" s="44">
        <v>20317488476</v>
      </c>
      <c r="G35" s="45" t="str">
        <f>IFERROR(IF(compras_mes9[[#This Row],[CUIT]]="","-",VLOOKUP(compras_mes9[[#This Row],[CUIT]],Lista_CUIT[#All],2,0)),"CUIT NO CARGADO")</f>
        <v>MIGUEL ANGEL VILLALBA</v>
      </c>
      <c r="H35" s="46">
        <v>60000</v>
      </c>
      <c r="I35" s="85">
        <f>IF(compras_mes9[[#This Row],[NETO GRAVADO]]="","",compras_mes9[[#This Row],[NETO GRAVADO]]*0.21)</f>
        <v>12600</v>
      </c>
      <c r="J35" s="85"/>
      <c r="K35" s="85"/>
      <c r="L35" s="85"/>
      <c r="M35" s="85"/>
      <c r="N35" s="85"/>
      <c r="O35" s="85"/>
      <c r="P35" s="48">
        <f>SUM(compras_mes9[[#This Row],[NETO GRAVADO]:[Otros / No Grav.]])</f>
        <v>72600</v>
      </c>
      <c r="Q35" s="49" t="str">
        <f>IFERROR(IF(compras_mes9[[#This Row],[CUIT]]="","-",VLOOKUP(compras_mes9[[#This Row],[CUIT]],Lista_CUIT[#All],3,0)),"CUIT NO CARGADO")</f>
        <v>Recupero P. Ortopedicos</v>
      </c>
      <c r="R35" s="49">
        <f>IFERROR(IF(compras_mes9[[#This Row],[CUIT]]="","-",VLOOKUP(compras_mes9[[#This Row],[CUIT]],Lista_CUIT[#All],4,0)),"CUIT NO CARGADO")</f>
        <v>0</v>
      </c>
    </row>
    <row r="36" spans="2:18" x14ac:dyDescent="0.25">
      <c r="B36" s="40">
        <v>45181</v>
      </c>
      <c r="C36" s="41">
        <v>1</v>
      </c>
      <c r="D36" s="42">
        <v>17</v>
      </c>
      <c r="E36" s="43">
        <v>1296</v>
      </c>
      <c r="F36" s="44">
        <v>30711764921</v>
      </c>
      <c r="G36" s="45" t="str">
        <f>IFERROR(IF(compras_mes9[[#This Row],[CUIT]]="","-",VLOOKUP(compras_mes9[[#This Row],[CUIT]],Lista_CUIT[#All],2,0)),"CUIT NO CARGADO")</f>
        <v>RELIEF CENTER SRL</v>
      </c>
      <c r="H36" s="46">
        <v>10176</v>
      </c>
      <c r="I36" s="85">
        <f>IF(compras_mes9[[#This Row],[NETO GRAVADO]]="","",compras_mes9[[#This Row],[NETO GRAVADO]]*0.21)</f>
        <v>2136.96</v>
      </c>
      <c r="J36" s="85"/>
      <c r="K36" s="85"/>
      <c r="L36" s="85"/>
      <c r="M36" s="85"/>
      <c r="N36" s="85"/>
      <c r="O36" s="85"/>
      <c r="P36" s="48">
        <f>SUM(compras_mes9[[#This Row],[NETO GRAVADO]:[Otros / No Grav.]])</f>
        <v>12312.96</v>
      </c>
      <c r="Q36" s="49" t="str">
        <f>IFERROR(IF(compras_mes9[[#This Row],[CUIT]]="","-",VLOOKUP(compras_mes9[[#This Row],[CUIT]],Lista_CUIT[#All],3,0)),"CUIT NO CARGADO")</f>
        <v>Productos Ortopedicos</v>
      </c>
      <c r="R36" s="49">
        <f>IFERROR(IF(compras_mes9[[#This Row],[CUIT]]="","-",VLOOKUP(compras_mes9[[#This Row],[CUIT]],Lista_CUIT[#All],4,0)),"CUIT NO CARGADO")</f>
        <v>0</v>
      </c>
    </row>
    <row r="37" spans="2:18" x14ac:dyDescent="0.25">
      <c r="B37" s="40">
        <v>45181</v>
      </c>
      <c r="C37" s="41">
        <v>1</v>
      </c>
      <c r="D37" s="42">
        <v>32</v>
      </c>
      <c r="E37" s="43">
        <v>11222</v>
      </c>
      <c r="F37" s="44">
        <v>30707304886</v>
      </c>
      <c r="G37" s="45" t="str">
        <f>IFERROR(IF(compras_mes9[[#This Row],[CUIT]]="","-",VLOOKUP(compras_mes9[[#This Row],[CUIT]],Lista_CUIT[#All],2,0)),"CUIT NO CARGADO")</f>
        <v>ARMORAUT SA</v>
      </c>
      <c r="H37" s="46">
        <v>88398.35</v>
      </c>
      <c r="I37" s="85">
        <f>IF(compras_mes9[[#This Row],[NETO GRAVADO]]="","",compras_mes9[[#This Row],[NETO GRAVADO]]*0.21)</f>
        <v>18563.6535</v>
      </c>
      <c r="J37" s="85"/>
      <c r="K37" s="85"/>
      <c r="L37" s="85"/>
      <c r="M37" s="85"/>
      <c r="N37" s="85">
        <v>3535.93</v>
      </c>
      <c r="O37" s="85"/>
      <c r="P37" s="48">
        <f>SUM(compras_mes9[[#This Row],[NETO GRAVADO]:[Otros / No Grav.]])</f>
        <v>110497.9335</v>
      </c>
      <c r="Q37" s="49" t="str">
        <f>IFERROR(IF(compras_mes9[[#This Row],[CUIT]]="","-",VLOOKUP(compras_mes9[[#This Row],[CUIT]],Lista_CUIT[#All],3,0)),"CUIT NO CARGADO")</f>
        <v>COMBUSTIBLE</v>
      </c>
      <c r="R37" s="49">
        <f>IFERROR(IF(compras_mes9[[#This Row],[CUIT]]="","-",VLOOKUP(compras_mes9[[#This Row],[CUIT]],Lista_CUIT[#All],4,0)),"CUIT NO CARGADO")</f>
        <v>0</v>
      </c>
    </row>
    <row r="38" spans="2:18" x14ac:dyDescent="0.25">
      <c r="B38" s="40">
        <v>45181</v>
      </c>
      <c r="C38" s="41">
        <v>1</v>
      </c>
      <c r="D38" s="42">
        <v>9041</v>
      </c>
      <c r="E38" s="43">
        <v>98</v>
      </c>
      <c r="F38" s="44">
        <v>30678774495</v>
      </c>
      <c r="G38" s="45" t="str">
        <f>IFERROR(IF(compras_mes9[[#This Row],[CUIT]]="","-",VLOOKUP(compras_mes9[[#This Row],[CUIT]],Lista_CUIT[#All],2,0)),"CUIT NO CARGADO")</f>
        <v>OPER. DE EST. DE SERV. SA</v>
      </c>
      <c r="H38" s="46">
        <v>15293.28</v>
      </c>
      <c r="I38" s="85">
        <f>IF(compras_mes9[[#This Row],[NETO GRAVADO]]="","",compras_mes9[[#This Row],[NETO GRAVADO]]*0.21)</f>
        <v>3211.5888</v>
      </c>
      <c r="J38" s="85"/>
      <c r="K38" s="85"/>
      <c r="L38" s="85"/>
      <c r="M38" s="85"/>
      <c r="N38" s="85"/>
      <c r="O38" s="85">
        <v>868.71</v>
      </c>
      <c r="P38" s="48">
        <f>SUM(compras_mes9[[#This Row],[NETO GRAVADO]:[Otros / No Grav.]])</f>
        <v>19373.578799999999</v>
      </c>
      <c r="Q38" s="49" t="str">
        <f>IFERROR(IF(compras_mes9[[#This Row],[CUIT]]="","-",VLOOKUP(compras_mes9[[#This Row],[CUIT]],Lista_CUIT[#All],3,0)),"CUIT NO CARGADO")</f>
        <v>COMBUSTIBLE</v>
      </c>
      <c r="R38" s="49">
        <f>IFERROR(IF(compras_mes9[[#This Row],[CUIT]]="","-",VLOOKUP(compras_mes9[[#This Row],[CUIT]],Lista_CUIT[#All],4,0)),"CUIT NO CARGADO")</f>
        <v>0</v>
      </c>
    </row>
    <row r="39" spans="2:18" x14ac:dyDescent="0.25">
      <c r="B39" s="219">
        <v>45181</v>
      </c>
      <c r="C39" s="209">
        <v>1</v>
      </c>
      <c r="D39" s="220">
        <v>9040</v>
      </c>
      <c r="E39" s="221">
        <v>16955</v>
      </c>
      <c r="F39" s="222">
        <v>30678774495</v>
      </c>
      <c r="G39" s="223" t="str">
        <f>IFERROR(IF(compras_mes9[[#This Row],[CUIT]]="","-",VLOOKUP(compras_mes9[[#This Row],[CUIT]],Lista_CUIT[#All],2,0)),"CUIT NO CARGADO")</f>
        <v>OPER. DE EST. DE SERV. SA</v>
      </c>
      <c r="H39" s="224">
        <v>15293.28</v>
      </c>
      <c r="I39" s="225">
        <f>IF(compras_mes9[[#This Row],[NETO GRAVADO]]="","",compras_mes9[[#This Row],[NETO GRAVADO]]*0.21)</f>
        <v>3211.5888</v>
      </c>
      <c r="J39" s="225"/>
      <c r="K39" s="225"/>
      <c r="L39" s="225"/>
      <c r="M39" s="225"/>
      <c r="N39" s="225"/>
      <c r="O39" s="225">
        <v>868.71</v>
      </c>
      <c r="P39" s="226">
        <f>SUM(compras_mes9[[#This Row],[NETO GRAVADO]:[Otros / No Grav.]])</f>
        <v>19373.578799999999</v>
      </c>
      <c r="Q39" s="227" t="str">
        <f>IFERROR(IF(compras_mes9[[#This Row],[CUIT]]="","-",VLOOKUP(compras_mes9[[#This Row],[CUIT]],Lista_CUIT[#All],3,0)),"CUIT NO CARGADO")</f>
        <v>COMBUSTIBLE</v>
      </c>
      <c r="R39" s="227">
        <f>IFERROR(IF(compras_mes9[[#This Row],[CUIT]]="","-",VLOOKUP(compras_mes9[[#This Row],[CUIT]],Lista_CUIT[#All],4,0)),"CUIT NO CARGADO")</f>
        <v>0</v>
      </c>
    </row>
    <row r="40" spans="2:18" x14ac:dyDescent="0.25">
      <c r="B40" s="219">
        <v>45181</v>
      </c>
      <c r="C40" s="209">
        <v>3</v>
      </c>
      <c r="D40" s="220">
        <v>9040</v>
      </c>
      <c r="E40" s="221">
        <v>52</v>
      </c>
      <c r="F40" s="222">
        <v>30678774495</v>
      </c>
      <c r="G40" s="223" t="str">
        <f>IFERROR(IF(compras_mes9[[#This Row],[CUIT]]="","-",VLOOKUP(compras_mes9[[#This Row],[CUIT]],Lista_CUIT[#All],2,0)),"CUIT NO CARGADO")</f>
        <v>OPER. DE EST. DE SERV. SA</v>
      </c>
      <c r="H40" s="224">
        <v>-15293.28</v>
      </c>
      <c r="I40" s="225">
        <f>IF(compras_mes9[[#This Row],[NETO GRAVADO]]="","",compras_mes9[[#This Row],[NETO GRAVADO]]*0.21)</f>
        <v>-3211.5888</v>
      </c>
      <c r="J40" s="225"/>
      <c r="K40" s="225"/>
      <c r="L40" s="225"/>
      <c r="M40" s="225"/>
      <c r="N40" s="225"/>
      <c r="O40" s="225">
        <v>-868.71</v>
      </c>
      <c r="P40" s="226">
        <f>SUM(compras_mes9[[#This Row],[NETO GRAVADO]:[Otros / No Grav.]])</f>
        <v>-19373.578799999999</v>
      </c>
      <c r="Q40" s="227" t="str">
        <f>IFERROR(IF(compras_mes9[[#This Row],[CUIT]]="","-",VLOOKUP(compras_mes9[[#This Row],[CUIT]],Lista_CUIT[#All],3,0)),"CUIT NO CARGADO")</f>
        <v>COMBUSTIBLE</v>
      </c>
      <c r="R40" s="227">
        <f>IFERROR(IF(compras_mes9[[#This Row],[CUIT]]="","-",VLOOKUP(compras_mes9[[#This Row],[CUIT]],Lista_CUIT[#All],4,0)),"CUIT NO CARGADO")</f>
        <v>0</v>
      </c>
    </row>
    <row r="41" spans="2:18" x14ac:dyDescent="0.25">
      <c r="B41" s="40">
        <v>45182</v>
      </c>
      <c r="C41" s="41">
        <v>1</v>
      </c>
      <c r="D41" s="42">
        <v>3</v>
      </c>
      <c r="E41" s="43">
        <v>6080</v>
      </c>
      <c r="F41" s="44">
        <v>33708218699</v>
      </c>
      <c r="G41" s="45" t="str">
        <f>IFERROR(IF(compras_mes9[[#This Row],[CUIT]]="","-",VLOOKUP(compras_mes9[[#This Row],[CUIT]],Lista_CUIT[#All],2,0)),"CUIT NO CARGADO")</f>
        <v>MANGGINI PABLO Y MANGGINI ULISES SOC. DE HECHO.</v>
      </c>
      <c r="H41" s="46">
        <v>3500</v>
      </c>
      <c r="I41" s="85">
        <f>IF(compras_mes9[[#This Row],[NETO GRAVADO]]="","",compras_mes9[[#This Row],[NETO GRAVADO]]*0.21)</f>
        <v>735</v>
      </c>
      <c r="J41" s="85"/>
      <c r="K41" s="85"/>
      <c r="L41" s="85"/>
      <c r="M41" s="85"/>
      <c r="N41" s="85"/>
      <c r="O41" s="85"/>
      <c r="P41" s="48">
        <f>SUM(compras_mes9[[#This Row],[NETO GRAVADO]:[Otros / No Grav.]])</f>
        <v>4235</v>
      </c>
      <c r="Q41" s="49" t="str">
        <f>IFERROR(IF(compras_mes9[[#This Row],[CUIT]]="","-",VLOOKUP(compras_mes9[[#This Row],[CUIT]],Lista_CUIT[#All],3,0)),"CUIT NO CARGADO")</f>
        <v>Gastos Varios</v>
      </c>
      <c r="R41" s="49">
        <f>IFERROR(IF(compras_mes9[[#This Row],[CUIT]]="","-",VLOOKUP(compras_mes9[[#This Row],[CUIT]],Lista_CUIT[#All],4,0)),"CUIT NO CARGADO")</f>
        <v>0</v>
      </c>
    </row>
    <row r="42" spans="2:18" x14ac:dyDescent="0.25">
      <c r="B42" s="40">
        <v>45182</v>
      </c>
      <c r="C42" s="41">
        <v>1</v>
      </c>
      <c r="D42" s="42">
        <v>2</v>
      </c>
      <c r="E42" s="43">
        <v>9076</v>
      </c>
      <c r="F42" s="44">
        <v>30714331082</v>
      </c>
      <c r="G42" s="45" t="str">
        <f>IFERROR(IF(compras_mes9[[#This Row],[CUIT]]="","-",VLOOKUP(compras_mes9[[#This Row],[CUIT]],Lista_CUIT[#All],2,0)),"CUIT NO CARGADO")</f>
        <v>ORTOPEDIA CASA ESCALADA SRL</v>
      </c>
      <c r="H42" s="46">
        <v>247189.46</v>
      </c>
      <c r="I42" s="85">
        <f>IF(compras_mes9[[#This Row],[NETO GRAVADO]]="","",compras_mes9[[#This Row],[NETO GRAVADO]]*0.21)</f>
        <v>51909.786599999999</v>
      </c>
      <c r="J42" s="85"/>
      <c r="K42" s="85"/>
      <c r="L42" s="85"/>
      <c r="M42" s="85"/>
      <c r="N42" s="85"/>
      <c r="O42" s="85"/>
      <c r="P42" s="48">
        <f>SUM(compras_mes9[[#This Row],[NETO GRAVADO]:[Otros / No Grav.]])</f>
        <v>299099.24660000001</v>
      </c>
      <c r="Q42" s="49" t="str">
        <f>IFERROR(IF(compras_mes9[[#This Row],[CUIT]]="","-",VLOOKUP(compras_mes9[[#This Row],[CUIT]],Lista_CUIT[#All],3,0)),"CUIT NO CARGADO")</f>
        <v>Productos Ortopedicos</v>
      </c>
      <c r="R42" s="49">
        <f>IFERROR(IF(compras_mes9[[#This Row],[CUIT]]="","-",VLOOKUP(compras_mes9[[#This Row],[CUIT]],Lista_CUIT[#All],4,0)),"CUIT NO CARGADO")</f>
        <v>0</v>
      </c>
    </row>
    <row r="43" spans="2:18" x14ac:dyDescent="0.25">
      <c r="B43" s="40">
        <v>45182</v>
      </c>
      <c r="C43" s="41">
        <v>1</v>
      </c>
      <c r="D43" s="42">
        <v>2</v>
      </c>
      <c r="E43" s="43">
        <v>9075</v>
      </c>
      <c r="F43" s="44">
        <v>30714331082</v>
      </c>
      <c r="G43" s="45" t="str">
        <f>IFERROR(IF(compras_mes9[[#This Row],[CUIT]]="","-",VLOOKUP(compras_mes9[[#This Row],[CUIT]],Lista_CUIT[#All],2,0)),"CUIT NO CARGADO")</f>
        <v>ORTOPEDIA CASA ESCALADA SRL</v>
      </c>
      <c r="H43" s="46">
        <v>496428.28</v>
      </c>
      <c r="I43" s="85">
        <f>IF(compras_mes9[[#This Row],[NETO GRAVADO]]="","",compras_mes9[[#This Row],[NETO GRAVADO]]*0.21)</f>
        <v>104249.9388</v>
      </c>
      <c r="J43" s="85"/>
      <c r="K43" s="85"/>
      <c r="L43" s="85"/>
      <c r="M43" s="85"/>
      <c r="N43" s="85"/>
      <c r="O43" s="85"/>
      <c r="P43" s="48">
        <f>SUM(compras_mes9[[#This Row],[NETO GRAVADO]:[Otros / No Grav.]])</f>
        <v>600678.21880000003</v>
      </c>
      <c r="Q43" s="49" t="str">
        <f>IFERROR(IF(compras_mes9[[#This Row],[CUIT]]="","-",VLOOKUP(compras_mes9[[#This Row],[CUIT]],Lista_CUIT[#All],3,0)),"CUIT NO CARGADO")</f>
        <v>Productos Ortopedicos</v>
      </c>
      <c r="R43" s="49">
        <f>IFERROR(IF(compras_mes9[[#This Row],[CUIT]]="","-",VLOOKUP(compras_mes9[[#This Row],[CUIT]],Lista_CUIT[#All],4,0)),"CUIT NO CARGADO")</f>
        <v>0</v>
      </c>
    </row>
    <row r="44" spans="2:18" x14ac:dyDescent="0.25">
      <c r="B44" s="40">
        <v>45183</v>
      </c>
      <c r="C44" s="41">
        <v>1</v>
      </c>
      <c r="D44" s="42">
        <v>2</v>
      </c>
      <c r="E44" s="43">
        <v>9082</v>
      </c>
      <c r="F44" s="44">
        <v>30714331082</v>
      </c>
      <c r="G44" s="45" t="str">
        <f>IFERROR(IF(compras_mes9[[#This Row],[CUIT]]="","-",VLOOKUP(compras_mes9[[#This Row],[CUIT]],Lista_CUIT[#All],2,0)),"CUIT NO CARGADO")</f>
        <v>ORTOPEDIA CASA ESCALADA SRL</v>
      </c>
      <c r="H44" s="46">
        <v>280986.42</v>
      </c>
      <c r="I44" s="85">
        <f>IF(compras_mes9[[#This Row],[NETO GRAVADO]]="","",compras_mes9[[#This Row],[NETO GRAVADO]]*0.21)</f>
        <v>59007.148199999996</v>
      </c>
      <c r="J44" s="85"/>
      <c r="K44" s="85"/>
      <c r="L44" s="85"/>
      <c r="M44" s="85"/>
      <c r="N44" s="85"/>
      <c r="O44" s="85"/>
      <c r="P44" s="48">
        <f>SUM(compras_mes9[[#This Row],[NETO GRAVADO]:[Otros / No Grav.]])</f>
        <v>339993.56819999998</v>
      </c>
      <c r="Q44" s="49" t="str">
        <f>IFERROR(IF(compras_mes9[[#This Row],[CUIT]]="","-",VLOOKUP(compras_mes9[[#This Row],[CUIT]],Lista_CUIT[#All],3,0)),"CUIT NO CARGADO")</f>
        <v>Productos Ortopedicos</v>
      </c>
      <c r="R44" s="49">
        <f>IFERROR(IF(compras_mes9[[#This Row],[CUIT]]="","-",VLOOKUP(compras_mes9[[#This Row],[CUIT]],Lista_CUIT[#All],4,0)),"CUIT NO CARGADO")</f>
        <v>0</v>
      </c>
    </row>
    <row r="45" spans="2:18" x14ac:dyDescent="0.25">
      <c r="B45" s="40">
        <v>45183</v>
      </c>
      <c r="C45" s="41">
        <v>1</v>
      </c>
      <c r="D45" s="42">
        <v>2</v>
      </c>
      <c r="E45" s="43">
        <v>9084</v>
      </c>
      <c r="F45" s="44">
        <v>30714331082</v>
      </c>
      <c r="G45" s="45" t="str">
        <f>IFERROR(IF(compras_mes9[[#This Row],[CUIT]]="","-",VLOOKUP(compras_mes9[[#This Row],[CUIT]],Lista_CUIT[#All],2,0)),"CUIT NO CARGADO")</f>
        <v>ORTOPEDIA CASA ESCALADA SRL</v>
      </c>
      <c r="H45" s="46">
        <v>453788.65</v>
      </c>
      <c r="I45" s="85">
        <f>IF(compras_mes9[[#This Row],[NETO GRAVADO]]="","",compras_mes9[[#This Row],[NETO GRAVADO]]*0.21)</f>
        <v>95295.616500000004</v>
      </c>
      <c r="J45" s="85"/>
      <c r="K45" s="85"/>
      <c r="L45" s="85"/>
      <c r="M45" s="85"/>
      <c r="N45" s="85"/>
      <c r="O45" s="85"/>
      <c r="P45" s="48">
        <f>SUM(compras_mes9[[#This Row],[NETO GRAVADO]:[Otros / No Grav.]])</f>
        <v>549084.26650000003</v>
      </c>
      <c r="Q45" s="49" t="str">
        <f>IFERROR(IF(compras_mes9[[#This Row],[CUIT]]="","-",VLOOKUP(compras_mes9[[#This Row],[CUIT]],Lista_CUIT[#All],3,0)),"CUIT NO CARGADO")</f>
        <v>Productos Ortopedicos</v>
      </c>
      <c r="R45" s="49">
        <f>IFERROR(IF(compras_mes9[[#This Row],[CUIT]]="","-",VLOOKUP(compras_mes9[[#This Row],[CUIT]],Lista_CUIT[#All],4,0)),"CUIT NO CARGADO")</f>
        <v>0</v>
      </c>
    </row>
    <row r="46" spans="2:18" x14ac:dyDescent="0.25">
      <c r="B46" s="40">
        <v>45183</v>
      </c>
      <c r="C46" s="41">
        <v>1</v>
      </c>
      <c r="D46" s="42">
        <v>2</v>
      </c>
      <c r="E46" s="43">
        <v>9083</v>
      </c>
      <c r="F46" s="44">
        <v>30714331082</v>
      </c>
      <c r="G46" s="45" t="str">
        <f>IFERROR(IF(compras_mes9[[#This Row],[CUIT]]="","-",VLOOKUP(compras_mes9[[#This Row],[CUIT]],Lista_CUIT[#All],2,0)),"CUIT NO CARGADO")</f>
        <v>ORTOPEDIA CASA ESCALADA SRL</v>
      </c>
      <c r="H46" s="46">
        <v>1326996.07</v>
      </c>
      <c r="I46" s="85">
        <f>IF(compras_mes9[[#This Row],[NETO GRAVADO]]="","",compras_mes9[[#This Row],[NETO GRAVADO]]*0.21)</f>
        <v>278669.17470000003</v>
      </c>
      <c r="J46" s="85"/>
      <c r="K46" s="85"/>
      <c r="L46" s="85"/>
      <c r="M46" s="85"/>
      <c r="N46" s="85"/>
      <c r="O46" s="85"/>
      <c r="P46" s="48">
        <f>SUM(compras_mes9[[#This Row],[NETO GRAVADO]:[Otros / No Grav.]])</f>
        <v>1605665.2447000002</v>
      </c>
      <c r="Q46" s="49" t="str">
        <f>IFERROR(IF(compras_mes9[[#This Row],[CUIT]]="","-",VLOOKUP(compras_mes9[[#This Row],[CUIT]],Lista_CUIT[#All],3,0)),"CUIT NO CARGADO")</f>
        <v>Productos Ortopedicos</v>
      </c>
      <c r="R46" s="49">
        <f>IFERROR(IF(compras_mes9[[#This Row],[CUIT]]="","-",VLOOKUP(compras_mes9[[#This Row],[CUIT]],Lista_CUIT[#All],4,0)),"CUIT NO CARGADO")</f>
        <v>0</v>
      </c>
    </row>
    <row r="47" spans="2:18" x14ac:dyDescent="0.25">
      <c r="B47" s="40">
        <v>45183</v>
      </c>
      <c r="C47" s="41">
        <v>1</v>
      </c>
      <c r="D47" s="42">
        <v>2</v>
      </c>
      <c r="E47" s="43">
        <v>86</v>
      </c>
      <c r="F47" s="44">
        <v>20272865869</v>
      </c>
      <c r="G47" s="45" t="str">
        <f>IFERROR(IF(compras_mes9[[#This Row],[CUIT]]="","-",VLOOKUP(compras_mes9[[#This Row],[CUIT]],Lista_CUIT[#All],2,0)),"CUIT NO CARGADO")</f>
        <v>DI FEO MARTIN EZEQUIEL</v>
      </c>
      <c r="H47" s="46">
        <v>97190</v>
      </c>
      <c r="I47" s="85">
        <f>IF(compras_mes9[[#This Row],[NETO GRAVADO]]="","",compras_mes9[[#This Row],[NETO GRAVADO]]*0.21)</f>
        <v>20409.899999999998</v>
      </c>
      <c r="J47" s="85"/>
      <c r="K47" s="85"/>
      <c r="L47" s="85"/>
      <c r="M47" s="85"/>
      <c r="N47" s="85"/>
      <c r="O47" s="85"/>
      <c r="P47" s="48">
        <f>SUM(compras_mes9[[#This Row],[NETO GRAVADO]:[Otros / No Grav.]])</f>
        <v>117599.9</v>
      </c>
      <c r="Q47" s="49" t="str">
        <f>IFERROR(IF(compras_mes9[[#This Row],[CUIT]]="","-",VLOOKUP(compras_mes9[[#This Row],[CUIT]],Lista_CUIT[#All],3,0)),"CUIT NO CARGADO")</f>
        <v>Productos Ortopedicos</v>
      </c>
      <c r="R47" s="49">
        <f>IFERROR(IF(compras_mes9[[#This Row],[CUIT]]="","-",VLOOKUP(compras_mes9[[#This Row],[CUIT]],Lista_CUIT[#All],4,0)),"CUIT NO CARGADO")</f>
        <v>0</v>
      </c>
    </row>
    <row r="48" spans="2:18" x14ac:dyDescent="0.25">
      <c r="B48" s="219">
        <v>45183</v>
      </c>
      <c r="C48" s="209">
        <v>1</v>
      </c>
      <c r="D48" s="220">
        <v>4</v>
      </c>
      <c r="E48" s="221">
        <v>192</v>
      </c>
      <c r="F48" s="222">
        <v>20262810470</v>
      </c>
      <c r="G48" s="223" t="str">
        <f>IFERROR(IF(compras_mes9[[#This Row],[CUIT]]="","-",VLOOKUP(compras_mes9[[#This Row],[CUIT]],Lista_CUIT[#All],2,0)),"CUIT NO CARGADO")</f>
        <v>LATI SALOMON ARIEL</v>
      </c>
      <c r="H48" s="224">
        <v>1818.18</v>
      </c>
      <c r="I48" s="225">
        <f>IF(compras_mes9[[#This Row],[NETO GRAVADO]]="","",compras_mes9[[#This Row],[NETO GRAVADO]]*0.21)</f>
        <v>381.81779999999998</v>
      </c>
      <c r="J48" s="225"/>
      <c r="K48" s="225"/>
      <c r="L48" s="225"/>
      <c r="M48" s="225"/>
      <c r="N48" s="225"/>
      <c r="O48" s="225"/>
      <c r="P48" s="226">
        <f>SUM(compras_mes9[[#This Row],[NETO GRAVADO]:[Otros / No Grav.]])</f>
        <v>2199.9978000000001</v>
      </c>
      <c r="Q48" s="227" t="str">
        <f>IFERROR(IF(compras_mes9[[#This Row],[CUIT]]="","-",VLOOKUP(compras_mes9[[#This Row],[CUIT]],Lista_CUIT[#All],3,0)),"CUIT NO CARGADO")</f>
        <v>Gastos Varios</v>
      </c>
      <c r="R48" s="227">
        <f>IFERROR(IF(compras_mes9[[#This Row],[CUIT]]="","-",VLOOKUP(compras_mes9[[#This Row],[CUIT]],Lista_CUIT[#All],4,0)),"CUIT NO CARGADO")</f>
        <v>0</v>
      </c>
    </row>
    <row r="49" spans="2:18" x14ac:dyDescent="0.25">
      <c r="B49" s="40">
        <v>45184</v>
      </c>
      <c r="C49" s="41">
        <v>1</v>
      </c>
      <c r="D49" s="42">
        <v>7</v>
      </c>
      <c r="E49" s="43">
        <v>2222</v>
      </c>
      <c r="F49" s="44">
        <v>20284183534</v>
      </c>
      <c r="G49" s="45" t="str">
        <f>IFERROR(IF(compras_mes9[[#This Row],[CUIT]]="","-",VLOOKUP(compras_mes9[[#This Row],[CUIT]],Lista_CUIT[#All],2,0)),"CUIT NO CARGADO")</f>
        <v>FURLANETTO MARTIN</v>
      </c>
      <c r="H49" s="46">
        <v>3917.35</v>
      </c>
      <c r="I49" s="85">
        <f>IF(compras_mes9[[#This Row],[NETO GRAVADO]]="","",compras_mes9[[#This Row],[NETO GRAVADO]]*0.21)</f>
        <v>822.6434999999999</v>
      </c>
      <c r="J49" s="85"/>
      <c r="K49" s="85"/>
      <c r="L49" s="85"/>
      <c r="M49" s="85"/>
      <c r="N49" s="85"/>
      <c r="O49" s="85"/>
      <c r="P49" s="48">
        <f>SUM(compras_mes9[[#This Row],[NETO GRAVADO]:[Otros / No Grav.]])</f>
        <v>4739.9934999999996</v>
      </c>
      <c r="Q49" s="49" t="str">
        <f>IFERROR(IF(compras_mes9[[#This Row],[CUIT]]="","-",VLOOKUP(compras_mes9[[#This Row],[CUIT]],Lista_CUIT[#All],3,0)),"CUIT NO CARGADO")</f>
        <v>PAPELERIA</v>
      </c>
      <c r="R49" s="49">
        <f>IFERROR(IF(compras_mes9[[#This Row],[CUIT]]="","-",VLOOKUP(compras_mes9[[#This Row],[CUIT]],Lista_CUIT[#All],4,0)),"CUIT NO CARGADO")</f>
        <v>0</v>
      </c>
    </row>
    <row r="50" spans="2:18" x14ac:dyDescent="0.25">
      <c r="B50" s="219">
        <v>45184</v>
      </c>
      <c r="C50" s="209">
        <v>1</v>
      </c>
      <c r="D50" s="220">
        <v>5</v>
      </c>
      <c r="E50" s="221">
        <v>3021</v>
      </c>
      <c r="F50" s="222">
        <v>33693506099</v>
      </c>
      <c r="G50" s="223" t="str">
        <f>IFERROR(IF(compras_mes9[[#This Row],[CUIT]]="","-",VLOOKUP(compras_mes9[[#This Row],[CUIT]],Lista_CUIT[#All],2,0)),"CUIT NO CARGADO")</f>
        <v>SCALISE A. FALANGA C SH</v>
      </c>
      <c r="H50" s="224">
        <v>3765.11</v>
      </c>
      <c r="I50" s="225"/>
      <c r="J50" s="225"/>
      <c r="K50" s="225">
        <v>395.34</v>
      </c>
      <c r="L50" s="225"/>
      <c r="M50" s="225"/>
      <c r="N50" s="225"/>
      <c r="O50" s="225"/>
      <c r="P50" s="226">
        <f>SUM(compras_mes9[[#This Row],[NETO GRAVADO]:[Otros / No Grav.]])</f>
        <v>4160.45</v>
      </c>
      <c r="Q50" s="227" t="str">
        <f>IFERROR(IF(compras_mes9[[#This Row],[CUIT]]="","-",VLOOKUP(compras_mes9[[#This Row],[CUIT]],Lista_CUIT[#All],3,0)),"CUIT NO CARGADO")</f>
        <v>GASTOS VARIOS</v>
      </c>
      <c r="R50" s="227">
        <f>IFERROR(IF(compras_mes9[[#This Row],[CUIT]]="","-",VLOOKUP(compras_mes9[[#This Row],[CUIT]],Lista_CUIT[#All],4,0)),"CUIT NO CARGADO")</f>
        <v>0</v>
      </c>
    </row>
    <row r="51" spans="2:18" x14ac:dyDescent="0.25">
      <c r="B51" s="40">
        <v>45187</v>
      </c>
      <c r="C51" s="41">
        <v>1</v>
      </c>
      <c r="D51" s="42">
        <v>1001</v>
      </c>
      <c r="E51" s="43">
        <v>294</v>
      </c>
      <c r="F51" s="44">
        <v>30707370552</v>
      </c>
      <c r="G51" s="45" t="str">
        <f>IFERROR(IF(compras_mes9[[#This Row],[CUIT]]="","-",VLOOKUP(compras_mes9[[#This Row],[CUIT]],Lista_CUIT[#All],2,0)),"CUIT NO CARGADO")</f>
        <v>RAKE SA</v>
      </c>
      <c r="H51" s="46">
        <v>82231.399999999994</v>
      </c>
      <c r="I51" s="85">
        <f>IF(compras_mes9[[#This Row],[NETO GRAVADO]]="","",compras_mes9[[#This Row],[NETO GRAVADO]]*0.21)</f>
        <v>17268.593999999997</v>
      </c>
      <c r="J51" s="85"/>
      <c r="K51" s="85"/>
      <c r="L51" s="85"/>
      <c r="M51" s="85"/>
      <c r="N51" s="85"/>
      <c r="O51" s="85"/>
      <c r="P51" s="48">
        <f>SUM(compras_mes9[[#This Row],[NETO GRAVADO]:[Otros / No Grav.]])</f>
        <v>99499.993999999992</v>
      </c>
      <c r="Q51" s="49" t="str">
        <f>IFERROR(IF(compras_mes9[[#This Row],[CUIT]]="","-",VLOOKUP(compras_mes9[[#This Row],[CUIT]],Lista_CUIT[#All],3,0)),"CUIT NO CARGADO")</f>
        <v>Alquileres</v>
      </c>
      <c r="R51" s="49">
        <f>IFERROR(IF(compras_mes9[[#This Row],[CUIT]]="","-",VLOOKUP(compras_mes9[[#This Row],[CUIT]],Lista_CUIT[#All],4,0)),"CUIT NO CARGADO")</f>
        <v>0</v>
      </c>
    </row>
    <row r="52" spans="2:18" x14ac:dyDescent="0.25">
      <c r="B52" s="40">
        <v>45187</v>
      </c>
      <c r="C52" s="41">
        <v>1</v>
      </c>
      <c r="D52" s="42">
        <v>1001</v>
      </c>
      <c r="E52" s="43">
        <v>295</v>
      </c>
      <c r="F52" s="44">
        <v>30707370552</v>
      </c>
      <c r="G52" s="45" t="str">
        <f>IFERROR(IF(compras_mes9[[#This Row],[CUIT]]="","-",VLOOKUP(compras_mes9[[#This Row],[CUIT]],Lista_CUIT[#All],2,0)),"CUIT NO CARGADO")</f>
        <v>RAKE SA</v>
      </c>
      <c r="H52" s="46">
        <v>120661.16</v>
      </c>
      <c r="I52" s="85">
        <f>IF(compras_mes9[[#This Row],[NETO GRAVADO]]="","",compras_mes9[[#This Row],[NETO GRAVADO]]*0.21)</f>
        <v>25338.8436</v>
      </c>
      <c r="J52" s="85"/>
      <c r="K52" s="85"/>
      <c r="L52" s="85"/>
      <c r="M52" s="85"/>
      <c r="N52" s="85"/>
      <c r="O52" s="85"/>
      <c r="P52" s="48">
        <f>SUM(compras_mes9[[#This Row],[NETO GRAVADO]:[Otros / No Grav.]])</f>
        <v>146000.0036</v>
      </c>
      <c r="Q52" s="49" t="str">
        <f>IFERROR(IF(compras_mes9[[#This Row],[CUIT]]="","-",VLOOKUP(compras_mes9[[#This Row],[CUIT]],Lista_CUIT[#All],3,0)),"CUIT NO CARGADO")</f>
        <v>Alquileres</v>
      </c>
      <c r="R52" s="49">
        <f>IFERROR(IF(compras_mes9[[#This Row],[CUIT]]="","-",VLOOKUP(compras_mes9[[#This Row],[CUIT]],Lista_CUIT[#All],4,0)),"CUIT NO CARGADO")</f>
        <v>0</v>
      </c>
    </row>
    <row r="53" spans="2:18" x14ac:dyDescent="0.25">
      <c r="B53" s="40">
        <v>45187</v>
      </c>
      <c r="C53" s="41">
        <v>1</v>
      </c>
      <c r="D53" s="42">
        <v>6</v>
      </c>
      <c r="E53" s="43">
        <v>76821</v>
      </c>
      <c r="F53" s="44">
        <v>30711553564</v>
      </c>
      <c r="G53" s="45" t="str">
        <f>IFERROR(IF(compras_mes9[[#This Row],[CUIT]]="","-",VLOOKUP(compras_mes9[[#This Row],[CUIT]],Lista_CUIT[#All],2,0)),"CUIT NO CARGADO")</f>
        <v>SALUD TEX S.A</v>
      </c>
      <c r="H53" s="46">
        <v>134878</v>
      </c>
      <c r="I53" s="85">
        <f>IF(compras_mes9[[#This Row],[NETO GRAVADO]]="","",compras_mes9[[#This Row],[NETO GRAVADO]]*0.21)</f>
        <v>28324.379999999997</v>
      </c>
      <c r="J53" s="85"/>
      <c r="K53" s="85"/>
      <c r="L53" s="85"/>
      <c r="M53" s="85"/>
      <c r="N53" s="85"/>
      <c r="O53" s="85"/>
      <c r="P53" s="48">
        <f>SUM(compras_mes9[[#This Row],[NETO GRAVADO]:[Otros / No Grav.]])</f>
        <v>163202.38</v>
      </c>
      <c r="Q53" s="49" t="str">
        <f>IFERROR(IF(compras_mes9[[#This Row],[CUIT]]="","-",VLOOKUP(compras_mes9[[#This Row],[CUIT]],Lista_CUIT[#All],3,0)),"CUIT NO CARGADO")</f>
        <v>Productos Ortopedicos</v>
      </c>
      <c r="R53" s="49">
        <f>IFERROR(IF(compras_mes9[[#This Row],[CUIT]]="","-",VLOOKUP(compras_mes9[[#This Row],[CUIT]],Lista_CUIT[#All],4,0)),"CUIT NO CARGADO")</f>
        <v>0</v>
      </c>
    </row>
    <row r="54" spans="2:18" x14ac:dyDescent="0.25">
      <c r="B54" s="40">
        <v>45187</v>
      </c>
      <c r="C54" s="41">
        <v>1</v>
      </c>
      <c r="D54" s="42">
        <v>3</v>
      </c>
      <c r="E54" s="43">
        <v>100</v>
      </c>
      <c r="F54" s="44">
        <v>20334976433</v>
      </c>
      <c r="G54" s="45" t="str">
        <f>IFERROR(IF(compras_mes9[[#This Row],[CUIT]]="","-",VLOOKUP(compras_mes9[[#This Row],[CUIT]],Lista_CUIT[#All],2,0)),"CUIT NO CARGADO")</f>
        <v>NARDOMARINO EZEQUIEL EDUARDO</v>
      </c>
      <c r="H54" s="46">
        <v>187826.45</v>
      </c>
      <c r="I54" s="85">
        <f>IF(compras_mes9[[#This Row],[NETO GRAVADO]]="","",compras_mes9[[#This Row],[NETO GRAVADO]]*0.21)</f>
        <v>39443.554499999998</v>
      </c>
      <c r="J54" s="85"/>
      <c r="K54" s="85"/>
      <c r="L54" s="85"/>
      <c r="M54" s="85"/>
      <c r="N54" s="85"/>
      <c r="O54" s="85"/>
      <c r="P54" s="48">
        <f>SUM(compras_mes9[[#This Row],[NETO GRAVADO]:[Otros / No Grav.]])</f>
        <v>227270.00450000001</v>
      </c>
      <c r="Q54" s="49" t="str">
        <f>IFERROR(IF(compras_mes9[[#This Row],[CUIT]]="","-",VLOOKUP(compras_mes9[[#This Row],[CUIT]],Lista_CUIT[#All],3,0)),"CUIT NO CARGADO")</f>
        <v>FLETE</v>
      </c>
      <c r="R54" s="49">
        <f>IFERROR(IF(compras_mes9[[#This Row],[CUIT]]="","-",VLOOKUP(compras_mes9[[#This Row],[CUIT]],Lista_CUIT[#All],4,0)),"CUIT NO CARGADO")</f>
        <v>0</v>
      </c>
    </row>
    <row r="55" spans="2:18" x14ac:dyDescent="0.25">
      <c r="B55" s="219">
        <v>45187</v>
      </c>
      <c r="C55" s="209">
        <v>1</v>
      </c>
      <c r="D55" s="220">
        <v>5011</v>
      </c>
      <c r="E55" s="221">
        <v>524602</v>
      </c>
      <c r="F55" s="222">
        <v>30574876474</v>
      </c>
      <c r="G55" s="223" t="str">
        <f>IFERROR(IF(compras_mes9[[#This Row],[CUIT]]="","-",VLOOKUP(compras_mes9[[#This Row],[CUIT]],Lista_CUIT[#All],2,0)),"CUIT NO CARGADO")</f>
        <v>AUTOP. URBANAS SA</v>
      </c>
      <c r="H55" s="224">
        <v>5706.16</v>
      </c>
      <c r="I55" s="225">
        <f>IF(compras_mes9[[#This Row],[NETO GRAVADO]]="","",compras_mes9[[#This Row],[NETO GRAVADO]]*0.21)</f>
        <v>1198.2936</v>
      </c>
      <c r="J55" s="225"/>
      <c r="K55" s="225"/>
      <c r="L55" s="225"/>
      <c r="M55" s="225">
        <v>171.18</v>
      </c>
      <c r="N55" s="225"/>
      <c r="O55" s="225">
        <v>570.62</v>
      </c>
      <c r="P55" s="226">
        <f>SUM(compras_mes9[[#This Row],[NETO GRAVADO]:[Otros / No Grav.]])</f>
        <v>7646.2536</v>
      </c>
      <c r="Q55" s="227" t="str">
        <f>IFERROR(IF(compras_mes9[[#This Row],[CUIT]]="","-",VLOOKUP(compras_mes9[[#This Row],[CUIT]],Lista_CUIT[#All],3,0)),"CUIT NO CARGADO")</f>
        <v>PEAJE</v>
      </c>
      <c r="R55" s="227">
        <f>IFERROR(IF(compras_mes9[[#This Row],[CUIT]]="","-",VLOOKUP(compras_mes9[[#This Row],[CUIT]],Lista_CUIT[#All],4,0)),"CUIT NO CARGADO")</f>
        <v>0</v>
      </c>
    </row>
    <row r="56" spans="2:18" x14ac:dyDescent="0.25">
      <c r="B56" s="219">
        <v>45187</v>
      </c>
      <c r="C56" s="209">
        <v>1</v>
      </c>
      <c r="D56" s="220">
        <v>629</v>
      </c>
      <c r="E56" s="221">
        <v>4496656</v>
      </c>
      <c r="F56" s="222">
        <v>30663498513</v>
      </c>
      <c r="G56" s="223" t="str">
        <f>IFERROR(IF(compras_mes9[[#This Row],[CUIT]]="","-",VLOOKUP(compras_mes9[[#This Row],[CUIT]],Lista_CUIT[#All],2,0)),"CUIT NO CARGADO")</f>
        <v>GRUPO CONCES. DEL OESTE SA</v>
      </c>
      <c r="H56" s="224">
        <v>330.58</v>
      </c>
      <c r="I56" s="225">
        <f>IF(compras_mes9[[#This Row],[NETO GRAVADO]]="","",compras_mes9[[#This Row],[NETO GRAVADO]]*0.21)</f>
        <v>69.42179999999999</v>
      </c>
      <c r="J56" s="225"/>
      <c r="K56" s="225"/>
      <c r="L56" s="225"/>
      <c r="M56" s="225"/>
      <c r="N56" s="225"/>
      <c r="O56" s="225"/>
      <c r="P56" s="226">
        <f>SUM(compras_mes9[[#This Row],[NETO GRAVADO]:[Otros / No Grav.]])</f>
        <v>400.0018</v>
      </c>
      <c r="Q56" s="227" t="str">
        <f>IFERROR(IF(compras_mes9[[#This Row],[CUIT]]="","-",VLOOKUP(compras_mes9[[#This Row],[CUIT]],Lista_CUIT[#All],3,0)),"CUIT NO CARGADO")</f>
        <v>PEAJE</v>
      </c>
      <c r="R56" s="227">
        <f>IFERROR(IF(compras_mes9[[#This Row],[CUIT]]="","-",VLOOKUP(compras_mes9[[#This Row],[CUIT]],Lista_CUIT[#All],4,0)),"CUIT NO CARGADO")</f>
        <v>0</v>
      </c>
    </row>
    <row r="57" spans="2:18" x14ac:dyDescent="0.25">
      <c r="B57" s="40">
        <v>45188</v>
      </c>
      <c r="C57" s="41">
        <v>1</v>
      </c>
      <c r="D57" s="42">
        <v>4264</v>
      </c>
      <c r="E57" s="43">
        <v>2724143</v>
      </c>
      <c r="F57" s="44">
        <v>30639453738</v>
      </c>
      <c r="G57" s="45" t="str">
        <f>IFERROR(IF(compras_mes9[[#This Row],[CUIT]]="","-",VLOOKUP(compras_mes9[[#This Row],[CUIT]],Lista_CUIT[#All],2,0)),"CUIT NO CARGADO")</f>
        <v>TELECOM ARGENTINA SA</v>
      </c>
      <c r="H57" s="46">
        <v>17289.259999999998</v>
      </c>
      <c r="I57" s="85">
        <f>IF(compras_mes9[[#This Row],[NETO GRAVADO]]="","",compras_mes9[[#This Row],[NETO GRAVADO]]*0.21)</f>
        <v>3630.7445999999995</v>
      </c>
      <c r="J57" s="85"/>
      <c r="K57" s="85"/>
      <c r="L57" s="85">
        <v>518.67999999999995</v>
      </c>
      <c r="M57" s="85"/>
      <c r="N57" s="85">
        <v>605.12</v>
      </c>
      <c r="O57" s="85"/>
      <c r="P57" s="48">
        <f>SUM(compras_mes9[[#This Row],[NETO GRAVADO]:[Otros / No Grav.]])</f>
        <v>22043.804599999996</v>
      </c>
      <c r="Q57" s="49" t="str">
        <f>IFERROR(IF(compras_mes9[[#This Row],[CUIT]]="","-",VLOOKUP(compras_mes9[[#This Row],[CUIT]],Lista_CUIT[#All],3,0)),"CUIT NO CARGADO")</f>
        <v>TELEFONIA</v>
      </c>
      <c r="R57" s="49">
        <f>IFERROR(IF(compras_mes9[[#This Row],[CUIT]]="","-",VLOOKUP(compras_mes9[[#This Row],[CUIT]],Lista_CUIT[#All],4,0)),"CUIT NO CARGADO")</f>
        <v>0</v>
      </c>
    </row>
    <row r="58" spans="2:18" x14ac:dyDescent="0.25">
      <c r="B58" s="40">
        <v>45188</v>
      </c>
      <c r="C58" s="41">
        <v>1</v>
      </c>
      <c r="D58" s="42">
        <v>4</v>
      </c>
      <c r="E58" s="43">
        <v>71</v>
      </c>
      <c r="F58" s="44">
        <v>20317488476</v>
      </c>
      <c r="G58" s="45" t="str">
        <f>IFERROR(IF(compras_mes9[[#This Row],[CUIT]]="","-",VLOOKUP(compras_mes9[[#This Row],[CUIT]],Lista_CUIT[#All],2,0)),"CUIT NO CARGADO")</f>
        <v>MIGUEL ANGEL VILLALBA</v>
      </c>
      <c r="H58" s="46">
        <v>141976</v>
      </c>
      <c r="I58" s="85">
        <f>IF(compras_mes9[[#This Row],[NETO GRAVADO]]="","",compras_mes9[[#This Row],[NETO GRAVADO]]*0.21)</f>
        <v>29814.959999999999</v>
      </c>
      <c r="J58" s="85"/>
      <c r="K58" s="85"/>
      <c r="L58" s="85"/>
      <c r="M58" s="85"/>
      <c r="N58" s="85"/>
      <c r="O58" s="85"/>
      <c r="P58" s="48">
        <f>SUM(compras_mes9[[#This Row],[NETO GRAVADO]:[Otros / No Grav.]])</f>
        <v>171790.96</v>
      </c>
      <c r="Q58" s="49" t="str">
        <f>IFERROR(IF(compras_mes9[[#This Row],[CUIT]]="","-",VLOOKUP(compras_mes9[[#This Row],[CUIT]],Lista_CUIT[#All],3,0)),"CUIT NO CARGADO")</f>
        <v>Recupero P. Ortopedicos</v>
      </c>
      <c r="R58" s="49">
        <f>IFERROR(IF(compras_mes9[[#This Row],[CUIT]]="","-",VLOOKUP(compras_mes9[[#This Row],[CUIT]],Lista_CUIT[#All],4,0)),"CUIT NO CARGADO")</f>
        <v>0</v>
      </c>
    </row>
    <row r="59" spans="2:18" x14ac:dyDescent="0.25">
      <c r="B59" s="40">
        <v>45188</v>
      </c>
      <c r="C59" s="41">
        <v>1</v>
      </c>
      <c r="D59" s="42">
        <v>7</v>
      </c>
      <c r="E59" s="43">
        <v>936</v>
      </c>
      <c r="F59" s="44">
        <v>30712187316</v>
      </c>
      <c r="G59" s="45" t="str">
        <f>IFERROR(IF(compras_mes9[[#This Row],[CUIT]]="","-",VLOOKUP(compras_mes9[[#This Row],[CUIT]],Lista_CUIT[#All],2,0)),"CUIT NO CARGADO")</f>
        <v>ITALOMED PRODUCTOS SRL</v>
      </c>
      <c r="H59" s="46">
        <v>134465.19</v>
      </c>
      <c r="I59" s="85">
        <f>IF(compras_mes9[[#This Row],[NETO GRAVADO]]="","",compras_mes9[[#This Row],[NETO GRAVADO]]*0.21)</f>
        <v>28237.689900000001</v>
      </c>
      <c r="J59" s="85"/>
      <c r="K59" s="85"/>
      <c r="L59" s="85"/>
      <c r="M59" s="85"/>
      <c r="N59" s="85"/>
      <c r="O59" s="85"/>
      <c r="P59" s="48">
        <f>SUM(compras_mes9[[#This Row],[NETO GRAVADO]:[Otros / No Grav.]])</f>
        <v>162702.8799</v>
      </c>
      <c r="Q59" s="49" t="str">
        <f>IFERROR(IF(compras_mes9[[#This Row],[CUIT]]="","-",VLOOKUP(compras_mes9[[#This Row],[CUIT]],Lista_CUIT[#All],3,0)),"CUIT NO CARGADO")</f>
        <v>Productos Ortopedicos</v>
      </c>
      <c r="R59" s="49">
        <f>IFERROR(IF(compras_mes9[[#This Row],[CUIT]]="","-",VLOOKUP(compras_mes9[[#This Row],[CUIT]],Lista_CUIT[#All],4,0)),"CUIT NO CARGADO")</f>
        <v>0</v>
      </c>
    </row>
    <row r="60" spans="2:18" x14ac:dyDescent="0.25">
      <c r="B60" s="40">
        <v>45188</v>
      </c>
      <c r="C60" s="41">
        <v>1</v>
      </c>
      <c r="D60" s="42">
        <v>7</v>
      </c>
      <c r="E60" s="43">
        <v>935</v>
      </c>
      <c r="F60" s="44">
        <v>30712187316</v>
      </c>
      <c r="G60" s="45" t="str">
        <f>IFERROR(IF(compras_mes9[[#This Row],[CUIT]]="","-",VLOOKUP(compras_mes9[[#This Row],[CUIT]],Lista_CUIT[#All],2,0)),"CUIT NO CARGADO")</f>
        <v>ITALOMED PRODUCTOS SRL</v>
      </c>
      <c r="H60" s="46">
        <v>123262.39999999999</v>
      </c>
      <c r="I60" s="85">
        <f>IF(compras_mes9[[#This Row],[NETO GRAVADO]]="","",compras_mes9[[#This Row],[NETO GRAVADO]]*0.21)</f>
        <v>25885.103999999999</v>
      </c>
      <c r="J60" s="85"/>
      <c r="K60" s="85"/>
      <c r="L60" s="85"/>
      <c r="M60" s="85"/>
      <c r="N60" s="85"/>
      <c r="O60" s="85"/>
      <c r="P60" s="48">
        <f>SUM(compras_mes9[[#This Row],[NETO GRAVADO]:[Otros / No Grav.]])</f>
        <v>149147.50399999999</v>
      </c>
      <c r="Q60" s="49" t="str">
        <f>IFERROR(IF(compras_mes9[[#This Row],[CUIT]]="","-",VLOOKUP(compras_mes9[[#This Row],[CUIT]],Lista_CUIT[#All],3,0)),"CUIT NO CARGADO")</f>
        <v>Productos Ortopedicos</v>
      </c>
      <c r="R60" s="49">
        <f>IFERROR(IF(compras_mes9[[#This Row],[CUIT]]="","-",VLOOKUP(compras_mes9[[#This Row],[CUIT]],Lista_CUIT[#All],4,0)),"CUIT NO CARGADO")</f>
        <v>0</v>
      </c>
    </row>
    <row r="61" spans="2:18" x14ac:dyDescent="0.25">
      <c r="B61" s="219">
        <v>45188</v>
      </c>
      <c r="C61" s="209">
        <v>1</v>
      </c>
      <c r="D61" s="220">
        <v>104</v>
      </c>
      <c r="E61" s="221">
        <v>3966186</v>
      </c>
      <c r="F61" s="222">
        <v>30715804812</v>
      </c>
      <c r="G61" s="223" t="str">
        <f>IFERROR(IF(compras_mes9[[#This Row],[CUIT]]="","-",VLOOKUP(compras_mes9[[#This Row],[CUIT]],Lista_CUIT[#All],2,0)),"CUIT NO CARGADO")</f>
        <v>CORREDORES VIALES SOCIEDAD ANONIMA</v>
      </c>
      <c r="H61" s="224">
        <v>165.29</v>
      </c>
      <c r="I61" s="225">
        <f>IF(compras_mes9[[#This Row],[NETO GRAVADO]]="","",compras_mes9[[#This Row],[NETO GRAVADO]]*0.21)</f>
        <v>34.710899999999995</v>
      </c>
      <c r="J61" s="225"/>
      <c r="K61" s="225"/>
      <c r="L61" s="225"/>
      <c r="M61" s="225"/>
      <c r="N61" s="225"/>
      <c r="O61" s="225"/>
      <c r="P61" s="226">
        <f>SUM(compras_mes9[[#This Row],[NETO GRAVADO]:[Otros / No Grav.]])</f>
        <v>200.0009</v>
      </c>
      <c r="Q61" s="227" t="str">
        <f>IFERROR(IF(compras_mes9[[#This Row],[CUIT]]="","-",VLOOKUP(compras_mes9[[#This Row],[CUIT]],Lista_CUIT[#All],3,0)),"CUIT NO CARGADO")</f>
        <v>Autopista</v>
      </c>
      <c r="R61" s="227">
        <f>IFERROR(IF(compras_mes9[[#This Row],[CUIT]]="","-",VLOOKUP(compras_mes9[[#This Row],[CUIT]],Lista_CUIT[#All],4,0)),"CUIT NO CARGADO")</f>
        <v>0</v>
      </c>
    </row>
    <row r="62" spans="2:18" x14ac:dyDescent="0.25">
      <c r="B62" s="219">
        <v>45188</v>
      </c>
      <c r="C62" s="209">
        <v>1</v>
      </c>
      <c r="D62" s="220">
        <v>104</v>
      </c>
      <c r="E62" s="221">
        <v>4074247</v>
      </c>
      <c r="F62" s="222">
        <v>30715804812</v>
      </c>
      <c r="G62" s="223" t="str">
        <f>IFERROR(IF(compras_mes9[[#This Row],[CUIT]]="","-",VLOOKUP(compras_mes9[[#This Row],[CUIT]],Lista_CUIT[#All],2,0)),"CUIT NO CARGADO")</f>
        <v>CORREDORES VIALES SOCIEDAD ANONIMA</v>
      </c>
      <c r="H62" s="224">
        <v>165.29</v>
      </c>
      <c r="I62" s="225">
        <f>IF(compras_mes9[[#This Row],[NETO GRAVADO]]="","",compras_mes9[[#This Row],[NETO GRAVADO]]*0.21)</f>
        <v>34.710899999999995</v>
      </c>
      <c r="J62" s="225"/>
      <c r="K62" s="225"/>
      <c r="L62" s="225"/>
      <c r="M62" s="225"/>
      <c r="N62" s="225"/>
      <c r="O62" s="225"/>
      <c r="P62" s="226">
        <f>SUM(compras_mes9[[#This Row],[NETO GRAVADO]:[Otros / No Grav.]])</f>
        <v>200.0009</v>
      </c>
      <c r="Q62" s="227" t="str">
        <f>IFERROR(IF(compras_mes9[[#This Row],[CUIT]]="","-",VLOOKUP(compras_mes9[[#This Row],[CUIT]],Lista_CUIT[#All],3,0)),"CUIT NO CARGADO")</f>
        <v>Autopista</v>
      </c>
      <c r="R62" s="227">
        <f>IFERROR(IF(compras_mes9[[#This Row],[CUIT]]="","-",VLOOKUP(compras_mes9[[#This Row],[CUIT]],Lista_CUIT[#All],4,0)),"CUIT NO CARGADO")</f>
        <v>0</v>
      </c>
    </row>
    <row r="63" spans="2:18" x14ac:dyDescent="0.25">
      <c r="B63" s="40">
        <v>45189</v>
      </c>
      <c r="C63" s="41">
        <v>1</v>
      </c>
      <c r="D63" s="42">
        <v>7</v>
      </c>
      <c r="E63" s="43">
        <v>27931</v>
      </c>
      <c r="F63" s="44">
        <v>20271532483</v>
      </c>
      <c r="G63" s="45" t="str">
        <f>IFERROR(IF(compras_mes9[[#This Row],[CUIT]]="","-",VLOOKUP(compras_mes9[[#This Row],[CUIT]],Lista_CUIT[#All],2,0)),"CUIT NO CARGADO")</f>
        <v>DIEGO MARTIN RIOS</v>
      </c>
      <c r="H63" s="46">
        <v>1386022.4</v>
      </c>
      <c r="I63" s="85">
        <f>IF(compras_mes9[[#This Row],[NETO GRAVADO]]="","",compras_mes9[[#This Row],[NETO GRAVADO]]*0.21)</f>
        <v>291064.70399999997</v>
      </c>
      <c r="J63" s="85"/>
      <c r="K63" s="85"/>
      <c r="L63" s="85"/>
      <c r="M63" s="85"/>
      <c r="N63" s="85">
        <v>55440.9</v>
      </c>
      <c r="O63" s="85"/>
      <c r="P63" s="48">
        <f>SUM(compras_mes9[[#This Row],[NETO GRAVADO]:[Otros / No Grav.]])</f>
        <v>1732528.0039999997</v>
      </c>
      <c r="Q63" s="49" t="str">
        <f>IFERROR(IF(compras_mes9[[#This Row],[CUIT]]="","-",VLOOKUP(compras_mes9[[#This Row],[CUIT]],Lista_CUIT[#All],3,0)),"CUIT NO CARGADO")</f>
        <v>Productos Ortopedicos</v>
      </c>
      <c r="R63" s="49">
        <f>IFERROR(IF(compras_mes9[[#This Row],[CUIT]]="","-",VLOOKUP(compras_mes9[[#This Row],[CUIT]],Lista_CUIT[#All],4,0)),"CUIT NO CARGADO")</f>
        <v>0</v>
      </c>
    </row>
    <row r="64" spans="2:18" x14ac:dyDescent="0.25">
      <c r="B64" s="40">
        <v>45189</v>
      </c>
      <c r="C64" s="41">
        <v>1</v>
      </c>
      <c r="D64" s="42">
        <v>7</v>
      </c>
      <c r="E64" s="43">
        <v>27929</v>
      </c>
      <c r="F64" s="44">
        <v>20271532483</v>
      </c>
      <c r="G64" s="45" t="str">
        <f>IFERROR(IF(compras_mes9[[#This Row],[CUIT]]="","-",VLOOKUP(compras_mes9[[#This Row],[CUIT]],Lista_CUIT[#All],2,0)),"CUIT NO CARGADO")</f>
        <v>DIEGO MARTIN RIOS</v>
      </c>
      <c r="H64" s="46">
        <v>2858795.52</v>
      </c>
      <c r="I64" s="85">
        <f>IF(compras_mes9[[#This Row],[NETO GRAVADO]]="","",compras_mes9[[#This Row],[NETO GRAVADO]]*0.21)</f>
        <v>600347.05920000002</v>
      </c>
      <c r="J64" s="85"/>
      <c r="K64" s="85"/>
      <c r="L64" s="85"/>
      <c r="M64" s="85"/>
      <c r="N64" s="85">
        <v>114351.82</v>
      </c>
      <c r="O64" s="85"/>
      <c r="P64" s="48">
        <f>SUM(compras_mes9[[#This Row],[NETO GRAVADO]:[Otros / No Grav.]])</f>
        <v>3573494.3991999999</v>
      </c>
      <c r="Q64" s="49" t="str">
        <f>IFERROR(IF(compras_mes9[[#This Row],[CUIT]]="","-",VLOOKUP(compras_mes9[[#This Row],[CUIT]],Lista_CUIT[#All],3,0)),"CUIT NO CARGADO")</f>
        <v>Productos Ortopedicos</v>
      </c>
      <c r="R64" s="49">
        <f>IFERROR(IF(compras_mes9[[#This Row],[CUIT]]="","-",VLOOKUP(compras_mes9[[#This Row],[CUIT]],Lista_CUIT[#All],4,0)),"CUIT NO CARGADO")</f>
        <v>0</v>
      </c>
    </row>
    <row r="65" spans="2:18" x14ac:dyDescent="0.25">
      <c r="B65" s="40">
        <v>45189</v>
      </c>
      <c r="C65" s="41">
        <v>1</v>
      </c>
      <c r="D65" s="42">
        <v>7</v>
      </c>
      <c r="E65" s="43">
        <v>27930</v>
      </c>
      <c r="F65" s="44">
        <v>20271532483</v>
      </c>
      <c r="G65" s="45" t="str">
        <f>IFERROR(IF(compras_mes9[[#This Row],[CUIT]]="","-",VLOOKUP(compras_mes9[[#This Row],[CUIT]],Lista_CUIT[#All],2,0)),"CUIT NO CARGADO")</f>
        <v>DIEGO MARTIN RIOS</v>
      </c>
      <c r="H65" s="46">
        <v>1197235.2</v>
      </c>
      <c r="I65" s="85">
        <f>IF(compras_mes9[[#This Row],[NETO GRAVADO]]="","",compras_mes9[[#This Row],[NETO GRAVADO]]*0.21)</f>
        <v>251419.39199999999</v>
      </c>
      <c r="J65" s="85"/>
      <c r="K65" s="85"/>
      <c r="L65" s="85"/>
      <c r="M65" s="85"/>
      <c r="N65" s="85">
        <v>47889.41</v>
      </c>
      <c r="O65" s="85"/>
      <c r="P65" s="48">
        <f>SUM(compras_mes9[[#This Row],[NETO GRAVADO]:[Otros / No Grav.]])</f>
        <v>1496544.0019999999</v>
      </c>
      <c r="Q65" s="49" t="str">
        <f>IFERROR(IF(compras_mes9[[#This Row],[CUIT]]="","-",VLOOKUP(compras_mes9[[#This Row],[CUIT]],Lista_CUIT[#All],3,0)),"CUIT NO CARGADO")</f>
        <v>Productos Ortopedicos</v>
      </c>
      <c r="R65" s="49">
        <f>IFERROR(IF(compras_mes9[[#This Row],[CUIT]]="","-",VLOOKUP(compras_mes9[[#This Row],[CUIT]],Lista_CUIT[#All],4,0)),"CUIT NO CARGADO")</f>
        <v>0</v>
      </c>
    </row>
    <row r="66" spans="2:18" x14ac:dyDescent="0.25">
      <c r="B66" s="40">
        <v>45189</v>
      </c>
      <c r="C66" s="41">
        <v>1</v>
      </c>
      <c r="D66" s="42">
        <v>7</v>
      </c>
      <c r="E66" s="43">
        <v>27928</v>
      </c>
      <c r="F66" s="44">
        <v>20271532483</v>
      </c>
      <c r="G66" s="45" t="str">
        <f>IFERROR(IF(compras_mes9[[#This Row],[CUIT]]="","-",VLOOKUP(compras_mes9[[#This Row],[CUIT]],Lista_CUIT[#All],2,0)),"CUIT NO CARGADO")</f>
        <v>DIEGO MARTIN RIOS</v>
      </c>
      <c r="H66" s="46">
        <v>3078078.08</v>
      </c>
      <c r="I66" s="85">
        <f>IF(compras_mes9[[#This Row],[NETO GRAVADO]]="","",compras_mes9[[#This Row],[NETO GRAVADO]]*0.21)</f>
        <v>646396.39679999999</v>
      </c>
      <c r="J66" s="85"/>
      <c r="K66" s="85"/>
      <c r="L66" s="85"/>
      <c r="M66" s="85"/>
      <c r="N66" s="85">
        <v>123123.12</v>
      </c>
      <c r="O66" s="85"/>
      <c r="P66" s="48">
        <f>SUM(compras_mes9[[#This Row],[NETO GRAVADO]:[Otros / No Grav.]])</f>
        <v>3847597.5968000004</v>
      </c>
      <c r="Q66" s="49" t="str">
        <f>IFERROR(IF(compras_mes9[[#This Row],[CUIT]]="","-",VLOOKUP(compras_mes9[[#This Row],[CUIT]],Lista_CUIT[#All],3,0)),"CUIT NO CARGADO")</f>
        <v>Productos Ortopedicos</v>
      </c>
      <c r="R66" s="49">
        <f>IFERROR(IF(compras_mes9[[#This Row],[CUIT]]="","-",VLOOKUP(compras_mes9[[#This Row],[CUIT]],Lista_CUIT[#All],4,0)),"CUIT NO CARGADO")</f>
        <v>0</v>
      </c>
    </row>
    <row r="67" spans="2:18" x14ac:dyDescent="0.25">
      <c r="B67" s="40">
        <v>45189</v>
      </c>
      <c r="C67" s="41">
        <v>1</v>
      </c>
      <c r="D67" s="42">
        <v>7</v>
      </c>
      <c r="E67" s="43">
        <v>27932</v>
      </c>
      <c r="F67" s="44">
        <v>20271532483</v>
      </c>
      <c r="G67" s="45" t="str">
        <f>IFERROR(IF(compras_mes9[[#This Row],[CUIT]]="","-",VLOOKUP(compras_mes9[[#This Row],[CUIT]],Lista_CUIT[#All],2,0)),"CUIT NO CARGADO")</f>
        <v>DIEGO MARTIN RIOS</v>
      </c>
      <c r="H67" s="46">
        <v>2104598.89</v>
      </c>
      <c r="I67" s="85">
        <f>IF(compras_mes9[[#This Row],[NETO GRAVADO]]="","",compras_mes9[[#This Row],[NETO GRAVADO]]*0.21)</f>
        <v>441965.76689999999</v>
      </c>
      <c r="J67" s="85"/>
      <c r="K67" s="85"/>
      <c r="L67" s="85"/>
      <c r="M67" s="85"/>
      <c r="N67" s="85">
        <v>84183.96</v>
      </c>
      <c r="O67" s="85"/>
      <c r="P67" s="48">
        <f>SUM(compras_mes9[[#This Row],[NETO GRAVADO]:[Otros / No Grav.]])</f>
        <v>2630748.6169000003</v>
      </c>
      <c r="Q67" s="49" t="str">
        <f>IFERROR(IF(compras_mes9[[#This Row],[CUIT]]="","-",VLOOKUP(compras_mes9[[#This Row],[CUIT]],Lista_CUIT[#All],3,0)),"CUIT NO CARGADO")</f>
        <v>Productos Ortopedicos</v>
      </c>
      <c r="R67" s="49">
        <f>IFERROR(IF(compras_mes9[[#This Row],[CUIT]]="","-",VLOOKUP(compras_mes9[[#This Row],[CUIT]],Lista_CUIT[#All],4,0)),"CUIT NO CARGADO")</f>
        <v>0</v>
      </c>
    </row>
    <row r="68" spans="2:18" x14ac:dyDescent="0.25">
      <c r="B68" s="40">
        <v>45189</v>
      </c>
      <c r="C68" s="41">
        <v>1</v>
      </c>
      <c r="D68" s="42">
        <v>7</v>
      </c>
      <c r="E68" s="43">
        <v>27927</v>
      </c>
      <c r="F68" s="44">
        <v>20271532483</v>
      </c>
      <c r="G68" s="45" t="str">
        <f>IFERROR(IF(compras_mes9[[#This Row],[CUIT]]="","-",VLOOKUP(compras_mes9[[#This Row],[CUIT]],Lista_CUIT[#All],2,0)),"CUIT NO CARGADO")</f>
        <v>DIEGO MARTIN RIOS</v>
      </c>
      <c r="H68" s="46">
        <v>4948500.5599999996</v>
      </c>
      <c r="I68" s="85">
        <f>IF(compras_mes9[[#This Row],[NETO GRAVADO]]="","",compras_mes9[[#This Row],[NETO GRAVADO]]*0.21)</f>
        <v>1039185.1175999999</v>
      </c>
      <c r="J68" s="85"/>
      <c r="K68" s="85"/>
      <c r="L68" s="85"/>
      <c r="M68" s="85"/>
      <c r="N68" s="85">
        <v>197940.02</v>
      </c>
      <c r="O68" s="85"/>
      <c r="P68" s="48">
        <f>SUM(compras_mes9[[#This Row],[NETO GRAVADO]:[Otros / No Grav.]])</f>
        <v>6185625.6975999987</v>
      </c>
      <c r="Q68" s="49" t="str">
        <f>IFERROR(IF(compras_mes9[[#This Row],[CUIT]]="","-",VLOOKUP(compras_mes9[[#This Row],[CUIT]],Lista_CUIT[#All],3,0)),"CUIT NO CARGADO")</f>
        <v>Productos Ortopedicos</v>
      </c>
      <c r="R68" s="49">
        <f>IFERROR(IF(compras_mes9[[#This Row],[CUIT]]="","-",VLOOKUP(compras_mes9[[#This Row],[CUIT]],Lista_CUIT[#All],4,0)),"CUIT NO CARGADO")</f>
        <v>0</v>
      </c>
    </row>
    <row r="69" spans="2:18" x14ac:dyDescent="0.25">
      <c r="B69" s="219">
        <v>45189</v>
      </c>
      <c r="C69" s="209">
        <v>1</v>
      </c>
      <c r="D69" s="220">
        <v>1</v>
      </c>
      <c r="E69" s="221">
        <v>2639</v>
      </c>
      <c r="F69" s="222">
        <v>30715141201</v>
      </c>
      <c r="G69" s="223" t="str">
        <f>IFERROR(IF(compras_mes9[[#This Row],[CUIT]]="","-",VLOOKUP(compras_mes9[[#This Row],[CUIT]],Lista_CUIT[#All],2,0)),"CUIT NO CARGADO")</f>
        <v>REHAB SRL</v>
      </c>
      <c r="H69" s="224">
        <v>106983.14</v>
      </c>
      <c r="I69" s="225">
        <f>IF(compras_mes9[[#This Row],[NETO GRAVADO]]="","",compras_mes9[[#This Row],[NETO GRAVADO]]*0.21)</f>
        <v>22466.4594</v>
      </c>
      <c r="J69" s="225"/>
      <c r="K69" s="225"/>
      <c r="L69" s="225"/>
      <c r="M69" s="225"/>
      <c r="N69" s="225"/>
      <c r="O69" s="225"/>
      <c r="P69" s="226">
        <f>SUM(compras_mes9[[#This Row],[NETO GRAVADO]:[Otros / No Grav.]])</f>
        <v>129449.59940000001</v>
      </c>
      <c r="Q69" s="227" t="str">
        <f>IFERROR(IF(compras_mes9[[#This Row],[CUIT]]="","-",VLOOKUP(compras_mes9[[#This Row],[CUIT]],Lista_CUIT[#All],3,0)),"CUIT NO CARGADO")</f>
        <v>Productos Ortopedicos</v>
      </c>
      <c r="R69" s="227">
        <f>IFERROR(IF(compras_mes9[[#This Row],[CUIT]]="","-",VLOOKUP(compras_mes9[[#This Row],[CUIT]],Lista_CUIT[#All],4,0)),"CUIT NO CARGADO")</f>
        <v>0</v>
      </c>
    </row>
    <row r="70" spans="2:18" x14ac:dyDescent="0.25">
      <c r="B70" s="40">
        <v>45190</v>
      </c>
      <c r="C70" s="41">
        <v>1</v>
      </c>
      <c r="D70" s="42">
        <v>1</v>
      </c>
      <c r="E70" s="43">
        <v>2640</v>
      </c>
      <c r="F70" s="44">
        <v>30715141201</v>
      </c>
      <c r="G70" s="45" t="str">
        <f>IFERROR(IF(compras_mes9[[#This Row],[CUIT]]="","-",VLOOKUP(compras_mes9[[#This Row],[CUIT]],Lista_CUIT[#All],2,0)),"CUIT NO CARGADO")</f>
        <v>REHAB SRL</v>
      </c>
      <c r="H70" s="46">
        <v>91088.38</v>
      </c>
      <c r="I70" s="85">
        <f>IF(compras_mes9[[#This Row],[NETO GRAVADO]]="","",compras_mes9[[#This Row],[NETO GRAVADO]]*0.21)</f>
        <v>19128.559799999999</v>
      </c>
      <c r="J70" s="85"/>
      <c r="K70" s="85"/>
      <c r="L70" s="85"/>
      <c r="M70" s="85"/>
      <c r="N70" s="85"/>
      <c r="O70" s="85"/>
      <c r="P70" s="48">
        <f>SUM(compras_mes9[[#This Row],[NETO GRAVADO]:[Otros / No Grav.]])</f>
        <v>110216.93980000001</v>
      </c>
      <c r="Q70" s="49" t="str">
        <f>IFERROR(IF(compras_mes9[[#This Row],[CUIT]]="","-",VLOOKUP(compras_mes9[[#This Row],[CUIT]],Lista_CUIT[#All],3,0)),"CUIT NO CARGADO")</f>
        <v>Productos Ortopedicos</v>
      </c>
      <c r="R70" s="49">
        <f>IFERROR(IF(compras_mes9[[#This Row],[CUIT]]="","-",VLOOKUP(compras_mes9[[#This Row],[CUIT]],Lista_CUIT[#All],4,0)),"CUIT NO CARGADO")</f>
        <v>0</v>
      </c>
    </row>
    <row r="71" spans="2:18" x14ac:dyDescent="0.25">
      <c r="B71" s="40">
        <v>45190</v>
      </c>
      <c r="C71" s="41">
        <v>3</v>
      </c>
      <c r="D71" s="42">
        <v>1</v>
      </c>
      <c r="E71" s="43">
        <v>96</v>
      </c>
      <c r="F71" s="44">
        <v>30715141201</v>
      </c>
      <c r="G71" s="45" t="str">
        <f>IFERROR(IF(compras_mes9[[#This Row],[CUIT]]="","-",VLOOKUP(compras_mes9[[#This Row],[CUIT]],Lista_CUIT[#All],2,0)),"CUIT NO CARGADO")</f>
        <v>REHAB SRL</v>
      </c>
      <c r="H71" s="46">
        <v>-106983.14</v>
      </c>
      <c r="I71" s="85">
        <f>IF(compras_mes9[[#This Row],[NETO GRAVADO]]="","",compras_mes9[[#This Row],[NETO GRAVADO]]*0.21)</f>
        <v>-22466.4594</v>
      </c>
      <c r="J71" s="85"/>
      <c r="K71" s="85"/>
      <c r="L71" s="85"/>
      <c r="M71" s="85"/>
      <c r="N71" s="85"/>
      <c r="O71" s="85"/>
      <c r="P71" s="48">
        <f>SUM(compras_mes9[[#This Row],[NETO GRAVADO]:[Otros / No Grav.]])</f>
        <v>-129449.59940000001</v>
      </c>
      <c r="Q71" s="49" t="str">
        <f>IFERROR(IF(compras_mes9[[#This Row],[CUIT]]="","-",VLOOKUP(compras_mes9[[#This Row],[CUIT]],Lista_CUIT[#All],3,0)),"CUIT NO CARGADO")</f>
        <v>Productos Ortopedicos</v>
      </c>
      <c r="R71" s="49">
        <f>IFERROR(IF(compras_mes9[[#This Row],[CUIT]]="","-",VLOOKUP(compras_mes9[[#This Row],[CUIT]],Lista_CUIT[#All],4,0)),"CUIT NO CARGADO")</f>
        <v>0</v>
      </c>
    </row>
    <row r="72" spans="2:18" x14ac:dyDescent="0.25">
      <c r="B72" s="40">
        <v>45190</v>
      </c>
      <c r="C72" s="41">
        <v>1</v>
      </c>
      <c r="D72" s="42">
        <v>3</v>
      </c>
      <c r="E72" s="43">
        <v>48238</v>
      </c>
      <c r="F72" s="44">
        <v>30577744579</v>
      </c>
      <c r="G72" s="45" t="str">
        <f>IFERROR(IF(compras_mes9[[#This Row],[CUIT]]="","-",VLOOKUP(compras_mes9[[#This Row],[CUIT]],Lista_CUIT[#All],2,0)),"CUIT NO CARGADO")</f>
        <v>EXPRESO TROLE SRL</v>
      </c>
      <c r="H72" s="46">
        <v>2786.31</v>
      </c>
      <c r="I72" s="85">
        <f>IF(compras_mes9[[#This Row],[NETO GRAVADO]]="","",compras_mes9[[#This Row],[NETO GRAVADO]]*0.21)</f>
        <v>585.12509999999997</v>
      </c>
      <c r="J72" s="85"/>
      <c r="K72" s="85"/>
      <c r="L72" s="85"/>
      <c r="M72" s="85"/>
      <c r="N72" s="85"/>
      <c r="O72" s="85"/>
      <c r="P72" s="48">
        <f>SUM(compras_mes9[[#This Row],[NETO GRAVADO]:[Otros / No Grav.]])</f>
        <v>3371.4350999999997</v>
      </c>
      <c r="Q72" s="49" t="str">
        <f>IFERROR(IF(compras_mes9[[#This Row],[CUIT]]="","-",VLOOKUP(compras_mes9[[#This Row],[CUIT]],Lista_CUIT[#All],3,0)),"CUIT NO CARGADO")</f>
        <v>FLETE</v>
      </c>
      <c r="R72" s="49">
        <f>IFERROR(IF(compras_mes9[[#This Row],[CUIT]]="","-",VLOOKUP(compras_mes9[[#This Row],[CUIT]],Lista_CUIT[#All],4,0)),"CUIT NO CARGADO")</f>
        <v>0</v>
      </c>
    </row>
    <row r="73" spans="2:18" x14ac:dyDescent="0.25">
      <c r="B73" s="40">
        <v>45190</v>
      </c>
      <c r="C73" s="41">
        <v>1</v>
      </c>
      <c r="D73" s="42">
        <v>5</v>
      </c>
      <c r="E73" s="43">
        <v>2866061</v>
      </c>
      <c r="F73" s="44">
        <v>30702652975</v>
      </c>
      <c r="G73" s="45" t="str">
        <f>IFERROR(IF(compras_mes9[[#This Row],[CUIT]]="","-",VLOOKUP(compras_mes9[[#This Row],[CUIT]],Lista_CUIT[#All],2,0)),"CUIT NO CARGADO")</f>
        <v>NSS SA</v>
      </c>
      <c r="H73" s="46">
        <v>10640.99</v>
      </c>
      <c r="I73" s="85">
        <f>IF(compras_mes9[[#This Row],[NETO GRAVADO]]="","",compras_mes9[[#This Row],[NETO GRAVADO]]*0.21)</f>
        <v>2234.6079</v>
      </c>
      <c r="J73" s="85"/>
      <c r="K73" s="85"/>
      <c r="L73" s="85"/>
      <c r="M73" s="85"/>
      <c r="N73" s="85">
        <v>425.64</v>
      </c>
      <c r="O73" s="85"/>
      <c r="P73" s="48">
        <f>SUM(compras_mes9[[#This Row],[NETO GRAVADO]:[Otros / No Grav.]])</f>
        <v>13301.2379</v>
      </c>
      <c r="Q73" s="49" t="str">
        <f>IFERROR(IF(compras_mes9[[#This Row],[CUIT]]="","-",VLOOKUP(compras_mes9[[#This Row],[CUIT]],Lista_CUIT[#All],3,0)),"CUIT NO CARGADO")</f>
        <v>TELEFONIA</v>
      </c>
      <c r="R73" s="49">
        <f>IFERROR(IF(compras_mes9[[#This Row],[CUIT]]="","-",VLOOKUP(compras_mes9[[#This Row],[CUIT]],Lista_CUIT[#All],4,0)),"CUIT NO CARGADO")</f>
        <v>0</v>
      </c>
    </row>
    <row r="74" spans="2:18" x14ac:dyDescent="0.25">
      <c r="B74" s="40">
        <v>45190</v>
      </c>
      <c r="C74" s="41">
        <v>1</v>
      </c>
      <c r="D74" s="42">
        <v>5</v>
      </c>
      <c r="E74" s="43">
        <v>20</v>
      </c>
      <c r="F74" s="44">
        <v>20929183143</v>
      </c>
      <c r="G74" s="45" t="str">
        <f>IFERROR(IF(compras_mes9[[#This Row],[CUIT]]="","-",VLOOKUP(compras_mes9[[#This Row],[CUIT]],Lista_CUIT[#All],2,0)),"CUIT NO CARGADO")</f>
        <v>MA JUN</v>
      </c>
      <c r="H74" s="46">
        <v>15000</v>
      </c>
      <c r="I74" s="85">
        <f>IF(compras_mes9[[#This Row],[NETO GRAVADO]]="","",compras_mes9[[#This Row],[NETO GRAVADO]]*0.21)</f>
        <v>3150</v>
      </c>
      <c r="J74" s="85"/>
      <c r="K74" s="85"/>
      <c r="L74" s="85"/>
      <c r="M74" s="85"/>
      <c r="N74" s="85"/>
      <c r="O74" s="85"/>
      <c r="P74" s="48">
        <f>SUM(compras_mes9[[#This Row],[NETO GRAVADO]:[Otros / No Grav.]])</f>
        <v>18150</v>
      </c>
      <c r="Q74" s="49" t="str">
        <f>IFERROR(IF(compras_mes9[[#This Row],[CUIT]]="","-",VLOOKUP(compras_mes9[[#This Row],[CUIT]],Lista_CUIT[#All],3,0)),"CUIT NO CARGADO")</f>
        <v>Gastos Varios</v>
      </c>
      <c r="R74" s="49">
        <f>IFERROR(IF(compras_mes9[[#This Row],[CUIT]]="","-",VLOOKUP(compras_mes9[[#This Row],[CUIT]],Lista_CUIT[#All],4,0)),"CUIT NO CARGADO")</f>
        <v>0</v>
      </c>
    </row>
    <row r="75" spans="2:18" x14ac:dyDescent="0.25">
      <c r="B75" s="40">
        <v>45190</v>
      </c>
      <c r="C75" s="41">
        <v>1</v>
      </c>
      <c r="D75" s="42">
        <v>2</v>
      </c>
      <c r="E75" s="43">
        <v>98</v>
      </c>
      <c r="F75" s="44">
        <v>20272865869</v>
      </c>
      <c r="G75" s="45" t="str">
        <f>IFERROR(IF(compras_mes9[[#This Row],[CUIT]]="","-",VLOOKUP(compras_mes9[[#This Row],[CUIT]],Lista_CUIT[#All],2,0)),"CUIT NO CARGADO")</f>
        <v>DI FEO MARTIN EZEQUIEL</v>
      </c>
      <c r="H75" s="46">
        <v>38080</v>
      </c>
      <c r="I75" s="85">
        <f>IF(compras_mes9[[#This Row],[NETO GRAVADO]]="","",compras_mes9[[#This Row],[NETO GRAVADO]]*0.21)</f>
        <v>7996.7999999999993</v>
      </c>
      <c r="J75" s="85"/>
      <c r="K75" s="85"/>
      <c r="L75" s="85"/>
      <c r="M75" s="85"/>
      <c r="N75" s="85"/>
      <c r="O75" s="85"/>
      <c r="P75" s="48">
        <f>SUM(compras_mes9[[#This Row],[NETO GRAVADO]:[Otros / No Grav.]])</f>
        <v>46076.800000000003</v>
      </c>
      <c r="Q75" s="49" t="str">
        <f>IFERROR(IF(compras_mes9[[#This Row],[CUIT]]="","-",VLOOKUP(compras_mes9[[#This Row],[CUIT]],Lista_CUIT[#All],3,0)),"CUIT NO CARGADO")</f>
        <v>Productos Ortopedicos</v>
      </c>
      <c r="R75" s="49">
        <f>IFERROR(IF(compras_mes9[[#This Row],[CUIT]]="","-",VLOOKUP(compras_mes9[[#This Row],[CUIT]],Lista_CUIT[#All],4,0)),"CUIT NO CARGADO")</f>
        <v>0</v>
      </c>
    </row>
    <row r="76" spans="2:18" x14ac:dyDescent="0.25">
      <c r="B76" s="40">
        <v>45190</v>
      </c>
      <c r="C76" s="41">
        <v>1</v>
      </c>
      <c r="D76" s="42">
        <v>9040</v>
      </c>
      <c r="E76" s="43">
        <v>17212</v>
      </c>
      <c r="F76" s="44">
        <v>30678774495</v>
      </c>
      <c r="G76" s="45" t="str">
        <f>IFERROR(IF(compras_mes9[[#This Row],[CUIT]]="","-",VLOOKUP(compras_mes9[[#This Row],[CUIT]],Lista_CUIT[#All],2,0)),"CUIT NO CARGADO")</f>
        <v>OPER. DE EST. DE SERV. SA</v>
      </c>
      <c r="H76" s="46">
        <v>16940.650000000001</v>
      </c>
      <c r="I76" s="85">
        <f>IF(compras_mes9[[#This Row],[NETO GRAVADO]]="","",compras_mes9[[#This Row],[NETO GRAVADO]]*0.21)</f>
        <v>3557.5365000000002</v>
      </c>
      <c r="J76" s="85"/>
      <c r="K76" s="85"/>
      <c r="L76" s="85"/>
      <c r="M76" s="85"/>
      <c r="N76" s="85"/>
      <c r="O76" s="85">
        <v>961.2</v>
      </c>
      <c r="P76" s="48">
        <f>SUM(compras_mes9[[#This Row],[NETO GRAVADO]:[Otros / No Grav.]])</f>
        <v>21459.386500000004</v>
      </c>
      <c r="Q76" s="49" t="str">
        <f>IFERROR(IF(compras_mes9[[#This Row],[CUIT]]="","-",VLOOKUP(compras_mes9[[#This Row],[CUIT]],Lista_CUIT[#All],3,0)),"CUIT NO CARGADO")</f>
        <v>COMBUSTIBLE</v>
      </c>
      <c r="R76" s="49">
        <f>IFERROR(IF(compras_mes9[[#This Row],[CUIT]]="","-",VLOOKUP(compras_mes9[[#This Row],[CUIT]],Lista_CUIT[#All],4,0)),"CUIT NO CARGADO")</f>
        <v>0</v>
      </c>
    </row>
    <row r="77" spans="2:18" x14ac:dyDescent="0.25">
      <c r="B77" s="40">
        <v>45191</v>
      </c>
      <c r="C77" s="41">
        <v>1</v>
      </c>
      <c r="D77" s="42">
        <v>7</v>
      </c>
      <c r="E77" s="43">
        <v>3077</v>
      </c>
      <c r="F77" s="44">
        <v>20312058368</v>
      </c>
      <c r="G77" s="45" t="str">
        <f>IFERROR(IF(compras_mes9[[#This Row],[CUIT]]="","-",VLOOKUP(compras_mes9[[#This Row],[CUIT]],Lista_CUIT[#All],2,0)),"CUIT NO CARGADO")</f>
        <v>GOTTIG DIEGO GASTON LUJAN</v>
      </c>
      <c r="H77" s="46">
        <v>256661.16</v>
      </c>
      <c r="I77" s="85">
        <f>IF(compras_mes9[[#This Row],[NETO GRAVADO]]="","",compras_mes9[[#This Row],[NETO GRAVADO]]*0.21)</f>
        <v>53898.8436</v>
      </c>
      <c r="J77" s="85"/>
      <c r="K77" s="85"/>
      <c r="L77" s="85"/>
      <c r="M77" s="85"/>
      <c r="N77" s="85"/>
      <c r="O77" s="85"/>
      <c r="P77" s="48">
        <f>SUM(compras_mes9[[#This Row],[NETO GRAVADO]:[Otros / No Grav.]])</f>
        <v>310560.0036</v>
      </c>
      <c r="Q77" s="49" t="str">
        <f>IFERROR(IF(compras_mes9[[#This Row],[CUIT]]="","-",VLOOKUP(compras_mes9[[#This Row],[CUIT]],Lista_CUIT[#All],3,0)),"CUIT NO CARGADO")</f>
        <v>Productos Ortopedicos</v>
      </c>
      <c r="R77" s="49">
        <f>IFERROR(IF(compras_mes9[[#This Row],[CUIT]]="","-",VLOOKUP(compras_mes9[[#This Row],[CUIT]],Lista_CUIT[#All],4,0)),"CUIT NO CARGADO")</f>
        <v>0</v>
      </c>
    </row>
    <row r="78" spans="2:18" x14ac:dyDescent="0.25">
      <c r="B78" s="40">
        <v>45191</v>
      </c>
      <c r="C78" s="41">
        <v>1</v>
      </c>
      <c r="D78" s="42">
        <v>120</v>
      </c>
      <c r="E78" s="43">
        <v>3365</v>
      </c>
      <c r="F78" s="44">
        <v>30587197215</v>
      </c>
      <c r="G78" s="45" t="str">
        <f>IFERROR(IF(compras_mes9[[#This Row],[CUIT]]="","-",VLOOKUP(compras_mes9[[#This Row],[CUIT]],Lista_CUIT[#All],2,0)),"CUIT NO CARGADO")</f>
        <v>PANATEL SOCIEDAD ANONIMA</v>
      </c>
      <c r="H78" s="46">
        <v>21487.599999999999</v>
      </c>
      <c r="I78" s="85">
        <f>IF(compras_mes9[[#This Row],[NETO GRAVADO]]="","",compras_mes9[[#This Row],[NETO GRAVADO]]*0.21)</f>
        <v>4512.3959999999997</v>
      </c>
      <c r="J78" s="85"/>
      <c r="K78" s="85"/>
      <c r="L78" s="85"/>
      <c r="M78" s="85"/>
      <c r="N78" s="85"/>
      <c r="O78" s="85"/>
      <c r="P78" s="48">
        <f>SUM(compras_mes9[[#This Row],[NETO GRAVADO]:[Otros / No Grav.]])</f>
        <v>25999.995999999999</v>
      </c>
      <c r="Q78" s="49" t="str">
        <f>IFERROR(IF(compras_mes9[[#This Row],[CUIT]]="","-",VLOOKUP(compras_mes9[[#This Row],[CUIT]],Lista_CUIT[#All],3,0)),"CUIT NO CARGADO")</f>
        <v>Gastos Varios</v>
      </c>
      <c r="R78" s="49">
        <f>IFERROR(IF(compras_mes9[[#This Row],[CUIT]]="","-",VLOOKUP(compras_mes9[[#This Row],[CUIT]],Lista_CUIT[#All],4,0)),"CUIT NO CARGADO")</f>
        <v>0</v>
      </c>
    </row>
    <row r="79" spans="2:18" x14ac:dyDescent="0.25">
      <c r="B79" s="40">
        <v>45191</v>
      </c>
      <c r="C79" s="41">
        <v>1</v>
      </c>
      <c r="D79" s="42">
        <v>2</v>
      </c>
      <c r="E79" s="43">
        <v>9117</v>
      </c>
      <c r="F79" s="44">
        <v>30714331082</v>
      </c>
      <c r="G79" s="45" t="str">
        <f>IFERROR(IF(compras_mes9[[#This Row],[CUIT]]="","-",VLOOKUP(compras_mes9[[#This Row],[CUIT]],Lista_CUIT[#All],2,0)),"CUIT NO CARGADO")</f>
        <v>ORTOPEDIA CASA ESCALADA SRL</v>
      </c>
      <c r="H79" s="46">
        <v>566069.32999999996</v>
      </c>
      <c r="I79" s="85">
        <f>IF(compras_mes9[[#This Row],[NETO GRAVADO]]="","",compras_mes9[[#This Row],[NETO GRAVADO]]*0.21)</f>
        <v>118874.55929999999</v>
      </c>
      <c r="J79" s="85"/>
      <c r="K79" s="85"/>
      <c r="L79" s="85"/>
      <c r="M79" s="85"/>
      <c r="N79" s="85"/>
      <c r="O79" s="85"/>
      <c r="P79" s="48">
        <f>SUM(compras_mes9[[#This Row],[NETO GRAVADO]:[Otros / No Grav.]])</f>
        <v>684943.88929999992</v>
      </c>
      <c r="Q79" s="49" t="str">
        <f>IFERROR(IF(compras_mes9[[#This Row],[CUIT]]="","-",VLOOKUP(compras_mes9[[#This Row],[CUIT]],Lista_CUIT[#All],3,0)),"CUIT NO CARGADO")</f>
        <v>Productos Ortopedicos</v>
      </c>
      <c r="R79" s="49">
        <f>IFERROR(IF(compras_mes9[[#This Row],[CUIT]]="","-",VLOOKUP(compras_mes9[[#This Row],[CUIT]],Lista_CUIT[#All],4,0)),"CUIT NO CARGADO")</f>
        <v>0</v>
      </c>
    </row>
    <row r="80" spans="2:18" x14ac:dyDescent="0.25">
      <c r="B80" s="40">
        <v>45191</v>
      </c>
      <c r="C80" s="41">
        <v>1</v>
      </c>
      <c r="D80" s="42">
        <v>2</v>
      </c>
      <c r="E80" s="43">
        <v>104</v>
      </c>
      <c r="F80" s="44">
        <v>20272865869</v>
      </c>
      <c r="G80" s="45" t="str">
        <f>IFERROR(IF(compras_mes9[[#This Row],[CUIT]]="","-",VLOOKUP(compras_mes9[[#This Row],[CUIT]],Lista_CUIT[#All],2,0)),"CUIT NO CARGADO")</f>
        <v>DI FEO MARTIN EZEQUIEL</v>
      </c>
      <c r="H80" s="46">
        <v>95250</v>
      </c>
      <c r="I80" s="85">
        <f>IF(compras_mes9[[#This Row],[NETO GRAVADO]]="","",compras_mes9[[#This Row],[NETO GRAVADO]]*0.21)</f>
        <v>20002.5</v>
      </c>
      <c r="J80" s="85"/>
      <c r="K80" s="85"/>
      <c r="L80" s="85"/>
      <c r="M80" s="85"/>
      <c r="N80" s="85"/>
      <c r="O80" s="85"/>
      <c r="P80" s="48">
        <f>SUM(compras_mes9[[#This Row],[NETO GRAVADO]:[Otros / No Grav.]])</f>
        <v>115252.5</v>
      </c>
      <c r="Q80" s="49" t="str">
        <f>IFERROR(IF(compras_mes9[[#This Row],[CUIT]]="","-",VLOOKUP(compras_mes9[[#This Row],[CUIT]],Lista_CUIT[#All],3,0)),"CUIT NO CARGADO")</f>
        <v>Productos Ortopedicos</v>
      </c>
      <c r="R80" s="49">
        <f>IFERROR(IF(compras_mes9[[#This Row],[CUIT]]="","-",VLOOKUP(compras_mes9[[#This Row],[CUIT]],Lista_CUIT[#All],4,0)),"CUIT NO CARGADO")</f>
        <v>0</v>
      </c>
    </row>
    <row r="81" spans="2:18" x14ac:dyDescent="0.25">
      <c r="B81" s="219">
        <v>45191</v>
      </c>
      <c r="C81" s="209">
        <v>1</v>
      </c>
      <c r="D81" s="220">
        <v>1055</v>
      </c>
      <c r="E81" s="221">
        <v>595</v>
      </c>
      <c r="F81" s="222">
        <v>30685849751</v>
      </c>
      <c r="G81" s="223" t="str">
        <f>IFERROR(IF(compras_mes9[[#This Row],[CUIT]]="","-",VLOOKUP(compras_mes9[[#This Row],[CUIT]],Lista_CUIT[#All],2,0)),"CUIT NO CARGADO")</f>
        <v>DIA ARGENTINA S.A.</v>
      </c>
      <c r="H81" s="224">
        <v>4198.3599999999997</v>
      </c>
      <c r="I81" s="225">
        <f>IF(compras_mes9[[#This Row],[NETO GRAVADO]]="","",compras_mes9[[#This Row],[NETO GRAVADO]]*0.21)</f>
        <v>881.65559999999994</v>
      </c>
      <c r="J81" s="225"/>
      <c r="K81" s="225"/>
      <c r="L81" s="225"/>
      <c r="M81" s="225"/>
      <c r="N81" s="225">
        <v>167.94</v>
      </c>
      <c r="O81" s="225"/>
      <c r="P81" s="226">
        <f>SUM(compras_mes9[[#This Row],[NETO GRAVADO]:[Otros / No Grav.]])</f>
        <v>5247.9555999999993</v>
      </c>
      <c r="Q81" s="227" t="str">
        <f>IFERROR(IF(compras_mes9[[#This Row],[CUIT]]="","-",VLOOKUP(compras_mes9[[#This Row],[CUIT]],Lista_CUIT[#All],3,0)),"CUIT NO CARGADO")</f>
        <v>Gastos Varios</v>
      </c>
      <c r="R81" s="227">
        <f>IFERROR(IF(compras_mes9[[#This Row],[CUIT]]="","-",VLOOKUP(compras_mes9[[#This Row],[CUIT]],Lista_CUIT[#All],4,0)),"CUIT NO CARGADO")</f>
        <v>0</v>
      </c>
    </row>
    <row r="82" spans="2:18" x14ac:dyDescent="0.25">
      <c r="B82" s="219">
        <v>45191</v>
      </c>
      <c r="C82" s="209">
        <v>1</v>
      </c>
      <c r="D82" s="220">
        <v>700</v>
      </c>
      <c r="E82" s="221">
        <v>1155751</v>
      </c>
      <c r="F82" s="222">
        <v>30715804812</v>
      </c>
      <c r="G82" s="223" t="str">
        <f>IFERROR(IF(compras_mes9[[#This Row],[CUIT]]="","-",VLOOKUP(compras_mes9[[#This Row],[CUIT]],Lista_CUIT[#All],2,0)),"CUIT NO CARGADO")</f>
        <v>CORREDORES VIALES SOCIEDAD ANONIMA</v>
      </c>
      <c r="H82" s="224">
        <v>2851.24</v>
      </c>
      <c r="I82" s="225">
        <f>IF(compras_mes9[[#This Row],[NETO GRAVADO]]="","",compras_mes9[[#This Row],[NETO GRAVADO]]*0.21)</f>
        <v>598.76039999999989</v>
      </c>
      <c r="J82" s="225"/>
      <c r="K82" s="225"/>
      <c r="L82" s="225"/>
      <c r="M82" s="225"/>
      <c r="N82" s="225"/>
      <c r="O82" s="225"/>
      <c r="P82" s="226">
        <f>SUM(compras_mes9[[#This Row],[NETO GRAVADO]:[Otros / No Grav.]])</f>
        <v>3450.0003999999999</v>
      </c>
      <c r="Q82" s="227" t="str">
        <f>IFERROR(IF(compras_mes9[[#This Row],[CUIT]]="","-",VLOOKUP(compras_mes9[[#This Row],[CUIT]],Lista_CUIT[#All],3,0)),"CUIT NO CARGADO")</f>
        <v>Autopista</v>
      </c>
      <c r="R82" s="227">
        <f>IFERROR(IF(compras_mes9[[#This Row],[CUIT]]="","-",VLOOKUP(compras_mes9[[#This Row],[CUIT]],Lista_CUIT[#All],4,0)),"CUIT NO CARGADO")</f>
        <v>0</v>
      </c>
    </row>
    <row r="83" spans="2:18" x14ac:dyDescent="0.25">
      <c r="B83" s="40">
        <v>45194</v>
      </c>
      <c r="C83" s="41">
        <v>1</v>
      </c>
      <c r="D83" s="42">
        <v>1001</v>
      </c>
      <c r="E83" s="43">
        <v>296</v>
      </c>
      <c r="F83" s="44">
        <v>30707370552</v>
      </c>
      <c r="G83" s="45" t="str">
        <f>IFERROR(IF(compras_mes9[[#This Row],[CUIT]]="","-",VLOOKUP(compras_mes9[[#This Row],[CUIT]],Lista_CUIT[#All],2,0)),"CUIT NO CARGADO")</f>
        <v>RAKE SA</v>
      </c>
      <c r="H83" s="46">
        <v>180388.43</v>
      </c>
      <c r="I83" s="85">
        <f>IF(compras_mes9[[#This Row],[NETO GRAVADO]]="","",compras_mes9[[#This Row],[NETO GRAVADO]]*0.21)</f>
        <v>37881.570299999999</v>
      </c>
      <c r="J83" s="85"/>
      <c r="K83" s="85"/>
      <c r="L83" s="85"/>
      <c r="M83" s="85"/>
      <c r="N83" s="85"/>
      <c r="O83" s="85"/>
      <c r="P83" s="48">
        <f>SUM(compras_mes9[[#This Row],[NETO GRAVADO]:[Otros / No Grav.]])</f>
        <v>218270.00029999999</v>
      </c>
      <c r="Q83" s="49" t="str">
        <f>IFERROR(IF(compras_mes9[[#This Row],[CUIT]]="","-",VLOOKUP(compras_mes9[[#This Row],[CUIT]],Lista_CUIT[#All],3,0)),"CUIT NO CARGADO")</f>
        <v>Alquileres</v>
      </c>
      <c r="R83" s="49">
        <f>IFERROR(IF(compras_mes9[[#This Row],[CUIT]]="","-",VLOOKUP(compras_mes9[[#This Row],[CUIT]],Lista_CUIT[#All],4,0)),"CUIT NO CARGADO")</f>
        <v>0</v>
      </c>
    </row>
    <row r="84" spans="2:18" x14ac:dyDescent="0.25">
      <c r="B84" s="40">
        <v>45194</v>
      </c>
      <c r="C84" s="41">
        <v>1</v>
      </c>
      <c r="D84" s="42">
        <v>3</v>
      </c>
      <c r="E84" s="43">
        <v>102</v>
      </c>
      <c r="F84" s="44">
        <v>20334976433</v>
      </c>
      <c r="G84" s="45" t="str">
        <f>IFERROR(IF(compras_mes9[[#This Row],[CUIT]]="","-",VLOOKUP(compras_mes9[[#This Row],[CUIT]],Lista_CUIT[#All],2,0)),"CUIT NO CARGADO")</f>
        <v>NARDOMARINO EZEQUIEL EDUARDO</v>
      </c>
      <c r="H84" s="46">
        <v>212417.36</v>
      </c>
      <c r="I84" s="85">
        <f>IF(compras_mes9[[#This Row],[NETO GRAVADO]]="","",compras_mes9[[#This Row],[NETO GRAVADO]]*0.21)</f>
        <v>44607.645599999996</v>
      </c>
      <c r="J84" s="85"/>
      <c r="K84" s="85"/>
      <c r="L84" s="85"/>
      <c r="M84" s="85"/>
      <c r="N84" s="85"/>
      <c r="O84" s="85"/>
      <c r="P84" s="48">
        <f>SUM(compras_mes9[[#This Row],[NETO GRAVADO]:[Otros / No Grav.]])</f>
        <v>257025.00559999997</v>
      </c>
      <c r="Q84" s="49" t="str">
        <f>IFERROR(IF(compras_mes9[[#This Row],[CUIT]]="","-",VLOOKUP(compras_mes9[[#This Row],[CUIT]],Lista_CUIT[#All],3,0)),"CUIT NO CARGADO")</f>
        <v>FLETE</v>
      </c>
      <c r="R84" s="49">
        <f>IFERROR(IF(compras_mes9[[#This Row],[CUIT]]="","-",VLOOKUP(compras_mes9[[#This Row],[CUIT]],Lista_CUIT[#All],4,0)),"CUIT NO CARGADO")</f>
        <v>0</v>
      </c>
    </row>
    <row r="85" spans="2:18" x14ac:dyDescent="0.25">
      <c r="B85" s="40">
        <v>45195</v>
      </c>
      <c r="C85" s="41">
        <v>1</v>
      </c>
      <c r="D85" s="42">
        <v>17</v>
      </c>
      <c r="E85" s="43">
        <v>1347</v>
      </c>
      <c r="F85" s="44">
        <v>30711764921</v>
      </c>
      <c r="G85" s="45" t="str">
        <f>IFERROR(IF(compras_mes9[[#This Row],[CUIT]]="","-",VLOOKUP(compras_mes9[[#This Row],[CUIT]],Lista_CUIT[#All],2,0)),"CUIT NO CARGADO")</f>
        <v>RELIEF CENTER SRL</v>
      </c>
      <c r="H85" s="46">
        <v>196273</v>
      </c>
      <c r="I85" s="85">
        <f>IF(compras_mes9[[#This Row],[NETO GRAVADO]]="","",compras_mes9[[#This Row],[NETO GRAVADO]]*0.21)</f>
        <v>41217.33</v>
      </c>
      <c r="J85" s="85"/>
      <c r="K85" s="85"/>
      <c r="L85" s="85"/>
      <c r="M85" s="85"/>
      <c r="N85" s="85"/>
      <c r="O85" s="85"/>
      <c r="P85" s="48">
        <f>SUM(compras_mes9[[#This Row],[NETO GRAVADO]:[Otros / No Grav.]])</f>
        <v>237490.33000000002</v>
      </c>
      <c r="Q85" s="49" t="str">
        <f>IFERROR(IF(compras_mes9[[#This Row],[CUIT]]="","-",VLOOKUP(compras_mes9[[#This Row],[CUIT]],Lista_CUIT[#All],3,0)),"CUIT NO CARGADO")</f>
        <v>Productos Ortopedicos</v>
      </c>
      <c r="R85" s="49">
        <f>IFERROR(IF(compras_mes9[[#This Row],[CUIT]]="","-",VLOOKUP(compras_mes9[[#This Row],[CUIT]],Lista_CUIT[#All],4,0)),"CUIT NO CARGADO")</f>
        <v>0</v>
      </c>
    </row>
    <row r="86" spans="2:18" x14ac:dyDescent="0.25">
      <c r="B86" s="40">
        <v>45195</v>
      </c>
      <c r="C86" s="41">
        <v>1</v>
      </c>
      <c r="D86" s="42">
        <v>17</v>
      </c>
      <c r="E86" s="43">
        <v>1348</v>
      </c>
      <c r="F86" s="44">
        <v>30711764921</v>
      </c>
      <c r="G86" s="45" t="str">
        <f>IFERROR(IF(compras_mes9[[#This Row],[CUIT]]="","-",VLOOKUP(compras_mes9[[#This Row],[CUIT]],Lista_CUIT[#All],2,0)),"CUIT NO CARGADO")</f>
        <v>RELIEF CENTER SRL</v>
      </c>
      <c r="H86" s="46">
        <v>38606</v>
      </c>
      <c r="I86" s="85">
        <f>IF(compras_mes9[[#This Row],[NETO GRAVADO]]="","",compras_mes9[[#This Row],[NETO GRAVADO]]*0.21)</f>
        <v>8107.2599999999993</v>
      </c>
      <c r="J86" s="85"/>
      <c r="K86" s="85"/>
      <c r="L86" s="85"/>
      <c r="M86" s="85"/>
      <c r="N86" s="85"/>
      <c r="O86" s="85"/>
      <c r="P86" s="48">
        <f>SUM(compras_mes9[[#This Row],[NETO GRAVADO]:[Otros / No Grav.]])</f>
        <v>46713.26</v>
      </c>
      <c r="Q86" s="49" t="str">
        <f>IFERROR(IF(compras_mes9[[#This Row],[CUIT]]="","-",VLOOKUP(compras_mes9[[#This Row],[CUIT]],Lista_CUIT[#All],3,0)),"CUIT NO CARGADO")</f>
        <v>Productos Ortopedicos</v>
      </c>
      <c r="R86" s="49">
        <f>IFERROR(IF(compras_mes9[[#This Row],[CUIT]]="","-",VLOOKUP(compras_mes9[[#This Row],[CUIT]],Lista_CUIT[#All],4,0)),"CUIT NO CARGADO")</f>
        <v>0</v>
      </c>
    </row>
    <row r="87" spans="2:18" x14ac:dyDescent="0.25">
      <c r="B87" s="40">
        <v>45195</v>
      </c>
      <c r="C87" s="41">
        <v>1</v>
      </c>
      <c r="D87" s="42">
        <v>34</v>
      </c>
      <c r="E87" s="43">
        <v>948</v>
      </c>
      <c r="F87" s="44">
        <v>33712276539</v>
      </c>
      <c r="G87" s="45" t="str">
        <f>IFERROR(IF(compras_mes9[[#This Row],[CUIT]]="","-",VLOOKUP(compras_mes9[[#This Row],[CUIT]],Lista_CUIT[#All],2,0)),"CUIT NO CARGADO")</f>
        <v>CASTAÑO AUTOVOX SRL</v>
      </c>
      <c r="H87" s="46">
        <v>8039.56</v>
      </c>
      <c r="I87" s="85">
        <f>IF(compras_mes9[[#This Row],[NETO GRAVADO]]="","",compras_mes9[[#This Row],[NETO GRAVADO]]*0.21)</f>
        <v>1688.3076000000001</v>
      </c>
      <c r="J87" s="85"/>
      <c r="K87" s="85"/>
      <c r="L87" s="85"/>
      <c r="M87" s="85"/>
      <c r="N87" s="85">
        <v>321.58</v>
      </c>
      <c r="O87" s="85">
        <v>431.88</v>
      </c>
      <c r="P87" s="48">
        <f>SUM(compras_mes9[[#This Row],[NETO GRAVADO]:[Otros / No Grav.]])</f>
        <v>10481.327600000001</v>
      </c>
      <c r="Q87" s="49" t="str">
        <f>IFERROR(IF(compras_mes9[[#This Row],[CUIT]]="","-",VLOOKUP(compras_mes9[[#This Row],[CUIT]],Lista_CUIT[#All],3,0)),"CUIT NO CARGADO")</f>
        <v>COMBUSTIBLE</v>
      </c>
      <c r="R87" s="49">
        <f>IFERROR(IF(compras_mes9[[#This Row],[CUIT]]="","-",VLOOKUP(compras_mes9[[#This Row],[CUIT]],Lista_CUIT[#All],4,0)),"CUIT NO CARGADO")</f>
        <v>0</v>
      </c>
    </row>
    <row r="88" spans="2:18" x14ac:dyDescent="0.25">
      <c r="B88" s="40">
        <v>45196</v>
      </c>
      <c r="C88" s="41">
        <v>1</v>
      </c>
      <c r="D88" s="42">
        <v>7</v>
      </c>
      <c r="E88" s="43">
        <v>16599</v>
      </c>
      <c r="F88" s="44">
        <v>30709214078</v>
      </c>
      <c r="G88" s="45" t="str">
        <f>IFERROR(IF(compras_mes9[[#This Row],[CUIT]]="","-",VLOOKUP(compras_mes9[[#This Row],[CUIT]],Lista_CUIT[#All],2,0)),"CUIT NO CARGADO")</f>
        <v>REHAVITA S.A</v>
      </c>
      <c r="H88" s="46">
        <v>307796</v>
      </c>
      <c r="I88" s="85"/>
      <c r="J88" s="85"/>
      <c r="K88" s="85">
        <v>32318.58</v>
      </c>
      <c r="L88" s="85"/>
      <c r="M88" s="85"/>
      <c r="N88" s="85"/>
      <c r="O88" s="85"/>
      <c r="P88" s="48">
        <f>SUM(compras_mes9[[#This Row],[NETO GRAVADO]:[Otros / No Grav.]])</f>
        <v>340114.58</v>
      </c>
      <c r="Q88" s="49" t="str">
        <f>IFERROR(IF(compras_mes9[[#This Row],[CUIT]]="","-",VLOOKUP(compras_mes9[[#This Row],[CUIT]],Lista_CUIT[#All],3,0)),"CUIT NO CARGADO")</f>
        <v>Productos Ortopedicos</v>
      </c>
      <c r="R88" s="49">
        <f>IFERROR(IF(compras_mes9[[#This Row],[CUIT]]="","-",VLOOKUP(compras_mes9[[#This Row],[CUIT]],Lista_CUIT[#All],4,0)),"CUIT NO CARGADO")</f>
        <v>0</v>
      </c>
    </row>
    <row r="89" spans="2:18" x14ac:dyDescent="0.25">
      <c r="B89" s="40">
        <v>45196</v>
      </c>
      <c r="C89" s="41">
        <v>1</v>
      </c>
      <c r="D89" s="42">
        <v>7</v>
      </c>
      <c r="E89" s="43">
        <v>16600</v>
      </c>
      <c r="F89" s="44">
        <v>30709214078</v>
      </c>
      <c r="G89" s="45" t="str">
        <f>IFERROR(IF(compras_mes9[[#This Row],[CUIT]]="","-",VLOOKUP(compras_mes9[[#This Row],[CUIT]],Lista_CUIT[#All],2,0)),"CUIT NO CARGADO")</f>
        <v>REHAVITA S.A</v>
      </c>
      <c r="H89" s="46">
        <v>37463</v>
      </c>
      <c r="I89" s="85">
        <f>IF(compras_mes9[[#This Row],[NETO GRAVADO]]="","",compras_mes9[[#This Row],[NETO GRAVADO]]*0.21)</f>
        <v>7867.23</v>
      </c>
      <c r="J89" s="85"/>
      <c r="K89" s="85"/>
      <c r="L89" s="85"/>
      <c r="M89" s="85"/>
      <c r="N89" s="85"/>
      <c r="O89" s="85"/>
      <c r="P89" s="48">
        <f>SUM(compras_mes9[[#This Row],[NETO GRAVADO]:[Otros / No Grav.]])</f>
        <v>45330.229999999996</v>
      </c>
      <c r="Q89" s="49" t="str">
        <f>IFERROR(IF(compras_mes9[[#This Row],[CUIT]]="","-",VLOOKUP(compras_mes9[[#This Row],[CUIT]],Lista_CUIT[#All],3,0)),"CUIT NO CARGADO")</f>
        <v>Productos Ortopedicos</v>
      </c>
      <c r="R89" s="49">
        <f>IFERROR(IF(compras_mes9[[#This Row],[CUIT]]="","-",VLOOKUP(compras_mes9[[#This Row],[CUIT]],Lista_CUIT[#All],4,0)),"CUIT NO CARGADO")</f>
        <v>0</v>
      </c>
    </row>
    <row r="90" spans="2:18" x14ac:dyDescent="0.25">
      <c r="B90" s="40">
        <v>45196</v>
      </c>
      <c r="C90" s="41">
        <v>1</v>
      </c>
      <c r="D90" s="42">
        <v>6</v>
      </c>
      <c r="E90" s="43">
        <v>50113</v>
      </c>
      <c r="F90" s="44">
        <v>30710177658</v>
      </c>
      <c r="G90" s="45" t="str">
        <f>IFERROR(IF(compras_mes9[[#This Row],[CUIT]]="","-",VLOOKUP(compras_mes9[[#This Row],[CUIT]],Lista_CUIT[#All],2,0)),"CUIT NO CARGADO")</f>
        <v>TARGET MEDICAL SA</v>
      </c>
      <c r="H90" s="46">
        <v>137740</v>
      </c>
      <c r="I90" s="85">
        <f>IF(compras_mes9[[#This Row],[NETO GRAVADO]]="","",compras_mes9[[#This Row],[NETO GRAVADO]]*0.21)</f>
        <v>28925.399999999998</v>
      </c>
      <c r="J90" s="85"/>
      <c r="K90" s="85"/>
      <c r="L90" s="85"/>
      <c r="M90" s="85"/>
      <c r="N90" s="85"/>
      <c r="O90" s="85"/>
      <c r="P90" s="48">
        <f>SUM(compras_mes9[[#This Row],[NETO GRAVADO]:[Otros / No Grav.]])</f>
        <v>166665.4</v>
      </c>
      <c r="Q90" s="49" t="str">
        <f>IFERROR(IF(compras_mes9[[#This Row],[CUIT]]="","-",VLOOKUP(compras_mes9[[#This Row],[CUIT]],Lista_CUIT[#All],3,0)),"CUIT NO CARGADO")</f>
        <v>Productos Ortopedicos</v>
      </c>
      <c r="R90" s="49">
        <f>IFERROR(IF(compras_mes9[[#This Row],[CUIT]]="","-",VLOOKUP(compras_mes9[[#This Row],[CUIT]],Lista_CUIT[#All],4,0)),"CUIT NO CARGADO")</f>
        <v>0</v>
      </c>
    </row>
    <row r="91" spans="2:18" x14ac:dyDescent="0.25">
      <c r="B91" s="40">
        <v>45196</v>
      </c>
      <c r="C91" s="41">
        <v>1</v>
      </c>
      <c r="D91" s="42">
        <v>4</v>
      </c>
      <c r="E91" s="43">
        <v>11321</v>
      </c>
      <c r="F91" s="44">
        <v>33531122599</v>
      </c>
      <c r="G91" s="45" t="str">
        <f>IFERROR(IF(compras_mes9[[#This Row],[CUIT]]="","-",VLOOKUP(compras_mes9[[#This Row],[CUIT]],Lista_CUIT[#All],2,0)),"CUIT NO CARGADO")</f>
        <v>LA CAMIONERA MENDOCINA SRL</v>
      </c>
      <c r="H91" s="46">
        <v>9271.07</v>
      </c>
      <c r="I91" s="85">
        <f>IF(compras_mes9[[#This Row],[NETO GRAVADO]]="","",compras_mes9[[#This Row],[NETO GRAVADO]]*0.21)</f>
        <v>1946.9246999999998</v>
      </c>
      <c r="J91" s="85"/>
      <c r="K91" s="85"/>
      <c r="L91" s="85"/>
      <c r="M91" s="85"/>
      <c r="N91" s="85"/>
      <c r="O91" s="85"/>
      <c r="P91" s="48">
        <f>SUM(compras_mes9[[#This Row],[NETO GRAVADO]:[Otros / No Grav.]])</f>
        <v>11217.994699999999</v>
      </c>
      <c r="Q91" s="49" t="str">
        <f>IFERROR(IF(compras_mes9[[#This Row],[CUIT]]="","-",VLOOKUP(compras_mes9[[#This Row],[CUIT]],Lista_CUIT[#All],3,0)),"CUIT NO CARGADO")</f>
        <v>FLETE</v>
      </c>
      <c r="R91" s="49">
        <f>IFERROR(IF(compras_mes9[[#This Row],[CUIT]]="","-",VLOOKUP(compras_mes9[[#This Row],[CUIT]],Lista_CUIT[#All],4,0)),"CUIT NO CARGADO")</f>
        <v>0</v>
      </c>
    </row>
    <row r="92" spans="2:18" x14ac:dyDescent="0.25">
      <c r="B92" s="219">
        <v>45196</v>
      </c>
      <c r="C92" s="209">
        <v>1</v>
      </c>
      <c r="D92" s="220">
        <v>105</v>
      </c>
      <c r="E92" s="221">
        <v>1337818</v>
      </c>
      <c r="F92" s="222">
        <v>30537882871</v>
      </c>
      <c r="G92" s="223" t="str">
        <f>IFERROR(IF(compras_mes9[[#This Row],[CUIT]]="","-",VLOOKUP(compras_mes9[[#This Row],[CUIT]],Lista_CUIT[#All],2,0)),"CUIT NO CARGADO")</f>
        <v>EL JUMILIANO SA</v>
      </c>
      <c r="H92" s="224">
        <v>3206.61</v>
      </c>
      <c r="I92" s="225">
        <f>IF(compras_mes9[[#This Row],[NETO GRAVADO]]="","",compras_mes9[[#This Row],[NETO GRAVADO]]*0.21)</f>
        <v>673.38810000000001</v>
      </c>
      <c r="J92" s="225"/>
      <c r="K92" s="225"/>
      <c r="L92" s="225"/>
      <c r="M92" s="225"/>
      <c r="N92" s="225">
        <v>128.26</v>
      </c>
      <c r="O92" s="225"/>
      <c r="P92" s="226">
        <f>SUM(compras_mes9[[#This Row],[NETO GRAVADO]:[Otros / No Grav.]])</f>
        <v>4008.2581</v>
      </c>
      <c r="Q92" s="227" t="str">
        <f>IFERROR(IF(compras_mes9[[#This Row],[CUIT]]="","-",VLOOKUP(compras_mes9[[#This Row],[CUIT]],Lista_CUIT[#All],3,0)),"CUIT NO CARGADO")</f>
        <v>SERVICIOS</v>
      </c>
      <c r="R92" s="227">
        <f>IFERROR(IF(compras_mes9[[#This Row],[CUIT]]="","-",VLOOKUP(compras_mes9[[#This Row],[CUIT]],Lista_CUIT[#All],4,0)),"CUIT NO CARGADO")</f>
        <v>0</v>
      </c>
    </row>
    <row r="93" spans="2:18" x14ac:dyDescent="0.25">
      <c r="B93" s="40">
        <v>45197</v>
      </c>
      <c r="C93" s="41">
        <v>1</v>
      </c>
      <c r="D93" s="42">
        <v>4</v>
      </c>
      <c r="E93" s="43">
        <v>2138</v>
      </c>
      <c r="F93" s="44">
        <v>30707370609</v>
      </c>
      <c r="G93" s="45" t="str">
        <f>IFERROR(IF(compras_mes9[[#This Row],[CUIT]]="","-",VLOOKUP(compras_mes9[[#This Row],[CUIT]],Lista_CUIT[#All],2,0)),"CUIT NO CARGADO")</f>
        <v>MERCERIA ZAFFINO SA</v>
      </c>
      <c r="H93" s="46">
        <v>18595.04</v>
      </c>
      <c r="I93" s="85">
        <f>IF(compras_mes9[[#This Row],[NETO GRAVADO]]="","",compras_mes9[[#This Row],[NETO GRAVADO]]*0.21)</f>
        <v>3904.9584</v>
      </c>
      <c r="J93" s="85"/>
      <c r="K93" s="85"/>
      <c r="L93" s="85"/>
      <c r="M93" s="85"/>
      <c r="N93" s="85"/>
      <c r="O93" s="85"/>
      <c r="P93" s="48">
        <f>SUM(compras_mes9[[#This Row],[NETO GRAVADO]:[Otros / No Grav.]])</f>
        <v>22499.9984</v>
      </c>
      <c r="Q93" s="49" t="str">
        <f>IFERROR(IF(compras_mes9[[#This Row],[CUIT]]="","-",VLOOKUP(compras_mes9[[#This Row],[CUIT]],Lista_CUIT[#All],3,0)),"CUIT NO CARGADO")</f>
        <v>INSUMOS</v>
      </c>
      <c r="R93" s="49">
        <f>IFERROR(IF(compras_mes9[[#This Row],[CUIT]]="","-",VLOOKUP(compras_mes9[[#This Row],[CUIT]],Lista_CUIT[#All],4,0)),"CUIT NO CARGADO")</f>
        <v>0</v>
      </c>
    </row>
    <row r="94" spans="2:18" x14ac:dyDescent="0.25">
      <c r="B94" s="40">
        <v>45198</v>
      </c>
      <c r="C94" s="41">
        <v>1</v>
      </c>
      <c r="D94" s="42">
        <v>35</v>
      </c>
      <c r="E94" s="43">
        <v>13422</v>
      </c>
      <c r="F94" s="44">
        <v>30627351263</v>
      </c>
      <c r="G94" s="45" t="str">
        <f>IFERROR(IF(compras_mes9[[#This Row],[CUIT]]="","-",VLOOKUP(compras_mes9[[#This Row],[CUIT]],Lista_CUIT[#All],2,0)),"CUIT NO CARGADO")</f>
        <v>TRANSPORTES ÑANDUBAY</v>
      </c>
      <c r="H94" s="46">
        <v>12305.5</v>
      </c>
      <c r="I94" s="85">
        <f>IF(compras_mes9[[#This Row],[NETO GRAVADO]]="","",compras_mes9[[#This Row],[NETO GRAVADO]]*0.21)</f>
        <v>2584.1549999999997</v>
      </c>
      <c r="J94" s="85"/>
      <c r="K94" s="85"/>
      <c r="L94" s="85"/>
      <c r="M94" s="85"/>
      <c r="N94" s="85"/>
      <c r="O94" s="85"/>
      <c r="P94" s="48">
        <f>SUM(compras_mes9[[#This Row],[NETO GRAVADO]:[Otros / No Grav.]])</f>
        <v>14889.654999999999</v>
      </c>
      <c r="Q94" s="49" t="str">
        <f>IFERROR(IF(compras_mes9[[#This Row],[CUIT]]="","-",VLOOKUP(compras_mes9[[#This Row],[CUIT]],Lista_CUIT[#All],3,0)),"CUIT NO CARGADO")</f>
        <v>FLETE</v>
      </c>
      <c r="R94" s="49">
        <f>IFERROR(IF(compras_mes9[[#This Row],[CUIT]]="","-",VLOOKUP(compras_mes9[[#This Row],[CUIT]],Lista_CUIT[#All],4,0)),"CUIT NO CARGADO")</f>
        <v>0</v>
      </c>
    </row>
    <row r="95" spans="2:18" x14ac:dyDescent="0.25">
      <c r="B95" s="219">
        <v>45198</v>
      </c>
      <c r="C95" s="209">
        <v>1</v>
      </c>
      <c r="D95" s="220">
        <v>7</v>
      </c>
      <c r="E95" s="221">
        <v>27999</v>
      </c>
      <c r="F95" s="222">
        <v>20271532483</v>
      </c>
      <c r="G95" s="223" t="str">
        <f>IFERROR(IF(compras_mes9[[#This Row],[CUIT]]="","-",VLOOKUP(compras_mes9[[#This Row],[CUIT]],Lista_CUIT[#All],2,0)),"CUIT NO CARGADO")</f>
        <v>DIEGO MARTIN RIOS</v>
      </c>
      <c r="H95" s="224">
        <v>104272</v>
      </c>
      <c r="I95" s="225">
        <f>IF(compras_mes9[[#This Row],[NETO GRAVADO]]="","",compras_mes9[[#This Row],[NETO GRAVADO]]*0.21)</f>
        <v>21897.119999999999</v>
      </c>
      <c r="J95" s="225"/>
      <c r="K95" s="225"/>
      <c r="L95" s="225"/>
      <c r="M95" s="225"/>
      <c r="N95" s="225">
        <v>4170.88</v>
      </c>
      <c r="O95" s="225"/>
      <c r="P95" s="226">
        <f>SUM(compras_mes9[[#This Row],[NETO GRAVADO]:[Otros / No Grav.]])</f>
        <v>130340</v>
      </c>
      <c r="Q95" s="227" t="str">
        <f>IFERROR(IF(compras_mes9[[#This Row],[CUIT]]="","-",VLOOKUP(compras_mes9[[#This Row],[CUIT]],Lista_CUIT[#All],3,0)),"CUIT NO CARGADO")</f>
        <v>Productos Ortopedicos</v>
      </c>
      <c r="R95" s="227">
        <f>IFERROR(IF(compras_mes9[[#This Row],[CUIT]]="","-",VLOOKUP(compras_mes9[[#This Row],[CUIT]],Lista_CUIT[#All],4,0)),"CUIT NO CARGADO")</f>
        <v>0</v>
      </c>
    </row>
    <row r="96" spans="2:18" x14ac:dyDescent="0.25">
      <c r="B96" s="219">
        <v>45198</v>
      </c>
      <c r="C96" s="209">
        <v>1</v>
      </c>
      <c r="D96" s="220">
        <v>23</v>
      </c>
      <c r="E96" s="221">
        <v>1669959</v>
      </c>
      <c r="F96" s="222">
        <v>30703088534</v>
      </c>
      <c r="G96" s="223" t="str">
        <f>IFERROR(IF(compras_mes9[[#This Row],[CUIT]]="","-",VLOOKUP(compras_mes9[[#This Row],[CUIT]],Lista_CUIT[#All],2,0)),"CUIT NO CARGADO")</f>
        <v>MERCADO LIBRE SRL</v>
      </c>
      <c r="H96" s="224">
        <v>169615.07</v>
      </c>
      <c r="I96" s="225">
        <f>IF(compras_mes9[[#This Row],[NETO GRAVADO]]="","",compras_mes9[[#This Row],[NETO GRAVADO]]*0.21)</f>
        <v>35619.164700000001</v>
      </c>
      <c r="J96" s="225"/>
      <c r="K96" s="225"/>
      <c r="L96" s="225"/>
      <c r="M96" s="225"/>
      <c r="N96" s="225"/>
      <c r="O96" s="225">
        <v>11873.05</v>
      </c>
      <c r="P96" s="226">
        <f>SUM(compras_mes9[[#This Row],[NETO GRAVADO]:[Otros / No Grav.]])</f>
        <v>217107.28469999999</v>
      </c>
      <c r="Q96" s="227" t="str">
        <f>IFERROR(IF(compras_mes9[[#This Row],[CUIT]]="","-",VLOOKUP(compras_mes9[[#This Row],[CUIT]],Lista_CUIT[#All],3,0)),"CUIT NO CARGADO")</f>
        <v>GASTOS COMERCIALIZACION</v>
      </c>
      <c r="R96" s="227">
        <f>IFERROR(IF(compras_mes9[[#This Row],[CUIT]]="","-",VLOOKUP(compras_mes9[[#This Row],[CUIT]],Lista_CUIT[#All],4,0)),"CUIT NO CARGADO")</f>
        <v>0</v>
      </c>
    </row>
    <row r="97" spans="2:18" x14ac:dyDescent="0.25">
      <c r="B97" s="40">
        <v>45199</v>
      </c>
      <c r="C97" s="41">
        <v>1</v>
      </c>
      <c r="D97" s="42">
        <v>20</v>
      </c>
      <c r="E97" s="43">
        <v>162447</v>
      </c>
      <c r="F97" s="44">
        <v>30696850972</v>
      </c>
      <c r="G97" s="45" t="str">
        <f>IFERROR(IF(compras_mes9[[#This Row],[CUIT]]="","-",VLOOKUP(compras_mes9[[#This Row],[CUIT]],Lista_CUIT[#All],2,0)),"CUIT NO CARGADO")</f>
        <v>CPS COMUNICACIONES SA</v>
      </c>
      <c r="H97" s="46">
        <v>5049.6099999999997</v>
      </c>
      <c r="I97" s="85"/>
      <c r="J97" s="85">
        <v>1363.39</v>
      </c>
      <c r="K97" s="85"/>
      <c r="L97" s="85"/>
      <c r="M97" s="85"/>
      <c r="N97" s="85">
        <v>201.99</v>
      </c>
      <c r="O97" s="85"/>
      <c r="P97" s="48">
        <f>SUM(compras_mes9[[#This Row],[NETO GRAVADO]:[Otros / No Grav.]])</f>
        <v>6614.99</v>
      </c>
      <c r="Q97" s="49" t="str">
        <f>IFERROR(IF(compras_mes9[[#This Row],[CUIT]]="","-",VLOOKUP(compras_mes9[[#This Row],[CUIT]],Lista_CUIT[#All],3,0)),"CUIT NO CARGADO")</f>
        <v>SERVICIO DE TELEFONIA</v>
      </c>
      <c r="R97" s="49">
        <f>IFERROR(IF(compras_mes9[[#This Row],[CUIT]]="","-",VLOOKUP(compras_mes9[[#This Row],[CUIT]],Lista_CUIT[#All],4,0)),"CUIT NO CARGADO")</f>
        <v>0</v>
      </c>
    </row>
    <row r="98" spans="2:18" x14ac:dyDescent="0.25">
      <c r="B98" s="219">
        <v>45199</v>
      </c>
      <c r="C98" s="209">
        <v>1</v>
      </c>
      <c r="D98" s="220">
        <v>6</v>
      </c>
      <c r="E98" s="221">
        <v>14832036</v>
      </c>
      <c r="F98" s="222">
        <v>30620177497</v>
      </c>
      <c r="G98" s="223" t="str">
        <f>IFERROR(IF(compras_mes9[[#This Row],[CUIT]]="","-",VLOOKUP(compras_mes9[[#This Row],[CUIT]],Lista_CUIT[#All],2,0)),"CUIT NO CARGADO")</f>
        <v>POSNET SOCIEDAD DE RESPONSABILIDAD LIMITADA</v>
      </c>
      <c r="H98" s="224">
        <v>7335.7</v>
      </c>
      <c r="I98" s="225">
        <f>IF(compras_mes9[[#This Row],[NETO GRAVADO]]="","",compras_mes9[[#This Row],[NETO GRAVADO]]*0.21)</f>
        <v>1540.4969999999998</v>
      </c>
      <c r="J98" s="225"/>
      <c r="K98" s="225"/>
      <c r="L98" s="225"/>
      <c r="M98" s="225"/>
      <c r="N98" s="225">
        <v>513.5</v>
      </c>
      <c r="O98" s="225"/>
      <c r="P98" s="226">
        <f>SUM(compras_mes9[[#This Row],[NETO GRAVADO]:[Otros / No Grav.]])</f>
        <v>9389.6970000000001</v>
      </c>
      <c r="Q98" s="227" t="str">
        <f>IFERROR(IF(compras_mes9[[#This Row],[CUIT]]="","-",VLOOKUP(compras_mes9[[#This Row],[CUIT]],Lista_CUIT[#All],3,0)),"CUIT NO CARGADO")</f>
        <v>GASTOS VARIOS</v>
      </c>
      <c r="R98" s="227">
        <f>IFERROR(IF(compras_mes9[[#This Row],[CUIT]]="","-",VLOOKUP(compras_mes9[[#This Row],[CUIT]],Lista_CUIT[#All],4,0)),"CUIT NO CARGADO")</f>
        <v>0</v>
      </c>
    </row>
    <row r="99" spans="2:18" x14ac:dyDescent="0.25">
      <c r="B99" s="461" t="s">
        <v>110</v>
      </c>
      <c r="C99" s="461"/>
      <c r="D99" s="461"/>
      <c r="E99" s="461"/>
      <c r="F99" s="461"/>
      <c r="G99" s="462"/>
      <c r="H99" s="463">
        <f>SUBTOTAL(109,compras_mes9[NETO GRAVADO])</f>
        <v>30655977.37999998</v>
      </c>
      <c r="I99" s="463">
        <f>SUBTOTAL(109,compras_mes9[IVA 21 %])</f>
        <v>6367179.2141999993</v>
      </c>
      <c r="J99" s="463">
        <f>SUBTOTAL(109,compras_mes9[IVA 27%])</f>
        <v>6619.1100000000006</v>
      </c>
      <c r="K99" s="463">
        <f>SUBTOTAL(109,compras_mes9[IVA 10,5%])</f>
        <v>32713.920000000002</v>
      </c>
      <c r="L99" s="463">
        <f>SUBTOTAL(109,compras_mes9[PERC. IVA])</f>
        <v>1213.8</v>
      </c>
      <c r="M99" s="463">
        <f>SUBTOTAL(109,compras_mes9[PERC IIBB 
BS AS])</f>
        <v>312.90999999999997</v>
      </c>
      <c r="N99" s="463">
        <f>SUBTOTAL(109,compras_mes9[PERC. IIBB CABA])</f>
        <v>864113.83</v>
      </c>
      <c r="O99" s="463">
        <f>SUBTOTAL(109,compras_mes9[Otros / No Grav.])</f>
        <v>16197.829999999998</v>
      </c>
      <c r="P99" s="463">
        <f>SUBTOTAL(109,compras_mes9[TOTAL])</f>
        <v>37944327.994199984</v>
      </c>
      <c r="Q99" s="461"/>
      <c r="R99" s="461"/>
    </row>
    <row r="100" spans="2:18" x14ac:dyDescent="0.25">
      <c r="B100" s="40"/>
      <c r="C100" s="41"/>
      <c r="D100" s="42"/>
      <c r="E100" s="43"/>
      <c r="F100" s="44"/>
      <c r="G100" s="45"/>
      <c r="H100" s="46"/>
      <c r="I100" s="47"/>
      <c r="J100" s="47"/>
      <c r="K100" s="47"/>
      <c r="L100" s="47"/>
      <c r="M100" s="47"/>
      <c r="N100" s="47"/>
      <c r="O100" s="47"/>
      <c r="P100" s="48"/>
      <c r="Q100" s="49"/>
      <c r="R100" s="49"/>
    </row>
    <row r="101" spans="2:18" x14ac:dyDescent="0.25">
      <c r="B101" s="40"/>
      <c r="C101" s="41"/>
      <c r="D101" s="42"/>
      <c r="E101" s="43"/>
      <c r="F101" s="44"/>
      <c r="G101" s="45"/>
      <c r="H101" s="46"/>
      <c r="I101" s="47"/>
      <c r="J101" s="47"/>
      <c r="K101" s="47"/>
      <c r="L101" s="47"/>
      <c r="M101" s="47"/>
      <c r="N101" s="47"/>
      <c r="O101" s="47"/>
      <c r="P101" s="48"/>
      <c r="Q101" s="49"/>
      <c r="R101" s="49"/>
    </row>
    <row r="102" spans="2:18" ht="14.45" customHeight="1" x14ac:dyDescent="0.25">
      <c r="B102" s="40"/>
      <c r="C102" s="41"/>
      <c r="D102" s="42"/>
      <c r="E102" s="43"/>
      <c r="F102" s="44"/>
      <c r="G102" s="45"/>
      <c r="H102" s="46"/>
      <c r="I102" s="47"/>
      <c r="J102" s="47"/>
      <c r="K102" s="47"/>
      <c r="L102" s="47"/>
      <c r="M102" s="47"/>
      <c r="N102" s="47"/>
      <c r="O102" s="47"/>
      <c r="P102" s="48"/>
      <c r="Q102" s="49"/>
      <c r="R102" s="49"/>
    </row>
    <row r="103" spans="2:18" ht="22.9" customHeight="1" x14ac:dyDescent="0.25">
      <c r="B103" s="40"/>
      <c r="C103" s="41"/>
      <c r="D103" s="42"/>
      <c r="E103" s="43"/>
      <c r="F103" s="44"/>
      <c r="G103" s="45"/>
      <c r="H103" s="46"/>
      <c r="I103" s="47"/>
      <c r="J103" s="47"/>
      <c r="K103" s="47"/>
      <c r="L103" s="47"/>
    </row>
    <row r="104" spans="2:18" ht="25.9" customHeight="1" x14ac:dyDescent="0.25">
      <c r="D104" s="524" t="s">
        <v>15</v>
      </c>
      <c r="E104" s="524"/>
      <c r="F104" s="524"/>
      <c r="G104" s="524"/>
      <c r="H104" s="524"/>
      <c r="I104" s="524"/>
      <c r="J104" s="524"/>
      <c r="K104" s="524"/>
      <c r="L104" s="524"/>
      <c r="M104" s="524"/>
    </row>
    <row r="105" spans="2:18" ht="14.45" customHeight="1" x14ac:dyDescent="0.25">
      <c r="D105" s="73" t="s">
        <v>0</v>
      </c>
      <c r="E105" s="74" t="s">
        <v>26</v>
      </c>
      <c r="F105" s="74" t="s">
        <v>16</v>
      </c>
      <c r="G105" s="74" t="s">
        <v>5</v>
      </c>
      <c r="H105" s="74" t="s">
        <v>17</v>
      </c>
      <c r="I105" s="74" t="s">
        <v>7</v>
      </c>
      <c r="J105" s="75" t="s">
        <v>18</v>
      </c>
      <c r="K105" s="75" t="s">
        <v>19</v>
      </c>
      <c r="L105" s="76" t="s">
        <v>20</v>
      </c>
      <c r="M105" s="473" t="s">
        <v>10</v>
      </c>
    </row>
    <row r="106" spans="2:18" ht="14.45" customHeight="1" x14ac:dyDescent="0.25">
      <c r="D106" s="50">
        <v>45199</v>
      </c>
      <c r="E106" s="467">
        <v>20230930</v>
      </c>
      <c r="F106" s="80" t="s">
        <v>2228</v>
      </c>
      <c r="G106" s="81">
        <v>9380</v>
      </c>
      <c r="H106" s="81">
        <f>extracto_banco_mes9[[#This Row],[NETO]]*0.21</f>
        <v>1969.8</v>
      </c>
      <c r="I106" s="81"/>
      <c r="J106" s="81"/>
      <c r="K106" s="81">
        <v>243</v>
      </c>
      <c r="L106" s="81">
        <v>324</v>
      </c>
      <c r="M106" s="474">
        <f>SUM(extracto_banco_mes9[[#This Row],[NETO]:[PERC IIBB]])</f>
        <v>11916.8</v>
      </c>
    </row>
    <row r="107" spans="2:18" ht="15" customHeight="1" x14ac:dyDescent="0.25">
      <c r="D107" s="50">
        <v>45199</v>
      </c>
      <c r="E107" s="467">
        <v>30092023</v>
      </c>
      <c r="F107" s="80" t="s">
        <v>2227</v>
      </c>
      <c r="G107" s="81">
        <v>6217</v>
      </c>
      <c r="H107" s="81">
        <f>extracto_banco_mes9[[#This Row],[NETO]]*0.21</f>
        <v>1305.57</v>
      </c>
      <c r="I107" s="81"/>
      <c r="J107" s="81"/>
      <c r="K107" s="81">
        <v>138</v>
      </c>
      <c r="L107" s="81">
        <v>184</v>
      </c>
      <c r="M107" s="474">
        <f>SUM(extracto_banco_mes9[[#This Row],[NETO]:[PERC IIBB]])</f>
        <v>7844.57</v>
      </c>
    </row>
    <row r="108" spans="2:18" ht="15" customHeight="1" x14ac:dyDescent="0.25">
      <c r="D108" s="468">
        <v>45199</v>
      </c>
      <c r="E108" s="467">
        <v>202309</v>
      </c>
      <c r="F108" s="80" t="s">
        <v>2272</v>
      </c>
      <c r="G108" s="470">
        <v>93.6</v>
      </c>
      <c r="H108" s="470">
        <f>extracto_banco_mes9[[#This Row],[NETO]]*0.21</f>
        <v>19.655999999999999</v>
      </c>
      <c r="I108" s="470"/>
      <c r="J108" s="470"/>
      <c r="K108" s="470"/>
      <c r="L108" s="470"/>
      <c r="M108" s="474">
        <f>SUM(extracto_banco_mes9[[#This Row],[NETO]:[PERC IIBB]])</f>
        <v>113.256</v>
      </c>
    </row>
    <row r="109" spans="2:18" ht="15" customHeight="1" x14ac:dyDescent="0.25">
      <c r="D109" s="468">
        <v>45199</v>
      </c>
      <c r="E109" s="467">
        <v>2023930</v>
      </c>
      <c r="F109" s="80" t="s">
        <v>2315</v>
      </c>
      <c r="G109" s="470">
        <v>35992.36</v>
      </c>
      <c r="H109" s="470">
        <v>4553.0079000000005</v>
      </c>
      <c r="I109" s="470">
        <v>1502.6938500000001</v>
      </c>
      <c r="J109" s="470">
        <v>2.66</v>
      </c>
      <c r="K109" s="470">
        <v>186.53</v>
      </c>
      <c r="L109" s="470"/>
      <c r="M109" s="474">
        <f>SUM(extracto_banco_mes9[[#This Row],[NETO]:[PERC IIBB]])</f>
        <v>42237.251750000003</v>
      </c>
      <c r="N109" s="471"/>
      <c r="O109" s="471"/>
    </row>
    <row r="110" spans="2:18" ht="15" customHeight="1" x14ac:dyDescent="0.25">
      <c r="D110" s="468">
        <v>45199</v>
      </c>
      <c r="E110" s="467">
        <v>2023009</v>
      </c>
      <c r="F110" s="80" t="s">
        <v>2316</v>
      </c>
      <c r="G110" s="470">
        <v>902.96</v>
      </c>
      <c r="H110" s="470">
        <f>extracto_banco_mes9[[#This Row],[NETO]]*0.21</f>
        <v>189.6216</v>
      </c>
      <c r="I110" s="470"/>
      <c r="J110" s="470"/>
      <c r="K110" s="470"/>
      <c r="L110" s="470"/>
      <c r="M110" s="474">
        <f>SUM(extracto_banco_mes9[[#This Row],[NETO]:[PERC IIBB]])</f>
        <v>1092.5816</v>
      </c>
    </row>
    <row r="111" spans="2:18" ht="15" customHeight="1" x14ac:dyDescent="0.25">
      <c r="D111" s="468">
        <v>45199</v>
      </c>
      <c r="E111" s="467">
        <v>9302023</v>
      </c>
      <c r="F111" s="80" t="s">
        <v>2273</v>
      </c>
      <c r="G111" s="470">
        <v>61.2</v>
      </c>
      <c r="H111" s="470">
        <f>extracto_banco_mes9[[#This Row],[NETO]]*0.21</f>
        <v>12.852</v>
      </c>
      <c r="I111" s="470"/>
      <c r="J111" s="470"/>
      <c r="K111" s="470"/>
      <c r="L111" s="470"/>
      <c r="M111" s="474">
        <f>SUM(extracto_banco_mes9[[#This Row],[NETO]:[PERC IIBB]])</f>
        <v>74.052000000000007</v>
      </c>
    </row>
    <row r="112" spans="2:18" ht="15" customHeight="1" x14ac:dyDescent="0.25">
      <c r="D112" s="468">
        <v>45107</v>
      </c>
      <c r="E112" s="467">
        <v>30062023</v>
      </c>
      <c r="F112" s="80" t="s">
        <v>2272</v>
      </c>
      <c r="G112" s="470">
        <v>130.4</v>
      </c>
      <c r="H112" s="470">
        <f>extracto_banco_mes9[[#This Row],[NETO]]*0.21</f>
        <v>27.384</v>
      </c>
      <c r="I112" s="470"/>
      <c r="J112" s="470"/>
      <c r="K112" s="470"/>
      <c r="L112" s="470"/>
      <c r="M112" s="474">
        <f>SUM(extracto_banco_mes9[[#This Row],[NETO]:[PERC IIBB]])</f>
        <v>157.78399999999999</v>
      </c>
    </row>
    <row r="113" spans="4:14" ht="15" customHeight="1" x14ac:dyDescent="0.25">
      <c r="D113" s="468">
        <v>45107</v>
      </c>
      <c r="E113" s="467">
        <v>30202306</v>
      </c>
      <c r="F113" s="80" t="s">
        <v>2273</v>
      </c>
      <c r="G113" s="470">
        <v>684.32</v>
      </c>
      <c r="H113" s="470">
        <f>extracto_banco_mes9[[#This Row],[NETO]]*0.21</f>
        <v>143.7072</v>
      </c>
      <c r="I113" s="470"/>
      <c r="J113" s="470"/>
      <c r="K113" s="470"/>
      <c r="L113" s="470"/>
      <c r="M113" s="474">
        <f>SUM(extracto_banco_mes9[[#This Row],[NETO]:[PERC IIBB]])</f>
        <v>828.02719999999999</v>
      </c>
    </row>
    <row r="114" spans="4:14" ht="15" customHeight="1" x14ac:dyDescent="0.25">
      <c r="D114" s="468">
        <v>45107</v>
      </c>
      <c r="E114" s="467">
        <v>6302023</v>
      </c>
      <c r="F114" s="80" t="s">
        <v>2316</v>
      </c>
      <c r="G114" s="470">
        <v>395.84000000000003</v>
      </c>
      <c r="H114" s="470">
        <f>extracto_banco_mes9[[#This Row],[NETO]]*0.21</f>
        <v>83.126400000000004</v>
      </c>
      <c r="I114" s="470"/>
      <c r="J114" s="470"/>
      <c r="K114" s="470"/>
      <c r="L114" s="470"/>
      <c r="M114" s="474">
        <f>SUM(extracto_banco_mes9[[#This Row],[NETO]:[PERC IIBB]])</f>
        <v>478.96640000000002</v>
      </c>
    </row>
    <row r="115" spans="4:14" ht="15" customHeight="1" x14ac:dyDescent="0.25">
      <c r="D115" s="468">
        <v>45107</v>
      </c>
      <c r="E115" s="467">
        <v>2023630</v>
      </c>
      <c r="F115" s="469" t="s">
        <v>2315</v>
      </c>
      <c r="G115" s="470">
        <v>15732.7</v>
      </c>
      <c r="H115" s="470">
        <f>extracto_banco_mes9[[#This Row],[NETO]]*0.21</f>
        <v>3303.8670000000002</v>
      </c>
      <c r="I115" s="470"/>
      <c r="J115" s="470"/>
      <c r="K115" s="470"/>
      <c r="L115" s="470"/>
      <c r="M115" s="474">
        <f>SUM(extracto_banco_mes9[[#This Row],[NETO]:[PERC IIBB]])</f>
        <v>19036.567000000003</v>
      </c>
    </row>
    <row r="116" spans="4:14" ht="15" customHeight="1" x14ac:dyDescent="0.25">
      <c r="D116" s="468">
        <v>45138</v>
      </c>
      <c r="E116" s="467">
        <v>2023731</v>
      </c>
      <c r="F116" s="80" t="s">
        <v>2272</v>
      </c>
      <c r="G116" s="470">
        <v>44</v>
      </c>
      <c r="H116" s="470">
        <f>extracto_banco_mes9[[#This Row],[NETO]]*0.21</f>
        <v>9.24</v>
      </c>
      <c r="I116" s="470"/>
      <c r="J116" s="470"/>
      <c r="K116" s="470"/>
      <c r="L116" s="470"/>
      <c r="M116" s="474">
        <f>SUM(extracto_banco_mes9[[#This Row],[NETO]:[PERC IIBB]])</f>
        <v>53.24</v>
      </c>
    </row>
    <row r="117" spans="4:14" ht="15" customHeight="1" x14ac:dyDescent="0.25">
      <c r="D117" s="468">
        <v>45138</v>
      </c>
      <c r="E117" s="467">
        <v>3120237</v>
      </c>
      <c r="F117" s="80" t="s">
        <v>2315</v>
      </c>
      <c r="G117" s="470">
        <v>10209.960000000001</v>
      </c>
      <c r="H117" s="470">
        <f>extracto_banco_mes9[[#This Row],[NETO]]*0.21</f>
        <v>2144.0916000000002</v>
      </c>
      <c r="I117" s="470"/>
      <c r="J117" s="470"/>
      <c r="K117" s="470"/>
      <c r="L117" s="470"/>
      <c r="M117" s="474">
        <f>SUM(extracto_banco_mes9[[#This Row],[NETO]:[PERC IIBB]])</f>
        <v>12354.051600000001</v>
      </c>
    </row>
    <row r="118" spans="4:14" ht="15" customHeight="1" x14ac:dyDescent="0.25">
      <c r="D118" s="468">
        <v>45138</v>
      </c>
      <c r="E118" s="467">
        <v>73123</v>
      </c>
      <c r="F118" s="80" t="s">
        <v>2316</v>
      </c>
      <c r="G118" s="470">
        <v>539.20000000000005</v>
      </c>
      <c r="H118" s="470">
        <f>extracto_banco_mes9[[#This Row],[NETO]]*0.21</f>
        <v>113.232</v>
      </c>
      <c r="I118" s="470"/>
      <c r="J118" s="470"/>
      <c r="K118" s="470"/>
      <c r="L118" s="470"/>
      <c r="M118" s="474">
        <f>SUM(extracto_banco_mes9[[#This Row],[NETO]:[PERC IIBB]])</f>
        <v>652.43200000000002</v>
      </c>
    </row>
    <row r="119" spans="4:14" ht="15" customHeight="1" x14ac:dyDescent="0.25">
      <c r="D119" s="468">
        <v>45169</v>
      </c>
      <c r="E119" s="467">
        <v>31082023</v>
      </c>
      <c r="F119" s="80" t="s">
        <v>2315</v>
      </c>
      <c r="G119" s="470">
        <v>25580.84</v>
      </c>
      <c r="H119" s="470">
        <v>2847.8268000000007</v>
      </c>
      <c r="I119" s="470">
        <v>1262.0747999999999</v>
      </c>
      <c r="J119" s="470"/>
      <c r="K119" s="470">
        <v>178.58999999999997</v>
      </c>
      <c r="L119" s="470"/>
      <c r="M119" s="474">
        <f>SUM(extracto_banco_mes9[[#This Row],[NETO]:[PERC IIBB]])</f>
        <v>29869.331599999998</v>
      </c>
      <c r="N119" s="471"/>
    </row>
    <row r="120" spans="4:14" ht="15" customHeight="1" x14ac:dyDescent="0.25">
      <c r="D120" s="468">
        <v>45169</v>
      </c>
      <c r="E120" s="467">
        <v>31823</v>
      </c>
      <c r="F120" s="80" t="s">
        <v>2272</v>
      </c>
      <c r="G120" s="470">
        <v>76</v>
      </c>
      <c r="H120" s="470">
        <f>extracto_banco_mes9[[#This Row],[NETO]]*0.21</f>
        <v>15.959999999999999</v>
      </c>
      <c r="I120" s="470"/>
      <c r="J120" s="470"/>
      <c r="K120" s="470"/>
      <c r="L120" s="470"/>
      <c r="M120" s="474">
        <f>SUM(extracto_banco_mes9[[#This Row],[NETO]:[PERC IIBB]])</f>
        <v>91.96</v>
      </c>
    </row>
    <row r="121" spans="4:14" ht="15" customHeight="1" x14ac:dyDescent="0.25">
      <c r="D121" s="468">
        <v>45169</v>
      </c>
      <c r="E121" s="467">
        <v>20230831</v>
      </c>
      <c r="F121" s="80" t="s">
        <v>2273</v>
      </c>
      <c r="G121" s="470">
        <v>456</v>
      </c>
      <c r="H121" s="470">
        <f>extracto_banco_mes9[[#This Row],[NETO]]*0.21</f>
        <v>95.759999999999991</v>
      </c>
      <c r="I121" s="470"/>
      <c r="J121" s="470"/>
      <c r="K121" s="470"/>
      <c r="L121" s="470"/>
      <c r="M121" s="474">
        <f>SUM(extracto_banco_mes9[[#This Row],[NETO]:[PERC IIBB]])</f>
        <v>551.76</v>
      </c>
    </row>
    <row r="122" spans="4:14" ht="15" customHeight="1" x14ac:dyDescent="0.25">
      <c r="D122" s="82" t="s">
        <v>110</v>
      </c>
      <c r="E122" s="80"/>
      <c r="F122" s="80"/>
      <c r="G122" s="83">
        <f>SUBTOTAL(109,extracto_banco_mes9[NETO])</f>
        <v>106496.37999999999</v>
      </c>
      <c r="H122" s="83">
        <f>SUBTOTAL(109,extracto_banco_mes9[IVA 21%])</f>
        <v>16834.702499999996</v>
      </c>
      <c r="I122" s="83">
        <f>SUBTOTAL(109,extracto_banco_mes9[IVA 10,5%])</f>
        <v>2764.76865</v>
      </c>
      <c r="J122" s="83">
        <f>SUBTOTAL(109,extracto_banco_mes9[RET IIBB CABA])</f>
        <v>2.66</v>
      </c>
      <c r="K122" s="83">
        <f>SUBTOTAL(109,extracto_banco_mes9[PERC IVA])</f>
        <v>746.11999999999989</v>
      </c>
      <c r="L122" s="83">
        <f>SUBTOTAL(109,extracto_banco_mes9[PERC IIBB])</f>
        <v>508</v>
      </c>
      <c r="M122" s="472"/>
    </row>
    <row r="123" spans="4:14" ht="15" customHeight="1" x14ac:dyDescent="0.25"/>
    <row r="124" spans="4:14" ht="15" customHeight="1" x14ac:dyDescent="0.25"/>
    <row r="125" spans="4:14" ht="23.45" customHeight="1" x14ac:dyDescent="0.25"/>
    <row r="126" spans="4:14" ht="38.450000000000003" customHeight="1" x14ac:dyDescent="0.25">
      <c r="D126" s="524" t="s">
        <v>25</v>
      </c>
      <c r="E126" s="524"/>
      <c r="F126" s="524"/>
      <c r="G126" s="524"/>
      <c r="H126" s="524"/>
      <c r="I126" s="524"/>
      <c r="J126" s="524"/>
      <c r="K126" s="524"/>
    </row>
    <row r="127" spans="4:14" x14ac:dyDescent="0.25">
      <c r="D127" s="51" t="s">
        <v>0</v>
      </c>
      <c r="E127" s="51" t="s">
        <v>2</v>
      </c>
      <c r="F127" s="51" t="s">
        <v>74</v>
      </c>
      <c r="G127" s="51" t="s">
        <v>3</v>
      </c>
      <c r="H127" s="51" t="s">
        <v>4</v>
      </c>
      <c r="I127" s="52" t="s">
        <v>10</v>
      </c>
      <c r="J127" s="51" t="s">
        <v>13</v>
      </c>
      <c r="K127" s="51" t="s">
        <v>38</v>
      </c>
    </row>
    <row r="128" spans="4:14" x14ac:dyDescent="0.25">
      <c r="D128" s="50">
        <v>45170</v>
      </c>
      <c r="E128" s="42">
        <v>3</v>
      </c>
      <c r="F128" s="43">
        <v>751</v>
      </c>
      <c r="G128" s="44">
        <v>20216451679</v>
      </c>
      <c r="H128" s="53" t="str">
        <f>IFERROR(IF(factura_c_mes9[[#This Row],[CUIT]]="","-",VLOOKUP(factura_c_mes9[[#This Row],[CUIT]],Lista_CUIT[#All],2,0)),"CUIT NO CARGADO")</f>
        <v>VAZQUEZ RICARDO OSCAR</v>
      </c>
      <c r="I128" s="81">
        <v>84000</v>
      </c>
      <c r="J128" s="54" t="str">
        <f>IFERROR(IF(factura_c_mes9[[#This Row],[CUIT]]="","-",VLOOKUP(factura_c_mes9[[#This Row],[CUIT]],Lista_CUIT[#All],3,0)),"CUIT NO CARGADO")</f>
        <v>Productos Ortopedicos</v>
      </c>
      <c r="K128" s="54">
        <f>IFERROR(IF(factura_c_mes9[[#This Row],[CUIT]]="","-",VLOOKUP(factura_c_mes9[[#This Row],[CUIT]],Lista_CUIT[#All],4,0)),"CUIT NO CARGADO")</f>
        <v>0</v>
      </c>
    </row>
    <row r="129" spans="4:11" x14ac:dyDescent="0.25">
      <c r="D129" s="50">
        <v>45173</v>
      </c>
      <c r="E129" s="42">
        <v>2</v>
      </c>
      <c r="F129" s="43">
        <v>211</v>
      </c>
      <c r="G129" s="44">
        <v>27265832178</v>
      </c>
      <c r="H129" s="53" t="str">
        <f>IFERROR(IF(factura_c_mes9[[#This Row],[CUIT]]="","-",VLOOKUP(factura_c_mes9[[#This Row],[CUIT]],Lista_CUIT[#All],2,0)),"CUIT NO CARGADO")</f>
        <v>BLASCO MARIA GUADALUPE</v>
      </c>
      <c r="I129" s="81">
        <v>150000</v>
      </c>
      <c r="J129" s="54" t="str">
        <f>IFERROR(IF(factura_c_mes9[[#This Row],[CUIT]]="","-",VLOOKUP(factura_c_mes9[[#This Row],[CUIT]],Lista_CUIT[#All],3,0)),"CUIT NO CARGADO")</f>
        <v>Gastos Varios</v>
      </c>
      <c r="K129" s="54">
        <f>IFERROR(IF(factura_c_mes9[[#This Row],[CUIT]]="","-",VLOOKUP(factura_c_mes9[[#This Row],[CUIT]],Lista_CUIT[#All],4,0)),"CUIT NO CARGADO")</f>
        <v>0</v>
      </c>
    </row>
    <row r="130" spans="4:11" x14ac:dyDescent="0.25">
      <c r="D130" s="50">
        <v>45173</v>
      </c>
      <c r="E130" s="42">
        <v>3</v>
      </c>
      <c r="F130" s="43">
        <v>768</v>
      </c>
      <c r="G130" s="44">
        <v>20086277523</v>
      </c>
      <c r="H130" s="53" t="str">
        <f>IFERROR(IF(factura_c_mes9[[#This Row],[CUIT]]="","-",VLOOKUP(factura_c_mes9[[#This Row],[CUIT]],Lista_CUIT[#All],2,0)),"CUIT NO CARGADO")</f>
        <v>BOTINDARI JUAN CARLOS</v>
      </c>
      <c r="I130" s="81">
        <v>125800</v>
      </c>
      <c r="J130" s="54" t="str">
        <f>IFERROR(IF(factura_c_mes9[[#This Row],[CUIT]]="","-",VLOOKUP(factura_c_mes9[[#This Row],[CUIT]],Lista_CUIT[#All],3,0)),"CUIT NO CARGADO")</f>
        <v>HONORARIOS CONTABLES</v>
      </c>
      <c r="K130" s="54">
        <f>IFERROR(IF(factura_c_mes9[[#This Row],[CUIT]]="","-",VLOOKUP(factura_c_mes9[[#This Row],[CUIT]],Lista_CUIT[#All],4,0)),"CUIT NO CARGADO")</f>
        <v>0</v>
      </c>
    </row>
    <row r="131" spans="4:11" x14ac:dyDescent="0.25">
      <c r="D131" s="50">
        <v>45174</v>
      </c>
      <c r="E131" s="42">
        <v>2</v>
      </c>
      <c r="F131" s="43">
        <v>64</v>
      </c>
      <c r="G131" s="44">
        <v>20314536852</v>
      </c>
      <c r="H131" s="53" t="str">
        <f>IFERROR(IF(factura_c_mes9[[#This Row],[CUIT]]="","-",VLOOKUP(factura_c_mes9[[#This Row],[CUIT]],Lista_CUIT[#All],2,0)),"CUIT NO CARGADO")</f>
        <v>FRANCESE GONZALO ROMAN</v>
      </c>
      <c r="I131" s="81">
        <v>24000</v>
      </c>
      <c r="J131" s="54" t="str">
        <f>IFERROR(IF(factura_c_mes9[[#This Row],[CUIT]]="","-",VLOOKUP(factura_c_mes9[[#This Row],[CUIT]],Lista_CUIT[#All],3,0)),"CUIT NO CARGADO")</f>
        <v>FLETE</v>
      </c>
      <c r="K131" s="54">
        <f>IFERROR(IF(factura_c_mes9[[#This Row],[CUIT]]="","-",VLOOKUP(factura_c_mes9[[#This Row],[CUIT]],Lista_CUIT[#All],4,0)),"CUIT NO CARGADO")</f>
        <v>0</v>
      </c>
    </row>
    <row r="132" spans="4:11" x14ac:dyDescent="0.25">
      <c r="D132" s="50">
        <v>45174</v>
      </c>
      <c r="E132" s="42">
        <v>1</v>
      </c>
      <c r="F132" s="43">
        <v>282</v>
      </c>
      <c r="G132" s="44">
        <v>23255855204</v>
      </c>
      <c r="H132" s="53" t="str">
        <f>IFERROR(IF(factura_c_mes9[[#This Row],[CUIT]]="","-",VLOOKUP(factura_c_mes9[[#This Row],[CUIT]],Lista_CUIT[#All],2,0)),"CUIT NO CARGADO")</f>
        <v>CABELLO LETICIA JESICA</v>
      </c>
      <c r="I132" s="81">
        <v>9000</v>
      </c>
      <c r="J132" s="54" t="str">
        <f>IFERROR(IF(factura_c_mes9[[#This Row],[CUIT]]="","-",VLOOKUP(factura_c_mes9[[#This Row],[CUIT]],Lista_CUIT[#All],3,0)),"CUIT NO CARGADO")</f>
        <v>ALQUILERES</v>
      </c>
      <c r="K132" s="54">
        <f>IFERROR(IF(factura_c_mes9[[#This Row],[CUIT]]="","-",VLOOKUP(factura_c_mes9[[#This Row],[CUIT]],Lista_CUIT[#All],4,0)),"CUIT NO CARGADO")</f>
        <v>0</v>
      </c>
    </row>
    <row r="133" spans="4:11" x14ac:dyDescent="0.25">
      <c r="D133" s="50">
        <v>45176</v>
      </c>
      <c r="E133" s="42">
        <v>3</v>
      </c>
      <c r="F133" s="43">
        <v>264</v>
      </c>
      <c r="G133" s="44">
        <v>23306035444</v>
      </c>
      <c r="H133" s="53" t="str">
        <f>IFERROR(IF(factura_c_mes9[[#This Row],[CUIT]]="","-",VLOOKUP(factura_c_mes9[[#This Row],[CUIT]],Lista_CUIT[#All],2,0)),"CUIT NO CARGADO")</f>
        <v>NADIA TARANTINO</v>
      </c>
      <c r="I133" s="81">
        <v>25615</v>
      </c>
      <c r="J133" s="54" t="str">
        <f>IFERROR(IF(factura_c_mes9[[#This Row],[CUIT]]="","-",VLOOKUP(factura_c_mes9[[#This Row],[CUIT]],Lista_CUIT[#All],3,0)),"CUIT NO CARGADO")</f>
        <v>GASTOS CONTABLES</v>
      </c>
      <c r="K133" s="54">
        <f>IFERROR(IF(factura_c_mes9[[#This Row],[CUIT]]="","-",VLOOKUP(factura_c_mes9[[#This Row],[CUIT]],Lista_CUIT[#All],4,0)),"CUIT NO CARGADO")</f>
        <v>0</v>
      </c>
    </row>
    <row r="134" spans="4:11" x14ac:dyDescent="0.25">
      <c r="D134" s="50">
        <v>45176</v>
      </c>
      <c r="E134" s="42">
        <v>1</v>
      </c>
      <c r="F134" s="43">
        <v>2482</v>
      </c>
      <c r="G134" s="44">
        <v>20410096103</v>
      </c>
      <c r="H134" s="53" t="str">
        <f>IFERROR(IF(factura_c_mes9[[#This Row],[CUIT]]="","-",VLOOKUP(factura_c_mes9[[#This Row],[CUIT]],Lista_CUIT[#All],2,0)),"CUIT NO CARGADO")</f>
        <v>CHAVES MATIAS EZEQUIEL</v>
      </c>
      <c r="I134" s="81">
        <v>6364.99</v>
      </c>
      <c r="J134" s="54" t="str">
        <f>IFERROR(IF(factura_c_mes9[[#This Row],[CUIT]]="","-",VLOOKUP(factura_c_mes9[[#This Row],[CUIT]],Lista_CUIT[#All],3,0)),"CUIT NO CARGADO")</f>
        <v>Gastos Varios</v>
      </c>
      <c r="K134" s="54">
        <f>IFERROR(IF(factura_c_mes9[[#This Row],[CUIT]]="","-",VLOOKUP(factura_c_mes9[[#This Row],[CUIT]],Lista_CUIT[#All],4,0)),"CUIT NO CARGADO")</f>
        <v>0</v>
      </c>
    </row>
    <row r="135" spans="4:11" x14ac:dyDescent="0.25">
      <c r="D135" s="50">
        <v>45179</v>
      </c>
      <c r="E135" s="42">
        <v>5</v>
      </c>
      <c r="F135" s="43">
        <v>153</v>
      </c>
      <c r="G135" s="44">
        <v>27062343449</v>
      </c>
      <c r="H135" s="53" t="str">
        <f>IFERROR(IF(factura_c_mes9[[#This Row],[CUIT]]="","-",VLOOKUP(factura_c_mes9[[#This Row],[CUIT]],Lista_CUIT[#All],2,0)),"CUIT NO CARGADO")</f>
        <v>FERREIRS LILISNS INES</v>
      </c>
      <c r="I135" s="81">
        <v>160000</v>
      </c>
      <c r="J135" s="54" t="str">
        <f>IFERROR(IF(factura_c_mes9[[#This Row],[CUIT]]="","-",VLOOKUP(factura_c_mes9[[#This Row],[CUIT]],Lista_CUIT[#All],3,0)),"CUIT NO CARGADO")</f>
        <v>ALQUILERES</v>
      </c>
      <c r="K135" s="54">
        <f>IFERROR(IF(factura_c_mes9[[#This Row],[CUIT]]="","-",VLOOKUP(factura_c_mes9[[#This Row],[CUIT]],Lista_CUIT[#All],4,0)),"CUIT NO CARGADO")</f>
        <v>0</v>
      </c>
    </row>
    <row r="136" spans="4:11" x14ac:dyDescent="0.25">
      <c r="D136" s="50">
        <v>45180</v>
      </c>
      <c r="E136" s="42">
        <v>1</v>
      </c>
      <c r="F136" s="43">
        <v>56</v>
      </c>
      <c r="G136" s="44">
        <v>20299835260</v>
      </c>
      <c r="H136" s="53" t="str">
        <f>IFERROR(IF(factura_c_mes9[[#This Row],[CUIT]]="","-",VLOOKUP(factura_c_mes9[[#This Row],[CUIT]],Lista_CUIT[#All],2,0)),"CUIT NO CARGADO")</f>
        <v>MALGAREJO NICOLAS EMILIO</v>
      </c>
      <c r="I136" s="81">
        <v>97000</v>
      </c>
      <c r="J136" s="54" t="str">
        <f>IFERROR(IF(factura_c_mes9[[#This Row],[CUIT]]="","-",VLOOKUP(factura_c_mes9[[#This Row],[CUIT]],Lista_CUIT[#All],3,0)),"CUIT NO CARGADO")</f>
        <v>Productos Ortopedicos</v>
      </c>
      <c r="K136" s="54">
        <f>IFERROR(IF(factura_c_mes9[[#This Row],[CUIT]]="","-",VLOOKUP(factura_c_mes9[[#This Row],[CUIT]],Lista_CUIT[#All],4,0)),"CUIT NO CARGADO")</f>
        <v>0</v>
      </c>
    </row>
    <row r="137" spans="4:11" x14ac:dyDescent="0.25">
      <c r="D137" s="50">
        <v>45180</v>
      </c>
      <c r="E137" s="42">
        <v>1</v>
      </c>
      <c r="F137" s="43">
        <v>55</v>
      </c>
      <c r="G137" s="44">
        <v>20299835260</v>
      </c>
      <c r="H137" s="53" t="str">
        <f>IFERROR(IF(factura_c_mes9[[#This Row],[CUIT]]="","-",VLOOKUP(factura_c_mes9[[#This Row],[CUIT]],Lista_CUIT[#All],2,0)),"CUIT NO CARGADO")</f>
        <v>MALGAREJO NICOLAS EMILIO</v>
      </c>
      <c r="I137" s="81">
        <v>70000</v>
      </c>
      <c r="J137" s="54" t="str">
        <f>IFERROR(IF(factura_c_mes9[[#This Row],[CUIT]]="","-",VLOOKUP(factura_c_mes9[[#This Row],[CUIT]],Lista_CUIT[#All],3,0)),"CUIT NO CARGADO")</f>
        <v>Productos Ortopedicos</v>
      </c>
      <c r="K137" s="54">
        <f>IFERROR(IF(factura_c_mes9[[#This Row],[CUIT]]="","-",VLOOKUP(factura_c_mes9[[#This Row],[CUIT]],Lista_CUIT[#All],4,0)),"CUIT NO CARGADO")</f>
        <v>0</v>
      </c>
    </row>
    <row r="138" spans="4:11" x14ac:dyDescent="0.25">
      <c r="D138" s="50">
        <v>45180</v>
      </c>
      <c r="E138" s="42">
        <v>1</v>
      </c>
      <c r="F138" s="43">
        <v>54</v>
      </c>
      <c r="G138" s="44">
        <v>20299835260</v>
      </c>
      <c r="H138" s="53" t="str">
        <f>IFERROR(IF(factura_c_mes9[[#This Row],[CUIT]]="","-",VLOOKUP(factura_c_mes9[[#This Row],[CUIT]],Lista_CUIT[#All],2,0)),"CUIT NO CARGADO")</f>
        <v>MALGAREJO NICOLAS EMILIO</v>
      </c>
      <c r="I138" s="81">
        <v>70000</v>
      </c>
      <c r="J138" s="54" t="str">
        <f>IFERROR(IF(factura_c_mes9[[#This Row],[CUIT]]="","-",VLOOKUP(factura_c_mes9[[#This Row],[CUIT]],Lista_CUIT[#All],3,0)),"CUIT NO CARGADO")</f>
        <v>Productos Ortopedicos</v>
      </c>
      <c r="K138" s="54">
        <f>IFERROR(IF(factura_c_mes9[[#This Row],[CUIT]]="","-",VLOOKUP(factura_c_mes9[[#This Row],[CUIT]],Lista_CUIT[#All],4,0)),"CUIT NO CARGADO")</f>
        <v>0</v>
      </c>
    </row>
    <row r="139" spans="4:11" x14ac:dyDescent="0.25">
      <c r="D139" s="50">
        <v>45183</v>
      </c>
      <c r="E139" s="42">
        <v>3</v>
      </c>
      <c r="F139" s="43">
        <v>761</v>
      </c>
      <c r="G139" s="44">
        <v>20216451679</v>
      </c>
      <c r="H139" s="53" t="str">
        <f>IFERROR(IF(factura_c_mes9[[#This Row],[CUIT]]="","-",VLOOKUP(factura_c_mes9[[#This Row],[CUIT]],Lista_CUIT[#All],2,0)),"CUIT NO CARGADO")</f>
        <v>VAZQUEZ RICARDO OSCAR</v>
      </c>
      <c r="I139" s="81">
        <v>28000</v>
      </c>
      <c r="J139" s="54" t="str">
        <f>IFERROR(IF(factura_c_mes9[[#This Row],[CUIT]]="","-",VLOOKUP(factura_c_mes9[[#This Row],[CUIT]],Lista_CUIT[#All],3,0)),"CUIT NO CARGADO")</f>
        <v>Productos Ortopedicos</v>
      </c>
      <c r="K139" s="54">
        <f>IFERROR(IF(factura_c_mes9[[#This Row],[CUIT]]="","-",VLOOKUP(factura_c_mes9[[#This Row],[CUIT]],Lista_CUIT[#All],4,0)),"CUIT NO CARGADO")</f>
        <v>0</v>
      </c>
    </row>
    <row r="140" spans="4:11" x14ac:dyDescent="0.25">
      <c r="D140" s="50">
        <v>45186</v>
      </c>
      <c r="E140" s="42">
        <v>2</v>
      </c>
      <c r="F140" s="43">
        <v>66</v>
      </c>
      <c r="G140" s="44">
        <v>20314536852</v>
      </c>
      <c r="H140" s="53" t="str">
        <f>IFERROR(IF(factura_c_mes9[[#This Row],[CUIT]]="","-",VLOOKUP(factura_c_mes9[[#This Row],[CUIT]],Lista_CUIT[#All],2,0)),"CUIT NO CARGADO")</f>
        <v>FRANCESE GONZALO ROMAN</v>
      </c>
      <c r="I140" s="81">
        <v>35750</v>
      </c>
      <c r="J140" s="54" t="str">
        <f>IFERROR(IF(factura_c_mes9[[#This Row],[CUIT]]="","-",VLOOKUP(factura_c_mes9[[#This Row],[CUIT]],Lista_CUIT[#All],3,0)),"CUIT NO CARGADO")</f>
        <v>FLETE</v>
      </c>
      <c r="K140" s="54">
        <f>IFERROR(IF(factura_c_mes9[[#This Row],[CUIT]]="","-",VLOOKUP(factura_c_mes9[[#This Row],[CUIT]],Lista_CUIT[#All],4,0)),"CUIT NO CARGADO")</f>
        <v>0</v>
      </c>
    </row>
    <row r="141" spans="4:11" x14ac:dyDescent="0.25">
      <c r="D141" s="50">
        <v>45186</v>
      </c>
      <c r="E141" s="42">
        <v>1</v>
      </c>
      <c r="F141" s="43">
        <v>1</v>
      </c>
      <c r="G141" s="44">
        <v>27443612705</v>
      </c>
      <c r="H141" s="53" t="str">
        <f>IFERROR(IF(factura_c_mes9[[#This Row],[CUIT]]="","-",VLOOKUP(factura_c_mes9[[#This Row],[CUIT]],Lista_CUIT[#All],2,0)),"CUIT NO CARGADO")</f>
        <v>MIGOYA MORIONDO MARIA INES</v>
      </c>
      <c r="I141" s="81">
        <v>150000</v>
      </c>
      <c r="J141" s="54" t="str">
        <f>IFERROR(IF(factura_c_mes9[[#This Row],[CUIT]]="","-",VLOOKUP(factura_c_mes9[[#This Row],[CUIT]],Lista_CUIT[#All],3,0)),"CUIT NO CARGADO")</f>
        <v>ALQUILERES</v>
      </c>
      <c r="K141" s="54">
        <f>IFERROR(IF(factura_c_mes9[[#This Row],[CUIT]]="","-",VLOOKUP(factura_c_mes9[[#This Row],[CUIT]],Lista_CUIT[#All],4,0)),"CUIT NO CARGADO")</f>
        <v>0</v>
      </c>
    </row>
    <row r="142" spans="4:11" x14ac:dyDescent="0.25">
      <c r="D142" s="50">
        <v>45186</v>
      </c>
      <c r="E142" s="42">
        <v>5</v>
      </c>
      <c r="F142" s="43">
        <v>154</v>
      </c>
      <c r="G142" s="44">
        <v>27062343449</v>
      </c>
      <c r="H142" s="53" t="str">
        <f>IFERROR(IF(factura_c_mes9[[#This Row],[CUIT]]="","-",VLOOKUP(factura_c_mes9[[#This Row],[CUIT]],Lista_CUIT[#All],2,0)),"CUIT NO CARGADO")</f>
        <v>FERREIRS LILISNS INES</v>
      </c>
      <c r="I142" s="81">
        <v>135000</v>
      </c>
      <c r="J142" s="54" t="str">
        <f>IFERROR(IF(factura_c_mes9[[#This Row],[CUIT]]="","-",VLOOKUP(factura_c_mes9[[#This Row],[CUIT]],Lista_CUIT[#All],3,0)),"CUIT NO CARGADO")</f>
        <v>ALQUILERES</v>
      </c>
      <c r="K142" s="54">
        <f>IFERROR(IF(factura_c_mes9[[#This Row],[CUIT]]="","-",VLOOKUP(factura_c_mes9[[#This Row],[CUIT]],Lista_CUIT[#All],4,0)),"CUIT NO CARGADO")</f>
        <v>0</v>
      </c>
    </row>
    <row r="143" spans="4:11" x14ac:dyDescent="0.25">
      <c r="D143" s="50">
        <v>45187</v>
      </c>
      <c r="E143" s="42">
        <v>2</v>
      </c>
      <c r="F143" s="43">
        <v>214</v>
      </c>
      <c r="G143" s="44">
        <v>27265832178</v>
      </c>
      <c r="H143" s="53" t="str">
        <f>IFERROR(IF(factura_c_mes9[[#This Row],[CUIT]]="","-",VLOOKUP(factura_c_mes9[[#This Row],[CUIT]],Lista_CUIT[#All],2,0)),"CUIT NO CARGADO")</f>
        <v>BLASCO MARIA GUADALUPE</v>
      </c>
      <c r="I143" s="81">
        <v>150000</v>
      </c>
      <c r="J143" s="54" t="str">
        <f>IFERROR(IF(factura_c_mes9[[#This Row],[CUIT]]="","-",VLOOKUP(factura_c_mes9[[#This Row],[CUIT]],Lista_CUIT[#All],3,0)),"CUIT NO CARGADO")</f>
        <v>Gastos Varios</v>
      </c>
      <c r="K143" s="54">
        <f>IFERROR(IF(factura_c_mes9[[#This Row],[CUIT]]="","-",VLOOKUP(factura_c_mes9[[#This Row],[CUIT]],Lista_CUIT[#All],4,0)),"CUIT NO CARGADO")</f>
        <v>0</v>
      </c>
    </row>
    <row r="144" spans="4:11" x14ac:dyDescent="0.25">
      <c r="D144" s="50">
        <v>45188</v>
      </c>
      <c r="E144" s="42">
        <v>2019</v>
      </c>
      <c r="F144" s="43">
        <v>2798</v>
      </c>
      <c r="G144" s="44">
        <v>20277164192</v>
      </c>
      <c r="H144" s="53" t="str">
        <f>IFERROR(IF(factura_c_mes9[[#This Row],[CUIT]]="","-",VLOOKUP(factura_c_mes9[[#This Row],[CUIT]],Lista_CUIT[#All],2,0)),"CUIT NO CARGADO")</f>
        <v>PABLO ROBERTO MURUA POU</v>
      </c>
      <c r="I144" s="81">
        <v>9860</v>
      </c>
      <c r="J144" s="54" t="str">
        <f>IFERROR(IF(factura_c_mes9[[#This Row],[CUIT]]="","-",VLOOKUP(factura_c_mes9[[#This Row],[CUIT]],Lista_CUIT[#All],3,0)),"CUIT NO CARGADO")</f>
        <v>GASTOS VARIOS</v>
      </c>
      <c r="K144" s="54">
        <f>IFERROR(IF(factura_c_mes9[[#This Row],[CUIT]]="","-",VLOOKUP(factura_c_mes9[[#This Row],[CUIT]],Lista_CUIT[#All],4,0)),"CUIT NO CARGADO")</f>
        <v>0</v>
      </c>
    </row>
    <row r="145" spans="2:18" x14ac:dyDescent="0.25">
      <c r="D145" s="50">
        <v>45190</v>
      </c>
      <c r="E145" s="42">
        <v>1</v>
      </c>
      <c r="F145" s="43">
        <v>58</v>
      </c>
      <c r="G145" s="44">
        <v>23281233084</v>
      </c>
      <c r="H145" s="53" t="str">
        <f>IFERROR(IF(factura_c_mes9[[#This Row],[CUIT]]="","-",VLOOKUP(factura_c_mes9[[#This Row],[CUIT]],Lista_CUIT[#All],2,0)),"CUIT NO CARGADO")</f>
        <v>DRUETTA ANDREA MARIEL</v>
      </c>
      <c r="I145" s="81">
        <v>55068</v>
      </c>
      <c r="J145" s="54" t="str">
        <f>IFERROR(IF(factura_c_mes9[[#This Row],[CUIT]]="","-",VLOOKUP(factura_c_mes9[[#This Row],[CUIT]],Lista_CUIT[#All],3,0)),"CUIT NO CARGADO")</f>
        <v>HONORARIOS TECNICOS</v>
      </c>
      <c r="K145" s="54">
        <f>IFERROR(IF(factura_c_mes9[[#This Row],[CUIT]]="","-",VLOOKUP(factura_c_mes9[[#This Row],[CUIT]],Lista_CUIT[#All],4,0)),"CUIT NO CARGADO")</f>
        <v>0</v>
      </c>
    </row>
    <row r="146" spans="2:18" x14ac:dyDescent="0.25">
      <c r="D146" s="50">
        <v>45191</v>
      </c>
      <c r="E146" s="42">
        <v>3</v>
      </c>
      <c r="F146" s="43">
        <v>769</v>
      </c>
      <c r="G146" s="44">
        <v>20216451679</v>
      </c>
      <c r="H146" s="53" t="str">
        <f>IFERROR(IF(factura_c_mes9[[#This Row],[CUIT]]="","-",VLOOKUP(factura_c_mes9[[#This Row],[CUIT]],Lista_CUIT[#All],2,0)),"CUIT NO CARGADO")</f>
        <v>VAZQUEZ RICARDO OSCAR</v>
      </c>
      <c r="I146" s="81">
        <v>90000</v>
      </c>
      <c r="J146" s="54" t="str">
        <f>IFERROR(IF(factura_c_mes9[[#This Row],[CUIT]]="","-",VLOOKUP(factura_c_mes9[[#This Row],[CUIT]],Lista_CUIT[#All],3,0)),"CUIT NO CARGADO")</f>
        <v>Productos Ortopedicos</v>
      </c>
      <c r="K146" s="54">
        <f>IFERROR(IF(factura_c_mes9[[#This Row],[CUIT]]="","-",VLOOKUP(factura_c_mes9[[#This Row],[CUIT]],Lista_CUIT[#All],4,0)),"CUIT NO CARGADO")</f>
        <v>0</v>
      </c>
    </row>
    <row r="147" spans="2:18" x14ac:dyDescent="0.25">
      <c r="D147" s="50">
        <v>45191</v>
      </c>
      <c r="E147" s="42">
        <v>1</v>
      </c>
      <c r="F147" s="43">
        <v>4</v>
      </c>
      <c r="G147" s="44">
        <v>23278122999</v>
      </c>
      <c r="H147" s="53" t="str">
        <f>IFERROR(IF(factura_c_mes9[[#This Row],[CUIT]]="","-",VLOOKUP(factura_c_mes9[[#This Row],[CUIT]],Lista_CUIT[#All],2,0)),"CUIT NO CARGADO")</f>
        <v>ARANA NICOLAS</v>
      </c>
      <c r="I147" s="81">
        <v>205500</v>
      </c>
      <c r="J147" s="54" t="str">
        <f>IFERROR(IF(factura_c_mes9[[#This Row],[CUIT]]="","-",VLOOKUP(factura_c_mes9[[#This Row],[CUIT]],Lista_CUIT[#All],3,0)),"CUIT NO CARGADO")</f>
        <v>PROD ORTOP P/ALQ</v>
      </c>
      <c r="K147" s="54">
        <f>IFERROR(IF(factura_c_mes9[[#This Row],[CUIT]]="","-",VLOOKUP(factura_c_mes9[[#This Row],[CUIT]],Lista_CUIT[#All],4,0)),"CUIT NO CARGADO")</f>
        <v>0</v>
      </c>
    </row>
    <row r="148" spans="2:18" x14ac:dyDescent="0.25">
      <c r="D148" s="50">
        <v>45195</v>
      </c>
      <c r="E148" s="42">
        <v>1</v>
      </c>
      <c r="F148" s="43">
        <v>295</v>
      </c>
      <c r="G148" s="44">
        <v>23255855204</v>
      </c>
      <c r="H148" s="53" t="str">
        <f>IFERROR(IF(factura_c_mes9[[#This Row],[CUIT]]="","-",VLOOKUP(factura_c_mes9[[#This Row],[CUIT]],Lista_CUIT[#All],2,0)),"CUIT NO CARGADO")</f>
        <v>CABELLO LETICIA JESICA</v>
      </c>
      <c r="I148" s="81">
        <v>6000</v>
      </c>
      <c r="J148" s="54" t="str">
        <f>IFERROR(IF(factura_c_mes9[[#This Row],[CUIT]]="","-",VLOOKUP(factura_c_mes9[[#This Row],[CUIT]],Lista_CUIT[#All],3,0)),"CUIT NO CARGADO")</f>
        <v>ALQUILERES</v>
      </c>
      <c r="K148" s="54">
        <f>IFERROR(IF(factura_c_mes9[[#This Row],[CUIT]]="","-",VLOOKUP(factura_c_mes9[[#This Row],[CUIT]],Lista_CUIT[#All],4,0)),"CUIT NO CARGADO")</f>
        <v>0</v>
      </c>
    </row>
    <row r="149" spans="2:18" x14ac:dyDescent="0.25">
      <c r="D149" s="50">
        <v>45196</v>
      </c>
      <c r="E149" s="42">
        <v>3</v>
      </c>
      <c r="F149" s="43">
        <v>773</v>
      </c>
      <c r="G149" s="44">
        <v>20216451679</v>
      </c>
      <c r="H149" s="53" t="str">
        <f>IFERROR(IF(factura_c_mes9[[#This Row],[CUIT]]="","-",VLOOKUP(factura_c_mes9[[#This Row],[CUIT]],Lista_CUIT[#All],2,0)),"CUIT NO CARGADO")</f>
        <v>VAZQUEZ RICARDO OSCAR</v>
      </c>
      <c r="I149" s="81">
        <v>108000</v>
      </c>
      <c r="J149" s="54" t="str">
        <f>IFERROR(IF(factura_c_mes9[[#This Row],[CUIT]]="","-",VLOOKUP(factura_c_mes9[[#This Row],[CUIT]],Lista_CUIT[#All],3,0)),"CUIT NO CARGADO")</f>
        <v>Productos Ortopedicos</v>
      </c>
      <c r="K149" s="54">
        <f>IFERROR(IF(factura_c_mes9[[#This Row],[CUIT]]="","-",VLOOKUP(factura_c_mes9[[#This Row],[CUIT]],Lista_CUIT[#All],4,0)),"CUIT NO CARGADO")</f>
        <v>0</v>
      </c>
    </row>
    <row r="150" spans="2:18" x14ac:dyDescent="0.25">
      <c r="D150" s="50">
        <v>45196</v>
      </c>
      <c r="E150" s="42">
        <v>2019</v>
      </c>
      <c r="F150" s="43">
        <v>2837</v>
      </c>
      <c r="G150" s="44">
        <v>20277164192</v>
      </c>
      <c r="H150" s="53" t="str">
        <f>IFERROR(IF(factura_c_mes9[[#This Row],[CUIT]]="","-",VLOOKUP(factura_c_mes9[[#This Row],[CUIT]],Lista_CUIT[#All],2,0)),"CUIT NO CARGADO")</f>
        <v>PABLO ROBERTO MURUA POU</v>
      </c>
      <c r="I150" s="81">
        <v>1700</v>
      </c>
      <c r="J150" s="54" t="str">
        <f>IFERROR(IF(factura_c_mes9[[#This Row],[CUIT]]="","-",VLOOKUP(factura_c_mes9[[#This Row],[CUIT]],Lista_CUIT[#All],3,0)),"CUIT NO CARGADO")</f>
        <v>GASTOS VARIOS</v>
      </c>
      <c r="K150" s="54">
        <f>IFERROR(IF(factura_c_mes9[[#This Row],[CUIT]]="","-",VLOOKUP(factura_c_mes9[[#This Row],[CUIT]],Lista_CUIT[#All],4,0)),"CUIT NO CARGADO")</f>
        <v>0</v>
      </c>
    </row>
    <row r="151" spans="2:18" x14ac:dyDescent="0.25">
      <c r="D151" s="50">
        <v>45196</v>
      </c>
      <c r="E151" s="42">
        <v>1</v>
      </c>
      <c r="F151" s="43">
        <v>165</v>
      </c>
      <c r="G151" s="44">
        <v>27217606255</v>
      </c>
      <c r="H151" s="53" t="str">
        <f>IFERROR(IF(factura_c_mes9[[#This Row],[CUIT]]="","-",VLOOKUP(factura_c_mes9[[#This Row],[CUIT]],Lista_CUIT[#All],2,0)),"CUIT NO CARGADO")</f>
        <v>SAPUNA MARIAN KARINA</v>
      </c>
      <c r="I151" s="81">
        <v>67000</v>
      </c>
      <c r="J151" s="54" t="str">
        <f>IFERROR(IF(factura_c_mes9[[#This Row],[CUIT]]="","-",VLOOKUP(factura_c_mes9[[#This Row],[CUIT]],Lista_CUIT[#All],3,0)),"CUIT NO CARGADO")</f>
        <v>GASTOS MANTENIMIENTO</v>
      </c>
      <c r="K151" s="54">
        <f>IFERROR(IF(factura_c_mes9[[#This Row],[CUIT]]="","-",VLOOKUP(factura_c_mes9[[#This Row],[CUIT]],Lista_CUIT[#All],4,0)),"CUIT NO CARGADO")</f>
        <v>0</v>
      </c>
    </row>
    <row r="152" spans="2:18" x14ac:dyDescent="0.25">
      <c r="D152" s="50">
        <v>45196</v>
      </c>
      <c r="E152" s="42">
        <v>1</v>
      </c>
      <c r="F152" s="43">
        <v>162</v>
      </c>
      <c r="G152" s="44">
        <v>27217606255</v>
      </c>
      <c r="H152" s="53" t="str">
        <f>IFERROR(IF(factura_c_mes9[[#This Row],[CUIT]]="","-",VLOOKUP(factura_c_mes9[[#This Row],[CUIT]],Lista_CUIT[#All],2,0)),"CUIT NO CARGADO")</f>
        <v>SAPUNA MARIAN KARINA</v>
      </c>
      <c r="I152" s="81">
        <v>43500</v>
      </c>
      <c r="J152" s="54" t="str">
        <f>IFERROR(IF(factura_c_mes9[[#This Row],[CUIT]]="","-",VLOOKUP(factura_c_mes9[[#This Row],[CUIT]],Lista_CUIT[#All],3,0)),"CUIT NO CARGADO")</f>
        <v>GASTOS MANTENIMIENTO</v>
      </c>
      <c r="K152" s="54">
        <f>IFERROR(IF(factura_c_mes9[[#This Row],[CUIT]]="","-",VLOOKUP(factura_c_mes9[[#This Row],[CUIT]],Lista_CUIT[#All],4,0)),"CUIT NO CARGADO")</f>
        <v>0</v>
      </c>
    </row>
    <row r="153" spans="2:18" x14ac:dyDescent="0.25">
      <c r="D153" s="50">
        <v>45196</v>
      </c>
      <c r="E153" s="42">
        <v>1</v>
      </c>
      <c r="F153" s="43">
        <v>163</v>
      </c>
      <c r="G153" s="44">
        <v>27217606255</v>
      </c>
      <c r="H153" s="53" t="str">
        <f>IFERROR(IF(factura_c_mes9[[#This Row],[CUIT]]="","-",VLOOKUP(factura_c_mes9[[#This Row],[CUIT]],Lista_CUIT[#All],2,0)),"CUIT NO CARGADO")</f>
        <v>SAPUNA MARIAN KARINA</v>
      </c>
      <c r="I153" s="81">
        <v>96000</v>
      </c>
      <c r="J153" s="54" t="str">
        <f>IFERROR(IF(factura_c_mes9[[#This Row],[CUIT]]="","-",VLOOKUP(factura_c_mes9[[#This Row],[CUIT]],Lista_CUIT[#All],3,0)),"CUIT NO CARGADO")</f>
        <v>GASTOS MANTENIMIENTO</v>
      </c>
      <c r="K153" s="54">
        <f>IFERROR(IF(factura_c_mes9[[#This Row],[CUIT]]="","-",VLOOKUP(factura_c_mes9[[#This Row],[CUIT]],Lista_CUIT[#All],4,0)),"CUIT NO CARGADO")</f>
        <v>0</v>
      </c>
    </row>
    <row r="154" spans="2:18" x14ac:dyDescent="0.25">
      <c r="D154" s="50">
        <v>45196</v>
      </c>
      <c r="E154" s="42">
        <v>1</v>
      </c>
      <c r="F154" s="43">
        <v>164</v>
      </c>
      <c r="G154" s="44">
        <v>27217606255</v>
      </c>
      <c r="H154" s="53" t="str">
        <f>IFERROR(IF(factura_c_mes9[[#This Row],[CUIT]]="","-",VLOOKUP(factura_c_mes9[[#This Row],[CUIT]],Lista_CUIT[#All],2,0)),"CUIT NO CARGADO")</f>
        <v>SAPUNA MARIAN KARINA</v>
      </c>
      <c r="I154" s="81">
        <v>55000</v>
      </c>
      <c r="J154" s="54" t="str">
        <f>IFERROR(IF(factura_c_mes9[[#This Row],[CUIT]]="","-",VLOOKUP(factura_c_mes9[[#This Row],[CUIT]],Lista_CUIT[#All],3,0)),"CUIT NO CARGADO")</f>
        <v>GASTOS MANTENIMIENTO</v>
      </c>
      <c r="K154" s="54">
        <f>IFERROR(IF(factura_c_mes9[[#This Row],[CUIT]]="","-",VLOOKUP(factura_c_mes9[[#This Row],[CUIT]],Lista_CUIT[#All],4,0)),"CUIT NO CARGADO")</f>
        <v>0</v>
      </c>
    </row>
    <row r="155" spans="2:18" x14ac:dyDescent="0.25">
      <c r="D155" s="50">
        <v>45196</v>
      </c>
      <c r="E155" s="42">
        <v>1</v>
      </c>
      <c r="F155" s="43">
        <v>161</v>
      </c>
      <c r="G155" s="44">
        <v>27217606255</v>
      </c>
      <c r="H155" s="53" t="str">
        <f>IFERROR(IF(factura_c_mes9[[#This Row],[CUIT]]="","-",VLOOKUP(factura_c_mes9[[#This Row],[CUIT]],Lista_CUIT[#All],2,0)),"CUIT NO CARGADO")</f>
        <v>SAPUNA MARIAN KARINA</v>
      </c>
      <c r="I155" s="81">
        <v>55700</v>
      </c>
      <c r="J155" s="54" t="str">
        <f>IFERROR(IF(factura_c_mes9[[#This Row],[CUIT]]="","-",VLOOKUP(factura_c_mes9[[#This Row],[CUIT]],Lista_CUIT[#All],3,0)),"CUIT NO CARGADO")</f>
        <v>GASTOS MANTENIMIENTO</v>
      </c>
      <c r="K155" s="54">
        <f>IFERROR(IF(factura_c_mes9[[#This Row],[CUIT]]="","-",VLOOKUP(factura_c_mes9[[#This Row],[CUIT]],Lista_CUIT[#All],4,0)),"CUIT NO CARGADO")</f>
        <v>0</v>
      </c>
    </row>
    <row r="156" spans="2:18" x14ac:dyDescent="0.25">
      <c r="D156" s="50"/>
      <c r="E156" s="42"/>
      <c r="F156" s="43"/>
      <c r="G156" s="44"/>
      <c r="H156" s="53" t="str">
        <f>IFERROR(IF(factura_c_mes9[[#This Row],[CUIT]]="","-",VLOOKUP(factura_c_mes9[[#This Row],[CUIT]],Lista_CUIT[#All],2,0)),"CUIT NO CARGADO")</f>
        <v>-</v>
      </c>
      <c r="I156" s="81"/>
      <c r="J156" s="54" t="str">
        <f>IFERROR(IF(factura_c_mes9[[#This Row],[CUIT]]="","-",VLOOKUP(factura_c_mes9[[#This Row],[CUIT]],Lista_CUIT[#All],3,0)),"CUIT NO CARGADO")</f>
        <v>-</v>
      </c>
      <c r="K156" s="54" t="str">
        <f>IFERROR(IF(factura_c_mes9[[#This Row],[CUIT]]="","-",VLOOKUP(factura_c_mes9[[#This Row],[CUIT]],Lista_CUIT[#All],4,0)),"CUIT NO CARGADO")</f>
        <v>-</v>
      </c>
    </row>
    <row r="157" spans="2:18" x14ac:dyDescent="0.25">
      <c r="D157" s="50"/>
      <c r="E157" s="42"/>
      <c r="F157" s="43"/>
      <c r="G157" s="44"/>
      <c r="H157" s="53" t="str">
        <f>IFERROR(IF(factura_c_mes9[[#This Row],[CUIT]]="","-",VLOOKUP(factura_c_mes9[[#This Row],[CUIT]],Lista_CUIT[#All],2,0)),"CUIT NO CARGADO")</f>
        <v>-</v>
      </c>
      <c r="I157" s="81"/>
      <c r="J157" s="54" t="str">
        <f>IFERROR(IF(factura_c_mes9[[#This Row],[CUIT]]="","-",VLOOKUP(factura_c_mes9[[#This Row],[CUIT]],Lista_CUIT[#All],3,0)),"CUIT NO CARGADO")</f>
        <v>-</v>
      </c>
      <c r="K157" s="54" t="str">
        <f>IFERROR(IF(factura_c_mes9[[#This Row],[CUIT]]="","-",VLOOKUP(factura_c_mes9[[#This Row],[CUIT]],Lista_CUIT[#All],4,0)),"CUIT NO CARGADO")</f>
        <v>-</v>
      </c>
    </row>
    <row r="158" spans="2:18" s="56" customFormat="1" ht="18.600000000000001" customHeight="1" x14ac:dyDescent="0.25">
      <c r="B158"/>
      <c r="C158"/>
      <c r="D158" s="464" t="s">
        <v>110</v>
      </c>
      <c r="E158" s="464"/>
      <c r="F158" s="464"/>
      <c r="G158" s="464"/>
      <c r="H158" s="465"/>
      <c r="I158" s="466">
        <f>SUBTOTAL(109,factura_c_mes9[TOTAL])</f>
        <v>2113857.9900000002</v>
      </c>
      <c r="J158" s="464"/>
      <c r="K158" s="464"/>
      <c r="L158"/>
      <c r="M158"/>
      <c r="N158"/>
      <c r="O158"/>
      <c r="P158"/>
      <c r="Q158"/>
      <c r="R158"/>
    </row>
    <row r="159" spans="2:18" x14ac:dyDescent="0.25">
      <c r="B159" s="56"/>
      <c r="C159" s="56"/>
      <c r="L159" s="56"/>
      <c r="M159" s="56"/>
      <c r="N159" s="56"/>
      <c r="O159" s="56"/>
      <c r="P159" s="56"/>
      <c r="Q159" s="56"/>
      <c r="R159" s="56"/>
    </row>
    <row r="164" spans="2:13" ht="26.25" x14ac:dyDescent="0.25">
      <c r="B164" s="532" t="s">
        <v>29</v>
      </c>
      <c r="C164" s="532"/>
      <c r="D164" s="532"/>
      <c r="E164" s="532"/>
      <c r="F164" s="532"/>
      <c r="G164" s="532"/>
      <c r="H164" s="532"/>
      <c r="I164" s="532"/>
      <c r="J164" s="532"/>
      <c r="K164" s="528">
        <f>N1</f>
        <v>45170</v>
      </c>
      <c r="L164" s="528"/>
      <c r="M164" s="528"/>
    </row>
    <row r="165" spans="2:13" ht="22.5" customHeight="1" x14ac:dyDescent="0.25"/>
    <row r="166" spans="2:13" ht="21" x14ac:dyDescent="0.25">
      <c r="B166" s="525" t="s">
        <v>30</v>
      </c>
      <c r="C166" s="525"/>
    </row>
    <row r="167" spans="2:13" ht="18" customHeight="1" x14ac:dyDescent="0.25">
      <c r="B167" s="60" t="s">
        <v>0</v>
      </c>
      <c r="C167" s="61" t="s">
        <v>1</v>
      </c>
      <c r="D167" s="61" t="s">
        <v>21</v>
      </c>
      <c r="E167" s="61" t="s">
        <v>22</v>
      </c>
      <c r="F167" s="61" t="s">
        <v>3</v>
      </c>
      <c r="G167" s="61" t="s">
        <v>4</v>
      </c>
      <c r="H167" s="61" t="s">
        <v>23</v>
      </c>
      <c r="I167" s="61" t="s">
        <v>17</v>
      </c>
      <c r="J167" s="61" t="s">
        <v>7</v>
      </c>
      <c r="K167" s="61" t="s">
        <v>24</v>
      </c>
      <c r="L167" s="61" t="s">
        <v>10</v>
      </c>
      <c r="M167" s="62" t="s">
        <v>38</v>
      </c>
    </row>
    <row r="168" spans="2:13" x14ac:dyDescent="0.25">
      <c r="B168" s="40"/>
      <c r="C168" s="41"/>
      <c r="D168" s="42"/>
      <c r="E168" s="43"/>
      <c r="F168" s="44"/>
      <c r="G168" s="99" t="str">
        <f>IFERROR(IF(venta_a_mes9[[#This Row],[CUIT]]="","-",VLOOKUP(venta_a_mes9[[#This Row],[CUIT]],Lista_CUIT[#All],2,0)),"CUIT NO CARGADO")</f>
        <v>-</v>
      </c>
      <c r="H168" s="100"/>
      <c r="I168" s="101">
        <f>venta_a_mes9[[#This Row],[IMPORTE NETO]]*0.21</f>
        <v>0</v>
      </c>
      <c r="J168" s="65"/>
      <c r="K168" s="65"/>
      <c r="L168" s="65">
        <f>SUM(venta_a_mes9[[#This Row],[IMPORTE NETO]:[EXENTO]])</f>
        <v>0</v>
      </c>
      <c r="M168" s="59"/>
    </row>
    <row r="169" spans="2:13" x14ac:dyDescent="0.25">
      <c r="B169" s="40"/>
      <c r="C169" s="41"/>
      <c r="D169" s="42"/>
      <c r="E169" s="43"/>
      <c r="F169" s="44"/>
      <c r="G169" s="99" t="str">
        <f>IFERROR(IF(venta_a_mes9[[#This Row],[CUIT]]="","-",VLOOKUP(venta_a_mes9[[#This Row],[CUIT]],Lista_CUIT[#All],2,0)),"CUIT NO CARGADO")</f>
        <v>-</v>
      </c>
      <c r="H169" s="100"/>
      <c r="I169" s="101">
        <f>venta_a_mes9[[#This Row],[IMPORTE NETO]]*0.21</f>
        <v>0</v>
      </c>
      <c r="J169" s="65"/>
      <c r="K169" s="65"/>
      <c r="L169" s="65">
        <f>SUM(venta_a_mes9[[#This Row],[IMPORTE NETO]:[EXENTO]])</f>
        <v>0</v>
      </c>
      <c r="M169" s="59"/>
    </row>
    <row r="170" spans="2:13" x14ac:dyDescent="0.25">
      <c r="B170" s="40"/>
      <c r="C170" s="41"/>
      <c r="D170" s="42"/>
      <c r="E170" s="43"/>
      <c r="F170" s="44"/>
      <c r="G170" s="99" t="str">
        <f>IFERROR(IF(venta_a_mes9[[#This Row],[CUIT]]="","-",VLOOKUP(venta_a_mes9[[#This Row],[CUIT]],Lista_CUIT[#All],2,0)),"CUIT NO CARGADO")</f>
        <v>-</v>
      </c>
      <c r="H170" s="100"/>
      <c r="I170" s="101">
        <f>venta_a_mes9[[#This Row],[IMPORTE NETO]]*0.21</f>
        <v>0</v>
      </c>
      <c r="J170" s="65"/>
      <c r="K170" s="65"/>
      <c r="L170" s="65">
        <f>SUM(venta_a_mes9[[#This Row],[IMPORTE NETO]:[EXENTO]])</f>
        <v>0</v>
      </c>
      <c r="M170" s="59"/>
    </row>
    <row r="171" spans="2:13" x14ac:dyDescent="0.25">
      <c r="B171" s="40"/>
      <c r="C171" s="41"/>
      <c r="D171" s="42"/>
      <c r="E171" s="43"/>
      <c r="F171" s="44"/>
      <c r="G171" s="99" t="str">
        <f>IFERROR(IF(venta_a_mes9[[#This Row],[CUIT]]="","-",VLOOKUP(venta_a_mes9[[#This Row],[CUIT]],Lista_CUIT[#All],2,0)),"CUIT NO CARGADO")</f>
        <v>-</v>
      </c>
      <c r="H171" s="100"/>
      <c r="I171" s="101">
        <f>venta_a_mes9[[#This Row],[IMPORTE NETO]]*0.21</f>
        <v>0</v>
      </c>
      <c r="J171" s="65"/>
      <c r="K171" s="65"/>
      <c r="L171" s="65">
        <f>SUM(venta_a_mes9[[#This Row],[IMPORTE NETO]:[EXENTO]])</f>
        <v>0</v>
      </c>
      <c r="M171" s="59"/>
    </row>
    <row r="172" spans="2:13" x14ac:dyDescent="0.25">
      <c r="B172" s="40"/>
      <c r="C172" s="41"/>
      <c r="D172" s="42"/>
      <c r="E172" s="43"/>
      <c r="F172" s="44"/>
      <c r="G172" s="99" t="str">
        <f>IFERROR(IF(venta_a_mes9[[#This Row],[CUIT]]="","-",VLOOKUP(venta_a_mes9[[#This Row],[CUIT]],Lista_CUIT[#All],2,0)),"CUIT NO CARGADO")</f>
        <v>-</v>
      </c>
      <c r="H172" s="100"/>
      <c r="I172" s="101">
        <f>venta_a_mes9[[#This Row],[IMPORTE NETO]]*0.21</f>
        <v>0</v>
      </c>
      <c r="J172" s="65"/>
      <c r="K172" s="65"/>
      <c r="L172" s="65">
        <f>SUM(venta_a_mes9[[#This Row],[IMPORTE NETO]:[EXENTO]])</f>
        <v>0</v>
      </c>
      <c r="M172" s="59"/>
    </row>
    <row r="173" spans="2:13" x14ac:dyDescent="0.25">
      <c r="B173" s="40"/>
      <c r="C173" s="41"/>
      <c r="D173" s="42"/>
      <c r="E173" s="43"/>
      <c r="F173" s="44"/>
      <c r="G173" s="99" t="str">
        <f>IFERROR(IF(venta_a_mes9[[#This Row],[CUIT]]="","-",VLOOKUP(venta_a_mes9[[#This Row],[CUIT]],Lista_CUIT[#All],2,0)),"CUIT NO CARGADO")</f>
        <v>-</v>
      </c>
      <c r="H173" s="100"/>
      <c r="I173" s="101">
        <f>venta_a_mes9[[#This Row],[IMPORTE NETO]]*0.21</f>
        <v>0</v>
      </c>
      <c r="J173" s="65"/>
      <c r="K173" s="65"/>
      <c r="L173" s="65">
        <f>SUM(venta_a_mes9[[#This Row],[IMPORTE NETO]:[EXENTO]])</f>
        <v>0</v>
      </c>
      <c r="M173" s="59"/>
    </row>
    <row r="174" spans="2:13" x14ac:dyDescent="0.25">
      <c r="B174" s="40"/>
      <c r="C174" s="41"/>
      <c r="D174" s="42"/>
      <c r="E174" s="43"/>
      <c r="F174" s="44"/>
      <c r="G174" s="99" t="str">
        <f>IFERROR(IF(venta_a_mes9[[#This Row],[CUIT]]="","-",VLOOKUP(venta_a_mes9[[#This Row],[CUIT]],Lista_CUIT[#All],2,0)),"CUIT NO CARGADO")</f>
        <v>-</v>
      </c>
      <c r="H174" s="100"/>
      <c r="I174" s="101">
        <f>venta_a_mes9[[#This Row],[IMPORTE NETO]]*0.21</f>
        <v>0</v>
      </c>
      <c r="J174" s="65"/>
      <c r="K174" s="65"/>
      <c r="L174" s="65">
        <f>SUM(venta_a_mes9[[#This Row],[IMPORTE NETO]:[EXENTO]])</f>
        <v>0</v>
      </c>
      <c r="M174" s="63"/>
    </row>
    <row r="175" spans="2:13" x14ac:dyDescent="0.25">
      <c r="B175" s="102"/>
      <c r="C175" s="103"/>
      <c r="D175" s="104"/>
      <c r="E175" s="105"/>
      <c r="F175" s="106"/>
      <c r="G175" s="99" t="str">
        <f>IFERROR(IF(venta_a_mes9[[#This Row],[CUIT]]="","-",VLOOKUP(venta_a_mes9[[#This Row],[CUIT]],Lista_CUIT[#All],2,0)),"CUIT NO CARGADO")</f>
        <v>-</v>
      </c>
      <c r="H175" s="107"/>
      <c r="I175" s="108">
        <f>venta_a_mes9[[#This Row],[IMPORTE NETO]]*0.21</f>
        <v>0</v>
      </c>
      <c r="J175" s="72"/>
      <c r="K175" s="72"/>
      <c r="L175" s="72">
        <f>SUM(venta_a_mes9[[#This Row],[IMPORTE NETO]:[EXENTO]])</f>
        <v>0</v>
      </c>
      <c r="M175" s="63"/>
    </row>
    <row r="176" spans="2:13" x14ac:dyDescent="0.25">
      <c r="B176" s="109"/>
      <c r="C176" s="110"/>
      <c r="D176" s="111"/>
      <c r="E176" s="112"/>
      <c r="F176" s="113"/>
      <c r="G176" s="99" t="str">
        <f>IFERROR(IF(venta_a_mes9[[#This Row],[CUIT]]="","-",VLOOKUP(venta_a_mes9[[#This Row],[CUIT]],Lista_CUIT[#All],2,0)),"CUIT NO CARGADO")</f>
        <v>-</v>
      </c>
      <c r="H176" s="100"/>
      <c r="I176" s="101">
        <f>venta_a_mes9[[#This Row],[IMPORTE NETO]]*0.21</f>
        <v>0</v>
      </c>
      <c r="J176" s="65"/>
      <c r="K176" s="65"/>
      <c r="L176" s="65">
        <f>SUM(venta_a_mes9[[#This Row],[IMPORTE NETO]:[EXENTO]])</f>
        <v>0</v>
      </c>
      <c r="M176" s="59"/>
    </row>
    <row r="177" spans="2:13" ht="25.9" customHeight="1" x14ac:dyDescent="0.25">
      <c r="B177" s="66" t="s">
        <v>110</v>
      </c>
      <c r="C177" s="67"/>
      <c r="D177" s="67"/>
      <c r="E177" s="67"/>
      <c r="F177" s="67"/>
      <c r="G177" s="67"/>
      <c r="H177" s="69">
        <f>SUBTOTAL(109,venta_a_mes9[IMPORTE NETO])</f>
        <v>0</v>
      </c>
      <c r="I177" s="70">
        <f>SUBTOTAL(109,venta_a_mes9[IVA 21%])</f>
        <v>0</v>
      </c>
      <c r="J177" s="71">
        <f>SUBTOTAL(109,venta_a_mes9[IVA 10,5%])</f>
        <v>0</v>
      </c>
      <c r="K177" s="71">
        <f>SUBTOTAL(109,venta_a_mes9[EXENTO])</f>
        <v>0</v>
      </c>
      <c r="L177" s="71">
        <f>SUBTOTAL(109,venta_a_mes9[TOTAL])</f>
        <v>0</v>
      </c>
      <c r="M177" s="68">
        <f>SUBTOTAL(103,venta_a_mes9[Provincia])</f>
        <v>0</v>
      </c>
    </row>
    <row r="179" spans="2:13" ht="17.25" customHeight="1" x14ac:dyDescent="0.25"/>
    <row r="180" spans="2:13" ht="31.5" customHeight="1" x14ac:dyDescent="0.25">
      <c r="B180" s="525" t="s">
        <v>31</v>
      </c>
      <c r="C180" s="525"/>
    </row>
    <row r="181" spans="2:13" ht="15.75" x14ac:dyDescent="0.25">
      <c r="B181" s="60" t="s">
        <v>0</v>
      </c>
      <c r="C181" s="61" t="s">
        <v>1</v>
      </c>
      <c r="D181" s="61" t="s">
        <v>21</v>
      </c>
      <c r="E181" s="61" t="s">
        <v>22</v>
      </c>
      <c r="F181" s="61" t="s">
        <v>3</v>
      </c>
      <c r="G181" s="61" t="s">
        <v>4</v>
      </c>
      <c r="H181" s="61" t="s">
        <v>23</v>
      </c>
      <c r="I181" s="61" t="s">
        <v>17</v>
      </c>
      <c r="J181" s="61" t="s">
        <v>7</v>
      </c>
      <c r="K181" s="61" t="s">
        <v>24</v>
      </c>
      <c r="L181" s="61" t="s">
        <v>10</v>
      </c>
      <c r="M181" s="62" t="s">
        <v>38</v>
      </c>
    </row>
    <row r="182" spans="2:13" x14ac:dyDescent="0.25">
      <c r="B182" s="40">
        <v>44094</v>
      </c>
      <c r="C182" s="41">
        <v>6</v>
      </c>
      <c r="D182" s="42">
        <v>445</v>
      </c>
      <c r="E182" s="43">
        <v>156</v>
      </c>
      <c r="F182" s="44">
        <v>20389908569</v>
      </c>
      <c r="G182" s="1" t="str">
        <f>IFERROR(IF(ventas_b_mes9[[#This Row],[CUIT]]="","-",VLOOKUP(ventas_b_mes9[[#This Row],[CUIT]],Lista_CUIT[#All],2,0)),"CUIT NO CARGADO")</f>
        <v>BOTINDARI JUAN IGNACIO</v>
      </c>
      <c r="H182" s="64"/>
      <c r="I182" s="64"/>
      <c r="J182" s="64"/>
      <c r="K182" s="64"/>
      <c r="L182" s="64">
        <f>SUM(ventas_b_mes9[[#This Row],[IMPORTE NETO]:[EXENTO]])</f>
        <v>0</v>
      </c>
      <c r="M182" s="59"/>
    </row>
    <row r="183" spans="2:13" x14ac:dyDescent="0.25">
      <c r="B183" s="40"/>
      <c r="C183" s="41"/>
      <c r="D183" s="42"/>
      <c r="E183" s="43"/>
      <c r="F183" s="44"/>
      <c r="G183" s="1"/>
      <c r="H183" s="64"/>
      <c r="I183" s="64"/>
      <c r="J183" s="64"/>
      <c r="K183" s="64"/>
      <c r="L183" s="64">
        <f>SUM(ventas_b_mes9[[#This Row],[IMPORTE NETO]:[EXENTO]])</f>
        <v>0</v>
      </c>
      <c r="M183" s="59"/>
    </row>
    <row r="184" spans="2:13" x14ac:dyDescent="0.25">
      <c r="B184" s="40"/>
      <c r="C184" s="41"/>
      <c r="D184" s="42"/>
      <c r="E184" s="43"/>
      <c r="F184" s="44"/>
      <c r="G184" s="1"/>
      <c r="H184" s="64"/>
      <c r="I184" s="64"/>
      <c r="J184" s="64"/>
      <c r="K184" s="64"/>
      <c r="L184" s="64">
        <f>SUM(ventas_b_mes9[[#This Row],[IMPORTE NETO]:[EXENTO]])</f>
        <v>0</v>
      </c>
      <c r="M184" s="59"/>
    </row>
    <row r="185" spans="2:13" x14ac:dyDescent="0.25">
      <c r="B185" s="40"/>
      <c r="C185" s="41"/>
      <c r="D185" s="42"/>
      <c r="E185" s="43"/>
      <c r="F185" s="44"/>
      <c r="G185" s="1"/>
      <c r="H185" s="64"/>
      <c r="I185" s="64"/>
      <c r="J185" s="64"/>
      <c r="K185" s="64"/>
      <c r="L185" s="64">
        <f>SUM(ventas_b_mes9[[#This Row],[IMPORTE NETO]:[EXENTO]])</f>
        <v>0</v>
      </c>
      <c r="M185" s="59"/>
    </row>
    <row r="186" spans="2:13" x14ac:dyDescent="0.25">
      <c r="B186" s="40"/>
      <c r="C186" s="41"/>
      <c r="D186" s="42"/>
      <c r="E186" s="43"/>
      <c r="F186" s="44"/>
      <c r="G186" s="1"/>
      <c r="H186" s="64"/>
      <c r="I186" s="64"/>
      <c r="J186" s="64"/>
      <c r="K186" s="64"/>
      <c r="L186" s="64">
        <f>SUM(ventas_b_mes9[[#This Row],[IMPORTE NETO]:[EXENTO]])</f>
        <v>0</v>
      </c>
      <c r="M186" s="59"/>
    </row>
    <row r="187" spans="2:13" x14ac:dyDescent="0.25">
      <c r="B187" s="40"/>
      <c r="C187" s="41"/>
      <c r="D187" s="42"/>
      <c r="E187" s="43"/>
      <c r="F187" s="44"/>
      <c r="G187" s="1"/>
      <c r="H187" s="64"/>
      <c r="I187" s="64"/>
      <c r="J187" s="64"/>
      <c r="K187" s="64"/>
      <c r="L187" s="64">
        <f>SUM(ventas_b_mes9[[#This Row],[IMPORTE NETO]:[EXENTO]])</f>
        <v>0</v>
      </c>
      <c r="M187" s="59"/>
    </row>
    <row r="188" spans="2:13" x14ac:dyDescent="0.25">
      <c r="B188" s="66" t="s">
        <v>110</v>
      </c>
      <c r="C188" s="67"/>
      <c r="D188" s="67"/>
      <c r="E188" s="67"/>
      <c r="F188" s="67"/>
      <c r="G188" s="67"/>
      <c r="H188" s="77">
        <f>SUBTOTAL(109,ventas_b_mes9[IMPORTE NETO])</f>
        <v>0</v>
      </c>
      <c r="I188" s="77">
        <f>SUBTOTAL(109,ventas_b_mes9[IVA 21%])</f>
        <v>0</v>
      </c>
      <c r="J188" s="78">
        <f>SUBTOTAL(109,ventas_b_mes9[IVA 10,5%])</f>
        <v>0</v>
      </c>
      <c r="K188" s="78">
        <f>SUBTOTAL(109,ventas_b_mes9[EXENTO])</f>
        <v>0</v>
      </c>
      <c r="L188" s="78">
        <f>SUBTOTAL(109,ventas_b_mes9[TOTAL])</f>
        <v>0</v>
      </c>
      <c r="M188" s="68">
        <f>SUBTOTAL(103,ventas_b_mes9[Provincia])</f>
        <v>0</v>
      </c>
    </row>
    <row r="190" spans="2:13" ht="19.149999999999999" customHeight="1" x14ac:dyDescent="0.25"/>
    <row r="191" spans="2:13" ht="28.9" customHeight="1" x14ac:dyDescent="0.25"/>
    <row r="195" spans="3:12" ht="15.75" thickBot="1" x14ac:dyDescent="0.3"/>
    <row r="196" spans="3:12" ht="15.75" thickTop="1" x14ac:dyDescent="0.25">
      <c r="C196" s="522" t="s">
        <v>66</v>
      </c>
      <c r="D196" s="522"/>
      <c r="E196" s="522"/>
      <c r="F196" s="522"/>
      <c r="G196" s="522"/>
      <c r="H196" s="32"/>
      <c r="I196" s="32"/>
      <c r="J196" s="32"/>
    </row>
    <row r="197" spans="3:12" ht="15.75" x14ac:dyDescent="0.25">
      <c r="C197" s="114" t="s">
        <v>67</v>
      </c>
      <c r="D197" s="115" t="s">
        <v>68</v>
      </c>
      <c r="E197" s="115" t="s">
        <v>112</v>
      </c>
      <c r="F197" s="115" t="s">
        <v>3</v>
      </c>
      <c r="G197" s="115" t="s">
        <v>4</v>
      </c>
      <c r="H197" s="116" t="s">
        <v>69</v>
      </c>
      <c r="I197" s="116" t="s">
        <v>70</v>
      </c>
      <c r="J197" s="116" t="s">
        <v>71</v>
      </c>
      <c r="K197" s="116" t="s">
        <v>72</v>
      </c>
      <c r="L197" s="116" t="s">
        <v>73</v>
      </c>
    </row>
    <row r="198" spans="3:12" x14ac:dyDescent="0.25">
      <c r="C198" s="117"/>
      <c r="D198" s="118"/>
      <c r="E198" s="118"/>
      <c r="F198" s="119"/>
      <c r="G198" s="53" t="str">
        <f>IFERROR(IF(Retenciones_mes9[[#This Row],[CUIT]]="","-",VLOOKUP(Retenciones_mes9[[#This Row],[CUIT]],Lista_CUIT[#All],2,0)),"CUIT NO CARGADO")</f>
        <v>-</v>
      </c>
      <c r="H198" s="120"/>
      <c r="I198" s="120"/>
      <c r="J198" s="120"/>
      <c r="K198" s="120"/>
      <c r="L198" s="120"/>
    </row>
    <row r="199" spans="3:12" x14ac:dyDescent="0.25">
      <c r="C199" s="117"/>
      <c r="D199" s="118"/>
      <c r="E199" s="118"/>
      <c r="F199" s="119"/>
      <c r="G199" s="53" t="str">
        <f>IFERROR(IF(Retenciones_mes9[[#This Row],[CUIT]]="","-",VLOOKUP(Retenciones_mes9[[#This Row],[CUIT]],Lista_CUIT[#All],2,0)),"CUIT NO CARGADO")</f>
        <v>-</v>
      </c>
      <c r="H199" s="120"/>
      <c r="I199" s="120"/>
      <c r="J199" s="120"/>
      <c r="K199" s="120"/>
      <c r="L199" s="120"/>
    </row>
    <row r="200" spans="3:12" x14ac:dyDescent="0.25">
      <c r="C200" s="117"/>
      <c r="D200" s="118"/>
      <c r="E200" s="118"/>
      <c r="F200" s="119"/>
      <c r="G200" s="53" t="str">
        <f>IFERROR(IF(Retenciones_mes9[[#This Row],[CUIT]]="","-",VLOOKUP(Retenciones_mes9[[#This Row],[CUIT]],Lista_CUIT[#All],2,0)),"CUIT NO CARGADO")</f>
        <v>-</v>
      </c>
      <c r="H200" s="120"/>
      <c r="I200" s="120"/>
      <c r="J200" s="120"/>
      <c r="K200" s="120"/>
      <c r="L200" s="120"/>
    </row>
    <row r="201" spans="3:12" x14ac:dyDescent="0.25">
      <c r="C201" s="117"/>
      <c r="D201" s="118"/>
      <c r="E201" s="118"/>
      <c r="F201" s="119"/>
      <c r="G201" s="53" t="str">
        <f>IFERROR(IF(Retenciones_mes9[[#This Row],[CUIT]]="","-",VLOOKUP(Retenciones_mes9[[#This Row],[CUIT]],Lista_CUIT[#All],2,0)),"CUIT NO CARGADO")</f>
        <v>-</v>
      </c>
      <c r="H201" s="120"/>
      <c r="I201" s="120"/>
      <c r="J201" s="120"/>
      <c r="K201" s="120"/>
      <c r="L201" s="120"/>
    </row>
    <row r="202" spans="3:12" x14ac:dyDescent="0.25">
      <c r="D202" s="118"/>
      <c r="E202" s="118"/>
      <c r="G202" s="53" t="str">
        <f>IFERROR(IF(Retenciones_mes9[[#This Row],[CUIT]]="","-",VLOOKUP(Retenciones_mes9[[#This Row],[CUIT]],Lista_CUIT[#All],2,0)),"CUIT NO CARGADO")</f>
        <v>-</v>
      </c>
    </row>
    <row r="203" spans="3:12" x14ac:dyDescent="0.25">
      <c r="C203" s="33"/>
    </row>
  </sheetData>
  <mergeCells count="20">
    <mergeCell ref="C196:G196"/>
    <mergeCell ref="B4:E4"/>
    <mergeCell ref="G4:H4"/>
    <mergeCell ref="J4:K4"/>
    <mergeCell ref="M4:N4"/>
    <mergeCell ref="D126:K126"/>
    <mergeCell ref="B164:J164"/>
    <mergeCell ref="K164:M164"/>
    <mergeCell ref="B166:C166"/>
    <mergeCell ref="B180:C180"/>
    <mergeCell ref="D104:M104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182:L187" xr:uid="{00000000-0002-0000-0900-000000000000}">
      <formula1>IF($C182=8,H182&lt;0,H182&gt;=0)</formula1>
    </dataValidation>
    <dataValidation type="custom" allowBlank="1" showInputMessage="1" showErrorMessage="1" sqref="L173:L174 L169" xr:uid="{00000000-0002-0000-0900-000001000000}">
      <formula1>IF($C95=3,L95&lt;0,L95&gt;=0)</formula1>
    </dataValidation>
    <dataValidation type="custom" allowBlank="1" showInputMessage="1" showErrorMessage="1" sqref="L170:L172" xr:uid="{00000000-0002-0000-0900-000002000000}">
      <formula1>IF(#REF!=3,#REF!&lt;0,#REF!&gt;=0)</formula1>
    </dataValidation>
    <dataValidation type="whole" allowBlank="1" showInputMessage="1" showErrorMessage="1" sqref="C182:C187" xr:uid="{00000000-0002-0000-0900-000003000000}">
      <formula1>6</formula1>
      <formula2>8</formula2>
    </dataValidation>
    <dataValidation type="custom" allowBlank="1" showInputMessage="1" showErrorMessage="1" sqref="H168:K168 H170:K170 H172:K172 H174:K174" xr:uid="{00000000-0002-0000-0900-000004000000}">
      <formula1>IF($C168=3,H168&lt;0,H168&gt;=0)</formula1>
    </dataValidation>
    <dataValidation type="whole" allowBlank="1" showInputMessage="1" showErrorMessage="1" sqref="C168:C176 C100:C103 C9:C98" xr:uid="{00000000-0002-0000-0900-000005000000}">
      <formula1>1</formula1>
      <formula2>3</formula2>
    </dataValidation>
    <dataValidation type="date" allowBlank="1" showInputMessage="1" showErrorMessage="1" sqref="D106:D121 B168:B176 B100:B103 B182:B187 D128:D157 B9:B98" xr:uid="{00000000-0002-0000-0900-000006000000}">
      <formula1>40179</formula1>
      <formula2>TODAY()</formula2>
    </dataValidation>
    <dataValidation type="whole" allowBlank="1" showInputMessage="1" showErrorMessage="1" sqref="F182:F187 F168:F176 G128:G157 F9:F98" xr:uid="{00000000-0002-0000-0900-000007000000}">
      <formula1>20000000000</formula1>
      <formula2>33999999999</formula2>
    </dataValidation>
    <dataValidation type="whole" allowBlank="1" showInputMessage="1" showErrorMessage="1" sqref="E168:E176 E182:E187 F128:F157 E9:E98" xr:uid="{00000000-0002-0000-0900-000008000000}">
      <formula1>1</formula1>
      <formula2>99999999</formula2>
    </dataValidation>
    <dataValidation type="whole" allowBlank="1" showInputMessage="1" showErrorMessage="1" sqref="D168:D176 D182:D187 E128:E157 D9:D98" xr:uid="{00000000-0002-0000-0900-000009000000}">
      <formula1>1</formula1>
      <formula2>9999</formula2>
    </dataValidation>
    <dataValidation type="custom" allowBlank="1" showInputMessage="1" showErrorMessage="1" sqref="L168" xr:uid="{00000000-0002-0000-0900-00000A000000}">
      <formula1>IF($C9=3,L9&lt;0,L9&gt;=0)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98" xr:uid="{00000000-0002-0000-09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211"/>
  <sheetViews>
    <sheetView showGridLines="0" topLeftCell="F90" zoomScale="80" zoomScaleNormal="80" workbookViewId="0">
      <selection activeCell="H160" sqref="H160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4.85546875" customWidth="1"/>
    <col min="7" max="7" width="23.140625" customWidth="1"/>
    <col min="8" max="8" width="20" customWidth="1"/>
    <col min="9" max="9" width="15.42578125" customWidth="1"/>
    <col min="10" max="11" width="13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1.855468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EDATE('Ene-23'!N1,9)</f>
        <v>45200</v>
      </c>
      <c r="O1" s="523"/>
      <c r="P1" s="523"/>
      <c r="Q1" s="523"/>
      <c r="R1" s="523"/>
    </row>
    <row r="2" spans="1:26" ht="15" customHeight="1" x14ac:dyDescent="0.25">
      <c r="E2" t="s">
        <v>2322</v>
      </c>
    </row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SUM(compras_mes10[[#Totals],[NETO GRAVADO]])+extracto_banco_mes10[[#Totals],[NETO]]</f>
        <v>18566001.520000003</v>
      </c>
      <c r="C4" s="530"/>
      <c r="D4" s="530"/>
      <c r="E4" s="530"/>
      <c r="F4" s="39"/>
      <c r="G4" s="531">
        <f>compras_mes10[[#Totals],[IVA 21 %]]+compras_mes10[[#Totals],[IVA 27%]]+compras_mes10[[#Totals],[IVA 10,5%]]+extracto_banco_mes10[[#Totals],[IVA 21%]]+extracto_banco_mes10[[#Totals],[IVA 10,5%]]</f>
        <v>3828462.018900001</v>
      </c>
      <c r="H4" s="531"/>
      <c r="I4" s="39"/>
      <c r="J4" s="537">
        <f>venta_a_mes10[[#Totals],[IMPORTE NETO]]+ventas_b_mes10[[#Totals],[IMPORTE NETO]]</f>
        <v>0</v>
      </c>
      <c r="K4" s="537"/>
      <c r="L4" s="39"/>
      <c r="M4" s="537">
        <f>venta_a_mes10[[#Totals],[IVA 21%]]+venta_a_mes10[[#Totals],[IVA 10,5%]]+ventas_b_mes10[[#Totals],[IVA 21%]]+ventas_b_mes10[[#Totals],[IVA 10,5%]]</f>
        <v>0</v>
      </c>
      <c r="N4" s="537"/>
      <c r="O4" s="39"/>
      <c r="P4" s="533">
        <f>G4-M4</f>
        <v>3828462.018900001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75">
        <v>45200</v>
      </c>
      <c r="C9" s="489">
        <v>1</v>
      </c>
      <c r="D9" s="476">
        <v>1305</v>
      </c>
      <c r="E9" s="477">
        <v>1922904</v>
      </c>
      <c r="F9" s="478">
        <v>30663288497</v>
      </c>
      <c r="G9" s="479" t="str">
        <f>IFERROR(IF(compras_mes10[[#This Row],[CUIT]]="","-",VLOOKUP(compras_mes10[[#This Row],[CUIT]],Lista_CUIT[#All],2,0)),"CUIT NO CARGADO")</f>
        <v>AMX ARG SA</v>
      </c>
      <c r="H9" s="480">
        <v>9900</v>
      </c>
      <c r="I9" s="481">
        <v>819</v>
      </c>
      <c r="J9" s="481">
        <v>1620</v>
      </c>
      <c r="K9" s="481"/>
      <c r="L9" s="481"/>
      <c r="M9" s="481">
        <v>297</v>
      </c>
      <c r="N9" s="481">
        <v>396</v>
      </c>
      <c r="O9" s="481">
        <v>315.79000000000002</v>
      </c>
      <c r="P9" s="482">
        <f>SUM(compras_mes10[[#This Row],[NETO GRAVADO]:[Otros / No Grav.]])</f>
        <v>13347.79</v>
      </c>
      <c r="Q9" s="483" t="str">
        <f>IFERROR(IF(compras_mes10[[#This Row],[CUIT]]="","-",VLOOKUP(compras_mes10[[#This Row],[CUIT]],Lista_CUIT[#All],3,0)),"CUIT NO CARGADO")</f>
        <v>SERVICIOS DE INTERNET</v>
      </c>
      <c r="R9" s="49">
        <f>IFERROR(IF(compras_mes10[[#This Row],[CUIT]]="","-",VLOOKUP(compras_mes10[[#This Row],[CUIT]],Lista_CUIT[#All],4,0)),"CUIT NO CARGADO")</f>
        <v>0</v>
      </c>
    </row>
    <row r="10" spans="1:26" x14ac:dyDescent="0.25">
      <c r="B10" s="475">
        <v>45201</v>
      </c>
      <c r="C10" s="489">
        <v>1</v>
      </c>
      <c r="D10" s="476">
        <v>4</v>
      </c>
      <c r="E10" s="477">
        <v>74</v>
      </c>
      <c r="F10" s="478">
        <v>20317488476</v>
      </c>
      <c r="G10" s="479" t="str">
        <f>IFERROR(IF(compras_mes10[[#This Row],[CUIT]]="","-",VLOOKUP(compras_mes10[[#This Row],[CUIT]],Lista_CUIT[#All],2,0)),"CUIT NO CARGADO")</f>
        <v>MIGUEL ANGEL VILLALBA</v>
      </c>
      <c r="H10" s="480">
        <v>280488</v>
      </c>
      <c r="I10" s="481">
        <f>IF(compras_mes10[[#This Row],[NETO GRAVADO]]="","",compras_mes10[[#This Row],[NETO GRAVADO]]*0.21)</f>
        <v>58902.479999999996</v>
      </c>
      <c r="J10" s="481"/>
      <c r="K10" s="481"/>
      <c r="L10" s="481"/>
      <c r="M10" s="481"/>
      <c r="N10" s="481"/>
      <c r="O10" s="481"/>
      <c r="P10" s="482">
        <f>SUM(compras_mes10[[#This Row],[NETO GRAVADO]:[Otros / No Grav.]])</f>
        <v>339390.48</v>
      </c>
      <c r="Q10" s="483" t="str">
        <f>IFERROR(IF(compras_mes10[[#This Row],[CUIT]]="","-",VLOOKUP(compras_mes10[[#This Row],[CUIT]],Lista_CUIT[#All],3,0)),"CUIT NO CARGADO")</f>
        <v>Recupero P. Ortopedicos</v>
      </c>
      <c r="R10" s="483">
        <f>IFERROR(IF(compras_mes10[[#This Row],[CUIT]]="","-",VLOOKUP(compras_mes10[[#This Row],[CUIT]],Lista_CUIT[#All],4,0)),"CUIT NO CARGADO")</f>
        <v>0</v>
      </c>
    </row>
    <row r="11" spans="1:26" x14ac:dyDescent="0.25">
      <c r="B11" s="475">
        <v>45201</v>
      </c>
      <c r="C11" s="489">
        <v>1</v>
      </c>
      <c r="D11" s="476">
        <v>3</v>
      </c>
      <c r="E11" s="477">
        <v>103</v>
      </c>
      <c r="F11" s="478">
        <v>20334976433</v>
      </c>
      <c r="G11" s="479" t="str">
        <f>IFERROR(IF(compras_mes10[[#This Row],[CUIT]]="","-",VLOOKUP(compras_mes10[[#This Row],[CUIT]],Lista_CUIT[#All],2,0)),"CUIT NO CARGADO")</f>
        <v>NARDOMARINO EZEQUIEL EDUARDO</v>
      </c>
      <c r="H11" s="480">
        <v>202788.43</v>
      </c>
      <c r="I11" s="481">
        <f>IF(compras_mes10[[#This Row],[NETO GRAVADO]]="","",compras_mes10[[#This Row],[NETO GRAVADO]]*0.21)</f>
        <v>42585.570299999999</v>
      </c>
      <c r="J11" s="481"/>
      <c r="K11" s="481"/>
      <c r="L11" s="481"/>
      <c r="M11" s="481"/>
      <c r="N11" s="481"/>
      <c r="O11" s="481"/>
      <c r="P11" s="482">
        <f>SUM(compras_mes10[[#This Row],[NETO GRAVADO]:[Otros / No Grav.]])</f>
        <v>245374.00029999999</v>
      </c>
      <c r="Q11" s="483" t="str">
        <f>IFERROR(IF(compras_mes10[[#This Row],[CUIT]]="","-",VLOOKUP(compras_mes10[[#This Row],[CUIT]],Lista_CUIT[#All],3,0)),"CUIT NO CARGADO")</f>
        <v>FLETE</v>
      </c>
      <c r="R11" s="483">
        <f>IFERROR(IF(compras_mes10[[#This Row],[CUIT]]="","-",VLOOKUP(compras_mes10[[#This Row],[CUIT]],Lista_CUIT[#All],4,0)),"CUIT NO CARGADO")</f>
        <v>0</v>
      </c>
    </row>
    <row r="12" spans="1:26" x14ac:dyDescent="0.25">
      <c r="B12" s="475">
        <v>45201</v>
      </c>
      <c r="C12" s="489">
        <v>1</v>
      </c>
      <c r="D12" s="476">
        <v>4</v>
      </c>
      <c r="E12" s="477">
        <v>8772</v>
      </c>
      <c r="F12" s="478">
        <v>30700939797</v>
      </c>
      <c r="G12" s="479" t="str">
        <f>IFERROR(IF(compras_mes10[[#This Row],[CUIT]]="","-",VLOOKUP(compras_mes10[[#This Row],[CUIT]],Lista_CUIT[#All],2,0)),"CUIT NO CARGADO")</f>
        <v>TAPITEL SA</v>
      </c>
      <c r="H12" s="480">
        <v>252066.12</v>
      </c>
      <c r="I12" s="481">
        <f>IF(compras_mes10[[#This Row],[NETO GRAVADO]]="","",compras_mes10[[#This Row],[NETO GRAVADO]]*0.21)</f>
        <v>52933.885199999997</v>
      </c>
      <c r="J12" s="481"/>
      <c r="K12" s="481"/>
      <c r="L12" s="481"/>
      <c r="M12" s="481"/>
      <c r="N12" s="481"/>
      <c r="O12" s="481"/>
      <c r="P12" s="482">
        <f>SUM(compras_mes10[[#This Row],[NETO GRAVADO]:[Otros / No Grav.]])</f>
        <v>305000.00520000001</v>
      </c>
      <c r="Q12" s="483" t="str">
        <f>IFERROR(IF(compras_mes10[[#This Row],[CUIT]]="","-",VLOOKUP(compras_mes10[[#This Row],[CUIT]],Lista_CUIT[#All],3,0)),"CUIT NO CARGADO")</f>
        <v>PROD ORTOP P/ALQ</v>
      </c>
      <c r="R12" s="483">
        <f>IFERROR(IF(compras_mes10[[#This Row],[CUIT]]="","-",VLOOKUP(compras_mes10[[#This Row],[CUIT]],Lista_CUIT[#All],4,0)),"CUIT NO CARGADO")</f>
        <v>0</v>
      </c>
    </row>
    <row r="13" spans="1:26" x14ac:dyDescent="0.25">
      <c r="B13" s="475">
        <v>45201</v>
      </c>
      <c r="C13" s="489">
        <v>1</v>
      </c>
      <c r="D13" s="476">
        <v>59</v>
      </c>
      <c r="E13" s="477">
        <v>13811</v>
      </c>
      <c r="F13" s="478">
        <v>30541849307</v>
      </c>
      <c r="G13" s="479" t="str">
        <f>IFERROR(IF(compras_mes10[[#This Row],[CUIT]]="","-",VLOOKUP(compras_mes10[[#This Row],[CUIT]],Lista_CUIT[#All],2,0)),"CUIT NO CARGADO")</f>
        <v>GUILLERMO DIETRICH SA.</v>
      </c>
      <c r="H13" s="480">
        <v>112694.22</v>
      </c>
      <c r="I13" s="481">
        <f>IF(compras_mes10[[#This Row],[NETO GRAVADO]]="","",compras_mes10[[#This Row],[NETO GRAVADO]]*0.21)</f>
        <v>23665.786199999999</v>
      </c>
      <c r="J13" s="481"/>
      <c r="K13" s="481"/>
      <c r="L13" s="481"/>
      <c r="M13" s="481"/>
      <c r="N13" s="481">
        <v>4507.7700000000004</v>
      </c>
      <c r="O13" s="481"/>
      <c r="P13" s="482">
        <f>SUM(compras_mes10[[#This Row],[NETO GRAVADO]:[Otros / No Grav.]])</f>
        <v>140867.77619999999</v>
      </c>
      <c r="Q13" s="483" t="str">
        <f>IFERROR(IF(compras_mes10[[#This Row],[CUIT]]="","-",VLOOKUP(compras_mes10[[#This Row],[CUIT]],Lista_CUIT[#All],3,0)),"CUIT NO CARGADO")</f>
        <v>COMBUSTIBLE</v>
      </c>
      <c r="R13" s="483">
        <f>IFERROR(IF(compras_mes10[[#This Row],[CUIT]]="","-",VLOOKUP(compras_mes10[[#This Row],[CUIT]],Lista_CUIT[#All],4,0)),"CUIT NO CARGADO")</f>
        <v>0</v>
      </c>
    </row>
    <row r="14" spans="1:26" x14ac:dyDescent="0.25">
      <c r="B14" s="219">
        <v>45201</v>
      </c>
      <c r="C14" s="209">
        <v>1</v>
      </c>
      <c r="D14" s="491">
        <v>500</v>
      </c>
      <c r="E14" s="492">
        <v>1415160</v>
      </c>
      <c r="F14" s="493">
        <v>30654118767</v>
      </c>
      <c r="G14" s="494" t="str">
        <f>IFERROR(IF(compras_mes10[[#This Row],[CUIT]]="","-",VLOOKUP(compras_mes10[[#This Row],[CUIT]],Lista_CUIT[#All],2,0)),"CUIT NO CARGADO")</f>
        <v>SOLUCIONES MULTIMEDIA SA</v>
      </c>
      <c r="H14" s="495">
        <v>19637.330000000002</v>
      </c>
      <c r="I14" s="496">
        <f>IF(compras_mes10[[#This Row],[NETO GRAVADO]]="","",compras_mes10[[#This Row],[NETO GRAVADO]]*0.21)</f>
        <v>4123.8393000000005</v>
      </c>
      <c r="J14" s="496"/>
      <c r="K14" s="496"/>
      <c r="L14" s="496"/>
      <c r="M14" s="496"/>
      <c r="N14" s="496">
        <v>785.49</v>
      </c>
      <c r="O14" s="496"/>
      <c r="P14" s="490">
        <f>SUM(compras_mes10[[#This Row],[NETO GRAVADO]:[Otros / No Grav.]])</f>
        <v>24546.659300000003</v>
      </c>
      <c r="Q14" s="497" t="str">
        <f>IFERROR(IF(compras_mes10[[#This Row],[CUIT]]="","-",VLOOKUP(compras_mes10[[#This Row],[CUIT]],Lista_CUIT[#All],3,0)),"CUIT NO CARGADO")</f>
        <v>GASTOS ADMINISTRATIVOS</v>
      </c>
      <c r="R14" s="483">
        <f>IFERROR(IF(compras_mes10[[#This Row],[CUIT]]="","-",VLOOKUP(compras_mes10[[#This Row],[CUIT]],Lista_CUIT[#All],4,0)),"CUIT NO CARGADO")</f>
        <v>0</v>
      </c>
    </row>
    <row r="15" spans="1:26" x14ac:dyDescent="0.25">
      <c r="B15" s="475">
        <v>45202</v>
      </c>
      <c r="C15" s="489">
        <v>1</v>
      </c>
      <c r="D15" s="476">
        <v>2</v>
      </c>
      <c r="E15" s="477">
        <v>194</v>
      </c>
      <c r="F15" s="478">
        <v>30605344352</v>
      </c>
      <c r="G15" s="479" t="str">
        <f>IFERROR(IF(compras_mes10[[#This Row],[CUIT]]="","-",VLOOKUP(compras_mes10[[#This Row],[CUIT]],Lista_CUIT[#All],2,0)),"CUIT NO CARGADO")</f>
        <v>CONSORCIO BARTOLME MITRE 2466</v>
      </c>
      <c r="H15" s="480">
        <v>230000</v>
      </c>
      <c r="I15" s="481">
        <f>IF(compras_mes10[[#This Row],[NETO GRAVADO]]="","",compras_mes10[[#This Row],[NETO GRAVADO]]*0.21)</f>
        <v>48300</v>
      </c>
      <c r="J15" s="481"/>
      <c r="K15" s="481"/>
      <c r="L15" s="481"/>
      <c r="M15" s="481"/>
      <c r="N15" s="481"/>
      <c r="O15" s="481"/>
      <c r="P15" s="482">
        <f>SUM(compras_mes10[[#This Row],[NETO GRAVADO]:[Otros / No Grav.]])</f>
        <v>278300</v>
      </c>
      <c r="Q15" s="483" t="str">
        <f>IFERROR(IF(compras_mes10[[#This Row],[CUIT]]="","-",VLOOKUP(compras_mes10[[#This Row],[CUIT]],Lista_CUIT[#All],3,0)),"CUIT NO CARGADO")</f>
        <v>Gastos Varios</v>
      </c>
      <c r="R15" s="483">
        <f>IFERROR(IF(compras_mes10[[#This Row],[CUIT]]="","-",VLOOKUP(compras_mes10[[#This Row],[CUIT]],Lista_CUIT[#All],4,0)),"CUIT NO CARGADO")</f>
        <v>0</v>
      </c>
    </row>
    <row r="16" spans="1:26" x14ac:dyDescent="0.25">
      <c r="B16" s="475">
        <v>45202</v>
      </c>
      <c r="C16" s="489">
        <v>1</v>
      </c>
      <c r="D16" s="476">
        <v>6</v>
      </c>
      <c r="E16" s="477">
        <v>494</v>
      </c>
      <c r="F16" s="478">
        <v>20289111329</v>
      </c>
      <c r="G16" s="479" t="str">
        <f>IFERROR(IF(compras_mes10[[#This Row],[CUIT]]="","-",VLOOKUP(compras_mes10[[#This Row],[CUIT]],Lista_CUIT[#All],2,0)),"CUIT NO CARGADO")</f>
        <v>R. N. LEDESMA</v>
      </c>
      <c r="H16" s="480">
        <v>579277.30000000005</v>
      </c>
      <c r="I16" s="481">
        <f>IF(compras_mes10[[#This Row],[NETO GRAVADO]]="","",compras_mes10[[#This Row],[NETO GRAVADO]]*0.21)</f>
        <v>121648.23300000001</v>
      </c>
      <c r="J16" s="481"/>
      <c r="K16" s="481"/>
      <c r="L16" s="481"/>
      <c r="M16" s="481"/>
      <c r="N16" s="481"/>
      <c r="O16" s="481"/>
      <c r="P16" s="482">
        <f>SUM(compras_mes10[[#This Row],[NETO GRAVADO]:[Otros / No Grav.]])</f>
        <v>700925.53300000005</v>
      </c>
      <c r="Q16" s="483" t="str">
        <f>IFERROR(IF(compras_mes10[[#This Row],[CUIT]]="","-",VLOOKUP(compras_mes10[[#This Row],[CUIT]],Lista_CUIT[#All],3,0)),"CUIT NO CARGADO")</f>
        <v>Productos Ortopedicos</v>
      </c>
      <c r="R16" s="483">
        <f>IFERROR(IF(compras_mes10[[#This Row],[CUIT]]="","-",VLOOKUP(compras_mes10[[#This Row],[CUIT]],Lista_CUIT[#All],4,0)),"CUIT NO CARGADO")</f>
        <v>0</v>
      </c>
    </row>
    <row r="17" spans="2:18" x14ac:dyDescent="0.25">
      <c r="B17" s="475">
        <v>45202</v>
      </c>
      <c r="C17" s="489">
        <v>1</v>
      </c>
      <c r="D17" s="476">
        <v>6</v>
      </c>
      <c r="E17" s="477">
        <v>495</v>
      </c>
      <c r="F17" s="478">
        <v>20289111329</v>
      </c>
      <c r="G17" s="479" t="str">
        <f>IFERROR(IF(compras_mes10[[#This Row],[CUIT]]="","-",VLOOKUP(compras_mes10[[#This Row],[CUIT]],Lista_CUIT[#All],2,0)),"CUIT NO CARGADO")</f>
        <v>R. N. LEDESMA</v>
      </c>
      <c r="H17" s="480">
        <v>35088</v>
      </c>
      <c r="I17" s="481">
        <f>IF(compras_mes10[[#This Row],[NETO GRAVADO]]="","",compras_mes10[[#This Row],[NETO GRAVADO]]*0.21)</f>
        <v>7368.48</v>
      </c>
      <c r="J17" s="481"/>
      <c r="K17" s="481"/>
      <c r="L17" s="481"/>
      <c r="M17" s="481"/>
      <c r="N17" s="481"/>
      <c r="O17" s="481"/>
      <c r="P17" s="482">
        <f>SUM(compras_mes10[[#This Row],[NETO GRAVADO]:[Otros / No Grav.]])</f>
        <v>42456.479999999996</v>
      </c>
      <c r="Q17" s="483" t="str">
        <f>IFERROR(IF(compras_mes10[[#This Row],[CUIT]]="","-",VLOOKUP(compras_mes10[[#This Row],[CUIT]],Lista_CUIT[#All],3,0)),"CUIT NO CARGADO")</f>
        <v>Productos Ortopedicos</v>
      </c>
      <c r="R17" s="483">
        <f>IFERROR(IF(compras_mes10[[#This Row],[CUIT]]="","-",VLOOKUP(compras_mes10[[#This Row],[CUIT]],Lista_CUIT[#All],4,0)),"CUIT NO CARGADO")</f>
        <v>0</v>
      </c>
    </row>
    <row r="18" spans="2:18" x14ac:dyDescent="0.25">
      <c r="B18" s="219">
        <v>45202</v>
      </c>
      <c r="C18" s="209">
        <v>3</v>
      </c>
      <c r="D18" s="491">
        <v>5</v>
      </c>
      <c r="E18" s="492">
        <v>588</v>
      </c>
      <c r="F18" s="493">
        <v>30715833243</v>
      </c>
      <c r="G18" s="494" t="str">
        <f>IFERROR(IF(compras_mes10[[#This Row],[CUIT]]="","-",VLOOKUP(compras_mes10[[#This Row],[CUIT]],Lista_CUIT[#All],2,0)),"CUIT NO CARGADO")</f>
        <v>BIODINAMICA ASIST E INSUMOS</v>
      </c>
      <c r="H18" s="495">
        <v>-25696.78</v>
      </c>
      <c r="I18" s="496">
        <f>IF(compras_mes10[[#This Row],[NETO GRAVADO]]="","",compras_mes10[[#This Row],[NETO GRAVADO]]*0.21)</f>
        <v>-5396.3237999999992</v>
      </c>
      <c r="J18" s="496"/>
      <c r="K18" s="496"/>
      <c r="L18" s="496"/>
      <c r="M18" s="496"/>
      <c r="N18" s="496"/>
      <c r="O18" s="496"/>
      <c r="P18" s="490">
        <f>SUM(compras_mes10[[#This Row],[NETO GRAVADO]:[Otros / No Grav.]])</f>
        <v>-31093.103799999997</v>
      </c>
      <c r="Q18" s="497" t="str">
        <f>IFERROR(IF(compras_mes10[[#This Row],[CUIT]]="","-",VLOOKUP(compras_mes10[[#This Row],[CUIT]],Lista_CUIT[#All],3,0)),"CUIT NO CARGADO")</f>
        <v>INSUMO</v>
      </c>
      <c r="R18" s="483">
        <f>IFERROR(IF(compras_mes10[[#This Row],[CUIT]]="","-",VLOOKUP(compras_mes10[[#This Row],[CUIT]],Lista_CUIT[#All],4,0)),"CUIT NO CARGADO")</f>
        <v>0</v>
      </c>
    </row>
    <row r="19" spans="2:18" x14ac:dyDescent="0.25">
      <c r="B19" s="475">
        <v>45202</v>
      </c>
      <c r="C19" s="489">
        <v>1</v>
      </c>
      <c r="D19" s="476">
        <v>4</v>
      </c>
      <c r="E19" s="477">
        <v>2149</v>
      </c>
      <c r="F19" s="478">
        <v>30707370609</v>
      </c>
      <c r="G19" s="479" t="str">
        <f>IFERROR(IF(compras_mes10[[#This Row],[CUIT]]="","-",VLOOKUP(compras_mes10[[#This Row],[CUIT]],Lista_CUIT[#All],2,0)),"CUIT NO CARGADO")</f>
        <v>MERCERIA ZAFFINO SA</v>
      </c>
      <c r="H19" s="480">
        <v>18595.05</v>
      </c>
      <c r="I19" s="481">
        <f>IF(compras_mes10[[#This Row],[NETO GRAVADO]]="","",compras_mes10[[#This Row],[NETO GRAVADO]]*0.21)</f>
        <v>3904.9604999999997</v>
      </c>
      <c r="J19" s="481"/>
      <c r="K19" s="481"/>
      <c r="L19" s="481"/>
      <c r="M19" s="481"/>
      <c r="N19" s="481"/>
      <c r="O19" s="481"/>
      <c r="P19" s="482">
        <f>SUM(compras_mes10[[#This Row],[NETO GRAVADO]:[Otros / No Grav.]])</f>
        <v>22500.0105</v>
      </c>
      <c r="Q19" s="483" t="str">
        <f>IFERROR(IF(compras_mes10[[#This Row],[CUIT]]="","-",VLOOKUP(compras_mes10[[#This Row],[CUIT]],Lista_CUIT[#All],3,0)),"CUIT NO CARGADO")</f>
        <v>INSUMOS</v>
      </c>
      <c r="R19" s="483">
        <f>IFERROR(IF(compras_mes10[[#This Row],[CUIT]]="","-",VLOOKUP(compras_mes10[[#This Row],[CUIT]],Lista_CUIT[#All],4,0)),"CUIT NO CARGADO")</f>
        <v>0</v>
      </c>
    </row>
    <row r="20" spans="2:18" x14ac:dyDescent="0.25">
      <c r="B20" s="219">
        <v>45202</v>
      </c>
      <c r="C20" s="209">
        <v>1</v>
      </c>
      <c r="D20" s="491">
        <v>7</v>
      </c>
      <c r="E20" s="492">
        <v>2291</v>
      </c>
      <c r="F20" s="493">
        <v>20284183534</v>
      </c>
      <c r="G20" s="494" t="str">
        <f>IFERROR(IF(compras_mes10[[#This Row],[CUIT]]="","-",VLOOKUP(compras_mes10[[#This Row],[CUIT]],Lista_CUIT[#All],2,0)),"CUIT NO CARGADO")</f>
        <v>FURLANETTO MARTIN</v>
      </c>
      <c r="H20" s="495">
        <v>10016.530000000001</v>
      </c>
      <c r="I20" s="496">
        <f>IF(compras_mes10[[#This Row],[NETO GRAVADO]]="","",compras_mes10[[#This Row],[NETO GRAVADO]]*0.21)</f>
        <v>2103.4713000000002</v>
      </c>
      <c r="J20" s="496"/>
      <c r="K20" s="496"/>
      <c r="L20" s="496"/>
      <c r="M20" s="496"/>
      <c r="N20" s="496"/>
      <c r="O20" s="496"/>
      <c r="P20" s="490">
        <f>SUM(compras_mes10[[#This Row],[NETO GRAVADO]:[Otros / No Grav.]])</f>
        <v>12120.0013</v>
      </c>
      <c r="Q20" s="497" t="str">
        <f>IFERROR(IF(compras_mes10[[#This Row],[CUIT]]="","-",VLOOKUP(compras_mes10[[#This Row],[CUIT]],Lista_CUIT[#All],3,0)),"CUIT NO CARGADO")</f>
        <v>PAPELERIA</v>
      </c>
      <c r="R20" s="483">
        <f>IFERROR(IF(compras_mes10[[#This Row],[CUIT]]="","-",VLOOKUP(compras_mes10[[#This Row],[CUIT]],Lista_CUIT[#All],4,0)),"CUIT NO CARGADO")</f>
        <v>0</v>
      </c>
    </row>
    <row r="21" spans="2:18" x14ac:dyDescent="0.25">
      <c r="B21" s="219">
        <v>45202</v>
      </c>
      <c r="C21" s="209">
        <v>1</v>
      </c>
      <c r="D21" s="491">
        <v>5011</v>
      </c>
      <c r="E21" s="492">
        <v>530286</v>
      </c>
      <c r="F21" s="493">
        <v>30574876474</v>
      </c>
      <c r="G21" s="494" t="str">
        <f>IFERROR(IF(compras_mes10[[#This Row],[CUIT]]="","-",VLOOKUP(compras_mes10[[#This Row],[CUIT]],Lista_CUIT[#All],2,0)),"CUIT NO CARGADO")</f>
        <v>AUTOP. URBANAS SA</v>
      </c>
      <c r="H21" s="495">
        <v>2661.33</v>
      </c>
      <c r="I21" s="496">
        <f>IF(compras_mes10[[#This Row],[NETO GRAVADO]]="","",compras_mes10[[#This Row],[NETO GRAVADO]]*0.21)</f>
        <v>558.87929999999994</v>
      </c>
      <c r="J21" s="496"/>
      <c r="K21" s="496"/>
      <c r="L21" s="496"/>
      <c r="M21" s="496">
        <v>79.84</v>
      </c>
      <c r="N21" s="496"/>
      <c r="O21" s="496">
        <v>266.13</v>
      </c>
      <c r="P21" s="490">
        <f>SUM(compras_mes10[[#This Row],[NETO GRAVADO]:[Otros / No Grav.]])</f>
        <v>3566.1793000000002</v>
      </c>
      <c r="Q21" s="497" t="str">
        <f>IFERROR(IF(compras_mes10[[#This Row],[CUIT]]="","-",VLOOKUP(compras_mes10[[#This Row],[CUIT]],Lista_CUIT[#All],3,0)),"CUIT NO CARGADO")</f>
        <v>PEAJE</v>
      </c>
      <c r="R21" s="483">
        <f>IFERROR(IF(compras_mes10[[#This Row],[CUIT]]="","-",VLOOKUP(compras_mes10[[#This Row],[CUIT]],Lista_CUIT[#All],4,0)),"CUIT NO CARGADO")</f>
        <v>0</v>
      </c>
    </row>
    <row r="22" spans="2:18" x14ac:dyDescent="0.25">
      <c r="B22" s="219">
        <v>45202</v>
      </c>
      <c r="C22" s="209">
        <v>1</v>
      </c>
      <c r="D22" s="491">
        <v>5009</v>
      </c>
      <c r="E22" s="492">
        <v>764087</v>
      </c>
      <c r="F22" s="493">
        <v>30574876474</v>
      </c>
      <c r="G22" s="494" t="str">
        <f>IFERROR(IF(compras_mes10[[#This Row],[CUIT]]="","-",VLOOKUP(compras_mes10[[#This Row],[CUIT]],Lista_CUIT[#All],2,0)),"CUIT NO CARGADO")</f>
        <v>AUTOP. URBANAS SA</v>
      </c>
      <c r="H22" s="495">
        <v>795.57</v>
      </c>
      <c r="I22" s="496">
        <f>IF(compras_mes10[[#This Row],[NETO GRAVADO]]="","",compras_mes10[[#This Row],[NETO GRAVADO]]*0.21)</f>
        <v>167.06970000000001</v>
      </c>
      <c r="J22" s="496"/>
      <c r="K22" s="496"/>
      <c r="L22" s="496"/>
      <c r="M22" s="496"/>
      <c r="N22" s="496"/>
      <c r="O22" s="496">
        <v>79.55</v>
      </c>
      <c r="P22" s="490">
        <f>SUM(compras_mes10[[#This Row],[NETO GRAVADO]:[Otros / No Grav.]])</f>
        <v>1042.1897000000001</v>
      </c>
      <c r="Q22" s="497" t="str">
        <f>IFERROR(IF(compras_mes10[[#This Row],[CUIT]]="","-",VLOOKUP(compras_mes10[[#This Row],[CUIT]],Lista_CUIT[#All],3,0)),"CUIT NO CARGADO")</f>
        <v>PEAJE</v>
      </c>
      <c r="R22" s="483">
        <f>IFERROR(IF(compras_mes10[[#This Row],[CUIT]]="","-",VLOOKUP(compras_mes10[[#This Row],[CUIT]],Lista_CUIT[#All],4,0)),"CUIT NO CARGADO")</f>
        <v>0</v>
      </c>
    </row>
    <row r="23" spans="2:18" x14ac:dyDescent="0.25">
      <c r="B23" s="219">
        <v>45202</v>
      </c>
      <c r="C23" s="209">
        <v>1</v>
      </c>
      <c r="D23" s="491">
        <v>711</v>
      </c>
      <c r="E23" s="492">
        <v>4828402</v>
      </c>
      <c r="F23" s="493">
        <v>30677237119</v>
      </c>
      <c r="G23" s="494" t="str">
        <f>IFERROR(IF(compras_mes10[[#This Row],[CUIT]]="","-",VLOOKUP(compras_mes10[[#This Row],[CUIT]],Lista_CUIT[#All],2,0)),"CUIT NO CARGADO")</f>
        <v>AUTOPISTAS DEL SOL SA</v>
      </c>
      <c r="H23" s="495">
        <v>289.26</v>
      </c>
      <c r="I23" s="496">
        <f>IF(compras_mes10[[#This Row],[NETO GRAVADO]]="","",compras_mes10[[#This Row],[NETO GRAVADO]]*0.21)</f>
        <v>60.744599999999998</v>
      </c>
      <c r="J23" s="496"/>
      <c r="K23" s="496"/>
      <c r="L23" s="496"/>
      <c r="M23" s="496"/>
      <c r="N23" s="496"/>
      <c r="O23" s="496"/>
      <c r="P23" s="490">
        <f>SUM(compras_mes10[[#This Row],[NETO GRAVADO]:[Otros / No Grav.]])</f>
        <v>350.00459999999998</v>
      </c>
      <c r="Q23" s="497" t="str">
        <f>IFERROR(IF(compras_mes10[[#This Row],[CUIT]]="","-",VLOOKUP(compras_mes10[[#This Row],[CUIT]],Lista_CUIT[#All],3,0)),"CUIT NO CARGADO")</f>
        <v>Autopista</v>
      </c>
      <c r="R23" s="483">
        <f>IFERROR(IF(compras_mes10[[#This Row],[CUIT]]="","-",VLOOKUP(compras_mes10[[#This Row],[CUIT]],Lista_CUIT[#All],4,0)),"CUIT NO CARGADO")</f>
        <v>0</v>
      </c>
    </row>
    <row r="24" spans="2:18" x14ac:dyDescent="0.25">
      <c r="B24" s="475">
        <v>45203</v>
      </c>
      <c r="C24" s="489">
        <v>1</v>
      </c>
      <c r="D24" s="476">
        <v>7</v>
      </c>
      <c r="E24" s="477">
        <v>4580</v>
      </c>
      <c r="F24" s="478">
        <v>20131067446</v>
      </c>
      <c r="G24" s="479" t="str">
        <f>IFERROR(IF(compras_mes10[[#This Row],[CUIT]]="","-",VLOOKUP(compras_mes10[[#This Row],[CUIT]],Lista_CUIT[#All],2,0)),"CUIT NO CARGADO")</f>
        <v>TRIVEÑO ROMA RAMON</v>
      </c>
      <c r="H24" s="480">
        <v>195323.2</v>
      </c>
      <c r="I24" s="481">
        <f>IF(compras_mes10[[#This Row],[NETO GRAVADO]]="","",compras_mes10[[#This Row],[NETO GRAVADO]]*0.21)</f>
        <v>41017.872000000003</v>
      </c>
      <c r="J24" s="481"/>
      <c r="K24" s="481"/>
      <c r="L24" s="481"/>
      <c r="M24" s="481"/>
      <c r="N24" s="481"/>
      <c r="O24" s="481"/>
      <c r="P24" s="482">
        <f>SUM(compras_mes10[[#This Row],[NETO GRAVADO]:[Otros / No Grav.]])</f>
        <v>236341.07200000001</v>
      </c>
      <c r="Q24" s="483" t="str">
        <f>IFERROR(IF(compras_mes10[[#This Row],[CUIT]]="","-",VLOOKUP(compras_mes10[[#This Row],[CUIT]],Lista_CUIT[#All],3,0)),"CUIT NO CARGADO")</f>
        <v>Productos Ortopedicos</v>
      </c>
      <c r="R24" s="483">
        <f>IFERROR(IF(compras_mes10[[#This Row],[CUIT]]="","-",VLOOKUP(compras_mes10[[#This Row],[CUIT]],Lista_CUIT[#All],4,0)),"CUIT NO CARGADO")</f>
        <v>0</v>
      </c>
    </row>
    <row r="25" spans="2:18" x14ac:dyDescent="0.25">
      <c r="B25" s="475">
        <v>45203</v>
      </c>
      <c r="C25" s="489">
        <v>1</v>
      </c>
      <c r="D25" s="476">
        <v>2</v>
      </c>
      <c r="E25" s="477">
        <v>7419</v>
      </c>
      <c r="F25" s="478">
        <v>30694549817</v>
      </c>
      <c r="G25" s="479" t="str">
        <f>IFERROR(IF(compras_mes10[[#This Row],[CUIT]]="","-",VLOOKUP(compras_mes10[[#This Row],[CUIT]],Lista_CUIT[#All],2,0)),"CUIT NO CARGADO")</f>
        <v>DISEÑOS JERY SRL</v>
      </c>
      <c r="H25" s="480">
        <v>149124.99</v>
      </c>
      <c r="I25" s="481">
        <f>IF(compras_mes10[[#This Row],[NETO GRAVADO]]="","",compras_mes10[[#This Row],[NETO GRAVADO]]*0.21)</f>
        <v>31316.247899999998</v>
      </c>
      <c r="J25" s="481"/>
      <c r="K25" s="481"/>
      <c r="L25" s="481"/>
      <c r="M25" s="481"/>
      <c r="N25" s="481"/>
      <c r="O25" s="481"/>
      <c r="P25" s="482">
        <f>SUM(compras_mes10[[#This Row],[NETO GRAVADO]:[Otros / No Grav.]])</f>
        <v>180441.23789999998</v>
      </c>
      <c r="Q25" s="483" t="str">
        <f>IFERROR(IF(compras_mes10[[#This Row],[CUIT]]="","-",VLOOKUP(compras_mes10[[#This Row],[CUIT]],Lista_CUIT[#All],3,0)),"CUIT NO CARGADO")</f>
        <v>Productos Ortopedicos</v>
      </c>
      <c r="R25" s="483">
        <f>IFERROR(IF(compras_mes10[[#This Row],[CUIT]]="","-",VLOOKUP(compras_mes10[[#This Row],[CUIT]],Lista_CUIT[#All],4,0)),"CUIT NO CARGADO")</f>
        <v>0</v>
      </c>
    </row>
    <row r="26" spans="2:18" x14ac:dyDescent="0.25">
      <c r="B26" s="219">
        <v>45203</v>
      </c>
      <c r="C26" s="209">
        <v>1</v>
      </c>
      <c r="D26" s="491">
        <v>7</v>
      </c>
      <c r="E26" s="492">
        <v>11229</v>
      </c>
      <c r="F26" s="493">
        <v>30711129010</v>
      </c>
      <c r="G26" s="494" t="str">
        <f>IFERROR(IF(compras_mes10[[#This Row],[CUIT]]="","-",VLOOKUP(compras_mes10[[#This Row],[CUIT]],Lista_CUIT[#All],2,0)),"CUIT NO CARGADO")</f>
        <v>WARNES  TELAS  SA</v>
      </c>
      <c r="H26" s="495">
        <v>4621.4799999999996</v>
      </c>
      <c r="I26" s="496">
        <f>IF(compras_mes10[[#This Row],[NETO GRAVADO]]="","",compras_mes10[[#This Row],[NETO GRAVADO]]*0.21)</f>
        <v>970.5107999999999</v>
      </c>
      <c r="J26" s="496"/>
      <c r="K26" s="496"/>
      <c r="L26" s="496"/>
      <c r="M26" s="496"/>
      <c r="N26" s="496"/>
      <c r="O26" s="496"/>
      <c r="P26" s="490">
        <f>SUM(compras_mes10[[#This Row],[NETO GRAVADO]:[Otros / No Grav.]])</f>
        <v>5591.9907999999996</v>
      </c>
      <c r="Q26" s="497" t="str">
        <f>IFERROR(IF(compras_mes10[[#This Row],[CUIT]]="","-",VLOOKUP(compras_mes10[[#This Row],[CUIT]],Lista_CUIT[#All],3,0)),"CUIT NO CARGADO")</f>
        <v>INSUMOS</v>
      </c>
      <c r="R26" s="483">
        <f>IFERROR(IF(compras_mes10[[#This Row],[CUIT]]="","-",VLOOKUP(compras_mes10[[#This Row],[CUIT]],Lista_CUIT[#All],4,0)),"CUIT NO CARGADO")</f>
        <v>0</v>
      </c>
    </row>
    <row r="27" spans="2:18" x14ac:dyDescent="0.25">
      <c r="B27" s="475">
        <v>45204</v>
      </c>
      <c r="C27" s="489">
        <v>3</v>
      </c>
      <c r="D27" s="476">
        <v>2</v>
      </c>
      <c r="E27" s="477">
        <v>9</v>
      </c>
      <c r="F27" s="478">
        <v>20272865869</v>
      </c>
      <c r="G27" s="479" t="str">
        <f>IFERROR(IF(compras_mes10[[#This Row],[CUIT]]="","-",VLOOKUP(compras_mes10[[#This Row],[CUIT]],Lista_CUIT[#All],2,0)),"CUIT NO CARGADO")</f>
        <v>DI FEO MARTIN EZEQUIEL</v>
      </c>
      <c r="H27" s="480">
        <v>-9290</v>
      </c>
      <c r="I27" s="481">
        <f>IF(compras_mes10[[#This Row],[NETO GRAVADO]]="","",compras_mes10[[#This Row],[NETO GRAVADO]]*0.21)</f>
        <v>-1950.8999999999999</v>
      </c>
      <c r="J27" s="481"/>
      <c r="K27" s="481"/>
      <c r="L27" s="481"/>
      <c r="M27" s="481"/>
      <c r="N27" s="481"/>
      <c r="O27" s="481"/>
      <c r="P27" s="482">
        <f>SUM(compras_mes10[[#This Row],[NETO GRAVADO]:[Otros / No Grav.]])</f>
        <v>-11240.9</v>
      </c>
      <c r="Q27" s="483" t="str">
        <f>IFERROR(IF(compras_mes10[[#This Row],[CUIT]]="","-",VLOOKUP(compras_mes10[[#This Row],[CUIT]],Lista_CUIT[#All],3,0)),"CUIT NO CARGADO")</f>
        <v>Productos Ortopedicos</v>
      </c>
      <c r="R27" s="483">
        <f>IFERROR(IF(compras_mes10[[#This Row],[CUIT]]="","-",VLOOKUP(compras_mes10[[#This Row],[CUIT]],Lista_CUIT[#All],4,0)),"CUIT NO CARGADO")</f>
        <v>0</v>
      </c>
    </row>
    <row r="28" spans="2:18" x14ac:dyDescent="0.25">
      <c r="B28" s="475">
        <v>45204</v>
      </c>
      <c r="C28" s="489">
        <v>1</v>
      </c>
      <c r="D28" s="476">
        <v>2</v>
      </c>
      <c r="E28" s="477">
        <v>125</v>
      </c>
      <c r="F28" s="478">
        <v>20272865869</v>
      </c>
      <c r="G28" s="479" t="str">
        <f>IFERROR(IF(compras_mes10[[#This Row],[CUIT]]="","-",VLOOKUP(compras_mes10[[#This Row],[CUIT]],Lista_CUIT[#All],2,0)),"CUIT NO CARGADO")</f>
        <v>DI FEO MARTIN EZEQUIEL</v>
      </c>
      <c r="H28" s="480">
        <v>73690</v>
      </c>
      <c r="I28" s="481">
        <f>IF(compras_mes10[[#This Row],[NETO GRAVADO]]="","",compras_mes10[[#This Row],[NETO GRAVADO]]*0.21)</f>
        <v>15474.9</v>
      </c>
      <c r="J28" s="481"/>
      <c r="K28" s="481"/>
      <c r="L28" s="481"/>
      <c r="M28" s="481"/>
      <c r="N28" s="481"/>
      <c r="O28" s="481"/>
      <c r="P28" s="482">
        <f>SUM(compras_mes10[[#This Row],[NETO GRAVADO]:[Otros / No Grav.]])</f>
        <v>89164.9</v>
      </c>
      <c r="Q28" s="483" t="str">
        <f>IFERROR(IF(compras_mes10[[#This Row],[CUIT]]="","-",VLOOKUP(compras_mes10[[#This Row],[CUIT]],Lista_CUIT[#All],3,0)),"CUIT NO CARGADO")</f>
        <v>Productos Ortopedicos</v>
      </c>
      <c r="R28" s="483">
        <f>IFERROR(IF(compras_mes10[[#This Row],[CUIT]]="","-",VLOOKUP(compras_mes10[[#This Row],[CUIT]],Lista_CUIT[#All],4,0)),"CUIT NO CARGADO")</f>
        <v>0</v>
      </c>
    </row>
    <row r="29" spans="2:18" x14ac:dyDescent="0.25">
      <c r="B29" s="475">
        <v>45204</v>
      </c>
      <c r="C29" s="489">
        <v>1</v>
      </c>
      <c r="D29" s="476">
        <v>2</v>
      </c>
      <c r="E29" s="477">
        <v>127</v>
      </c>
      <c r="F29" s="478">
        <v>20272865869</v>
      </c>
      <c r="G29" s="479" t="str">
        <f>IFERROR(IF(compras_mes10[[#This Row],[CUIT]]="","-",VLOOKUP(compras_mes10[[#This Row],[CUIT]],Lista_CUIT[#All],2,0)),"CUIT NO CARGADO")</f>
        <v>DI FEO MARTIN EZEQUIEL</v>
      </c>
      <c r="H29" s="480">
        <v>10020</v>
      </c>
      <c r="I29" s="481">
        <f>IF(compras_mes10[[#This Row],[NETO GRAVADO]]="","",compras_mes10[[#This Row],[NETO GRAVADO]]*0.21)</f>
        <v>2104.1999999999998</v>
      </c>
      <c r="J29" s="481"/>
      <c r="K29" s="481"/>
      <c r="L29" s="481"/>
      <c r="M29" s="481"/>
      <c r="N29" s="481"/>
      <c r="O29" s="481"/>
      <c r="P29" s="482">
        <f>SUM(compras_mes10[[#This Row],[NETO GRAVADO]:[Otros / No Grav.]])</f>
        <v>12124.2</v>
      </c>
      <c r="Q29" s="483" t="str">
        <f>IFERROR(IF(compras_mes10[[#This Row],[CUIT]]="","-",VLOOKUP(compras_mes10[[#This Row],[CUIT]],Lista_CUIT[#All],3,0)),"CUIT NO CARGADO")</f>
        <v>Productos Ortopedicos</v>
      </c>
      <c r="R29" s="483">
        <f>IFERROR(IF(compras_mes10[[#This Row],[CUIT]]="","-",VLOOKUP(compras_mes10[[#This Row],[CUIT]],Lista_CUIT[#All],4,0)),"CUIT NO CARGADO")</f>
        <v>0</v>
      </c>
    </row>
    <row r="30" spans="2:18" x14ac:dyDescent="0.25">
      <c r="B30" s="475">
        <v>45204</v>
      </c>
      <c r="C30" s="489">
        <v>1</v>
      </c>
      <c r="D30" s="476">
        <v>8</v>
      </c>
      <c r="E30" s="477">
        <v>212</v>
      </c>
      <c r="F30" s="478">
        <v>30643518364</v>
      </c>
      <c r="G30" s="479" t="str">
        <f>IFERROR(IF(compras_mes10[[#This Row],[CUIT]]="","-",VLOOKUP(compras_mes10[[#This Row],[CUIT]],Lista_CUIT[#All],2,0)),"CUIT NO CARGADO")</f>
        <v>FARMACIA DE MEDRANO SCS</v>
      </c>
      <c r="H30" s="480">
        <v>58000</v>
      </c>
      <c r="I30" s="481">
        <f>IF(compras_mes10[[#This Row],[NETO GRAVADO]]="","",compras_mes10[[#This Row],[NETO GRAVADO]]*0.21)</f>
        <v>12180</v>
      </c>
      <c r="J30" s="481"/>
      <c r="K30" s="481"/>
      <c r="L30" s="481"/>
      <c r="M30" s="481"/>
      <c r="N30" s="481"/>
      <c r="O30" s="481"/>
      <c r="P30" s="482">
        <f>SUM(compras_mes10[[#This Row],[NETO GRAVADO]:[Otros / No Grav.]])</f>
        <v>70180</v>
      </c>
      <c r="Q30" s="483" t="str">
        <f>IFERROR(IF(compras_mes10[[#This Row],[CUIT]]="","-",VLOOKUP(compras_mes10[[#This Row],[CUIT]],Lista_CUIT[#All],3,0)),"CUIT NO CARGADO")</f>
        <v>Productos Ortopedicos</v>
      </c>
      <c r="R30" s="483">
        <f>IFERROR(IF(compras_mes10[[#This Row],[CUIT]]="","-",VLOOKUP(compras_mes10[[#This Row],[CUIT]],Lista_CUIT[#All],4,0)),"CUIT NO CARGADO")</f>
        <v>0</v>
      </c>
    </row>
    <row r="31" spans="2:18" x14ac:dyDescent="0.25">
      <c r="B31" s="475">
        <v>45204</v>
      </c>
      <c r="C31" s="489">
        <v>1</v>
      </c>
      <c r="D31" s="476">
        <v>1</v>
      </c>
      <c r="E31" s="477">
        <v>680</v>
      </c>
      <c r="F31" s="478">
        <v>30715048066</v>
      </c>
      <c r="G31" s="479" t="str">
        <f>IFERROR(IF(compras_mes10[[#This Row],[CUIT]]="","-",VLOOKUP(compras_mes10[[#This Row],[CUIT]],Lista_CUIT[#All],2,0)),"CUIT NO CARGADO")</f>
        <v>ROLLS Y EMPANADAS SA</v>
      </c>
      <c r="H31" s="480">
        <v>462470</v>
      </c>
      <c r="I31" s="481">
        <f>IF(compras_mes10[[#This Row],[NETO GRAVADO]]="","",compras_mes10[[#This Row],[NETO GRAVADO]]*0.21)</f>
        <v>97118.7</v>
      </c>
      <c r="J31" s="481"/>
      <c r="K31" s="481"/>
      <c r="L31" s="481"/>
      <c r="M31" s="481"/>
      <c r="N31" s="481"/>
      <c r="O31" s="481"/>
      <c r="P31" s="482">
        <f>SUM(compras_mes10[[#This Row],[NETO GRAVADO]:[Otros / No Grav.]])</f>
        <v>559588.69999999995</v>
      </c>
      <c r="Q31" s="483" t="str">
        <f>IFERROR(IF(compras_mes10[[#This Row],[CUIT]]="","-",VLOOKUP(compras_mes10[[#This Row],[CUIT]],Lista_CUIT[#All],3,0)),"CUIT NO CARGADO")</f>
        <v>Catering</v>
      </c>
      <c r="R31" s="483">
        <f>IFERROR(IF(compras_mes10[[#This Row],[CUIT]]="","-",VLOOKUP(compras_mes10[[#This Row],[CUIT]],Lista_CUIT[#All],4,0)),"CUIT NO CARGADO")</f>
        <v>0</v>
      </c>
    </row>
    <row r="32" spans="2:18" x14ac:dyDescent="0.25">
      <c r="B32" s="475">
        <v>45204</v>
      </c>
      <c r="C32" s="489">
        <v>1</v>
      </c>
      <c r="D32" s="476">
        <v>17</v>
      </c>
      <c r="E32" s="477">
        <v>1376</v>
      </c>
      <c r="F32" s="478">
        <v>30711764921</v>
      </c>
      <c r="G32" s="479" t="str">
        <f>IFERROR(IF(compras_mes10[[#This Row],[CUIT]]="","-",VLOOKUP(compras_mes10[[#This Row],[CUIT]],Lista_CUIT[#All],2,0)),"CUIT NO CARGADO")</f>
        <v>RELIEF CENTER SRL</v>
      </c>
      <c r="H32" s="480">
        <v>50884</v>
      </c>
      <c r="I32" s="481">
        <f>IF(compras_mes10[[#This Row],[NETO GRAVADO]]="","",compras_mes10[[#This Row],[NETO GRAVADO]]*0.21)</f>
        <v>10685.64</v>
      </c>
      <c r="J32" s="481"/>
      <c r="K32" s="481"/>
      <c r="L32" s="481"/>
      <c r="M32" s="481"/>
      <c r="N32" s="481"/>
      <c r="O32" s="481"/>
      <c r="P32" s="482">
        <f>SUM(compras_mes10[[#This Row],[NETO GRAVADO]:[Otros / No Grav.]])</f>
        <v>61569.64</v>
      </c>
      <c r="Q32" s="483" t="str">
        <f>IFERROR(IF(compras_mes10[[#This Row],[CUIT]]="","-",VLOOKUP(compras_mes10[[#This Row],[CUIT]],Lista_CUIT[#All],3,0)),"CUIT NO CARGADO")</f>
        <v>Productos Ortopedicos</v>
      </c>
      <c r="R32" s="483">
        <f>IFERROR(IF(compras_mes10[[#This Row],[CUIT]]="","-",VLOOKUP(compras_mes10[[#This Row],[CUIT]],Lista_CUIT[#All],4,0)),"CUIT NO CARGADO")</f>
        <v>0</v>
      </c>
    </row>
    <row r="33" spans="2:18" x14ac:dyDescent="0.25">
      <c r="B33" s="475">
        <v>45204</v>
      </c>
      <c r="C33" s="489">
        <v>1</v>
      </c>
      <c r="D33" s="476">
        <v>8</v>
      </c>
      <c r="E33" s="477">
        <v>1533</v>
      </c>
      <c r="F33" s="478">
        <v>30708973501</v>
      </c>
      <c r="G33" s="479" t="str">
        <f>IFERROR(IF(compras_mes10[[#This Row],[CUIT]]="","-",VLOOKUP(compras_mes10[[#This Row],[CUIT]],Lista_CUIT[#All],2,0)),"CUIT NO CARGADO")</f>
        <v>ASIAL SRL</v>
      </c>
      <c r="H33" s="480">
        <v>457034</v>
      </c>
      <c r="I33" s="481">
        <f>IF(compras_mes10[[#This Row],[NETO GRAVADO]]="","",compras_mes10[[#This Row],[NETO GRAVADO]]*0.21)</f>
        <v>95977.14</v>
      </c>
      <c r="J33" s="481"/>
      <c r="K33" s="481"/>
      <c r="L33" s="481"/>
      <c r="M33" s="481"/>
      <c r="N33" s="481"/>
      <c r="O33" s="481"/>
      <c r="P33" s="482">
        <f>SUM(compras_mes10[[#This Row],[NETO GRAVADO]:[Otros / No Grav.]])</f>
        <v>553011.14</v>
      </c>
      <c r="Q33" s="483" t="str">
        <f>IFERROR(IF(compras_mes10[[#This Row],[CUIT]]="","-",VLOOKUP(compras_mes10[[#This Row],[CUIT]],Lista_CUIT[#All],3,0)),"CUIT NO CARGADO")</f>
        <v>Productos Ortopedicos</v>
      </c>
      <c r="R33" s="483">
        <f>IFERROR(IF(compras_mes10[[#This Row],[CUIT]]="","-",VLOOKUP(compras_mes10[[#This Row],[CUIT]],Lista_CUIT[#All],4,0)),"CUIT NO CARGADO")</f>
        <v>0</v>
      </c>
    </row>
    <row r="34" spans="2:18" x14ac:dyDescent="0.25">
      <c r="B34" s="475">
        <v>45205</v>
      </c>
      <c r="C34" s="489">
        <v>1</v>
      </c>
      <c r="D34" s="476">
        <v>2</v>
      </c>
      <c r="E34" s="477">
        <v>128</v>
      </c>
      <c r="F34" s="478">
        <v>20272865869</v>
      </c>
      <c r="G34" s="479" t="str">
        <f>IFERROR(IF(compras_mes10[[#This Row],[CUIT]]="","-",VLOOKUP(compras_mes10[[#This Row],[CUIT]],Lista_CUIT[#All],2,0)),"CUIT NO CARGADO")</f>
        <v>DI FEO MARTIN EZEQUIEL</v>
      </c>
      <c r="H34" s="480">
        <v>12000</v>
      </c>
      <c r="I34" s="481">
        <f>IF(compras_mes10[[#This Row],[NETO GRAVADO]]="","",compras_mes10[[#This Row],[NETO GRAVADO]]*0.21)</f>
        <v>2520</v>
      </c>
      <c r="J34" s="481"/>
      <c r="K34" s="481"/>
      <c r="L34" s="481"/>
      <c r="M34" s="481"/>
      <c r="N34" s="481"/>
      <c r="O34" s="481"/>
      <c r="P34" s="482">
        <f>SUM(compras_mes10[[#This Row],[NETO GRAVADO]:[Otros / No Grav.]])</f>
        <v>14520</v>
      </c>
      <c r="Q34" s="483" t="str">
        <f>IFERROR(IF(compras_mes10[[#This Row],[CUIT]]="","-",VLOOKUP(compras_mes10[[#This Row],[CUIT]],Lista_CUIT[#All],3,0)),"CUIT NO CARGADO")</f>
        <v>Productos Ortopedicos</v>
      </c>
      <c r="R34" s="483">
        <f>IFERROR(IF(compras_mes10[[#This Row],[CUIT]]="","-",VLOOKUP(compras_mes10[[#This Row],[CUIT]],Lista_CUIT[#All],4,0)),"CUIT NO CARGADO")</f>
        <v>0</v>
      </c>
    </row>
    <row r="35" spans="2:18" x14ac:dyDescent="0.25">
      <c r="B35" s="475">
        <v>45205</v>
      </c>
      <c r="C35" s="489">
        <v>1</v>
      </c>
      <c r="D35" s="476">
        <v>7</v>
      </c>
      <c r="E35" s="477">
        <v>16711</v>
      </c>
      <c r="F35" s="478">
        <v>30709214078</v>
      </c>
      <c r="G35" s="479" t="str">
        <f>IFERROR(IF(compras_mes10[[#This Row],[CUIT]]="","-",VLOOKUP(compras_mes10[[#This Row],[CUIT]],Lista_CUIT[#All],2,0)),"CUIT NO CARGADO")</f>
        <v>REHAVITA S.A</v>
      </c>
      <c r="H35" s="480">
        <v>68632</v>
      </c>
      <c r="I35" s="481">
        <f>IF(compras_mes10[[#This Row],[NETO GRAVADO]]="","",compras_mes10[[#This Row],[NETO GRAVADO]]*0.21)</f>
        <v>14412.72</v>
      </c>
      <c r="J35" s="481"/>
      <c r="K35" s="481"/>
      <c r="L35" s="481"/>
      <c r="M35" s="481"/>
      <c r="N35" s="481"/>
      <c r="O35" s="481"/>
      <c r="P35" s="482">
        <f>SUM(compras_mes10[[#This Row],[NETO GRAVADO]:[Otros / No Grav.]])</f>
        <v>83044.72</v>
      </c>
      <c r="Q35" s="483" t="str">
        <f>IFERROR(IF(compras_mes10[[#This Row],[CUIT]]="","-",VLOOKUP(compras_mes10[[#This Row],[CUIT]],Lista_CUIT[#All],3,0)),"CUIT NO CARGADO")</f>
        <v>Productos Ortopedicos</v>
      </c>
      <c r="R35" s="483">
        <f>IFERROR(IF(compras_mes10[[#This Row],[CUIT]]="","-",VLOOKUP(compras_mes10[[#This Row],[CUIT]],Lista_CUIT[#All],4,0)),"CUIT NO CARGADO")</f>
        <v>0</v>
      </c>
    </row>
    <row r="36" spans="2:18" x14ac:dyDescent="0.25">
      <c r="B36" s="219">
        <v>45207</v>
      </c>
      <c r="C36" s="209">
        <v>1</v>
      </c>
      <c r="D36" s="491">
        <v>11</v>
      </c>
      <c r="E36" s="492">
        <v>1597630</v>
      </c>
      <c r="F36" s="493">
        <v>30709776564</v>
      </c>
      <c r="G36" s="494" t="str">
        <f>IFERROR(IF(compras_mes10[[#This Row],[CUIT]]="","-",VLOOKUP(compras_mes10[[#This Row],[CUIT]],Lista_CUIT[#All],2,0)),"CUIT NO CARGADO")</f>
        <v>PROSEGUR ACTIVA ARG SA</v>
      </c>
      <c r="H36" s="495">
        <v>30284.52</v>
      </c>
      <c r="I36" s="496">
        <f>IF(compras_mes10[[#This Row],[NETO GRAVADO]]="","",compras_mes10[[#This Row],[NETO GRAVADO]]*0.21)</f>
        <v>6359.7492000000002</v>
      </c>
      <c r="J36" s="496"/>
      <c r="K36" s="496"/>
      <c r="L36" s="496"/>
      <c r="M36" s="496"/>
      <c r="N36" s="496">
        <v>1211.3800000000001</v>
      </c>
      <c r="O36" s="496"/>
      <c r="P36" s="490">
        <f>SUM(compras_mes10[[#This Row],[NETO GRAVADO]:[Otros / No Grav.]])</f>
        <v>37855.6492</v>
      </c>
      <c r="Q36" s="497" t="str">
        <f>IFERROR(IF(compras_mes10[[#This Row],[CUIT]]="","-",VLOOKUP(compras_mes10[[#This Row],[CUIT]],Lista_CUIT[#All],3,0)),"CUIT NO CARGADO")</f>
        <v>SEGURIDAD</v>
      </c>
      <c r="R36" s="483">
        <f>IFERROR(IF(compras_mes10[[#This Row],[CUIT]]="","-",VLOOKUP(compras_mes10[[#This Row],[CUIT]],Lista_CUIT[#All],4,0)),"CUIT NO CARGADO")</f>
        <v>0</v>
      </c>
    </row>
    <row r="37" spans="2:18" x14ac:dyDescent="0.25">
      <c r="B37" s="475">
        <v>45208</v>
      </c>
      <c r="C37" s="489">
        <v>1</v>
      </c>
      <c r="D37" s="476">
        <v>4</v>
      </c>
      <c r="E37" s="477">
        <v>75</v>
      </c>
      <c r="F37" s="478">
        <v>20317488476</v>
      </c>
      <c r="G37" s="479" t="str">
        <f>IFERROR(IF(compras_mes10[[#This Row],[CUIT]]="","-",VLOOKUP(compras_mes10[[#This Row],[CUIT]],Lista_CUIT[#All],2,0)),"CUIT NO CARGADO")</f>
        <v>MIGUEL ANGEL VILLALBA</v>
      </c>
      <c r="H37" s="480">
        <v>125000</v>
      </c>
      <c r="I37" s="481">
        <f>IF(compras_mes10[[#This Row],[NETO GRAVADO]]="","",compras_mes10[[#This Row],[NETO GRAVADO]]*0.21)</f>
        <v>26250</v>
      </c>
      <c r="J37" s="481"/>
      <c r="K37" s="481"/>
      <c r="L37" s="481"/>
      <c r="M37" s="481"/>
      <c r="N37" s="481"/>
      <c r="O37" s="481"/>
      <c r="P37" s="482">
        <f>SUM(compras_mes10[[#This Row],[NETO GRAVADO]:[Otros / No Grav.]])</f>
        <v>151250</v>
      </c>
      <c r="Q37" s="483" t="str">
        <f>IFERROR(IF(compras_mes10[[#This Row],[CUIT]]="","-",VLOOKUP(compras_mes10[[#This Row],[CUIT]],Lista_CUIT[#All],3,0)),"CUIT NO CARGADO")</f>
        <v>Recupero P. Ortopedicos</v>
      </c>
      <c r="R37" s="483">
        <f>IFERROR(IF(compras_mes10[[#This Row],[CUIT]]="","-",VLOOKUP(compras_mes10[[#This Row],[CUIT]],Lista_CUIT[#All],4,0)),"CUIT NO CARGADO")</f>
        <v>0</v>
      </c>
    </row>
    <row r="38" spans="2:18" x14ac:dyDescent="0.25">
      <c r="B38" s="475">
        <v>45208</v>
      </c>
      <c r="C38" s="489">
        <v>1</v>
      </c>
      <c r="D38" s="476">
        <v>3</v>
      </c>
      <c r="E38" s="477">
        <v>105</v>
      </c>
      <c r="F38" s="478">
        <v>20334976433</v>
      </c>
      <c r="G38" s="479" t="str">
        <f>IFERROR(IF(compras_mes10[[#This Row],[CUIT]]="","-",VLOOKUP(compras_mes10[[#This Row],[CUIT]],Lista_CUIT[#All],2,0)),"CUIT NO CARGADO")</f>
        <v>NARDOMARINO EZEQUIEL EDUARDO</v>
      </c>
      <c r="H38" s="480">
        <v>176002.48</v>
      </c>
      <c r="I38" s="481">
        <f>IF(compras_mes10[[#This Row],[NETO GRAVADO]]="","",compras_mes10[[#This Row],[NETO GRAVADO]]*0.21)</f>
        <v>36960.520799999998</v>
      </c>
      <c r="J38" s="481"/>
      <c r="K38" s="481"/>
      <c r="L38" s="481"/>
      <c r="M38" s="481"/>
      <c r="N38" s="481"/>
      <c r="O38" s="481"/>
      <c r="P38" s="482">
        <f>SUM(compras_mes10[[#This Row],[NETO GRAVADO]:[Otros / No Grav.]])</f>
        <v>212963.00080000001</v>
      </c>
      <c r="Q38" s="483" t="str">
        <f>IFERROR(IF(compras_mes10[[#This Row],[CUIT]]="","-",VLOOKUP(compras_mes10[[#This Row],[CUIT]],Lista_CUIT[#All],3,0)),"CUIT NO CARGADO")</f>
        <v>FLETE</v>
      </c>
      <c r="R38" s="483">
        <f>IFERROR(IF(compras_mes10[[#This Row],[CUIT]]="","-",VLOOKUP(compras_mes10[[#This Row],[CUIT]],Lista_CUIT[#All],4,0)),"CUIT NO CARGADO")</f>
        <v>0</v>
      </c>
    </row>
    <row r="39" spans="2:18" x14ac:dyDescent="0.25">
      <c r="B39" s="475">
        <v>45208</v>
      </c>
      <c r="C39" s="489">
        <v>1</v>
      </c>
      <c r="D39" s="476">
        <v>2</v>
      </c>
      <c r="E39" s="477">
        <v>132</v>
      </c>
      <c r="F39" s="478">
        <v>20272865869</v>
      </c>
      <c r="G39" s="479" t="str">
        <f>IFERROR(IF(compras_mes10[[#This Row],[CUIT]]="","-",VLOOKUP(compras_mes10[[#This Row],[CUIT]],Lista_CUIT[#All],2,0)),"CUIT NO CARGADO")</f>
        <v>DI FEO MARTIN EZEQUIEL</v>
      </c>
      <c r="H39" s="480">
        <v>72010</v>
      </c>
      <c r="I39" s="481">
        <f>IF(compras_mes10[[#This Row],[NETO GRAVADO]]="","",compras_mes10[[#This Row],[NETO GRAVADO]]*0.21)</f>
        <v>15122.099999999999</v>
      </c>
      <c r="J39" s="481"/>
      <c r="K39" s="481"/>
      <c r="L39" s="481"/>
      <c r="M39" s="481"/>
      <c r="N39" s="481"/>
      <c r="O39" s="481"/>
      <c r="P39" s="482">
        <f>SUM(compras_mes10[[#This Row],[NETO GRAVADO]:[Otros / No Grav.]])</f>
        <v>87132.1</v>
      </c>
      <c r="Q39" s="483" t="str">
        <f>IFERROR(IF(compras_mes10[[#This Row],[CUIT]]="","-",VLOOKUP(compras_mes10[[#This Row],[CUIT]],Lista_CUIT[#All],3,0)),"CUIT NO CARGADO")</f>
        <v>Productos Ortopedicos</v>
      </c>
      <c r="R39" s="483">
        <f>IFERROR(IF(compras_mes10[[#This Row],[CUIT]]="","-",VLOOKUP(compras_mes10[[#This Row],[CUIT]],Lista_CUIT[#All],4,0)),"CUIT NO CARGADO")</f>
        <v>0</v>
      </c>
    </row>
    <row r="40" spans="2:18" x14ac:dyDescent="0.25">
      <c r="B40" s="475">
        <v>45208</v>
      </c>
      <c r="C40" s="489">
        <v>1</v>
      </c>
      <c r="D40" s="476">
        <v>12</v>
      </c>
      <c r="E40" s="477">
        <v>720</v>
      </c>
      <c r="F40" s="478">
        <v>30710374801</v>
      </c>
      <c r="G40" s="479" t="str">
        <f>IFERROR(IF(compras_mes10[[#This Row],[CUIT]]="","-",VLOOKUP(compras_mes10[[#This Row],[CUIT]],Lista_CUIT[#All],2,0)),"CUIT NO CARGADO")</f>
        <v>DISTRIBUIDORA LARREA SA</v>
      </c>
      <c r="H40" s="480">
        <v>2457.85</v>
      </c>
      <c r="I40" s="481">
        <f>IF(compras_mes10[[#This Row],[NETO GRAVADO]]="","",compras_mes10[[#This Row],[NETO GRAVADO]]*0.21)</f>
        <v>516.14850000000001</v>
      </c>
      <c r="J40" s="481"/>
      <c r="K40" s="481"/>
      <c r="L40" s="481"/>
      <c r="M40" s="481"/>
      <c r="N40" s="481"/>
      <c r="O40" s="481"/>
      <c r="P40" s="482">
        <f>SUM(compras_mes10[[#This Row],[NETO GRAVADO]:[Otros / No Grav.]])</f>
        <v>2973.9984999999997</v>
      </c>
      <c r="Q40" s="483" t="str">
        <f>IFERROR(IF(compras_mes10[[#This Row],[CUIT]]="","-",VLOOKUP(compras_mes10[[#This Row],[CUIT]],Lista_CUIT[#All],3,0)),"CUIT NO CARGADO")</f>
        <v>gastos varios</v>
      </c>
      <c r="R40" s="483">
        <f>IFERROR(IF(compras_mes10[[#This Row],[CUIT]]="","-",VLOOKUP(compras_mes10[[#This Row],[CUIT]],Lista_CUIT[#All],4,0)),"CUIT NO CARGADO")</f>
        <v>0</v>
      </c>
    </row>
    <row r="41" spans="2:18" x14ac:dyDescent="0.25">
      <c r="B41" s="475">
        <v>45208</v>
      </c>
      <c r="C41" s="489">
        <v>1</v>
      </c>
      <c r="D41" s="476">
        <v>5</v>
      </c>
      <c r="E41" s="477">
        <v>1408</v>
      </c>
      <c r="F41" s="478">
        <v>30712187316</v>
      </c>
      <c r="G41" s="479" t="str">
        <f>IFERROR(IF(compras_mes10[[#This Row],[CUIT]]="","-",VLOOKUP(compras_mes10[[#This Row],[CUIT]],Lista_CUIT[#All],2,0)),"CUIT NO CARGADO")</f>
        <v>ITALOMED PRODUCTOS SRL</v>
      </c>
      <c r="H41" s="480">
        <v>176547.5</v>
      </c>
      <c r="I41" s="481">
        <f>IF(compras_mes10[[#This Row],[NETO GRAVADO]]="","",compras_mes10[[#This Row],[NETO GRAVADO]]*0.21)</f>
        <v>37074.974999999999</v>
      </c>
      <c r="J41" s="481"/>
      <c r="K41" s="481"/>
      <c r="L41" s="481"/>
      <c r="M41" s="481"/>
      <c r="N41" s="481"/>
      <c r="O41" s="481"/>
      <c r="P41" s="482">
        <f>SUM(compras_mes10[[#This Row],[NETO GRAVADO]:[Otros / No Grav.]])</f>
        <v>213622.47500000001</v>
      </c>
      <c r="Q41" s="483" t="str">
        <f>IFERROR(IF(compras_mes10[[#This Row],[CUIT]]="","-",VLOOKUP(compras_mes10[[#This Row],[CUIT]],Lista_CUIT[#All],3,0)),"CUIT NO CARGADO")</f>
        <v>Productos Ortopedicos</v>
      </c>
      <c r="R41" s="483">
        <f>IFERROR(IF(compras_mes10[[#This Row],[CUIT]]="","-",VLOOKUP(compras_mes10[[#This Row],[CUIT]],Lista_CUIT[#All],4,0)),"CUIT NO CARGADO")</f>
        <v>0</v>
      </c>
    </row>
    <row r="42" spans="2:18" x14ac:dyDescent="0.25">
      <c r="B42" s="219">
        <v>45208</v>
      </c>
      <c r="C42" s="209">
        <v>1</v>
      </c>
      <c r="D42" s="491">
        <v>7</v>
      </c>
      <c r="E42" s="492">
        <v>5396</v>
      </c>
      <c r="F42" s="493">
        <v>30715004492</v>
      </c>
      <c r="G42" s="494" t="str">
        <f>IFERROR(IF(compras_mes10[[#This Row],[CUIT]]="","-",VLOOKUP(compras_mes10[[#This Row],[CUIT]],Lista_CUIT[#All],2,0)),"CUIT NO CARGADO")</f>
        <v>TEAM MALDONADO HNOS S.A.</v>
      </c>
      <c r="H42" s="495">
        <v>6735.74</v>
      </c>
      <c r="I42" s="496">
        <f>IF(compras_mes10[[#This Row],[NETO GRAVADO]]="","",compras_mes10[[#This Row],[NETO GRAVADO]]*0.21)</f>
        <v>1414.5054</v>
      </c>
      <c r="J42" s="496"/>
      <c r="K42" s="496"/>
      <c r="L42" s="496"/>
      <c r="M42" s="496"/>
      <c r="N42" s="496"/>
      <c r="O42" s="496"/>
      <c r="P42" s="490">
        <f>SUM(compras_mes10[[#This Row],[NETO GRAVADO]:[Otros / No Grav.]])</f>
        <v>8150.2453999999998</v>
      </c>
      <c r="Q42" s="497" t="str">
        <f>IFERROR(IF(compras_mes10[[#This Row],[CUIT]]="","-",VLOOKUP(compras_mes10[[#This Row],[CUIT]],Lista_CUIT[#All],3,0)),"CUIT NO CARGADO")</f>
        <v>INSUMOS</v>
      </c>
      <c r="R42" s="483">
        <f>IFERROR(IF(compras_mes10[[#This Row],[CUIT]]="","-",VLOOKUP(compras_mes10[[#This Row],[CUIT]],Lista_CUIT[#All],4,0)),"CUIT NO CARGADO")</f>
        <v>0</v>
      </c>
    </row>
    <row r="43" spans="2:18" x14ac:dyDescent="0.25">
      <c r="B43" s="219">
        <v>45208</v>
      </c>
      <c r="C43" s="209">
        <v>1</v>
      </c>
      <c r="D43" s="491">
        <v>9040</v>
      </c>
      <c r="E43" s="492">
        <v>17698</v>
      </c>
      <c r="F43" s="493">
        <v>30678774495</v>
      </c>
      <c r="G43" s="494" t="str">
        <f>IFERROR(IF(compras_mes10[[#This Row],[CUIT]]="","-",VLOOKUP(compras_mes10[[#This Row],[CUIT]],Lista_CUIT[#All],2,0)),"CUIT NO CARGADO")</f>
        <v>OPER. DE EST. DE SERV. SA</v>
      </c>
      <c r="H43" s="495">
        <v>14957.4</v>
      </c>
      <c r="I43" s="496">
        <f>IF(compras_mes10[[#This Row],[NETO GRAVADO]]="","",compras_mes10[[#This Row],[NETO GRAVADO]]*0.21)</f>
        <v>3141.0539999999996</v>
      </c>
      <c r="J43" s="496"/>
      <c r="K43" s="496"/>
      <c r="L43" s="496"/>
      <c r="M43" s="496"/>
      <c r="N43" s="496"/>
      <c r="O43" s="496">
        <v>844.85</v>
      </c>
      <c r="P43" s="490">
        <f>SUM(compras_mes10[[#This Row],[NETO GRAVADO]:[Otros / No Grav.]])</f>
        <v>18943.303999999996</v>
      </c>
      <c r="Q43" s="497" t="str">
        <f>IFERROR(IF(compras_mes10[[#This Row],[CUIT]]="","-",VLOOKUP(compras_mes10[[#This Row],[CUIT]],Lista_CUIT[#All],3,0)),"CUIT NO CARGADO")</f>
        <v>COMBUSTIBLE</v>
      </c>
      <c r="R43" s="483">
        <f>IFERROR(IF(compras_mes10[[#This Row],[CUIT]]="","-",VLOOKUP(compras_mes10[[#This Row],[CUIT]],Lista_CUIT[#All],4,0)),"CUIT NO CARGADO")</f>
        <v>0</v>
      </c>
    </row>
    <row r="44" spans="2:18" x14ac:dyDescent="0.25">
      <c r="B44" s="475">
        <v>45208</v>
      </c>
      <c r="C44" s="489">
        <v>1</v>
      </c>
      <c r="D44" s="476">
        <v>7</v>
      </c>
      <c r="E44" s="477">
        <v>82327</v>
      </c>
      <c r="F44" s="478">
        <v>20181426846</v>
      </c>
      <c r="G44" s="479" t="str">
        <f>IFERROR(IF(compras_mes10[[#This Row],[CUIT]]="","-",VLOOKUP(compras_mes10[[#This Row],[CUIT]],Lista_CUIT[#All],2,0)),"CUIT NO CARGADO")</f>
        <v>GRIDEL WALTER DIEGO</v>
      </c>
      <c r="H44" s="480">
        <v>15694.21</v>
      </c>
      <c r="I44" s="481">
        <f>IF(compras_mes10[[#This Row],[NETO GRAVADO]]="","",compras_mes10[[#This Row],[NETO GRAVADO]]*0.21)</f>
        <v>3295.7840999999999</v>
      </c>
      <c r="J44" s="481"/>
      <c r="K44" s="481"/>
      <c r="L44" s="481"/>
      <c r="M44" s="481"/>
      <c r="N44" s="481"/>
      <c r="O44" s="481"/>
      <c r="P44" s="482">
        <f>SUM(compras_mes10[[#This Row],[NETO GRAVADO]:[Otros / No Grav.]])</f>
        <v>18989.9941</v>
      </c>
      <c r="Q44" s="483" t="str">
        <f>IFERROR(IF(compras_mes10[[#This Row],[CUIT]]="","-",VLOOKUP(compras_mes10[[#This Row],[CUIT]],Lista_CUIT[#All],3,0)),"CUIT NO CARGADO")</f>
        <v>GASTOS ADMINISTRATIVOS</v>
      </c>
      <c r="R44" s="483">
        <f>IFERROR(IF(compras_mes10[[#This Row],[CUIT]]="","-",VLOOKUP(compras_mes10[[#This Row],[CUIT]],Lista_CUIT[#All],4,0)),"CUIT NO CARGADO")</f>
        <v>0</v>
      </c>
    </row>
    <row r="45" spans="2:18" x14ac:dyDescent="0.25">
      <c r="B45" s="475">
        <v>45208</v>
      </c>
      <c r="C45" s="489">
        <v>1</v>
      </c>
      <c r="D45" s="476">
        <v>948</v>
      </c>
      <c r="E45" s="477">
        <v>1076945</v>
      </c>
      <c r="F45" s="478">
        <v>30639453975</v>
      </c>
      <c r="G45" s="479" t="str">
        <f>IFERROR(IF(compras_mes10[[#This Row],[CUIT]]="","-",VLOOKUP(compras_mes10[[#This Row],[CUIT]],Lista_CUIT[#All],2,0)),"CUIT NO CARGADO")</f>
        <v>TELEFONICA ARG SA</v>
      </c>
      <c r="H45" s="480">
        <v>18457.439999999999</v>
      </c>
      <c r="I45" s="481"/>
      <c r="J45" s="481">
        <v>4983.51</v>
      </c>
      <c r="K45" s="481"/>
      <c r="L45" s="481">
        <v>553.72</v>
      </c>
      <c r="M45" s="481"/>
      <c r="N45" s="481">
        <v>738.3</v>
      </c>
      <c r="O45" s="481"/>
      <c r="P45" s="482">
        <f>SUM(compras_mes10[[#This Row],[NETO GRAVADO]:[Otros / No Grav.]])</f>
        <v>24732.969999999998</v>
      </c>
      <c r="Q45" s="483" t="str">
        <f>IFERROR(IF(compras_mes10[[#This Row],[CUIT]]="","-",VLOOKUP(compras_mes10[[#This Row],[CUIT]],Lista_CUIT[#All],3,0)),"CUIT NO CARGADO")</f>
        <v>TELEFONIA</v>
      </c>
      <c r="R45" s="483">
        <f>IFERROR(IF(compras_mes10[[#This Row],[CUIT]]="","-",VLOOKUP(compras_mes10[[#This Row],[CUIT]],Lista_CUIT[#All],4,0)),"CUIT NO CARGADO")</f>
        <v>0</v>
      </c>
    </row>
    <row r="46" spans="2:18" x14ac:dyDescent="0.25">
      <c r="B46" s="219">
        <v>45208</v>
      </c>
      <c r="C46" s="209">
        <v>1</v>
      </c>
      <c r="D46" s="491">
        <v>700</v>
      </c>
      <c r="E46" s="492">
        <v>1189948</v>
      </c>
      <c r="F46" s="493">
        <v>30715804812</v>
      </c>
      <c r="G46" s="494" t="str">
        <f>IFERROR(IF(compras_mes10[[#This Row],[CUIT]]="","-",VLOOKUP(compras_mes10[[#This Row],[CUIT]],Lista_CUIT[#All],2,0)),"CUIT NO CARGADO")</f>
        <v>CORREDORES VIALES SOCIEDAD ANONIMA</v>
      </c>
      <c r="H46" s="495">
        <v>991.73</v>
      </c>
      <c r="I46" s="496">
        <f>IF(compras_mes10[[#This Row],[NETO GRAVADO]]="","",compras_mes10[[#This Row],[NETO GRAVADO]]*0.21)</f>
        <v>208.26329999999999</v>
      </c>
      <c r="J46" s="496"/>
      <c r="K46" s="496"/>
      <c r="L46" s="496"/>
      <c r="M46" s="496"/>
      <c r="N46" s="496"/>
      <c r="O46" s="496"/>
      <c r="P46" s="490">
        <f>SUM(compras_mes10[[#This Row],[NETO GRAVADO]:[Otros / No Grav.]])</f>
        <v>1199.9933000000001</v>
      </c>
      <c r="Q46" s="497" t="str">
        <f>IFERROR(IF(compras_mes10[[#This Row],[CUIT]]="","-",VLOOKUP(compras_mes10[[#This Row],[CUIT]],Lista_CUIT[#All],3,0)),"CUIT NO CARGADO")</f>
        <v>Autopista</v>
      </c>
      <c r="R46" s="483">
        <f>IFERROR(IF(compras_mes10[[#This Row],[CUIT]]="","-",VLOOKUP(compras_mes10[[#This Row],[CUIT]],Lista_CUIT[#All],4,0)),"CUIT NO CARGADO")</f>
        <v>0</v>
      </c>
    </row>
    <row r="47" spans="2:18" x14ac:dyDescent="0.25">
      <c r="B47" s="219">
        <v>45208</v>
      </c>
      <c r="C47" s="209">
        <v>1</v>
      </c>
      <c r="D47" s="491">
        <v>700</v>
      </c>
      <c r="E47" s="492">
        <v>1189949</v>
      </c>
      <c r="F47" s="493">
        <v>30715804812</v>
      </c>
      <c r="G47" s="494" t="str">
        <f>IFERROR(IF(compras_mes10[[#This Row],[CUIT]]="","-",VLOOKUP(compras_mes10[[#This Row],[CUIT]],Lista_CUIT[#All],2,0)),"CUIT NO CARGADO")</f>
        <v>CORREDORES VIALES SOCIEDAD ANONIMA</v>
      </c>
      <c r="H47" s="495">
        <v>454.54</v>
      </c>
      <c r="I47" s="496">
        <f>IF(compras_mes10[[#This Row],[NETO GRAVADO]]="","",compras_mes10[[#This Row],[NETO GRAVADO]]*0.21)</f>
        <v>95.453400000000002</v>
      </c>
      <c r="J47" s="496"/>
      <c r="K47" s="496"/>
      <c r="L47" s="496"/>
      <c r="M47" s="496"/>
      <c r="N47" s="496"/>
      <c r="O47" s="496"/>
      <c r="P47" s="490">
        <f>SUM(compras_mes10[[#This Row],[NETO GRAVADO]:[Otros / No Grav.]])</f>
        <v>549.99340000000007</v>
      </c>
      <c r="Q47" s="497" t="str">
        <f>IFERROR(IF(compras_mes10[[#This Row],[CUIT]]="","-",VLOOKUP(compras_mes10[[#This Row],[CUIT]],Lista_CUIT[#All],3,0)),"CUIT NO CARGADO")</f>
        <v>Autopista</v>
      </c>
      <c r="R47" s="483">
        <f>IFERROR(IF(compras_mes10[[#This Row],[CUIT]]="","-",VLOOKUP(compras_mes10[[#This Row],[CUIT]],Lista_CUIT[#All],4,0)),"CUIT NO CARGADO")</f>
        <v>0</v>
      </c>
    </row>
    <row r="48" spans="2:18" x14ac:dyDescent="0.25">
      <c r="B48" s="475">
        <v>45209</v>
      </c>
      <c r="C48" s="489">
        <v>1</v>
      </c>
      <c r="D48" s="476">
        <v>4</v>
      </c>
      <c r="E48" s="477">
        <v>76</v>
      </c>
      <c r="F48" s="478">
        <v>20317488476</v>
      </c>
      <c r="G48" s="479" t="str">
        <f>IFERROR(IF(compras_mes10[[#This Row],[CUIT]]="","-",VLOOKUP(compras_mes10[[#This Row],[CUIT]],Lista_CUIT[#All],2,0)),"CUIT NO CARGADO")</f>
        <v>MIGUEL ANGEL VILLALBA</v>
      </c>
      <c r="H48" s="480">
        <v>65000</v>
      </c>
      <c r="I48" s="481">
        <f>IF(compras_mes10[[#This Row],[NETO GRAVADO]]="","",compras_mes10[[#This Row],[NETO GRAVADO]]*0.21)</f>
        <v>13650</v>
      </c>
      <c r="J48" s="481"/>
      <c r="K48" s="481"/>
      <c r="L48" s="481"/>
      <c r="M48" s="481"/>
      <c r="N48" s="481"/>
      <c r="O48" s="481"/>
      <c r="P48" s="482">
        <f>SUM(compras_mes10[[#This Row],[NETO GRAVADO]:[Otros / No Grav.]])</f>
        <v>78650</v>
      </c>
      <c r="Q48" s="483" t="str">
        <f>IFERROR(IF(compras_mes10[[#This Row],[CUIT]]="","-",VLOOKUP(compras_mes10[[#This Row],[CUIT]],Lista_CUIT[#All],3,0)),"CUIT NO CARGADO")</f>
        <v>Recupero P. Ortopedicos</v>
      </c>
      <c r="R48" s="483">
        <f>IFERROR(IF(compras_mes10[[#This Row],[CUIT]]="","-",VLOOKUP(compras_mes10[[#This Row],[CUIT]],Lista_CUIT[#All],4,0)),"CUIT NO CARGADO")</f>
        <v>0</v>
      </c>
    </row>
    <row r="49" spans="2:18" x14ac:dyDescent="0.25">
      <c r="B49" s="475">
        <v>45209</v>
      </c>
      <c r="C49" s="489">
        <v>1</v>
      </c>
      <c r="D49" s="476">
        <v>4</v>
      </c>
      <c r="E49" s="477">
        <v>1106</v>
      </c>
      <c r="F49" s="478">
        <v>30711645884</v>
      </c>
      <c r="G49" s="479" t="str">
        <f>IFERROR(IF(compras_mes10[[#This Row],[CUIT]]="","-",VLOOKUP(compras_mes10[[#This Row],[CUIT]],Lista_CUIT[#All],2,0)),"CUIT NO CARGADO")</f>
        <v>LABORATORIOS SLR</v>
      </c>
      <c r="H49" s="480">
        <v>10909.09</v>
      </c>
      <c r="I49" s="481">
        <f>IF(compras_mes10[[#This Row],[NETO GRAVADO]]="","",compras_mes10[[#This Row],[NETO GRAVADO]]*0.21)</f>
        <v>2290.9088999999999</v>
      </c>
      <c r="J49" s="481"/>
      <c r="K49" s="481"/>
      <c r="L49" s="481"/>
      <c r="M49" s="481"/>
      <c r="N49" s="481"/>
      <c r="O49" s="481"/>
      <c r="P49" s="482">
        <f>SUM(compras_mes10[[#This Row],[NETO GRAVADO]:[Otros / No Grav.]])</f>
        <v>13199.998900000001</v>
      </c>
      <c r="Q49" s="483" t="str">
        <f>IFERROR(IF(compras_mes10[[#This Row],[CUIT]]="","-",VLOOKUP(compras_mes10[[#This Row],[CUIT]],Lista_CUIT[#All],3,0)),"CUIT NO CARGADO")</f>
        <v>Productos Ortopedicos</v>
      </c>
      <c r="R49" s="483">
        <f>IFERROR(IF(compras_mes10[[#This Row],[CUIT]]="","-",VLOOKUP(compras_mes10[[#This Row],[CUIT]],Lista_CUIT[#All],4,0)),"CUIT NO CARGADO")</f>
        <v>0</v>
      </c>
    </row>
    <row r="50" spans="2:18" x14ac:dyDescent="0.25">
      <c r="B50" s="475">
        <v>45210</v>
      </c>
      <c r="C50" s="489">
        <v>1</v>
      </c>
      <c r="D50" s="476">
        <v>2</v>
      </c>
      <c r="E50" s="477">
        <v>143</v>
      </c>
      <c r="F50" s="478">
        <v>20272865869</v>
      </c>
      <c r="G50" s="479" t="str">
        <f>IFERROR(IF(compras_mes10[[#This Row],[CUIT]]="","-",VLOOKUP(compras_mes10[[#This Row],[CUIT]],Lista_CUIT[#All],2,0)),"CUIT NO CARGADO")</f>
        <v>DI FEO MARTIN EZEQUIEL</v>
      </c>
      <c r="H50" s="480">
        <v>58102</v>
      </c>
      <c r="I50" s="481">
        <f>IF(compras_mes10[[#This Row],[NETO GRAVADO]]="","",compras_mes10[[#This Row],[NETO GRAVADO]]*0.21)</f>
        <v>12201.42</v>
      </c>
      <c r="J50" s="481"/>
      <c r="K50" s="481"/>
      <c r="L50" s="481"/>
      <c r="M50" s="481"/>
      <c r="N50" s="481"/>
      <c r="O50" s="481"/>
      <c r="P50" s="482">
        <f>SUM(compras_mes10[[#This Row],[NETO GRAVADO]:[Otros / No Grav.]])</f>
        <v>70303.42</v>
      </c>
      <c r="Q50" s="483" t="str">
        <f>IFERROR(IF(compras_mes10[[#This Row],[CUIT]]="","-",VLOOKUP(compras_mes10[[#This Row],[CUIT]],Lista_CUIT[#All],3,0)),"CUIT NO CARGADO")</f>
        <v>Productos Ortopedicos</v>
      </c>
      <c r="R50" s="483">
        <f>IFERROR(IF(compras_mes10[[#This Row],[CUIT]]="","-",VLOOKUP(compras_mes10[[#This Row],[CUIT]],Lista_CUIT[#All],4,0)),"CUIT NO CARGADO")</f>
        <v>0</v>
      </c>
    </row>
    <row r="51" spans="2:18" x14ac:dyDescent="0.25">
      <c r="B51" s="219">
        <v>45210</v>
      </c>
      <c r="C51" s="209">
        <v>3</v>
      </c>
      <c r="D51" s="491">
        <v>7</v>
      </c>
      <c r="E51" s="492">
        <v>263</v>
      </c>
      <c r="F51" s="493">
        <v>30711129010</v>
      </c>
      <c r="G51" s="494" t="str">
        <f>IFERROR(IF(compras_mes10[[#This Row],[CUIT]]="","-",VLOOKUP(compras_mes10[[#This Row],[CUIT]],Lista_CUIT[#All],2,0)),"CUIT NO CARGADO")</f>
        <v>WARNES  TELAS  SA</v>
      </c>
      <c r="H51" s="495">
        <v>-4621.4799999999996</v>
      </c>
      <c r="I51" s="496">
        <f>IF(compras_mes10[[#This Row],[NETO GRAVADO]]="","",compras_mes10[[#This Row],[NETO GRAVADO]]*0.21)</f>
        <v>-970.5107999999999</v>
      </c>
      <c r="J51" s="496"/>
      <c r="K51" s="496"/>
      <c r="L51" s="496"/>
      <c r="M51" s="496"/>
      <c r="N51" s="496"/>
      <c r="O51" s="496"/>
      <c r="P51" s="490">
        <f>SUM(compras_mes10[[#This Row],[NETO GRAVADO]:[Otros / No Grav.]])</f>
        <v>-5591.9907999999996</v>
      </c>
      <c r="Q51" s="497" t="str">
        <f>IFERROR(IF(compras_mes10[[#This Row],[CUIT]]="","-",VLOOKUP(compras_mes10[[#This Row],[CUIT]],Lista_CUIT[#All],3,0)),"CUIT NO CARGADO")</f>
        <v>INSUMOS</v>
      </c>
      <c r="R51" s="483">
        <f>IFERROR(IF(compras_mes10[[#This Row],[CUIT]]="","-",VLOOKUP(compras_mes10[[#This Row],[CUIT]],Lista_CUIT[#All],4,0)),"CUIT NO CARGADO")</f>
        <v>0</v>
      </c>
    </row>
    <row r="52" spans="2:18" x14ac:dyDescent="0.25">
      <c r="B52" s="219">
        <v>45210</v>
      </c>
      <c r="C52" s="209">
        <v>1</v>
      </c>
      <c r="D52" s="491">
        <v>7</v>
      </c>
      <c r="E52" s="492">
        <v>28017</v>
      </c>
      <c r="F52" s="493">
        <v>20271532483</v>
      </c>
      <c r="G52" s="494" t="str">
        <f>IFERROR(IF(compras_mes10[[#This Row],[CUIT]]="","-",VLOOKUP(compras_mes10[[#This Row],[CUIT]],Lista_CUIT[#All],2,0)),"CUIT NO CARGADO")</f>
        <v>DIEGO MARTIN RIOS</v>
      </c>
      <c r="H52" s="495">
        <v>1116574.1000000001</v>
      </c>
      <c r="I52" s="496">
        <f>IF(compras_mes10[[#This Row],[NETO GRAVADO]]="","",compras_mes10[[#This Row],[NETO GRAVADO]]*0.21)</f>
        <v>234480.56100000002</v>
      </c>
      <c r="J52" s="496"/>
      <c r="K52" s="496"/>
      <c r="L52" s="496"/>
      <c r="M52" s="496"/>
      <c r="N52" s="496">
        <v>44662.96</v>
      </c>
      <c r="O52" s="496"/>
      <c r="P52" s="490">
        <f>SUM(compras_mes10[[#This Row],[NETO GRAVADO]:[Otros / No Grav.]])</f>
        <v>1395717.621</v>
      </c>
      <c r="Q52" s="497" t="str">
        <f>IFERROR(IF(compras_mes10[[#This Row],[CUIT]]="","-",VLOOKUP(compras_mes10[[#This Row],[CUIT]],Lista_CUIT[#All],3,0)),"CUIT NO CARGADO")</f>
        <v>Productos Ortopedicos</v>
      </c>
      <c r="R52" s="483">
        <f>IFERROR(IF(compras_mes10[[#This Row],[CUIT]]="","-",VLOOKUP(compras_mes10[[#This Row],[CUIT]],Lista_CUIT[#All],4,0)),"CUIT NO CARGADO")</f>
        <v>0</v>
      </c>
    </row>
    <row r="53" spans="2:18" x14ac:dyDescent="0.25">
      <c r="B53" s="475">
        <v>45211</v>
      </c>
      <c r="C53" s="489">
        <v>1</v>
      </c>
      <c r="D53" s="476">
        <v>2635</v>
      </c>
      <c r="E53" s="477">
        <v>1148</v>
      </c>
      <c r="F53" s="478">
        <v>33699685459</v>
      </c>
      <c r="G53" s="479" t="str">
        <f>IFERROR(IF(compras_mes10[[#This Row],[CUIT]]="","-",VLOOKUP(compras_mes10[[#This Row],[CUIT]],Lista_CUIT[#All],2,0)),"CUIT NO CARGADO")</f>
        <v>CORREO ANDREANI SA</v>
      </c>
      <c r="H53" s="480">
        <v>4046.87</v>
      </c>
      <c r="I53" s="481">
        <f>IF(compras_mes10[[#This Row],[NETO GRAVADO]]="","",compras_mes10[[#This Row],[NETO GRAVADO]]*0.21)</f>
        <v>849.84269999999992</v>
      </c>
      <c r="J53" s="481"/>
      <c r="K53" s="481"/>
      <c r="L53" s="481"/>
      <c r="M53" s="481"/>
      <c r="N53" s="481"/>
      <c r="O53" s="481"/>
      <c r="P53" s="482">
        <f>SUM(compras_mes10[[#This Row],[NETO GRAVADO]:[Otros / No Grav.]])</f>
        <v>4896.7127</v>
      </c>
      <c r="Q53" s="483" t="str">
        <f>IFERROR(IF(compras_mes10[[#This Row],[CUIT]]="","-",VLOOKUP(compras_mes10[[#This Row],[CUIT]],Lista_CUIT[#All],3,0)),"CUIT NO CARGADO")</f>
        <v>FLETE</v>
      </c>
      <c r="R53" s="483">
        <f>IFERROR(IF(compras_mes10[[#This Row],[CUIT]]="","-",VLOOKUP(compras_mes10[[#This Row],[CUIT]],Lista_CUIT[#All],4,0)),"CUIT NO CARGADO")</f>
        <v>0</v>
      </c>
    </row>
    <row r="54" spans="2:18" x14ac:dyDescent="0.25">
      <c r="B54" s="475">
        <v>45211</v>
      </c>
      <c r="C54" s="489">
        <v>1</v>
      </c>
      <c r="D54" s="476">
        <v>2</v>
      </c>
      <c r="E54" s="477">
        <v>9185</v>
      </c>
      <c r="F54" s="478">
        <v>30714331082</v>
      </c>
      <c r="G54" s="479" t="str">
        <f>IFERROR(IF(compras_mes10[[#This Row],[CUIT]]="","-",VLOOKUP(compras_mes10[[#This Row],[CUIT]],Lista_CUIT[#All],2,0)),"CUIT NO CARGADO")</f>
        <v>ORTOPEDIA CASA ESCALADA SRL</v>
      </c>
      <c r="H54" s="480">
        <v>1938907.26</v>
      </c>
      <c r="I54" s="481">
        <f>IF(compras_mes10[[#This Row],[NETO GRAVADO]]="","",compras_mes10[[#This Row],[NETO GRAVADO]]*0.21)</f>
        <v>407170.5246</v>
      </c>
      <c r="J54" s="481"/>
      <c r="K54" s="481"/>
      <c r="L54" s="481"/>
      <c r="M54" s="481"/>
      <c r="N54" s="481"/>
      <c r="O54" s="481"/>
      <c r="P54" s="482">
        <f>SUM(compras_mes10[[#This Row],[NETO GRAVADO]:[Otros / No Grav.]])</f>
        <v>2346077.7845999999</v>
      </c>
      <c r="Q54" s="483" t="str">
        <f>IFERROR(IF(compras_mes10[[#This Row],[CUIT]]="","-",VLOOKUP(compras_mes10[[#This Row],[CUIT]],Lista_CUIT[#All],3,0)),"CUIT NO CARGADO")</f>
        <v>Productos Ortopedicos</v>
      </c>
      <c r="R54" s="483">
        <f>IFERROR(IF(compras_mes10[[#This Row],[CUIT]]="","-",VLOOKUP(compras_mes10[[#This Row],[CUIT]],Lista_CUIT[#All],4,0)),"CUIT NO CARGADO")</f>
        <v>0</v>
      </c>
    </row>
    <row r="55" spans="2:18" x14ac:dyDescent="0.25">
      <c r="B55" s="475">
        <v>45211</v>
      </c>
      <c r="C55" s="489">
        <v>1</v>
      </c>
      <c r="D55" s="476">
        <v>7</v>
      </c>
      <c r="E55" s="477">
        <v>28020</v>
      </c>
      <c r="F55" s="478">
        <v>20271532483</v>
      </c>
      <c r="G55" s="479" t="str">
        <f>IFERROR(IF(compras_mes10[[#This Row],[CUIT]]="","-",VLOOKUP(compras_mes10[[#This Row],[CUIT]],Lista_CUIT[#All],2,0)),"CUIT NO CARGADO")</f>
        <v>DIEGO MARTIN RIOS</v>
      </c>
      <c r="H55" s="480">
        <v>81874</v>
      </c>
      <c r="I55" s="481">
        <f>IF(compras_mes10[[#This Row],[NETO GRAVADO]]="","",compras_mes10[[#This Row],[NETO GRAVADO]]*0.21)</f>
        <v>17193.54</v>
      </c>
      <c r="J55" s="481"/>
      <c r="K55" s="481"/>
      <c r="L55" s="481"/>
      <c r="M55" s="481"/>
      <c r="N55" s="481">
        <v>3274.96</v>
      </c>
      <c r="O55" s="481"/>
      <c r="P55" s="482">
        <f>SUM(compras_mes10[[#This Row],[NETO GRAVADO]:[Otros / No Grav.]])</f>
        <v>102342.50000000001</v>
      </c>
      <c r="Q55" s="483" t="str">
        <f>IFERROR(IF(compras_mes10[[#This Row],[CUIT]]="","-",VLOOKUP(compras_mes10[[#This Row],[CUIT]],Lista_CUIT[#All],3,0)),"CUIT NO CARGADO")</f>
        <v>Productos Ortopedicos</v>
      </c>
      <c r="R55" s="483">
        <f>IFERROR(IF(compras_mes10[[#This Row],[CUIT]]="","-",VLOOKUP(compras_mes10[[#This Row],[CUIT]],Lista_CUIT[#All],4,0)),"CUIT NO CARGADO")</f>
        <v>0</v>
      </c>
    </row>
    <row r="56" spans="2:18" x14ac:dyDescent="0.25">
      <c r="B56" s="475">
        <v>45211</v>
      </c>
      <c r="C56" s="489">
        <v>1</v>
      </c>
      <c r="D56" s="476">
        <v>6</v>
      </c>
      <c r="E56" s="477">
        <v>50380</v>
      </c>
      <c r="F56" s="478">
        <v>30710177658</v>
      </c>
      <c r="G56" s="479" t="str">
        <f>IFERROR(IF(compras_mes10[[#This Row],[CUIT]]="","-",VLOOKUP(compras_mes10[[#This Row],[CUIT]],Lista_CUIT[#All],2,0)),"CUIT NO CARGADO")</f>
        <v>TARGET MEDICAL SA</v>
      </c>
      <c r="H56" s="480">
        <v>3360000</v>
      </c>
      <c r="I56" s="481">
        <f>IF(compras_mes10[[#This Row],[NETO GRAVADO]]="","",compras_mes10[[#This Row],[NETO GRAVADO]]*0.21)</f>
        <v>705600</v>
      </c>
      <c r="J56" s="481"/>
      <c r="K56" s="481"/>
      <c r="L56" s="481"/>
      <c r="M56" s="481"/>
      <c r="N56" s="481">
        <v>134400</v>
      </c>
      <c r="O56" s="481"/>
      <c r="P56" s="482">
        <f>SUM(compras_mes10[[#This Row],[NETO GRAVADO]:[Otros / No Grav.]])</f>
        <v>4200000</v>
      </c>
      <c r="Q56" s="483" t="str">
        <f>IFERROR(IF(compras_mes10[[#This Row],[CUIT]]="","-",VLOOKUP(compras_mes10[[#This Row],[CUIT]],Lista_CUIT[#All],3,0)),"CUIT NO CARGADO")</f>
        <v>Productos Ortopedicos</v>
      </c>
      <c r="R56" s="483">
        <f>IFERROR(IF(compras_mes10[[#This Row],[CUIT]]="","-",VLOOKUP(compras_mes10[[#This Row],[CUIT]],Lista_CUIT[#All],4,0)),"CUIT NO CARGADO")</f>
        <v>0</v>
      </c>
    </row>
    <row r="57" spans="2:18" x14ac:dyDescent="0.25">
      <c r="B57" s="498">
        <v>45211</v>
      </c>
      <c r="C57" s="499">
        <v>1</v>
      </c>
      <c r="D57" s="491">
        <v>6</v>
      </c>
      <c r="E57" s="492">
        <v>1147</v>
      </c>
      <c r="F57" s="493">
        <v>30716815710</v>
      </c>
      <c r="G57" s="494" t="str">
        <f>IFERROR(IF(compras_mes10[[#This Row],[CUIT]]="","-",VLOOKUP(compras_mes10[[#This Row],[CUIT]],Lista_CUIT[#All],2,0)),"CUIT NO CARGADO")</f>
        <v>PAPELERA GEOPEL SRL</v>
      </c>
      <c r="H57" s="495">
        <v>5100</v>
      </c>
      <c r="I57" s="496">
        <f>IF(compras_mes10[[#This Row],[NETO GRAVADO]]="","",compras_mes10[[#This Row],[NETO GRAVADO]]*0.21)</f>
        <v>1071</v>
      </c>
      <c r="J57" s="496"/>
      <c r="K57" s="496"/>
      <c r="L57" s="496"/>
      <c r="M57" s="496"/>
      <c r="N57" s="496"/>
      <c r="O57" s="496"/>
      <c r="P57" s="490">
        <f>SUM(compras_mes10[[#This Row],[NETO GRAVADO]:[Otros / No Grav.]])</f>
        <v>6171</v>
      </c>
      <c r="Q57" s="497" t="str">
        <f>IFERROR(IF(compras_mes10[[#This Row],[CUIT]]="","-",VLOOKUP(compras_mes10[[#This Row],[CUIT]],Lista_CUIT[#All],3,0)),"CUIT NO CARGADO")</f>
        <v>PAPELERIA</v>
      </c>
      <c r="R57" s="497">
        <f>IFERROR(IF(compras_mes10[[#This Row],[CUIT]]="","-",VLOOKUP(compras_mes10[[#This Row],[CUIT]],Lista_CUIT[#All],4,0)),"CUIT NO CARGADO")</f>
        <v>0</v>
      </c>
    </row>
    <row r="58" spans="2:18" x14ac:dyDescent="0.25">
      <c r="B58" s="498">
        <v>45211</v>
      </c>
      <c r="C58" s="499">
        <v>1</v>
      </c>
      <c r="D58" s="491">
        <v>6</v>
      </c>
      <c r="E58" s="492">
        <v>1148</v>
      </c>
      <c r="F58" s="493">
        <v>30716815710</v>
      </c>
      <c r="G58" s="494" t="str">
        <f>IFERROR(IF(compras_mes10[[#This Row],[CUIT]]="","-",VLOOKUP(compras_mes10[[#This Row],[CUIT]],Lista_CUIT[#All],2,0)),"CUIT NO CARGADO")</f>
        <v>PAPELERA GEOPEL SRL</v>
      </c>
      <c r="H58" s="495">
        <v>4900</v>
      </c>
      <c r="I58" s="496">
        <f>IF(compras_mes10[[#This Row],[NETO GRAVADO]]="","",compras_mes10[[#This Row],[NETO GRAVADO]]*0.21)</f>
        <v>1029</v>
      </c>
      <c r="J58" s="496"/>
      <c r="K58" s="496"/>
      <c r="L58" s="496"/>
      <c r="M58" s="496"/>
      <c r="N58" s="496"/>
      <c r="O58" s="496"/>
      <c r="P58" s="490">
        <f>SUM(compras_mes10[[#This Row],[NETO GRAVADO]:[Otros / No Grav.]])</f>
        <v>5929</v>
      </c>
      <c r="Q58" s="497" t="str">
        <f>IFERROR(IF(compras_mes10[[#This Row],[CUIT]]="","-",VLOOKUP(compras_mes10[[#This Row],[CUIT]],Lista_CUIT[#All],3,0)),"CUIT NO CARGADO")</f>
        <v>PAPELERIA</v>
      </c>
      <c r="R58" s="497">
        <f>IFERROR(IF(compras_mes10[[#This Row],[CUIT]]="","-",VLOOKUP(compras_mes10[[#This Row],[CUIT]],Lista_CUIT[#All],4,0)),"CUIT NO CARGADO")</f>
        <v>0</v>
      </c>
    </row>
    <row r="59" spans="2:18" x14ac:dyDescent="0.25">
      <c r="B59" s="219">
        <v>45213</v>
      </c>
      <c r="C59" s="209">
        <v>1</v>
      </c>
      <c r="D59" s="491">
        <v>15</v>
      </c>
      <c r="E59" s="492">
        <v>26012</v>
      </c>
      <c r="F59" s="493">
        <v>30685116657</v>
      </c>
      <c r="G59" s="494" t="str">
        <f>IFERROR(IF(compras_mes10[[#This Row],[CUIT]]="","-",VLOOKUP(compras_mes10[[#This Row],[CUIT]],Lista_CUIT[#All],2,0)),"CUIT NO CARGADO")</f>
        <v>MIRVAR SA</v>
      </c>
      <c r="H59" s="495">
        <v>10611.86</v>
      </c>
      <c r="I59" s="496">
        <f>IF(compras_mes10[[#This Row],[NETO GRAVADO]]="","",compras_mes10[[#This Row],[NETO GRAVADO]]*0.21)</f>
        <v>2228.4906000000001</v>
      </c>
      <c r="J59" s="496"/>
      <c r="K59" s="496"/>
      <c r="L59" s="496"/>
      <c r="M59" s="496"/>
      <c r="N59" s="496"/>
      <c r="O59" s="496">
        <v>1162.3800000000001</v>
      </c>
      <c r="P59" s="490">
        <f>SUM(compras_mes10[[#This Row],[NETO GRAVADO]:[Otros / No Grav.]])</f>
        <v>14002.730600000003</v>
      </c>
      <c r="Q59" s="497" t="str">
        <f>IFERROR(IF(compras_mes10[[#This Row],[CUIT]]="","-",VLOOKUP(compras_mes10[[#This Row],[CUIT]],Lista_CUIT[#All],3,0)),"CUIT NO CARGADO")</f>
        <v>COMBUSTIBLE</v>
      </c>
      <c r="R59" s="483">
        <f>IFERROR(IF(compras_mes10[[#This Row],[CUIT]]="","-",VLOOKUP(compras_mes10[[#This Row],[CUIT]],Lista_CUIT[#All],4,0)),"CUIT NO CARGADO")</f>
        <v>0</v>
      </c>
    </row>
    <row r="60" spans="2:18" x14ac:dyDescent="0.25">
      <c r="B60" s="475">
        <v>45216</v>
      </c>
      <c r="C60" s="489">
        <v>1</v>
      </c>
      <c r="D60" s="476">
        <v>7</v>
      </c>
      <c r="E60" s="477">
        <v>972</v>
      </c>
      <c r="F60" s="478">
        <v>30712187316</v>
      </c>
      <c r="G60" s="479" t="str">
        <f>IFERROR(IF(compras_mes10[[#This Row],[CUIT]]="","-",VLOOKUP(compras_mes10[[#This Row],[CUIT]],Lista_CUIT[#All],2,0)),"CUIT NO CARGADO")</f>
        <v>ITALOMED PRODUCTOS SRL</v>
      </c>
      <c r="H60" s="480">
        <v>142114.31</v>
      </c>
      <c r="I60" s="481">
        <f>IF(compras_mes10[[#This Row],[NETO GRAVADO]]="","",compras_mes10[[#This Row],[NETO GRAVADO]]*0.21)</f>
        <v>29844.005099999998</v>
      </c>
      <c r="J60" s="481"/>
      <c r="K60" s="481"/>
      <c r="L60" s="481"/>
      <c r="M60" s="481"/>
      <c r="N60" s="481"/>
      <c r="O60" s="481"/>
      <c r="P60" s="482">
        <f>SUM(compras_mes10[[#This Row],[NETO GRAVADO]:[Otros / No Grav.]])</f>
        <v>171958.31510000001</v>
      </c>
      <c r="Q60" s="483" t="str">
        <f>IFERROR(IF(compras_mes10[[#This Row],[CUIT]]="","-",VLOOKUP(compras_mes10[[#This Row],[CUIT]],Lista_CUIT[#All],3,0)),"CUIT NO CARGADO")</f>
        <v>Productos Ortopedicos</v>
      </c>
      <c r="R60" s="483">
        <f>IFERROR(IF(compras_mes10[[#This Row],[CUIT]]="","-",VLOOKUP(compras_mes10[[#This Row],[CUIT]],Lista_CUIT[#All],4,0)),"CUIT NO CARGADO")</f>
        <v>0</v>
      </c>
    </row>
    <row r="61" spans="2:18" x14ac:dyDescent="0.25">
      <c r="B61" s="475">
        <v>45216</v>
      </c>
      <c r="C61" s="489">
        <v>1</v>
      </c>
      <c r="D61" s="476">
        <v>5</v>
      </c>
      <c r="E61" s="477">
        <v>1415</v>
      </c>
      <c r="F61" s="478">
        <v>30712187316</v>
      </c>
      <c r="G61" s="479" t="str">
        <f>IFERROR(IF(compras_mes10[[#This Row],[CUIT]]="","-",VLOOKUP(compras_mes10[[#This Row],[CUIT]],Lista_CUIT[#All],2,0)),"CUIT NO CARGADO")</f>
        <v>ITALOMED PRODUCTOS SRL</v>
      </c>
      <c r="H61" s="480">
        <v>226742.25</v>
      </c>
      <c r="I61" s="481">
        <f>IF(compras_mes10[[#This Row],[NETO GRAVADO]]="","",compras_mes10[[#This Row],[NETO GRAVADO]]*0.21)</f>
        <v>47615.872499999998</v>
      </c>
      <c r="J61" s="481"/>
      <c r="K61" s="481"/>
      <c r="L61" s="481"/>
      <c r="M61" s="481"/>
      <c r="N61" s="481"/>
      <c r="O61" s="481"/>
      <c r="P61" s="482">
        <f>SUM(compras_mes10[[#This Row],[NETO GRAVADO]:[Otros / No Grav.]])</f>
        <v>274358.1225</v>
      </c>
      <c r="Q61" s="483" t="str">
        <f>IFERROR(IF(compras_mes10[[#This Row],[CUIT]]="","-",VLOOKUP(compras_mes10[[#This Row],[CUIT]],Lista_CUIT[#All],3,0)),"CUIT NO CARGADO")</f>
        <v>Productos Ortopedicos</v>
      </c>
      <c r="R61" s="483">
        <f>IFERROR(IF(compras_mes10[[#This Row],[CUIT]]="","-",VLOOKUP(compras_mes10[[#This Row],[CUIT]],Lista_CUIT[#All],4,0)),"CUIT NO CARGADO")</f>
        <v>0</v>
      </c>
    </row>
    <row r="62" spans="2:18" x14ac:dyDescent="0.25">
      <c r="B62" s="219">
        <v>45216</v>
      </c>
      <c r="C62" s="209">
        <v>1</v>
      </c>
      <c r="D62" s="491">
        <v>503</v>
      </c>
      <c r="E62" s="492">
        <v>1013940</v>
      </c>
      <c r="F62" s="493">
        <v>30639935872</v>
      </c>
      <c r="G62" s="494" t="str">
        <f>IFERROR(IF(compras_mes10[[#This Row],[CUIT]]="","-",VLOOKUP(compras_mes10[[#This Row],[CUIT]],Lista_CUIT[#All],2,0)),"CUIT NO CARGADO")</f>
        <v>CAMINOS DEL RIO URUGUAY S A DE CONSTRUCCIONES Y CONCESIONES VIALES</v>
      </c>
      <c r="H62" s="495">
        <v>1570.25</v>
      </c>
      <c r="I62" s="496">
        <f>IF(compras_mes10[[#This Row],[NETO GRAVADO]]="","",compras_mes10[[#This Row],[NETO GRAVADO]]*0.21)</f>
        <v>329.7525</v>
      </c>
      <c r="J62" s="496"/>
      <c r="K62" s="496"/>
      <c r="L62" s="496"/>
      <c r="M62" s="496"/>
      <c r="N62" s="496">
        <v>62.81</v>
      </c>
      <c r="O62" s="496"/>
      <c r="P62" s="490">
        <f>SUM(compras_mes10[[#This Row],[NETO GRAVADO]:[Otros / No Grav.]])</f>
        <v>1962.8125</v>
      </c>
      <c r="Q62" s="497" t="str">
        <f>IFERROR(IF(compras_mes10[[#This Row],[CUIT]]="","-",VLOOKUP(compras_mes10[[#This Row],[CUIT]],Lista_CUIT[#All],3,0)),"CUIT NO CARGADO")</f>
        <v>PEAJE</v>
      </c>
      <c r="R62" s="483">
        <f>IFERROR(IF(compras_mes10[[#This Row],[CUIT]]="","-",VLOOKUP(compras_mes10[[#This Row],[CUIT]],Lista_CUIT[#All],4,0)),"CUIT NO CARGADO")</f>
        <v>0</v>
      </c>
    </row>
    <row r="63" spans="2:18" x14ac:dyDescent="0.25">
      <c r="B63" s="219">
        <v>45216</v>
      </c>
      <c r="C63" s="209">
        <v>1</v>
      </c>
      <c r="D63" s="491">
        <v>104</v>
      </c>
      <c r="E63" s="492">
        <v>4098803</v>
      </c>
      <c r="F63" s="493">
        <v>30715804812</v>
      </c>
      <c r="G63" s="494" t="str">
        <f>IFERROR(IF(compras_mes10[[#This Row],[CUIT]]="","-",VLOOKUP(compras_mes10[[#This Row],[CUIT]],Lista_CUIT[#All],2,0)),"CUIT NO CARGADO")</f>
        <v>CORREDORES VIALES SOCIEDAD ANONIMA</v>
      </c>
      <c r="H63" s="495">
        <v>330.58</v>
      </c>
      <c r="I63" s="496">
        <f>IF(compras_mes10[[#This Row],[NETO GRAVADO]]="","",compras_mes10[[#This Row],[NETO GRAVADO]]*0.21)</f>
        <v>69.42179999999999</v>
      </c>
      <c r="J63" s="496"/>
      <c r="K63" s="496"/>
      <c r="L63" s="496"/>
      <c r="M63" s="496"/>
      <c r="N63" s="496">
        <v>13.22</v>
      </c>
      <c r="O63" s="496"/>
      <c r="P63" s="490">
        <f>SUM(compras_mes10[[#This Row],[NETO GRAVADO]:[Otros / No Grav.]])</f>
        <v>413.22180000000003</v>
      </c>
      <c r="Q63" s="497" t="str">
        <f>IFERROR(IF(compras_mes10[[#This Row],[CUIT]]="","-",VLOOKUP(compras_mes10[[#This Row],[CUIT]],Lista_CUIT[#All],3,0)),"CUIT NO CARGADO")</f>
        <v>Autopista</v>
      </c>
      <c r="R63" s="483">
        <f>IFERROR(IF(compras_mes10[[#This Row],[CUIT]]="","-",VLOOKUP(compras_mes10[[#This Row],[CUIT]],Lista_CUIT[#All],4,0)),"CUIT NO CARGADO")</f>
        <v>0</v>
      </c>
    </row>
    <row r="64" spans="2:18" x14ac:dyDescent="0.25">
      <c r="B64" s="219">
        <v>45216</v>
      </c>
      <c r="C64" s="209">
        <v>1</v>
      </c>
      <c r="D64" s="491">
        <v>711</v>
      </c>
      <c r="E64" s="492">
        <v>4885638</v>
      </c>
      <c r="F64" s="493">
        <v>30677237119</v>
      </c>
      <c r="G64" s="494" t="str">
        <f>IFERROR(IF(compras_mes10[[#This Row],[CUIT]]="","-",VLOOKUP(compras_mes10[[#This Row],[CUIT]],Lista_CUIT[#All],2,0)),"CUIT NO CARGADO")</f>
        <v>AUTOPISTAS DEL SOL SA</v>
      </c>
      <c r="H64" s="495">
        <v>661.16</v>
      </c>
      <c r="I64" s="496">
        <f>IF(compras_mes10[[#This Row],[NETO GRAVADO]]="","",compras_mes10[[#This Row],[NETO GRAVADO]]*0.21)</f>
        <v>138.84359999999998</v>
      </c>
      <c r="J64" s="496"/>
      <c r="K64" s="496"/>
      <c r="L64" s="496"/>
      <c r="M64" s="496"/>
      <c r="N64" s="496">
        <v>26.45</v>
      </c>
      <c r="O64" s="496"/>
      <c r="P64" s="490">
        <f>SUM(compras_mes10[[#This Row],[NETO GRAVADO]:[Otros / No Grav.]])</f>
        <v>826.45360000000005</v>
      </c>
      <c r="Q64" s="497" t="str">
        <f>IFERROR(IF(compras_mes10[[#This Row],[CUIT]]="","-",VLOOKUP(compras_mes10[[#This Row],[CUIT]],Lista_CUIT[#All],3,0)),"CUIT NO CARGADO")</f>
        <v>Autopista</v>
      </c>
      <c r="R64" s="483">
        <f>IFERROR(IF(compras_mes10[[#This Row],[CUIT]]="","-",VLOOKUP(compras_mes10[[#This Row],[CUIT]],Lista_CUIT[#All],4,0)),"CUIT NO CARGADO")</f>
        <v>0</v>
      </c>
    </row>
    <row r="65" spans="2:18" s="56" customFormat="1" ht="18.600000000000001" customHeight="1" x14ac:dyDescent="0.25">
      <c r="B65" s="475">
        <v>45217</v>
      </c>
      <c r="C65" s="489">
        <v>1</v>
      </c>
      <c r="D65" s="476">
        <v>3</v>
      </c>
      <c r="E65" s="477">
        <v>106</v>
      </c>
      <c r="F65" s="478">
        <v>20334976433</v>
      </c>
      <c r="G65" s="479" t="str">
        <f>IFERROR(IF(compras_mes10[[#This Row],[CUIT]]="","-",VLOOKUP(compras_mes10[[#This Row],[CUIT]],Lista_CUIT[#All],2,0)),"CUIT NO CARGADO")</f>
        <v>NARDOMARINO EZEQUIEL EDUARDO</v>
      </c>
      <c r="H65" s="480">
        <v>170996.71</v>
      </c>
      <c r="I65" s="481">
        <f>IF(compras_mes10[[#This Row],[NETO GRAVADO]]="","",compras_mes10[[#This Row],[NETO GRAVADO]]*0.21)</f>
        <v>35909.309099999999</v>
      </c>
      <c r="J65" s="481"/>
      <c r="K65" s="481"/>
      <c r="L65" s="481"/>
      <c r="M65" s="481"/>
      <c r="N65" s="481"/>
      <c r="O65" s="481"/>
      <c r="P65" s="482">
        <f>SUM(compras_mes10[[#This Row],[NETO GRAVADO]:[Otros / No Grav.]])</f>
        <v>206906.01909999998</v>
      </c>
      <c r="Q65" s="483" t="str">
        <f>IFERROR(IF(compras_mes10[[#This Row],[CUIT]]="","-",VLOOKUP(compras_mes10[[#This Row],[CUIT]],Lista_CUIT[#All],3,0)),"CUIT NO CARGADO")</f>
        <v>FLETE</v>
      </c>
      <c r="R65" s="49">
        <f>IFERROR(IF(compras_mes10[[#This Row],[CUIT]]="","-",VLOOKUP(compras_mes10[[#This Row],[CUIT]],Lista_CUIT[#All],4,0)),"CUIT NO CARGADO")</f>
        <v>0</v>
      </c>
    </row>
    <row r="66" spans="2:18" x14ac:dyDescent="0.25">
      <c r="B66" s="475">
        <v>45217</v>
      </c>
      <c r="C66" s="489">
        <v>1</v>
      </c>
      <c r="D66" s="476">
        <v>26</v>
      </c>
      <c r="E66" s="477">
        <v>186218</v>
      </c>
      <c r="F66" s="478">
        <v>30708847247</v>
      </c>
      <c r="G66" s="479" t="str">
        <f>IFERROR(IF(compras_mes10[[#This Row],[CUIT]]="","-",VLOOKUP(compras_mes10[[#This Row],[CUIT]],Lista_CUIT[#All],2,0)),"CUIT NO CARGADO")</f>
        <v>TOAGRA SRL</v>
      </c>
      <c r="H66" s="480">
        <v>3097</v>
      </c>
      <c r="I66" s="481">
        <f>IF(compras_mes10[[#This Row],[NETO GRAVADO]]="","",compras_mes10[[#This Row],[NETO GRAVADO]]*0.21)</f>
        <v>650.37</v>
      </c>
      <c r="J66" s="481"/>
      <c r="K66" s="481"/>
      <c r="L66" s="481"/>
      <c r="M66" s="481"/>
      <c r="N66" s="481">
        <v>123.88</v>
      </c>
      <c r="O66" s="481"/>
      <c r="P66" s="482">
        <f>SUM(compras_mes10[[#This Row],[NETO GRAVADO]:[Otros / No Grav.]])</f>
        <v>3871.25</v>
      </c>
      <c r="Q66" s="483" t="str">
        <f>IFERROR(IF(compras_mes10[[#This Row],[CUIT]]="","-",VLOOKUP(compras_mes10[[#This Row],[CUIT]],Lista_CUIT[#All],3,0)),"CUIT NO CARGADO")</f>
        <v>GASTOS VARIOS</v>
      </c>
      <c r="R66" s="88">
        <f>IFERROR(IF(compras_mes10[[#This Row],[CUIT]]="","-",VLOOKUP(compras_mes10[[#This Row],[CUIT]],Lista_CUIT[#All],4,0)),"CUIT NO CARGADO")</f>
        <v>0</v>
      </c>
    </row>
    <row r="67" spans="2:18" x14ac:dyDescent="0.25">
      <c r="B67" s="219">
        <v>45217</v>
      </c>
      <c r="C67" s="209">
        <v>1</v>
      </c>
      <c r="D67" s="246">
        <v>5011</v>
      </c>
      <c r="E67" s="247">
        <v>536089</v>
      </c>
      <c r="F67" s="248">
        <v>30574876474</v>
      </c>
      <c r="G67" s="249" t="str">
        <f>IFERROR(IF(compras_mes10[[#This Row],[CUIT]]="","-",VLOOKUP(compras_mes10[[#This Row],[CUIT]],Lista_CUIT[#All],2,0)),"CUIT NO CARGADO")</f>
        <v>AUTOP. URBANAS SA</v>
      </c>
      <c r="H67" s="250">
        <v>5441.25</v>
      </c>
      <c r="I67" s="251">
        <f>IF(compras_mes10[[#This Row],[NETO GRAVADO]]="","",compras_mes10[[#This Row],[NETO GRAVADO]]*0.21)</f>
        <v>1142.6624999999999</v>
      </c>
      <c r="J67" s="251"/>
      <c r="K67" s="251"/>
      <c r="L67" s="251"/>
      <c r="M67" s="251">
        <v>163.22999999999999</v>
      </c>
      <c r="N67" s="251">
        <v>544.12</v>
      </c>
      <c r="O67" s="251"/>
      <c r="P67" s="490">
        <f>SUM(compras_mes10[[#This Row],[NETO GRAVADO]:[Otros / No Grav.]])</f>
        <v>7291.2624999999998</v>
      </c>
      <c r="Q67" s="253" t="str">
        <f>IFERROR(IF(compras_mes10[[#This Row],[CUIT]]="","-",VLOOKUP(compras_mes10[[#This Row],[CUIT]],Lista_CUIT[#All],3,0)),"CUIT NO CARGADO")</f>
        <v>PEAJE</v>
      </c>
      <c r="R67" s="88">
        <f>IFERROR(IF(compras_mes10[[#This Row],[CUIT]]="","-",VLOOKUP(compras_mes10[[#This Row],[CUIT]],Lista_CUIT[#All],4,0)),"CUIT NO CARGADO")</f>
        <v>0</v>
      </c>
    </row>
    <row r="68" spans="2:18" x14ac:dyDescent="0.25">
      <c r="B68" s="219">
        <v>45217</v>
      </c>
      <c r="C68" s="209">
        <v>1</v>
      </c>
      <c r="D68" s="220">
        <v>5009</v>
      </c>
      <c r="E68" s="221">
        <v>774574</v>
      </c>
      <c r="F68" s="222">
        <v>30574876474</v>
      </c>
      <c r="G68" s="223" t="str">
        <f>IFERROR(IF(compras_mes10[[#This Row],[CUIT]]="","-",VLOOKUP(compras_mes10[[#This Row],[CUIT]],Lista_CUIT[#All],2,0)),"CUIT NO CARGADO")</f>
        <v>AUTOP. URBANAS SA</v>
      </c>
      <c r="H68" s="224">
        <v>987.4</v>
      </c>
      <c r="I68" s="225">
        <f>IF(compras_mes10[[#This Row],[NETO GRAVADO]]="","",compras_mes10[[#This Row],[NETO GRAVADO]]*0.21)</f>
        <v>207.35399999999998</v>
      </c>
      <c r="J68" s="225"/>
      <c r="K68" s="225"/>
      <c r="L68" s="225"/>
      <c r="M68" s="225"/>
      <c r="N68" s="225"/>
      <c r="O68" s="225">
        <v>98.74</v>
      </c>
      <c r="P68" s="490">
        <f>SUM(compras_mes10[[#This Row],[NETO GRAVADO]:[Otros / No Grav.]])</f>
        <v>1293.4939999999999</v>
      </c>
      <c r="Q68" s="227" t="str">
        <f>IFERROR(IF(compras_mes10[[#This Row],[CUIT]]="","-",VLOOKUP(compras_mes10[[#This Row],[CUIT]],Lista_CUIT[#All],3,0)),"CUIT NO CARGADO")</f>
        <v>PEAJE</v>
      </c>
      <c r="R68" s="49">
        <f>IFERROR(IF(compras_mes10[[#This Row],[CUIT]]="","-",VLOOKUP(compras_mes10[[#This Row],[CUIT]],Lista_CUIT[#All],4,0)),"CUIT NO CARGADO")</f>
        <v>0</v>
      </c>
    </row>
    <row r="69" spans="2:18" ht="14.45" customHeight="1" x14ac:dyDescent="0.25">
      <c r="B69" s="475">
        <v>45218</v>
      </c>
      <c r="C69" s="489">
        <v>1</v>
      </c>
      <c r="D69" s="476">
        <v>2</v>
      </c>
      <c r="E69" s="477">
        <v>153</v>
      </c>
      <c r="F69" s="478">
        <v>20272865869</v>
      </c>
      <c r="G69" s="479" t="str">
        <f>IFERROR(IF(compras_mes10[[#This Row],[CUIT]]="","-",VLOOKUP(compras_mes10[[#This Row],[CUIT]],Lista_CUIT[#All],2,0)),"CUIT NO CARGADO")</f>
        <v>DI FEO MARTIN EZEQUIEL</v>
      </c>
      <c r="H69" s="480">
        <v>89085</v>
      </c>
      <c r="I69" s="481">
        <f>IF(compras_mes10[[#This Row],[NETO GRAVADO]]="","",compras_mes10[[#This Row],[NETO GRAVADO]]*0.21)</f>
        <v>18707.849999999999</v>
      </c>
      <c r="J69" s="481"/>
      <c r="K69" s="481"/>
      <c r="L69" s="481"/>
      <c r="M69" s="481"/>
      <c r="N69" s="481"/>
      <c r="O69" s="481"/>
      <c r="P69" s="482">
        <f>SUM(compras_mes10[[#This Row],[NETO GRAVADO]:[Otros / No Grav.]])</f>
        <v>107792.85</v>
      </c>
      <c r="Q69" s="483" t="str">
        <f>IFERROR(IF(compras_mes10[[#This Row],[CUIT]]="","-",VLOOKUP(compras_mes10[[#This Row],[CUIT]],Lista_CUIT[#All],3,0)),"CUIT NO CARGADO")</f>
        <v>Productos Ortopedicos</v>
      </c>
      <c r="R69" s="49">
        <f>IFERROR(IF(compras_mes10[[#This Row],[CUIT]]="","-",VLOOKUP(compras_mes10[[#This Row],[CUIT]],Lista_CUIT[#All],4,0)),"CUIT NO CARGADO")</f>
        <v>0</v>
      </c>
    </row>
    <row r="70" spans="2:18" ht="22.9" customHeight="1" x14ac:dyDescent="0.25">
      <c r="B70" s="475">
        <v>45218</v>
      </c>
      <c r="C70" s="489">
        <v>1</v>
      </c>
      <c r="D70" s="476">
        <v>6</v>
      </c>
      <c r="E70" s="477">
        <v>50463</v>
      </c>
      <c r="F70" s="478">
        <v>30710177658</v>
      </c>
      <c r="G70" s="479" t="str">
        <f>IFERROR(IF(compras_mes10[[#This Row],[CUIT]]="","-",VLOOKUP(compras_mes10[[#This Row],[CUIT]],Lista_CUIT[#All],2,0)),"CUIT NO CARGADO")</f>
        <v>TARGET MEDICAL SA</v>
      </c>
      <c r="H70" s="480">
        <v>33200</v>
      </c>
      <c r="I70" s="481">
        <f>IF(compras_mes10[[#This Row],[NETO GRAVADO]]="","",compras_mes10[[#This Row],[NETO GRAVADO]]*0.21)</f>
        <v>6972</v>
      </c>
      <c r="J70" s="481"/>
      <c r="K70" s="481"/>
      <c r="L70" s="481"/>
      <c r="M70" s="481"/>
      <c r="N70" s="481"/>
      <c r="O70" s="481"/>
      <c r="P70" s="482">
        <f>SUM(compras_mes10[[#This Row],[NETO GRAVADO]:[Otros / No Grav.]])</f>
        <v>40172</v>
      </c>
      <c r="Q70" s="483" t="str">
        <f>IFERROR(IF(compras_mes10[[#This Row],[CUIT]]="","-",VLOOKUP(compras_mes10[[#This Row],[CUIT]],Lista_CUIT[#All],3,0)),"CUIT NO CARGADO")</f>
        <v>Productos Ortopedicos</v>
      </c>
      <c r="R70" s="49">
        <f>IFERROR(IF(compras_mes10[[#This Row],[CUIT]]="","-",VLOOKUP(compras_mes10[[#This Row],[CUIT]],Lista_CUIT[#All],4,0)),"CUIT NO CARGADO")</f>
        <v>0</v>
      </c>
    </row>
    <row r="71" spans="2:18" x14ac:dyDescent="0.25">
      <c r="B71" s="219">
        <v>45218</v>
      </c>
      <c r="C71" s="209">
        <v>1</v>
      </c>
      <c r="D71" s="246">
        <v>4264</v>
      </c>
      <c r="E71" s="247">
        <v>2888599</v>
      </c>
      <c r="F71" s="248">
        <v>30639453738</v>
      </c>
      <c r="G71" s="249" t="str">
        <f>IFERROR(IF(compras_mes10[[#This Row],[CUIT]]="","-",VLOOKUP(compras_mes10[[#This Row],[CUIT]],Lista_CUIT[#All],2,0)),"CUIT NO CARGADO")</f>
        <v>TELECOM ARGENTINA SA</v>
      </c>
      <c r="H71" s="250">
        <v>19880.16</v>
      </c>
      <c r="I71" s="251">
        <f>IF(compras_mes10[[#This Row],[NETO GRAVADO]]="","",compras_mes10[[#This Row],[NETO GRAVADO]]*0.21)</f>
        <v>4174.8335999999999</v>
      </c>
      <c r="J71" s="251"/>
      <c r="K71" s="251"/>
      <c r="L71" s="251"/>
      <c r="M71" s="251"/>
      <c r="N71" s="251">
        <v>1391.62</v>
      </c>
      <c r="O71" s="251"/>
      <c r="P71" s="226">
        <f>SUM(compras_mes10[[#This Row],[NETO GRAVADO]:[Otros / No Grav.]])</f>
        <v>25446.613600000001</v>
      </c>
      <c r="Q71" s="253" t="str">
        <f>IFERROR(IF(compras_mes10[[#This Row],[CUIT]]="","-",VLOOKUP(compras_mes10[[#This Row],[CUIT]],Lista_CUIT[#All],3,0)),"CUIT NO CARGADO")</f>
        <v>TELEFONIA</v>
      </c>
      <c r="R71" s="88">
        <f>IFERROR(IF(compras_mes10[[#This Row],[CUIT]]="","-",VLOOKUP(compras_mes10[[#This Row],[CUIT]],Lista_CUIT[#All],4,0)),"CUIT NO CARGADO")</f>
        <v>0</v>
      </c>
    </row>
    <row r="72" spans="2:18" ht="14.45" customHeight="1" x14ac:dyDescent="0.25">
      <c r="B72" s="475">
        <v>45219</v>
      </c>
      <c r="C72" s="489">
        <v>1</v>
      </c>
      <c r="D72" s="476">
        <v>5</v>
      </c>
      <c r="E72" s="477">
        <v>21</v>
      </c>
      <c r="F72" s="478">
        <v>20929183143</v>
      </c>
      <c r="G72" s="479" t="str">
        <f>IFERROR(IF(compras_mes10[[#This Row],[CUIT]]="","-",VLOOKUP(compras_mes10[[#This Row],[CUIT]],Lista_CUIT[#All],2,0)),"CUIT NO CARGADO")</f>
        <v>MA JUN</v>
      </c>
      <c r="H72" s="480">
        <v>15000</v>
      </c>
      <c r="I72" s="481">
        <f>IF(compras_mes10[[#This Row],[NETO GRAVADO]]="","",compras_mes10[[#This Row],[NETO GRAVADO]]*0.21)</f>
        <v>3150</v>
      </c>
      <c r="J72" s="481"/>
      <c r="K72" s="481"/>
      <c r="L72" s="481"/>
      <c r="M72" s="481"/>
      <c r="N72" s="481"/>
      <c r="O72" s="481"/>
      <c r="P72" s="482">
        <f>SUM(compras_mes10[[#This Row],[NETO GRAVADO]:[Otros / No Grav.]])</f>
        <v>18150</v>
      </c>
      <c r="Q72" s="483" t="str">
        <f>IFERROR(IF(compras_mes10[[#This Row],[CUIT]]="","-",VLOOKUP(compras_mes10[[#This Row],[CUIT]],Lista_CUIT[#All],3,0)),"CUIT NO CARGADO")</f>
        <v>Gastos Varios</v>
      </c>
      <c r="R72" s="483">
        <f>IFERROR(IF(compras_mes10[[#This Row],[CUIT]]="","-",VLOOKUP(compras_mes10[[#This Row],[CUIT]],Lista_CUIT[#All],4,0)),"CUIT NO CARGADO")</f>
        <v>0</v>
      </c>
    </row>
    <row r="73" spans="2:18" ht="14.45" customHeight="1" x14ac:dyDescent="0.25">
      <c r="B73" s="475">
        <v>45219</v>
      </c>
      <c r="C73" s="489">
        <v>1</v>
      </c>
      <c r="D73" s="476">
        <v>2</v>
      </c>
      <c r="E73" s="477">
        <v>155</v>
      </c>
      <c r="F73" s="478">
        <v>20272865869</v>
      </c>
      <c r="G73" s="479" t="str">
        <f>IFERROR(IF(compras_mes10[[#This Row],[CUIT]]="","-",VLOOKUP(compras_mes10[[#This Row],[CUIT]],Lista_CUIT[#All],2,0)),"CUIT NO CARGADO")</f>
        <v>DI FEO MARTIN EZEQUIEL</v>
      </c>
      <c r="H73" s="480">
        <v>5800</v>
      </c>
      <c r="I73" s="481">
        <f>IF(compras_mes10[[#This Row],[NETO GRAVADO]]="","",compras_mes10[[#This Row],[NETO GRAVADO]]*0.21)</f>
        <v>1218</v>
      </c>
      <c r="J73" s="481"/>
      <c r="K73" s="481"/>
      <c r="L73" s="481"/>
      <c r="M73" s="481"/>
      <c r="N73" s="481"/>
      <c r="O73" s="481"/>
      <c r="P73" s="482">
        <f>SUM(compras_mes10[[#This Row],[NETO GRAVADO]:[Otros / No Grav.]])</f>
        <v>7018</v>
      </c>
      <c r="Q73" s="483" t="str">
        <f>IFERROR(IF(compras_mes10[[#This Row],[CUIT]]="","-",VLOOKUP(compras_mes10[[#This Row],[CUIT]],Lista_CUIT[#All],3,0)),"CUIT NO CARGADO")</f>
        <v>Productos Ortopedicos</v>
      </c>
      <c r="R73" s="483">
        <f>IFERROR(IF(compras_mes10[[#This Row],[CUIT]]="","-",VLOOKUP(compras_mes10[[#This Row],[CUIT]],Lista_CUIT[#All],4,0)),"CUIT NO CARGADO")</f>
        <v>0</v>
      </c>
    </row>
    <row r="74" spans="2:18" ht="15" customHeight="1" x14ac:dyDescent="0.25">
      <c r="B74" s="475">
        <v>45219</v>
      </c>
      <c r="C74" s="489">
        <v>1</v>
      </c>
      <c r="D74" s="476">
        <v>4</v>
      </c>
      <c r="E74" s="477">
        <v>430</v>
      </c>
      <c r="F74" s="478">
        <v>20253515512</v>
      </c>
      <c r="G74" s="479" t="str">
        <f>IFERROR(IF(compras_mes10[[#This Row],[CUIT]]="","-",VLOOKUP(compras_mes10[[#This Row],[CUIT]],Lista_CUIT[#All],2,0)),"CUIT NO CARGADO")</f>
        <v>ORTOPEDIA Y CIRUGIA DELGADO</v>
      </c>
      <c r="H74" s="480">
        <v>314049.59999999998</v>
      </c>
      <c r="I74" s="481">
        <f>IF(compras_mes10[[#This Row],[NETO GRAVADO]]="","",compras_mes10[[#This Row],[NETO GRAVADO]]*0.21)</f>
        <v>65950.415999999997</v>
      </c>
      <c r="J74" s="481"/>
      <c r="K74" s="481"/>
      <c r="L74" s="481"/>
      <c r="M74" s="481"/>
      <c r="N74" s="481"/>
      <c r="O74" s="481"/>
      <c r="P74" s="482">
        <f>SUM(compras_mes10[[#This Row],[NETO GRAVADO]:[Otros / No Grav.]])</f>
        <v>380000.01599999995</v>
      </c>
      <c r="Q74" s="483" t="str">
        <f>IFERROR(IF(compras_mes10[[#This Row],[CUIT]]="","-",VLOOKUP(compras_mes10[[#This Row],[CUIT]],Lista_CUIT[#All],3,0)),"CUIT NO CARGADO")</f>
        <v>Productos Ortopedicos</v>
      </c>
      <c r="R74" s="483">
        <f>IFERROR(IF(compras_mes10[[#This Row],[CUIT]]="","-",VLOOKUP(compras_mes10[[#This Row],[CUIT]],Lista_CUIT[#All],4,0)),"CUIT NO CARGADO")</f>
        <v>0</v>
      </c>
    </row>
    <row r="75" spans="2:18" ht="15" customHeight="1" x14ac:dyDescent="0.25">
      <c r="B75" s="475">
        <v>45219</v>
      </c>
      <c r="C75" s="489">
        <v>1</v>
      </c>
      <c r="D75" s="476">
        <v>3</v>
      </c>
      <c r="E75" s="477">
        <v>6214</v>
      </c>
      <c r="F75" s="478">
        <v>33708218699</v>
      </c>
      <c r="G75" s="479" t="str">
        <f>IFERROR(IF(compras_mes10[[#This Row],[CUIT]]="","-",VLOOKUP(compras_mes10[[#This Row],[CUIT]],Lista_CUIT[#All],2,0)),"CUIT NO CARGADO")</f>
        <v>MANGGINI PABLO Y MANGGINI ULISES SOC. DE HECHO.</v>
      </c>
      <c r="H75" s="480">
        <v>4500</v>
      </c>
      <c r="I75" s="481">
        <f>IF(compras_mes10[[#This Row],[NETO GRAVADO]]="","",compras_mes10[[#This Row],[NETO GRAVADO]]*0.21)</f>
        <v>945</v>
      </c>
      <c r="J75" s="481"/>
      <c r="K75" s="481"/>
      <c r="L75" s="481"/>
      <c r="M75" s="481"/>
      <c r="N75" s="481"/>
      <c r="O75" s="481"/>
      <c r="P75" s="482">
        <f>SUM(compras_mes10[[#This Row],[NETO GRAVADO]:[Otros / No Grav.]])</f>
        <v>5445</v>
      </c>
      <c r="Q75" s="483" t="str">
        <f>IFERROR(IF(compras_mes10[[#This Row],[CUIT]]="","-",VLOOKUP(compras_mes10[[#This Row],[CUIT]],Lista_CUIT[#All],3,0)),"CUIT NO CARGADO")</f>
        <v>Gastos Varios</v>
      </c>
      <c r="R75" s="483">
        <f>IFERROR(IF(compras_mes10[[#This Row],[CUIT]]="","-",VLOOKUP(compras_mes10[[#This Row],[CUIT]],Lista_CUIT[#All],4,0)),"CUIT NO CARGADO")</f>
        <v>0</v>
      </c>
    </row>
    <row r="76" spans="2:18" ht="15" customHeight="1" x14ac:dyDescent="0.25">
      <c r="B76" s="475">
        <v>45222</v>
      </c>
      <c r="C76" s="489">
        <v>1</v>
      </c>
      <c r="D76" s="476">
        <v>3</v>
      </c>
      <c r="E76" s="477">
        <v>108</v>
      </c>
      <c r="F76" s="478">
        <v>20334976433</v>
      </c>
      <c r="G76" s="479" t="str">
        <f>IFERROR(IF(compras_mes10[[#This Row],[CUIT]]="","-",VLOOKUP(compras_mes10[[#This Row],[CUIT]],Lista_CUIT[#All],2,0)),"CUIT NO CARGADO")</f>
        <v>NARDOMARINO EZEQUIEL EDUARDO</v>
      </c>
      <c r="H76" s="480">
        <v>206914.05</v>
      </c>
      <c r="I76" s="481">
        <f>IF(compras_mes10[[#This Row],[NETO GRAVADO]]="","",compras_mes10[[#This Row],[NETO GRAVADO]]*0.21)</f>
        <v>43451.950499999999</v>
      </c>
      <c r="J76" s="481"/>
      <c r="K76" s="481"/>
      <c r="L76" s="481"/>
      <c r="M76" s="481"/>
      <c r="N76" s="481"/>
      <c r="O76" s="481"/>
      <c r="P76" s="482">
        <f>SUM(compras_mes10[[#This Row],[NETO GRAVADO]:[Otros / No Grav.]])</f>
        <v>250366.00049999999</v>
      </c>
      <c r="Q76" s="483" t="str">
        <f>IFERROR(IF(compras_mes10[[#This Row],[CUIT]]="","-",VLOOKUP(compras_mes10[[#This Row],[CUIT]],Lista_CUIT[#All],3,0)),"CUIT NO CARGADO")</f>
        <v>FLETE</v>
      </c>
      <c r="R76" s="483">
        <f>IFERROR(IF(compras_mes10[[#This Row],[CUIT]]="","-",VLOOKUP(compras_mes10[[#This Row],[CUIT]],Lista_CUIT[#All],4,0)),"CUIT NO CARGADO")</f>
        <v>0</v>
      </c>
    </row>
    <row r="77" spans="2:18" ht="15" customHeight="1" x14ac:dyDescent="0.25">
      <c r="B77" s="475">
        <v>45222</v>
      </c>
      <c r="C77" s="489">
        <v>1</v>
      </c>
      <c r="D77" s="476">
        <v>2</v>
      </c>
      <c r="E77" s="477">
        <v>23133</v>
      </c>
      <c r="F77" s="478">
        <v>23233422029</v>
      </c>
      <c r="G77" s="479" t="str">
        <f>IFERROR(IF(compras_mes10[[#This Row],[CUIT]]="","-",VLOOKUP(compras_mes10[[#This Row],[CUIT]],Lista_CUIT[#All],2,0)),"CUIT NO CARGADO")</f>
        <v>RODOLFO SCHULZE</v>
      </c>
      <c r="H77" s="480">
        <v>163270</v>
      </c>
      <c r="I77" s="481">
        <f>IF(compras_mes10[[#This Row],[NETO GRAVADO]]="","",compras_mes10[[#This Row],[NETO GRAVADO]]*0.21)</f>
        <v>34286.699999999997</v>
      </c>
      <c r="J77" s="481"/>
      <c r="K77" s="481"/>
      <c r="L77" s="481"/>
      <c r="M77" s="481"/>
      <c r="N77" s="481"/>
      <c r="O77" s="481"/>
      <c r="P77" s="482">
        <f>SUM(compras_mes10[[#This Row],[NETO GRAVADO]:[Otros / No Grav.]])</f>
        <v>197556.7</v>
      </c>
      <c r="Q77" s="483" t="str">
        <f>IFERROR(IF(compras_mes10[[#This Row],[CUIT]]="","-",VLOOKUP(compras_mes10[[#This Row],[CUIT]],Lista_CUIT[#All],3,0)),"CUIT NO CARGADO")</f>
        <v>Productos Ortopedicos</v>
      </c>
      <c r="R77" s="483">
        <f>IFERROR(IF(compras_mes10[[#This Row],[CUIT]]="","-",VLOOKUP(compras_mes10[[#This Row],[CUIT]],Lista_CUIT[#All],4,0)),"CUIT NO CARGADO")</f>
        <v>0</v>
      </c>
    </row>
    <row r="78" spans="2:18" ht="15" customHeight="1" x14ac:dyDescent="0.25">
      <c r="B78" s="475">
        <v>45223</v>
      </c>
      <c r="C78" s="489">
        <v>1</v>
      </c>
      <c r="D78" s="476">
        <v>2</v>
      </c>
      <c r="E78" s="477">
        <v>1893</v>
      </c>
      <c r="F78" s="478">
        <v>20238470502</v>
      </c>
      <c r="G78" s="479" t="str">
        <f>IFERROR(IF(compras_mes10[[#This Row],[CUIT]]="","-",VLOOKUP(compras_mes10[[#This Row],[CUIT]],Lista_CUIT[#All],2,0)),"CUIT NO CARGADO")</f>
        <v>ALCOCER MARIO DANIEL</v>
      </c>
      <c r="H78" s="480">
        <v>550000</v>
      </c>
      <c r="I78" s="481">
        <f>IF(compras_mes10[[#This Row],[NETO GRAVADO]]="","",compras_mes10[[#This Row],[NETO GRAVADO]]*0.21)</f>
        <v>115500</v>
      </c>
      <c r="J78" s="481"/>
      <c r="K78" s="481"/>
      <c r="L78" s="481"/>
      <c r="M78" s="481"/>
      <c r="N78" s="481"/>
      <c r="O78" s="481"/>
      <c r="P78" s="482">
        <f>SUM(compras_mes10[[#This Row],[NETO GRAVADO]:[Otros / No Grav.]])</f>
        <v>665500</v>
      </c>
      <c r="Q78" s="483" t="str">
        <f>IFERROR(IF(compras_mes10[[#This Row],[CUIT]]="","-",VLOOKUP(compras_mes10[[#This Row],[CUIT]],Lista_CUIT[#All],3,0)),"CUIT NO CARGADO")</f>
        <v>GASTOS MANTENIMIENTO</v>
      </c>
      <c r="R78" s="483">
        <f>IFERROR(IF(compras_mes10[[#This Row],[CUIT]]="","-",VLOOKUP(compras_mes10[[#This Row],[CUIT]],Lista_CUIT[#All],4,0)),"CUIT NO CARGADO")</f>
        <v>0</v>
      </c>
    </row>
    <row r="79" spans="2:18" x14ac:dyDescent="0.25">
      <c r="B79" s="219">
        <v>45223</v>
      </c>
      <c r="C79" s="209">
        <v>1</v>
      </c>
      <c r="D79" s="491">
        <v>700</v>
      </c>
      <c r="E79" s="492">
        <v>1222718</v>
      </c>
      <c r="F79" s="493">
        <v>30715804812</v>
      </c>
      <c r="G79" s="494" t="str">
        <f>IFERROR(IF(compras_mes10[[#This Row],[CUIT]]="","-",VLOOKUP(compras_mes10[[#This Row],[CUIT]],Lista_CUIT[#All],2,0)),"CUIT NO CARGADO")</f>
        <v>CORREDORES VIALES SOCIEDAD ANONIMA</v>
      </c>
      <c r="H79" s="495">
        <v>2520.66</v>
      </c>
      <c r="I79" s="496">
        <f>IF(compras_mes10[[#This Row],[NETO GRAVADO]]="","",compras_mes10[[#This Row],[NETO GRAVADO]]*0.21)</f>
        <v>529.33859999999993</v>
      </c>
      <c r="J79" s="496"/>
      <c r="K79" s="496"/>
      <c r="L79" s="496"/>
      <c r="M79" s="496"/>
      <c r="N79" s="496"/>
      <c r="O79" s="496"/>
      <c r="P79" s="490">
        <f>SUM(compras_mes10[[#This Row],[NETO GRAVADO]:[Otros / No Grav.]])</f>
        <v>3049.9985999999999</v>
      </c>
      <c r="Q79" s="497" t="str">
        <f>IFERROR(IF(compras_mes10[[#This Row],[CUIT]]="","-",VLOOKUP(compras_mes10[[#This Row],[CUIT]],Lista_CUIT[#All],3,0)),"CUIT NO CARGADO")</f>
        <v>Autopista</v>
      </c>
      <c r="R79" s="483">
        <f>IFERROR(IF(compras_mes10[[#This Row],[CUIT]]="","-",VLOOKUP(compras_mes10[[#This Row],[CUIT]],Lista_CUIT[#All],4,0)),"CUIT NO CARGADO")</f>
        <v>0</v>
      </c>
    </row>
    <row r="80" spans="2:18" x14ac:dyDescent="0.25">
      <c r="B80" s="219">
        <v>45223</v>
      </c>
      <c r="C80" s="209">
        <v>1</v>
      </c>
      <c r="D80" s="491">
        <v>700</v>
      </c>
      <c r="E80" s="492">
        <v>1222719</v>
      </c>
      <c r="F80" s="493">
        <v>30715804812</v>
      </c>
      <c r="G80" s="494" t="str">
        <f>IFERROR(IF(compras_mes10[[#This Row],[CUIT]]="","-",VLOOKUP(compras_mes10[[#This Row],[CUIT]],Lista_CUIT[#All],2,0)),"CUIT NO CARGADO")</f>
        <v>CORREDORES VIALES SOCIEDAD ANONIMA</v>
      </c>
      <c r="H80" s="495">
        <v>619.84</v>
      </c>
      <c r="I80" s="496">
        <f>IF(compras_mes10[[#This Row],[NETO GRAVADO]]="","",compras_mes10[[#This Row],[NETO GRAVADO]]*0.21)</f>
        <v>130.16640000000001</v>
      </c>
      <c r="J80" s="496"/>
      <c r="K80" s="496"/>
      <c r="L80" s="496"/>
      <c r="M80" s="496"/>
      <c r="N80" s="496"/>
      <c r="O80" s="496"/>
      <c r="P80" s="490">
        <f>SUM(compras_mes10[[#This Row],[NETO GRAVADO]:[Otros / No Grav.]])</f>
        <v>750.00639999999999</v>
      </c>
      <c r="Q80" s="497" t="str">
        <f>IFERROR(IF(compras_mes10[[#This Row],[CUIT]]="","-",VLOOKUP(compras_mes10[[#This Row],[CUIT]],Lista_CUIT[#All],3,0)),"CUIT NO CARGADO")</f>
        <v>Autopista</v>
      </c>
      <c r="R80" s="483">
        <f>IFERROR(IF(compras_mes10[[#This Row],[CUIT]]="","-",VLOOKUP(compras_mes10[[#This Row],[CUIT]],Lista_CUIT[#All],4,0)),"CUIT NO CARGADO")</f>
        <v>0</v>
      </c>
    </row>
    <row r="81" spans="2:18" x14ac:dyDescent="0.25">
      <c r="B81" s="475">
        <v>45224</v>
      </c>
      <c r="C81" s="489">
        <v>1</v>
      </c>
      <c r="D81" s="476">
        <v>17</v>
      </c>
      <c r="E81" s="477">
        <v>1424</v>
      </c>
      <c r="F81" s="478">
        <v>30711764921</v>
      </c>
      <c r="G81" s="479" t="str">
        <f>IFERROR(IF(compras_mes10[[#This Row],[CUIT]]="","-",VLOOKUP(compras_mes10[[#This Row],[CUIT]],Lista_CUIT[#All],2,0)),"CUIT NO CARGADO")</f>
        <v>RELIEF CENTER SRL</v>
      </c>
      <c r="H81" s="480">
        <v>555600</v>
      </c>
      <c r="I81" s="481">
        <f>IF(compras_mes10[[#This Row],[NETO GRAVADO]]="","",compras_mes10[[#This Row],[NETO GRAVADO]]*0.21)</f>
        <v>116676</v>
      </c>
      <c r="J81" s="481"/>
      <c r="K81" s="481"/>
      <c r="L81" s="481"/>
      <c r="M81" s="481"/>
      <c r="N81" s="481"/>
      <c r="O81" s="481"/>
      <c r="P81" s="482">
        <f>SUM(compras_mes10[[#This Row],[NETO GRAVADO]:[Otros / No Grav.]])</f>
        <v>672276</v>
      </c>
      <c r="Q81" s="483" t="str">
        <f>IFERROR(IF(compras_mes10[[#This Row],[CUIT]]="","-",VLOOKUP(compras_mes10[[#This Row],[CUIT]],Lista_CUIT[#All],3,0)),"CUIT NO CARGADO")</f>
        <v>Productos Ortopedicos</v>
      </c>
      <c r="R81" s="483">
        <f>IFERROR(IF(compras_mes10[[#This Row],[CUIT]]="","-",VLOOKUP(compras_mes10[[#This Row],[CUIT]],Lista_CUIT[#All],4,0)),"CUIT NO CARGADO")</f>
        <v>0</v>
      </c>
    </row>
    <row r="82" spans="2:18" x14ac:dyDescent="0.25">
      <c r="B82" s="219">
        <v>45224</v>
      </c>
      <c r="C82" s="209">
        <v>1</v>
      </c>
      <c r="D82" s="491">
        <v>25</v>
      </c>
      <c r="E82" s="492">
        <v>26494</v>
      </c>
      <c r="F82" s="493">
        <v>30620098058</v>
      </c>
      <c r="G82" s="494" t="str">
        <f>IFERROR(IF(compras_mes10[[#This Row],[CUIT]]="","-",VLOOKUP(compras_mes10[[#This Row],[CUIT]],Lista_CUIT[#All],2,0)),"CUIT NO CARGADO")</f>
        <v>GASOLEO SA</v>
      </c>
      <c r="H82" s="495">
        <v>7890.47</v>
      </c>
      <c r="I82" s="496">
        <f>IF(compras_mes10[[#This Row],[NETO GRAVADO]]="","",compras_mes10[[#This Row],[NETO GRAVADO]]*0.21)</f>
        <v>1656.9987000000001</v>
      </c>
      <c r="J82" s="496"/>
      <c r="K82" s="496"/>
      <c r="L82" s="496"/>
      <c r="M82" s="496">
        <v>46.32</v>
      </c>
      <c r="N82" s="496">
        <v>406.19</v>
      </c>
      <c r="O82" s="496"/>
      <c r="P82" s="490">
        <f>SUM(compras_mes10[[#This Row],[NETO GRAVADO]:[Otros / No Grav.]])</f>
        <v>9999.9787000000015</v>
      </c>
      <c r="Q82" s="497" t="str">
        <f>IFERROR(IF(compras_mes10[[#This Row],[CUIT]]="","-",VLOOKUP(compras_mes10[[#This Row],[CUIT]],Lista_CUIT[#All],3,0)),"CUIT NO CARGADO")</f>
        <v>COMBUSTIBLE</v>
      </c>
      <c r="R82" s="483">
        <f>IFERROR(IF(compras_mes10[[#This Row],[CUIT]]="","-",VLOOKUP(compras_mes10[[#This Row],[CUIT]],Lista_CUIT[#All],4,0)),"CUIT NO CARGADO")</f>
        <v>0</v>
      </c>
    </row>
    <row r="83" spans="2:18" x14ac:dyDescent="0.25">
      <c r="B83" s="475">
        <v>45224</v>
      </c>
      <c r="C83" s="489">
        <v>1</v>
      </c>
      <c r="D83" s="476">
        <v>4</v>
      </c>
      <c r="E83" s="477">
        <v>67011</v>
      </c>
      <c r="F83" s="478">
        <v>33709738459</v>
      </c>
      <c r="G83" s="479" t="str">
        <f>IFERROR(IF(compras_mes10[[#This Row],[CUIT]]="","-",VLOOKUP(compras_mes10[[#This Row],[CUIT]],Lista_CUIT[#All],2,0)),"CUIT NO CARGADO")</f>
        <v>ORTOPEDICOS ALFOLATEX S.A</v>
      </c>
      <c r="H83" s="480">
        <v>271514.69</v>
      </c>
      <c r="I83" s="481">
        <f>IF(compras_mes10[[#This Row],[NETO GRAVADO]]="","",compras_mes10[[#This Row],[NETO GRAVADO]]*0.21)</f>
        <v>57018.084900000002</v>
      </c>
      <c r="J83" s="481"/>
      <c r="K83" s="481"/>
      <c r="L83" s="481"/>
      <c r="M83" s="481"/>
      <c r="N83" s="481"/>
      <c r="O83" s="481"/>
      <c r="P83" s="482">
        <f>SUM(compras_mes10[[#This Row],[NETO GRAVADO]:[Otros / No Grav.]])</f>
        <v>328532.77490000002</v>
      </c>
      <c r="Q83" s="483" t="str">
        <f>IFERROR(IF(compras_mes10[[#This Row],[CUIT]]="","-",VLOOKUP(compras_mes10[[#This Row],[CUIT]],Lista_CUIT[#All],3,0)),"CUIT NO CARGADO")</f>
        <v>Productos Ortopedicos</v>
      </c>
      <c r="R83" s="483">
        <f>IFERROR(IF(compras_mes10[[#This Row],[CUIT]]="","-",VLOOKUP(compras_mes10[[#This Row],[CUIT]],Lista_CUIT[#All],4,0)),"CUIT NO CARGADO")</f>
        <v>0</v>
      </c>
    </row>
    <row r="84" spans="2:18" x14ac:dyDescent="0.25">
      <c r="B84" s="475">
        <v>45224</v>
      </c>
      <c r="C84" s="489">
        <v>1</v>
      </c>
      <c r="D84" s="476">
        <v>6</v>
      </c>
      <c r="E84" s="477">
        <v>77815</v>
      </c>
      <c r="F84" s="478">
        <v>30711553564</v>
      </c>
      <c r="G84" s="479" t="str">
        <f>IFERROR(IF(compras_mes10[[#This Row],[CUIT]]="","-",VLOOKUP(compras_mes10[[#This Row],[CUIT]],Lista_CUIT[#All],2,0)),"CUIT NO CARGADO")</f>
        <v>SALUD TEX S.A</v>
      </c>
      <c r="H84" s="480">
        <v>670472</v>
      </c>
      <c r="I84" s="481">
        <f>IF(compras_mes10[[#This Row],[NETO GRAVADO]]="","",compras_mes10[[#This Row],[NETO GRAVADO]]*0.21)</f>
        <v>140799.12</v>
      </c>
      <c r="J84" s="481"/>
      <c r="K84" s="481"/>
      <c r="L84" s="481"/>
      <c r="M84" s="481"/>
      <c r="N84" s="481"/>
      <c r="O84" s="481"/>
      <c r="P84" s="482">
        <f>SUM(compras_mes10[[#This Row],[NETO GRAVADO]:[Otros / No Grav.]])</f>
        <v>811271.12</v>
      </c>
      <c r="Q84" s="483" t="str">
        <f>IFERROR(IF(compras_mes10[[#This Row],[CUIT]]="","-",VLOOKUP(compras_mes10[[#This Row],[CUIT]],Lista_CUIT[#All],3,0)),"CUIT NO CARGADO")</f>
        <v>Productos Ortopedicos</v>
      </c>
      <c r="R84" s="483">
        <f>IFERROR(IF(compras_mes10[[#This Row],[CUIT]]="","-",VLOOKUP(compras_mes10[[#This Row],[CUIT]],Lista_CUIT[#All],4,0)),"CUIT NO CARGADO")</f>
        <v>0</v>
      </c>
    </row>
    <row r="85" spans="2:18" x14ac:dyDescent="0.25">
      <c r="B85" s="475">
        <v>45224</v>
      </c>
      <c r="C85" s="489">
        <v>1</v>
      </c>
      <c r="D85" s="476">
        <v>26</v>
      </c>
      <c r="E85" s="477">
        <v>186823</v>
      </c>
      <c r="F85" s="478">
        <v>30708847247</v>
      </c>
      <c r="G85" s="479" t="str">
        <f>IFERROR(IF(compras_mes10[[#This Row],[CUIT]]="","-",VLOOKUP(compras_mes10[[#This Row],[CUIT]],Lista_CUIT[#All],2,0)),"CUIT NO CARGADO")</f>
        <v>TOAGRA SRL</v>
      </c>
      <c r="H85" s="480">
        <v>38092</v>
      </c>
      <c r="I85" s="481">
        <f>IF(compras_mes10[[#This Row],[NETO GRAVADO]]="","",compras_mes10[[#This Row],[NETO GRAVADO]]*0.21)</f>
        <v>7999.32</v>
      </c>
      <c r="J85" s="481"/>
      <c r="K85" s="481"/>
      <c r="L85" s="481"/>
      <c r="M85" s="481"/>
      <c r="N85" s="481">
        <v>1523.68</v>
      </c>
      <c r="O85" s="481"/>
      <c r="P85" s="482">
        <f>SUM(compras_mes10[[#This Row],[NETO GRAVADO]:[Otros / No Grav.]])</f>
        <v>47615</v>
      </c>
      <c r="Q85" s="483" t="str">
        <f>IFERROR(IF(compras_mes10[[#This Row],[CUIT]]="","-",VLOOKUP(compras_mes10[[#This Row],[CUIT]],Lista_CUIT[#All],3,0)),"CUIT NO CARGADO")</f>
        <v>GASTOS VARIOS</v>
      </c>
      <c r="R85" s="483">
        <f>IFERROR(IF(compras_mes10[[#This Row],[CUIT]]="","-",VLOOKUP(compras_mes10[[#This Row],[CUIT]],Lista_CUIT[#All],4,0)),"CUIT NO CARGADO")</f>
        <v>0</v>
      </c>
    </row>
    <row r="86" spans="2:18" x14ac:dyDescent="0.25">
      <c r="B86" s="219">
        <v>45224</v>
      </c>
      <c r="C86" s="209">
        <v>1</v>
      </c>
      <c r="D86" s="491">
        <v>105</v>
      </c>
      <c r="E86" s="492">
        <v>1357029</v>
      </c>
      <c r="F86" s="493">
        <v>30537882871</v>
      </c>
      <c r="G86" s="494" t="str">
        <f>IFERROR(IF(compras_mes10[[#This Row],[CUIT]]="","-",VLOOKUP(compras_mes10[[#This Row],[CUIT]],Lista_CUIT[#All],2,0)),"CUIT NO CARGADO")</f>
        <v>EL JUMILIANO SA</v>
      </c>
      <c r="H86" s="495">
        <v>3851.24</v>
      </c>
      <c r="I86" s="496">
        <f>IF(compras_mes10[[#This Row],[NETO GRAVADO]]="","",compras_mes10[[#This Row],[NETO GRAVADO]]*0.21)</f>
        <v>808.76039999999989</v>
      </c>
      <c r="J86" s="496"/>
      <c r="K86" s="496"/>
      <c r="L86" s="496"/>
      <c r="M86" s="496"/>
      <c r="N86" s="496">
        <v>154.05000000000001</v>
      </c>
      <c r="O86" s="496"/>
      <c r="P86" s="490">
        <f>SUM(compras_mes10[[#This Row],[NETO GRAVADO]:[Otros / No Grav.]])</f>
        <v>4814.0504000000001</v>
      </c>
      <c r="Q86" s="497" t="str">
        <f>IFERROR(IF(compras_mes10[[#This Row],[CUIT]]="","-",VLOOKUP(compras_mes10[[#This Row],[CUIT]],Lista_CUIT[#All],3,0)),"CUIT NO CARGADO")</f>
        <v>SERVICIOS</v>
      </c>
      <c r="R86" s="483">
        <f>IFERROR(IF(compras_mes10[[#This Row],[CUIT]]="","-",VLOOKUP(compras_mes10[[#This Row],[CUIT]],Lista_CUIT[#All],4,0)),"CUIT NO CARGADO")</f>
        <v>0</v>
      </c>
    </row>
    <row r="87" spans="2:18" x14ac:dyDescent="0.25">
      <c r="B87" s="475">
        <v>45225</v>
      </c>
      <c r="C87" s="489">
        <v>1</v>
      </c>
      <c r="D87" s="476">
        <v>2</v>
      </c>
      <c r="E87" s="477">
        <v>162</v>
      </c>
      <c r="F87" s="478">
        <v>20272865869</v>
      </c>
      <c r="G87" s="479" t="str">
        <f>IFERROR(IF(compras_mes10[[#This Row],[CUIT]]="","-",VLOOKUP(compras_mes10[[#This Row],[CUIT]],Lista_CUIT[#All],2,0)),"CUIT NO CARGADO")</f>
        <v>DI FEO MARTIN EZEQUIEL</v>
      </c>
      <c r="H87" s="480">
        <v>93255</v>
      </c>
      <c r="I87" s="481">
        <f>IF(compras_mes10[[#This Row],[NETO GRAVADO]]="","",compras_mes10[[#This Row],[NETO GRAVADO]]*0.21)</f>
        <v>19583.55</v>
      </c>
      <c r="J87" s="481"/>
      <c r="K87" s="481"/>
      <c r="L87" s="481"/>
      <c r="M87" s="481"/>
      <c r="N87" s="481"/>
      <c r="O87" s="481"/>
      <c r="P87" s="482">
        <f>SUM(compras_mes10[[#This Row],[NETO GRAVADO]:[Otros / No Grav.]])</f>
        <v>112838.55</v>
      </c>
      <c r="Q87" s="483" t="str">
        <f>IFERROR(IF(compras_mes10[[#This Row],[CUIT]]="","-",VLOOKUP(compras_mes10[[#This Row],[CUIT]],Lista_CUIT[#All],3,0)),"CUIT NO CARGADO")</f>
        <v>Productos Ortopedicos</v>
      </c>
      <c r="R87" s="483">
        <f>IFERROR(IF(compras_mes10[[#This Row],[CUIT]]="","-",VLOOKUP(compras_mes10[[#This Row],[CUIT]],Lista_CUIT[#All],4,0)),"CUIT NO CARGADO")</f>
        <v>0</v>
      </c>
    </row>
    <row r="88" spans="2:18" x14ac:dyDescent="0.25">
      <c r="B88" s="475">
        <v>45225</v>
      </c>
      <c r="C88" s="489">
        <v>1</v>
      </c>
      <c r="D88" s="476">
        <v>4</v>
      </c>
      <c r="E88" s="477">
        <v>434</v>
      </c>
      <c r="F88" s="478">
        <v>20379223185</v>
      </c>
      <c r="G88" s="479" t="str">
        <f>IFERROR(IF(compras_mes10[[#This Row],[CUIT]]="","-",VLOOKUP(compras_mes10[[#This Row],[CUIT]],Lista_CUIT[#All],2,0)),"CUIT NO CARGADO")</f>
        <v>AYALA MAURICIO JUAN JOSE</v>
      </c>
      <c r="H88" s="480">
        <v>32458.29</v>
      </c>
      <c r="I88" s="481">
        <f>IF(compras_mes10[[#This Row],[NETO GRAVADO]]="","",compras_mes10[[#This Row],[NETO GRAVADO]]*0.21)</f>
        <v>6816.2408999999998</v>
      </c>
      <c r="J88" s="481"/>
      <c r="K88" s="481"/>
      <c r="L88" s="481"/>
      <c r="M88" s="481"/>
      <c r="N88" s="481"/>
      <c r="O88" s="481"/>
      <c r="P88" s="482">
        <f>SUM(compras_mes10[[#This Row],[NETO GRAVADO]:[Otros / No Grav.]])</f>
        <v>39274.530899999998</v>
      </c>
      <c r="Q88" s="483" t="str">
        <f>IFERROR(IF(compras_mes10[[#This Row],[CUIT]]="","-",VLOOKUP(compras_mes10[[#This Row],[CUIT]],Lista_CUIT[#All],3,0)),"CUIT NO CARGADO")</f>
        <v>SERVICIOS</v>
      </c>
      <c r="R88" s="483">
        <f>IFERROR(IF(compras_mes10[[#This Row],[CUIT]]="","-",VLOOKUP(compras_mes10[[#This Row],[CUIT]],Lista_CUIT[#All],4,0)),"CUIT NO CARGADO")</f>
        <v>0</v>
      </c>
    </row>
    <row r="89" spans="2:18" x14ac:dyDescent="0.25">
      <c r="B89" s="219">
        <v>45225</v>
      </c>
      <c r="C89" s="209">
        <v>1</v>
      </c>
      <c r="D89" s="491">
        <v>7</v>
      </c>
      <c r="E89" s="492">
        <v>2361</v>
      </c>
      <c r="F89" s="493">
        <v>20284183534</v>
      </c>
      <c r="G89" s="494" t="str">
        <f>IFERROR(IF(compras_mes10[[#This Row],[CUIT]]="","-",VLOOKUP(compras_mes10[[#This Row],[CUIT]],Lista_CUIT[#All],2,0)),"CUIT NO CARGADO")</f>
        <v>FURLANETTO MARTIN</v>
      </c>
      <c r="H89" s="495">
        <v>1157.03</v>
      </c>
      <c r="I89" s="496">
        <f>IF(compras_mes10[[#This Row],[NETO GRAVADO]]="","",compras_mes10[[#This Row],[NETO GRAVADO]]*0.21)</f>
        <v>242.97629999999998</v>
      </c>
      <c r="J89" s="496"/>
      <c r="K89" s="496"/>
      <c r="L89" s="496"/>
      <c r="M89" s="496"/>
      <c r="N89" s="496"/>
      <c r="O89" s="496"/>
      <c r="P89" s="490">
        <f>SUM(compras_mes10[[#This Row],[NETO GRAVADO]:[Otros / No Grav.]])</f>
        <v>1400.0063</v>
      </c>
      <c r="Q89" s="497" t="str">
        <f>IFERROR(IF(compras_mes10[[#This Row],[CUIT]]="","-",VLOOKUP(compras_mes10[[#This Row],[CUIT]],Lista_CUIT[#All],3,0)),"CUIT NO CARGADO")</f>
        <v>PAPELERIA</v>
      </c>
      <c r="R89" s="483">
        <f>IFERROR(IF(compras_mes10[[#This Row],[CUIT]]="","-",VLOOKUP(compras_mes10[[#This Row],[CUIT]],Lista_CUIT[#All],4,0)),"CUIT NO CARGADO")</f>
        <v>0</v>
      </c>
    </row>
    <row r="90" spans="2:18" x14ac:dyDescent="0.25">
      <c r="B90" s="475">
        <v>45225</v>
      </c>
      <c r="C90" s="489">
        <v>1</v>
      </c>
      <c r="D90" s="476">
        <v>7</v>
      </c>
      <c r="E90" s="477">
        <v>28035</v>
      </c>
      <c r="F90" s="478">
        <v>20271532483</v>
      </c>
      <c r="G90" s="479" t="str">
        <f>IFERROR(IF(compras_mes10[[#This Row],[CUIT]]="","-",VLOOKUP(compras_mes10[[#This Row],[CUIT]],Lista_CUIT[#All],2,0)),"CUIT NO CARGADO")</f>
        <v>DIEGO MARTIN RIOS</v>
      </c>
      <c r="H90" s="480">
        <v>2714088.96</v>
      </c>
      <c r="I90" s="481">
        <f>IF(compras_mes10[[#This Row],[NETO GRAVADO]]="","",compras_mes10[[#This Row],[NETO GRAVADO]]*0.21)</f>
        <v>569958.68160000001</v>
      </c>
      <c r="J90" s="481"/>
      <c r="K90" s="481"/>
      <c r="L90" s="481"/>
      <c r="M90" s="481"/>
      <c r="N90" s="481">
        <v>108563.56</v>
      </c>
      <c r="O90" s="481"/>
      <c r="P90" s="482">
        <f>SUM(compras_mes10[[#This Row],[NETO GRAVADO]:[Otros / No Grav.]])</f>
        <v>3392611.2015999998</v>
      </c>
      <c r="Q90" s="483" t="str">
        <f>IFERROR(IF(compras_mes10[[#This Row],[CUIT]]="","-",VLOOKUP(compras_mes10[[#This Row],[CUIT]],Lista_CUIT[#All],3,0)),"CUIT NO CARGADO")</f>
        <v>Productos Ortopedicos</v>
      </c>
      <c r="R90" s="483">
        <f>IFERROR(IF(compras_mes10[[#This Row],[CUIT]]="","-",VLOOKUP(compras_mes10[[#This Row],[CUIT]],Lista_CUIT[#All],4,0)),"CUIT NO CARGADO")</f>
        <v>0</v>
      </c>
    </row>
    <row r="91" spans="2:18" x14ac:dyDescent="0.25">
      <c r="B91" s="475">
        <v>45225</v>
      </c>
      <c r="C91" s="489">
        <v>1</v>
      </c>
      <c r="D91" s="476">
        <v>5</v>
      </c>
      <c r="E91" s="477">
        <v>2882758</v>
      </c>
      <c r="F91" s="478">
        <v>30702652975</v>
      </c>
      <c r="G91" s="479" t="str">
        <f>IFERROR(IF(compras_mes10[[#This Row],[CUIT]]="","-",VLOOKUP(compras_mes10[[#This Row],[CUIT]],Lista_CUIT[#All],2,0)),"CUIT NO CARGADO")</f>
        <v>NSS SA</v>
      </c>
      <c r="H91" s="480">
        <v>10640.99</v>
      </c>
      <c r="I91" s="481">
        <f>IF(compras_mes10[[#This Row],[NETO GRAVADO]]="","",compras_mes10[[#This Row],[NETO GRAVADO]]*0.21)</f>
        <v>2234.6079</v>
      </c>
      <c r="J91" s="481"/>
      <c r="K91" s="481"/>
      <c r="L91" s="481"/>
      <c r="M91" s="481"/>
      <c r="N91" s="481">
        <v>425.64</v>
      </c>
      <c r="O91" s="481"/>
      <c r="P91" s="482">
        <f>SUM(compras_mes10[[#This Row],[NETO GRAVADO]:[Otros / No Grav.]])</f>
        <v>13301.2379</v>
      </c>
      <c r="Q91" s="483" t="str">
        <f>IFERROR(IF(compras_mes10[[#This Row],[CUIT]]="","-",VLOOKUP(compras_mes10[[#This Row],[CUIT]],Lista_CUIT[#All],3,0)),"CUIT NO CARGADO")</f>
        <v>TELEFONIA</v>
      </c>
      <c r="R91" s="483">
        <f>IFERROR(IF(compras_mes10[[#This Row],[CUIT]]="","-",VLOOKUP(compras_mes10[[#This Row],[CUIT]],Lista_CUIT[#All],4,0)),"CUIT NO CARGADO")</f>
        <v>0</v>
      </c>
    </row>
    <row r="92" spans="2:18" x14ac:dyDescent="0.25">
      <c r="B92" s="475">
        <v>45226</v>
      </c>
      <c r="C92" s="489">
        <v>1</v>
      </c>
      <c r="D92" s="476">
        <v>3</v>
      </c>
      <c r="E92" s="477">
        <v>8</v>
      </c>
      <c r="F92" s="478">
        <v>20396584809</v>
      </c>
      <c r="G92" s="479" t="str">
        <f>IFERROR(IF(compras_mes10[[#This Row],[CUIT]]="","-",VLOOKUP(compras_mes10[[#This Row],[CUIT]],Lista_CUIT[#All],2,0)),"CUIT NO CARGADO")</f>
        <v>DEBELIUCH TOMAS IVAN</v>
      </c>
      <c r="H92" s="480">
        <v>39819.050000000003</v>
      </c>
      <c r="I92" s="481"/>
      <c r="J92" s="481"/>
      <c r="K92" s="481">
        <v>4181</v>
      </c>
      <c r="L92" s="481"/>
      <c r="M92" s="481"/>
      <c r="N92" s="481"/>
      <c r="O92" s="481"/>
      <c r="P92" s="482">
        <f>SUM(compras_mes10[[#This Row],[NETO GRAVADO]:[Otros / No Grav.]])</f>
        <v>44000.05</v>
      </c>
      <c r="Q92" s="483" t="str">
        <f>IFERROR(IF(compras_mes10[[#This Row],[CUIT]]="","-",VLOOKUP(compras_mes10[[#This Row],[CUIT]],Lista_CUIT[#All],3,0)),"CUIT NO CARGADO")</f>
        <v>Productos Ortopedicos</v>
      </c>
      <c r="R92" s="483">
        <f>IFERROR(IF(compras_mes10[[#This Row],[CUIT]]="","-",VLOOKUP(compras_mes10[[#This Row],[CUIT]],Lista_CUIT[#All],4,0)),"CUIT NO CARGADO")</f>
        <v>0</v>
      </c>
    </row>
    <row r="93" spans="2:18" x14ac:dyDescent="0.25">
      <c r="B93" s="475">
        <v>45226</v>
      </c>
      <c r="C93" s="489">
        <v>1</v>
      </c>
      <c r="D93" s="476">
        <v>2</v>
      </c>
      <c r="E93" s="477">
        <v>168</v>
      </c>
      <c r="F93" s="478">
        <v>20272865869</v>
      </c>
      <c r="G93" s="479" t="str">
        <f>IFERROR(IF(compras_mes10[[#This Row],[CUIT]]="","-",VLOOKUP(compras_mes10[[#This Row],[CUIT]],Lista_CUIT[#All],2,0)),"CUIT NO CARGADO")</f>
        <v>DI FEO MARTIN EZEQUIEL</v>
      </c>
      <c r="H93" s="480">
        <v>36000</v>
      </c>
      <c r="I93" s="481">
        <f>IF(compras_mes10[[#This Row],[NETO GRAVADO]]="","",compras_mes10[[#This Row],[NETO GRAVADO]]*0.21)</f>
        <v>7560</v>
      </c>
      <c r="J93" s="481"/>
      <c r="K93" s="481"/>
      <c r="L93" s="481"/>
      <c r="M93" s="481"/>
      <c r="N93" s="481"/>
      <c r="O93" s="481"/>
      <c r="P93" s="482">
        <f>SUM(compras_mes10[[#This Row],[NETO GRAVADO]:[Otros / No Grav.]])</f>
        <v>43560</v>
      </c>
      <c r="Q93" s="483" t="str">
        <f>IFERROR(IF(compras_mes10[[#This Row],[CUIT]]="","-",VLOOKUP(compras_mes10[[#This Row],[CUIT]],Lista_CUIT[#All],3,0)),"CUIT NO CARGADO")</f>
        <v>Productos Ortopedicos</v>
      </c>
      <c r="R93" s="483">
        <f>IFERROR(IF(compras_mes10[[#This Row],[CUIT]]="","-",VLOOKUP(compras_mes10[[#This Row],[CUIT]],Lista_CUIT[#All],4,0)),"CUIT NO CARGADO")</f>
        <v>0</v>
      </c>
    </row>
    <row r="94" spans="2:18" x14ac:dyDescent="0.25">
      <c r="B94" s="475">
        <v>45226</v>
      </c>
      <c r="C94" s="489">
        <v>1</v>
      </c>
      <c r="D94" s="476">
        <v>5</v>
      </c>
      <c r="E94" s="477">
        <v>995</v>
      </c>
      <c r="F94" s="478">
        <v>20242126158</v>
      </c>
      <c r="G94" s="479" t="str">
        <f>IFERROR(IF(compras_mes10[[#This Row],[CUIT]]="","-",VLOOKUP(compras_mes10[[#This Row],[CUIT]],Lista_CUIT[#All],2,0)),"CUIT NO CARGADO")</f>
        <v>IALLONARDO SERGIO</v>
      </c>
      <c r="H94" s="480">
        <v>693720</v>
      </c>
      <c r="I94" s="481">
        <v>9601.2000000000007</v>
      </c>
      <c r="J94" s="481"/>
      <c r="K94" s="481">
        <v>68040</v>
      </c>
      <c r="L94" s="481"/>
      <c r="M94" s="481"/>
      <c r="N94" s="481"/>
      <c r="O94" s="481"/>
      <c r="P94" s="482">
        <f>SUM(compras_mes10[[#This Row],[NETO GRAVADO]:[Otros / No Grav.]])</f>
        <v>771361.2</v>
      </c>
      <c r="Q94" s="483" t="str">
        <f>IFERROR(IF(compras_mes10[[#This Row],[CUIT]]="","-",VLOOKUP(compras_mes10[[#This Row],[CUIT]],Lista_CUIT[#All],3,0)),"CUIT NO CARGADO")</f>
        <v>PROD ORTOP P/ALQ</v>
      </c>
      <c r="R94" s="483">
        <f>IFERROR(IF(compras_mes10[[#This Row],[CUIT]]="","-",VLOOKUP(compras_mes10[[#This Row],[CUIT]],Lista_CUIT[#All],4,0)),"CUIT NO CARGADO")</f>
        <v>0</v>
      </c>
    </row>
    <row r="95" spans="2:18" x14ac:dyDescent="0.25">
      <c r="B95" s="219">
        <v>45228</v>
      </c>
      <c r="C95" s="209">
        <v>1</v>
      </c>
      <c r="D95" s="491">
        <v>23</v>
      </c>
      <c r="E95" s="492">
        <v>1762895</v>
      </c>
      <c r="F95" s="493">
        <v>30703088534</v>
      </c>
      <c r="G95" s="494" t="str">
        <f>IFERROR(IF(compras_mes10[[#This Row],[CUIT]]="","-",VLOOKUP(compras_mes10[[#This Row],[CUIT]],Lista_CUIT[#All],2,0)),"CUIT NO CARGADO")</f>
        <v>MERCADO LIBRE SRL</v>
      </c>
      <c r="H95" s="495">
        <v>16870.34</v>
      </c>
      <c r="I95" s="496">
        <f>IF(compras_mes10[[#This Row],[NETO GRAVADO]]="","",compras_mes10[[#This Row],[NETO GRAVADO]]*0.21)</f>
        <v>3542.7714000000001</v>
      </c>
      <c r="J95" s="496"/>
      <c r="K95" s="496"/>
      <c r="L95" s="496"/>
      <c r="M95" s="496"/>
      <c r="N95" s="496"/>
      <c r="O95" s="496">
        <v>1180.93</v>
      </c>
      <c r="P95" s="490">
        <f>SUM(compras_mes10[[#This Row],[NETO GRAVADO]:[Otros / No Grav.]])</f>
        <v>21594.041400000002</v>
      </c>
      <c r="Q95" s="497" t="str">
        <f>IFERROR(IF(compras_mes10[[#This Row],[CUIT]]="","-",VLOOKUP(compras_mes10[[#This Row],[CUIT]],Lista_CUIT[#All],3,0)),"CUIT NO CARGADO")</f>
        <v>GASTOS COMERCIALIZACION</v>
      </c>
      <c r="R95" s="483">
        <f>IFERROR(IF(compras_mes10[[#This Row],[CUIT]]="","-",VLOOKUP(compras_mes10[[#This Row],[CUIT]],Lista_CUIT[#All],4,0)),"CUIT NO CARGADO")</f>
        <v>0</v>
      </c>
    </row>
    <row r="96" spans="2:18" x14ac:dyDescent="0.25">
      <c r="B96" s="475">
        <v>45229</v>
      </c>
      <c r="C96" s="489">
        <v>1</v>
      </c>
      <c r="D96" s="476">
        <v>3</v>
      </c>
      <c r="E96" s="477">
        <v>109</v>
      </c>
      <c r="F96" s="478">
        <v>20334976433</v>
      </c>
      <c r="G96" s="479" t="str">
        <f>IFERROR(IF(compras_mes10[[#This Row],[CUIT]]="","-",VLOOKUP(compras_mes10[[#This Row],[CUIT]],Lista_CUIT[#All],2,0)),"CUIT NO CARGADO")</f>
        <v>NARDOMARINO EZEQUIEL EDUARDO</v>
      </c>
      <c r="H96" s="480">
        <v>178248.76</v>
      </c>
      <c r="I96" s="481">
        <f>IF(compras_mes10[[#This Row],[NETO GRAVADO]]="","",compras_mes10[[#This Row],[NETO GRAVADO]]*0.21)</f>
        <v>37432.239600000001</v>
      </c>
      <c r="J96" s="481"/>
      <c r="K96" s="481"/>
      <c r="L96" s="481"/>
      <c r="M96" s="481"/>
      <c r="N96" s="481"/>
      <c r="O96" s="481"/>
      <c r="P96" s="482">
        <f>SUM(compras_mes10[[#This Row],[NETO GRAVADO]:[Otros / No Grav.]])</f>
        <v>215680.99960000001</v>
      </c>
      <c r="Q96" s="483" t="str">
        <f>IFERROR(IF(compras_mes10[[#This Row],[CUIT]]="","-",VLOOKUP(compras_mes10[[#This Row],[CUIT]],Lista_CUIT[#All],3,0)),"CUIT NO CARGADO")</f>
        <v>FLETE</v>
      </c>
      <c r="R96" s="483">
        <f>IFERROR(IF(compras_mes10[[#This Row],[CUIT]]="","-",VLOOKUP(compras_mes10[[#This Row],[CUIT]],Lista_CUIT[#All],4,0)),"CUIT NO CARGADO")</f>
        <v>0</v>
      </c>
    </row>
    <row r="97" spans="2:18" x14ac:dyDescent="0.25">
      <c r="B97" s="475">
        <v>45229</v>
      </c>
      <c r="C97" s="489">
        <v>1</v>
      </c>
      <c r="D97" s="476">
        <v>7</v>
      </c>
      <c r="E97" s="477">
        <v>16830</v>
      </c>
      <c r="F97" s="478">
        <v>30709214078</v>
      </c>
      <c r="G97" s="479" t="str">
        <f>IFERROR(IF(compras_mes10[[#This Row],[CUIT]]="","-",VLOOKUP(compras_mes10[[#This Row],[CUIT]],Lista_CUIT[#All],2,0)),"CUIT NO CARGADO")</f>
        <v>REHAVITA S.A</v>
      </c>
      <c r="H97" s="480">
        <v>207083</v>
      </c>
      <c r="I97" s="481">
        <f>IF(compras_mes10[[#This Row],[NETO GRAVADO]]="","",compras_mes10[[#This Row],[NETO GRAVADO]]*0.21)</f>
        <v>43487.43</v>
      </c>
      <c r="J97" s="481"/>
      <c r="K97" s="481"/>
      <c r="L97" s="481"/>
      <c r="M97" s="481"/>
      <c r="N97" s="481"/>
      <c r="O97" s="481"/>
      <c r="P97" s="482">
        <f>SUM(compras_mes10[[#This Row],[NETO GRAVADO]:[Otros / No Grav.]])</f>
        <v>250570.43</v>
      </c>
      <c r="Q97" s="483" t="str">
        <f>IFERROR(IF(compras_mes10[[#This Row],[CUIT]]="","-",VLOOKUP(compras_mes10[[#This Row],[CUIT]],Lista_CUIT[#All],3,0)),"CUIT NO CARGADO")</f>
        <v>Productos Ortopedicos</v>
      </c>
      <c r="R97" s="483">
        <f>IFERROR(IF(compras_mes10[[#This Row],[CUIT]]="","-",VLOOKUP(compras_mes10[[#This Row],[CUIT]],Lista_CUIT[#All],4,0)),"CUIT NO CARGADO")</f>
        <v>0</v>
      </c>
    </row>
    <row r="98" spans="2:18" x14ac:dyDescent="0.25">
      <c r="B98" s="475">
        <v>45230</v>
      </c>
      <c r="C98" s="489">
        <v>1</v>
      </c>
      <c r="D98" s="476">
        <v>8</v>
      </c>
      <c r="E98" s="477">
        <v>217</v>
      </c>
      <c r="F98" s="478">
        <v>30643518364</v>
      </c>
      <c r="G98" s="479" t="str">
        <f>IFERROR(IF(compras_mes10[[#This Row],[CUIT]]="","-",VLOOKUP(compras_mes10[[#This Row],[CUIT]],Lista_CUIT[#All],2,0)),"CUIT NO CARGADO")</f>
        <v>FARMACIA DE MEDRANO SCS</v>
      </c>
      <c r="H98" s="480">
        <v>51300</v>
      </c>
      <c r="I98" s="481">
        <f>IF(compras_mes10[[#This Row],[NETO GRAVADO]]="","",compras_mes10[[#This Row],[NETO GRAVADO]]*0.21)</f>
        <v>10773</v>
      </c>
      <c r="J98" s="481"/>
      <c r="K98" s="481"/>
      <c r="L98" s="481"/>
      <c r="M98" s="481"/>
      <c r="N98" s="481"/>
      <c r="O98" s="481"/>
      <c r="P98" s="482">
        <f>SUM(compras_mes10[[#This Row],[NETO GRAVADO]:[Otros / No Grav.]])</f>
        <v>62073</v>
      </c>
      <c r="Q98" s="483" t="str">
        <f>IFERROR(IF(compras_mes10[[#This Row],[CUIT]]="","-",VLOOKUP(compras_mes10[[#This Row],[CUIT]],Lista_CUIT[#All],3,0)),"CUIT NO CARGADO")</f>
        <v>Productos Ortopedicos</v>
      </c>
      <c r="R98" s="483">
        <f>IFERROR(IF(compras_mes10[[#This Row],[CUIT]]="","-",VLOOKUP(compras_mes10[[#This Row],[CUIT]],Lista_CUIT[#All],4,0)),"CUIT NO CARGADO")</f>
        <v>0</v>
      </c>
    </row>
    <row r="99" spans="2:18" x14ac:dyDescent="0.25">
      <c r="B99" s="475">
        <v>45230</v>
      </c>
      <c r="C99" s="489">
        <v>1</v>
      </c>
      <c r="D99" s="476">
        <v>5</v>
      </c>
      <c r="E99" s="477">
        <v>1423</v>
      </c>
      <c r="F99" s="478">
        <v>30712187316</v>
      </c>
      <c r="G99" s="479" t="str">
        <f>IFERROR(IF(compras_mes10[[#This Row],[CUIT]]="","-",VLOOKUP(compras_mes10[[#This Row],[CUIT]],Lista_CUIT[#All],2,0)),"CUIT NO CARGADO")</f>
        <v>ITALOMED PRODUCTOS SRL</v>
      </c>
      <c r="H99" s="480">
        <v>231885.44</v>
      </c>
      <c r="I99" s="481">
        <f>IF(compras_mes10[[#This Row],[NETO GRAVADO]]="","",compras_mes10[[#This Row],[NETO GRAVADO]]*0.21)</f>
        <v>48695.9424</v>
      </c>
      <c r="J99" s="481"/>
      <c r="K99" s="481"/>
      <c r="L99" s="481"/>
      <c r="M99" s="481"/>
      <c r="N99" s="481"/>
      <c r="O99" s="481"/>
      <c r="P99" s="482">
        <f>SUM(compras_mes10[[#This Row],[NETO GRAVADO]:[Otros / No Grav.]])</f>
        <v>280581.3824</v>
      </c>
      <c r="Q99" s="483" t="str">
        <f>IFERROR(IF(compras_mes10[[#This Row],[CUIT]]="","-",VLOOKUP(compras_mes10[[#This Row],[CUIT]],Lista_CUIT[#All],3,0)),"CUIT NO CARGADO")</f>
        <v>Productos Ortopedicos</v>
      </c>
      <c r="R99" s="483">
        <f>IFERROR(IF(compras_mes10[[#This Row],[CUIT]]="","-",VLOOKUP(compras_mes10[[#This Row],[CUIT]],Lista_CUIT[#All],4,0)),"CUIT NO CARGADO")</f>
        <v>0</v>
      </c>
    </row>
    <row r="100" spans="2:18" x14ac:dyDescent="0.25">
      <c r="B100" s="219">
        <v>45230</v>
      </c>
      <c r="C100" s="209">
        <v>1</v>
      </c>
      <c r="D100" s="491">
        <v>5</v>
      </c>
      <c r="E100" s="492">
        <v>4536</v>
      </c>
      <c r="F100" s="493">
        <v>30715833243</v>
      </c>
      <c r="G100" s="494" t="str">
        <f>IFERROR(IF(compras_mes10[[#This Row],[CUIT]]="","-",VLOOKUP(compras_mes10[[#This Row],[CUIT]],Lista_CUIT[#All],2,0)),"CUIT NO CARGADO")</f>
        <v>BIODINAMICA ASIST E INSUMOS</v>
      </c>
      <c r="H100" s="495">
        <v>62152</v>
      </c>
      <c r="I100" s="496">
        <f>IF(compras_mes10[[#This Row],[NETO GRAVADO]]="","",compras_mes10[[#This Row],[NETO GRAVADO]]*0.21)</f>
        <v>13051.92</v>
      </c>
      <c r="J100" s="496"/>
      <c r="K100" s="496"/>
      <c r="L100" s="496"/>
      <c r="M100" s="496"/>
      <c r="N100" s="496"/>
      <c r="O100" s="496"/>
      <c r="P100" s="490">
        <f>SUM(compras_mes10[[#This Row],[NETO GRAVADO]:[Otros / No Grav.]])</f>
        <v>75203.92</v>
      </c>
      <c r="Q100" s="497" t="str">
        <f>IFERROR(IF(compras_mes10[[#This Row],[CUIT]]="","-",VLOOKUP(compras_mes10[[#This Row],[CUIT]],Lista_CUIT[#All],3,0)),"CUIT NO CARGADO")</f>
        <v>INSUMO</v>
      </c>
      <c r="R100" s="483">
        <f>IFERROR(IF(compras_mes10[[#This Row],[CUIT]]="","-",VLOOKUP(compras_mes10[[#This Row],[CUIT]],Lista_CUIT[#All],4,0)),"CUIT NO CARGADO")</f>
        <v>0</v>
      </c>
    </row>
    <row r="101" spans="2:18" x14ac:dyDescent="0.25">
      <c r="B101" s="219">
        <v>45230</v>
      </c>
      <c r="C101" s="209">
        <v>1</v>
      </c>
      <c r="D101" s="491">
        <v>2</v>
      </c>
      <c r="E101" s="492">
        <v>23187</v>
      </c>
      <c r="F101" s="493">
        <v>23233422029</v>
      </c>
      <c r="G101" s="494" t="str">
        <f>IFERROR(IF(compras_mes10[[#This Row],[CUIT]]="","-",VLOOKUP(compras_mes10[[#This Row],[CUIT]],Lista_CUIT[#All],2,0)),"CUIT NO CARGADO")</f>
        <v>RODOLFO SCHULZE</v>
      </c>
      <c r="H101" s="495">
        <v>114467.8</v>
      </c>
      <c r="I101" s="496">
        <f>IF(compras_mes10[[#This Row],[NETO GRAVADO]]="","",compras_mes10[[#This Row],[NETO GRAVADO]]*0.21)</f>
        <v>24038.238000000001</v>
      </c>
      <c r="J101" s="496"/>
      <c r="K101" s="496"/>
      <c r="L101" s="496"/>
      <c r="M101" s="496"/>
      <c r="N101" s="496"/>
      <c r="O101" s="496"/>
      <c r="P101" s="490">
        <f>SUM(compras_mes10[[#This Row],[NETO GRAVADO]:[Otros / No Grav.]])</f>
        <v>138506.038</v>
      </c>
      <c r="Q101" s="497" t="str">
        <f>IFERROR(IF(compras_mes10[[#This Row],[CUIT]]="","-",VLOOKUP(compras_mes10[[#This Row],[CUIT]],Lista_CUIT[#All],3,0)),"CUIT NO CARGADO")</f>
        <v>Productos Ortopedicos</v>
      </c>
      <c r="R101" s="483">
        <f>IFERROR(IF(compras_mes10[[#This Row],[CUIT]]="","-",VLOOKUP(compras_mes10[[#This Row],[CUIT]],Lista_CUIT[#All],4,0)),"CUIT NO CARGADO")</f>
        <v>0</v>
      </c>
    </row>
    <row r="102" spans="2:18" x14ac:dyDescent="0.25">
      <c r="B102" s="219">
        <v>45230</v>
      </c>
      <c r="C102" s="209">
        <v>1</v>
      </c>
      <c r="D102" s="491">
        <v>20</v>
      </c>
      <c r="E102" s="492">
        <v>165523</v>
      </c>
      <c r="F102" s="493">
        <v>30696850972</v>
      </c>
      <c r="G102" s="494" t="str">
        <f>IFERROR(IF(compras_mes10[[#This Row],[CUIT]]="","-",VLOOKUP(compras_mes10[[#This Row],[CUIT]],Lista_CUIT[#All],2,0)),"CUIT NO CARGADO")</f>
        <v>CPS COMUNICACIONES SA</v>
      </c>
      <c r="H102" s="495">
        <v>5920.94</v>
      </c>
      <c r="I102" s="496"/>
      <c r="J102" s="496">
        <v>1598.65</v>
      </c>
      <c r="K102" s="496"/>
      <c r="L102" s="496"/>
      <c r="M102" s="496"/>
      <c r="N102" s="496">
        <v>236.84</v>
      </c>
      <c r="O102" s="496"/>
      <c r="P102" s="490">
        <f>SUM(compras_mes10[[#This Row],[NETO GRAVADO]:[Otros / No Grav.]])</f>
        <v>7756.43</v>
      </c>
      <c r="Q102" s="497" t="str">
        <f>IFERROR(IF(compras_mes10[[#This Row],[CUIT]]="","-",VLOOKUP(compras_mes10[[#This Row],[CUIT]],Lista_CUIT[#All],3,0)),"CUIT NO CARGADO")</f>
        <v>SERVICIO DE TELEFONIA</v>
      </c>
      <c r="R102" s="483">
        <f>IFERROR(IF(compras_mes10[[#This Row],[CUIT]]="","-",VLOOKUP(compras_mes10[[#This Row],[CUIT]],Lista_CUIT[#All],4,0)),"CUIT NO CARGADO")</f>
        <v>0</v>
      </c>
    </row>
    <row r="103" spans="2:18" x14ac:dyDescent="0.25">
      <c r="B103" s="219">
        <v>45230</v>
      </c>
      <c r="C103" s="209">
        <v>1</v>
      </c>
      <c r="D103" s="491">
        <v>503</v>
      </c>
      <c r="E103" s="492">
        <v>1047651</v>
      </c>
      <c r="F103" s="493">
        <v>30639935872</v>
      </c>
      <c r="G103" s="494" t="str">
        <f>IFERROR(IF(compras_mes10[[#This Row],[CUIT]]="","-",VLOOKUP(compras_mes10[[#This Row],[CUIT]],Lista_CUIT[#All],2,0)),"CUIT NO CARGADO")</f>
        <v>CAMINOS DEL RIO URUGUAY S A DE CONSTRUCCIONES Y CONCESIONES VIALES</v>
      </c>
      <c r="H103" s="495">
        <v>1570.25</v>
      </c>
      <c r="I103" s="496">
        <f>IF(compras_mes10[[#This Row],[NETO GRAVADO]]="","",compras_mes10[[#This Row],[NETO GRAVADO]]*0.21)</f>
        <v>329.7525</v>
      </c>
      <c r="J103" s="496"/>
      <c r="K103" s="496"/>
      <c r="L103" s="496"/>
      <c r="M103" s="496"/>
      <c r="N103" s="496">
        <v>62.81</v>
      </c>
      <c r="O103" s="496"/>
      <c r="P103" s="490">
        <f>SUM(compras_mes10[[#This Row],[NETO GRAVADO]:[Otros / No Grav.]])</f>
        <v>1962.8125</v>
      </c>
      <c r="Q103" s="497" t="str">
        <f>IFERROR(IF(compras_mes10[[#This Row],[CUIT]]="","-",VLOOKUP(compras_mes10[[#This Row],[CUIT]],Lista_CUIT[#All],3,0)),"CUIT NO CARGADO")</f>
        <v>PEAJE</v>
      </c>
      <c r="R103" s="483">
        <f>IFERROR(IF(compras_mes10[[#This Row],[CUIT]]="","-",VLOOKUP(compras_mes10[[#This Row],[CUIT]],Lista_CUIT[#All],4,0)),"CUIT NO CARGADO")</f>
        <v>0</v>
      </c>
    </row>
    <row r="104" spans="2:18" x14ac:dyDescent="0.25">
      <c r="B104" s="219">
        <v>45230</v>
      </c>
      <c r="C104" s="209">
        <v>1</v>
      </c>
      <c r="D104" s="491">
        <v>104</v>
      </c>
      <c r="E104" s="492">
        <v>4304607</v>
      </c>
      <c r="F104" s="493">
        <v>30715804812</v>
      </c>
      <c r="G104" s="494" t="str">
        <f>IFERROR(IF(compras_mes10[[#This Row],[CUIT]]="","-",VLOOKUP(compras_mes10[[#This Row],[CUIT]],Lista_CUIT[#All],2,0)),"CUIT NO CARGADO")</f>
        <v>CORREDORES VIALES SOCIEDAD ANONIMA</v>
      </c>
      <c r="H104" s="495">
        <v>330.58</v>
      </c>
      <c r="I104" s="496">
        <f>IF(compras_mes10[[#This Row],[NETO GRAVADO]]="","",compras_mes10[[#This Row],[NETO GRAVADO]]*0.21)</f>
        <v>69.42179999999999</v>
      </c>
      <c r="J104" s="496"/>
      <c r="K104" s="496"/>
      <c r="L104" s="496"/>
      <c r="M104" s="496"/>
      <c r="N104" s="496">
        <v>13.22</v>
      </c>
      <c r="O104" s="496"/>
      <c r="P104" s="490">
        <f>SUM(compras_mes10[[#This Row],[NETO GRAVADO]:[Otros / No Grav.]])</f>
        <v>413.22180000000003</v>
      </c>
      <c r="Q104" s="497" t="str">
        <f>IFERROR(IF(compras_mes10[[#This Row],[CUIT]]="","-",VLOOKUP(compras_mes10[[#This Row],[CUIT]],Lista_CUIT[#All],3,0)),"CUIT NO CARGADO")</f>
        <v>Autopista</v>
      </c>
      <c r="R104" s="483">
        <f>IFERROR(IF(compras_mes10[[#This Row],[CUIT]]="","-",VLOOKUP(compras_mes10[[#This Row],[CUIT]],Lista_CUIT[#All],4,0)),"CUIT NO CARGADO")</f>
        <v>0</v>
      </c>
    </row>
    <row r="105" spans="2:18" x14ac:dyDescent="0.25">
      <c r="B105" s="219">
        <v>45230</v>
      </c>
      <c r="C105" s="209">
        <v>1</v>
      </c>
      <c r="D105" s="491">
        <v>6</v>
      </c>
      <c r="E105" s="492">
        <v>14985107</v>
      </c>
      <c r="F105" s="493">
        <v>30620177497</v>
      </c>
      <c r="G105" s="494" t="str">
        <f>IFERROR(IF(compras_mes10[[#This Row],[CUIT]]="","-",VLOOKUP(compras_mes10[[#This Row],[CUIT]],Lista_CUIT[#All],2,0)),"CUIT NO CARGADO")</f>
        <v>POSNET SOCIEDAD DE RESPONSABILIDAD LIMITADA</v>
      </c>
      <c r="H105" s="495">
        <v>8245.33</v>
      </c>
      <c r="I105" s="496">
        <f>IF(compras_mes10[[#This Row],[NETO GRAVADO]]="","",compras_mes10[[#This Row],[NETO GRAVADO]]*0.21)</f>
        <v>1731.5192999999999</v>
      </c>
      <c r="J105" s="496"/>
      <c r="K105" s="496"/>
      <c r="L105" s="496"/>
      <c r="M105" s="496"/>
      <c r="N105" s="496">
        <v>577.16999999999996</v>
      </c>
      <c r="O105" s="496"/>
      <c r="P105" s="490">
        <f>SUM(compras_mes10[[#This Row],[NETO GRAVADO]:[Otros / No Grav.]])</f>
        <v>10554.0193</v>
      </c>
      <c r="Q105" s="497" t="str">
        <f>IFERROR(IF(compras_mes10[[#This Row],[CUIT]]="","-",VLOOKUP(compras_mes10[[#This Row],[CUIT]],Lista_CUIT[#All],3,0)),"CUIT NO CARGADO")</f>
        <v>GASTOS VARIOS</v>
      </c>
      <c r="R105" s="483">
        <f>IFERROR(IF(compras_mes10[[#This Row],[CUIT]]="","-",VLOOKUP(compras_mes10[[#This Row],[CUIT]],Lista_CUIT[#All],4,0)),"CUIT NO CARGADO")</f>
        <v>0</v>
      </c>
    </row>
    <row r="106" spans="2:18" x14ac:dyDescent="0.25">
      <c r="B106" s="475"/>
      <c r="C106" s="489"/>
      <c r="D106" s="476"/>
      <c r="E106" s="477"/>
      <c r="F106" s="478"/>
      <c r="G106" s="479" t="str">
        <f>IFERROR(IF(compras_mes10[[#This Row],[CUIT]]="","-",VLOOKUP(compras_mes10[[#This Row],[CUIT]],Lista_CUIT[#All],2,0)),"CUIT NO CARGADO")</f>
        <v>-</v>
      </c>
      <c r="H106" s="480"/>
      <c r="I106" s="481" t="str">
        <f>IF(compras_mes10[[#This Row],[NETO GRAVADO]]="","",compras_mes10[[#This Row],[NETO GRAVADO]]*0.21)</f>
        <v/>
      </c>
      <c r="J106" s="481"/>
      <c r="K106" s="481"/>
      <c r="L106" s="481"/>
      <c r="M106" s="481"/>
      <c r="N106" s="481"/>
      <c r="O106" s="481"/>
      <c r="P106" s="482">
        <f>SUM(compras_mes10[[#This Row],[NETO GRAVADO]:[Otros / No Grav.]])</f>
        <v>0</v>
      </c>
      <c r="Q106" s="483" t="str">
        <f>IFERROR(IF(compras_mes10[[#This Row],[CUIT]]="","-",VLOOKUP(compras_mes10[[#This Row],[CUIT]],Lista_CUIT[#All],3,0)),"CUIT NO CARGADO")</f>
        <v>-</v>
      </c>
      <c r="R106" s="483" t="str">
        <f>IFERROR(IF(compras_mes10[[#This Row],[CUIT]]="","-",VLOOKUP(compras_mes10[[#This Row],[CUIT]],Lista_CUIT[#All],4,0)),"CUIT NO CARGADO")</f>
        <v>-</v>
      </c>
    </row>
    <row r="107" spans="2:18" x14ac:dyDescent="0.25">
      <c r="B107" s="475"/>
      <c r="C107" s="489"/>
      <c r="D107" s="476"/>
      <c r="E107" s="477"/>
      <c r="F107" s="478"/>
      <c r="G107" s="479" t="str">
        <f>IFERROR(IF(compras_mes10[[#This Row],[CUIT]]="","-",VLOOKUP(compras_mes10[[#This Row],[CUIT]],Lista_CUIT[#All],2,0)),"CUIT NO CARGADO")</f>
        <v>-</v>
      </c>
      <c r="H107" s="480"/>
      <c r="I107" s="481" t="str">
        <f>IF(compras_mes10[[#This Row],[NETO GRAVADO]]="","",compras_mes10[[#This Row],[NETO GRAVADO]]*0.21)</f>
        <v/>
      </c>
      <c r="J107" s="481"/>
      <c r="K107" s="481"/>
      <c r="L107" s="481"/>
      <c r="M107" s="481"/>
      <c r="N107" s="481"/>
      <c r="O107" s="481"/>
      <c r="P107" s="482">
        <f>SUM(compras_mes10[[#This Row],[NETO GRAVADO]:[Otros / No Grav.]])</f>
        <v>0</v>
      </c>
      <c r="Q107" s="483" t="str">
        <f>IFERROR(IF(compras_mes10[[#This Row],[CUIT]]="","-",VLOOKUP(compras_mes10[[#This Row],[CUIT]],Lista_CUIT[#All],3,0)),"CUIT NO CARGADO")</f>
        <v>-</v>
      </c>
      <c r="R107" s="483" t="str">
        <f>IFERROR(IF(compras_mes10[[#This Row],[CUIT]]="","-",VLOOKUP(compras_mes10[[#This Row],[CUIT]],Lista_CUIT[#All],4,0)),"CUIT NO CARGADO")</f>
        <v>-</v>
      </c>
    </row>
    <row r="108" spans="2:18" x14ac:dyDescent="0.25">
      <c r="B108" s="96" t="s">
        <v>110</v>
      </c>
      <c r="C108" s="96"/>
      <c r="D108" s="96"/>
      <c r="E108" s="96"/>
      <c r="F108" s="96"/>
      <c r="G108" s="97"/>
      <c r="H108" s="98">
        <f>SUBTOTAL(109,compras_mes10[NETO GRAVADO])</f>
        <v>18555521.520000003</v>
      </c>
      <c r="I108" s="98">
        <f>SUBTOTAL(109,compras_mes10[IVA 21 %])</f>
        <v>3745838.058900001</v>
      </c>
      <c r="J108" s="98">
        <f>SUBTOTAL(109,compras_mes10[IVA 27%])</f>
        <v>8202.16</v>
      </c>
      <c r="K108" s="98">
        <f>SUBTOTAL(109,compras_mes10[IVA 10,5%])</f>
        <v>72221</v>
      </c>
      <c r="L108" s="98">
        <f>SUBTOTAL(109,compras_mes10[PERC. IVA])</f>
        <v>553.72</v>
      </c>
      <c r="M108" s="98">
        <f>SUBTOTAL(109,compras_mes10[PERC IIBB 
BS AS])</f>
        <v>586.3900000000001</v>
      </c>
      <c r="N108" s="98">
        <f>SUBTOTAL(109,compras_mes10[PERC. IIBB CABA])</f>
        <v>304102.11999999994</v>
      </c>
      <c r="O108" s="98">
        <f>SUBTOTAL(109,compras_mes10[Otros / No Grav.])</f>
        <v>3948.37</v>
      </c>
      <c r="P108" s="98">
        <f>SUBTOTAL(109,compras_mes10[TOTAL])</f>
        <v>22690973.3389</v>
      </c>
      <c r="Q108" s="96"/>
      <c r="R108" s="96"/>
    </row>
    <row r="109" spans="2:18" x14ac:dyDescent="0.25">
      <c r="B109" s="40"/>
      <c r="C109" s="41"/>
      <c r="D109" s="42"/>
      <c r="E109" s="43"/>
      <c r="F109" s="44"/>
      <c r="G109" s="45"/>
      <c r="H109" s="46"/>
      <c r="I109" s="47"/>
      <c r="J109" s="47"/>
      <c r="K109" s="47"/>
      <c r="L109" s="47"/>
      <c r="M109" s="47"/>
      <c r="N109" s="47"/>
      <c r="O109" s="47"/>
      <c r="P109" s="48"/>
      <c r="Q109" s="49"/>
      <c r="R109" s="49"/>
    </row>
    <row r="110" spans="2:18" x14ac:dyDescent="0.25">
      <c r="B110" s="40"/>
      <c r="C110" s="41"/>
      <c r="D110" s="42"/>
      <c r="E110" s="43"/>
      <c r="F110" s="44"/>
      <c r="G110" s="45"/>
      <c r="H110" s="46"/>
      <c r="I110" s="47"/>
      <c r="J110" s="47"/>
      <c r="K110" s="47"/>
      <c r="L110" s="47"/>
      <c r="M110" s="47"/>
      <c r="N110" s="47"/>
      <c r="O110" s="47"/>
      <c r="P110" s="48"/>
      <c r="Q110" s="49"/>
      <c r="R110" s="49"/>
    </row>
    <row r="111" spans="2:18" x14ac:dyDescent="0.25">
      <c r="B111" s="40"/>
      <c r="C111" s="41"/>
      <c r="D111" s="42"/>
      <c r="E111" s="43"/>
      <c r="F111" s="44"/>
      <c r="G111" s="45"/>
      <c r="H111" s="46"/>
      <c r="I111" s="47"/>
      <c r="J111" s="47"/>
      <c r="K111" s="47"/>
      <c r="L111" s="47"/>
      <c r="M111" s="47"/>
      <c r="N111" s="47"/>
      <c r="O111" s="47"/>
      <c r="P111" s="48"/>
      <c r="Q111" s="49"/>
      <c r="R111" s="49"/>
    </row>
    <row r="112" spans="2:18" x14ac:dyDescent="0.25">
      <c r="B112" s="40"/>
      <c r="C112" s="41"/>
      <c r="D112" s="42"/>
      <c r="E112" s="43"/>
      <c r="F112" s="44"/>
      <c r="G112" s="45"/>
      <c r="H112" s="46"/>
      <c r="I112" s="47"/>
      <c r="J112" s="47"/>
      <c r="K112" s="47"/>
      <c r="L112" s="47"/>
    </row>
    <row r="113" spans="2:18" ht="21" x14ac:dyDescent="0.25">
      <c r="D113" s="524" t="s">
        <v>15</v>
      </c>
      <c r="E113" s="524"/>
      <c r="F113" s="524"/>
      <c r="G113" s="524"/>
      <c r="H113" s="524"/>
      <c r="I113" s="524"/>
      <c r="J113" s="524"/>
      <c r="K113" s="524"/>
      <c r="L113" s="524"/>
    </row>
    <row r="114" spans="2:18" ht="15.75" x14ac:dyDescent="0.25">
      <c r="D114" s="73" t="s">
        <v>0</v>
      </c>
      <c r="E114" s="74" t="s">
        <v>26</v>
      </c>
      <c r="F114" s="74" t="s">
        <v>16</v>
      </c>
      <c r="G114" s="74" t="s">
        <v>5</v>
      </c>
      <c r="H114" s="74" t="s">
        <v>17</v>
      </c>
      <c r="I114" s="74" t="s">
        <v>7</v>
      </c>
      <c r="J114" s="75" t="s">
        <v>18</v>
      </c>
      <c r="K114" s="75" t="s">
        <v>19</v>
      </c>
      <c r="L114" s="76" t="s">
        <v>20</v>
      </c>
    </row>
    <row r="115" spans="2:18" x14ac:dyDescent="0.25">
      <c r="D115" s="50">
        <v>45230</v>
      </c>
      <c r="E115" s="80">
        <v>31102023</v>
      </c>
      <c r="F115" s="80" t="s">
        <v>2323</v>
      </c>
      <c r="G115" s="81">
        <f t="shared" ref="G115" si="0">24+300+2.5+150+40+35+2.5+500+1001+35</f>
        <v>2090</v>
      </c>
      <c r="H115" s="81">
        <f>extracto_banco_mes10[[#This Row],[NETO]]*0.21</f>
        <v>438.9</v>
      </c>
      <c r="I115" s="81"/>
      <c r="J115" s="81">
        <v>184</v>
      </c>
      <c r="K115" s="81"/>
      <c r="L115" s="81"/>
    </row>
    <row r="116" spans="2:18" x14ac:dyDescent="0.25">
      <c r="D116" s="50">
        <v>45230</v>
      </c>
      <c r="E116" s="80">
        <v>10312023</v>
      </c>
      <c r="F116" s="80" t="s">
        <v>2324</v>
      </c>
      <c r="G116" s="81">
        <v>8390</v>
      </c>
      <c r="H116" s="81">
        <f>extracto_banco_mes10[[#This Row],[NETO]]*0.21</f>
        <v>1761.8999999999999</v>
      </c>
      <c r="I116" s="81"/>
      <c r="J116" s="81">
        <v>324</v>
      </c>
      <c r="K116" s="81">
        <v>243</v>
      </c>
      <c r="L116" s="81"/>
    </row>
    <row r="117" spans="2:18" x14ac:dyDescent="0.25">
      <c r="D117" s="50"/>
      <c r="E117" s="80"/>
      <c r="F117" s="80"/>
      <c r="G117" s="81"/>
      <c r="H117" s="81">
        <f>extracto_banco_mes10[[#This Row],[NETO]]*0.21</f>
        <v>0</v>
      </c>
      <c r="I117" s="81"/>
      <c r="J117" s="81"/>
      <c r="K117" s="81"/>
      <c r="L117" s="81"/>
    </row>
    <row r="118" spans="2:18" x14ac:dyDescent="0.25">
      <c r="D118" s="82" t="s">
        <v>110</v>
      </c>
      <c r="E118" s="80"/>
      <c r="F118" s="80"/>
      <c r="G118" s="83">
        <f>SUBTOTAL(109,extracto_banco_mes10[NETO])</f>
        <v>10480</v>
      </c>
      <c r="H118" s="83">
        <f>SUBTOTAL(109,extracto_banco_mes10[IVA 21%])</f>
        <v>2200.7999999999997</v>
      </c>
      <c r="I118" s="83">
        <f>SUBTOTAL(109,extracto_banco_mes10[IVA 10,5%])</f>
        <v>0</v>
      </c>
      <c r="J118" s="83">
        <f>SUBTOTAL(109,extracto_banco_mes10[RET IIBB CABA])</f>
        <v>508</v>
      </c>
      <c r="K118" s="83">
        <f>SUBTOTAL(109,extracto_banco_mes10[PERC IVA])</f>
        <v>243</v>
      </c>
      <c r="L118" s="83">
        <f>SUBTOTAL(109,extracto_banco_mes10[PERC IIBB])</f>
        <v>0</v>
      </c>
    </row>
    <row r="122" spans="2:18" ht="21" x14ac:dyDescent="0.25">
      <c r="D122" s="524" t="s">
        <v>25</v>
      </c>
      <c r="E122" s="524"/>
      <c r="F122" s="524"/>
      <c r="G122" s="524"/>
      <c r="H122" s="524"/>
      <c r="I122" s="524"/>
      <c r="J122" s="524"/>
      <c r="K122" s="524"/>
    </row>
    <row r="123" spans="2:18" x14ac:dyDescent="0.25">
      <c r="D123" s="51" t="s">
        <v>0</v>
      </c>
      <c r="E123" s="51" t="s">
        <v>2</v>
      </c>
      <c r="F123" s="51" t="s">
        <v>74</v>
      </c>
      <c r="G123" s="51" t="s">
        <v>3</v>
      </c>
      <c r="H123" s="51" t="s">
        <v>4</v>
      </c>
      <c r="I123" s="52" t="s">
        <v>10</v>
      </c>
      <c r="J123" s="51" t="s">
        <v>13</v>
      </c>
      <c r="K123" s="51" t="s">
        <v>38</v>
      </c>
    </row>
    <row r="124" spans="2:18" s="56" customFormat="1" ht="18.600000000000001" customHeight="1" x14ac:dyDescent="0.25">
      <c r="B124"/>
      <c r="C124"/>
      <c r="D124" s="475">
        <v>45230</v>
      </c>
      <c r="E124" s="484">
        <v>1</v>
      </c>
      <c r="F124" s="484">
        <v>2</v>
      </c>
      <c r="G124" s="485">
        <v>27443612705</v>
      </c>
      <c r="H124" s="486" t="str">
        <f>IFERROR(IF(factura_c_mes10[[#This Row],[CUIT]]="","-",VLOOKUP(factura_c_mes10[[#This Row],[CUIT]],Lista_CUIT[#All],2,0)),"CUIT NO CARGADO")</f>
        <v>MIGOYA MORIONDO MARIA INES</v>
      </c>
      <c r="I124" s="487">
        <v>150000</v>
      </c>
      <c r="J124" s="488" t="str">
        <f>IFERROR(IF(factura_c_mes10[[#This Row],[CUIT]]="","-",VLOOKUP(factura_c_mes10[[#This Row],[CUIT]],Lista_CUIT[#All],3,0)),"CUIT NO CARGADO")</f>
        <v>ALQUILERES</v>
      </c>
      <c r="K124" s="488">
        <f>IFERROR(IF(factura_c_mes10[[#This Row],[CUIT]]="","-",VLOOKUP(factura_c_mes10[[#This Row],[CUIT]],Lista_CUIT[#All],4,0)),"CUIT NO CARGADO")</f>
        <v>0</v>
      </c>
      <c r="L124"/>
      <c r="M124"/>
      <c r="N124"/>
      <c r="O124"/>
      <c r="P124"/>
      <c r="Q124"/>
      <c r="R124"/>
    </row>
    <row r="125" spans="2:18" x14ac:dyDescent="0.25">
      <c r="D125" s="475">
        <v>45217</v>
      </c>
      <c r="E125" s="484">
        <v>1</v>
      </c>
      <c r="F125" s="484">
        <v>5</v>
      </c>
      <c r="G125" s="485">
        <v>27217606255</v>
      </c>
      <c r="H125" s="486" t="str">
        <f>IFERROR(IF(factura_c_mes10[[#This Row],[CUIT]]="","-",VLOOKUP(factura_c_mes10[[#This Row],[CUIT]],Lista_CUIT[#All],2,0)),"CUIT NO CARGADO")</f>
        <v>SAPUNA MARIAN KARINA</v>
      </c>
      <c r="I125" s="487">
        <v>-105600</v>
      </c>
      <c r="J125" s="488" t="str">
        <f>IFERROR(IF(factura_c_mes10[[#This Row],[CUIT]]="","-",VLOOKUP(factura_c_mes10[[#This Row],[CUIT]],Lista_CUIT[#All],3,0)),"CUIT NO CARGADO")</f>
        <v>GASTOS MANTENIMIENTO</v>
      </c>
      <c r="K125" s="488">
        <f>IFERROR(IF(factura_c_mes10[[#This Row],[CUIT]]="","-",VLOOKUP(factura_c_mes10[[#This Row],[CUIT]],Lista_CUIT[#All],4,0)),"CUIT NO CARGADO")</f>
        <v>0</v>
      </c>
    </row>
    <row r="126" spans="2:18" x14ac:dyDescent="0.25">
      <c r="D126" s="475">
        <v>45217</v>
      </c>
      <c r="E126" s="484">
        <v>1</v>
      </c>
      <c r="F126" s="484">
        <v>6</v>
      </c>
      <c r="G126" s="485">
        <v>27217606255</v>
      </c>
      <c r="H126" s="486" t="str">
        <f>IFERROR(IF(factura_c_mes10[[#This Row],[CUIT]]="","-",VLOOKUP(factura_c_mes10[[#This Row],[CUIT]],Lista_CUIT[#All],2,0)),"CUIT NO CARGADO")</f>
        <v>SAPUNA MARIAN KARINA</v>
      </c>
      <c r="I126" s="487">
        <v>-47850</v>
      </c>
      <c r="J126" s="488" t="str">
        <f>IFERROR(IF(factura_c_mes10[[#This Row],[CUIT]]="","-",VLOOKUP(factura_c_mes10[[#This Row],[CUIT]],Lista_CUIT[#All],3,0)),"CUIT NO CARGADO")</f>
        <v>GASTOS MANTENIMIENTO</v>
      </c>
      <c r="K126" s="488">
        <f>IFERROR(IF(factura_c_mes10[[#This Row],[CUIT]]="","-",VLOOKUP(factura_c_mes10[[#This Row],[CUIT]],Lista_CUIT[#All],4,0)),"CUIT NO CARGADO")</f>
        <v>0</v>
      </c>
    </row>
    <row r="127" spans="2:18" x14ac:dyDescent="0.25">
      <c r="D127" s="475">
        <v>45217</v>
      </c>
      <c r="E127" s="484">
        <v>1</v>
      </c>
      <c r="F127" s="484">
        <v>7</v>
      </c>
      <c r="G127" s="485">
        <v>27217606255</v>
      </c>
      <c r="H127" s="486" t="str">
        <f>IFERROR(IF(factura_c_mes10[[#This Row],[CUIT]]="","-",VLOOKUP(factura_c_mes10[[#This Row],[CUIT]],Lista_CUIT[#All],2,0)),"CUIT NO CARGADO")</f>
        <v>SAPUNA MARIAN KARINA</v>
      </c>
      <c r="I127" s="487">
        <v>-60500</v>
      </c>
      <c r="J127" s="488" t="str">
        <f>IFERROR(IF(factura_c_mes10[[#This Row],[CUIT]]="","-",VLOOKUP(factura_c_mes10[[#This Row],[CUIT]],Lista_CUIT[#All],3,0)),"CUIT NO CARGADO")</f>
        <v>GASTOS MANTENIMIENTO</v>
      </c>
      <c r="K127" s="488">
        <f>IFERROR(IF(factura_c_mes10[[#This Row],[CUIT]]="","-",VLOOKUP(factura_c_mes10[[#This Row],[CUIT]],Lista_CUIT[#All],4,0)),"CUIT NO CARGADO")</f>
        <v>0</v>
      </c>
    </row>
    <row r="128" spans="2:18" x14ac:dyDescent="0.25">
      <c r="D128" s="475">
        <v>45217</v>
      </c>
      <c r="E128" s="484">
        <v>1</v>
      </c>
      <c r="F128" s="484">
        <v>8</v>
      </c>
      <c r="G128" s="485">
        <v>27217606255</v>
      </c>
      <c r="H128" s="486" t="str">
        <f>IFERROR(IF(factura_c_mes10[[#This Row],[CUIT]]="","-",VLOOKUP(factura_c_mes10[[#This Row],[CUIT]],Lista_CUIT[#All],2,0)),"CUIT NO CARGADO")</f>
        <v>SAPUNA MARIAN KARINA</v>
      </c>
      <c r="I128" s="487">
        <v>-73700</v>
      </c>
      <c r="J128" s="488" t="str">
        <f>IFERROR(IF(factura_c_mes10[[#This Row],[CUIT]]="","-",VLOOKUP(factura_c_mes10[[#This Row],[CUIT]],Lista_CUIT[#All],3,0)),"CUIT NO CARGADO")</f>
        <v>GASTOS MANTENIMIENTO</v>
      </c>
      <c r="K128" s="488">
        <f>IFERROR(IF(factura_c_mes10[[#This Row],[CUIT]]="","-",VLOOKUP(factura_c_mes10[[#This Row],[CUIT]],Lista_CUIT[#All],4,0)),"CUIT NO CARGADO")</f>
        <v>0</v>
      </c>
    </row>
    <row r="129" spans="4:11" x14ac:dyDescent="0.25">
      <c r="D129" s="475">
        <v>45217</v>
      </c>
      <c r="E129" s="484">
        <v>1</v>
      </c>
      <c r="F129" s="484">
        <v>9</v>
      </c>
      <c r="G129" s="485">
        <v>27217606255</v>
      </c>
      <c r="H129" s="486" t="str">
        <f>IFERROR(IF(factura_c_mes10[[#This Row],[CUIT]]="","-",VLOOKUP(factura_c_mes10[[#This Row],[CUIT]],Lista_CUIT[#All],2,0)),"CUIT NO CARGADO")</f>
        <v>SAPUNA MARIAN KARINA</v>
      </c>
      <c r="I129" s="487">
        <v>-61270</v>
      </c>
      <c r="J129" s="488" t="str">
        <f>IFERROR(IF(factura_c_mes10[[#This Row],[CUIT]]="","-",VLOOKUP(factura_c_mes10[[#This Row],[CUIT]],Lista_CUIT[#All],3,0)),"CUIT NO CARGADO")</f>
        <v>GASTOS MANTENIMIENTO</v>
      </c>
      <c r="K129" s="488">
        <f>IFERROR(IF(factura_c_mes10[[#This Row],[CUIT]]="","-",VLOOKUP(factura_c_mes10[[#This Row],[CUIT]],Lista_CUIT[#All],4,0)),"CUIT NO CARGADO")</f>
        <v>0</v>
      </c>
    </row>
    <row r="130" spans="4:11" x14ac:dyDescent="0.25">
      <c r="D130" s="475">
        <v>45224</v>
      </c>
      <c r="E130" s="484">
        <v>1</v>
      </c>
      <c r="F130" s="484">
        <v>45</v>
      </c>
      <c r="G130" s="485">
        <v>20403969886</v>
      </c>
      <c r="H130" s="486" t="str">
        <f>IFERROR(IF(factura_c_mes10[[#This Row],[CUIT]]="","-",VLOOKUP(factura_c_mes10[[#This Row],[CUIT]],Lista_CUIT[#All],2,0)),"CUIT NO CARGADO")</f>
        <v>DEL GESSO FRANCO JESUS</v>
      </c>
      <c r="I130" s="487">
        <v>292550</v>
      </c>
      <c r="J130" s="488" t="str">
        <f>IFERROR(IF(factura_c_mes10[[#This Row],[CUIT]]="","-",VLOOKUP(factura_c_mes10[[#This Row],[CUIT]],Lista_CUIT[#All],3,0)),"CUIT NO CARGADO")</f>
        <v>GASTOS ADMINISTRATIVOS</v>
      </c>
      <c r="K130" s="488">
        <f>IFERROR(IF(factura_c_mes10[[#This Row],[CUIT]]="","-",VLOOKUP(factura_c_mes10[[#This Row],[CUIT]],Lista_CUIT[#All],4,0)),"CUIT NO CARGADO")</f>
        <v>0</v>
      </c>
    </row>
    <row r="131" spans="4:11" x14ac:dyDescent="0.25">
      <c r="D131" s="475">
        <v>45224</v>
      </c>
      <c r="E131" s="484">
        <v>1</v>
      </c>
      <c r="F131" s="484">
        <v>46</v>
      </c>
      <c r="G131" s="485">
        <v>20403969886</v>
      </c>
      <c r="H131" s="486" t="str">
        <f>IFERROR(IF(factura_c_mes10[[#This Row],[CUIT]]="","-",VLOOKUP(factura_c_mes10[[#This Row],[CUIT]],Lista_CUIT[#All],2,0)),"CUIT NO CARGADO")</f>
        <v>DEL GESSO FRANCO JESUS</v>
      </c>
      <c r="I131" s="487">
        <v>350225</v>
      </c>
      <c r="J131" s="488" t="str">
        <f>IFERROR(IF(factura_c_mes10[[#This Row],[CUIT]]="","-",VLOOKUP(factura_c_mes10[[#This Row],[CUIT]],Lista_CUIT[#All],3,0)),"CUIT NO CARGADO")</f>
        <v>GASTOS ADMINISTRATIVOS</v>
      </c>
      <c r="K131" s="488">
        <f>IFERROR(IF(factura_c_mes10[[#This Row],[CUIT]]="","-",VLOOKUP(factura_c_mes10[[#This Row],[CUIT]],Lista_CUIT[#All],4,0)),"CUIT NO CARGADO")</f>
        <v>0</v>
      </c>
    </row>
    <row r="132" spans="4:11" x14ac:dyDescent="0.25">
      <c r="D132" s="475">
        <v>45218</v>
      </c>
      <c r="E132" s="484">
        <v>1</v>
      </c>
      <c r="F132" s="484">
        <v>59</v>
      </c>
      <c r="G132" s="485">
        <v>23281233084</v>
      </c>
      <c r="H132" s="486" t="str">
        <f>IFERROR(IF(factura_c_mes10[[#This Row],[CUIT]]="","-",VLOOKUP(factura_c_mes10[[#This Row],[CUIT]],Lista_CUIT[#All],2,0)),"CUIT NO CARGADO")</f>
        <v>DRUETTA ANDREA MARIEL</v>
      </c>
      <c r="I132" s="487">
        <v>55068</v>
      </c>
      <c r="J132" s="488" t="str">
        <f>IFERROR(IF(factura_c_mes10[[#This Row],[CUIT]]="","-",VLOOKUP(factura_c_mes10[[#This Row],[CUIT]],Lista_CUIT[#All],3,0)),"CUIT NO CARGADO")</f>
        <v>HONORARIOS TECNICOS</v>
      </c>
      <c r="K132" s="488">
        <f>IFERROR(IF(factura_c_mes10[[#This Row],[CUIT]]="","-",VLOOKUP(factura_c_mes10[[#This Row],[CUIT]],Lista_CUIT[#All],4,0)),"CUIT NO CARGADO")</f>
        <v>0</v>
      </c>
    </row>
    <row r="133" spans="4:11" ht="18" customHeight="1" x14ac:dyDescent="0.25">
      <c r="D133" s="475">
        <v>45215</v>
      </c>
      <c r="E133" s="484">
        <v>2</v>
      </c>
      <c r="F133" s="484">
        <v>67</v>
      </c>
      <c r="G133" s="485">
        <v>20314536852</v>
      </c>
      <c r="H133" s="486" t="str">
        <f>IFERROR(IF(factura_c_mes10[[#This Row],[CUIT]]="","-",VLOOKUP(factura_c_mes10[[#This Row],[CUIT]],Lista_CUIT[#All],2,0)),"CUIT NO CARGADO")</f>
        <v>FRANCESE GONZALO ROMAN</v>
      </c>
      <c r="I133" s="487">
        <v>19250</v>
      </c>
      <c r="J133" s="488" t="str">
        <f>IFERROR(IF(factura_c_mes10[[#This Row],[CUIT]]="","-",VLOOKUP(factura_c_mes10[[#This Row],[CUIT]],Lista_CUIT[#All],3,0)),"CUIT NO CARGADO")</f>
        <v>FLETE</v>
      </c>
      <c r="K133" s="488">
        <f>IFERROR(IF(factura_c_mes10[[#This Row],[CUIT]]="","-",VLOOKUP(factura_c_mes10[[#This Row],[CUIT]],Lista_CUIT[#All],4,0)),"CUIT NO CARGADO")</f>
        <v>0</v>
      </c>
    </row>
    <row r="134" spans="4:11" x14ac:dyDescent="0.25">
      <c r="D134" s="475">
        <v>45230</v>
      </c>
      <c r="E134" s="484">
        <v>2</v>
      </c>
      <c r="F134" s="484">
        <v>68</v>
      </c>
      <c r="G134" s="485">
        <v>20314536852</v>
      </c>
      <c r="H134" s="486" t="str">
        <f>IFERROR(IF(factura_c_mes10[[#This Row],[CUIT]]="","-",VLOOKUP(factura_c_mes10[[#This Row],[CUIT]],Lista_CUIT[#All],2,0)),"CUIT NO CARGADO")</f>
        <v>FRANCESE GONZALO ROMAN</v>
      </c>
      <c r="I134" s="487">
        <v>120728</v>
      </c>
      <c r="J134" s="488" t="str">
        <f>IFERROR(IF(factura_c_mes10[[#This Row],[CUIT]]="","-",VLOOKUP(factura_c_mes10[[#This Row],[CUIT]],Lista_CUIT[#All],3,0)),"CUIT NO CARGADO")</f>
        <v>FLETE</v>
      </c>
      <c r="K134" s="488">
        <f>IFERROR(IF(factura_c_mes10[[#This Row],[CUIT]]="","-",VLOOKUP(factura_c_mes10[[#This Row],[CUIT]],Lista_CUIT[#All],4,0)),"CUIT NO CARGADO")</f>
        <v>0</v>
      </c>
    </row>
    <row r="135" spans="4:11" x14ac:dyDescent="0.25">
      <c r="D135" s="475">
        <v>45224</v>
      </c>
      <c r="E135" s="484">
        <v>2</v>
      </c>
      <c r="F135" s="484">
        <v>101</v>
      </c>
      <c r="G135" s="485">
        <v>20220423655</v>
      </c>
      <c r="H135" s="486" t="str">
        <f>IFERROR(IF(factura_c_mes10[[#This Row],[CUIT]]="","-",VLOOKUP(factura_c_mes10[[#This Row],[CUIT]],Lista_CUIT[#All],2,0)),"CUIT NO CARGADO")</f>
        <v>LANDRO FERNANDO GABRIEL</v>
      </c>
      <c r="I135" s="487">
        <v>322940</v>
      </c>
      <c r="J135" s="488" t="str">
        <f>IFERROR(IF(factura_c_mes10[[#This Row],[CUIT]]="","-",VLOOKUP(factura_c_mes10[[#This Row],[CUIT]],Lista_CUIT[#All],3,0)),"CUIT NO CARGADO")</f>
        <v>GESTION COBRANZAS</v>
      </c>
      <c r="K135" s="488">
        <f>IFERROR(IF(factura_c_mes10[[#This Row],[CUIT]]="","-",VLOOKUP(factura_c_mes10[[#This Row],[CUIT]],Lista_CUIT[#All],4,0)),"CUIT NO CARGADO")</f>
        <v>0</v>
      </c>
    </row>
    <row r="136" spans="4:11" x14ac:dyDescent="0.25">
      <c r="D136" s="475">
        <v>45224</v>
      </c>
      <c r="E136" s="484">
        <v>2</v>
      </c>
      <c r="F136" s="484">
        <v>102</v>
      </c>
      <c r="G136" s="485">
        <v>20220423655</v>
      </c>
      <c r="H136" s="486" t="str">
        <f>IFERROR(IF(factura_c_mes10[[#This Row],[CUIT]]="","-",VLOOKUP(factura_c_mes10[[#This Row],[CUIT]],Lista_CUIT[#All],2,0)),"CUIT NO CARGADO")</f>
        <v>LANDRO FERNANDO GABRIEL</v>
      </c>
      <c r="I136" s="487">
        <v>318725</v>
      </c>
      <c r="J136" s="488" t="str">
        <f>IFERROR(IF(factura_c_mes10[[#This Row],[CUIT]]="","-",VLOOKUP(factura_c_mes10[[#This Row],[CUIT]],Lista_CUIT[#All],3,0)),"CUIT NO CARGADO")</f>
        <v>GESTION COBRANZAS</v>
      </c>
      <c r="K136" s="488">
        <f>IFERROR(IF(factura_c_mes10[[#This Row],[CUIT]]="","-",VLOOKUP(factura_c_mes10[[#This Row],[CUIT]],Lista_CUIT[#All],4,0)),"CUIT NO CARGADO")</f>
        <v>0</v>
      </c>
    </row>
    <row r="137" spans="4:11" x14ac:dyDescent="0.25">
      <c r="D137" s="475">
        <v>45211</v>
      </c>
      <c r="E137" s="484">
        <v>1</v>
      </c>
      <c r="F137" s="484">
        <v>109</v>
      </c>
      <c r="G137" s="485">
        <v>27338342840</v>
      </c>
      <c r="H137" s="486" t="str">
        <f>IFERROR(IF(factura_c_mes10[[#This Row],[CUIT]]="","-",VLOOKUP(factura_c_mes10[[#This Row],[CUIT]],Lista_CUIT[#All],2,0)),"CUIT NO CARGADO")</f>
        <v>CANCINO PAMELA RITA</v>
      </c>
      <c r="I137" s="487">
        <v>175500</v>
      </c>
      <c r="J137" s="488" t="str">
        <f>IFERROR(IF(factura_c_mes10[[#This Row],[CUIT]]="","-",VLOOKUP(factura_c_mes10[[#This Row],[CUIT]],Lista_CUIT[#All],3,0)),"CUIT NO CARGADO")</f>
        <v>Productos Ortopedicos</v>
      </c>
      <c r="K137" s="488">
        <f>IFERROR(IF(factura_c_mes10[[#This Row],[CUIT]]="","-",VLOOKUP(factura_c_mes10[[#This Row],[CUIT]],Lista_CUIT[#All],4,0)),"CUIT NO CARGADO")</f>
        <v>0</v>
      </c>
    </row>
    <row r="138" spans="4:11" x14ac:dyDescent="0.25">
      <c r="D138" s="475">
        <v>45216</v>
      </c>
      <c r="E138" s="484">
        <v>5</v>
      </c>
      <c r="F138" s="484">
        <v>155</v>
      </c>
      <c r="G138" s="485">
        <v>27062343449</v>
      </c>
      <c r="H138" s="486" t="str">
        <f>IFERROR(IF(factura_c_mes10[[#This Row],[CUIT]]="","-",VLOOKUP(factura_c_mes10[[#This Row],[CUIT]],Lista_CUIT[#All],2,0)),"CUIT NO CARGADO")</f>
        <v>FERREIRS LILISNS INES</v>
      </c>
      <c r="I138" s="487">
        <v>137500</v>
      </c>
      <c r="J138" s="488" t="str">
        <f>IFERROR(IF(factura_c_mes10[[#This Row],[CUIT]]="","-",VLOOKUP(factura_c_mes10[[#This Row],[CUIT]],Lista_CUIT[#All],3,0)),"CUIT NO CARGADO")</f>
        <v>ALQUILERES</v>
      </c>
      <c r="K138" s="488">
        <f>IFERROR(IF(factura_c_mes10[[#This Row],[CUIT]]="","-",VLOOKUP(factura_c_mes10[[#This Row],[CUIT]],Lista_CUIT[#All],4,0)),"CUIT NO CARGADO")</f>
        <v>0</v>
      </c>
    </row>
    <row r="139" spans="4:11" x14ac:dyDescent="0.25">
      <c r="D139" s="475">
        <v>45216</v>
      </c>
      <c r="E139" s="484">
        <v>5</v>
      </c>
      <c r="F139" s="484">
        <v>156</v>
      </c>
      <c r="G139" s="485">
        <v>27062343449</v>
      </c>
      <c r="H139" s="486" t="str">
        <f>IFERROR(IF(factura_c_mes10[[#This Row],[CUIT]]="","-",VLOOKUP(factura_c_mes10[[#This Row],[CUIT]],Lista_CUIT[#All],2,0)),"CUIT NO CARGADO")</f>
        <v>FERREIRS LILISNS INES</v>
      </c>
      <c r="I139" s="487">
        <v>135000</v>
      </c>
      <c r="J139" s="488" t="str">
        <f>IFERROR(IF(factura_c_mes10[[#This Row],[CUIT]]="","-",VLOOKUP(factura_c_mes10[[#This Row],[CUIT]],Lista_CUIT[#All],3,0)),"CUIT NO CARGADO")</f>
        <v>ALQUILERES</v>
      </c>
      <c r="K139" s="488">
        <f>IFERROR(IF(factura_c_mes10[[#This Row],[CUIT]]="","-",VLOOKUP(factura_c_mes10[[#This Row],[CUIT]],Lista_CUIT[#All],4,0)),"CUIT NO CARGADO")</f>
        <v>0</v>
      </c>
    </row>
    <row r="140" spans="4:11" x14ac:dyDescent="0.25">
      <c r="D140" s="475">
        <v>45217</v>
      </c>
      <c r="E140" s="484">
        <v>1</v>
      </c>
      <c r="F140" s="484">
        <v>166</v>
      </c>
      <c r="G140" s="485">
        <v>27217606255</v>
      </c>
      <c r="H140" s="486" t="str">
        <f>IFERROR(IF(factura_c_mes10[[#This Row],[CUIT]]="","-",VLOOKUP(factura_c_mes10[[#This Row],[CUIT]],Lista_CUIT[#All],2,0)),"CUIT NO CARGADO")</f>
        <v>SAPUNA MARIAN KARINA</v>
      </c>
      <c r="I140" s="487">
        <v>73700</v>
      </c>
      <c r="J140" s="488" t="str">
        <f>IFERROR(IF(factura_c_mes10[[#This Row],[CUIT]]="","-",VLOOKUP(factura_c_mes10[[#This Row],[CUIT]],Lista_CUIT[#All],3,0)),"CUIT NO CARGADO")</f>
        <v>GASTOS MANTENIMIENTO</v>
      </c>
      <c r="K140" s="488">
        <f>IFERROR(IF(factura_c_mes10[[#This Row],[CUIT]]="","-",VLOOKUP(factura_c_mes10[[#This Row],[CUIT]],Lista_CUIT[#All],4,0)),"CUIT NO CARGADO")</f>
        <v>0</v>
      </c>
    </row>
    <row r="141" spans="4:11" x14ac:dyDescent="0.25">
      <c r="D141" s="475">
        <v>45217</v>
      </c>
      <c r="E141" s="484">
        <v>1</v>
      </c>
      <c r="F141" s="484">
        <v>167</v>
      </c>
      <c r="G141" s="485">
        <v>27217606255</v>
      </c>
      <c r="H141" s="486" t="str">
        <f>IFERROR(IF(factura_c_mes10[[#This Row],[CUIT]]="","-",VLOOKUP(factura_c_mes10[[#This Row],[CUIT]],Lista_CUIT[#All],2,0)),"CUIT NO CARGADO")</f>
        <v>SAPUNA MARIAN KARINA</v>
      </c>
      <c r="I141" s="487">
        <v>47850</v>
      </c>
      <c r="J141" s="488" t="str">
        <f>IFERROR(IF(factura_c_mes10[[#This Row],[CUIT]]="","-",VLOOKUP(factura_c_mes10[[#This Row],[CUIT]],Lista_CUIT[#All],3,0)),"CUIT NO CARGADO")</f>
        <v>GASTOS MANTENIMIENTO</v>
      </c>
      <c r="K141" s="488">
        <f>IFERROR(IF(factura_c_mes10[[#This Row],[CUIT]]="","-",VLOOKUP(factura_c_mes10[[#This Row],[CUIT]],Lista_CUIT[#All],4,0)),"CUIT NO CARGADO")</f>
        <v>0</v>
      </c>
    </row>
    <row r="142" spans="4:11" x14ac:dyDescent="0.25">
      <c r="D142" s="475">
        <v>45217</v>
      </c>
      <c r="E142" s="484">
        <v>1</v>
      </c>
      <c r="F142" s="484">
        <v>168</v>
      </c>
      <c r="G142" s="485">
        <v>27217606255</v>
      </c>
      <c r="H142" s="486" t="str">
        <f>IFERROR(IF(factura_c_mes10[[#This Row],[CUIT]]="","-",VLOOKUP(factura_c_mes10[[#This Row],[CUIT]],Lista_CUIT[#All],2,0)),"CUIT NO CARGADO")</f>
        <v>SAPUNA MARIAN KARINA</v>
      </c>
      <c r="I142" s="487">
        <v>61270</v>
      </c>
      <c r="J142" s="488" t="str">
        <f>IFERROR(IF(factura_c_mes10[[#This Row],[CUIT]]="","-",VLOOKUP(factura_c_mes10[[#This Row],[CUIT]],Lista_CUIT[#All],3,0)),"CUIT NO CARGADO")</f>
        <v>GASTOS MANTENIMIENTO</v>
      </c>
      <c r="K142" s="488">
        <f>IFERROR(IF(factura_c_mes10[[#This Row],[CUIT]]="","-",VLOOKUP(factura_c_mes10[[#This Row],[CUIT]],Lista_CUIT[#All],4,0)),"CUIT NO CARGADO")</f>
        <v>0</v>
      </c>
    </row>
    <row r="143" spans="4:11" x14ac:dyDescent="0.25">
      <c r="D143" s="475">
        <v>45217</v>
      </c>
      <c r="E143" s="484">
        <v>1</v>
      </c>
      <c r="F143" s="484">
        <v>169</v>
      </c>
      <c r="G143" s="485">
        <v>27217606255</v>
      </c>
      <c r="H143" s="486" t="str">
        <f>IFERROR(IF(factura_c_mes10[[#This Row],[CUIT]]="","-",VLOOKUP(factura_c_mes10[[#This Row],[CUIT]],Lista_CUIT[#All],2,0)),"CUIT NO CARGADO")</f>
        <v>SAPUNA MARIAN KARINA</v>
      </c>
      <c r="I143" s="487">
        <v>105600</v>
      </c>
      <c r="J143" s="488" t="str">
        <f>IFERROR(IF(factura_c_mes10[[#This Row],[CUIT]]="","-",VLOOKUP(factura_c_mes10[[#This Row],[CUIT]],Lista_CUIT[#All],3,0)),"CUIT NO CARGADO")</f>
        <v>GASTOS MANTENIMIENTO</v>
      </c>
      <c r="K143" s="488">
        <f>IFERROR(IF(factura_c_mes10[[#This Row],[CUIT]]="","-",VLOOKUP(factura_c_mes10[[#This Row],[CUIT]],Lista_CUIT[#All],4,0)),"CUIT NO CARGADO")</f>
        <v>0</v>
      </c>
    </row>
    <row r="144" spans="4:11" x14ac:dyDescent="0.25">
      <c r="D144" s="475">
        <v>45217</v>
      </c>
      <c r="E144" s="484">
        <v>1</v>
      </c>
      <c r="F144" s="484">
        <v>170</v>
      </c>
      <c r="G144" s="485">
        <v>27217606255</v>
      </c>
      <c r="H144" s="486" t="str">
        <f>IFERROR(IF(factura_c_mes10[[#This Row],[CUIT]]="","-",VLOOKUP(factura_c_mes10[[#This Row],[CUIT]],Lista_CUIT[#All],2,0)),"CUIT NO CARGADO")</f>
        <v>SAPUNA MARIAN KARINA</v>
      </c>
      <c r="I144" s="487">
        <v>60500</v>
      </c>
      <c r="J144" s="488" t="str">
        <f>IFERROR(IF(factura_c_mes10[[#This Row],[CUIT]]="","-",VLOOKUP(factura_c_mes10[[#This Row],[CUIT]],Lista_CUIT[#All],3,0)),"CUIT NO CARGADO")</f>
        <v>GASTOS MANTENIMIENTO</v>
      </c>
      <c r="K144" s="488">
        <f>IFERROR(IF(factura_c_mes10[[#This Row],[CUIT]]="","-",VLOOKUP(factura_c_mes10[[#This Row],[CUIT]],Lista_CUIT[#All],4,0)),"CUIT NO CARGADO")</f>
        <v>0</v>
      </c>
    </row>
    <row r="145" spans="4:11" ht="17.25" customHeight="1" x14ac:dyDescent="0.25">
      <c r="D145" s="475">
        <v>45217</v>
      </c>
      <c r="E145" s="484">
        <v>1</v>
      </c>
      <c r="F145" s="484">
        <v>171</v>
      </c>
      <c r="G145" s="485">
        <v>27217606255</v>
      </c>
      <c r="H145" s="486" t="str">
        <f>IFERROR(IF(factura_c_mes10[[#This Row],[CUIT]]="","-",VLOOKUP(factura_c_mes10[[#This Row],[CUIT]],Lista_CUIT[#All],2,0)),"CUIT NO CARGADO")</f>
        <v>SAPUNA MARIAN KARINA</v>
      </c>
      <c r="I145" s="487">
        <v>61270</v>
      </c>
      <c r="J145" s="488" t="str">
        <f>IFERROR(IF(factura_c_mes10[[#This Row],[CUIT]]="","-",VLOOKUP(factura_c_mes10[[#This Row],[CUIT]],Lista_CUIT[#All],3,0)),"CUIT NO CARGADO")</f>
        <v>GASTOS MANTENIMIENTO</v>
      </c>
      <c r="K145" s="488">
        <f>IFERROR(IF(factura_c_mes10[[#This Row],[CUIT]]="","-",VLOOKUP(factura_c_mes10[[#This Row],[CUIT]],Lista_CUIT[#All],4,0)),"CUIT NO CARGADO")</f>
        <v>0</v>
      </c>
    </row>
    <row r="146" spans="4:11" x14ac:dyDescent="0.25">
      <c r="D146" s="475">
        <v>45217</v>
      </c>
      <c r="E146" s="484">
        <v>1</v>
      </c>
      <c r="F146" s="484">
        <v>172</v>
      </c>
      <c r="G146" s="485">
        <v>27217606255</v>
      </c>
      <c r="H146" s="486" t="str">
        <f>IFERROR(IF(factura_c_mes10[[#This Row],[CUIT]]="","-",VLOOKUP(factura_c_mes10[[#This Row],[CUIT]],Lista_CUIT[#All],2,0)),"CUIT NO CARGADO")</f>
        <v>SAPUNA MARIAN KARINA</v>
      </c>
      <c r="I146" s="487">
        <v>73700</v>
      </c>
      <c r="J146" s="488" t="str">
        <f>IFERROR(IF(factura_c_mes10[[#This Row],[CUIT]]="","-",VLOOKUP(factura_c_mes10[[#This Row],[CUIT]],Lista_CUIT[#All],3,0)),"CUIT NO CARGADO")</f>
        <v>GASTOS MANTENIMIENTO</v>
      </c>
      <c r="K146" s="488">
        <f>IFERROR(IF(factura_c_mes10[[#This Row],[CUIT]]="","-",VLOOKUP(factura_c_mes10[[#This Row],[CUIT]],Lista_CUIT[#All],4,0)),"CUIT NO CARGADO")</f>
        <v>0</v>
      </c>
    </row>
    <row r="147" spans="4:11" x14ac:dyDescent="0.25">
      <c r="D147" s="475">
        <v>45217</v>
      </c>
      <c r="E147" s="484">
        <v>1</v>
      </c>
      <c r="F147" s="484">
        <v>173</v>
      </c>
      <c r="G147" s="485">
        <v>27217606255</v>
      </c>
      <c r="H147" s="486" t="str">
        <f>IFERROR(IF(factura_c_mes10[[#This Row],[CUIT]]="","-",VLOOKUP(factura_c_mes10[[#This Row],[CUIT]],Lista_CUIT[#All],2,0)),"CUIT NO CARGADO")</f>
        <v>SAPUNA MARIAN KARINA</v>
      </c>
      <c r="I147" s="487">
        <v>60500</v>
      </c>
      <c r="J147" s="488" t="str">
        <f>IFERROR(IF(factura_c_mes10[[#This Row],[CUIT]]="","-",VLOOKUP(factura_c_mes10[[#This Row],[CUIT]],Lista_CUIT[#All],3,0)),"CUIT NO CARGADO")</f>
        <v>GASTOS MANTENIMIENTO</v>
      </c>
      <c r="K147" s="488">
        <f>IFERROR(IF(factura_c_mes10[[#This Row],[CUIT]]="","-",VLOOKUP(factura_c_mes10[[#This Row],[CUIT]],Lista_CUIT[#All],4,0)),"CUIT NO CARGADO")</f>
        <v>0</v>
      </c>
    </row>
    <row r="148" spans="4:11" x14ac:dyDescent="0.25">
      <c r="D148" s="475">
        <v>45217</v>
      </c>
      <c r="E148" s="484">
        <v>1</v>
      </c>
      <c r="F148" s="484">
        <v>174</v>
      </c>
      <c r="G148" s="485">
        <v>27217606255</v>
      </c>
      <c r="H148" s="486" t="str">
        <f>IFERROR(IF(factura_c_mes10[[#This Row],[CUIT]]="","-",VLOOKUP(factura_c_mes10[[#This Row],[CUIT]],Lista_CUIT[#All],2,0)),"CUIT NO CARGADO")</f>
        <v>SAPUNA MARIAN KARINA</v>
      </c>
      <c r="I148" s="487">
        <v>47850</v>
      </c>
      <c r="J148" s="488" t="str">
        <f>IFERROR(IF(factura_c_mes10[[#This Row],[CUIT]]="","-",VLOOKUP(factura_c_mes10[[#This Row],[CUIT]],Lista_CUIT[#All],3,0)),"CUIT NO CARGADO")</f>
        <v>GASTOS MANTENIMIENTO</v>
      </c>
      <c r="K148" s="488">
        <f>IFERROR(IF(factura_c_mes10[[#This Row],[CUIT]]="","-",VLOOKUP(factura_c_mes10[[#This Row],[CUIT]],Lista_CUIT[#All],4,0)),"CUIT NO CARGADO")</f>
        <v>0</v>
      </c>
    </row>
    <row r="149" spans="4:11" x14ac:dyDescent="0.25">
      <c r="D149" s="475">
        <v>45217</v>
      </c>
      <c r="E149" s="484">
        <v>1</v>
      </c>
      <c r="F149" s="484">
        <v>175</v>
      </c>
      <c r="G149" s="485">
        <v>27217606255</v>
      </c>
      <c r="H149" s="486" t="str">
        <f>IFERROR(IF(factura_c_mes10[[#This Row],[CUIT]]="","-",VLOOKUP(factura_c_mes10[[#This Row],[CUIT]],Lista_CUIT[#All],2,0)),"CUIT NO CARGADO")</f>
        <v>SAPUNA MARIAN KARINA</v>
      </c>
      <c r="I149" s="487">
        <v>105600</v>
      </c>
      <c r="J149" s="488" t="str">
        <f>IFERROR(IF(factura_c_mes10[[#This Row],[CUIT]]="","-",VLOOKUP(factura_c_mes10[[#This Row],[CUIT]],Lista_CUIT[#All],3,0)),"CUIT NO CARGADO")</f>
        <v>GASTOS MANTENIMIENTO</v>
      </c>
      <c r="K149" s="488">
        <f>IFERROR(IF(factura_c_mes10[[#This Row],[CUIT]]="","-",VLOOKUP(factura_c_mes10[[#This Row],[CUIT]],Lista_CUIT[#All],4,0)),"CUIT NO CARGADO")</f>
        <v>0</v>
      </c>
    </row>
    <row r="150" spans="4:11" x14ac:dyDescent="0.25">
      <c r="D150" s="475">
        <v>45201</v>
      </c>
      <c r="E150" s="484">
        <v>2</v>
      </c>
      <c r="F150" s="484">
        <v>218</v>
      </c>
      <c r="G150" s="485">
        <v>27265832178</v>
      </c>
      <c r="H150" s="486" t="str">
        <f>IFERROR(IF(factura_c_mes10[[#This Row],[CUIT]]="","-",VLOOKUP(factura_c_mes10[[#This Row],[CUIT]],Lista_CUIT[#All],2,0)),"CUIT NO CARGADO")</f>
        <v>BLASCO MARIA GUADALUPE</v>
      </c>
      <c r="I150" s="487">
        <v>150000</v>
      </c>
      <c r="J150" s="488" t="str">
        <f>IFERROR(IF(factura_c_mes10[[#This Row],[CUIT]]="","-",VLOOKUP(factura_c_mes10[[#This Row],[CUIT]],Lista_CUIT[#All],3,0)),"CUIT NO CARGADO")</f>
        <v>Gastos Varios</v>
      </c>
      <c r="K150" s="488">
        <f>IFERROR(IF(factura_c_mes10[[#This Row],[CUIT]]="","-",VLOOKUP(factura_c_mes10[[#This Row],[CUIT]],Lista_CUIT[#All],4,0)),"CUIT NO CARGADO")</f>
        <v>0</v>
      </c>
    </row>
    <row r="151" spans="4:11" x14ac:dyDescent="0.25">
      <c r="D151" s="475">
        <v>45215</v>
      </c>
      <c r="E151" s="484">
        <v>2</v>
      </c>
      <c r="F151" s="484">
        <v>221</v>
      </c>
      <c r="G151" s="485">
        <v>27265832178</v>
      </c>
      <c r="H151" s="486" t="str">
        <f>IFERROR(IF(factura_c_mes10[[#This Row],[CUIT]]="","-",VLOOKUP(factura_c_mes10[[#This Row],[CUIT]],Lista_CUIT[#All],2,0)),"CUIT NO CARGADO")</f>
        <v>BLASCO MARIA GUADALUPE</v>
      </c>
      <c r="I151" s="487">
        <v>150000</v>
      </c>
      <c r="J151" s="488" t="str">
        <f>IFERROR(IF(factura_c_mes10[[#This Row],[CUIT]]="","-",VLOOKUP(factura_c_mes10[[#This Row],[CUIT]],Lista_CUIT[#All],3,0)),"CUIT NO CARGADO")</f>
        <v>Gastos Varios</v>
      </c>
      <c r="K151" s="488">
        <f>IFERROR(IF(factura_c_mes10[[#This Row],[CUIT]]="","-",VLOOKUP(factura_c_mes10[[#This Row],[CUIT]],Lista_CUIT[#All],4,0)),"CUIT NO CARGADO")</f>
        <v>0</v>
      </c>
    </row>
    <row r="152" spans="4:11" x14ac:dyDescent="0.25">
      <c r="D152" s="475">
        <v>45203</v>
      </c>
      <c r="E152" s="484">
        <v>3</v>
      </c>
      <c r="F152" s="484">
        <v>273</v>
      </c>
      <c r="G152" s="485">
        <v>23306035444</v>
      </c>
      <c r="H152" s="486" t="str">
        <f>IFERROR(IF(factura_c_mes10[[#This Row],[CUIT]]="","-",VLOOKUP(factura_c_mes10[[#This Row],[CUIT]],Lista_CUIT[#All],2,0)),"CUIT NO CARGADO")</f>
        <v>NADIA TARANTINO</v>
      </c>
      <c r="I152" s="487">
        <v>25615</v>
      </c>
      <c r="J152" s="488" t="str">
        <f>IFERROR(IF(factura_c_mes10[[#This Row],[CUIT]]="","-",VLOOKUP(factura_c_mes10[[#This Row],[CUIT]],Lista_CUIT[#All],3,0)),"CUIT NO CARGADO")</f>
        <v>GASTOS CONTABLES</v>
      </c>
      <c r="K152" s="488">
        <f>IFERROR(IF(factura_c_mes10[[#This Row],[CUIT]]="","-",VLOOKUP(factura_c_mes10[[#This Row],[CUIT]],Lista_CUIT[#All],4,0)),"CUIT NO CARGADO")</f>
        <v>0</v>
      </c>
    </row>
    <row r="153" spans="4:11" x14ac:dyDescent="0.25">
      <c r="D153" s="475">
        <v>45218</v>
      </c>
      <c r="E153" s="484">
        <v>2</v>
      </c>
      <c r="F153" s="484">
        <v>485</v>
      </c>
      <c r="G153" s="485">
        <v>27299725761</v>
      </c>
      <c r="H153" s="486" t="str">
        <f>IFERROR(IF(factura_c_mes10[[#This Row],[CUIT]]="","-",VLOOKUP(factura_c_mes10[[#This Row],[CUIT]],Lista_CUIT[#All],2,0)),"CUIT NO CARGADO")</f>
        <v>TURSARKISIAN MISISIAN VERONICA GEMA</v>
      </c>
      <c r="I153" s="487">
        <v>25000</v>
      </c>
      <c r="J153" s="488" t="str">
        <f>IFERROR(IF(factura_c_mes10[[#This Row],[CUIT]]="","-",VLOOKUP(factura_c_mes10[[#This Row],[CUIT]],Lista_CUIT[#All],3,0)),"CUIT NO CARGADO")</f>
        <v>Productos Ortopedicos</v>
      </c>
      <c r="K153" s="488">
        <f>IFERROR(IF(factura_c_mes10[[#This Row],[CUIT]]="","-",VLOOKUP(factura_c_mes10[[#This Row],[CUIT]],Lista_CUIT[#All],4,0)),"CUIT NO CARGADO")</f>
        <v>0</v>
      </c>
    </row>
    <row r="154" spans="4:11" x14ac:dyDescent="0.25">
      <c r="D154" s="475">
        <v>45218</v>
      </c>
      <c r="E154" s="484">
        <v>2</v>
      </c>
      <c r="F154" s="484">
        <v>486</v>
      </c>
      <c r="G154" s="485">
        <v>27299725761</v>
      </c>
      <c r="H154" s="486" t="str">
        <f>IFERROR(IF(factura_c_mes10[[#This Row],[CUIT]]="","-",VLOOKUP(factura_c_mes10[[#This Row],[CUIT]],Lista_CUIT[#All],2,0)),"CUIT NO CARGADO")</f>
        <v>TURSARKISIAN MISISIAN VERONICA GEMA</v>
      </c>
      <c r="I154" s="487">
        <v>90000</v>
      </c>
      <c r="J154" s="488" t="str">
        <f>IFERROR(IF(factura_c_mes10[[#This Row],[CUIT]]="","-",VLOOKUP(factura_c_mes10[[#This Row],[CUIT]],Lista_CUIT[#All],3,0)),"CUIT NO CARGADO")</f>
        <v>Productos Ortopedicos</v>
      </c>
      <c r="K154" s="488">
        <f>IFERROR(IF(factura_c_mes10[[#This Row],[CUIT]]="","-",VLOOKUP(factura_c_mes10[[#This Row],[CUIT]],Lista_CUIT[#All],4,0)),"CUIT NO CARGADO")</f>
        <v>0</v>
      </c>
    </row>
    <row r="155" spans="4:11" x14ac:dyDescent="0.25">
      <c r="D155" s="475">
        <v>45218</v>
      </c>
      <c r="E155" s="484">
        <v>2</v>
      </c>
      <c r="F155" s="484">
        <v>487</v>
      </c>
      <c r="G155" s="485">
        <v>27299725761</v>
      </c>
      <c r="H155" s="486" t="str">
        <f>IFERROR(IF(factura_c_mes10[[#This Row],[CUIT]]="","-",VLOOKUP(factura_c_mes10[[#This Row],[CUIT]],Lista_CUIT[#All],2,0)),"CUIT NO CARGADO")</f>
        <v>TURSARKISIAN MISISIAN VERONICA GEMA</v>
      </c>
      <c r="I155" s="487">
        <v>111000</v>
      </c>
      <c r="J155" s="488" t="str">
        <f>IFERROR(IF(factura_c_mes10[[#This Row],[CUIT]]="","-",VLOOKUP(factura_c_mes10[[#This Row],[CUIT]],Lista_CUIT[#All],3,0)),"CUIT NO CARGADO")</f>
        <v>Productos Ortopedicos</v>
      </c>
      <c r="K155" s="488">
        <f>IFERROR(IF(factura_c_mes10[[#This Row],[CUIT]]="","-",VLOOKUP(factura_c_mes10[[#This Row],[CUIT]],Lista_CUIT[#All],4,0)),"CUIT NO CARGADO")</f>
        <v>0</v>
      </c>
    </row>
    <row r="156" spans="4:11" ht="19.149999999999999" customHeight="1" x14ac:dyDescent="0.25">
      <c r="D156" s="475">
        <v>45218</v>
      </c>
      <c r="E156" s="484">
        <v>2</v>
      </c>
      <c r="F156" s="484">
        <v>488</v>
      </c>
      <c r="G156" s="485">
        <v>27299725761</v>
      </c>
      <c r="H156" s="486" t="str">
        <f>IFERROR(IF(factura_c_mes10[[#This Row],[CUIT]]="","-",VLOOKUP(factura_c_mes10[[#This Row],[CUIT]],Lista_CUIT[#All],2,0)),"CUIT NO CARGADO")</f>
        <v>TURSARKISIAN MISISIAN VERONICA GEMA</v>
      </c>
      <c r="I156" s="487">
        <v>90000</v>
      </c>
      <c r="J156" s="488" t="str">
        <f>IFERROR(IF(factura_c_mes10[[#This Row],[CUIT]]="","-",VLOOKUP(factura_c_mes10[[#This Row],[CUIT]],Lista_CUIT[#All],3,0)),"CUIT NO CARGADO")</f>
        <v>Productos Ortopedicos</v>
      </c>
      <c r="K156" s="488">
        <f>IFERROR(IF(factura_c_mes10[[#This Row],[CUIT]]="","-",VLOOKUP(factura_c_mes10[[#This Row],[CUIT]],Lista_CUIT[#All],4,0)),"CUIT NO CARGADO")</f>
        <v>0</v>
      </c>
    </row>
    <row r="157" spans="4:11" x14ac:dyDescent="0.25">
      <c r="D157" s="475">
        <v>45223</v>
      </c>
      <c r="E157" s="484">
        <v>2</v>
      </c>
      <c r="F157" s="484">
        <v>589</v>
      </c>
      <c r="G157" s="485">
        <v>27294612845</v>
      </c>
      <c r="H157" s="486" t="str">
        <f>IFERROR(IF(factura_c_mes10[[#This Row],[CUIT]]="","-",VLOOKUP(factura_c_mes10[[#This Row],[CUIT]],Lista_CUIT[#All],2,0)),"CUIT NO CARGADO")</f>
        <v>VASTA LUCILA</v>
      </c>
      <c r="I157" s="487">
        <v>126960</v>
      </c>
      <c r="J157" s="488" t="str">
        <f>IFERROR(IF(factura_c_mes10[[#This Row],[CUIT]]="","-",VLOOKUP(factura_c_mes10[[#This Row],[CUIT]],Lista_CUIT[#All],3,0)),"CUIT NO CARGADO")</f>
        <v>Productos Ortopedicos</v>
      </c>
      <c r="K157" s="488">
        <f>IFERROR(IF(factura_c_mes10[[#This Row],[CUIT]]="","-",VLOOKUP(factura_c_mes10[[#This Row],[CUIT]],Lista_CUIT[#All],4,0)),"CUIT NO CARGADO")</f>
        <v>0</v>
      </c>
    </row>
    <row r="158" spans="4:11" x14ac:dyDescent="0.25">
      <c r="D158" s="475">
        <v>45201</v>
      </c>
      <c r="E158" s="484">
        <v>3</v>
      </c>
      <c r="F158" s="484">
        <v>777</v>
      </c>
      <c r="G158" s="485">
        <v>20086277523</v>
      </c>
      <c r="H158" s="486" t="str">
        <f>IFERROR(IF(factura_c_mes10[[#This Row],[CUIT]]="","-",VLOOKUP(factura_c_mes10[[#This Row],[CUIT]],Lista_CUIT[#All],2,0)),"CUIT NO CARGADO")</f>
        <v>BOTINDARI JUAN CARLOS</v>
      </c>
      <c r="I158" s="487">
        <v>138300</v>
      </c>
      <c r="J158" s="488" t="str">
        <f>IFERROR(IF(factura_c_mes10[[#This Row],[CUIT]]="","-",VLOOKUP(factura_c_mes10[[#This Row],[CUIT]],Lista_CUIT[#All],3,0)),"CUIT NO CARGADO")</f>
        <v>HONORARIOS CONTABLES</v>
      </c>
      <c r="K158" s="488">
        <f>IFERROR(IF(factura_c_mes10[[#This Row],[CUIT]]="","-",VLOOKUP(factura_c_mes10[[#This Row],[CUIT]],Lista_CUIT[#All],4,0)),"CUIT NO CARGADO")</f>
        <v>0</v>
      </c>
    </row>
    <row r="159" spans="4:11" x14ac:dyDescent="0.25">
      <c r="D159" s="475">
        <v>45218</v>
      </c>
      <c r="E159" s="484">
        <v>3</v>
      </c>
      <c r="F159" s="484">
        <v>794</v>
      </c>
      <c r="G159" s="485">
        <v>20216451679</v>
      </c>
      <c r="H159" s="486" t="str">
        <f>IFERROR(IF(factura_c_mes10[[#This Row],[CUIT]]="","-",VLOOKUP(factura_c_mes10[[#This Row],[CUIT]],Lista_CUIT[#All],2,0)),"CUIT NO CARGADO")</f>
        <v>VAZQUEZ RICARDO OSCAR</v>
      </c>
      <c r="I159" s="487">
        <v>120000</v>
      </c>
      <c r="J159" s="488" t="str">
        <f>IFERROR(IF(factura_c_mes10[[#This Row],[CUIT]]="","-",VLOOKUP(factura_c_mes10[[#This Row],[CUIT]],Lista_CUIT[#All],3,0)),"CUIT NO CARGADO")</f>
        <v>Productos Ortopedicos</v>
      </c>
      <c r="K159" s="488">
        <f>IFERROR(IF(factura_c_mes10[[#This Row],[CUIT]]="","-",VLOOKUP(factura_c_mes10[[#This Row],[CUIT]],Lista_CUIT[#All],4,0)),"CUIT NO CARGADO")</f>
        <v>0</v>
      </c>
    </row>
    <row r="160" spans="4:11" x14ac:dyDescent="0.25">
      <c r="D160" s="475">
        <v>45226</v>
      </c>
      <c r="E160" s="484">
        <v>3</v>
      </c>
      <c r="F160" s="484">
        <v>799</v>
      </c>
      <c r="G160" s="485">
        <v>20216451679</v>
      </c>
      <c r="H160" s="486" t="str">
        <f>IFERROR(IF(factura_c_mes10[[#This Row],[CUIT]]="","-",VLOOKUP(factura_c_mes10[[#This Row],[CUIT]],Lista_CUIT[#All],2,0)),"CUIT NO CARGADO")</f>
        <v>VAZQUEZ RICARDO OSCAR</v>
      </c>
      <c r="I160" s="487">
        <v>120000</v>
      </c>
      <c r="J160" s="488" t="str">
        <f>IFERROR(IF(factura_c_mes10[[#This Row],[CUIT]]="","-",VLOOKUP(factura_c_mes10[[#This Row],[CUIT]],Lista_CUIT[#All],3,0)),"CUIT NO CARGADO")</f>
        <v>Productos Ortopedicos</v>
      </c>
      <c r="K160" s="488">
        <f>IFERROR(IF(factura_c_mes10[[#This Row],[CUIT]]="","-",VLOOKUP(factura_c_mes10[[#This Row],[CUIT]],Lista_CUIT[#All],4,0)),"CUIT NO CARGADO")</f>
        <v>0</v>
      </c>
    </row>
    <row r="161" spans="2:18" x14ac:dyDescent="0.25">
      <c r="D161" s="475">
        <v>45210</v>
      </c>
      <c r="E161" s="484">
        <v>1</v>
      </c>
      <c r="F161" s="484">
        <v>2646</v>
      </c>
      <c r="G161" s="485">
        <v>20410096103</v>
      </c>
      <c r="H161" s="486" t="str">
        <f>IFERROR(IF(factura_c_mes10[[#This Row],[CUIT]]="","-",VLOOKUP(factura_c_mes10[[#This Row],[CUIT]],Lista_CUIT[#All],2,0)),"CUIT NO CARGADO")</f>
        <v>CHAVES MATIAS EZEQUIEL</v>
      </c>
      <c r="I161" s="487">
        <v>6364.99</v>
      </c>
      <c r="J161" s="488" t="str">
        <f>IFERROR(IF(factura_c_mes10[[#This Row],[CUIT]]="","-",VLOOKUP(factura_c_mes10[[#This Row],[CUIT]],Lista_CUIT[#All],3,0)),"CUIT NO CARGADO")</f>
        <v>Gastos Varios</v>
      </c>
      <c r="K161" s="488">
        <f>IFERROR(IF(factura_c_mes10[[#This Row],[CUIT]]="","-",VLOOKUP(factura_c_mes10[[#This Row],[CUIT]],Lista_CUIT[#All],4,0)),"CUIT NO CARGADO")</f>
        <v>0</v>
      </c>
    </row>
    <row r="162" spans="2:18" x14ac:dyDescent="0.25">
      <c r="D162" s="50"/>
      <c r="E162" s="42"/>
      <c r="F162" s="43"/>
      <c r="G162" s="44"/>
      <c r="H162" s="53" t="str">
        <f>IFERROR(IF(factura_c_mes10[[#This Row],[CUIT]]="","-",VLOOKUP(factura_c_mes10[[#This Row],[CUIT]],Lista_CUIT[#All],2,0)),"CUIT NO CARGADO")</f>
        <v>-</v>
      </c>
      <c r="I162" s="81"/>
      <c r="J162" s="54" t="str">
        <f>IFERROR(IF(factura_c_mes10[[#This Row],[CUIT]]="","-",VLOOKUP(factura_c_mes10[[#This Row],[CUIT]],Lista_CUIT[#All],3,0)),"CUIT NO CARGADO")</f>
        <v>-</v>
      </c>
      <c r="K162" s="54" t="str">
        <f>IFERROR(IF(factura_c_mes10[[#This Row],[CUIT]]="","-",VLOOKUP(factura_c_mes10[[#This Row],[CUIT]],Lista_CUIT[#All],4,0)),"CUIT NO CARGADO")</f>
        <v>-</v>
      </c>
    </row>
    <row r="163" spans="2:18" x14ac:dyDescent="0.25">
      <c r="D163" s="50"/>
      <c r="E163" s="42"/>
      <c r="F163" s="43"/>
      <c r="G163" s="44"/>
      <c r="H163" s="53" t="str">
        <f>IFERROR(IF(factura_c_mes10[[#This Row],[CUIT]]="","-",VLOOKUP(factura_c_mes10[[#This Row],[CUIT]],Lista_CUIT[#All],2,0)),"CUIT NO CARGADO")</f>
        <v>-</v>
      </c>
      <c r="I163" s="81"/>
      <c r="J163" s="54" t="str">
        <f>IFERROR(IF(factura_c_mes10[[#This Row],[CUIT]]="","-",VLOOKUP(factura_c_mes10[[#This Row],[CUIT]],Lista_CUIT[#All],3,0)),"CUIT NO CARGADO")</f>
        <v>-</v>
      </c>
      <c r="K163" s="54" t="str">
        <f>IFERROR(IF(factura_c_mes10[[#This Row],[CUIT]]="","-",VLOOKUP(factura_c_mes10[[#This Row],[CUIT]],Lista_CUIT[#All],4,0)),"CUIT NO CARGADO")</f>
        <v>-</v>
      </c>
    </row>
    <row r="164" spans="2:18" x14ac:dyDescent="0.25">
      <c r="D164" s="50"/>
      <c r="E164" s="42"/>
      <c r="F164" s="43"/>
      <c r="G164" s="44"/>
      <c r="H164" s="53" t="str">
        <f>IFERROR(IF(factura_c_mes10[[#This Row],[CUIT]]="","-",VLOOKUP(factura_c_mes10[[#This Row],[CUIT]],Lista_CUIT[#All],2,0)),"CUIT NO CARGADO")</f>
        <v>-</v>
      </c>
      <c r="I164" s="81"/>
      <c r="J164" s="54" t="str">
        <f>IFERROR(IF(factura_c_mes10[[#This Row],[CUIT]]="","-",VLOOKUP(factura_c_mes10[[#This Row],[CUIT]],Lista_CUIT[#All],3,0)),"CUIT NO CARGADO")</f>
        <v>-</v>
      </c>
      <c r="K164" s="54" t="str">
        <f>IFERROR(IF(factura_c_mes10[[#This Row],[CUIT]]="","-",VLOOKUP(factura_c_mes10[[#This Row],[CUIT]],Lista_CUIT[#All],4,0)),"CUIT NO CARGADO")</f>
        <v>-</v>
      </c>
    </row>
    <row r="165" spans="2:18" x14ac:dyDescent="0.25">
      <c r="D165" s="50"/>
      <c r="E165" s="42"/>
      <c r="F165" s="43"/>
      <c r="G165" s="44"/>
      <c r="H165" s="53" t="str">
        <f>IFERROR(IF(factura_c_mes10[[#This Row],[CUIT]]="","-",VLOOKUP(factura_c_mes10[[#This Row],[CUIT]],Lista_CUIT[#All],2,0)),"CUIT NO CARGADO")</f>
        <v>-</v>
      </c>
      <c r="I165" s="81"/>
      <c r="J165" s="54" t="str">
        <f>IFERROR(IF(factura_c_mes10[[#This Row],[CUIT]]="","-",VLOOKUP(factura_c_mes10[[#This Row],[CUIT]],Lista_CUIT[#All],3,0)),"CUIT NO CARGADO")</f>
        <v>-</v>
      </c>
      <c r="K165" s="54" t="str">
        <f>IFERROR(IF(factura_c_mes10[[#This Row],[CUIT]]="","-",VLOOKUP(factura_c_mes10[[#This Row],[CUIT]],Lista_CUIT[#All],4,0)),"CUIT NO CARGADO")</f>
        <v>-</v>
      </c>
    </row>
    <row r="166" spans="2:18" x14ac:dyDescent="0.25">
      <c r="D166" s="55" t="s">
        <v>110</v>
      </c>
      <c r="E166" s="55"/>
      <c r="F166" s="55"/>
      <c r="G166" s="55"/>
      <c r="H166" s="57"/>
      <c r="I166" s="58">
        <f>SUBTOTAL(109,factura_c_mes10[TOTAL])</f>
        <v>3579645.99</v>
      </c>
      <c r="J166" s="55"/>
      <c r="K166" s="55"/>
    </row>
    <row r="167" spans="2:18" x14ac:dyDescent="0.25">
      <c r="B167" s="56"/>
      <c r="C167" s="56"/>
      <c r="L167" s="56"/>
      <c r="M167" s="56"/>
      <c r="N167" s="56"/>
      <c r="O167" s="56"/>
      <c r="P167" s="56"/>
      <c r="Q167" s="56"/>
      <c r="R167" s="56"/>
    </row>
    <row r="172" spans="2:18" ht="26.25" x14ac:dyDescent="0.25">
      <c r="B172" s="532" t="s">
        <v>29</v>
      </c>
      <c r="C172" s="532"/>
      <c r="D172" s="532"/>
      <c r="E172" s="532"/>
      <c r="F172" s="532"/>
      <c r="G172" s="532"/>
      <c r="H172" s="532"/>
      <c r="I172" s="532"/>
      <c r="J172" s="532"/>
      <c r="K172" s="528">
        <f>N1</f>
        <v>45200</v>
      </c>
      <c r="L172" s="528"/>
      <c r="M172" s="528"/>
    </row>
    <row r="174" spans="2:18" ht="21" x14ac:dyDescent="0.25">
      <c r="B174" s="525" t="s">
        <v>30</v>
      </c>
      <c r="C174" s="525"/>
    </row>
    <row r="175" spans="2:18" ht="15.75" x14ac:dyDescent="0.25">
      <c r="B175" s="60" t="s">
        <v>0</v>
      </c>
      <c r="C175" s="61" t="s">
        <v>1</v>
      </c>
      <c r="D175" s="61" t="s">
        <v>21</v>
      </c>
      <c r="E175" s="61" t="s">
        <v>22</v>
      </c>
      <c r="F175" s="61" t="s">
        <v>3</v>
      </c>
      <c r="G175" s="61" t="s">
        <v>4</v>
      </c>
      <c r="H175" s="61" t="s">
        <v>23</v>
      </c>
      <c r="I175" s="61" t="s">
        <v>17</v>
      </c>
      <c r="J175" s="61" t="s">
        <v>7</v>
      </c>
      <c r="K175" s="61" t="s">
        <v>24</v>
      </c>
      <c r="L175" s="61" t="s">
        <v>10</v>
      </c>
      <c r="M175" s="62" t="s">
        <v>38</v>
      </c>
    </row>
    <row r="176" spans="2:18" x14ac:dyDescent="0.25">
      <c r="B176" s="40"/>
      <c r="C176" s="41"/>
      <c r="D176" s="42"/>
      <c r="E176" s="43"/>
      <c r="F176" s="44"/>
      <c r="G176" s="99" t="str">
        <f>IFERROR(IF(venta_a_mes10[[#This Row],[CUIT]]="","-",VLOOKUP(venta_a_mes10[[#This Row],[CUIT]],Lista_CUIT[#All],2,0)),"CUIT NO CARGADO")</f>
        <v>-</v>
      </c>
      <c r="H176" s="100"/>
      <c r="I176" s="101">
        <f>venta_a_mes10[[#This Row],[IMPORTE NETO]]*0.21</f>
        <v>0</v>
      </c>
      <c r="J176" s="65"/>
      <c r="K176" s="65"/>
      <c r="L176" s="65">
        <f>SUM(venta_a_mes10[[#This Row],[IMPORTE NETO]:[EXENTO]])</f>
        <v>0</v>
      </c>
      <c r="M176" s="59"/>
    </row>
    <row r="177" spans="2:13" x14ac:dyDescent="0.25">
      <c r="B177" s="40"/>
      <c r="C177" s="41"/>
      <c r="D177" s="42"/>
      <c r="E177" s="43"/>
      <c r="F177" s="44"/>
      <c r="G177" s="99" t="str">
        <f>IFERROR(IF(venta_a_mes10[[#This Row],[CUIT]]="","-",VLOOKUP(venta_a_mes10[[#This Row],[CUIT]],Lista_CUIT[#All],2,0)),"CUIT NO CARGADO")</f>
        <v>-</v>
      </c>
      <c r="H177" s="100"/>
      <c r="I177" s="101">
        <f>venta_a_mes10[[#This Row],[IMPORTE NETO]]*0.21</f>
        <v>0</v>
      </c>
      <c r="J177" s="65"/>
      <c r="K177" s="65"/>
      <c r="L177" s="65">
        <f>SUM(venta_a_mes10[[#This Row],[IMPORTE NETO]:[EXENTO]])</f>
        <v>0</v>
      </c>
      <c r="M177" s="59"/>
    </row>
    <row r="178" spans="2:13" x14ac:dyDescent="0.25">
      <c r="B178" s="40"/>
      <c r="C178" s="41"/>
      <c r="D178" s="42"/>
      <c r="E178" s="43"/>
      <c r="F178" s="44"/>
      <c r="G178" s="99" t="str">
        <f>IFERROR(IF(venta_a_mes10[[#This Row],[CUIT]]="","-",VLOOKUP(venta_a_mes10[[#This Row],[CUIT]],Lista_CUIT[#All],2,0)),"CUIT NO CARGADO")</f>
        <v>-</v>
      </c>
      <c r="H178" s="100"/>
      <c r="I178" s="101">
        <f>venta_a_mes10[[#This Row],[IMPORTE NETO]]*0.21</f>
        <v>0</v>
      </c>
      <c r="J178" s="65"/>
      <c r="K178" s="65"/>
      <c r="L178" s="65">
        <f>SUM(venta_a_mes10[[#This Row],[IMPORTE NETO]:[EXENTO]])</f>
        <v>0</v>
      </c>
      <c r="M178" s="59"/>
    </row>
    <row r="179" spans="2:13" x14ac:dyDescent="0.25">
      <c r="B179" s="40"/>
      <c r="C179" s="41"/>
      <c r="D179" s="42"/>
      <c r="E179" s="43"/>
      <c r="F179" s="44"/>
      <c r="G179" s="99" t="str">
        <f>IFERROR(IF(venta_a_mes10[[#This Row],[CUIT]]="","-",VLOOKUP(venta_a_mes10[[#This Row],[CUIT]],Lista_CUIT[#All],2,0)),"CUIT NO CARGADO")</f>
        <v>-</v>
      </c>
      <c r="H179" s="100"/>
      <c r="I179" s="101">
        <f>venta_a_mes10[[#This Row],[IMPORTE NETO]]*0.21</f>
        <v>0</v>
      </c>
      <c r="J179" s="65"/>
      <c r="K179" s="65"/>
      <c r="L179" s="65">
        <f>SUM(venta_a_mes10[[#This Row],[IMPORTE NETO]:[EXENTO]])</f>
        <v>0</v>
      </c>
      <c r="M179" s="59"/>
    </row>
    <row r="180" spans="2:13" x14ac:dyDescent="0.25">
      <c r="B180" s="40"/>
      <c r="C180" s="41"/>
      <c r="D180" s="42"/>
      <c r="E180" s="43"/>
      <c r="F180" s="44"/>
      <c r="G180" s="99" t="str">
        <f>IFERROR(IF(venta_a_mes10[[#This Row],[CUIT]]="","-",VLOOKUP(venta_a_mes10[[#This Row],[CUIT]],Lista_CUIT[#All],2,0)),"CUIT NO CARGADO")</f>
        <v>-</v>
      </c>
      <c r="H180" s="100"/>
      <c r="I180" s="101">
        <f>venta_a_mes10[[#This Row],[IMPORTE NETO]]*0.21</f>
        <v>0</v>
      </c>
      <c r="J180" s="65"/>
      <c r="K180" s="65"/>
      <c r="L180" s="65">
        <f>SUM(venta_a_mes10[[#This Row],[IMPORTE NETO]:[EXENTO]])</f>
        <v>0</v>
      </c>
      <c r="M180" s="59"/>
    </row>
    <row r="181" spans="2:13" x14ac:dyDescent="0.25">
      <c r="B181" s="40"/>
      <c r="C181" s="41"/>
      <c r="D181" s="42"/>
      <c r="E181" s="43"/>
      <c r="F181" s="44"/>
      <c r="G181" s="99" t="str">
        <f>IFERROR(IF(venta_a_mes10[[#This Row],[CUIT]]="","-",VLOOKUP(venta_a_mes10[[#This Row],[CUIT]],Lista_CUIT[#All],2,0)),"CUIT NO CARGADO")</f>
        <v>-</v>
      </c>
      <c r="H181" s="100"/>
      <c r="I181" s="101">
        <f>venta_a_mes10[[#This Row],[IMPORTE NETO]]*0.21</f>
        <v>0</v>
      </c>
      <c r="J181" s="65"/>
      <c r="K181" s="65"/>
      <c r="L181" s="65">
        <f>SUM(venta_a_mes10[[#This Row],[IMPORTE NETO]:[EXENTO]])</f>
        <v>0</v>
      </c>
      <c r="M181" s="59"/>
    </row>
    <row r="182" spans="2:13" x14ac:dyDescent="0.25">
      <c r="B182" s="40"/>
      <c r="C182" s="41"/>
      <c r="D182" s="42"/>
      <c r="E182" s="43"/>
      <c r="F182" s="44"/>
      <c r="G182" s="99" t="str">
        <f>IFERROR(IF(venta_a_mes10[[#This Row],[CUIT]]="","-",VLOOKUP(venta_a_mes10[[#This Row],[CUIT]],Lista_CUIT[#All],2,0)),"CUIT NO CARGADO")</f>
        <v>-</v>
      </c>
      <c r="H182" s="100"/>
      <c r="I182" s="101">
        <f>venta_a_mes10[[#This Row],[IMPORTE NETO]]*0.21</f>
        <v>0</v>
      </c>
      <c r="J182" s="65"/>
      <c r="K182" s="65"/>
      <c r="L182" s="65">
        <f>SUM(venta_a_mes10[[#This Row],[IMPORTE NETO]:[EXENTO]])</f>
        <v>0</v>
      </c>
      <c r="M182" s="63"/>
    </row>
    <row r="183" spans="2:13" x14ac:dyDescent="0.25">
      <c r="B183" s="102"/>
      <c r="C183" s="103"/>
      <c r="D183" s="104"/>
      <c r="E183" s="105"/>
      <c r="F183" s="106"/>
      <c r="G183" s="99" t="str">
        <f>IFERROR(IF(venta_a_mes10[[#This Row],[CUIT]]="","-",VLOOKUP(venta_a_mes10[[#This Row],[CUIT]],Lista_CUIT[#All],2,0)),"CUIT NO CARGADO")</f>
        <v>-</v>
      </c>
      <c r="H183" s="107"/>
      <c r="I183" s="108">
        <f>venta_a_mes10[[#This Row],[IMPORTE NETO]]*0.21</f>
        <v>0</v>
      </c>
      <c r="J183" s="72"/>
      <c r="K183" s="72"/>
      <c r="L183" s="72">
        <f>SUM(venta_a_mes10[[#This Row],[IMPORTE NETO]:[EXENTO]])</f>
        <v>0</v>
      </c>
      <c r="M183" s="63"/>
    </row>
    <row r="184" spans="2:13" x14ac:dyDescent="0.25">
      <c r="B184" s="109"/>
      <c r="C184" s="110"/>
      <c r="D184" s="111"/>
      <c r="E184" s="112"/>
      <c r="F184" s="113"/>
      <c r="G184" s="99" t="str">
        <f>IFERROR(IF(venta_a_mes10[[#This Row],[CUIT]]="","-",VLOOKUP(venta_a_mes10[[#This Row],[CUIT]],Lista_CUIT[#All],2,0)),"CUIT NO CARGADO")</f>
        <v>-</v>
      </c>
      <c r="H184" s="100"/>
      <c r="I184" s="101">
        <f>venta_a_mes10[[#This Row],[IMPORTE NETO]]*0.21</f>
        <v>0</v>
      </c>
      <c r="J184" s="65"/>
      <c r="K184" s="65"/>
      <c r="L184" s="65">
        <f>SUM(venta_a_mes10[[#This Row],[IMPORTE NETO]:[EXENTO]])</f>
        <v>0</v>
      </c>
      <c r="M184" s="59"/>
    </row>
    <row r="185" spans="2:13" x14ac:dyDescent="0.25">
      <c r="B185" s="66" t="s">
        <v>110</v>
      </c>
      <c r="C185" s="67"/>
      <c r="D185" s="67"/>
      <c r="E185" s="67"/>
      <c r="F185" s="67"/>
      <c r="G185" s="67"/>
      <c r="H185" s="69">
        <f>SUBTOTAL(109,venta_a_mes10[IMPORTE NETO])</f>
        <v>0</v>
      </c>
      <c r="I185" s="70">
        <f>SUBTOTAL(109,venta_a_mes10[IVA 21%])</f>
        <v>0</v>
      </c>
      <c r="J185" s="71">
        <f>SUBTOTAL(109,venta_a_mes10[IVA 10,5%])</f>
        <v>0</v>
      </c>
      <c r="K185" s="71">
        <f>SUBTOTAL(109,venta_a_mes10[EXENTO])</f>
        <v>0</v>
      </c>
      <c r="L185" s="71">
        <f>SUBTOTAL(109,venta_a_mes10[TOTAL])</f>
        <v>0</v>
      </c>
      <c r="M185" s="68">
        <f>SUBTOTAL(103,venta_a_mes10[Provincia])</f>
        <v>0</v>
      </c>
    </row>
    <row r="188" spans="2:13" ht="21" x14ac:dyDescent="0.25">
      <c r="B188" s="525" t="s">
        <v>31</v>
      </c>
      <c r="C188" s="525"/>
    </row>
    <row r="189" spans="2:13" ht="15.75" x14ac:dyDescent="0.25">
      <c r="B189" s="60" t="s">
        <v>0</v>
      </c>
      <c r="C189" s="61" t="s">
        <v>1</v>
      </c>
      <c r="D189" s="61" t="s">
        <v>21</v>
      </c>
      <c r="E189" s="61" t="s">
        <v>22</v>
      </c>
      <c r="F189" s="61" t="s">
        <v>3</v>
      </c>
      <c r="G189" s="61" t="s">
        <v>4</v>
      </c>
      <c r="H189" s="61" t="s">
        <v>23</v>
      </c>
      <c r="I189" s="61" t="s">
        <v>17</v>
      </c>
      <c r="J189" s="61" t="s">
        <v>7</v>
      </c>
      <c r="K189" s="61" t="s">
        <v>24</v>
      </c>
      <c r="L189" s="61" t="s">
        <v>10</v>
      </c>
      <c r="M189" s="62" t="s">
        <v>38</v>
      </c>
    </row>
    <row r="190" spans="2:13" x14ac:dyDescent="0.25">
      <c r="B190" s="40"/>
      <c r="C190" s="41"/>
      <c r="D190" s="42"/>
      <c r="E190" s="43"/>
      <c r="F190" s="44"/>
      <c r="G190" s="1" t="str">
        <f>IFERROR(IF(ventas_b_mes10[[#This Row],[CUIT]]="","-",VLOOKUP(ventas_b_mes10[[#This Row],[CUIT]],Lista_CUIT[#All],2,0)),"CUIT NO CARGADO")</f>
        <v>-</v>
      </c>
      <c r="H190" s="64"/>
      <c r="I190" s="64"/>
      <c r="J190" s="64"/>
      <c r="K190" s="64"/>
      <c r="L190" s="64">
        <f>SUM(ventas_b_mes10[[#This Row],[IMPORTE NETO]:[EXENTO]])</f>
        <v>0</v>
      </c>
      <c r="M190" s="59"/>
    </row>
    <row r="191" spans="2:13" x14ac:dyDescent="0.25">
      <c r="B191" s="40"/>
      <c r="C191" s="41"/>
      <c r="D191" s="42"/>
      <c r="E191" s="43"/>
      <c r="F191" s="44"/>
      <c r="G191" s="1"/>
      <c r="H191" s="64"/>
      <c r="I191" s="64"/>
      <c r="J191" s="64"/>
      <c r="K191" s="64"/>
      <c r="L191" s="64">
        <f>SUM(ventas_b_mes10[[#This Row],[IMPORTE NETO]:[EXENTO]])</f>
        <v>0</v>
      </c>
      <c r="M191" s="59"/>
    </row>
    <row r="192" spans="2:13" x14ac:dyDescent="0.25">
      <c r="B192" s="40"/>
      <c r="C192" s="41"/>
      <c r="D192" s="42"/>
      <c r="E192" s="43"/>
      <c r="F192" s="44"/>
      <c r="G192" s="1"/>
      <c r="H192" s="64"/>
      <c r="I192" s="64"/>
      <c r="J192" s="64"/>
      <c r="K192" s="64"/>
      <c r="L192" s="64">
        <f>SUM(ventas_b_mes10[[#This Row],[IMPORTE NETO]:[EXENTO]])</f>
        <v>0</v>
      </c>
      <c r="M192" s="59"/>
    </row>
    <row r="193" spans="2:13" x14ac:dyDescent="0.25">
      <c r="B193" s="40"/>
      <c r="C193" s="41"/>
      <c r="D193" s="42"/>
      <c r="E193" s="43"/>
      <c r="F193" s="44"/>
      <c r="G193" s="1"/>
      <c r="H193" s="64"/>
      <c r="I193" s="64"/>
      <c r="J193" s="64"/>
      <c r="K193" s="64"/>
      <c r="L193" s="64">
        <f>SUM(ventas_b_mes10[[#This Row],[IMPORTE NETO]:[EXENTO]])</f>
        <v>0</v>
      </c>
      <c r="M193" s="59"/>
    </row>
    <row r="194" spans="2:13" x14ac:dyDescent="0.25">
      <c r="B194" s="40"/>
      <c r="C194" s="41"/>
      <c r="D194" s="42"/>
      <c r="E194" s="43"/>
      <c r="F194" s="44"/>
      <c r="G194" s="1"/>
      <c r="H194" s="64"/>
      <c r="I194" s="64"/>
      <c r="J194" s="64"/>
      <c r="K194" s="64"/>
      <c r="L194" s="64">
        <f>SUM(ventas_b_mes10[[#This Row],[IMPORTE NETO]:[EXENTO]])</f>
        <v>0</v>
      </c>
      <c r="M194" s="59"/>
    </row>
    <row r="195" spans="2:13" x14ac:dyDescent="0.25">
      <c r="B195" s="40"/>
      <c r="C195" s="41"/>
      <c r="D195" s="42"/>
      <c r="E195" s="43"/>
      <c r="F195" s="44"/>
      <c r="G195" s="1"/>
      <c r="H195" s="64"/>
      <c r="I195" s="64"/>
      <c r="J195" s="64"/>
      <c r="K195" s="64"/>
      <c r="L195" s="64">
        <f>SUM(ventas_b_mes10[[#This Row],[IMPORTE NETO]:[EXENTO]])</f>
        <v>0</v>
      </c>
      <c r="M195" s="59"/>
    </row>
    <row r="196" spans="2:13" x14ac:dyDescent="0.25">
      <c r="B196" s="66" t="s">
        <v>110</v>
      </c>
      <c r="C196" s="67"/>
      <c r="D196" s="67"/>
      <c r="E196" s="67"/>
      <c r="F196" s="67"/>
      <c r="G196" s="67"/>
      <c r="H196" s="77">
        <f>SUBTOTAL(109,ventas_b_mes10[IMPORTE NETO])</f>
        <v>0</v>
      </c>
      <c r="I196" s="77">
        <f>SUBTOTAL(109,ventas_b_mes10[IVA 21%])</f>
        <v>0</v>
      </c>
      <c r="J196" s="78">
        <f>SUBTOTAL(109,ventas_b_mes10[IVA 10,5%])</f>
        <v>0</v>
      </c>
      <c r="K196" s="78">
        <f>SUBTOTAL(109,ventas_b_mes10[EXENTO])</f>
        <v>0</v>
      </c>
      <c r="L196" s="78">
        <f>SUBTOTAL(109,ventas_b_mes10[TOTAL])</f>
        <v>0</v>
      </c>
      <c r="M196" s="68">
        <f>SUBTOTAL(103,ventas_b_mes10[Provincia])</f>
        <v>0</v>
      </c>
    </row>
    <row r="203" spans="2:13" ht="15.75" thickBot="1" x14ac:dyDescent="0.3"/>
    <row r="204" spans="2:13" ht="15.75" thickTop="1" x14ac:dyDescent="0.25">
      <c r="C204" s="522" t="s">
        <v>66</v>
      </c>
      <c r="D204" s="522"/>
      <c r="E204" s="522"/>
      <c r="F204" s="522"/>
      <c r="G204" s="522"/>
      <c r="H204" s="32"/>
      <c r="I204" s="32"/>
      <c r="J204" s="32"/>
    </row>
    <row r="205" spans="2:13" ht="15.75" x14ac:dyDescent="0.25">
      <c r="C205" s="114" t="s">
        <v>67</v>
      </c>
      <c r="D205" s="115" t="s">
        <v>68</v>
      </c>
      <c r="E205" s="115" t="s">
        <v>112</v>
      </c>
      <c r="F205" s="115" t="s">
        <v>3</v>
      </c>
      <c r="G205" s="115" t="s">
        <v>4</v>
      </c>
      <c r="H205" s="116" t="s">
        <v>69</v>
      </c>
      <c r="I205" s="116" t="s">
        <v>70</v>
      </c>
      <c r="J205" s="116" t="s">
        <v>71</v>
      </c>
      <c r="K205" s="116" t="s">
        <v>72</v>
      </c>
      <c r="L205" s="116" t="s">
        <v>73</v>
      </c>
    </row>
    <row r="206" spans="2:13" x14ac:dyDescent="0.25">
      <c r="C206" s="117"/>
      <c r="D206" s="118"/>
      <c r="E206" s="118"/>
      <c r="F206" s="119"/>
      <c r="G206" s="53" t="str">
        <f>IFERROR(IF(Retenciones_mes10[[#This Row],[CUIT]]="","-",VLOOKUP(Retenciones_mes10[[#This Row],[CUIT]],Lista_CUIT[#All],2,0)),"CUIT NO CARGADO")</f>
        <v>-</v>
      </c>
      <c r="H206" s="120"/>
      <c r="I206" s="120"/>
      <c r="J206" s="120"/>
      <c r="K206" s="120"/>
      <c r="L206" s="120"/>
    </row>
    <row r="207" spans="2:13" x14ac:dyDescent="0.25">
      <c r="C207" s="117"/>
      <c r="D207" s="118"/>
      <c r="E207" s="118"/>
      <c r="F207" s="119"/>
      <c r="G207" s="53" t="str">
        <f>IFERROR(IF(Retenciones_mes10[[#This Row],[CUIT]]="","-",VLOOKUP(Retenciones_mes10[[#This Row],[CUIT]],Lista_CUIT[#All],2,0)),"CUIT NO CARGADO")</f>
        <v>-</v>
      </c>
      <c r="H207" s="120"/>
      <c r="I207" s="120"/>
      <c r="J207" s="120"/>
      <c r="K207" s="120"/>
      <c r="L207" s="120"/>
    </row>
    <row r="208" spans="2:13" x14ac:dyDescent="0.25">
      <c r="C208" s="117"/>
      <c r="D208" s="118"/>
      <c r="E208" s="118"/>
      <c r="F208" s="119"/>
      <c r="G208" s="53" t="str">
        <f>IFERROR(IF(Retenciones_mes10[[#This Row],[CUIT]]="","-",VLOOKUP(Retenciones_mes10[[#This Row],[CUIT]],Lista_CUIT[#All],2,0)),"CUIT NO CARGADO")</f>
        <v>-</v>
      </c>
      <c r="H208" s="120"/>
      <c r="I208" s="120"/>
      <c r="J208" s="120"/>
      <c r="K208" s="120"/>
      <c r="L208" s="120"/>
    </row>
    <row r="209" spans="3:12" x14ac:dyDescent="0.25">
      <c r="C209" s="117"/>
      <c r="D209" s="118"/>
      <c r="E209" s="118"/>
      <c r="F209" s="119"/>
      <c r="G209" s="53" t="str">
        <f>IFERROR(IF(Retenciones_mes10[[#This Row],[CUIT]]="","-",VLOOKUP(Retenciones_mes10[[#This Row],[CUIT]],Lista_CUIT[#All],2,0)),"CUIT NO CARGADO")</f>
        <v>-</v>
      </c>
      <c r="H209" s="120"/>
      <c r="I209" s="120"/>
      <c r="J209" s="120"/>
      <c r="K209" s="120"/>
      <c r="L209" s="120"/>
    </row>
    <row r="210" spans="3:12" x14ac:dyDescent="0.25">
      <c r="D210" s="118"/>
      <c r="E210" s="118"/>
      <c r="G210" s="53" t="str">
        <f>IFERROR(IF(Retenciones_mes10[[#This Row],[CUIT]]="","-",VLOOKUP(Retenciones_mes10[[#This Row],[CUIT]],Lista_CUIT[#All],2,0)),"CUIT NO CARGADO")</f>
        <v>-</v>
      </c>
    </row>
    <row r="211" spans="3:12" x14ac:dyDescent="0.25">
      <c r="C211" s="33"/>
    </row>
  </sheetData>
  <mergeCells count="20">
    <mergeCell ref="C204:G204"/>
    <mergeCell ref="B4:E4"/>
    <mergeCell ref="G4:H4"/>
    <mergeCell ref="J4:K4"/>
    <mergeCell ref="M4:N4"/>
    <mergeCell ref="D122:K122"/>
    <mergeCell ref="B172:J172"/>
    <mergeCell ref="K172:M172"/>
    <mergeCell ref="B174:C174"/>
    <mergeCell ref="B188:C188"/>
    <mergeCell ref="P4:R4"/>
    <mergeCell ref="D113:L113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90:L195" xr:uid="{80657216-917B-4584-AD22-66DED51DDC0A}">
      <formula1>IF($C190=8,H190&lt;0,H190&gt;=0)</formula1>
    </dataValidation>
    <dataValidation type="custom" allowBlank="1" showInputMessage="1" showErrorMessage="1" sqref="L178:L180" xr:uid="{BF81FD69-888E-4DF1-A0C2-54E088A7148C}">
      <formula1>IF($C62=3,L62&lt;0,L62&gt;=0)</formula1>
    </dataValidation>
    <dataValidation type="whole" allowBlank="1" showInputMessage="1" showErrorMessage="1" sqref="C190:C195" xr:uid="{B7C46C8F-A42C-45BE-9209-A1ABCE49BE88}">
      <formula1>6</formula1>
      <formula2>8</formula2>
    </dataValidation>
    <dataValidation type="custom" allowBlank="1" showInputMessage="1" showErrorMessage="1" sqref="H176:K176 H178:K178 H180:K180 H182:K182" xr:uid="{4380B6D8-8C8D-4312-A103-8A6C8C841C7E}">
      <formula1>IF($C176=3,H176&lt;0,H176&gt;=0)</formula1>
    </dataValidation>
    <dataValidation type="whole" allowBlank="1" showInputMessage="1" showErrorMessage="1" sqref="C109:C112 C176:C184 C9:C107" xr:uid="{9F5A86BB-FF90-45BA-94A7-F4359DD34605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7" xr:uid="{8C2195F5-86AC-4064-A5B5-DC5AE9D49C91}">
      <formula1>IF($C9=3,H9&lt;0,H9&gt;=0)</formula1>
    </dataValidation>
    <dataValidation type="date" allowBlank="1" showInputMessage="1" showErrorMessage="1" sqref="B9:B107 D115:D117 B176:B184 B109:B112 B190:B195 D124:D165" xr:uid="{19571C60-EDBB-4B5C-92E1-EED0BA0EFEE8}">
      <formula1>40179</formula1>
      <formula2>TODAY()</formula2>
    </dataValidation>
    <dataValidation type="whole" allowBlank="1" showInputMessage="1" showErrorMessage="1" sqref="G124:G165 F176:F184 F190:F195 F9:F107" xr:uid="{DEA296BE-0590-473D-94C8-4ECCEF9FA484}">
      <formula1>20000000000</formula1>
      <formula2>33999999999</formula2>
    </dataValidation>
    <dataValidation type="whole" allowBlank="1" showInputMessage="1" showErrorMessage="1" sqref="E9:E107 E176:E184 E190:E195 F124:F165" xr:uid="{6B7C2D3F-BF3D-4C34-8391-A5B62A89F72C}">
      <formula1>1</formula1>
      <formula2>99999999</formula2>
    </dataValidation>
    <dataValidation type="whole" allowBlank="1" showInputMessage="1" showErrorMessage="1" sqref="D9:D107 D176:D184 D190:D195 E124:E165" xr:uid="{8BDD4343-2A03-4443-94E6-A2CE5B7DD47E}">
      <formula1>1</formula1>
      <formula2>9999</formula2>
    </dataValidation>
    <dataValidation type="custom" allowBlank="1" showInputMessage="1" showErrorMessage="1" sqref="L176" xr:uid="{42321B67-A6B0-41C2-BC17-C7BFB2FCE9A2}">
      <formula1>IF($C9=3,L9&lt;0,L9&gt;=0)</formula1>
    </dataValidation>
    <dataValidation type="custom" allowBlank="1" showInputMessage="1" showErrorMessage="1" sqref="L177" xr:uid="{1A9AAC63-8A1F-466E-8C9B-193AED4C6A86}">
      <formula1>IF($C59=3,L59&lt;0,L59&gt;=0)</formula1>
    </dataValidation>
    <dataValidation type="custom" allowBlank="1" showInputMessage="1" showErrorMessage="1" sqref="L181:L182" xr:uid="{7CF1BC5F-8546-434E-ACFB-9331F0EE02B7}">
      <formula1>IF($C108=3,L108&lt;0,L108&gt;=0)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423"/>
  <sheetViews>
    <sheetView showGridLines="0" topLeftCell="F119" zoomScale="70" zoomScaleNormal="70" workbookViewId="0">
      <selection activeCell="G157" sqref="G157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9.28515625" customWidth="1"/>
    <col min="11" max="11" width="11.140625" customWidth="1"/>
    <col min="12" max="12" width="9.28515625" customWidth="1"/>
    <col min="13" max="13" width="8.28515625" customWidth="1"/>
    <col min="14" max="14" width="12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2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EDATE('Ene-23'!N1,10)</f>
        <v>45231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SUM(compras_mes11[[#Totals],[NETO GRAVADO]])+extracto_banco_mes11[[#Totals],[NETO]]</f>
        <v>30481156.339999989</v>
      </c>
      <c r="C4" s="530"/>
      <c r="D4" s="530"/>
      <c r="E4" s="530"/>
      <c r="F4" s="39"/>
      <c r="G4" s="531">
        <f>compras_mes11[[#Totals],[IVA 21 %]]+compras_mes11[[#Totals],[IVA 27%]]+compras_mes11[[#Totals],[IVA 10,5%]]+extracto_banco_mes11[[#Totals],[IVA 21%]]+extracto_banco_mes11[[#Totals],[IVA 10,5%]]</f>
        <v>5703835.1082999995</v>
      </c>
      <c r="H4" s="531"/>
      <c r="I4" s="39"/>
      <c r="J4" s="537">
        <f>venta_a_mes11[[#Totals],[IMPORTE NETO]]+ventas_b_mes11[[#Totals],[IMPORTE NETO]]</f>
        <v>0</v>
      </c>
      <c r="K4" s="537"/>
      <c r="L4" s="39"/>
      <c r="M4" s="537">
        <f>venta_a_mes11[[#Totals],[IVA 21%]]+venta_a_mes11[[#Totals],[IVA 10,5%]]+ventas_b_mes11[[#Totals],[IVA 21%]]+ventas_b_mes11[[#Totals],[IVA 10,5%]]</f>
        <v>0</v>
      </c>
      <c r="N4" s="537"/>
      <c r="O4" s="39"/>
      <c r="P4" s="533">
        <f>G4-M4</f>
        <v>5703835.1082999995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75">
        <v>45164</v>
      </c>
      <c r="C9" s="489">
        <v>1</v>
      </c>
      <c r="D9" s="476">
        <v>3</v>
      </c>
      <c r="E9" s="477">
        <v>48852</v>
      </c>
      <c r="F9" s="478">
        <v>30715458744</v>
      </c>
      <c r="G9" s="479" t="str">
        <f>IFERROR(IF(compras_mes11[[#This Row],[CUIT]]="","-",VLOOKUP(compras_mes11[[#This Row],[CUIT]],Lista_CUIT[#All],2,0)),"CUIT NO CARGADO")</f>
        <v>SUR CARBURANTES SA</v>
      </c>
      <c r="H9" s="480">
        <v>10381.26</v>
      </c>
      <c r="I9" s="481">
        <f>IF(compras_mes11[[#This Row],[NETO GRAVADO]]="","",compras_mes11[[#This Row],[NETO GRAVADO]]*0.21)</f>
        <v>2180.0646000000002</v>
      </c>
      <c r="J9" s="481"/>
      <c r="K9" s="481"/>
      <c r="L9" s="481"/>
      <c r="M9" s="481"/>
      <c r="N9" s="481"/>
      <c r="O9" s="481">
        <v>440.9</v>
      </c>
      <c r="P9" s="482">
        <f>SUM(compras_mes11[[#This Row],[NETO GRAVADO]:[Otros / No Grav.]])</f>
        <v>13002.2246</v>
      </c>
      <c r="Q9" s="483" t="str">
        <f>IFERROR(IF(compras_mes11[[#This Row],[CUIT]]="","-",VLOOKUP(compras_mes11[[#This Row],[CUIT]],Lista_CUIT[#All],3,0)),"CUIT NO CARGADO")</f>
        <v>COMBUSTIBLE</v>
      </c>
      <c r="R9" s="483">
        <f>IFERROR(IF(compras_mes11[[#This Row],[CUIT]]="","-",VLOOKUP(compras_mes11[[#This Row],[CUIT]],Lista_CUIT[#All],4,0)),"CUIT NO CARGADO")</f>
        <v>0</v>
      </c>
    </row>
    <row r="10" spans="1:26" x14ac:dyDescent="0.25">
      <c r="B10" s="475">
        <v>45224</v>
      </c>
      <c r="C10" s="489">
        <v>1</v>
      </c>
      <c r="D10" s="476">
        <v>12</v>
      </c>
      <c r="E10" s="477">
        <v>9593</v>
      </c>
      <c r="F10" s="478">
        <v>33531122599</v>
      </c>
      <c r="G10" s="479" t="str">
        <f>IFERROR(IF(compras_mes11[[#This Row],[CUIT]]="","-",VLOOKUP(compras_mes11[[#This Row],[CUIT]],Lista_CUIT[#All],2,0)),"CUIT NO CARGADO")</f>
        <v>LA CAMIONERA MENDOCINA SRL</v>
      </c>
      <c r="H10" s="480">
        <v>62388.44</v>
      </c>
      <c r="I10" s="481">
        <f>IF(compras_mes11[[#This Row],[NETO GRAVADO]]="","",compras_mes11[[#This Row],[NETO GRAVADO]]*0.21)</f>
        <v>13101.572399999999</v>
      </c>
      <c r="J10" s="481"/>
      <c r="K10" s="481"/>
      <c r="L10" s="481"/>
      <c r="M10" s="481"/>
      <c r="N10" s="481"/>
      <c r="O10" s="481"/>
      <c r="P10" s="482">
        <f>SUM(compras_mes11[[#This Row],[NETO GRAVADO]:[Otros / No Grav.]])</f>
        <v>75490.012400000007</v>
      </c>
      <c r="Q10" s="483" t="str">
        <f>IFERROR(IF(compras_mes11[[#This Row],[CUIT]]="","-",VLOOKUP(compras_mes11[[#This Row],[CUIT]],Lista_CUIT[#All],3,0)),"CUIT NO CARGADO")</f>
        <v>FLETE</v>
      </c>
      <c r="R10" s="483">
        <f>IFERROR(IF(compras_mes11[[#This Row],[CUIT]]="","-",VLOOKUP(compras_mes11[[#This Row],[CUIT]],Lista_CUIT[#All],4,0)),"CUIT NO CARGADO")</f>
        <v>0</v>
      </c>
    </row>
    <row r="11" spans="1:26" x14ac:dyDescent="0.25">
      <c r="B11" s="475">
        <v>45231</v>
      </c>
      <c r="C11" s="489">
        <v>1</v>
      </c>
      <c r="D11" s="476">
        <v>2</v>
      </c>
      <c r="E11" s="477">
        <v>196</v>
      </c>
      <c r="F11" s="478">
        <v>30605344352</v>
      </c>
      <c r="G11" s="479" t="str">
        <f>IFERROR(IF(compras_mes11[[#This Row],[CUIT]]="","-",VLOOKUP(compras_mes11[[#This Row],[CUIT]],Lista_CUIT[#All],2,0)),"CUIT NO CARGADO")</f>
        <v>CONSORCIO BARTOLME MITRE 2466</v>
      </c>
      <c r="H11" s="480">
        <v>230000</v>
      </c>
      <c r="I11" s="481">
        <f>IF(compras_mes11[[#This Row],[NETO GRAVADO]]="","",compras_mes11[[#This Row],[NETO GRAVADO]]*0.21)</f>
        <v>48300</v>
      </c>
      <c r="J11" s="481"/>
      <c r="K11" s="481"/>
      <c r="L11" s="481"/>
      <c r="M11" s="481"/>
      <c r="N11" s="481"/>
      <c r="O11" s="481"/>
      <c r="P11" s="482">
        <f>SUM(compras_mes11[[#This Row],[NETO GRAVADO]:[Otros / No Grav.]])</f>
        <v>278300</v>
      </c>
      <c r="Q11" s="483" t="str">
        <f>IFERROR(IF(compras_mes11[[#This Row],[CUIT]]="","-",VLOOKUP(compras_mes11[[#This Row],[CUIT]],Lista_CUIT[#All],3,0)),"CUIT NO CARGADO")</f>
        <v>Gastos Varios</v>
      </c>
      <c r="R11" s="483">
        <f>IFERROR(IF(compras_mes11[[#This Row],[CUIT]]="","-",VLOOKUP(compras_mes11[[#This Row],[CUIT]],Lista_CUIT[#All],4,0)),"CUIT NO CARGADO")</f>
        <v>0</v>
      </c>
    </row>
    <row r="12" spans="1:26" x14ac:dyDescent="0.25">
      <c r="B12" s="475">
        <v>45231</v>
      </c>
      <c r="C12" s="489">
        <v>1</v>
      </c>
      <c r="D12" s="476">
        <v>1001</v>
      </c>
      <c r="E12" s="477">
        <v>314</v>
      </c>
      <c r="F12" s="478">
        <v>30707370552</v>
      </c>
      <c r="G12" s="479" t="str">
        <f>IFERROR(IF(compras_mes11[[#This Row],[CUIT]]="","-",VLOOKUP(compras_mes11[[#This Row],[CUIT]],Lista_CUIT[#All],2,0)),"CUIT NO CARGADO")</f>
        <v>RAKE SA</v>
      </c>
      <c r="H12" s="480">
        <v>181818.18</v>
      </c>
      <c r="I12" s="481">
        <f>IF(compras_mes11[[#This Row],[NETO GRAVADO]]="","",compras_mes11[[#This Row],[NETO GRAVADO]]*0.21)</f>
        <v>38181.817799999997</v>
      </c>
      <c r="J12" s="481"/>
      <c r="K12" s="481"/>
      <c r="L12" s="481"/>
      <c r="M12" s="481"/>
      <c r="N12" s="481"/>
      <c r="O12" s="481"/>
      <c r="P12" s="482">
        <f>SUM(compras_mes11[[#This Row],[NETO GRAVADO]:[Otros / No Grav.]])</f>
        <v>219999.99779999998</v>
      </c>
      <c r="Q12" s="483" t="str">
        <f>IFERROR(IF(compras_mes11[[#This Row],[CUIT]]="","-",VLOOKUP(compras_mes11[[#This Row],[CUIT]],Lista_CUIT[#All],3,0)),"CUIT NO CARGADO")</f>
        <v>Alquileres</v>
      </c>
      <c r="R12" s="483">
        <f>IFERROR(IF(compras_mes11[[#This Row],[CUIT]]="","-",VLOOKUP(compras_mes11[[#This Row],[CUIT]],Lista_CUIT[#All],4,0)),"CUIT NO CARGADO")</f>
        <v>0</v>
      </c>
    </row>
    <row r="13" spans="1:26" x14ac:dyDescent="0.25">
      <c r="B13" s="475">
        <v>45231</v>
      </c>
      <c r="C13" s="489">
        <v>1</v>
      </c>
      <c r="D13" s="476">
        <v>1001</v>
      </c>
      <c r="E13" s="477">
        <v>315</v>
      </c>
      <c r="F13" s="478">
        <v>30707370552</v>
      </c>
      <c r="G13" s="479" t="str">
        <f>IFERROR(IF(compras_mes11[[#This Row],[CUIT]]="","-",VLOOKUP(compras_mes11[[#This Row],[CUIT]],Lista_CUIT[#All],2,0)),"CUIT NO CARGADO")</f>
        <v>RAKE SA</v>
      </c>
      <c r="H13" s="480">
        <v>267818.18</v>
      </c>
      <c r="I13" s="481">
        <f>IF(compras_mes11[[#This Row],[NETO GRAVADO]]="","",compras_mes11[[#This Row],[NETO GRAVADO]]*0.21)</f>
        <v>56241.817799999997</v>
      </c>
      <c r="J13" s="481"/>
      <c r="K13" s="481"/>
      <c r="L13" s="481"/>
      <c r="M13" s="481"/>
      <c r="N13" s="481"/>
      <c r="O13" s="481"/>
      <c r="P13" s="482">
        <f>SUM(compras_mes11[[#This Row],[NETO GRAVADO]:[Otros / No Grav.]])</f>
        <v>324059.99780000001</v>
      </c>
      <c r="Q13" s="483" t="str">
        <f>IFERROR(IF(compras_mes11[[#This Row],[CUIT]]="","-",VLOOKUP(compras_mes11[[#This Row],[CUIT]],Lista_CUIT[#All],3,0)),"CUIT NO CARGADO")</f>
        <v>Alquileres</v>
      </c>
      <c r="R13" s="483">
        <f>IFERROR(IF(compras_mes11[[#This Row],[CUIT]]="","-",VLOOKUP(compras_mes11[[#This Row],[CUIT]],Lista_CUIT[#All],4,0)),"CUIT NO CARGADO")</f>
        <v>0</v>
      </c>
    </row>
    <row r="14" spans="1:26" x14ac:dyDescent="0.25">
      <c r="B14" s="475">
        <v>45231</v>
      </c>
      <c r="C14" s="489">
        <v>1</v>
      </c>
      <c r="D14" s="476">
        <v>1001</v>
      </c>
      <c r="E14" s="477">
        <v>316</v>
      </c>
      <c r="F14" s="478">
        <v>30707370552</v>
      </c>
      <c r="G14" s="479" t="str">
        <f>IFERROR(IF(compras_mes11[[#This Row],[CUIT]]="","-",VLOOKUP(compras_mes11[[#This Row],[CUIT]],Lista_CUIT[#All],2,0)),"CUIT NO CARGADO")</f>
        <v>RAKE SA</v>
      </c>
      <c r="H14" s="480">
        <v>107462.81</v>
      </c>
      <c r="I14" s="481">
        <f>IF(compras_mes11[[#This Row],[NETO GRAVADO]]="","",compras_mes11[[#This Row],[NETO GRAVADO]]*0.21)</f>
        <v>22567.1901</v>
      </c>
      <c r="J14" s="481"/>
      <c r="K14" s="481"/>
      <c r="L14" s="481"/>
      <c r="M14" s="481"/>
      <c r="N14" s="481"/>
      <c r="O14" s="481"/>
      <c r="P14" s="482">
        <f>SUM(compras_mes11[[#This Row],[NETO GRAVADO]:[Otros / No Grav.]])</f>
        <v>130030.0001</v>
      </c>
      <c r="Q14" s="483" t="str">
        <f>IFERROR(IF(compras_mes11[[#This Row],[CUIT]]="","-",VLOOKUP(compras_mes11[[#This Row],[CUIT]],Lista_CUIT[#All],3,0)),"CUIT NO CARGADO")</f>
        <v>Alquileres</v>
      </c>
      <c r="R14" s="483">
        <f>IFERROR(IF(compras_mes11[[#This Row],[CUIT]]="","-",VLOOKUP(compras_mes11[[#This Row],[CUIT]],Lista_CUIT[#All],4,0)),"CUIT NO CARGADO")</f>
        <v>0</v>
      </c>
    </row>
    <row r="15" spans="1:26" x14ac:dyDescent="0.25">
      <c r="B15" s="475">
        <v>45231</v>
      </c>
      <c r="C15" s="489">
        <v>1</v>
      </c>
      <c r="D15" s="476">
        <v>2</v>
      </c>
      <c r="E15" s="477">
        <v>784</v>
      </c>
      <c r="F15" s="478">
        <v>20140958213</v>
      </c>
      <c r="G15" s="479" t="str">
        <f>IFERROR(IF(compras_mes11[[#This Row],[CUIT]]="","-",VLOOKUP(compras_mes11[[#This Row],[CUIT]],Lista_CUIT[#All],2,0)),"CUIT NO CARGADO")</f>
        <v>ESPAÑA ALEJANDRO JORGE</v>
      </c>
      <c r="H15" s="480">
        <v>495867.76</v>
      </c>
      <c r="I15" s="481">
        <f>IF(compras_mes11[[#This Row],[NETO GRAVADO]]="","",compras_mes11[[#This Row],[NETO GRAVADO]]*0.21)</f>
        <v>104132.22959999999</v>
      </c>
      <c r="J15" s="481"/>
      <c r="K15" s="481"/>
      <c r="L15" s="481"/>
      <c r="M15" s="481"/>
      <c r="N15" s="481"/>
      <c r="O15" s="481"/>
      <c r="P15" s="482">
        <f>SUM(compras_mes11[[#This Row],[NETO GRAVADO]:[Otros / No Grav.]])</f>
        <v>599999.98959999997</v>
      </c>
      <c r="Q15" s="483" t="str">
        <f>IFERROR(IF(compras_mes11[[#This Row],[CUIT]]="","-",VLOOKUP(compras_mes11[[#This Row],[CUIT]],Lista_CUIT[#All],3,0)),"CUIT NO CARGADO")</f>
        <v>Productos Ortopedicos</v>
      </c>
      <c r="R15" s="483">
        <f>IFERROR(IF(compras_mes11[[#This Row],[CUIT]]="","-",VLOOKUP(compras_mes11[[#This Row],[CUIT]],Lista_CUIT[#All],4,0)),"CUIT NO CARGADO")</f>
        <v>0</v>
      </c>
    </row>
    <row r="16" spans="1:26" x14ac:dyDescent="0.25">
      <c r="B16" s="475">
        <v>45231</v>
      </c>
      <c r="C16" s="489">
        <v>1</v>
      </c>
      <c r="D16" s="476">
        <v>6</v>
      </c>
      <c r="E16" s="477">
        <v>59540</v>
      </c>
      <c r="F16" s="478">
        <v>30591633984</v>
      </c>
      <c r="G16" s="479" t="str">
        <f>IFERROR(IF(compras_mes11[[#This Row],[CUIT]]="","-",VLOOKUP(compras_mes11[[#This Row],[CUIT]],Lista_CUIT[#All],2,0)),"CUIT NO CARGADO")</f>
        <v>PANTYMED SA</v>
      </c>
      <c r="H16" s="480">
        <v>522919.9</v>
      </c>
      <c r="I16" s="481">
        <f>IF(compras_mes11[[#This Row],[NETO GRAVADO]]="","",compras_mes11[[#This Row],[NETO GRAVADO]]*0.21)</f>
        <v>109813.179</v>
      </c>
      <c r="J16" s="481"/>
      <c r="K16" s="481"/>
      <c r="L16" s="481"/>
      <c r="M16" s="481"/>
      <c r="N16" s="481"/>
      <c r="O16" s="481"/>
      <c r="P16" s="482">
        <f>SUM(compras_mes11[[#This Row],[NETO GRAVADO]:[Otros / No Grav.]])</f>
        <v>632733.07900000003</v>
      </c>
      <c r="Q16" s="483" t="str">
        <f>IFERROR(IF(compras_mes11[[#This Row],[CUIT]]="","-",VLOOKUP(compras_mes11[[#This Row],[CUIT]],Lista_CUIT[#All],3,0)),"CUIT NO CARGADO")</f>
        <v>Productos Ortopedicos</v>
      </c>
      <c r="R16" s="483">
        <f>IFERROR(IF(compras_mes11[[#This Row],[CUIT]]="","-",VLOOKUP(compras_mes11[[#This Row],[CUIT]],Lista_CUIT[#All],4,0)),"CUIT NO CARGADO")</f>
        <v>0</v>
      </c>
    </row>
    <row r="17" spans="2:18" x14ac:dyDescent="0.25">
      <c r="B17" s="498">
        <v>45231</v>
      </c>
      <c r="C17" s="499">
        <v>1</v>
      </c>
      <c r="D17" s="491">
        <v>7988</v>
      </c>
      <c r="E17" s="492">
        <v>1652</v>
      </c>
      <c r="F17" s="493">
        <v>30678774495</v>
      </c>
      <c r="G17" s="494" t="str">
        <f>IFERROR(IF(compras_mes11[[#This Row],[CUIT]]="","-",VLOOKUP(compras_mes11[[#This Row],[CUIT]],Lista_CUIT[#All],2,0)),"CUIT NO CARGADO")</f>
        <v>OPER. DE EST. DE SERV. SA</v>
      </c>
      <c r="H17" s="495">
        <v>6280.99</v>
      </c>
      <c r="I17" s="496">
        <f>IF(compras_mes11[[#This Row],[NETO GRAVADO]]="","",compras_mes11[[#This Row],[NETO GRAVADO]]*0.21)</f>
        <v>1319.0078999999998</v>
      </c>
      <c r="J17" s="496"/>
      <c r="K17" s="496"/>
      <c r="L17" s="496"/>
      <c r="M17" s="496"/>
      <c r="N17" s="496"/>
      <c r="O17" s="496"/>
      <c r="P17" s="490">
        <f>SUM(compras_mes11[[#This Row],[NETO GRAVADO]:[Otros / No Grav.]])</f>
        <v>7599.9978999999994</v>
      </c>
      <c r="Q17" s="497" t="str">
        <f>IFERROR(IF(compras_mes11[[#This Row],[CUIT]]="","-",VLOOKUP(compras_mes11[[#This Row],[CUIT]],Lista_CUIT[#All],3,0)),"CUIT NO CARGADO")</f>
        <v>COMBUSTIBLE</v>
      </c>
      <c r="R17" s="497">
        <f>IFERROR(IF(compras_mes11[[#This Row],[CUIT]]="","-",VLOOKUP(compras_mes11[[#This Row],[CUIT]],Lista_CUIT[#All],4,0)),"CUIT NO CARGADO")</f>
        <v>0</v>
      </c>
    </row>
    <row r="18" spans="2:18" x14ac:dyDescent="0.25">
      <c r="B18" s="498">
        <v>45231</v>
      </c>
      <c r="C18" s="499">
        <v>1</v>
      </c>
      <c r="D18" s="491">
        <v>7996</v>
      </c>
      <c r="E18" s="492">
        <v>24683</v>
      </c>
      <c r="F18" s="493">
        <v>30678774495</v>
      </c>
      <c r="G18" s="494" t="str">
        <f>IFERROR(IF(compras_mes11[[#This Row],[CUIT]]="","-",VLOOKUP(compras_mes11[[#This Row],[CUIT]],Lista_CUIT[#All],2,0)),"CUIT NO CARGADO")</f>
        <v>OPER. DE EST. DE SERV. SA</v>
      </c>
      <c r="H18" s="495">
        <v>4723.92</v>
      </c>
      <c r="I18" s="496">
        <f>IF(compras_mes11[[#This Row],[NETO GRAVADO]]="","",compras_mes11[[#This Row],[NETO GRAVADO]]*0.21)</f>
        <v>992.02319999999997</v>
      </c>
      <c r="J18" s="496"/>
      <c r="K18" s="496"/>
      <c r="L18" s="496"/>
      <c r="M18" s="496"/>
      <c r="N18" s="496"/>
      <c r="O18" s="496">
        <v>485.37</v>
      </c>
      <c r="P18" s="490">
        <f>SUM(compras_mes11[[#This Row],[NETO GRAVADO]:[Otros / No Grav.]])</f>
        <v>6201.3131999999996</v>
      </c>
      <c r="Q18" s="497" t="str">
        <f>IFERROR(IF(compras_mes11[[#This Row],[CUIT]]="","-",VLOOKUP(compras_mes11[[#This Row],[CUIT]],Lista_CUIT[#All],3,0)),"CUIT NO CARGADO")</f>
        <v>COMBUSTIBLE</v>
      </c>
      <c r="R18" s="497">
        <f>IFERROR(IF(compras_mes11[[#This Row],[CUIT]]="","-",VLOOKUP(compras_mes11[[#This Row],[CUIT]],Lista_CUIT[#All],4,0)),"CUIT NO CARGADO")</f>
        <v>0</v>
      </c>
    </row>
    <row r="19" spans="2:18" x14ac:dyDescent="0.25">
      <c r="B19" s="498">
        <v>45231</v>
      </c>
      <c r="C19" s="209">
        <v>1</v>
      </c>
      <c r="D19" s="491">
        <v>2016</v>
      </c>
      <c r="E19" s="492">
        <v>51910</v>
      </c>
      <c r="F19" s="493">
        <v>30516186670</v>
      </c>
      <c r="G19" s="494" t="str">
        <f>IFERROR(IF(compras_mes11[[#This Row],[CUIT]]="","-",VLOOKUP(compras_mes11[[#This Row],[CUIT]],Lista_CUIT[#All],2,0)),"CUIT NO CARGADO")</f>
        <v>DEHEZA SAICF E I</v>
      </c>
      <c r="H19" s="495">
        <v>10350.42</v>
      </c>
      <c r="I19" s="496">
        <f>IF(compras_mes11[[#This Row],[NETO GRAVADO]]="","",compras_mes11[[#This Row],[NETO GRAVADO]]*0.21)</f>
        <v>2173.5882000000001</v>
      </c>
      <c r="J19" s="496"/>
      <c r="K19" s="496"/>
      <c r="L19" s="496">
        <v>310.51</v>
      </c>
      <c r="M19" s="496">
        <v>521.97</v>
      </c>
      <c r="N19" s="496">
        <v>434.9</v>
      </c>
      <c r="O19" s="496"/>
      <c r="P19" s="490">
        <f>SUM(compras_mes11[[#This Row],[NETO GRAVADO]:[Otros / No Grav.]])</f>
        <v>13791.388199999999</v>
      </c>
      <c r="Q19" s="497" t="str">
        <f>IFERROR(IF(compras_mes11[[#This Row],[CUIT]]="","-",VLOOKUP(compras_mes11[[#This Row],[CUIT]],Lista_CUIT[#All],3,0)),"CUIT NO CARGADO")</f>
        <v>COMBUSTIBLE</v>
      </c>
      <c r="R19" s="497">
        <f>IFERROR(IF(compras_mes11[[#This Row],[CUIT]]="","-",VLOOKUP(compras_mes11[[#This Row],[CUIT]],Lista_CUIT[#All],4,0)),"CUIT NO CARGADO")</f>
        <v>0</v>
      </c>
    </row>
    <row r="20" spans="2:18" x14ac:dyDescent="0.25">
      <c r="B20" s="219">
        <v>45231</v>
      </c>
      <c r="C20" s="209">
        <v>1</v>
      </c>
      <c r="D20" s="220">
        <v>500</v>
      </c>
      <c r="E20" s="221">
        <v>1438200</v>
      </c>
      <c r="F20" s="222">
        <v>30654118767</v>
      </c>
      <c r="G20" s="223" t="str">
        <f>IFERROR(IF(compras_mes11[[#This Row],[CUIT]]="","-",VLOOKUP(compras_mes11[[#This Row],[CUIT]],Lista_CUIT[#All],2,0)),"CUIT NO CARGADO")</f>
        <v>SOLUCIONES MULTIMEDIA SA</v>
      </c>
      <c r="H20" s="224">
        <v>25423.53</v>
      </c>
      <c r="I20" s="225">
        <f>IF(compras_mes11[[#This Row],[NETO GRAVADO]]="","",compras_mes11[[#This Row],[NETO GRAVADO]]*0.21)</f>
        <v>5338.9412999999995</v>
      </c>
      <c r="J20" s="225"/>
      <c r="K20" s="225"/>
      <c r="L20" s="225"/>
      <c r="M20" s="225"/>
      <c r="N20" s="225">
        <v>1016.94</v>
      </c>
      <c r="O20" s="225"/>
      <c r="P20" s="490">
        <f>SUM(compras_mes11[[#This Row],[NETO GRAVADO]:[Otros / No Grav.]])</f>
        <v>31779.411299999996</v>
      </c>
      <c r="Q20" s="227" t="str">
        <f>IFERROR(IF(compras_mes11[[#This Row],[CUIT]]="","-",VLOOKUP(compras_mes11[[#This Row],[CUIT]],Lista_CUIT[#All],3,0)),"CUIT NO CARGADO")</f>
        <v>GASTOS ADMINISTRATIVOS</v>
      </c>
      <c r="R20" s="227">
        <f>IFERROR(IF(compras_mes11[[#This Row],[CUIT]]="","-",VLOOKUP(compras_mes11[[#This Row],[CUIT]],Lista_CUIT[#All],4,0)),"CUIT NO CARGADO")</f>
        <v>0</v>
      </c>
    </row>
    <row r="21" spans="2:18" x14ac:dyDescent="0.25">
      <c r="B21" s="498">
        <v>45231</v>
      </c>
      <c r="C21" s="209">
        <v>1</v>
      </c>
      <c r="D21" s="491">
        <v>1305</v>
      </c>
      <c r="E21" s="492">
        <v>2056789</v>
      </c>
      <c r="F21" s="493">
        <v>30663288497</v>
      </c>
      <c r="G21" s="494" t="str">
        <f>IFERROR(IF(compras_mes11[[#This Row],[CUIT]]="","-",VLOOKUP(compras_mes11[[#This Row],[CUIT]],Lista_CUIT[#All],2,0)),"CUIT NO CARGADO")</f>
        <v>AMX ARG SA</v>
      </c>
      <c r="H21" s="495">
        <v>11040</v>
      </c>
      <c r="I21" s="496">
        <v>907.2</v>
      </c>
      <c r="J21" s="496">
        <v>1814.4</v>
      </c>
      <c r="K21" s="496"/>
      <c r="L21" s="496"/>
      <c r="M21" s="496">
        <v>331.2</v>
      </c>
      <c r="N21" s="496">
        <v>441.6</v>
      </c>
      <c r="O21" s="496">
        <v>353.68</v>
      </c>
      <c r="P21" s="490">
        <f>SUM(compras_mes11[[#This Row],[NETO GRAVADO]:[Otros / No Grav.]])</f>
        <v>14888.080000000002</v>
      </c>
      <c r="Q21" s="497" t="str">
        <f>IFERROR(IF(compras_mes11[[#This Row],[CUIT]]="","-",VLOOKUP(compras_mes11[[#This Row],[CUIT]],Lista_CUIT[#All],3,0)),"CUIT NO CARGADO")</f>
        <v>SERVICIOS DE INTERNET</v>
      </c>
      <c r="R21" s="497">
        <f>IFERROR(IF(compras_mes11[[#This Row],[CUIT]]="","-",VLOOKUP(compras_mes11[[#This Row],[CUIT]],Lista_CUIT[#All],4,0)),"CUIT NO CARGADO")</f>
        <v>0</v>
      </c>
    </row>
    <row r="22" spans="2:18" x14ac:dyDescent="0.25">
      <c r="B22" s="475">
        <v>45232</v>
      </c>
      <c r="C22" s="489">
        <v>1</v>
      </c>
      <c r="D22" s="476">
        <v>2</v>
      </c>
      <c r="E22" s="477">
        <v>180</v>
      </c>
      <c r="F22" s="478">
        <v>20272865869</v>
      </c>
      <c r="G22" s="479" t="str">
        <f>IFERROR(IF(compras_mes11[[#This Row],[CUIT]]="","-",VLOOKUP(compras_mes11[[#This Row],[CUIT]],Lista_CUIT[#All],2,0)),"CUIT NO CARGADO")</f>
        <v>DI FEO MARTIN EZEQUIEL</v>
      </c>
      <c r="H22" s="480">
        <v>73575</v>
      </c>
      <c r="I22" s="481">
        <f>IF(compras_mes11[[#This Row],[NETO GRAVADO]]="","",compras_mes11[[#This Row],[NETO GRAVADO]]*0.21)</f>
        <v>15450.75</v>
      </c>
      <c r="J22" s="481"/>
      <c r="K22" s="481"/>
      <c r="L22" s="481"/>
      <c r="M22" s="481"/>
      <c r="N22" s="481"/>
      <c r="O22" s="481"/>
      <c r="P22" s="482">
        <f>SUM(compras_mes11[[#This Row],[NETO GRAVADO]:[Otros / No Grav.]])</f>
        <v>89025.75</v>
      </c>
      <c r="Q22" s="483" t="str">
        <f>IFERROR(IF(compras_mes11[[#This Row],[CUIT]]="","-",VLOOKUP(compras_mes11[[#This Row],[CUIT]],Lista_CUIT[#All],3,0)),"CUIT NO CARGADO")</f>
        <v>Productos Ortopedicos</v>
      </c>
      <c r="R22" s="483">
        <f>IFERROR(IF(compras_mes11[[#This Row],[CUIT]]="","-",VLOOKUP(compras_mes11[[#This Row],[CUIT]],Lista_CUIT[#All],4,0)),"CUIT NO CARGADO")</f>
        <v>0</v>
      </c>
    </row>
    <row r="23" spans="2:18" x14ac:dyDescent="0.25">
      <c r="B23" s="475">
        <v>45232</v>
      </c>
      <c r="C23" s="489">
        <v>1</v>
      </c>
      <c r="D23" s="476">
        <v>5</v>
      </c>
      <c r="E23" s="477">
        <v>2542</v>
      </c>
      <c r="F23" s="478">
        <v>30707267077</v>
      </c>
      <c r="G23" s="479" t="str">
        <f>IFERROR(IF(compras_mes11[[#This Row],[CUIT]]="","-",VLOOKUP(compras_mes11[[#This Row],[CUIT]],Lista_CUIT[#All],2,0)),"CUIT NO CARGADO")</f>
        <v>BARBARO SOCIEDAD COLECTIVA</v>
      </c>
      <c r="H23" s="480">
        <v>220000</v>
      </c>
      <c r="I23" s="481">
        <f>IF(compras_mes11[[#This Row],[NETO GRAVADO]]="","",compras_mes11[[#This Row],[NETO GRAVADO]]*0.21)</f>
        <v>46200</v>
      </c>
      <c r="J23" s="481"/>
      <c r="K23" s="481"/>
      <c r="L23" s="481"/>
      <c r="M23" s="481"/>
      <c r="N23" s="481"/>
      <c r="O23" s="481"/>
      <c r="P23" s="482">
        <f>SUM(compras_mes11[[#This Row],[NETO GRAVADO]:[Otros / No Grav.]])</f>
        <v>266200</v>
      </c>
      <c r="Q23" s="483" t="str">
        <f>IFERROR(IF(compras_mes11[[#This Row],[CUIT]]="","-",VLOOKUP(compras_mes11[[#This Row],[CUIT]],Lista_CUIT[#All],3,0)),"CUIT NO CARGADO")</f>
        <v>PROD ORTOP P/ALQ</v>
      </c>
      <c r="R23" s="483">
        <f>IFERROR(IF(compras_mes11[[#This Row],[CUIT]]="","-",VLOOKUP(compras_mes11[[#This Row],[CUIT]],Lista_CUIT[#All],4,0)),"CUIT NO CARGADO")</f>
        <v>0</v>
      </c>
    </row>
    <row r="24" spans="2:18" x14ac:dyDescent="0.25">
      <c r="B24" s="475">
        <v>45232</v>
      </c>
      <c r="C24" s="489">
        <v>1</v>
      </c>
      <c r="D24" s="476">
        <v>5</v>
      </c>
      <c r="E24" s="477">
        <v>4548</v>
      </c>
      <c r="F24" s="478">
        <v>30715833243</v>
      </c>
      <c r="G24" s="479" t="str">
        <f>IFERROR(IF(compras_mes11[[#This Row],[CUIT]]="","-",VLOOKUP(compras_mes11[[#This Row],[CUIT]],Lista_CUIT[#All],2,0)),"CUIT NO CARGADO")</f>
        <v>BIODINAMICA ASIST E INSUMOS</v>
      </c>
      <c r="H24" s="480">
        <v>51531.28</v>
      </c>
      <c r="I24" s="481">
        <f>IF(compras_mes11[[#This Row],[NETO GRAVADO]]="","",compras_mes11[[#This Row],[NETO GRAVADO]]*0.21)</f>
        <v>10821.568799999999</v>
      </c>
      <c r="J24" s="481"/>
      <c r="K24" s="481"/>
      <c r="L24" s="481"/>
      <c r="M24" s="481"/>
      <c r="N24" s="481"/>
      <c r="O24" s="481"/>
      <c r="P24" s="482">
        <f>SUM(compras_mes11[[#This Row],[NETO GRAVADO]:[Otros / No Grav.]])</f>
        <v>62352.8488</v>
      </c>
      <c r="Q24" s="483" t="str">
        <f>IFERROR(IF(compras_mes11[[#This Row],[CUIT]]="","-",VLOOKUP(compras_mes11[[#This Row],[CUIT]],Lista_CUIT[#All],3,0)),"CUIT NO CARGADO")</f>
        <v>INSUMO</v>
      </c>
      <c r="R24" s="483">
        <f>IFERROR(IF(compras_mes11[[#This Row],[CUIT]]="","-",VLOOKUP(compras_mes11[[#This Row],[CUIT]],Lista_CUIT[#All],4,0)),"CUIT NO CARGADO")</f>
        <v>0</v>
      </c>
    </row>
    <row r="25" spans="2:18" x14ac:dyDescent="0.25">
      <c r="B25" s="475">
        <v>45232</v>
      </c>
      <c r="C25" s="489">
        <v>1</v>
      </c>
      <c r="D25" s="476">
        <v>12</v>
      </c>
      <c r="E25" s="477">
        <v>11188</v>
      </c>
      <c r="F25" s="478">
        <v>30715492543</v>
      </c>
      <c r="G25" s="479" t="str">
        <f>IFERROR(IF(compras_mes11[[#This Row],[CUIT]]="","-",VLOOKUP(compras_mes11[[#This Row],[CUIT]],Lista_CUIT[#All],2,0)),"CUIT NO CARGADO")</f>
        <v>PUSHKENA TEXTIL S.A.</v>
      </c>
      <c r="H25" s="480">
        <v>2883.34</v>
      </c>
      <c r="I25" s="481">
        <f>IF(compras_mes11[[#This Row],[NETO GRAVADO]]="","",compras_mes11[[#This Row],[NETO GRAVADO]]*0.21)</f>
        <v>605.50139999999999</v>
      </c>
      <c r="J25" s="481"/>
      <c r="K25" s="481"/>
      <c r="L25" s="481"/>
      <c r="M25" s="481"/>
      <c r="N25" s="481"/>
      <c r="O25" s="481"/>
      <c r="P25" s="482">
        <f>SUM(compras_mes11[[#This Row],[NETO GRAVADO]:[Otros / No Grav.]])</f>
        <v>3488.8414000000002</v>
      </c>
      <c r="Q25" s="483" t="str">
        <f>IFERROR(IF(compras_mes11[[#This Row],[CUIT]]="","-",VLOOKUP(compras_mes11[[#This Row],[CUIT]],Lista_CUIT[#All],3,0)),"CUIT NO CARGADO")</f>
        <v>INSUMOS</v>
      </c>
      <c r="R25" s="483">
        <f>IFERROR(IF(compras_mes11[[#This Row],[CUIT]]="","-",VLOOKUP(compras_mes11[[#This Row],[CUIT]],Lista_CUIT[#All],4,0)),"CUIT NO CARGADO")</f>
        <v>0</v>
      </c>
    </row>
    <row r="26" spans="2:18" x14ac:dyDescent="0.25">
      <c r="B26" s="475">
        <v>45232</v>
      </c>
      <c r="C26" s="489">
        <v>1</v>
      </c>
      <c r="D26" s="476">
        <v>7</v>
      </c>
      <c r="E26" s="477">
        <v>28044</v>
      </c>
      <c r="F26" s="478">
        <v>20271532483</v>
      </c>
      <c r="G26" s="479" t="str">
        <f>IFERROR(IF(compras_mes11[[#This Row],[CUIT]]="","-",VLOOKUP(compras_mes11[[#This Row],[CUIT]],Lista_CUIT[#All],2,0)),"CUIT NO CARGADO")</f>
        <v>DIEGO MARTIN RIOS</v>
      </c>
      <c r="H26" s="480">
        <v>3347389.44</v>
      </c>
      <c r="I26" s="481">
        <f>IF(compras_mes11[[#This Row],[NETO GRAVADO]]="","",compras_mes11[[#This Row],[NETO GRAVADO]]*0.21)</f>
        <v>702951.78239999991</v>
      </c>
      <c r="J26" s="481"/>
      <c r="K26" s="481"/>
      <c r="L26" s="481"/>
      <c r="M26" s="481"/>
      <c r="N26" s="481">
        <v>133895.57999999999</v>
      </c>
      <c r="O26" s="481"/>
      <c r="P26" s="482">
        <f>SUM(compras_mes11[[#This Row],[NETO GRAVADO]:[Otros / No Grav.]])</f>
        <v>4184236.8023999999</v>
      </c>
      <c r="Q26" s="483" t="str">
        <f>IFERROR(IF(compras_mes11[[#This Row],[CUIT]]="","-",VLOOKUP(compras_mes11[[#This Row],[CUIT]],Lista_CUIT[#All],3,0)),"CUIT NO CARGADO")</f>
        <v>Productos Ortopedicos</v>
      </c>
      <c r="R26" s="483">
        <f>IFERROR(IF(compras_mes11[[#This Row],[CUIT]]="","-",VLOOKUP(compras_mes11[[#This Row],[CUIT]],Lista_CUIT[#All],4,0)),"CUIT NO CARGADO")</f>
        <v>0</v>
      </c>
    </row>
    <row r="27" spans="2:18" x14ac:dyDescent="0.25">
      <c r="B27" s="498">
        <v>45232</v>
      </c>
      <c r="C27" s="209">
        <v>1</v>
      </c>
      <c r="D27" s="491">
        <v>2</v>
      </c>
      <c r="E27" s="492">
        <v>551</v>
      </c>
      <c r="F27" s="493">
        <v>30716557010</v>
      </c>
      <c r="G27" s="494" t="str">
        <f>IFERROR(IF(compras_mes11[[#This Row],[CUIT]]="","-",VLOOKUP(compras_mes11[[#This Row],[CUIT]],Lista_CUIT[#All],2,0)),"CUIT NO CARGADO")</f>
        <v>PORTEÑA SRL</v>
      </c>
      <c r="H27" s="495">
        <v>0</v>
      </c>
      <c r="I27" s="496">
        <f>IF(compras_mes11[[#This Row],[NETO GRAVADO]]="","",compras_mes11[[#This Row],[NETO GRAVADO]]*0.21)</f>
        <v>0</v>
      </c>
      <c r="J27" s="496"/>
      <c r="K27" s="496"/>
      <c r="L27" s="496"/>
      <c r="M27" s="496"/>
      <c r="N27" s="496"/>
      <c r="O27" s="496">
        <v>9057.17</v>
      </c>
      <c r="P27" s="490">
        <f>SUM(compras_mes11[[#This Row],[NETO GRAVADO]:[Otros / No Grav.]])</f>
        <v>9057.17</v>
      </c>
      <c r="Q27" s="497" t="str">
        <f>IFERROR(IF(compras_mes11[[#This Row],[CUIT]]="","-",VLOOKUP(compras_mes11[[#This Row],[CUIT]],Lista_CUIT[#All],3,0)),"CUIT NO CARGADO")</f>
        <v>Gastos Varios</v>
      </c>
      <c r="R27" s="497">
        <f>IFERROR(IF(compras_mes11[[#This Row],[CUIT]]="","-",VLOOKUP(compras_mes11[[#This Row],[CUIT]],Lista_CUIT[#All],4,0)),"CUIT NO CARGADO")</f>
        <v>0</v>
      </c>
    </row>
    <row r="28" spans="2:18" x14ac:dyDescent="0.25">
      <c r="B28" s="498">
        <v>45232</v>
      </c>
      <c r="C28" s="209">
        <v>1</v>
      </c>
      <c r="D28" s="491">
        <v>7</v>
      </c>
      <c r="E28" s="492">
        <v>4472</v>
      </c>
      <c r="F28" s="493">
        <v>23293850739</v>
      </c>
      <c r="G28" s="494" t="str">
        <f>IFERROR(IF(compras_mes11[[#This Row],[CUIT]]="","-",VLOOKUP(compras_mes11[[#This Row],[CUIT]],Lista_CUIT[#All],2,0)),"CUIT NO CARGADO")</f>
        <v>QUIROGA HERNAN EZEQUIEL</v>
      </c>
      <c r="H28" s="495">
        <v>38966.94</v>
      </c>
      <c r="I28" s="496">
        <f>IF(compras_mes11[[#This Row],[NETO GRAVADO]]="","",compras_mes11[[#This Row],[NETO GRAVADO]]*0.21)</f>
        <v>8183.0574000000006</v>
      </c>
      <c r="J28" s="496"/>
      <c r="K28" s="496"/>
      <c r="L28" s="496"/>
      <c r="M28" s="496"/>
      <c r="N28" s="496"/>
      <c r="O28" s="496"/>
      <c r="P28" s="490">
        <f>SUM(compras_mes11[[#This Row],[NETO GRAVADO]:[Otros / No Grav.]])</f>
        <v>47149.9974</v>
      </c>
      <c r="Q28" s="497" t="str">
        <f>IFERROR(IF(compras_mes11[[#This Row],[CUIT]]="","-",VLOOKUP(compras_mes11[[#This Row],[CUIT]],Lista_CUIT[#All],3,0)),"CUIT NO CARGADO")</f>
        <v>Gastos Varios</v>
      </c>
      <c r="R28" s="497">
        <f>IFERROR(IF(compras_mes11[[#This Row],[CUIT]]="","-",VLOOKUP(compras_mes11[[#This Row],[CUIT]],Lista_CUIT[#All],4,0)),"CUIT NO CARGADO")</f>
        <v>0</v>
      </c>
    </row>
    <row r="29" spans="2:18" x14ac:dyDescent="0.25">
      <c r="B29" s="475">
        <v>45233</v>
      </c>
      <c r="C29" s="489">
        <v>1</v>
      </c>
      <c r="D29" s="476">
        <v>2</v>
      </c>
      <c r="E29" s="477">
        <v>181</v>
      </c>
      <c r="F29" s="478">
        <v>20272865869</v>
      </c>
      <c r="G29" s="479" t="str">
        <f>IFERROR(IF(compras_mes11[[#This Row],[CUIT]]="","-",VLOOKUP(compras_mes11[[#This Row],[CUIT]],Lista_CUIT[#All],2,0)),"CUIT NO CARGADO")</f>
        <v>DI FEO MARTIN EZEQUIEL</v>
      </c>
      <c r="H29" s="480">
        <v>15000</v>
      </c>
      <c r="I29" s="481">
        <f>IF(compras_mes11[[#This Row],[NETO GRAVADO]]="","",compras_mes11[[#This Row],[NETO GRAVADO]]*0.21)</f>
        <v>3150</v>
      </c>
      <c r="J29" s="481"/>
      <c r="K29" s="481"/>
      <c r="L29" s="481"/>
      <c r="M29" s="481"/>
      <c r="N29" s="481"/>
      <c r="O29" s="481"/>
      <c r="P29" s="482">
        <f>SUM(compras_mes11[[#This Row],[NETO GRAVADO]:[Otros / No Grav.]])</f>
        <v>18150</v>
      </c>
      <c r="Q29" s="483" t="str">
        <f>IFERROR(IF(compras_mes11[[#This Row],[CUIT]]="","-",VLOOKUP(compras_mes11[[#This Row],[CUIT]],Lista_CUIT[#All],3,0)),"CUIT NO CARGADO")</f>
        <v>Productos Ortopedicos</v>
      </c>
      <c r="R29" s="483">
        <f>IFERROR(IF(compras_mes11[[#This Row],[CUIT]]="","-",VLOOKUP(compras_mes11[[#This Row],[CUIT]],Lista_CUIT[#All],4,0)),"CUIT NO CARGADO")</f>
        <v>0</v>
      </c>
    </row>
    <row r="30" spans="2:18" x14ac:dyDescent="0.25">
      <c r="B30" s="475">
        <v>45233</v>
      </c>
      <c r="C30" s="489">
        <v>1</v>
      </c>
      <c r="D30" s="476">
        <v>7</v>
      </c>
      <c r="E30" s="477">
        <v>987</v>
      </c>
      <c r="F30" s="478">
        <v>30712187316</v>
      </c>
      <c r="G30" s="479" t="str">
        <f>IFERROR(IF(compras_mes11[[#This Row],[CUIT]]="","-",VLOOKUP(compras_mes11[[#This Row],[CUIT]],Lista_CUIT[#All],2,0)),"CUIT NO CARGADO")</f>
        <v>ITALOMED PRODUCTOS SRL</v>
      </c>
      <c r="H30" s="480">
        <v>158194.34</v>
      </c>
      <c r="I30" s="481">
        <f>IF(compras_mes11[[#This Row],[NETO GRAVADO]]="","",compras_mes11[[#This Row],[NETO GRAVADO]]*0.21)</f>
        <v>33220.811399999999</v>
      </c>
      <c r="J30" s="481"/>
      <c r="K30" s="481"/>
      <c r="L30" s="481"/>
      <c r="M30" s="481"/>
      <c r="N30" s="481"/>
      <c r="O30" s="481"/>
      <c r="P30" s="482">
        <f>SUM(compras_mes11[[#This Row],[NETO GRAVADO]:[Otros / No Grav.]])</f>
        <v>191415.1514</v>
      </c>
      <c r="Q30" s="483" t="str">
        <f>IFERROR(IF(compras_mes11[[#This Row],[CUIT]]="","-",VLOOKUP(compras_mes11[[#This Row],[CUIT]],Lista_CUIT[#All],3,0)),"CUIT NO CARGADO")</f>
        <v>Productos Ortopedicos</v>
      </c>
      <c r="R30" s="483">
        <f>IFERROR(IF(compras_mes11[[#This Row],[CUIT]]="","-",VLOOKUP(compras_mes11[[#This Row],[CUIT]],Lista_CUIT[#All],4,0)),"CUIT NO CARGADO")</f>
        <v>0</v>
      </c>
    </row>
    <row r="31" spans="2:18" x14ac:dyDescent="0.25">
      <c r="B31" s="475">
        <v>45233</v>
      </c>
      <c r="C31" s="489">
        <v>1</v>
      </c>
      <c r="D31" s="476">
        <v>7</v>
      </c>
      <c r="E31" s="477">
        <v>988</v>
      </c>
      <c r="F31" s="478">
        <v>30712187316</v>
      </c>
      <c r="G31" s="479" t="str">
        <f>IFERROR(IF(compras_mes11[[#This Row],[CUIT]]="","-",VLOOKUP(compras_mes11[[#This Row],[CUIT]],Lista_CUIT[#All],2,0)),"CUIT NO CARGADO")</f>
        <v>ITALOMED PRODUCTOS SRL</v>
      </c>
      <c r="H31" s="480">
        <v>131834.85999999999</v>
      </c>
      <c r="I31" s="481">
        <f>IF(compras_mes11[[#This Row],[NETO GRAVADO]]="","",compras_mes11[[#This Row],[NETO GRAVADO]]*0.21)</f>
        <v>27685.320599999995</v>
      </c>
      <c r="J31" s="481"/>
      <c r="K31" s="481"/>
      <c r="L31" s="481"/>
      <c r="M31" s="481"/>
      <c r="N31" s="481"/>
      <c r="O31" s="481"/>
      <c r="P31" s="482">
        <f>SUM(compras_mes11[[#This Row],[NETO GRAVADO]:[Otros / No Grav.]])</f>
        <v>159520.18059999999</v>
      </c>
      <c r="Q31" s="483" t="str">
        <f>IFERROR(IF(compras_mes11[[#This Row],[CUIT]]="","-",VLOOKUP(compras_mes11[[#This Row],[CUIT]],Lista_CUIT[#All],3,0)),"CUIT NO CARGADO")</f>
        <v>Productos Ortopedicos</v>
      </c>
      <c r="R31" s="483">
        <f>IFERROR(IF(compras_mes11[[#This Row],[CUIT]]="","-",VLOOKUP(compras_mes11[[#This Row],[CUIT]],Lista_CUIT[#All],4,0)),"CUIT NO CARGADO")</f>
        <v>0</v>
      </c>
    </row>
    <row r="32" spans="2:18" x14ac:dyDescent="0.25">
      <c r="B32" s="475">
        <v>45233</v>
      </c>
      <c r="C32" s="489">
        <v>1</v>
      </c>
      <c r="D32" s="476">
        <v>8</v>
      </c>
      <c r="E32" s="477">
        <v>1545</v>
      </c>
      <c r="F32" s="478">
        <v>30708973501</v>
      </c>
      <c r="G32" s="479" t="str">
        <f>IFERROR(IF(compras_mes11[[#This Row],[CUIT]]="","-",VLOOKUP(compras_mes11[[#This Row],[CUIT]],Lista_CUIT[#All],2,0)),"CUIT NO CARGADO")</f>
        <v>ASIAL SRL</v>
      </c>
      <c r="H32" s="480">
        <v>256445</v>
      </c>
      <c r="I32" s="481">
        <f>IF(compras_mes11[[#This Row],[NETO GRAVADO]]="","",compras_mes11[[#This Row],[NETO GRAVADO]]*0.21)</f>
        <v>53853.45</v>
      </c>
      <c r="J32" s="481"/>
      <c r="K32" s="481"/>
      <c r="L32" s="481"/>
      <c r="M32" s="481"/>
      <c r="N32" s="481"/>
      <c r="O32" s="481"/>
      <c r="P32" s="482">
        <f>SUM(compras_mes11[[#This Row],[NETO GRAVADO]:[Otros / No Grav.]])</f>
        <v>310298.45</v>
      </c>
      <c r="Q32" s="483" t="str">
        <f>IFERROR(IF(compras_mes11[[#This Row],[CUIT]]="","-",VLOOKUP(compras_mes11[[#This Row],[CUIT]],Lista_CUIT[#All],3,0)),"CUIT NO CARGADO")</f>
        <v>Productos Ortopedicos</v>
      </c>
      <c r="R32" s="483">
        <f>IFERROR(IF(compras_mes11[[#This Row],[CUIT]]="","-",VLOOKUP(compras_mes11[[#This Row],[CUIT]],Lista_CUIT[#All],4,0)),"CUIT NO CARGADO")</f>
        <v>0</v>
      </c>
    </row>
    <row r="33" spans="2:18" x14ac:dyDescent="0.25">
      <c r="B33" s="475">
        <v>45233</v>
      </c>
      <c r="C33" s="489">
        <v>1</v>
      </c>
      <c r="D33" s="476">
        <v>2</v>
      </c>
      <c r="E33" s="477">
        <v>9177</v>
      </c>
      <c r="F33" s="478">
        <v>30716977958</v>
      </c>
      <c r="G33" s="479" t="str">
        <f>IFERROR(IF(compras_mes11[[#This Row],[CUIT]]="","-",VLOOKUP(compras_mes11[[#This Row],[CUIT]],Lista_CUIT[#All],2,0)),"CUIT NO CARGADO")</f>
        <v>NAUTICA BELLI S.R.L.</v>
      </c>
      <c r="H33" s="480">
        <v>6117.1</v>
      </c>
      <c r="I33" s="481">
        <f>IF(compras_mes11[[#This Row],[NETO GRAVADO]]="","",compras_mes11[[#This Row],[NETO GRAVADO]]*0.21)</f>
        <v>1284.5910000000001</v>
      </c>
      <c r="J33" s="481"/>
      <c r="K33" s="481"/>
      <c r="L33" s="481"/>
      <c r="M33" s="481"/>
      <c r="N33" s="481"/>
      <c r="O33" s="481"/>
      <c r="P33" s="482">
        <f>SUM(compras_mes11[[#This Row],[NETO GRAVADO]:[Otros / No Grav.]])</f>
        <v>7401.6910000000007</v>
      </c>
      <c r="Q33" s="483" t="str">
        <f>IFERROR(IF(compras_mes11[[#This Row],[CUIT]]="","-",VLOOKUP(compras_mes11[[#This Row],[CUIT]],Lista_CUIT[#All],3,0)),"CUIT NO CARGADO")</f>
        <v>Gastos Varios</v>
      </c>
      <c r="R33" s="483">
        <f>IFERROR(IF(compras_mes11[[#This Row],[CUIT]]="","-",VLOOKUP(compras_mes11[[#This Row],[CUIT]],Lista_CUIT[#All],4,0)),"CUIT NO CARGADO")</f>
        <v>0</v>
      </c>
    </row>
    <row r="34" spans="2:18" x14ac:dyDescent="0.25">
      <c r="B34" s="475">
        <v>45233</v>
      </c>
      <c r="C34" s="489">
        <v>1</v>
      </c>
      <c r="D34" s="476">
        <v>7</v>
      </c>
      <c r="E34" s="477">
        <v>28053</v>
      </c>
      <c r="F34" s="478">
        <v>20271532483</v>
      </c>
      <c r="G34" s="479" t="str">
        <f>IFERROR(IF(compras_mes11[[#This Row],[CUIT]]="","-",VLOOKUP(compras_mes11[[#This Row],[CUIT]],Lista_CUIT[#All],2,0)),"CUIT NO CARGADO")</f>
        <v>DIEGO MARTIN RIOS</v>
      </c>
      <c r="H34" s="480">
        <v>65790</v>
      </c>
      <c r="I34" s="481">
        <f>IF(compras_mes11[[#This Row],[NETO GRAVADO]]="","",compras_mes11[[#This Row],[NETO GRAVADO]]*0.21)</f>
        <v>13815.9</v>
      </c>
      <c r="J34" s="481"/>
      <c r="K34" s="481"/>
      <c r="L34" s="481"/>
      <c r="M34" s="481"/>
      <c r="N34" s="481">
        <v>2631.6</v>
      </c>
      <c r="O34" s="481"/>
      <c r="P34" s="482">
        <f>SUM(compras_mes11[[#This Row],[NETO GRAVADO]:[Otros / No Grav.]])</f>
        <v>82237.5</v>
      </c>
      <c r="Q34" s="483" t="str">
        <f>IFERROR(IF(compras_mes11[[#This Row],[CUIT]]="","-",VLOOKUP(compras_mes11[[#This Row],[CUIT]],Lista_CUIT[#All],3,0)),"CUIT NO CARGADO")</f>
        <v>Productos Ortopedicos</v>
      </c>
      <c r="R34" s="483">
        <f>IFERROR(IF(compras_mes11[[#This Row],[CUIT]]="","-",VLOOKUP(compras_mes11[[#This Row],[CUIT]],Lista_CUIT[#All],4,0)),"CUIT NO CARGADO")</f>
        <v>0</v>
      </c>
    </row>
    <row r="35" spans="2:18" x14ac:dyDescent="0.25">
      <c r="B35" s="475">
        <v>45233</v>
      </c>
      <c r="C35" s="489">
        <v>1</v>
      </c>
      <c r="D35" s="476">
        <v>5</v>
      </c>
      <c r="E35" s="477">
        <v>149572</v>
      </c>
      <c r="F35" s="478">
        <v>30598960093</v>
      </c>
      <c r="G35" s="479" t="str">
        <f>IFERROR(IF(compras_mes11[[#This Row],[CUIT]]="","-",VLOOKUP(compras_mes11[[#This Row],[CUIT]],Lista_CUIT[#All],2,0)),"CUIT NO CARGADO")</f>
        <v>SILVESTRIN FABRIS SRL</v>
      </c>
      <c r="H35" s="480">
        <v>227329.44</v>
      </c>
      <c r="I35" s="481">
        <f>IF(compras_mes11[[#This Row],[NETO GRAVADO]]="","",compras_mes11[[#This Row],[NETO GRAVADO]]*0.21)</f>
        <v>47739.182399999998</v>
      </c>
      <c r="J35" s="481"/>
      <c r="K35" s="481"/>
      <c r="L35" s="481"/>
      <c r="M35" s="481"/>
      <c r="N35" s="481">
        <v>9093.18</v>
      </c>
      <c r="O35" s="481"/>
      <c r="P35" s="482">
        <f>SUM(compras_mes11[[#This Row],[NETO GRAVADO]:[Otros / No Grav.]])</f>
        <v>284161.80239999999</v>
      </c>
      <c r="Q35" s="483" t="str">
        <f>IFERROR(IF(compras_mes11[[#This Row],[CUIT]]="","-",VLOOKUP(compras_mes11[[#This Row],[CUIT]],Lista_CUIT[#All],3,0)),"CUIT NO CARGADO")</f>
        <v>Productos Ortopedicos</v>
      </c>
      <c r="R35" s="483">
        <f>IFERROR(IF(compras_mes11[[#This Row],[CUIT]]="","-",VLOOKUP(compras_mes11[[#This Row],[CUIT]],Lista_CUIT[#All],4,0)),"CUIT NO CARGADO")</f>
        <v>0</v>
      </c>
    </row>
    <row r="36" spans="2:18" x14ac:dyDescent="0.25">
      <c r="B36" s="498">
        <v>45233</v>
      </c>
      <c r="C36" s="209">
        <v>1</v>
      </c>
      <c r="D36" s="491">
        <v>5011</v>
      </c>
      <c r="E36" s="492">
        <v>541578</v>
      </c>
      <c r="F36" s="493">
        <v>30574876474</v>
      </c>
      <c r="G36" s="494" t="str">
        <f>IFERROR(IF(compras_mes11[[#This Row],[CUIT]]="","-",VLOOKUP(compras_mes11[[#This Row],[CUIT]],Lista_CUIT[#All],2,0)),"CUIT NO CARGADO")</f>
        <v>AUTOP. URBANAS SA</v>
      </c>
      <c r="H36" s="495">
        <v>4120.71</v>
      </c>
      <c r="I36" s="496">
        <f>IF(compras_mes11[[#This Row],[NETO GRAVADO]]="","",compras_mes11[[#This Row],[NETO GRAVADO]]*0.21)</f>
        <v>865.34910000000002</v>
      </c>
      <c r="J36" s="496"/>
      <c r="K36" s="496"/>
      <c r="L36" s="496"/>
      <c r="M36" s="496"/>
      <c r="N36" s="496"/>
      <c r="O36" s="496">
        <v>535.66999999999996</v>
      </c>
      <c r="P36" s="490">
        <f>SUM(compras_mes11[[#This Row],[NETO GRAVADO]:[Otros / No Grav.]])</f>
        <v>5521.7291000000005</v>
      </c>
      <c r="Q36" s="497" t="str">
        <f>IFERROR(IF(compras_mes11[[#This Row],[CUIT]]="","-",VLOOKUP(compras_mes11[[#This Row],[CUIT]],Lista_CUIT[#All],3,0)),"CUIT NO CARGADO")</f>
        <v>PEAJE</v>
      </c>
      <c r="R36" s="497">
        <f>IFERROR(IF(compras_mes11[[#This Row],[CUIT]]="","-",VLOOKUP(compras_mes11[[#This Row],[CUIT]],Lista_CUIT[#All],4,0)),"CUIT NO CARGADO")</f>
        <v>0</v>
      </c>
    </row>
    <row r="37" spans="2:18" x14ac:dyDescent="0.25">
      <c r="B37" s="498">
        <v>45233</v>
      </c>
      <c r="C37" s="209">
        <v>1</v>
      </c>
      <c r="D37" s="491">
        <v>5009</v>
      </c>
      <c r="E37" s="492">
        <v>784679</v>
      </c>
      <c r="F37" s="493">
        <v>30574876474</v>
      </c>
      <c r="G37" s="494" t="str">
        <f>IFERROR(IF(compras_mes11[[#This Row],[CUIT]]="","-",VLOOKUP(compras_mes11[[#This Row],[CUIT]],Lista_CUIT[#All],2,0)),"CUIT NO CARGADO")</f>
        <v>AUTOP. URBANAS SA</v>
      </c>
      <c r="H37" s="495">
        <v>329.13</v>
      </c>
      <c r="I37" s="496">
        <f>IF(compras_mes11[[#This Row],[NETO GRAVADO]]="","",compras_mes11[[#This Row],[NETO GRAVADO]]*0.21)</f>
        <v>69.1173</v>
      </c>
      <c r="J37" s="496"/>
      <c r="K37" s="496"/>
      <c r="L37" s="496"/>
      <c r="M37" s="496"/>
      <c r="N37" s="496"/>
      <c r="O37" s="496">
        <v>32.909999999999997</v>
      </c>
      <c r="P37" s="490">
        <f>SUM(compras_mes11[[#This Row],[NETO GRAVADO]:[Otros / No Grav.]])</f>
        <v>431.15729999999996</v>
      </c>
      <c r="Q37" s="497" t="str">
        <f>IFERROR(IF(compras_mes11[[#This Row],[CUIT]]="","-",VLOOKUP(compras_mes11[[#This Row],[CUIT]],Lista_CUIT[#All],3,0)),"CUIT NO CARGADO")</f>
        <v>PEAJE</v>
      </c>
      <c r="R37" s="497">
        <f>IFERROR(IF(compras_mes11[[#This Row],[CUIT]]="","-",VLOOKUP(compras_mes11[[#This Row],[CUIT]],Lista_CUIT[#All],4,0)),"CUIT NO CARGADO")</f>
        <v>0</v>
      </c>
    </row>
    <row r="38" spans="2:18" x14ac:dyDescent="0.25">
      <c r="B38" s="498">
        <v>45233</v>
      </c>
      <c r="C38" s="209">
        <v>1</v>
      </c>
      <c r="D38" s="491">
        <v>711</v>
      </c>
      <c r="E38" s="492">
        <v>4946108</v>
      </c>
      <c r="F38" s="493">
        <v>30677237119</v>
      </c>
      <c r="G38" s="494" t="str">
        <f>IFERROR(IF(compras_mes11[[#This Row],[CUIT]]="","-",VLOOKUP(compras_mes11[[#This Row],[CUIT]],Lista_CUIT[#All],2,0)),"CUIT NO CARGADO")</f>
        <v>AUTOPISTAS DEL SOL SA</v>
      </c>
      <c r="H38" s="495">
        <v>702.49</v>
      </c>
      <c r="I38" s="496">
        <f>IF(compras_mes11[[#This Row],[NETO GRAVADO]]="","",compras_mes11[[#This Row],[NETO GRAVADO]]*0.21)</f>
        <v>147.52289999999999</v>
      </c>
      <c r="J38" s="496"/>
      <c r="K38" s="496"/>
      <c r="L38" s="496"/>
      <c r="M38" s="496"/>
      <c r="N38" s="496">
        <v>28.1</v>
      </c>
      <c r="O38" s="496"/>
      <c r="P38" s="490">
        <f>SUM(compras_mes11[[#This Row],[NETO GRAVADO]:[Otros / No Grav.]])</f>
        <v>878.11289999999997</v>
      </c>
      <c r="Q38" s="497" t="str">
        <f>IFERROR(IF(compras_mes11[[#This Row],[CUIT]]="","-",VLOOKUP(compras_mes11[[#This Row],[CUIT]],Lista_CUIT[#All],3,0)),"CUIT NO CARGADO")</f>
        <v>Autopista</v>
      </c>
      <c r="R38" s="497">
        <f>IFERROR(IF(compras_mes11[[#This Row],[CUIT]]="","-",VLOOKUP(compras_mes11[[#This Row],[CUIT]],Lista_CUIT[#All],4,0)),"CUIT NO CARGADO")</f>
        <v>0</v>
      </c>
    </row>
    <row r="39" spans="2:18" x14ac:dyDescent="0.25">
      <c r="B39" s="475">
        <v>45236</v>
      </c>
      <c r="C39" s="489">
        <v>1</v>
      </c>
      <c r="D39" s="476">
        <v>3</v>
      </c>
      <c r="E39" s="477">
        <v>111</v>
      </c>
      <c r="F39" s="478">
        <v>20334976433</v>
      </c>
      <c r="G39" s="479" t="str">
        <f>IFERROR(IF(compras_mes11[[#This Row],[CUIT]]="","-",VLOOKUP(compras_mes11[[#This Row],[CUIT]],Lista_CUIT[#All],2,0)),"CUIT NO CARGADO")</f>
        <v>NARDOMARINO EZEQUIEL EDUARDO</v>
      </c>
      <c r="H39" s="480">
        <v>287323.95</v>
      </c>
      <c r="I39" s="481">
        <f>IF(compras_mes11[[#This Row],[NETO GRAVADO]]="","",compras_mes11[[#This Row],[NETO GRAVADO]]*0.21)</f>
        <v>60338.029499999997</v>
      </c>
      <c r="J39" s="481"/>
      <c r="K39" s="481"/>
      <c r="L39" s="481"/>
      <c r="M39" s="481"/>
      <c r="N39" s="481"/>
      <c r="O39" s="481"/>
      <c r="P39" s="482">
        <f>SUM(compras_mes11[[#This Row],[NETO GRAVADO]:[Otros / No Grav.]])</f>
        <v>347661.97950000002</v>
      </c>
      <c r="Q39" s="483" t="str">
        <f>IFERROR(IF(compras_mes11[[#This Row],[CUIT]]="","-",VLOOKUP(compras_mes11[[#This Row],[CUIT]],Lista_CUIT[#All],3,0)),"CUIT NO CARGADO")</f>
        <v>FLETE</v>
      </c>
      <c r="R39" s="483">
        <f>IFERROR(IF(compras_mes11[[#This Row],[CUIT]]="","-",VLOOKUP(compras_mes11[[#This Row],[CUIT]],Lista_CUIT[#All],4,0)),"CUIT NO CARGADO")</f>
        <v>0</v>
      </c>
    </row>
    <row r="40" spans="2:18" x14ac:dyDescent="0.25">
      <c r="B40" s="475">
        <v>45236</v>
      </c>
      <c r="C40" s="489">
        <v>1</v>
      </c>
      <c r="D40" s="476">
        <v>5</v>
      </c>
      <c r="E40" s="477">
        <v>2703</v>
      </c>
      <c r="F40" s="478">
        <v>33714662819</v>
      </c>
      <c r="G40" s="479" t="str">
        <f>IFERROR(IF(compras_mes11[[#This Row],[CUIT]]="","-",VLOOKUP(compras_mes11[[#This Row],[CUIT]],Lista_CUIT[#All],2,0)),"CUIT NO CARGADO")</f>
        <v>AYUDAS TECNICAS SRL</v>
      </c>
      <c r="H40" s="480">
        <v>172294</v>
      </c>
      <c r="I40" s="481">
        <f>IF(compras_mes11[[#This Row],[NETO GRAVADO]]="","",compras_mes11[[#This Row],[NETO GRAVADO]]*0.21)</f>
        <v>36181.74</v>
      </c>
      <c r="J40" s="481"/>
      <c r="K40" s="481"/>
      <c r="L40" s="481"/>
      <c r="M40" s="481"/>
      <c r="N40" s="481"/>
      <c r="O40" s="481"/>
      <c r="P40" s="482">
        <f>SUM(compras_mes11[[#This Row],[NETO GRAVADO]:[Otros / No Grav.]])</f>
        <v>208475.74</v>
      </c>
      <c r="Q40" s="483" t="str">
        <f>IFERROR(IF(compras_mes11[[#This Row],[CUIT]]="","-",VLOOKUP(compras_mes11[[#This Row],[CUIT]],Lista_CUIT[#All],3,0)),"CUIT NO CARGADO")</f>
        <v>Productos Ortopedicos</v>
      </c>
      <c r="R40" s="483">
        <f>IFERROR(IF(compras_mes11[[#This Row],[CUIT]]="","-",VLOOKUP(compras_mes11[[#This Row],[CUIT]],Lista_CUIT[#All],4,0)),"CUIT NO CARGADO")</f>
        <v>0</v>
      </c>
    </row>
    <row r="41" spans="2:18" x14ac:dyDescent="0.25">
      <c r="B41" s="475">
        <v>45236</v>
      </c>
      <c r="C41" s="489">
        <v>1</v>
      </c>
      <c r="D41" s="476">
        <v>4</v>
      </c>
      <c r="E41" s="477">
        <v>8871</v>
      </c>
      <c r="F41" s="478">
        <v>30700939797</v>
      </c>
      <c r="G41" s="479" t="str">
        <f>IFERROR(IF(compras_mes11[[#This Row],[CUIT]]="","-",VLOOKUP(compras_mes11[[#This Row],[CUIT]],Lista_CUIT[#All],2,0)),"CUIT NO CARGADO")</f>
        <v>TAPITEL SA</v>
      </c>
      <c r="H41" s="480">
        <v>136363.64000000001</v>
      </c>
      <c r="I41" s="481">
        <f>IF(compras_mes11[[#This Row],[NETO GRAVADO]]="","",compras_mes11[[#This Row],[NETO GRAVADO]]*0.21)</f>
        <v>28636.364400000002</v>
      </c>
      <c r="J41" s="481"/>
      <c r="K41" s="481"/>
      <c r="L41" s="481"/>
      <c r="M41" s="481"/>
      <c r="N41" s="481"/>
      <c r="O41" s="481"/>
      <c r="P41" s="482">
        <f>SUM(compras_mes11[[#This Row],[NETO GRAVADO]:[Otros / No Grav.]])</f>
        <v>165000.00440000001</v>
      </c>
      <c r="Q41" s="483" t="str">
        <f>IFERROR(IF(compras_mes11[[#This Row],[CUIT]]="","-",VLOOKUP(compras_mes11[[#This Row],[CUIT]],Lista_CUIT[#All],3,0)),"CUIT NO CARGADO")</f>
        <v>PROD ORTOP P/ALQ</v>
      </c>
      <c r="R41" s="483">
        <f>IFERROR(IF(compras_mes11[[#This Row],[CUIT]]="","-",VLOOKUP(compras_mes11[[#This Row],[CUIT]],Lista_CUIT[#All],4,0)),"CUIT NO CARGADO")</f>
        <v>0</v>
      </c>
    </row>
    <row r="42" spans="2:18" x14ac:dyDescent="0.25">
      <c r="B42" s="475">
        <v>45237</v>
      </c>
      <c r="C42" s="489">
        <v>1</v>
      </c>
      <c r="D42" s="476">
        <v>3</v>
      </c>
      <c r="E42" s="477">
        <v>7431</v>
      </c>
      <c r="F42" s="478">
        <v>30526492281</v>
      </c>
      <c r="G42" s="479" t="str">
        <f>IFERROR(IF(compras_mes11[[#This Row],[CUIT]]="","-",VLOOKUP(compras_mes11[[#This Row],[CUIT]],Lista_CUIT[#All],2,0)),"CUIT NO CARGADO")</f>
        <v>CASA MAKAROVSKY S A C I I F</v>
      </c>
      <c r="H42" s="480">
        <v>358850</v>
      </c>
      <c r="I42" s="481">
        <f>IF(compras_mes11[[#This Row],[NETO GRAVADO]]="","",compras_mes11[[#This Row],[NETO GRAVADO]]*0.21)</f>
        <v>75358.5</v>
      </c>
      <c r="J42" s="481"/>
      <c r="K42" s="481"/>
      <c r="L42" s="481"/>
      <c r="M42" s="481"/>
      <c r="N42" s="481"/>
      <c r="O42" s="481"/>
      <c r="P42" s="482">
        <f>SUM(compras_mes11[[#This Row],[NETO GRAVADO]:[Otros / No Grav.]])</f>
        <v>434208.5</v>
      </c>
      <c r="Q42" s="483" t="str">
        <f>IFERROR(IF(compras_mes11[[#This Row],[CUIT]]="","-",VLOOKUP(compras_mes11[[#This Row],[CUIT]],Lista_CUIT[#All],3,0)),"CUIT NO CARGADO")</f>
        <v>Productos Ortopedicos</v>
      </c>
      <c r="R42" s="483">
        <f>IFERROR(IF(compras_mes11[[#This Row],[CUIT]]="","-",VLOOKUP(compras_mes11[[#This Row],[CUIT]],Lista_CUIT[#All],4,0)),"CUIT NO CARGADO")</f>
        <v>0</v>
      </c>
    </row>
    <row r="43" spans="2:18" x14ac:dyDescent="0.25">
      <c r="B43" s="475">
        <v>45237</v>
      </c>
      <c r="C43" s="489">
        <v>1</v>
      </c>
      <c r="D43" s="476">
        <v>7</v>
      </c>
      <c r="E43" s="477">
        <v>16901</v>
      </c>
      <c r="F43" s="478">
        <v>30709214078</v>
      </c>
      <c r="G43" s="479" t="str">
        <f>IFERROR(IF(compras_mes11[[#This Row],[CUIT]]="","-",VLOOKUP(compras_mes11[[#This Row],[CUIT]],Lista_CUIT[#All],2,0)),"CUIT NO CARGADO")</f>
        <v>REHAVITA S.A</v>
      </c>
      <c r="H43" s="480">
        <v>282900</v>
      </c>
      <c r="I43" s="481"/>
      <c r="J43" s="481"/>
      <c r="K43" s="481">
        <v>29704.5</v>
      </c>
      <c r="L43" s="481"/>
      <c r="M43" s="481"/>
      <c r="N43" s="481"/>
      <c r="O43" s="481"/>
      <c r="P43" s="482">
        <f>SUM(compras_mes11[[#This Row],[NETO GRAVADO]:[Otros / No Grav.]])</f>
        <v>312604.5</v>
      </c>
      <c r="Q43" s="483" t="str">
        <f>IFERROR(IF(compras_mes11[[#This Row],[CUIT]]="","-",VLOOKUP(compras_mes11[[#This Row],[CUIT]],Lista_CUIT[#All],3,0)),"CUIT NO CARGADO")</f>
        <v>Productos Ortopedicos</v>
      </c>
      <c r="R43" s="483">
        <f>IFERROR(IF(compras_mes11[[#This Row],[CUIT]]="","-",VLOOKUP(compras_mes11[[#This Row],[CUIT]],Lista_CUIT[#All],4,0)),"CUIT NO CARGADO")</f>
        <v>0</v>
      </c>
    </row>
    <row r="44" spans="2:18" x14ac:dyDescent="0.25">
      <c r="B44" s="475">
        <v>45237</v>
      </c>
      <c r="C44" s="489">
        <v>1</v>
      </c>
      <c r="D44" s="476">
        <v>6</v>
      </c>
      <c r="E44" s="477">
        <v>50752</v>
      </c>
      <c r="F44" s="478">
        <v>30710177658</v>
      </c>
      <c r="G44" s="479" t="str">
        <f>IFERROR(IF(compras_mes11[[#This Row],[CUIT]]="","-",VLOOKUP(compras_mes11[[#This Row],[CUIT]],Lista_CUIT[#All],2,0)),"CUIT NO CARGADO")</f>
        <v>TARGET MEDICAL SA</v>
      </c>
      <c r="H44" s="480">
        <v>277480</v>
      </c>
      <c r="I44" s="481">
        <f>IF(compras_mes11[[#This Row],[NETO GRAVADO]]="","",compras_mes11[[#This Row],[NETO GRAVADO]]*0.21)</f>
        <v>58270.799999999996</v>
      </c>
      <c r="J44" s="481"/>
      <c r="K44" s="481"/>
      <c r="L44" s="481"/>
      <c r="M44" s="481"/>
      <c r="N44" s="481"/>
      <c r="O44" s="481"/>
      <c r="P44" s="482">
        <f>SUM(compras_mes11[[#This Row],[NETO GRAVADO]:[Otros / No Grav.]])</f>
        <v>335750.8</v>
      </c>
      <c r="Q44" s="483" t="str">
        <f>IFERROR(IF(compras_mes11[[#This Row],[CUIT]]="","-",VLOOKUP(compras_mes11[[#This Row],[CUIT]],Lista_CUIT[#All],3,0)),"CUIT NO CARGADO")</f>
        <v>Productos Ortopedicos</v>
      </c>
      <c r="R44" s="483">
        <f>IFERROR(IF(compras_mes11[[#This Row],[CUIT]]="","-",VLOOKUP(compras_mes11[[#This Row],[CUIT]],Lista_CUIT[#All],4,0)),"CUIT NO CARGADO")</f>
        <v>0</v>
      </c>
    </row>
    <row r="45" spans="2:18" x14ac:dyDescent="0.25">
      <c r="B45" s="498">
        <v>45237</v>
      </c>
      <c r="C45" s="209">
        <v>1</v>
      </c>
      <c r="D45" s="491">
        <v>15</v>
      </c>
      <c r="E45" s="492">
        <v>353934</v>
      </c>
      <c r="F45" s="493">
        <v>30703088534</v>
      </c>
      <c r="G45" s="494" t="str">
        <f>IFERROR(IF(compras_mes11[[#This Row],[CUIT]]="","-",VLOOKUP(compras_mes11[[#This Row],[CUIT]],Lista_CUIT[#All],2,0)),"CUIT NO CARGADO")</f>
        <v>MERCADO LIBRE SRL</v>
      </c>
      <c r="H45" s="495">
        <v>0.89</v>
      </c>
      <c r="I45" s="496"/>
      <c r="J45" s="496"/>
      <c r="K45" s="496">
        <v>0.09</v>
      </c>
      <c r="L45" s="496"/>
      <c r="M45" s="496"/>
      <c r="N45" s="496"/>
      <c r="O45" s="496">
        <v>0.03</v>
      </c>
      <c r="P45" s="490">
        <f>SUM(compras_mes11[[#This Row],[NETO GRAVADO]:[Otros / No Grav.]])</f>
        <v>1.01</v>
      </c>
      <c r="Q45" s="497" t="str">
        <f>IFERROR(IF(compras_mes11[[#This Row],[CUIT]]="","-",VLOOKUP(compras_mes11[[#This Row],[CUIT]],Lista_CUIT[#All],3,0)),"CUIT NO CARGADO")</f>
        <v>GASTOS COMERCIALIZACION</v>
      </c>
      <c r="R45" s="497">
        <f>IFERROR(IF(compras_mes11[[#This Row],[CUIT]]="","-",VLOOKUP(compras_mes11[[#This Row],[CUIT]],Lista_CUIT[#All],4,0)),"CUIT NO CARGADO")</f>
        <v>0</v>
      </c>
    </row>
    <row r="46" spans="2:18" x14ac:dyDescent="0.25">
      <c r="B46" s="475">
        <v>45238</v>
      </c>
      <c r="C46" s="489">
        <v>1</v>
      </c>
      <c r="D46" s="476">
        <v>2</v>
      </c>
      <c r="E46" s="477">
        <v>791</v>
      </c>
      <c r="F46" s="478">
        <v>20140958213</v>
      </c>
      <c r="G46" s="479" t="str">
        <f>IFERROR(IF(compras_mes11[[#This Row],[CUIT]]="","-",VLOOKUP(compras_mes11[[#This Row],[CUIT]],Lista_CUIT[#All],2,0)),"CUIT NO CARGADO")</f>
        <v>ESPAÑA ALEJANDRO JORGE</v>
      </c>
      <c r="H46" s="480">
        <v>495867.76</v>
      </c>
      <c r="I46" s="481">
        <f>IF(compras_mes11[[#This Row],[NETO GRAVADO]]="","",compras_mes11[[#This Row],[NETO GRAVADO]]*0.21)</f>
        <v>104132.22959999999</v>
      </c>
      <c r="J46" s="481"/>
      <c r="K46" s="481"/>
      <c r="L46" s="481"/>
      <c r="M46" s="481"/>
      <c r="N46" s="481"/>
      <c r="O46" s="481"/>
      <c r="P46" s="482">
        <f>SUM(compras_mes11[[#This Row],[NETO GRAVADO]:[Otros / No Grav.]])</f>
        <v>599999.98959999997</v>
      </c>
      <c r="Q46" s="483" t="str">
        <f>IFERROR(IF(compras_mes11[[#This Row],[CUIT]]="","-",VLOOKUP(compras_mes11[[#This Row],[CUIT]],Lista_CUIT[#All],3,0)),"CUIT NO CARGADO")</f>
        <v>Productos Ortopedicos</v>
      </c>
      <c r="R46" s="483">
        <f>IFERROR(IF(compras_mes11[[#This Row],[CUIT]]="","-",VLOOKUP(compras_mes11[[#This Row],[CUIT]],Lista_CUIT[#All],4,0)),"CUIT NO CARGADO")</f>
        <v>0</v>
      </c>
    </row>
    <row r="47" spans="2:18" x14ac:dyDescent="0.25">
      <c r="B47" s="475">
        <v>45238</v>
      </c>
      <c r="C47" s="489">
        <v>1</v>
      </c>
      <c r="D47" s="476">
        <v>7</v>
      </c>
      <c r="E47" s="477">
        <v>996</v>
      </c>
      <c r="F47" s="478">
        <v>30712187316</v>
      </c>
      <c r="G47" s="479" t="str">
        <f>IFERROR(IF(compras_mes11[[#This Row],[CUIT]]="","-",VLOOKUP(compras_mes11[[#This Row],[CUIT]],Lista_CUIT[#All],2,0)),"CUIT NO CARGADO")</f>
        <v>ITALOMED PRODUCTOS SRL</v>
      </c>
      <c r="H47" s="480">
        <v>162326.57</v>
      </c>
      <c r="I47" s="481">
        <f>IF(compras_mes11[[#This Row],[NETO GRAVADO]]="","",compras_mes11[[#This Row],[NETO GRAVADO]]*0.21)</f>
        <v>34088.579700000002</v>
      </c>
      <c r="J47" s="481"/>
      <c r="K47" s="481"/>
      <c r="L47" s="481"/>
      <c r="M47" s="481"/>
      <c r="N47" s="481"/>
      <c r="O47" s="481"/>
      <c r="P47" s="482">
        <f>SUM(compras_mes11[[#This Row],[NETO GRAVADO]:[Otros / No Grav.]])</f>
        <v>196415.14970000001</v>
      </c>
      <c r="Q47" s="483" t="str">
        <f>IFERROR(IF(compras_mes11[[#This Row],[CUIT]]="","-",VLOOKUP(compras_mes11[[#This Row],[CUIT]],Lista_CUIT[#All],3,0)),"CUIT NO CARGADO")</f>
        <v>Productos Ortopedicos</v>
      </c>
      <c r="R47" s="483">
        <f>IFERROR(IF(compras_mes11[[#This Row],[CUIT]]="","-",VLOOKUP(compras_mes11[[#This Row],[CUIT]],Lista_CUIT[#All],4,0)),"CUIT NO CARGADO")</f>
        <v>0</v>
      </c>
    </row>
    <row r="48" spans="2:18" x14ac:dyDescent="0.25">
      <c r="B48" s="475">
        <v>45238</v>
      </c>
      <c r="C48" s="489">
        <v>1</v>
      </c>
      <c r="D48" s="476">
        <v>5</v>
      </c>
      <c r="E48" s="477">
        <v>1036</v>
      </c>
      <c r="F48" s="478">
        <v>20242126158</v>
      </c>
      <c r="G48" s="479" t="str">
        <f>IFERROR(IF(compras_mes11[[#This Row],[CUIT]]="","-",VLOOKUP(compras_mes11[[#This Row],[CUIT]],Lista_CUIT[#All],2,0)),"CUIT NO CARGADO")</f>
        <v>IALLONARDO SERGIO</v>
      </c>
      <c r="H48" s="480">
        <v>979687.5</v>
      </c>
      <c r="I48" s="481"/>
      <c r="J48" s="481"/>
      <c r="K48" s="481">
        <v>102867.19</v>
      </c>
      <c r="L48" s="481"/>
      <c r="M48" s="481"/>
      <c r="N48" s="481"/>
      <c r="O48" s="481"/>
      <c r="P48" s="482">
        <f>SUM(compras_mes11[[#This Row],[NETO GRAVADO]:[Otros / No Grav.]])</f>
        <v>1082554.69</v>
      </c>
      <c r="Q48" s="483" t="str">
        <f>IFERROR(IF(compras_mes11[[#This Row],[CUIT]]="","-",VLOOKUP(compras_mes11[[#This Row],[CUIT]],Lista_CUIT[#All],3,0)),"CUIT NO CARGADO")</f>
        <v>PROD ORTOP P/ALQ</v>
      </c>
      <c r="R48" s="483">
        <f>IFERROR(IF(compras_mes11[[#This Row],[CUIT]]="","-",VLOOKUP(compras_mes11[[#This Row],[CUIT]],Lista_CUIT[#All],4,0)),"CUIT NO CARGADO")</f>
        <v>0</v>
      </c>
    </row>
    <row r="49" spans="2:18" x14ac:dyDescent="0.25">
      <c r="B49" s="475">
        <v>45238</v>
      </c>
      <c r="C49" s="489">
        <v>1</v>
      </c>
      <c r="D49" s="476">
        <v>120</v>
      </c>
      <c r="E49" s="477">
        <v>3604</v>
      </c>
      <c r="F49" s="478">
        <v>30587197215</v>
      </c>
      <c r="G49" s="479" t="str">
        <f>IFERROR(IF(compras_mes11[[#This Row],[CUIT]]="","-",VLOOKUP(compras_mes11[[#This Row],[CUIT]],Lista_CUIT[#All],2,0)),"CUIT NO CARGADO")</f>
        <v>PANATEL SOCIEDAD ANONIMA</v>
      </c>
      <c r="H49" s="480">
        <v>28099.17</v>
      </c>
      <c r="I49" s="481">
        <f>IF(compras_mes11[[#This Row],[NETO GRAVADO]]="","",compras_mes11[[#This Row],[NETO GRAVADO]]*0.21)</f>
        <v>5900.8256999999994</v>
      </c>
      <c r="J49" s="481"/>
      <c r="K49" s="481"/>
      <c r="L49" s="481"/>
      <c r="M49" s="481"/>
      <c r="N49" s="481"/>
      <c r="O49" s="481"/>
      <c r="P49" s="482">
        <f>SUM(compras_mes11[[#This Row],[NETO GRAVADO]:[Otros / No Grav.]])</f>
        <v>33999.995699999999</v>
      </c>
      <c r="Q49" s="483" t="str">
        <f>IFERROR(IF(compras_mes11[[#This Row],[CUIT]]="","-",VLOOKUP(compras_mes11[[#This Row],[CUIT]],Lista_CUIT[#All],3,0)),"CUIT NO CARGADO")</f>
        <v>Gastos Varios</v>
      </c>
      <c r="R49" s="483">
        <f>IFERROR(IF(compras_mes11[[#This Row],[CUIT]]="","-",VLOOKUP(compras_mes11[[#This Row],[CUIT]],Lista_CUIT[#All],4,0)),"CUIT NO CARGADO")</f>
        <v>0</v>
      </c>
    </row>
    <row r="50" spans="2:18" x14ac:dyDescent="0.25">
      <c r="B50" s="475">
        <v>45238</v>
      </c>
      <c r="C50" s="489">
        <v>1</v>
      </c>
      <c r="D50" s="476">
        <v>120</v>
      </c>
      <c r="E50" s="477">
        <v>3605</v>
      </c>
      <c r="F50" s="478">
        <v>30587197215</v>
      </c>
      <c r="G50" s="479" t="str">
        <f>IFERROR(IF(compras_mes11[[#This Row],[CUIT]]="","-",VLOOKUP(compras_mes11[[#This Row],[CUIT]],Lista_CUIT[#All],2,0)),"CUIT NO CARGADO")</f>
        <v>PANATEL SOCIEDAD ANONIMA</v>
      </c>
      <c r="H50" s="480">
        <v>28099.17</v>
      </c>
      <c r="I50" s="481">
        <f>IF(compras_mes11[[#This Row],[NETO GRAVADO]]="","",compras_mes11[[#This Row],[NETO GRAVADO]]*0.21)</f>
        <v>5900.8256999999994</v>
      </c>
      <c r="J50" s="481"/>
      <c r="K50" s="481"/>
      <c r="L50" s="481"/>
      <c r="M50" s="481"/>
      <c r="N50" s="481"/>
      <c r="O50" s="481"/>
      <c r="P50" s="482">
        <f>SUM(compras_mes11[[#This Row],[NETO GRAVADO]:[Otros / No Grav.]])</f>
        <v>33999.995699999999</v>
      </c>
      <c r="Q50" s="483" t="str">
        <f>IFERROR(IF(compras_mes11[[#This Row],[CUIT]]="","-",VLOOKUP(compras_mes11[[#This Row],[CUIT]],Lista_CUIT[#All],3,0)),"CUIT NO CARGADO")</f>
        <v>Gastos Varios</v>
      </c>
      <c r="R50" s="483">
        <f>IFERROR(IF(compras_mes11[[#This Row],[CUIT]]="","-",VLOOKUP(compras_mes11[[#This Row],[CUIT]],Lista_CUIT[#All],4,0)),"CUIT NO CARGADO")</f>
        <v>0</v>
      </c>
    </row>
    <row r="51" spans="2:18" x14ac:dyDescent="0.25">
      <c r="B51" s="475">
        <v>45238</v>
      </c>
      <c r="C51" s="489">
        <v>1</v>
      </c>
      <c r="D51" s="476">
        <v>2</v>
      </c>
      <c r="E51" s="477">
        <v>9223</v>
      </c>
      <c r="F51" s="478">
        <v>30714331082</v>
      </c>
      <c r="G51" s="479" t="str">
        <f>IFERROR(IF(compras_mes11[[#This Row],[CUIT]]="","-",VLOOKUP(compras_mes11[[#This Row],[CUIT]],Lista_CUIT[#All],2,0)),"CUIT NO CARGADO")</f>
        <v>ORTOPEDIA CASA ESCALADA SRL</v>
      </c>
      <c r="H51" s="480">
        <v>445761.9</v>
      </c>
      <c r="I51" s="481">
        <f>IF(compras_mes11[[#This Row],[NETO GRAVADO]]="","",compras_mes11[[#This Row],[NETO GRAVADO]]*0.21)</f>
        <v>93609.998999999996</v>
      </c>
      <c r="J51" s="481"/>
      <c r="K51" s="481"/>
      <c r="L51" s="481"/>
      <c r="M51" s="481"/>
      <c r="N51" s="481"/>
      <c r="O51" s="481"/>
      <c r="P51" s="482">
        <f>SUM(compras_mes11[[#This Row],[NETO GRAVADO]:[Otros / No Grav.]])</f>
        <v>539371.89899999998</v>
      </c>
      <c r="Q51" s="483" t="str">
        <f>IFERROR(IF(compras_mes11[[#This Row],[CUIT]]="","-",VLOOKUP(compras_mes11[[#This Row],[CUIT]],Lista_CUIT[#All],3,0)),"CUIT NO CARGADO")</f>
        <v>Productos Ortopedicos</v>
      </c>
      <c r="R51" s="483">
        <f>IFERROR(IF(compras_mes11[[#This Row],[CUIT]]="","-",VLOOKUP(compras_mes11[[#This Row],[CUIT]],Lista_CUIT[#All],4,0)),"CUIT NO CARGADO")</f>
        <v>0</v>
      </c>
    </row>
    <row r="52" spans="2:18" x14ac:dyDescent="0.25">
      <c r="B52" s="475">
        <v>45238</v>
      </c>
      <c r="C52" s="489">
        <v>1</v>
      </c>
      <c r="D52" s="476">
        <v>2</v>
      </c>
      <c r="E52" s="477">
        <v>9224</v>
      </c>
      <c r="F52" s="478">
        <v>30714331082</v>
      </c>
      <c r="G52" s="479" t="str">
        <f>IFERROR(IF(compras_mes11[[#This Row],[CUIT]]="","-",VLOOKUP(compras_mes11[[#This Row],[CUIT]],Lista_CUIT[#All],2,0)),"CUIT NO CARGADO")</f>
        <v>ORTOPEDIA CASA ESCALADA SRL</v>
      </c>
      <c r="H52" s="480">
        <v>2210146.71</v>
      </c>
      <c r="I52" s="481">
        <f>IF(compras_mes11[[#This Row],[NETO GRAVADO]]="","",compras_mes11[[#This Row],[NETO GRAVADO]]*0.21)</f>
        <v>464130.80909999995</v>
      </c>
      <c r="J52" s="481"/>
      <c r="K52" s="481"/>
      <c r="L52" s="481"/>
      <c r="M52" s="481"/>
      <c r="N52" s="481"/>
      <c r="O52" s="481"/>
      <c r="P52" s="482">
        <f>SUM(compras_mes11[[#This Row],[NETO GRAVADO]:[Otros / No Grav.]])</f>
        <v>2674277.5191000002</v>
      </c>
      <c r="Q52" s="483" t="str">
        <f>IFERROR(IF(compras_mes11[[#This Row],[CUIT]]="","-",VLOOKUP(compras_mes11[[#This Row],[CUIT]],Lista_CUIT[#All],3,0)),"CUIT NO CARGADO")</f>
        <v>Productos Ortopedicos</v>
      </c>
      <c r="R52" s="483">
        <f>IFERROR(IF(compras_mes11[[#This Row],[CUIT]]="","-",VLOOKUP(compras_mes11[[#This Row],[CUIT]],Lista_CUIT[#All],4,0)),"CUIT NO CARGADO")</f>
        <v>0</v>
      </c>
    </row>
    <row r="53" spans="2:18" x14ac:dyDescent="0.25">
      <c r="B53" s="475">
        <v>45238</v>
      </c>
      <c r="C53" s="489">
        <v>1</v>
      </c>
      <c r="D53" s="476">
        <v>7</v>
      </c>
      <c r="E53" s="477">
        <v>28063</v>
      </c>
      <c r="F53" s="478">
        <v>20271532483</v>
      </c>
      <c r="G53" s="479" t="str">
        <f>IFERROR(IF(compras_mes11[[#This Row],[CUIT]]="","-",VLOOKUP(compras_mes11[[#This Row],[CUIT]],Lista_CUIT[#All],2,0)),"CUIT NO CARGADO")</f>
        <v>DIEGO MARTIN RIOS</v>
      </c>
      <c r="H53" s="480">
        <v>3486101.8</v>
      </c>
      <c r="I53" s="481">
        <f>IF(compras_mes11[[#This Row],[NETO GRAVADO]]="","",compras_mes11[[#This Row],[NETO GRAVADO]]*0.21)</f>
        <v>732081.37799999991</v>
      </c>
      <c r="J53" s="481"/>
      <c r="K53" s="481"/>
      <c r="L53" s="481"/>
      <c r="M53" s="481"/>
      <c r="N53" s="481">
        <v>139444.07</v>
      </c>
      <c r="O53" s="481"/>
      <c r="P53" s="482">
        <f>SUM(compras_mes11[[#This Row],[NETO GRAVADO]:[Otros / No Grav.]])</f>
        <v>4357627.2479999997</v>
      </c>
      <c r="Q53" s="483" t="str">
        <f>IFERROR(IF(compras_mes11[[#This Row],[CUIT]]="","-",VLOOKUP(compras_mes11[[#This Row],[CUIT]],Lista_CUIT[#All],3,0)),"CUIT NO CARGADO")</f>
        <v>Productos Ortopedicos</v>
      </c>
      <c r="R53" s="483">
        <f>IFERROR(IF(compras_mes11[[#This Row],[CUIT]]="","-",VLOOKUP(compras_mes11[[#This Row],[CUIT]],Lista_CUIT[#All],4,0)),"CUIT NO CARGADO")</f>
        <v>0</v>
      </c>
    </row>
    <row r="54" spans="2:18" x14ac:dyDescent="0.25">
      <c r="B54" s="475">
        <v>45238</v>
      </c>
      <c r="C54" s="489">
        <v>1</v>
      </c>
      <c r="D54" s="476">
        <v>12</v>
      </c>
      <c r="E54" s="477">
        <v>1666763</v>
      </c>
      <c r="F54" s="478">
        <v>30709776564</v>
      </c>
      <c r="G54" s="479" t="str">
        <f>IFERROR(IF(compras_mes11[[#This Row],[CUIT]]="","-",VLOOKUP(compras_mes11[[#This Row],[CUIT]],Lista_CUIT[#All],2,0)),"CUIT NO CARGADO")</f>
        <v>PROSEGUR ACTIVA ARG SA</v>
      </c>
      <c r="H54" s="480">
        <v>35614.57</v>
      </c>
      <c r="I54" s="481">
        <f>IF(compras_mes11[[#This Row],[NETO GRAVADO]]="","",compras_mes11[[#This Row],[NETO GRAVADO]]*0.21)</f>
        <v>7479.0596999999998</v>
      </c>
      <c r="J54" s="481"/>
      <c r="K54" s="481"/>
      <c r="L54" s="481"/>
      <c r="M54" s="481"/>
      <c r="N54" s="481">
        <v>1424.58</v>
      </c>
      <c r="O54" s="481"/>
      <c r="P54" s="482">
        <f>SUM(compras_mes11[[#This Row],[NETO GRAVADO]:[Otros / No Grav.]])</f>
        <v>44518.209699999999</v>
      </c>
      <c r="Q54" s="483" t="str">
        <f>IFERROR(IF(compras_mes11[[#This Row],[CUIT]]="","-",VLOOKUP(compras_mes11[[#This Row],[CUIT]],Lista_CUIT[#All],3,0)),"CUIT NO CARGADO")</f>
        <v>SEGURIDAD</v>
      </c>
      <c r="R54" s="483">
        <f>IFERROR(IF(compras_mes11[[#This Row],[CUIT]]="","-",VLOOKUP(compras_mes11[[#This Row],[CUIT]],Lista_CUIT[#All],4,0)),"CUIT NO CARGADO")</f>
        <v>0</v>
      </c>
    </row>
    <row r="55" spans="2:18" x14ac:dyDescent="0.25">
      <c r="B55" s="498">
        <v>45238</v>
      </c>
      <c r="C55" s="499">
        <v>3</v>
      </c>
      <c r="D55" s="491">
        <v>6</v>
      </c>
      <c r="E55" s="492">
        <v>2404</v>
      </c>
      <c r="F55" s="493">
        <v>30707080198</v>
      </c>
      <c r="G55" s="494" t="str">
        <f>IFERROR(IF(compras_mes11[[#This Row],[CUIT]]="","-",VLOOKUP(compras_mes11[[#This Row],[CUIT]],Lista_CUIT[#All],2,0)),"CUIT NO CARGADO")</f>
        <v>OTTO BOCK ARG SA</v>
      </c>
      <c r="H55" s="495">
        <v>-18590</v>
      </c>
      <c r="I55" s="496">
        <f>IF(compras_mes11[[#This Row],[NETO GRAVADO]]="","",compras_mes11[[#This Row],[NETO GRAVADO]]*0.21)</f>
        <v>-3903.8999999999996</v>
      </c>
      <c r="J55" s="496"/>
      <c r="K55" s="496"/>
      <c r="L55" s="496"/>
      <c r="M55" s="496"/>
      <c r="N55" s="496">
        <v>-650.65</v>
      </c>
      <c r="O55" s="496"/>
      <c r="P55" s="490">
        <f>SUM(compras_mes11[[#This Row],[NETO GRAVADO]:[Otros / No Grav.]])</f>
        <v>-23144.550000000003</v>
      </c>
      <c r="Q55" s="497" t="str">
        <f>IFERROR(IF(compras_mes11[[#This Row],[CUIT]]="","-",VLOOKUP(compras_mes11[[#This Row],[CUIT]],Lista_CUIT[#All],3,0)),"CUIT NO CARGADO")</f>
        <v>PROD ORTOP P/ALQ</v>
      </c>
      <c r="R55" s="497">
        <f>IFERROR(IF(compras_mes11[[#This Row],[CUIT]]="","-",VLOOKUP(compras_mes11[[#This Row],[CUIT]],Lista_CUIT[#All],4,0)),"CUIT NO CARGADO")</f>
        <v>0</v>
      </c>
    </row>
    <row r="56" spans="2:18" x14ac:dyDescent="0.25">
      <c r="B56" s="498">
        <v>45238</v>
      </c>
      <c r="C56" s="209">
        <v>1</v>
      </c>
      <c r="D56" s="491">
        <v>11</v>
      </c>
      <c r="E56" s="492">
        <v>49310</v>
      </c>
      <c r="F56" s="493">
        <v>30711091552</v>
      </c>
      <c r="G56" s="494" t="str">
        <f>IFERROR(IF(compras_mes11[[#This Row],[CUIT]]="","-",VLOOKUP(compras_mes11[[#This Row],[CUIT]],Lista_CUIT[#All],2,0)),"CUIT NO CARGADO")</f>
        <v>BIGBOX S.A.</v>
      </c>
      <c r="H56" s="495">
        <v>19752.07</v>
      </c>
      <c r="I56" s="496">
        <f>IF(compras_mes11[[#This Row],[NETO GRAVADO]]="","",compras_mes11[[#This Row],[NETO GRAVADO]]*0.21)</f>
        <v>4147.9346999999998</v>
      </c>
      <c r="J56" s="496"/>
      <c r="K56" s="496"/>
      <c r="L56" s="496"/>
      <c r="M56" s="496"/>
      <c r="N56" s="496"/>
      <c r="O56" s="496"/>
      <c r="P56" s="490">
        <f>SUM(compras_mes11[[#This Row],[NETO GRAVADO]:[Otros / No Grav.]])</f>
        <v>23900.004699999998</v>
      </c>
      <c r="Q56" s="497" t="str">
        <f>IFERROR(IF(compras_mes11[[#This Row],[CUIT]]="","-",VLOOKUP(compras_mes11[[#This Row],[CUIT]],Lista_CUIT[#All],3,0)),"CUIT NO CARGADO")</f>
        <v>INSUMO</v>
      </c>
      <c r="R56" s="497">
        <f>IFERROR(IF(compras_mes11[[#This Row],[CUIT]]="","-",VLOOKUP(compras_mes11[[#This Row],[CUIT]],Lista_CUIT[#All],4,0)),"CUIT NO CARGADO")</f>
        <v>0</v>
      </c>
    </row>
    <row r="57" spans="2:18" x14ac:dyDescent="0.25">
      <c r="B57" s="475">
        <v>45239</v>
      </c>
      <c r="C57" s="489">
        <v>1</v>
      </c>
      <c r="D57" s="476">
        <v>3</v>
      </c>
      <c r="E57" s="477">
        <v>9</v>
      </c>
      <c r="F57" s="478">
        <v>20396584809</v>
      </c>
      <c r="G57" s="479" t="str">
        <f>IFERROR(IF(compras_mes11[[#This Row],[CUIT]]="","-",VLOOKUP(compras_mes11[[#This Row],[CUIT]],Lista_CUIT[#All],2,0)),"CUIT NO CARGADO")</f>
        <v>DEBELIUCH TOMAS IVAN</v>
      </c>
      <c r="H57" s="480">
        <v>1989000</v>
      </c>
      <c r="I57" s="481"/>
      <c r="J57" s="481"/>
      <c r="K57" s="481">
        <v>208845</v>
      </c>
      <c r="L57" s="481"/>
      <c r="M57" s="481"/>
      <c r="N57" s="481"/>
      <c r="O57" s="481"/>
      <c r="P57" s="482">
        <f>SUM(compras_mes11[[#This Row],[NETO GRAVADO]:[Otros / No Grav.]])</f>
        <v>2197845</v>
      </c>
      <c r="Q57" s="483" t="str">
        <f>IFERROR(IF(compras_mes11[[#This Row],[CUIT]]="","-",VLOOKUP(compras_mes11[[#This Row],[CUIT]],Lista_CUIT[#All],3,0)),"CUIT NO CARGADO")</f>
        <v>Productos Ortopedicos</v>
      </c>
      <c r="R57" s="483">
        <f>IFERROR(IF(compras_mes11[[#This Row],[CUIT]]="","-",VLOOKUP(compras_mes11[[#This Row],[CUIT]],Lista_CUIT[#All],4,0)),"CUIT NO CARGADO")</f>
        <v>0</v>
      </c>
    </row>
    <row r="58" spans="2:18" x14ac:dyDescent="0.25">
      <c r="B58" s="475">
        <v>45239</v>
      </c>
      <c r="C58" s="489">
        <v>1</v>
      </c>
      <c r="D58" s="476">
        <v>4</v>
      </c>
      <c r="E58" s="477">
        <v>79</v>
      </c>
      <c r="F58" s="478">
        <v>20317488476</v>
      </c>
      <c r="G58" s="479" t="str">
        <f>IFERROR(IF(compras_mes11[[#This Row],[CUIT]]="","-",VLOOKUP(compras_mes11[[#This Row],[CUIT]],Lista_CUIT[#All],2,0)),"CUIT NO CARGADO")</f>
        <v>MIGUEL ANGEL VILLALBA</v>
      </c>
      <c r="H58" s="480">
        <v>221872</v>
      </c>
      <c r="I58" s="481">
        <f>IF(compras_mes11[[#This Row],[NETO GRAVADO]]="","",compras_mes11[[#This Row],[NETO GRAVADO]]*0.21)</f>
        <v>46593.119999999995</v>
      </c>
      <c r="J58" s="481"/>
      <c r="K58" s="481"/>
      <c r="L58" s="481"/>
      <c r="M58" s="481"/>
      <c r="N58" s="481"/>
      <c r="O58" s="481"/>
      <c r="P58" s="482">
        <f>SUM(compras_mes11[[#This Row],[NETO GRAVADO]:[Otros / No Grav.]])</f>
        <v>268465.12</v>
      </c>
      <c r="Q58" s="483" t="str">
        <f>IFERROR(IF(compras_mes11[[#This Row],[CUIT]]="","-",VLOOKUP(compras_mes11[[#This Row],[CUIT]],Lista_CUIT[#All],3,0)),"CUIT NO CARGADO")</f>
        <v>Recupero P. Ortopedicos</v>
      </c>
      <c r="R58" s="483">
        <f>IFERROR(IF(compras_mes11[[#This Row],[CUIT]]="","-",VLOOKUP(compras_mes11[[#This Row],[CUIT]],Lista_CUIT[#All],4,0)),"CUIT NO CARGADO")</f>
        <v>0</v>
      </c>
    </row>
    <row r="59" spans="2:18" x14ac:dyDescent="0.25">
      <c r="B59" s="475">
        <v>45239</v>
      </c>
      <c r="C59" s="489">
        <v>1</v>
      </c>
      <c r="D59" s="476">
        <v>2</v>
      </c>
      <c r="E59" s="477">
        <v>195</v>
      </c>
      <c r="F59" s="478">
        <v>20272865869</v>
      </c>
      <c r="G59" s="479" t="str">
        <f>IFERROR(IF(compras_mes11[[#This Row],[CUIT]]="","-",VLOOKUP(compras_mes11[[#This Row],[CUIT]],Lista_CUIT[#All],2,0)),"CUIT NO CARGADO")</f>
        <v>DI FEO MARTIN EZEQUIEL</v>
      </c>
      <c r="H59" s="480">
        <v>45345</v>
      </c>
      <c r="I59" s="481">
        <f>IF(compras_mes11[[#This Row],[NETO GRAVADO]]="","",compras_mes11[[#This Row],[NETO GRAVADO]]*0.21)</f>
        <v>9522.4499999999989</v>
      </c>
      <c r="J59" s="481"/>
      <c r="K59" s="481"/>
      <c r="L59" s="481"/>
      <c r="M59" s="481"/>
      <c r="N59" s="481"/>
      <c r="O59" s="481"/>
      <c r="P59" s="482">
        <f>SUM(compras_mes11[[#This Row],[NETO GRAVADO]:[Otros / No Grav.]])</f>
        <v>54867.45</v>
      </c>
      <c r="Q59" s="483" t="str">
        <f>IFERROR(IF(compras_mes11[[#This Row],[CUIT]]="","-",VLOOKUP(compras_mes11[[#This Row],[CUIT]],Lista_CUIT[#All],3,0)),"CUIT NO CARGADO")</f>
        <v>Productos Ortopedicos</v>
      </c>
      <c r="R59" s="483">
        <f>IFERROR(IF(compras_mes11[[#This Row],[CUIT]]="","-",VLOOKUP(compras_mes11[[#This Row],[CUIT]],Lista_CUIT[#All],4,0)),"CUIT NO CARGADO")</f>
        <v>0</v>
      </c>
    </row>
    <row r="60" spans="2:18" x14ac:dyDescent="0.25">
      <c r="B60" s="475">
        <v>45239</v>
      </c>
      <c r="C60" s="489">
        <v>1</v>
      </c>
      <c r="D60" s="476">
        <v>7</v>
      </c>
      <c r="E60" s="477">
        <v>998</v>
      </c>
      <c r="F60" s="478">
        <v>30712187316</v>
      </c>
      <c r="G60" s="479" t="str">
        <f>IFERROR(IF(compras_mes11[[#This Row],[CUIT]]="","-",VLOOKUP(compras_mes11[[#This Row],[CUIT]],Lista_CUIT[#All],2,0)),"CUIT NO CARGADO")</f>
        <v>ITALOMED PRODUCTOS SRL</v>
      </c>
      <c r="H60" s="480">
        <v>149146.82999999999</v>
      </c>
      <c r="I60" s="481">
        <f>IF(compras_mes11[[#This Row],[NETO GRAVADO]]="","",compras_mes11[[#This Row],[NETO GRAVADO]]*0.21)</f>
        <v>31320.834299999995</v>
      </c>
      <c r="J60" s="481"/>
      <c r="K60" s="481"/>
      <c r="L60" s="481"/>
      <c r="M60" s="481"/>
      <c r="N60" s="481"/>
      <c r="O60" s="481"/>
      <c r="P60" s="482">
        <f>SUM(compras_mes11[[#This Row],[NETO GRAVADO]:[Otros / No Grav.]])</f>
        <v>180467.66429999997</v>
      </c>
      <c r="Q60" s="483" t="str">
        <f>IFERROR(IF(compras_mes11[[#This Row],[CUIT]]="","-",VLOOKUP(compras_mes11[[#This Row],[CUIT]],Lista_CUIT[#All],3,0)),"CUIT NO CARGADO")</f>
        <v>Productos Ortopedicos</v>
      </c>
      <c r="R60" s="483">
        <f>IFERROR(IF(compras_mes11[[#This Row],[CUIT]]="","-",VLOOKUP(compras_mes11[[#This Row],[CUIT]],Lista_CUIT[#All],4,0)),"CUIT NO CARGADO")</f>
        <v>0</v>
      </c>
    </row>
    <row r="61" spans="2:18" x14ac:dyDescent="0.25">
      <c r="B61" s="475">
        <v>45239</v>
      </c>
      <c r="C61" s="489">
        <v>1</v>
      </c>
      <c r="D61" s="476">
        <v>5</v>
      </c>
      <c r="E61" s="477">
        <v>1446</v>
      </c>
      <c r="F61" s="478">
        <v>30712187316</v>
      </c>
      <c r="G61" s="479" t="str">
        <f>IFERROR(IF(compras_mes11[[#This Row],[CUIT]]="","-",VLOOKUP(compras_mes11[[#This Row],[CUIT]],Lista_CUIT[#All],2,0)),"CUIT NO CARGADO")</f>
        <v>ITALOMED PRODUCTOS SRL</v>
      </c>
      <c r="H61" s="480">
        <v>231885.44</v>
      </c>
      <c r="I61" s="481">
        <f>IF(compras_mes11[[#This Row],[NETO GRAVADO]]="","",compras_mes11[[#This Row],[NETO GRAVADO]]*0.21)</f>
        <v>48695.9424</v>
      </c>
      <c r="J61" s="481"/>
      <c r="K61" s="481"/>
      <c r="L61" s="481"/>
      <c r="M61" s="481"/>
      <c r="N61" s="481"/>
      <c r="O61" s="481"/>
      <c r="P61" s="482">
        <f>SUM(compras_mes11[[#This Row],[NETO GRAVADO]:[Otros / No Grav.]])</f>
        <v>280581.3824</v>
      </c>
      <c r="Q61" s="483" t="str">
        <f>IFERROR(IF(compras_mes11[[#This Row],[CUIT]]="","-",VLOOKUP(compras_mes11[[#This Row],[CUIT]],Lista_CUIT[#All],3,0)),"CUIT NO CARGADO")</f>
        <v>Productos Ortopedicos</v>
      </c>
      <c r="R61" s="483">
        <f>IFERROR(IF(compras_mes11[[#This Row],[CUIT]]="","-",VLOOKUP(compras_mes11[[#This Row],[CUIT]],Lista_CUIT[#All],4,0)),"CUIT NO CARGADO")</f>
        <v>0</v>
      </c>
    </row>
    <row r="62" spans="2:18" x14ac:dyDescent="0.25">
      <c r="B62" s="475">
        <v>45239</v>
      </c>
      <c r="C62" s="489">
        <v>1</v>
      </c>
      <c r="D62" s="476">
        <v>17</v>
      </c>
      <c r="E62" s="477">
        <v>1461</v>
      </c>
      <c r="F62" s="478">
        <v>30711764921</v>
      </c>
      <c r="G62" s="479" t="str">
        <f>IFERROR(IF(compras_mes11[[#This Row],[CUIT]]="","-",VLOOKUP(compras_mes11[[#This Row],[CUIT]],Lista_CUIT[#All],2,0)),"CUIT NO CARGADO")</f>
        <v>RELIEF CENTER SRL</v>
      </c>
      <c r="H62" s="480">
        <v>264237</v>
      </c>
      <c r="I62" s="481">
        <f>IF(compras_mes11[[#This Row],[NETO GRAVADO]]="","",compras_mes11[[#This Row],[NETO GRAVADO]]*0.21)</f>
        <v>55489.77</v>
      </c>
      <c r="J62" s="481"/>
      <c r="K62" s="481"/>
      <c r="L62" s="481"/>
      <c r="M62" s="481"/>
      <c r="N62" s="481"/>
      <c r="O62" s="481"/>
      <c r="P62" s="482">
        <f>SUM(compras_mes11[[#This Row],[NETO GRAVADO]:[Otros / No Grav.]])</f>
        <v>319726.77</v>
      </c>
      <c r="Q62" s="483" t="str">
        <f>IFERROR(IF(compras_mes11[[#This Row],[CUIT]]="","-",VLOOKUP(compras_mes11[[#This Row],[CUIT]],Lista_CUIT[#All],3,0)),"CUIT NO CARGADO")</f>
        <v>Productos Ortopedicos</v>
      </c>
      <c r="R62" s="483">
        <f>IFERROR(IF(compras_mes11[[#This Row],[CUIT]]="","-",VLOOKUP(compras_mes11[[#This Row],[CUIT]],Lista_CUIT[#All],4,0)),"CUIT NO CARGADO")</f>
        <v>0</v>
      </c>
    </row>
    <row r="63" spans="2:18" x14ac:dyDescent="0.25">
      <c r="B63" s="475">
        <v>45239</v>
      </c>
      <c r="C63" s="489">
        <v>1</v>
      </c>
      <c r="D63" s="476">
        <v>948</v>
      </c>
      <c r="E63" s="477">
        <v>1098303</v>
      </c>
      <c r="F63" s="478">
        <v>30639453975</v>
      </c>
      <c r="G63" s="479" t="str">
        <f>IFERROR(IF(compras_mes11[[#This Row],[CUIT]]="","-",VLOOKUP(compras_mes11[[#This Row],[CUIT]],Lista_CUIT[#All],2,0)),"CUIT NO CARGADO")</f>
        <v>TELEFONICA ARG SA</v>
      </c>
      <c r="H63" s="480">
        <v>23337.83</v>
      </c>
      <c r="I63" s="481"/>
      <c r="J63" s="481">
        <v>6301.21</v>
      </c>
      <c r="K63" s="481"/>
      <c r="L63" s="481">
        <v>700.13</v>
      </c>
      <c r="M63" s="481"/>
      <c r="N63" s="481">
        <v>933.51</v>
      </c>
      <c r="O63" s="481"/>
      <c r="P63" s="482">
        <f>SUM(compras_mes11[[#This Row],[NETO GRAVADO]:[Otros / No Grav.]])</f>
        <v>31272.68</v>
      </c>
      <c r="Q63" s="483" t="str">
        <f>IFERROR(IF(compras_mes11[[#This Row],[CUIT]]="","-",VLOOKUP(compras_mes11[[#This Row],[CUIT]],Lista_CUIT[#All],3,0)),"CUIT NO CARGADO")</f>
        <v>TELEFONIA</v>
      </c>
      <c r="R63" s="483">
        <f>IFERROR(IF(compras_mes11[[#This Row],[CUIT]]="","-",VLOOKUP(compras_mes11[[#This Row],[CUIT]],Lista_CUIT[#All],4,0)),"CUIT NO CARGADO")</f>
        <v>0</v>
      </c>
    </row>
    <row r="64" spans="2:18" x14ac:dyDescent="0.25">
      <c r="B64" s="498">
        <v>45239</v>
      </c>
      <c r="C64" s="499">
        <v>3</v>
      </c>
      <c r="D64" s="491">
        <v>5</v>
      </c>
      <c r="E64" s="492">
        <v>166</v>
      </c>
      <c r="F64" s="493">
        <v>30712187316</v>
      </c>
      <c r="G64" s="494" t="str">
        <f>IFERROR(IF(compras_mes11[[#This Row],[CUIT]]="","-",VLOOKUP(compras_mes11[[#This Row],[CUIT]],Lista_CUIT[#All],2,0)),"CUIT NO CARGADO")</f>
        <v>ITALOMED PRODUCTOS SRL</v>
      </c>
      <c r="H64" s="495">
        <v>-149146.82999999999</v>
      </c>
      <c r="I64" s="496">
        <f>IF(compras_mes11[[#This Row],[NETO GRAVADO]]="","",compras_mes11[[#This Row],[NETO GRAVADO]]*0.21)</f>
        <v>-31320.834299999995</v>
      </c>
      <c r="J64" s="496"/>
      <c r="K64" s="496"/>
      <c r="L64" s="496"/>
      <c r="M64" s="496"/>
      <c r="N64" s="496"/>
      <c r="O64" s="496"/>
      <c r="P64" s="490">
        <f>SUM(compras_mes11[[#This Row],[NETO GRAVADO]:[Otros / No Grav.]])</f>
        <v>-180467.66429999997</v>
      </c>
      <c r="Q64" s="497" t="str">
        <f>IFERROR(IF(compras_mes11[[#This Row],[CUIT]]="","-",VLOOKUP(compras_mes11[[#This Row],[CUIT]],Lista_CUIT[#All],3,0)),"CUIT NO CARGADO")</f>
        <v>Productos Ortopedicos</v>
      </c>
      <c r="R64" s="497">
        <f>IFERROR(IF(compras_mes11[[#This Row],[CUIT]]="","-",VLOOKUP(compras_mes11[[#This Row],[CUIT]],Lista_CUIT[#All],4,0)),"CUIT NO CARGADO")</f>
        <v>0</v>
      </c>
    </row>
    <row r="65" spans="2:18" x14ac:dyDescent="0.25">
      <c r="B65" s="498">
        <v>45239</v>
      </c>
      <c r="C65" s="209">
        <v>1</v>
      </c>
      <c r="D65" s="491">
        <v>5</v>
      </c>
      <c r="E65" s="492">
        <v>1447</v>
      </c>
      <c r="F65" s="493">
        <v>30712187316</v>
      </c>
      <c r="G65" s="494" t="str">
        <f>IFERROR(IF(compras_mes11[[#This Row],[CUIT]]="","-",VLOOKUP(compras_mes11[[#This Row],[CUIT]],Lista_CUIT[#All],2,0)),"CUIT NO CARGADO")</f>
        <v>ITALOMED PRODUCTOS SRL</v>
      </c>
      <c r="H65" s="495">
        <v>149146.82999999999</v>
      </c>
      <c r="I65" s="496">
        <f>IF(compras_mes11[[#This Row],[NETO GRAVADO]]="","",compras_mes11[[#This Row],[NETO GRAVADO]]*0.21)</f>
        <v>31320.834299999995</v>
      </c>
      <c r="J65" s="496"/>
      <c r="K65" s="496"/>
      <c r="L65" s="496"/>
      <c r="M65" s="496"/>
      <c r="N65" s="496"/>
      <c r="O65" s="496"/>
      <c r="P65" s="490">
        <f>SUM(compras_mes11[[#This Row],[NETO GRAVADO]:[Otros / No Grav.]])</f>
        <v>180467.66429999997</v>
      </c>
      <c r="Q65" s="497" t="str">
        <f>IFERROR(IF(compras_mes11[[#This Row],[CUIT]]="","-",VLOOKUP(compras_mes11[[#This Row],[CUIT]],Lista_CUIT[#All],3,0)),"CUIT NO CARGADO")</f>
        <v>Productos Ortopedicos</v>
      </c>
      <c r="R65" s="497">
        <f>IFERROR(IF(compras_mes11[[#This Row],[CUIT]]="","-",VLOOKUP(compras_mes11[[#This Row],[CUIT]],Lista_CUIT[#All],4,0)),"CUIT NO CARGADO")</f>
        <v>0</v>
      </c>
    </row>
    <row r="66" spans="2:18" x14ac:dyDescent="0.25">
      <c r="B66" s="498">
        <v>45239</v>
      </c>
      <c r="C66" s="499">
        <v>1</v>
      </c>
      <c r="D66" s="491">
        <v>7</v>
      </c>
      <c r="E66" s="492">
        <v>2414</v>
      </c>
      <c r="F66" s="493">
        <v>20284183534</v>
      </c>
      <c r="G66" s="494" t="str">
        <f>IFERROR(IF(compras_mes11[[#This Row],[CUIT]]="","-",VLOOKUP(compras_mes11[[#This Row],[CUIT]],Lista_CUIT[#All],2,0)),"CUIT NO CARGADO")</f>
        <v>FURLANETTO MARTIN</v>
      </c>
      <c r="H66" s="495">
        <v>3305.8</v>
      </c>
      <c r="I66" s="496">
        <f>IF(compras_mes11[[#This Row],[NETO GRAVADO]]="","",compras_mes11[[#This Row],[NETO GRAVADO]]*0.21)</f>
        <v>694.21799999999996</v>
      </c>
      <c r="J66" s="496"/>
      <c r="K66" s="496"/>
      <c r="L66" s="496"/>
      <c r="M66" s="496"/>
      <c r="N66" s="496"/>
      <c r="O66" s="496"/>
      <c r="P66" s="490">
        <f>SUM(compras_mes11[[#This Row],[NETO GRAVADO]:[Otros / No Grav.]])</f>
        <v>4000.018</v>
      </c>
      <c r="Q66" s="497" t="str">
        <f>IFERROR(IF(compras_mes11[[#This Row],[CUIT]]="","-",VLOOKUP(compras_mes11[[#This Row],[CUIT]],Lista_CUIT[#All],3,0)),"CUIT NO CARGADO")</f>
        <v>PAPELERIA</v>
      </c>
      <c r="R66" s="497">
        <f>IFERROR(IF(compras_mes11[[#This Row],[CUIT]]="","-",VLOOKUP(compras_mes11[[#This Row],[CUIT]],Lista_CUIT[#All],4,0)),"CUIT NO CARGADO")</f>
        <v>0</v>
      </c>
    </row>
    <row r="67" spans="2:18" x14ac:dyDescent="0.25">
      <c r="B67" s="498">
        <v>45239</v>
      </c>
      <c r="C67" s="209">
        <v>1</v>
      </c>
      <c r="D67" s="491">
        <v>700</v>
      </c>
      <c r="E67" s="492">
        <v>1256203</v>
      </c>
      <c r="F67" s="493">
        <v>30715804812</v>
      </c>
      <c r="G67" s="494" t="str">
        <f>IFERROR(IF(compras_mes11[[#This Row],[CUIT]]="","-",VLOOKUP(compras_mes11[[#This Row],[CUIT]],Lista_CUIT[#All],2,0)),"CUIT NO CARGADO")</f>
        <v>CORREDORES VIALES SOCIEDAD ANONIMA</v>
      </c>
      <c r="H67" s="495">
        <v>2685.95</v>
      </c>
      <c r="I67" s="496">
        <f>IF(compras_mes11[[#This Row],[NETO GRAVADO]]="","",compras_mes11[[#This Row],[NETO GRAVADO]]*0.21)</f>
        <v>564.04949999999997</v>
      </c>
      <c r="J67" s="496"/>
      <c r="K67" s="496"/>
      <c r="L67" s="496"/>
      <c r="M67" s="496"/>
      <c r="N67" s="496"/>
      <c r="O67" s="496"/>
      <c r="P67" s="490">
        <f>SUM(compras_mes11[[#This Row],[NETO GRAVADO]:[Otros / No Grav.]])</f>
        <v>3249.9994999999999</v>
      </c>
      <c r="Q67" s="497" t="str">
        <f>IFERROR(IF(compras_mes11[[#This Row],[CUIT]]="","-",VLOOKUP(compras_mes11[[#This Row],[CUIT]],Lista_CUIT[#All],3,0)),"CUIT NO CARGADO")</f>
        <v>Autopista</v>
      </c>
      <c r="R67" s="497">
        <f>IFERROR(IF(compras_mes11[[#This Row],[CUIT]]="","-",VLOOKUP(compras_mes11[[#This Row],[CUIT]],Lista_CUIT[#All],4,0)),"CUIT NO CARGADO")</f>
        <v>0</v>
      </c>
    </row>
    <row r="68" spans="2:18" x14ac:dyDescent="0.25">
      <c r="B68" s="498">
        <v>45239</v>
      </c>
      <c r="C68" s="209">
        <v>1</v>
      </c>
      <c r="D68" s="491">
        <v>700</v>
      </c>
      <c r="E68" s="492">
        <v>1256204</v>
      </c>
      <c r="F68" s="493">
        <v>30715804812</v>
      </c>
      <c r="G68" s="494" t="str">
        <f>IFERROR(IF(compras_mes11[[#This Row],[CUIT]]="","-",VLOOKUP(compras_mes11[[#This Row],[CUIT]],Lista_CUIT[#All],2,0)),"CUIT NO CARGADO")</f>
        <v>CORREDORES VIALES SOCIEDAD ANONIMA</v>
      </c>
      <c r="H68" s="495">
        <v>247.93</v>
      </c>
      <c r="I68" s="496">
        <f>IF(compras_mes11[[#This Row],[NETO GRAVADO]]="","",compras_mes11[[#This Row],[NETO GRAVADO]]*0.21)</f>
        <v>52.065300000000001</v>
      </c>
      <c r="J68" s="496"/>
      <c r="K68" s="496"/>
      <c r="L68" s="496"/>
      <c r="M68" s="496"/>
      <c r="N68" s="496"/>
      <c r="O68" s="496"/>
      <c r="P68" s="490">
        <f>SUM(compras_mes11[[#This Row],[NETO GRAVADO]:[Otros / No Grav.]])</f>
        <v>299.99529999999999</v>
      </c>
      <c r="Q68" s="497" t="str">
        <f>IFERROR(IF(compras_mes11[[#This Row],[CUIT]]="","-",VLOOKUP(compras_mes11[[#This Row],[CUIT]],Lista_CUIT[#All],3,0)),"CUIT NO CARGADO")</f>
        <v>Autopista</v>
      </c>
      <c r="R68" s="497">
        <f>IFERROR(IF(compras_mes11[[#This Row],[CUIT]]="","-",VLOOKUP(compras_mes11[[#This Row],[CUIT]],Lista_CUIT[#All],4,0)),"CUIT NO CARGADO")</f>
        <v>0</v>
      </c>
    </row>
    <row r="69" spans="2:18" x14ac:dyDescent="0.25">
      <c r="B69" s="498">
        <v>45240</v>
      </c>
      <c r="C69" s="499">
        <v>1</v>
      </c>
      <c r="D69" s="491">
        <v>6</v>
      </c>
      <c r="E69" s="492">
        <v>1207</v>
      </c>
      <c r="F69" s="493">
        <v>30716815710</v>
      </c>
      <c r="G69" s="494" t="str">
        <f>IFERROR(IF(compras_mes11[[#This Row],[CUIT]]="","-",VLOOKUP(compras_mes11[[#This Row],[CUIT]],Lista_CUIT[#All],2,0)),"CUIT NO CARGADO")</f>
        <v>PAPELERA GEOPEL SRL</v>
      </c>
      <c r="H69" s="495">
        <v>12600</v>
      </c>
      <c r="I69" s="496">
        <f>IF(compras_mes11[[#This Row],[NETO GRAVADO]]="","",compras_mes11[[#This Row],[NETO GRAVADO]]*0.21)</f>
        <v>2646</v>
      </c>
      <c r="J69" s="496"/>
      <c r="K69" s="496"/>
      <c r="L69" s="496"/>
      <c r="M69" s="496"/>
      <c r="N69" s="496"/>
      <c r="O69" s="496"/>
      <c r="P69" s="490">
        <f>SUM(compras_mes11[[#This Row],[NETO GRAVADO]:[Otros / No Grav.]])</f>
        <v>15246</v>
      </c>
      <c r="Q69" s="497" t="str">
        <f>IFERROR(IF(compras_mes11[[#This Row],[CUIT]]="","-",VLOOKUP(compras_mes11[[#This Row],[CUIT]],Lista_CUIT[#All],3,0)),"CUIT NO CARGADO")</f>
        <v>PAPELERIA</v>
      </c>
      <c r="R69" s="497">
        <f>IFERROR(IF(compras_mes11[[#This Row],[CUIT]]="","-",VLOOKUP(compras_mes11[[#This Row],[CUIT]],Lista_CUIT[#All],4,0)),"CUIT NO CARGADO")</f>
        <v>0</v>
      </c>
    </row>
    <row r="70" spans="2:18" x14ac:dyDescent="0.25">
      <c r="B70" s="498">
        <v>45241</v>
      </c>
      <c r="C70" s="209">
        <v>1</v>
      </c>
      <c r="D70" s="491">
        <v>9036</v>
      </c>
      <c r="E70" s="492">
        <v>20894</v>
      </c>
      <c r="F70" s="493">
        <v>30678774495</v>
      </c>
      <c r="G70" s="494" t="str">
        <f>IFERROR(IF(compras_mes11[[#This Row],[CUIT]]="","-",VLOOKUP(compras_mes11[[#This Row],[CUIT]],Lista_CUIT[#All],2,0)),"CUIT NO CARGADO")</f>
        <v>OPER. DE EST. DE SERV. SA</v>
      </c>
      <c r="H70" s="495">
        <v>11117.88</v>
      </c>
      <c r="I70" s="496">
        <f>IF(compras_mes11[[#This Row],[NETO GRAVADO]]="","",compras_mes11[[#This Row],[NETO GRAVADO]]*0.21)</f>
        <v>2334.7547999999997</v>
      </c>
      <c r="J70" s="496"/>
      <c r="K70" s="496"/>
      <c r="L70" s="496"/>
      <c r="M70" s="496"/>
      <c r="N70" s="496"/>
      <c r="O70" s="496">
        <v>1150.3599999999999</v>
      </c>
      <c r="P70" s="490">
        <f>SUM(compras_mes11[[#This Row],[NETO GRAVADO]:[Otros / No Grav.]])</f>
        <v>14602.9948</v>
      </c>
      <c r="Q70" s="497" t="str">
        <f>IFERROR(IF(compras_mes11[[#This Row],[CUIT]]="","-",VLOOKUP(compras_mes11[[#This Row],[CUIT]],Lista_CUIT[#All],3,0)),"CUIT NO CARGADO")</f>
        <v>COMBUSTIBLE</v>
      </c>
      <c r="R70" s="497">
        <f>IFERROR(IF(compras_mes11[[#This Row],[CUIT]]="","-",VLOOKUP(compras_mes11[[#This Row],[CUIT]],Lista_CUIT[#All],4,0)),"CUIT NO CARGADO")</f>
        <v>0</v>
      </c>
    </row>
    <row r="71" spans="2:18" x14ac:dyDescent="0.25">
      <c r="B71" s="475">
        <v>45243</v>
      </c>
      <c r="C71" s="489">
        <v>1</v>
      </c>
      <c r="D71" s="476">
        <v>3</v>
      </c>
      <c r="E71" s="477">
        <v>112</v>
      </c>
      <c r="F71" s="478">
        <v>20334976433</v>
      </c>
      <c r="G71" s="479" t="str">
        <f>IFERROR(IF(compras_mes11[[#This Row],[CUIT]]="","-",VLOOKUP(compras_mes11[[#This Row],[CUIT]],Lista_CUIT[#All],2,0)),"CUIT NO CARGADO")</f>
        <v>NARDOMARINO EZEQUIEL EDUARDO</v>
      </c>
      <c r="H71" s="480">
        <v>313078.52</v>
      </c>
      <c r="I71" s="481">
        <f>IF(compras_mes11[[#This Row],[NETO GRAVADO]]="","",compras_mes11[[#This Row],[NETO GRAVADO]]*0.21)</f>
        <v>65746.489199999996</v>
      </c>
      <c r="J71" s="481"/>
      <c r="K71" s="481"/>
      <c r="L71" s="481"/>
      <c r="M71" s="481"/>
      <c r="N71" s="481"/>
      <c r="O71" s="481"/>
      <c r="P71" s="482">
        <f>SUM(compras_mes11[[#This Row],[NETO GRAVADO]:[Otros / No Grav.]])</f>
        <v>378825.00920000003</v>
      </c>
      <c r="Q71" s="483" t="str">
        <f>IFERROR(IF(compras_mes11[[#This Row],[CUIT]]="","-",VLOOKUP(compras_mes11[[#This Row],[CUIT]],Lista_CUIT[#All],3,0)),"CUIT NO CARGADO")</f>
        <v>FLETE</v>
      </c>
      <c r="R71" s="483">
        <f>IFERROR(IF(compras_mes11[[#This Row],[CUIT]]="","-",VLOOKUP(compras_mes11[[#This Row],[CUIT]],Lista_CUIT[#All],4,0)),"CUIT NO CARGADO")</f>
        <v>0</v>
      </c>
    </row>
    <row r="72" spans="2:18" x14ac:dyDescent="0.25">
      <c r="B72" s="475">
        <v>45244</v>
      </c>
      <c r="C72" s="489">
        <v>1</v>
      </c>
      <c r="D72" s="476">
        <v>2</v>
      </c>
      <c r="E72" s="477">
        <v>9238</v>
      </c>
      <c r="F72" s="478">
        <v>30714331082</v>
      </c>
      <c r="G72" s="479" t="str">
        <f>IFERROR(IF(compras_mes11[[#This Row],[CUIT]]="","-",VLOOKUP(compras_mes11[[#This Row],[CUIT]],Lista_CUIT[#All],2,0)),"CUIT NO CARGADO")</f>
        <v>ORTOPEDIA CASA ESCALADA SRL</v>
      </c>
      <c r="H72" s="480">
        <v>44561.4</v>
      </c>
      <c r="I72" s="481">
        <f>IF(compras_mes11[[#This Row],[NETO GRAVADO]]="","",compras_mes11[[#This Row],[NETO GRAVADO]]*0.21)</f>
        <v>9357.8940000000002</v>
      </c>
      <c r="J72" s="481"/>
      <c r="K72" s="481"/>
      <c r="L72" s="481"/>
      <c r="M72" s="481"/>
      <c r="N72" s="481"/>
      <c r="O72" s="481"/>
      <c r="P72" s="482">
        <f>SUM(compras_mes11[[#This Row],[NETO GRAVADO]:[Otros / No Grav.]])</f>
        <v>53919.294000000002</v>
      </c>
      <c r="Q72" s="483" t="str">
        <f>IFERROR(IF(compras_mes11[[#This Row],[CUIT]]="","-",VLOOKUP(compras_mes11[[#This Row],[CUIT]],Lista_CUIT[#All],3,0)),"CUIT NO CARGADO")</f>
        <v>Productos Ortopedicos</v>
      </c>
      <c r="R72" s="483">
        <f>IFERROR(IF(compras_mes11[[#This Row],[CUIT]]="","-",VLOOKUP(compras_mes11[[#This Row],[CUIT]],Lista_CUIT[#All],4,0)),"CUIT NO CARGADO")</f>
        <v>0</v>
      </c>
    </row>
    <row r="73" spans="2:18" x14ac:dyDescent="0.25">
      <c r="B73" s="475">
        <v>45245</v>
      </c>
      <c r="C73" s="489">
        <v>1</v>
      </c>
      <c r="D73" s="476">
        <v>12</v>
      </c>
      <c r="E73" s="477">
        <v>17</v>
      </c>
      <c r="F73" s="478">
        <v>27202892936</v>
      </c>
      <c r="G73" s="479" t="str">
        <f>IFERROR(IF(compras_mes11[[#This Row],[CUIT]]="","-",VLOOKUP(compras_mes11[[#This Row],[CUIT]],Lista_CUIT[#All],2,0)),"CUIT NO CARGADO")</f>
        <v>Moriondo, Adriana Ines</v>
      </c>
      <c r="H73" s="480">
        <v>666820.67000000004</v>
      </c>
      <c r="I73" s="481">
        <f>IF(compras_mes11[[#This Row],[NETO GRAVADO]]="","",compras_mes11[[#This Row],[NETO GRAVADO]]*0.21)</f>
        <v>140032.3407</v>
      </c>
      <c r="J73" s="481"/>
      <c r="K73" s="481"/>
      <c r="L73" s="481"/>
      <c r="M73" s="481"/>
      <c r="N73" s="481"/>
      <c r="O73" s="481"/>
      <c r="P73" s="482">
        <f>SUM(compras_mes11[[#This Row],[NETO GRAVADO]:[Otros / No Grav.]])</f>
        <v>806853.01069999998</v>
      </c>
      <c r="Q73" s="483" t="str">
        <f>IFERROR(IF(compras_mes11[[#This Row],[CUIT]]="","-",VLOOKUP(compras_mes11[[#This Row],[CUIT]],Lista_CUIT[#All],3,0)),"CUIT NO CARGADO")</f>
        <v>PATENTES</v>
      </c>
      <c r="R73" s="483">
        <f>IFERROR(IF(compras_mes11[[#This Row],[CUIT]]="","-",VLOOKUP(compras_mes11[[#This Row],[CUIT]],Lista_CUIT[#All],4,0)),"CUIT NO CARGADO")</f>
        <v>0</v>
      </c>
    </row>
    <row r="74" spans="2:18" x14ac:dyDescent="0.25">
      <c r="B74" s="475">
        <v>45245</v>
      </c>
      <c r="C74" s="489">
        <v>1</v>
      </c>
      <c r="D74" s="476">
        <v>8</v>
      </c>
      <c r="E74" s="477">
        <v>221</v>
      </c>
      <c r="F74" s="478">
        <v>30643518364</v>
      </c>
      <c r="G74" s="479" t="str">
        <f>IFERROR(IF(compras_mes11[[#This Row],[CUIT]]="","-",VLOOKUP(compras_mes11[[#This Row],[CUIT]],Lista_CUIT[#All],2,0)),"CUIT NO CARGADO")</f>
        <v>FARMACIA DE MEDRANO SCS</v>
      </c>
      <c r="H74" s="480">
        <v>95000</v>
      </c>
      <c r="I74" s="481">
        <f>IF(compras_mes11[[#This Row],[NETO GRAVADO]]="","",compras_mes11[[#This Row],[NETO GRAVADO]]*0.21)</f>
        <v>19950</v>
      </c>
      <c r="J74" s="481"/>
      <c r="K74" s="481"/>
      <c r="L74" s="481"/>
      <c r="M74" s="481"/>
      <c r="N74" s="481"/>
      <c r="O74" s="481"/>
      <c r="P74" s="482">
        <f>SUM(compras_mes11[[#This Row],[NETO GRAVADO]:[Otros / No Grav.]])</f>
        <v>114950</v>
      </c>
      <c r="Q74" s="483" t="str">
        <f>IFERROR(IF(compras_mes11[[#This Row],[CUIT]]="","-",VLOOKUP(compras_mes11[[#This Row],[CUIT]],Lista_CUIT[#All],3,0)),"CUIT NO CARGADO")</f>
        <v>Productos Ortopedicos</v>
      </c>
      <c r="R74" s="483">
        <f>IFERROR(IF(compras_mes11[[#This Row],[CUIT]]="","-",VLOOKUP(compras_mes11[[#This Row],[CUIT]],Lista_CUIT[#All],4,0)),"CUIT NO CARGADO")</f>
        <v>0</v>
      </c>
    </row>
    <row r="75" spans="2:18" x14ac:dyDescent="0.25">
      <c r="B75" s="475">
        <v>45245</v>
      </c>
      <c r="C75" s="489">
        <v>1</v>
      </c>
      <c r="D75" s="476">
        <v>7</v>
      </c>
      <c r="E75" s="477">
        <v>16972</v>
      </c>
      <c r="F75" s="478">
        <v>30709214078</v>
      </c>
      <c r="G75" s="479" t="str">
        <f>IFERROR(IF(compras_mes11[[#This Row],[CUIT]]="","-",VLOOKUP(compras_mes11[[#This Row],[CUIT]],Lista_CUIT[#All],2,0)),"CUIT NO CARGADO")</f>
        <v>REHAVITA S.A</v>
      </c>
      <c r="H75" s="480">
        <v>413034</v>
      </c>
      <c r="I75" s="481">
        <f>IF(compras_mes11[[#This Row],[NETO GRAVADO]]="","",compras_mes11[[#This Row],[NETO GRAVADO]]*0.21)</f>
        <v>86737.14</v>
      </c>
      <c r="J75" s="481"/>
      <c r="K75" s="481"/>
      <c r="L75" s="481"/>
      <c r="M75" s="481"/>
      <c r="N75" s="481"/>
      <c r="O75" s="481"/>
      <c r="P75" s="482">
        <f>SUM(compras_mes11[[#This Row],[NETO GRAVADO]:[Otros / No Grav.]])</f>
        <v>499771.14</v>
      </c>
      <c r="Q75" s="483" t="str">
        <f>IFERROR(IF(compras_mes11[[#This Row],[CUIT]]="","-",VLOOKUP(compras_mes11[[#This Row],[CUIT]],Lista_CUIT[#All],3,0)),"CUIT NO CARGADO")</f>
        <v>Productos Ortopedicos</v>
      </c>
      <c r="R75" s="483">
        <f>IFERROR(IF(compras_mes11[[#This Row],[CUIT]]="","-",VLOOKUP(compras_mes11[[#This Row],[CUIT]],Lista_CUIT[#All],4,0)),"CUIT NO CARGADO")</f>
        <v>0</v>
      </c>
    </row>
    <row r="76" spans="2:18" x14ac:dyDescent="0.25">
      <c r="B76" s="475">
        <v>45245</v>
      </c>
      <c r="C76" s="489">
        <v>1</v>
      </c>
      <c r="D76" s="476">
        <v>6</v>
      </c>
      <c r="E76" s="477">
        <v>78334</v>
      </c>
      <c r="F76" s="478">
        <v>30711553564</v>
      </c>
      <c r="G76" s="479" t="str">
        <f>IFERROR(IF(compras_mes11[[#This Row],[CUIT]]="","-",VLOOKUP(compras_mes11[[#This Row],[CUIT]],Lista_CUIT[#All],2,0)),"CUIT NO CARGADO")</f>
        <v>SALUD TEX S.A</v>
      </c>
      <c r="H76" s="480">
        <v>140790</v>
      </c>
      <c r="I76" s="481">
        <f>IF(compras_mes11[[#This Row],[NETO GRAVADO]]="","",compras_mes11[[#This Row],[NETO GRAVADO]]*0.21)</f>
        <v>29565.899999999998</v>
      </c>
      <c r="J76" s="481"/>
      <c r="K76" s="481"/>
      <c r="L76" s="481"/>
      <c r="M76" s="481"/>
      <c r="N76" s="481"/>
      <c r="O76" s="481"/>
      <c r="P76" s="482">
        <f>SUM(compras_mes11[[#This Row],[NETO GRAVADO]:[Otros / No Grav.]])</f>
        <v>170355.9</v>
      </c>
      <c r="Q76" s="483" t="str">
        <f>IFERROR(IF(compras_mes11[[#This Row],[CUIT]]="","-",VLOOKUP(compras_mes11[[#This Row],[CUIT]],Lista_CUIT[#All],3,0)),"CUIT NO CARGADO")</f>
        <v>Productos Ortopedicos</v>
      </c>
      <c r="R76" s="483">
        <f>IFERROR(IF(compras_mes11[[#This Row],[CUIT]]="","-",VLOOKUP(compras_mes11[[#This Row],[CUIT]],Lista_CUIT[#All],4,0)),"CUIT NO CARGADO")</f>
        <v>0</v>
      </c>
    </row>
    <row r="77" spans="2:18" x14ac:dyDescent="0.25">
      <c r="B77" s="475">
        <v>45246</v>
      </c>
      <c r="C77" s="489">
        <v>1</v>
      </c>
      <c r="D77" s="476">
        <v>2</v>
      </c>
      <c r="E77" s="477">
        <v>207</v>
      </c>
      <c r="F77" s="478">
        <v>20272865869</v>
      </c>
      <c r="G77" s="479" t="str">
        <f>IFERROR(IF(compras_mes11[[#This Row],[CUIT]]="","-",VLOOKUP(compras_mes11[[#This Row],[CUIT]],Lista_CUIT[#All],2,0)),"CUIT NO CARGADO")</f>
        <v>DI FEO MARTIN EZEQUIEL</v>
      </c>
      <c r="H77" s="480">
        <v>152555</v>
      </c>
      <c r="I77" s="481">
        <f>IF(compras_mes11[[#This Row],[NETO GRAVADO]]="","",compras_mes11[[#This Row],[NETO GRAVADO]]*0.21)</f>
        <v>32036.55</v>
      </c>
      <c r="J77" s="481"/>
      <c r="K77" s="481"/>
      <c r="L77" s="481"/>
      <c r="M77" s="481"/>
      <c r="N77" s="481"/>
      <c r="O77" s="481"/>
      <c r="P77" s="482">
        <f>SUM(compras_mes11[[#This Row],[NETO GRAVADO]:[Otros / No Grav.]])</f>
        <v>184591.55</v>
      </c>
      <c r="Q77" s="483" t="str">
        <f>IFERROR(IF(compras_mes11[[#This Row],[CUIT]]="","-",VLOOKUP(compras_mes11[[#This Row],[CUIT]],Lista_CUIT[#All],3,0)),"CUIT NO CARGADO")</f>
        <v>Productos Ortopedicos</v>
      </c>
      <c r="R77" s="483">
        <f>IFERROR(IF(compras_mes11[[#This Row],[CUIT]]="","-",VLOOKUP(compras_mes11[[#This Row],[CUIT]],Lista_CUIT[#All],4,0)),"CUIT NO CARGADO")</f>
        <v>0</v>
      </c>
    </row>
    <row r="78" spans="2:18" x14ac:dyDescent="0.25">
      <c r="B78" s="475">
        <v>45246</v>
      </c>
      <c r="C78" s="489">
        <v>1</v>
      </c>
      <c r="D78" s="476">
        <v>5</v>
      </c>
      <c r="E78" s="477">
        <v>1054</v>
      </c>
      <c r="F78" s="478">
        <v>20242126158</v>
      </c>
      <c r="G78" s="479" t="str">
        <f>IFERROR(IF(compras_mes11[[#This Row],[CUIT]]="","-",VLOOKUP(compras_mes11[[#This Row],[CUIT]],Lista_CUIT[#All],2,0)),"CUIT NO CARGADO")</f>
        <v>IALLONARDO SERGIO</v>
      </c>
      <c r="H78" s="480">
        <v>745200</v>
      </c>
      <c r="I78" s="481"/>
      <c r="J78" s="481"/>
      <c r="K78" s="481">
        <v>78246</v>
      </c>
      <c r="L78" s="481"/>
      <c r="M78" s="481"/>
      <c r="N78" s="481"/>
      <c r="O78" s="481"/>
      <c r="P78" s="482">
        <f>SUM(compras_mes11[[#This Row],[NETO GRAVADO]:[Otros / No Grav.]])</f>
        <v>823446</v>
      </c>
      <c r="Q78" s="483" t="str">
        <f>IFERROR(IF(compras_mes11[[#This Row],[CUIT]]="","-",VLOOKUP(compras_mes11[[#This Row],[CUIT]],Lista_CUIT[#All],3,0)),"CUIT NO CARGADO")</f>
        <v>PROD ORTOP P/ALQ</v>
      </c>
      <c r="R78" s="483">
        <f>IFERROR(IF(compras_mes11[[#This Row],[CUIT]]="","-",VLOOKUP(compras_mes11[[#This Row],[CUIT]],Lista_CUIT[#All],4,0)),"CUIT NO CARGADO")</f>
        <v>0</v>
      </c>
    </row>
    <row r="79" spans="2:18" x14ac:dyDescent="0.25">
      <c r="B79" s="498">
        <v>45246</v>
      </c>
      <c r="C79" s="209">
        <v>1</v>
      </c>
      <c r="D79" s="491">
        <v>3</v>
      </c>
      <c r="E79" s="492">
        <v>6318</v>
      </c>
      <c r="F79" s="493">
        <v>33708218699</v>
      </c>
      <c r="G79" s="494" t="str">
        <f>IFERROR(IF(compras_mes11[[#This Row],[CUIT]]="","-",VLOOKUP(compras_mes11[[#This Row],[CUIT]],Lista_CUIT[#All],2,0)),"CUIT NO CARGADO")</f>
        <v>MANGGINI PABLO Y MANGGINI ULISES SOC. DE HECHO.</v>
      </c>
      <c r="H79" s="495">
        <v>5500</v>
      </c>
      <c r="I79" s="496">
        <f>IF(compras_mes11[[#This Row],[NETO GRAVADO]]="","",compras_mes11[[#This Row],[NETO GRAVADO]]*0.21)</f>
        <v>1155</v>
      </c>
      <c r="J79" s="496"/>
      <c r="K79" s="496"/>
      <c r="L79" s="496"/>
      <c r="M79" s="496"/>
      <c r="N79" s="496"/>
      <c r="O79" s="496"/>
      <c r="P79" s="490">
        <f>SUM(compras_mes11[[#This Row],[NETO GRAVADO]:[Otros / No Grav.]])</f>
        <v>6655</v>
      </c>
      <c r="Q79" s="497" t="str">
        <f>IFERROR(IF(compras_mes11[[#This Row],[CUIT]]="","-",VLOOKUP(compras_mes11[[#This Row],[CUIT]],Lista_CUIT[#All],3,0)),"CUIT NO CARGADO")</f>
        <v>Gastos Varios</v>
      </c>
      <c r="R79" s="497">
        <f>IFERROR(IF(compras_mes11[[#This Row],[CUIT]]="","-",VLOOKUP(compras_mes11[[#This Row],[CUIT]],Lista_CUIT[#All],4,0)),"CUIT NO CARGADO")</f>
        <v>0</v>
      </c>
    </row>
    <row r="80" spans="2:18" x14ac:dyDescent="0.25">
      <c r="B80" s="498">
        <v>45247</v>
      </c>
      <c r="C80" s="209">
        <v>1</v>
      </c>
      <c r="D80" s="491">
        <v>1</v>
      </c>
      <c r="E80" s="492">
        <v>696</v>
      </c>
      <c r="F80" s="493">
        <v>30715048066</v>
      </c>
      <c r="G80" s="494" t="str">
        <f>IFERROR(IF(compras_mes11[[#This Row],[CUIT]]="","-",VLOOKUP(compras_mes11[[#This Row],[CUIT]],Lista_CUIT[#All],2,0)),"CUIT NO CARGADO")</f>
        <v>ROLLS Y EMPANADAS SA</v>
      </c>
      <c r="H80" s="495">
        <v>473475</v>
      </c>
      <c r="I80" s="496">
        <f>IF(compras_mes11[[#This Row],[NETO GRAVADO]]="","",compras_mes11[[#This Row],[NETO GRAVADO]]*0.21)</f>
        <v>99429.75</v>
      </c>
      <c r="J80" s="496"/>
      <c r="K80" s="496"/>
      <c r="L80" s="496"/>
      <c r="M80" s="496"/>
      <c r="N80" s="496"/>
      <c r="O80" s="496"/>
      <c r="P80" s="490">
        <f>SUM(compras_mes11[[#This Row],[NETO GRAVADO]:[Otros / No Grav.]])</f>
        <v>572904.75</v>
      </c>
      <c r="Q80" s="497" t="str">
        <f>IFERROR(IF(compras_mes11[[#This Row],[CUIT]]="","-",VLOOKUP(compras_mes11[[#This Row],[CUIT]],Lista_CUIT[#All],3,0)),"CUIT NO CARGADO")</f>
        <v>Catering</v>
      </c>
      <c r="R80" s="497">
        <f>IFERROR(IF(compras_mes11[[#This Row],[CUIT]]="","-",VLOOKUP(compras_mes11[[#This Row],[CUIT]],Lista_CUIT[#All],4,0)),"CUIT NO CARGADO")</f>
        <v>0</v>
      </c>
    </row>
    <row r="81" spans="2:18" x14ac:dyDescent="0.25">
      <c r="B81" s="498">
        <v>45247</v>
      </c>
      <c r="C81" s="499">
        <v>1</v>
      </c>
      <c r="D81" s="491">
        <v>9052</v>
      </c>
      <c r="E81" s="492">
        <v>7626</v>
      </c>
      <c r="F81" s="493">
        <v>30678774495</v>
      </c>
      <c r="G81" s="494" t="str">
        <f>IFERROR(IF(compras_mes11[[#This Row],[CUIT]]="","-",VLOOKUP(compras_mes11[[#This Row],[CUIT]],Lista_CUIT[#All],2,0)),"CUIT NO CARGADO")</f>
        <v>OPER. DE EST. DE SERV. SA</v>
      </c>
      <c r="H81" s="495">
        <v>17085.7</v>
      </c>
      <c r="I81" s="496">
        <f>IF(compras_mes11[[#This Row],[NETO GRAVADO]]="","",compras_mes11[[#This Row],[NETO GRAVADO]]*0.21)</f>
        <v>3587.9969999999998</v>
      </c>
      <c r="J81" s="496"/>
      <c r="K81" s="496"/>
      <c r="L81" s="496"/>
      <c r="M81" s="496"/>
      <c r="N81" s="496"/>
      <c r="O81" s="496">
        <v>865.29</v>
      </c>
      <c r="P81" s="490">
        <f>SUM(compras_mes11[[#This Row],[NETO GRAVADO]:[Otros / No Grav.]])</f>
        <v>21538.987000000001</v>
      </c>
      <c r="Q81" s="497" t="str">
        <f>IFERROR(IF(compras_mes11[[#This Row],[CUIT]]="","-",VLOOKUP(compras_mes11[[#This Row],[CUIT]],Lista_CUIT[#All],3,0)),"CUIT NO CARGADO")</f>
        <v>COMBUSTIBLE</v>
      </c>
      <c r="R81" s="497">
        <f>IFERROR(IF(compras_mes11[[#This Row],[CUIT]]="","-",VLOOKUP(compras_mes11[[#This Row],[CUIT]],Lista_CUIT[#All],4,0)),"CUIT NO CARGADO")</f>
        <v>0</v>
      </c>
    </row>
    <row r="82" spans="2:18" x14ac:dyDescent="0.25">
      <c r="B82" s="498">
        <v>45247</v>
      </c>
      <c r="C82" s="209">
        <v>1</v>
      </c>
      <c r="D82" s="491">
        <v>5011</v>
      </c>
      <c r="E82" s="492">
        <v>550981</v>
      </c>
      <c r="F82" s="493">
        <v>30574876474</v>
      </c>
      <c r="G82" s="494" t="str">
        <f>IFERROR(IF(compras_mes11[[#This Row],[CUIT]]="","-",VLOOKUP(compras_mes11[[#This Row],[CUIT]],Lista_CUIT[#All],2,0)),"CUIT NO CARGADO")</f>
        <v>AUTOP. URBANAS SA</v>
      </c>
      <c r="H82" s="495">
        <v>3168.12</v>
      </c>
      <c r="I82" s="496">
        <f>IF(compras_mes11[[#This Row],[NETO GRAVADO]]="","",compras_mes11[[#This Row],[NETO GRAVADO]]*0.21)</f>
        <v>665.3051999999999</v>
      </c>
      <c r="J82" s="496"/>
      <c r="K82" s="496"/>
      <c r="L82" s="496"/>
      <c r="M82" s="496"/>
      <c r="N82" s="496">
        <v>95.04</v>
      </c>
      <c r="O82" s="496">
        <v>316.8</v>
      </c>
      <c r="P82" s="490">
        <f>SUM(compras_mes11[[#This Row],[NETO GRAVADO]:[Otros / No Grav.]])</f>
        <v>4245.2651999999998</v>
      </c>
      <c r="Q82" s="497" t="str">
        <f>IFERROR(IF(compras_mes11[[#This Row],[CUIT]]="","-",VLOOKUP(compras_mes11[[#This Row],[CUIT]],Lista_CUIT[#All],3,0)),"CUIT NO CARGADO")</f>
        <v>PEAJE</v>
      </c>
      <c r="R82" s="497">
        <f>IFERROR(IF(compras_mes11[[#This Row],[CUIT]]="","-",VLOOKUP(compras_mes11[[#This Row],[CUIT]],Lista_CUIT[#All],4,0)),"CUIT NO CARGADO")</f>
        <v>0</v>
      </c>
    </row>
    <row r="83" spans="2:18" x14ac:dyDescent="0.25">
      <c r="B83" s="498">
        <v>45247</v>
      </c>
      <c r="C83" s="209">
        <v>1</v>
      </c>
      <c r="D83" s="491">
        <v>5009</v>
      </c>
      <c r="E83" s="492">
        <v>803686</v>
      </c>
      <c r="F83" s="493">
        <v>30574876474</v>
      </c>
      <c r="G83" s="494" t="str">
        <f>IFERROR(IF(compras_mes11[[#This Row],[CUIT]]="","-",VLOOKUP(compras_mes11[[#This Row],[CUIT]],Lista_CUIT[#All],2,0)),"CUIT NO CARGADO")</f>
        <v>AUTOP. URBANAS SA</v>
      </c>
      <c r="H83" s="495">
        <v>1262.01</v>
      </c>
      <c r="I83" s="496">
        <f>IF(compras_mes11[[#This Row],[NETO GRAVADO]]="","",compras_mes11[[#This Row],[NETO GRAVADO]]*0.21)</f>
        <v>265.02209999999997</v>
      </c>
      <c r="J83" s="496"/>
      <c r="K83" s="496"/>
      <c r="L83" s="496"/>
      <c r="M83" s="496"/>
      <c r="N83" s="496"/>
      <c r="O83" s="496">
        <v>126.2</v>
      </c>
      <c r="P83" s="490">
        <f>SUM(compras_mes11[[#This Row],[NETO GRAVADO]:[Otros / No Grav.]])</f>
        <v>1653.2320999999999</v>
      </c>
      <c r="Q83" s="497" t="str">
        <f>IFERROR(IF(compras_mes11[[#This Row],[CUIT]]="","-",VLOOKUP(compras_mes11[[#This Row],[CUIT]],Lista_CUIT[#All],3,0)),"CUIT NO CARGADO")</f>
        <v>PEAJE</v>
      </c>
      <c r="R83" s="497">
        <f>IFERROR(IF(compras_mes11[[#This Row],[CUIT]]="","-",VLOOKUP(compras_mes11[[#This Row],[CUIT]],Lista_CUIT[#All],4,0)),"CUIT NO CARGADO")</f>
        <v>0</v>
      </c>
    </row>
    <row r="84" spans="2:18" x14ac:dyDescent="0.25">
      <c r="B84" s="498">
        <v>45247</v>
      </c>
      <c r="C84" s="209">
        <v>1</v>
      </c>
      <c r="D84" s="491">
        <v>711</v>
      </c>
      <c r="E84" s="492">
        <v>5004096</v>
      </c>
      <c r="F84" s="493">
        <v>30677237119</v>
      </c>
      <c r="G84" s="494" t="str">
        <f>IFERROR(IF(compras_mes11[[#This Row],[CUIT]]="","-",VLOOKUP(compras_mes11[[#This Row],[CUIT]],Lista_CUIT[#All],2,0)),"CUIT NO CARGADO")</f>
        <v>AUTOPISTAS DEL SOL SA</v>
      </c>
      <c r="H84" s="495">
        <v>1446.29</v>
      </c>
      <c r="I84" s="496">
        <f>IF(compras_mes11[[#This Row],[NETO GRAVADO]]="","",compras_mes11[[#This Row],[NETO GRAVADO]]*0.21)</f>
        <v>303.72089999999997</v>
      </c>
      <c r="J84" s="496"/>
      <c r="K84" s="496"/>
      <c r="L84" s="496"/>
      <c r="M84" s="496"/>
      <c r="N84" s="496">
        <v>57.85</v>
      </c>
      <c r="O84" s="496"/>
      <c r="P84" s="490">
        <f>SUM(compras_mes11[[#This Row],[NETO GRAVADO]:[Otros / No Grav.]])</f>
        <v>1807.8608999999999</v>
      </c>
      <c r="Q84" s="497" t="str">
        <f>IFERROR(IF(compras_mes11[[#This Row],[CUIT]]="","-",VLOOKUP(compras_mes11[[#This Row],[CUIT]],Lista_CUIT[#All],3,0)),"CUIT NO CARGADO")</f>
        <v>Autopista</v>
      </c>
      <c r="R84" s="497">
        <f>IFERROR(IF(compras_mes11[[#This Row],[CUIT]]="","-",VLOOKUP(compras_mes11[[#This Row],[CUIT]],Lista_CUIT[#All],4,0)),"CUIT NO CARGADO")</f>
        <v>0</v>
      </c>
    </row>
    <row r="85" spans="2:18" x14ac:dyDescent="0.25">
      <c r="B85" s="475">
        <v>45248</v>
      </c>
      <c r="C85" s="489">
        <v>1</v>
      </c>
      <c r="D85" s="476">
        <v>4264</v>
      </c>
      <c r="E85" s="477">
        <v>3036168</v>
      </c>
      <c r="F85" s="478">
        <v>30639453738</v>
      </c>
      <c r="G85" s="479" t="str">
        <f>IFERROR(IF(compras_mes11[[#This Row],[CUIT]]="","-",VLOOKUP(compras_mes11[[#This Row],[CUIT]],Lista_CUIT[#All],2,0)),"CUIT NO CARGADO")</f>
        <v>TELECOM ARGENTINA SA</v>
      </c>
      <c r="H85" s="480">
        <v>23652.9</v>
      </c>
      <c r="I85" s="481">
        <f>IF(compras_mes11[[#This Row],[NETO GRAVADO]]="","",compras_mes11[[#This Row],[NETO GRAVADO]]*0.21)</f>
        <v>4967.1090000000004</v>
      </c>
      <c r="J85" s="481"/>
      <c r="K85" s="481"/>
      <c r="L85" s="481"/>
      <c r="M85" s="481"/>
      <c r="N85" s="481">
        <v>1655.69</v>
      </c>
      <c r="O85" s="481"/>
      <c r="P85" s="482">
        <f>SUM(compras_mes11[[#This Row],[NETO GRAVADO]:[Otros / No Grav.]])</f>
        <v>30275.699000000001</v>
      </c>
      <c r="Q85" s="483" t="str">
        <f>IFERROR(IF(compras_mes11[[#This Row],[CUIT]]="","-",VLOOKUP(compras_mes11[[#This Row],[CUIT]],Lista_CUIT[#All],3,0)),"CUIT NO CARGADO")</f>
        <v>TELEFONIA</v>
      </c>
      <c r="R85" s="483">
        <f>IFERROR(IF(compras_mes11[[#This Row],[CUIT]]="","-",VLOOKUP(compras_mes11[[#This Row],[CUIT]],Lista_CUIT[#All],4,0)),"CUIT NO CARGADO")</f>
        <v>0</v>
      </c>
    </row>
    <row r="86" spans="2:18" x14ac:dyDescent="0.25">
      <c r="B86" s="498">
        <v>45250</v>
      </c>
      <c r="C86" s="209">
        <v>1</v>
      </c>
      <c r="D86" s="491">
        <v>3014</v>
      </c>
      <c r="E86" s="492">
        <v>2581</v>
      </c>
      <c r="F86" s="493">
        <v>30708736186</v>
      </c>
      <c r="G86" s="494" t="str">
        <f>IFERROR(IF(compras_mes11[[#This Row],[CUIT]]="","-",VLOOKUP(compras_mes11[[#This Row],[CUIT]],Lista_CUIT[#All],2,0)),"CUIT NO CARGADO")</f>
        <v>COMERCIALIZADORA MORRES SA</v>
      </c>
      <c r="H86" s="495">
        <v>37279.81</v>
      </c>
      <c r="I86" s="496">
        <v>10.41</v>
      </c>
      <c r="J86" s="496"/>
      <c r="K86" s="496">
        <v>3909.17</v>
      </c>
      <c r="L86" s="496"/>
      <c r="M86" s="496"/>
      <c r="N86" s="496">
        <v>1491.19</v>
      </c>
      <c r="O86" s="496"/>
      <c r="P86" s="490">
        <f>SUM(compras_mes11[[#This Row],[NETO GRAVADO]:[Otros / No Grav.]])</f>
        <v>42690.58</v>
      </c>
      <c r="Q86" s="497" t="str">
        <f>IFERROR(IF(compras_mes11[[#This Row],[CUIT]]="","-",VLOOKUP(compras_mes11[[#This Row],[CUIT]],Lista_CUIT[#All],3,0)),"CUIT NO CARGADO")</f>
        <v>Gastos Varios</v>
      </c>
      <c r="R86" s="497">
        <f>IFERROR(IF(compras_mes11[[#This Row],[CUIT]]="","-",VLOOKUP(compras_mes11[[#This Row],[CUIT]],Lista_CUIT[#All],4,0)),"CUIT NO CARGADO")</f>
        <v>0</v>
      </c>
    </row>
    <row r="87" spans="2:18" x14ac:dyDescent="0.25">
      <c r="B87" s="475">
        <v>45251</v>
      </c>
      <c r="C87" s="489">
        <v>1</v>
      </c>
      <c r="D87" s="476">
        <v>3</v>
      </c>
      <c r="E87" s="477">
        <v>114</v>
      </c>
      <c r="F87" s="478">
        <v>20334976433</v>
      </c>
      <c r="G87" s="479" t="str">
        <f>IFERROR(IF(compras_mes11[[#This Row],[CUIT]]="","-",VLOOKUP(compras_mes11[[#This Row],[CUIT]],Lista_CUIT[#All],2,0)),"CUIT NO CARGADO")</f>
        <v>NARDOMARINO EZEQUIEL EDUARDO</v>
      </c>
      <c r="H87" s="480">
        <v>221016.52</v>
      </c>
      <c r="I87" s="481">
        <f>IF(compras_mes11[[#This Row],[NETO GRAVADO]]="","",compras_mes11[[#This Row],[NETO GRAVADO]]*0.21)</f>
        <v>46413.4692</v>
      </c>
      <c r="J87" s="481"/>
      <c r="K87" s="481"/>
      <c r="L87" s="481"/>
      <c r="M87" s="481"/>
      <c r="N87" s="481"/>
      <c r="O87" s="481"/>
      <c r="P87" s="482">
        <f>SUM(compras_mes11[[#This Row],[NETO GRAVADO]:[Otros / No Grav.]])</f>
        <v>267429.98920000001</v>
      </c>
      <c r="Q87" s="483" t="str">
        <f>IFERROR(IF(compras_mes11[[#This Row],[CUIT]]="","-",VLOOKUP(compras_mes11[[#This Row],[CUIT]],Lista_CUIT[#All],3,0)),"CUIT NO CARGADO")</f>
        <v>FLETE</v>
      </c>
      <c r="R87" s="483">
        <f>IFERROR(IF(compras_mes11[[#This Row],[CUIT]]="","-",VLOOKUP(compras_mes11[[#This Row],[CUIT]],Lista_CUIT[#All],4,0)),"CUIT NO CARGADO")</f>
        <v>0</v>
      </c>
    </row>
    <row r="88" spans="2:18" x14ac:dyDescent="0.25">
      <c r="B88" s="475">
        <v>45251</v>
      </c>
      <c r="C88" s="489">
        <v>1</v>
      </c>
      <c r="D88" s="476">
        <v>2</v>
      </c>
      <c r="E88" s="477">
        <v>797</v>
      </c>
      <c r="F88" s="478">
        <v>20140958213</v>
      </c>
      <c r="G88" s="479" t="str">
        <f>IFERROR(IF(compras_mes11[[#This Row],[CUIT]]="","-",VLOOKUP(compras_mes11[[#This Row],[CUIT]],Lista_CUIT[#All],2,0)),"CUIT NO CARGADO")</f>
        <v>ESPAÑA ALEJANDRO JORGE</v>
      </c>
      <c r="H88" s="480">
        <v>18151</v>
      </c>
      <c r="I88" s="481">
        <f>IF(compras_mes11[[#This Row],[NETO GRAVADO]]="","",compras_mes11[[#This Row],[NETO GRAVADO]]*0.21)</f>
        <v>3811.71</v>
      </c>
      <c r="J88" s="481"/>
      <c r="K88" s="481"/>
      <c r="L88" s="481"/>
      <c r="M88" s="481"/>
      <c r="N88" s="481"/>
      <c r="O88" s="481"/>
      <c r="P88" s="482">
        <f>SUM(compras_mes11[[#This Row],[NETO GRAVADO]:[Otros / No Grav.]])</f>
        <v>21962.71</v>
      </c>
      <c r="Q88" s="483" t="str">
        <f>IFERROR(IF(compras_mes11[[#This Row],[CUIT]]="","-",VLOOKUP(compras_mes11[[#This Row],[CUIT]],Lista_CUIT[#All],3,0)),"CUIT NO CARGADO")</f>
        <v>Productos Ortopedicos</v>
      </c>
      <c r="R88" s="483">
        <f>IFERROR(IF(compras_mes11[[#This Row],[CUIT]]="","-",VLOOKUP(compras_mes11[[#This Row],[CUIT]],Lista_CUIT[#All],4,0)),"CUIT NO CARGADO")</f>
        <v>0</v>
      </c>
    </row>
    <row r="89" spans="2:18" x14ac:dyDescent="0.25">
      <c r="B89" s="498">
        <v>45251</v>
      </c>
      <c r="C89" s="209">
        <v>1</v>
      </c>
      <c r="D89" s="491">
        <v>2</v>
      </c>
      <c r="E89" s="492">
        <v>7468</v>
      </c>
      <c r="F89" s="493">
        <v>30694549817</v>
      </c>
      <c r="G89" s="494" t="str">
        <f>IFERROR(IF(compras_mes11[[#This Row],[CUIT]]="","-",VLOOKUP(compras_mes11[[#This Row],[CUIT]],Lista_CUIT[#All],2,0)),"CUIT NO CARGADO")</f>
        <v>DISEÑOS JERY SRL</v>
      </c>
      <c r="H89" s="495">
        <v>126162.08</v>
      </c>
      <c r="I89" s="496">
        <f>IF(compras_mes11[[#This Row],[NETO GRAVADO]]="","",compras_mes11[[#This Row],[NETO GRAVADO]]*0.21)</f>
        <v>26494.036799999998</v>
      </c>
      <c r="J89" s="496"/>
      <c r="K89" s="496"/>
      <c r="L89" s="496"/>
      <c r="M89" s="496"/>
      <c r="N89" s="496"/>
      <c r="O89" s="496"/>
      <c r="P89" s="490">
        <f>SUM(compras_mes11[[#This Row],[NETO GRAVADO]:[Otros / No Grav.]])</f>
        <v>152656.11679999999</v>
      </c>
      <c r="Q89" s="497" t="str">
        <f>IFERROR(IF(compras_mes11[[#This Row],[CUIT]]="","-",VLOOKUP(compras_mes11[[#This Row],[CUIT]],Lista_CUIT[#All],3,0)),"CUIT NO CARGADO")</f>
        <v>Productos Ortopedicos</v>
      </c>
      <c r="R89" s="497">
        <f>IFERROR(IF(compras_mes11[[#This Row],[CUIT]]="","-",VLOOKUP(compras_mes11[[#This Row],[CUIT]],Lista_CUIT[#All],4,0)),"CUIT NO CARGADO")</f>
        <v>0</v>
      </c>
    </row>
    <row r="90" spans="2:18" x14ac:dyDescent="0.25">
      <c r="B90" s="498">
        <v>45252</v>
      </c>
      <c r="C90" s="209">
        <v>1</v>
      </c>
      <c r="D90" s="491">
        <v>2635</v>
      </c>
      <c r="E90" s="492">
        <v>1178</v>
      </c>
      <c r="F90" s="493">
        <v>33699685459</v>
      </c>
      <c r="G90" s="494" t="str">
        <f>IFERROR(IF(compras_mes11[[#This Row],[CUIT]]="","-",VLOOKUP(compras_mes11[[#This Row],[CUIT]],Lista_CUIT[#All],2,0)),"CUIT NO CARGADO")</f>
        <v>CORREO ANDREANI SA</v>
      </c>
      <c r="H90" s="495">
        <v>5701.72</v>
      </c>
      <c r="I90" s="496">
        <f>IF(compras_mes11[[#This Row],[NETO GRAVADO]]="","",compras_mes11[[#This Row],[NETO GRAVADO]]*0.21)</f>
        <v>1197.3612000000001</v>
      </c>
      <c r="J90" s="496"/>
      <c r="K90" s="496"/>
      <c r="L90" s="496"/>
      <c r="M90" s="496"/>
      <c r="N90" s="496"/>
      <c r="O90" s="496"/>
      <c r="P90" s="490">
        <f>SUM(compras_mes11[[#This Row],[NETO GRAVADO]:[Otros / No Grav.]])</f>
        <v>6899.0812000000005</v>
      </c>
      <c r="Q90" s="497" t="str">
        <f>IFERROR(IF(compras_mes11[[#This Row],[CUIT]]="","-",VLOOKUP(compras_mes11[[#This Row],[CUIT]],Lista_CUIT[#All],3,0)),"CUIT NO CARGADO")</f>
        <v>FLETE</v>
      </c>
      <c r="R90" s="497">
        <f>IFERROR(IF(compras_mes11[[#This Row],[CUIT]]="","-",VLOOKUP(compras_mes11[[#This Row],[CUIT]],Lista_CUIT[#All],4,0)),"CUIT NO CARGADO")</f>
        <v>0</v>
      </c>
    </row>
    <row r="91" spans="2:18" x14ac:dyDescent="0.25">
      <c r="B91" s="498">
        <v>45252</v>
      </c>
      <c r="C91" s="499">
        <v>1</v>
      </c>
      <c r="D91" s="491">
        <v>9040</v>
      </c>
      <c r="E91" s="492">
        <v>18987</v>
      </c>
      <c r="F91" s="493">
        <v>30678774495</v>
      </c>
      <c r="G91" s="494" t="str">
        <f>IFERROR(IF(compras_mes11[[#This Row],[CUIT]]="","-",VLOOKUP(compras_mes11[[#This Row],[CUIT]],Lista_CUIT[#All],2,0)),"CUIT NO CARGADO")</f>
        <v>OPER. DE EST. DE SERV. SA</v>
      </c>
      <c r="H91" s="495">
        <v>12514.59</v>
      </c>
      <c r="I91" s="496">
        <f>IF(compras_mes11[[#This Row],[NETO GRAVADO]]="","",compras_mes11[[#This Row],[NETO GRAVADO]]*0.21)</f>
        <v>2628.0639000000001</v>
      </c>
      <c r="J91" s="496"/>
      <c r="K91" s="496"/>
      <c r="L91" s="496"/>
      <c r="M91" s="496"/>
      <c r="N91" s="496"/>
      <c r="O91" s="496">
        <v>644.34</v>
      </c>
      <c r="P91" s="490">
        <f>SUM(compras_mes11[[#This Row],[NETO GRAVADO]:[Otros / No Grav.]])</f>
        <v>15786.993900000001</v>
      </c>
      <c r="Q91" s="497" t="str">
        <f>IFERROR(IF(compras_mes11[[#This Row],[CUIT]]="","-",VLOOKUP(compras_mes11[[#This Row],[CUIT]],Lista_CUIT[#All],3,0)),"CUIT NO CARGADO")</f>
        <v>COMBUSTIBLE</v>
      </c>
      <c r="R91" s="497">
        <f>IFERROR(IF(compras_mes11[[#This Row],[CUIT]]="","-",VLOOKUP(compras_mes11[[#This Row],[CUIT]],Lista_CUIT[#All],4,0)),"CUIT NO CARGADO")</f>
        <v>0</v>
      </c>
    </row>
    <row r="92" spans="2:18" x14ac:dyDescent="0.25">
      <c r="B92" s="498">
        <v>45252</v>
      </c>
      <c r="C92" s="209">
        <v>1</v>
      </c>
      <c r="D92" s="491">
        <v>105</v>
      </c>
      <c r="E92" s="492">
        <v>1377245</v>
      </c>
      <c r="F92" s="493">
        <v>30537882871</v>
      </c>
      <c r="G92" s="494" t="str">
        <f>IFERROR(IF(compras_mes11[[#This Row],[CUIT]]="","-",VLOOKUP(compras_mes11[[#This Row],[CUIT]],Lista_CUIT[#All],2,0)),"CUIT NO CARGADO")</f>
        <v>EL JUMILIANO SA</v>
      </c>
      <c r="H92" s="495">
        <v>3851.24</v>
      </c>
      <c r="I92" s="496">
        <f>IF(compras_mes11[[#This Row],[NETO GRAVADO]]="","",compras_mes11[[#This Row],[NETO GRAVADO]]*0.21)</f>
        <v>808.76039999999989</v>
      </c>
      <c r="J92" s="496"/>
      <c r="K92" s="496"/>
      <c r="L92" s="496"/>
      <c r="M92" s="496"/>
      <c r="N92" s="496">
        <v>154.05000000000001</v>
      </c>
      <c r="O92" s="496"/>
      <c r="P92" s="490">
        <f>SUM(compras_mes11[[#This Row],[NETO GRAVADO]:[Otros / No Grav.]])</f>
        <v>4814.0504000000001</v>
      </c>
      <c r="Q92" s="497" t="str">
        <f>IFERROR(IF(compras_mes11[[#This Row],[CUIT]]="","-",VLOOKUP(compras_mes11[[#This Row],[CUIT]],Lista_CUIT[#All],3,0)),"CUIT NO CARGADO")</f>
        <v>SERVICIOS</v>
      </c>
      <c r="R92" s="497">
        <f>IFERROR(IF(compras_mes11[[#This Row],[CUIT]]="","-",VLOOKUP(compras_mes11[[#This Row],[CUIT]],Lista_CUIT[#All],4,0)),"CUIT NO CARGADO")</f>
        <v>0</v>
      </c>
    </row>
    <row r="93" spans="2:18" x14ac:dyDescent="0.25">
      <c r="B93" s="475">
        <v>45253</v>
      </c>
      <c r="C93" s="489">
        <v>1</v>
      </c>
      <c r="D93" s="476">
        <v>2</v>
      </c>
      <c r="E93" s="477">
        <v>223</v>
      </c>
      <c r="F93" s="478">
        <v>20272865869</v>
      </c>
      <c r="G93" s="479" t="str">
        <f>IFERROR(IF(compras_mes11[[#This Row],[CUIT]]="","-",VLOOKUP(compras_mes11[[#This Row],[CUIT]],Lista_CUIT[#All],2,0)),"CUIT NO CARGADO")</f>
        <v>DI FEO MARTIN EZEQUIEL</v>
      </c>
      <c r="H93" s="480">
        <v>59470.17</v>
      </c>
      <c r="I93" s="481">
        <f>IF(compras_mes11[[#This Row],[NETO GRAVADO]]="","",compras_mes11[[#This Row],[NETO GRAVADO]]*0.21)</f>
        <v>12488.735699999999</v>
      </c>
      <c r="J93" s="481"/>
      <c r="K93" s="481"/>
      <c r="L93" s="481"/>
      <c r="M93" s="481"/>
      <c r="N93" s="481"/>
      <c r="O93" s="481"/>
      <c r="P93" s="482">
        <f>SUM(compras_mes11[[#This Row],[NETO GRAVADO]:[Otros / No Grav.]])</f>
        <v>71958.905700000003</v>
      </c>
      <c r="Q93" s="483" t="str">
        <f>IFERROR(IF(compras_mes11[[#This Row],[CUIT]]="","-",VLOOKUP(compras_mes11[[#This Row],[CUIT]],Lista_CUIT[#All],3,0)),"CUIT NO CARGADO")</f>
        <v>Productos Ortopedicos</v>
      </c>
      <c r="R93" s="483">
        <f>IFERROR(IF(compras_mes11[[#This Row],[CUIT]]="","-",VLOOKUP(compras_mes11[[#This Row],[CUIT]],Lista_CUIT[#All],4,0)),"CUIT NO CARGADO")</f>
        <v>0</v>
      </c>
    </row>
    <row r="94" spans="2:18" x14ac:dyDescent="0.25">
      <c r="B94" s="475">
        <v>45253</v>
      </c>
      <c r="C94" s="489">
        <v>1</v>
      </c>
      <c r="D94" s="476">
        <v>15</v>
      </c>
      <c r="E94" s="477">
        <v>2651</v>
      </c>
      <c r="F94" s="478">
        <v>30688140923</v>
      </c>
      <c r="G94" s="479" t="str">
        <f>IFERROR(IF(compras_mes11[[#This Row],[CUIT]]="","-",VLOOKUP(compras_mes11[[#This Row],[CUIT]],Lista_CUIT[#All],2,0)),"CUIT NO CARGADO")</f>
        <v>COLTEX SRL</v>
      </c>
      <c r="H94" s="480">
        <v>75644.479999999996</v>
      </c>
      <c r="I94" s="481">
        <f>IF(compras_mes11[[#This Row],[NETO GRAVADO]]="","",compras_mes11[[#This Row],[NETO GRAVADO]]*0.21)</f>
        <v>15885.340799999998</v>
      </c>
      <c r="J94" s="481"/>
      <c r="K94" s="481"/>
      <c r="L94" s="481"/>
      <c r="M94" s="481"/>
      <c r="N94" s="481"/>
      <c r="O94" s="481"/>
      <c r="P94" s="482">
        <f>SUM(compras_mes11[[#This Row],[NETO GRAVADO]:[Otros / No Grav.]])</f>
        <v>91529.820799999987</v>
      </c>
      <c r="Q94" s="483" t="str">
        <f>IFERROR(IF(compras_mes11[[#This Row],[CUIT]]="","-",VLOOKUP(compras_mes11[[#This Row],[CUIT]],Lista_CUIT[#All],3,0)),"CUIT NO CARGADO")</f>
        <v>Productos Ortopedicos</v>
      </c>
      <c r="R94" s="483">
        <f>IFERROR(IF(compras_mes11[[#This Row],[CUIT]]="","-",VLOOKUP(compras_mes11[[#This Row],[CUIT]],Lista_CUIT[#All],4,0)),"CUIT NO CARGADO")</f>
        <v>0</v>
      </c>
    </row>
    <row r="95" spans="2:18" x14ac:dyDescent="0.25">
      <c r="B95" s="498">
        <v>45253</v>
      </c>
      <c r="C95" s="209">
        <v>1</v>
      </c>
      <c r="D95" s="491">
        <v>5</v>
      </c>
      <c r="E95" s="492">
        <v>4603</v>
      </c>
      <c r="F95" s="493">
        <v>30715833243</v>
      </c>
      <c r="G95" s="494" t="str">
        <f>IFERROR(IF(compras_mes11[[#This Row],[CUIT]]="","-",VLOOKUP(compras_mes11[[#This Row],[CUIT]],Lista_CUIT[#All],2,0)),"CUIT NO CARGADO")</f>
        <v>BIODINAMICA ASIST E INSUMOS</v>
      </c>
      <c r="H95" s="495">
        <v>20005</v>
      </c>
      <c r="I95" s="496">
        <f>IF(compras_mes11[[#This Row],[NETO GRAVADO]]="","",compras_mes11[[#This Row],[NETO GRAVADO]]*0.21)</f>
        <v>4201.05</v>
      </c>
      <c r="J95" s="496"/>
      <c r="K95" s="496"/>
      <c r="L95" s="496"/>
      <c r="M95" s="496"/>
      <c r="N95" s="496"/>
      <c r="O95" s="496"/>
      <c r="P95" s="490">
        <f>SUM(compras_mes11[[#This Row],[NETO GRAVADO]:[Otros / No Grav.]])</f>
        <v>24206.05</v>
      </c>
      <c r="Q95" s="497" t="str">
        <f>IFERROR(IF(compras_mes11[[#This Row],[CUIT]]="","-",VLOOKUP(compras_mes11[[#This Row],[CUIT]],Lista_CUIT[#All],3,0)),"CUIT NO CARGADO")</f>
        <v>INSUMO</v>
      </c>
      <c r="R95" s="497">
        <f>IFERROR(IF(compras_mes11[[#This Row],[CUIT]]="","-",VLOOKUP(compras_mes11[[#This Row],[CUIT]],Lista_CUIT[#All],4,0)),"CUIT NO CARGADO")</f>
        <v>0</v>
      </c>
    </row>
    <row r="96" spans="2:18" x14ac:dyDescent="0.25">
      <c r="B96" s="498">
        <v>45253</v>
      </c>
      <c r="C96" s="209">
        <v>1</v>
      </c>
      <c r="D96" s="491">
        <v>700</v>
      </c>
      <c r="E96" s="492">
        <v>1288423</v>
      </c>
      <c r="F96" s="493">
        <v>30715804812</v>
      </c>
      <c r="G96" s="494" t="str">
        <f>IFERROR(IF(compras_mes11[[#This Row],[CUIT]]="","-",VLOOKUP(compras_mes11[[#This Row],[CUIT]],Lista_CUIT[#All],2,0)),"CUIT NO CARGADO")</f>
        <v>CORREDORES VIALES SOCIEDAD ANONIMA</v>
      </c>
      <c r="H96" s="495">
        <v>1115.7</v>
      </c>
      <c r="I96" s="496">
        <f>IF(compras_mes11[[#This Row],[NETO GRAVADO]]="","",compras_mes11[[#This Row],[NETO GRAVADO]]*0.21)</f>
        <v>234.297</v>
      </c>
      <c r="J96" s="496"/>
      <c r="K96" s="496"/>
      <c r="L96" s="496"/>
      <c r="M96" s="496"/>
      <c r="N96" s="496"/>
      <c r="O96" s="496"/>
      <c r="P96" s="490">
        <f>SUM(compras_mes11[[#This Row],[NETO GRAVADO]:[Otros / No Grav.]])</f>
        <v>1349.9970000000001</v>
      </c>
      <c r="Q96" s="497" t="str">
        <f>IFERROR(IF(compras_mes11[[#This Row],[CUIT]]="","-",VLOOKUP(compras_mes11[[#This Row],[CUIT]],Lista_CUIT[#All],3,0)),"CUIT NO CARGADO")</f>
        <v>Autopista</v>
      </c>
      <c r="R96" s="497">
        <f>IFERROR(IF(compras_mes11[[#This Row],[CUIT]]="","-",VLOOKUP(compras_mes11[[#This Row],[CUIT]],Lista_CUIT[#All],4,0)),"CUIT NO CARGADO")</f>
        <v>0</v>
      </c>
    </row>
    <row r="97" spans="2:18" x14ac:dyDescent="0.25">
      <c r="B97" s="498">
        <v>45253</v>
      </c>
      <c r="C97" s="209">
        <v>1</v>
      </c>
      <c r="D97" s="491">
        <v>700</v>
      </c>
      <c r="E97" s="492">
        <v>1288424</v>
      </c>
      <c r="F97" s="493">
        <v>30715804812</v>
      </c>
      <c r="G97" s="494" t="str">
        <f>IFERROR(IF(compras_mes11[[#This Row],[CUIT]]="","-",VLOOKUP(compras_mes11[[#This Row],[CUIT]],Lista_CUIT[#All],2,0)),"CUIT NO CARGADO")</f>
        <v>CORREDORES VIALES SOCIEDAD ANONIMA</v>
      </c>
      <c r="H97" s="495">
        <v>991.73</v>
      </c>
      <c r="I97" s="496">
        <f>IF(compras_mes11[[#This Row],[NETO GRAVADO]]="","",compras_mes11[[#This Row],[NETO GRAVADO]]*0.21)</f>
        <v>208.26329999999999</v>
      </c>
      <c r="J97" s="496"/>
      <c r="K97" s="496"/>
      <c r="L97" s="496"/>
      <c r="M97" s="496"/>
      <c r="N97" s="496"/>
      <c r="O97" s="496"/>
      <c r="P97" s="490">
        <f>SUM(compras_mes11[[#This Row],[NETO GRAVADO]:[Otros / No Grav.]])</f>
        <v>1199.9933000000001</v>
      </c>
      <c r="Q97" s="497" t="str">
        <f>IFERROR(IF(compras_mes11[[#This Row],[CUIT]]="","-",VLOOKUP(compras_mes11[[#This Row],[CUIT]],Lista_CUIT[#All],3,0)),"CUIT NO CARGADO")</f>
        <v>Autopista</v>
      </c>
      <c r="R97" s="497">
        <f>IFERROR(IF(compras_mes11[[#This Row],[CUIT]]="","-",VLOOKUP(compras_mes11[[#This Row],[CUIT]],Lista_CUIT[#All],4,0)),"CUIT NO CARGADO")</f>
        <v>0</v>
      </c>
    </row>
    <row r="98" spans="2:18" x14ac:dyDescent="0.25">
      <c r="B98" s="475">
        <v>45254</v>
      </c>
      <c r="C98" s="489">
        <v>3</v>
      </c>
      <c r="D98" s="476">
        <v>2</v>
      </c>
      <c r="E98" s="477">
        <v>17</v>
      </c>
      <c r="F98" s="478">
        <v>20272865869</v>
      </c>
      <c r="G98" s="479" t="str">
        <f>IFERROR(IF(compras_mes11[[#This Row],[CUIT]]="","-",VLOOKUP(compras_mes11[[#This Row],[CUIT]],Lista_CUIT[#All],2,0)),"CUIT NO CARGADO")</f>
        <v>DI FEO MARTIN EZEQUIEL</v>
      </c>
      <c r="H98" s="480">
        <v>-6240</v>
      </c>
      <c r="I98" s="481">
        <f>IF(compras_mes11[[#This Row],[NETO GRAVADO]]="","",compras_mes11[[#This Row],[NETO GRAVADO]]*0.21)</f>
        <v>-1310.3999999999999</v>
      </c>
      <c r="J98" s="481"/>
      <c r="K98" s="481"/>
      <c r="L98" s="481"/>
      <c r="M98" s="481"/>
      <c r="N98" s="481"/>
      <c r="O98" s="481"/>
      <c r="P98" s="482">
        <f>SUM(compras_mes11[[#This Row],[NETO GRAVADO]:[Otros / No Grav.]])</f>
        <v>-7550.4</v>
      </c>
      <c r="Q98" s="483" t="str">
        <f>IFERROR(IF(compras_mes11[[#This Row],[CUIT]]="","-",VLOOKUP(compras_mes11[[#This Row],[CUIT]],Lista_CUIT[#All],3,0)),"CUIT NO CARGADO")</f>
        <v>Productos Ortopedicos</v>
      </c>
      <c r="R98" s="483">
        <f>IFERROR(IF(compras_mes11[[#This Row],[CUIT]]="","-",VLOOKUP(compras_mes11[[#This Row],[CUIT]],Lista_CUIT[#All],4,0)),"CUIT NO CARGADO")</f>
        <v>0</v>
      </c>
    </row>
    <row r="99" spans="2:18" s="56" customFormat="1" ht="18.600000000000001" customHeight="1" x14ac:dyDescent="0.25">
      <c r="B99" s="475">
        <v>45254</v>
      </c>
      <c r="C99" s="489">
        <v>1</v>
      </c>
      <c r="D99" s="476">
        <v>2</v>
      </c>
      <c r="E99" s="477">
        <v>227</v>
      </c>
      <c r="F99" s="478">
        <v>20272865869</v>
      </c>
      <c r="G99" s="479" t="str">
        <f>IFERROR(IF(compras_mes11[[#This Row],[CUIT]]="","-",VLOOKUP(compras_mes11[[#This Row],[CUIT]],Lista_CUIT[#All],2,0)),"CUIT NO CARGADO")</f>
        <v>DI FEO MARTIN EZEQUIEL</v>
      </c>
      <c r="H99" s="480">
        <v>7050</v>
      </c>
      <c r="I99" s="481">
        <f>IF(compras_mes11[[#This Row],[NETO GRAVADO]]="","",compras_mes11[[#This Row],[NETO GRAVADO]]*0.21)</f>
        <v>1480.5</v>
      </c>
      <c r="J99" s="481"/>
      <c r="K99" s="481"/>
      <c r="L99" s="481"/>
      <c r="M99" s="481"/>
      <c r="N99" s="481"/>
      <c r="O99" s="481"/>
      <c r="P99" s="482">
        <f>SUM(compras_mes11[[#This Row],[NETO GRAVADO]:[Otros / No Grav.]])</f>
        <v>8530.5</v>
      </c>
      <c r="Q99" s="483" t="str">
        <f>IFERROR(IF(compras_mes11[[#This Row],[CUIT]]="","-",VLOOKUP(compras_mes11[[#This Row],[CUIT]],Lista_CUIT[#All],3,0)),"CUIT NO CARGADO")</f>
        <v>Productos Ortopedicos</v>
      </c>
      <c r="R99" s="483">
        <f>IFERROR(IF(compras_mes11[[#This Row],[CUIT]]="","-",VLOOKUP(compras_mes11[[#This Row],[CUIT]],Lista_CUIT[#All],4,0)),"CUIT NO CARGADO")</f>
        <v>0</v>
      </c>
    </row>
    <row r="100" spans="2:18" x14ac:dyDescent="0.25">
      <c r="B100" s="475">
        <v>45254</v>
      </c>
      <c r="C100" s="489">
        <v>1</v>
      </c>
      <c r="D100" s="476">
        <v>1001</v>
      </c>
      <c r="E100" s="477">
        <v>330</v>
      </c>
      <c r="F100" s="478">
        <v>30707370552</v>
      </c>
      <c r="G100" s="479" t="str">
        <f>IFERROR(IF(compras_mes11[[#This Row],[CUIT]]="","-",VLOOKUP(compras_mes11[[#This Row],[CUIT]],Lista_CUIT[#All],2,0)),"CUIT NO CARGADO")</f>
        <v>RAKE SA</v>
      </c>
      <c r="H100" s="480">
        <v>393140.5</v>
      </c>
      <c r="I100" s="481">
        <f>IF(compras_mes11[[#This Row],[NETO GRAVADO]]="","",compras_mes11[[#This Row],[NETO GRAVADO]]*0.21)</f>
        <v>82559.50499999999</v>
      </c>
      <c r="J100" s="481"/>
      <c r="K100" s="481"/>
      <c r="L100" s="481"/>
      <c r="M100" s="481"/>
      <c r="N100" s="481"/>
      <c r="O100" s="481"/>
      <c r="P100" s="482">
        <f>SUM(compras_mes11[[#This Row],[NETO GRAVADO]:[Otros / No Grav.]])</f>
        <v>475700.005</v>
      </c>
      <c r="Q100" s="483" t="str">
        <f>IFERROR(IF(compras_mes11[[#This Row],[CUIT]]="","-",VLOOKUP(compras_mes11[[#This Row],[CUIT]],Lista_CUIT[#All],3,0)),"CUIT NO CARGADO")</f>
        <v>Alquileres</v>
      </c>
      <c r="R100" s="483">
        <f>IFERROR(IF(compras_mes11[[#This Row],[CUIT]]="","-",VLOOKUP(compras_mes11[[#This Row],[CUIT]],Lista_CUIT[#All],4,0)),"CUIT NO CARGADO")</f>
        <v>0</v>
      </c>
    </row>
    <row r="101" spans="2:18" x14ac:dyDescent="0.25">
      <c r="B101" s="475">
        <v>45254</v>
      </c>
      <c r="C101" s="489">
        <v>1</v>
      </c>
      <c r="D101" s="476">
        <v>1001</v>
      </c>
      <c r="E101" s="477">
        <v>331</v>
      </c>
      <c r="F101" s="478">
        <v>30707370552</v>
      </c>
      <c r="G101" s="479" t="str">
        <f>IFERROR(IF(compras_mes11[[#This Row],[CUIT]]="","-",VLOOKUP(compras_mes11[[#This Row],[CUIT]],Lista_CUIT[#All],2,0)),"CUIT NO CARGADO")</f>
        <v>RAKE SA</v>
      </c>
      <c r="H101" s="480">
        <v>479338.84</v>
      </c>
      <c r="I101" s="481">
        <f>IF(compras_mes11[[#This Row],[NETO GRAVADO]]="","",compras_mes11[[#This Row],[NETO GRAVADO]]*0.21)</f>
        <v>100661.15640000001</v>
      </c>
      <c r="J101" s="481"/>
      <c r="K101" s="481"/>
      <c r="L101" s="481"/>
      <c r="M101" s="481"/>
      <c r="N101" s="481"/>
      <c r="O101" s="481"/>
      <c r="P101" s="482">
        <f>SUM(compras_mes11[[#This Row],[NETO GRAVADO]:[Otros / No Grav.]])</f>
        <v>579999.99640000006</v>
      </c>
      <c r="Q101" s="483" t="str">
        <f>IFERROR(IF(compras_mes11[[#This Row],[CUIT]]="","-",VLOOKUP(compras_mes11[[#This Row],[CUIT]],Lista_CUIT[#All],3,0)),"CUIT NO CARGADO")</f>
        <v>Alquileres</v>
      </c>
      <c r="R101" s="483">
        <f>IFERROR(IF(compras_mes11[[#This Row],[CUIT]]="","-",VLOOKUP(compras_mes11[[#This Row],[CUIT]],Lista_CUIT[#All],4,0)),"CUIT NO CARGADO")</f>
        <v>0</v>
      </c>
    </row>
    <row r="102" spans="2:18" x14ac:dyDescent="0.25">
      <c r="B102" s="475">
        <v>45254</v>
      </c>
      <c r="C102" s="489">
        <v>1</v>
      </c>
      <c r="D102" s="476">
        <v>7</v>
      </c>
      <c r="E102" s="477">
        <v>28119</v>
      </c>
      <c r="F102" s="478">
        <v>20271532483</v>
      </c>
      <c r="G102" s="479" t="str">
        <f>IFERROR(IF(compras_mes11[[#This Row],[CUIT]]="","-",VLOOKUP(compras_mes11[[#This Row],[CUIT]],Lista_CUIT[#All],2,0)),"CUIT NO CARGADO")</f>
        <v>DIEGO MARTIN RIOS</v>
      </c>
      <c r="H102" s="480">
        <v>2496513.6</v>
      </c>
      <c r="I102" s="481">
        <f>IF(compras_mes11[[#This Row],[NETO GRAVADO]]="","",compras_mes11[[#This Row],[NETO GRAVADO]]*0.21)</f>
        <v>524267.85600000003</v>
      </c>
      <c r="J102" s="481"/>
      <c r="K102" s="481"/>
      <c r="L102" s="481"/>
      <c r="M102" s="481"/>
      <c r="N102" s="481">
        <v>99860.54</v>
      </c>
      <c r="O102" s="481"/>
      <c r="P102" s="482">
        <f>SUM(compras_mes11[[#This Row],[NETO GRAVADO]:[Otros / No Grav.]])</f>
        <v>3120641.9960000003</v>
      </c>
      <c r="Q102" s="483" t="str">
        <f>IFERROR(IF(compras_mes11[[#This Row],[CUIT]]="","-",VLOOKUP(compras_mes11[[#This Row],[CUIT]],Lista_CUIT[#All],3,0)),"CUIT NO CARGADO")</f>
        <v>Productos Ortopedicos</v>
      </c>
      <c r="R102" s="483">
        <f>IFERROR(IF(compras_mes11[[#This Row],[CUIT]]="","-",VLOOKUP(compras_mes11[[#This Row],[CUIT]],Lista_CUIT[#All],4,0)),"CUIT NO CARGADO")</f>
        <v>0</v>
      </c>
    </row>
    <row r="103" spans="2:18" ht="14.45" customHeight="1" x14ac:dyDescent="0.25">
      <c r="B103" s="475">
        <v>45254</v>
      </c>
      <c r="C103" s="489">
        <v>1</v>
      </c>
      <c r="D103" s="476">
        <v>5</v>
      </c>
      <c r="E103" s="477">
        <v>2909810</v>
      </c>
      <c r="F103" s="478">
        <v>30702652975</v>
      </c>
      <c r="G103" s="479" t="str">
        <f>IFERROR(IF(compras_mes11[[#This Row],[CUIT]]="","-",VLOOKUP(compras_mes11[[#This Row],[CUIT]],Lista_CUIT[#All],2,0)),"CUIT NO CARGADO")</f>
        <v>NSS SA</v>
      </c>
      <c r="H103" s="480">
        <v>12343.55</v>
      </c>
      <c r="I103" s="481">
        <f>IF(compras_mes11[[#This Row],[NETO GRAVADO]]="","",compras_mes11[[#This Row],[NETO GRAVADO]]*0.21)</f>
        <v>2592.1454999999996</v>
      </c>
      <c r="J103" s="481"/>
      <c r="K103" s="481"/>
      <c r="L103" s="481"/>
      <c r="M103" s="481"/>
      <c r="N103" s="481">
        <v>493.74</v>
      </c>
      <c r="O103" s="481"/>
      <c r="P103" s="482">
        <f>SUM(compras_mes11[[#This Row],[NETO GRAVADO]:[Otros / No Grav.]])</f>
        <v>15429.435499999998</v>
      </c>
      <c r="Q103" s="483" t="str">
        <f>IFERROR(IF(compras_mes11[[#This Row],[CUIT]]="","-",VLOOKUP(compras_mes11[[#This Row],[CUIT]],Lista_CUIT[#All],3,0)),"CUIT NO CARGADO")</f>
        <v>TELEFONIA</v>
      </c>
      <c r="R103" s="483">
        <f>IFERROR(IF(compras_mes11[[#This Row],[CUIT]]="","-",VLOOKUP(compras_mes11[[#This Row],[CUIT]],Lista_CUIT[#All],4,0)),"CUIT NO CARGADO")</f>
        <v>0</v>
      </c>
    </row>
    <row r="104" spans="2:18" ht="22.9" customHeight="1" x14ac:dyDescent="0.25">
      <c r="B104" s="475">
        <v>45257</v>
      </c>
      <c r="C104" s="489">
        <v>1</v>
      </c>
      <c r="D104" s="476">
        <v>3</v>
      </c>
      <c r="E104" s="477">
        <v>116</v>
      </c>
      <c r="F104" s="478">
        <v>20334976433</v>
      </c>
      <c r="G104" s="479" t="str">
        <f>IFERROR(IF(compras_mes11[[#This Row],[CUIT]]="","-",VLOOKUP(compras_mes11[[#This Row],[CUIT]],Lista_CUIT[#All],2,0)),"CUIT NO CARGADO")</f>
        <v>NARDOMARINO EZEQUIEL EDUARDO</v>
      </c>
      <c r="H104" s="480">
        <v>39000</v>
      </c>
      <c r="I104" s="481">
        <f>IF(compras_mes11[[#This Row],[NETO GRAVADO]]="","",compras_mes11[[#This Row],[NETO GRAVADO]]*0.21)</f>
        <v>8190</v>
      </c>
      <c r="J104" s="481"/>
      <c r="K104" s="481"/>
      <c r="L104" s="481"/>
      <c r="M104" s="481"/>
      <c r="N104" s="481"/>
      <c r="O104" s="481"/>
      <c r="P104" s="482">
        <f>SUM(compras_mes11[[#This Row],[NETO GRAVADO]:[Otros / No Grav.]])</f>
        <v>47190</v>
      </c>
      <c r="Q104" s="483" t="str">
        <f>IFERROR(IF(compras_mes11[[#This Row],[CUIT]]="","-",VLOOKUP(compras_mes11[[#This Row],[CUIT]],Lista_CUIT[#All],3,0)),"CUIT NO CARGADO")</f>
        <v>FLETE</v>
      </c>
      <c r="R104" s="483">
        <f>IFERROR(IF(compras_mes11[[#This Row],[CUIT]]="","-",VLOOKUP(compras_mes11[[#This Row],[CUIT]],Lista_CUIT[#All],4,0)),"CUIT NO CARGADO")</f>
        <v>0</v>
      </c>
    </row>
    <row r="105" spans="2:18" ht="25.9" customHeight="1" x14ac:dyDescent="0.25">
      <c r="B105" s="475">
        <v>45257</v>
      </c>
      <c r="C105" s="489">
        <v>1</v>
      </c>
      <c r="D105" s="476">
        <v>2</v>
      </c>
      <c r="E105" s="477">
        <v>1912</v>
      </c>
      <c r="F105" s="478">
        <v>20238470502</v>
      </c>
      <c r="G105" s="479" t="str">
        <f>IFERROR(IF(compras_mes11[[#This Row],[CUIT]]="","-",VLOOKUP(compras_mes11[[#This Row],[CUIT]],Lista_CUIT[#All],2,0)),"CUIT NO CARGADO")</f>
        <v>ALCOCER MARIO DANIEL</v>
      </c>
      <c r="H105" s="480">
        <v>990000</v>
      </c>
      <c r="I105" s="481">
        <f>IF(compras_mes11[[#This Row],[NETO GRAVADO]]="","",compras_mes11[[#This Row],[NETO GRAVADO]]*0.21)</f>
        <v>207900</v>
      </c>
      <c r="J105" s="481"/>
      <c r="K105" s="481"/>
      <c r="L105" s="481"/>
      <c r="M105" s="481"/>
      <c r="N105" s="481"/>
      <c r="O105" s="481"/>
      <c r="P105" s="482">
        <f>SUM(compras_mes11[[#This Row],[NETO GRAVADO]:[Otros / No Grav.]])</f>
        <v>1197900</v>
      </c>
      <c r="Q105" s="483" t="str">
        <f>IFERROR(IF(compras_mes11[[#This Row],[CUIT]]="","-",VLOOKUP(compras_mes11[[#This Row],[CUIT]],Lista_CUIT[#All],3,0)),"CUIT NO CARGADO")</f>
        <v>GASTOS MANTENIMIENTO</v>
      </c>
      <c r="R105" s="483">
        <f>IFERROR(IF(compras_mes11[[#This Row],[CUIT]]="","-",VLOOKUP(compras_mes11[[#This Row],[CUIT]],Lista_CUIT[#All],4,0)),"CUIT NO CARGADO")</f>
        <v>0</v>
      </c>
    </row>
    <row r="106" spans="2:18" ht="14.45" customHeight="1" x14ac:dyDescent="0.25">
      <c r="B106" s="475">
        <v>45257</v>
      </c>
      <c r="C106" s="489">
        <v>1</v>
      </c>
      <c r="D106" s="476">
        <v>2061</v>
      </c>
      <c r="E106" s="477">
        <v>23584</v>
      </c>
      <c r="F106" s="478">
        <v>30548083156</v>
      </c>
      <c r="G106" s="479" t="str">
        <f>IFERROR(IF(compras_mes11[[#This Row],[CUIT]]="","-",VLOOKUP(compras_mes11[[#This Row],[CUIT]],Lista_CUIT[#All],2,0)),"CUIT NO CARGADO")</f>
        <v>COTO CICSA</v>
      </c>
      <c r="H106" s="480">
        <v>50990.879999999997</v>
      </c>
      <c r="I106" s="481">
        <f>IF(compras_mes11[[#This Row],[NETO GRAVADO]]="","",compras_mes11[[#This Row],[NETO GRAVADO]]*0.21)</f>
        <v>10708.084799999999</v>
      </c>
      <c r="J106" s="481"/>
      <c r="K106" s="481"/>
      <c r="L106" s="481"/>
      <c r="M106" s="481"/>
      <c r="N106" s="481"/>
      <c r="O106" s="481">
        <v>3552.87</v>
      </c>
      <c r="P106" s="482">
        <f>SUM(compras_mes11[[#This Row],[NETO GRAVADO]:[Otros / No Grav.]])</f>
        <v>65251.834799999997</v>
      </c>
      <c r="Q106" s="483" t="str">
        <f>IFERROR(IF(compras_mes11[[#This Row],[CUIT]]="","-",VLOOKUP(compras_mes11[[#This Row],[CUIT]],Lista_CUIT[#All],3,0)),"CUIT NO CARGADO")</f>
        <v>Gastos Varios</v>
      </c>
      <c r="R106" s="483">
        <f>IFERROR(IF(compras_mes11[[#This Row],[CUIT]]="","-",VLOOKUP(compras_mes11[[#This Row],[CUIT]],Lista_CUIT[#All],4,0)),"CUIT NO CARGADO")</f>
        <v>0</v>
      </c>
    </row>
    <row r="107" spans="2:18" ht="14.45" customHeight="1" x14ac:dyDescent="0.25">
      <c r="B107" s="498">
        <v>45257</v>
      </c>
      <c r="C107" s="499">
        <v>1</v>
      </c>
      <c r="D107" s="491">
        <v>9044</v>
      </c>
      <c r="E107" s="492">
        <v>21855</v>
      </c>
      <c r="F107" s="493">
        <v>30678774495</v>
      </c>
      <c r="G107" s="494" t="str">
        <f>IFERROR(IF(compras_mes11[[#This Row],[CUIT]]="","-",VLOOKUP(compras_mes11[[#This Row],[CUIT]],Lista_CUIT[#All],2,0)),"CUIT NO CARGADO")</f>
        <v>OPER. DE EST. DE SERV. SA</v>
      </c>
      <c r="H107" s="495">
        <v>22360.79</v>
      </c>
      <c r="I107" s="496">
        <f>IF(compras_mes11[[#This Row],[NETO GRAVADO]]="","",compras_mes11[[#This Row],[NETO GRAVADO]]*0.21)</f>
        <v>4695.7659000000003</v>
      </c>
      <c r="J107" s="496"/>
      <c r="K107" s="496"/>
      <c r="L107" s="496"/>
      <c r="M107" s="496"/>
      <c r="N107" s="496"/>
      <c r="O107" s="496">
        <v>1028.45</v>
      </c>
      <c r="P107" s="490">
        <f>SUM(compras_mes11[[#This Row],[NETO GRAVADO]:[Otros / No Grav.]])</f>
        <v>28085.0059</v>
      </c>
      <c r="Q107" s="497" t="str">
        <f>IFERROR(IF(compras_mes11[[#This Row],[CUIT]]="","-",VLOOKUP(compras_mes11[[#This Row],[CUIT]],Lista_CUIT[#All],3,0)),"CUIT NO CARGADO")</f>
        <v>COMBUSTIBLE</v>
      </c>
      <c r="R107" s="497">
        <f>IFERROR(IF(compras_mes11[[#This Row],[CUIT]]="","-",VLOOKUP(compras_mes11[[#This Row],[CUIT]],Lista_CUIT[#All],4,0)),"CUIT NO CARGADO")</f>
        <v>0</v>
      </c>
    </row>
    <row r="108" spans="2:18" ht="15" customHeight="1" x14ac:dyDescent="0.25">
      <c r="B108" s="498">
        <v>45257</v>
      </c>
      <c r="C108" s="499">
        <v>1</v>
      </c>
      <c r="D108" s="491">
        <v>2061</v>
      </c>
      <c r="E108" s="492">
        <v>23583</v>
      </c>
      <c r="F108" s="493">
        <v>30548083156</v>
      </c>
      <c r="G108" s="494" t="str">
        <f>IFERROR(IF(compras_mes11[[#This Row],[CUIT]]="","-",VLOOKUP(compras_mes11[[#This Row],[CUIT]],Lista_CUIT[#All],2,0)),"CUIT NO CARGADO")</f>
        <v>COTO CICSA</v>
      </c>
      <c r="H108" s="495">
        <v>37200.82</v>
      </c>
      <c r="I108" s="496">
        <f>IF(compras_mes11[[#This Row],[NETO GRAVADO]]="","",compras_mes11[[#This Row],[NETO GRAVADO]]*0.21)</f>
        <v>7812.1722</v>
      </c>
      <c r="J108" s="496"/>
      <c r="K108" s="496"/>
      <c r="L108" s="496"/>
      <c r="M108" s="496"/>
      <c r="N108" s="496"/>
      <c r="O108" s="496">
        <v>2585.94</v>
      </c>
      <c r="P108" s="490">
        <f>SUM(compras_mes11[[#This Row],[NETO GRAVADO]:[Otros / No Grav.]])</f>
        <v>47598.932200000003</v>
      </c>
      <c r="Q108" s="497" t="str">
        <f>IFERROR(IF(compras_mes11[[#This Row],[CUIT]]="","-",VLOOKUP(compras_mes11[[#This Row],[CUIT]],Lista_CUIT[#All],3,0)),"CUIT NO CARGADO")</f>
        <v>Gastos Varios</v>
      </c>
      <c r="R108" s="497">
        <f>IFERROR(IF(compras_mes11[[#This Row],[CUIT]]="","-",VLOOKUP(compras_mes11[[#This Row],[CUIT]],Lista_CUIT[#All],4,0)),"CUIT NO CARGADO")</f>
        <v>0</v>
      </c>
    </row>
    <row r="109" spans="2:18" ht="15" customHeight="1" x14ac:dyDescent="0.25">
      <c r="B109" s="498">
        <v>45257</v>
      </c>
      <c r="C109" s="499">
        <v>1</v>
      </c>
      <c r="D109" s="491">
        <v>2061</v>
      </c>
      <c r="E109" s="492">
        <v>23586</v>
      </c>
      <c r="F109" s="493">
        <v>30548083156</v>
      </c>
      <c r="G109" s="494" t="str">
        <f>IFERROR(IF(compras_mes11[[#This Row],[CUIT]]="","-",VLOOKUP(compras_mes11[[#This Row],[CUIT]],Lista_CUIT[#All],2,0)),"CUIT NO CARGADO")</f>
        <v>COTO CICSA</v>
      </c>
      <c r="H109" s="495">
        <v>50990.879999999997</v>
      </c>
      <c r="I109" s="496">
        <f>IF(compras_mes11[[#This Row],[NETO GRAVADO]]="","",compras_mes11[[#This Row],[NETO GRAVADO]]*0.21)</f>
        <v>10708.084799999999</v>
      </c>
      <c r="J109" s="496"/>
      <c r="K109" s="496"/>
      <c r="L109" s="496"/>
      <c r="M109" s="496"/>
      <c r="N109" s="496"/>
      <c r="O109" s="496">
        <v>3552.87</v>
      </c>
      <c r="P109" s="490">
        <f>SUM(compras_mes11[[#This Row],[NETO GRAVADO]:[Otros / No Grav.]])</f>
        <v>65251.834799999997</v>
      </c>
      <c r="Q109" s="497" t="str">
        <f>IFERROR(IF(compras_mes11[[#This Row],[CUIT]]="","-",VLOOKUP(compras_mes11[[#This Row],[CUIT]],Lista_CUIT[#All],3,0)),"CUIT NO CARGADO")</f>
        <v>Gastos Varios</v>
      </c>
      <c r="R109" s="497">
        <f>IFERROR(IF(compras_mes11[[#This Row],[CUIT]]="","-",VLOOKUP(compras_mes11[[#This Row],[CUIT]],Lista_CUIT[#All],4,0)),"CUIT NO CARGADO")</f>
        <v>0</v>
      </c>
    </row>
    <row r="110" spans="2:18" ht="15" customHeight="1" x14ac:dyDescent="0.25">
      <c r="B110" s="498">
        <v>45257</v>
      </c>
      <c r="C110" s="499">
        <v>1</v>
      </c>
      <c r="D110" s="491">
        <v>2061</v>
      </c>
      <c r="E110" s="492">
        <v>23587</v>
      </c>
      <c r="F110" s="493">
        <v>30548083156</v>
      </c>
      <c r="G110" s="494" t="str">
        <f>IFERROR(IF(compras_mes11[[#This Row],[CUIT]]="","-",VLOOKUP(compras_mes11[[#This Row],[CUIT]],Lista_CUIT[#All],2,0)),"CUIT NO CARGADO")</f>
        <v>COTO CICSA</v>
      </c>
      <c r="H110" s="495">
        <v>25701.64</v>
      </c>
      <c r="I110" s="496">
        <f>IF(compras_mes11[[#This Row],[NETO GRAVADO]]="","",compras_mes11[[#This Row],[NETO GRAVADO]]*0.21)</f>
        <v>5397.3444</v>
      </c>
      <c r="J110" s="496"/>
      <c r="K110" s="496"/>
      <c r="L110" s="496"/>
      <c r="M110" s="496"/>
      <c r="N110" s="496"/>
      <c r="O110" s="496">
        <v>1782.62</v>
      </c>
      <c r="P110" s="490">
        <f>SUM(compras_mes11[[#This Row],[NETO GRAVADO]:[Otros / No Grav.]])</f>
        <v>32881.604400000004</v>
      </c>
      <c r="Q110" s="497" t="str">
        <f>IFERROR(IF(compras_mes11[[#This Row],[CUIT]]="","-",VLOOKUP(compras_mes11[[#This Row],[CUIT]],Lista_CUIT[#All],3,0)),"CUIT NO CARGADO")</f>
        <v>Gastos Varios</v>
      </c>
      <c r="R110" s="497">
        <f>IFERROR(IF(compras_mes11[[#This Row],[CUIT]]="","-",VLOOKUP(compras_mes11[[#This Row],[CUIT]],Lista_CUIT[#All],4,0)),"CUIT NO CARGADO")</f>
        <v>0</v>
      </c>
    </row>
    <row r="111" spans="2:18" ht="15" customHeight="1" x14ac:dyDescent="0.25">
      <c r="B111" s="475">
        <v>45258</v>
      </c>
      <c r="C111" s="489">
        <v>1</v>
      </c>
      <c r="D111" s="476">
        <v>3</v>
      </c>
      <c r="E111" s="477">
        <v>10</v>
      </c>
      <c r="F111" s="478">
        <v>20396584809</v>
      </c>
      <c r="G111" s="479" t="str">
        <f>IFERROR(IF(compras_mes11[[#This Row],[CUIT]]="","-",VLOOKUP(compras_mes11[[#This Row],[CUIT]],Lista_CUIT[#All],2,0)),"CUIT NO CARGADO")</f>
        <v>DEBELIUCH TOMAS IVAN</v>
      </c>
      <c r="H111" s="480">
        <v>2342986.48</v>
      </c>
      <c r="I111" s="481"/>
      <c r="J111" s="481"/>
      <c r="K111" s="481">
        <v>246013.58</v>
      </c>
      <c r="L111" s="481"/>
      <c r="M111" s="481"/>
      <c r="N111" s="481"/>
      <c r="O111" s="481"/>
      <c r="P111" s="482">
        <f>SUM(compras_mes11[[#This Row],[NETO GRAVADO]:[Otros / No Grav.]])</f>
        <v>2589000.06</v>
      </c>
      <c r="Q111" s="483" t="str">
        <f>IFERROR(IF(compras_mes11[[#This Row],[CUIT]]="","-",VLOOKUP(compras_mes11[[#This Row],[CUIT]],Lista_CUIT[#All],3,0)),"CUIT NO CARGADO")</f>
        <v>Productos Ortopedicos</v>
      </c>
      <c r="R111" s="483">
        <f>IFERROR(IF(compras_mes11[[#This Row],[CUIT]]="","-",VLOOKUP(compras_mes11[[#This Row],[CUIT]],Lista_CUIT[#All],4,0)),"CUIT NO CARGADO")</f>
        <v>0</v>
      </c>
    </row>
    <row r="112" spans="2:18" ht="15" customHeight="1" x14ac:dyDescent="0.25">
      <c r="B112" s="475">
        <v>45258</v>
      </c>
      <c r="C112" s="489">
        <v>1</v>
      </c>
      <c r="D112" s="476">
        <v>5</v>
      </c>
      <c r="E112" s="477">
        <v>22</v>
      </c>
      <c r="F112" s="478">
        <v>20929183143</v>
      </c>
      <c r="G112" s="479" t="str">
        <f>IFERROR(IF(compras_mes11[[#This Row],[CUIT]]="","-",VLOOKUP(compras_mes11[[#This Row],[CUIT]],Lista_CUIT[#All],2,0)),"CUIT NO CARGADO")</f>
        <v>MA JUN</v>
      </c>
      <c r="H112" s="480">
        <v>15000</v>
      </c>
      <c r="I112" s="481">
        <f>IF(compras_mes11[[#This Row],[NETO GRAVADO]]="","",compras_mes11[[#This Row],[NETO GRAVADO]]*0.21)</f>
        <v>3150</v>
      </c>
      <c r="J112" s="481"/>
      <c r="K112" s="481"/>
      <c r="L112" s="481"/>
      <c r="M112" s="481"/>
      <c r="N112" s="481"/>
      <c r="O112" s="481"/>
      <c r="P112" s="482">
        <f>SUM(compras_mes11[[#This Row],[NETO GRAVADO]:[Otros / No Grav.]])</f>
        <v>18150</v>
      </c>
      <c r="Q112" s="483" t="str">
        <f>IFERROR(IF(compras_mes11[[#This Row],[CUIT]]="","-",VLOOKUP(compras_mes11[[#This Row],[CUIT]],Lista_CUIT[#All],3,0)),"CUIT NO CARGADO")</f>
        <v>Gastos Varios</v>
      </c>
      <c r="R112" s="483">
        <f>IFERROR(IF(compras_mes11[[#This Row],[CUIT]]="","-",VLOOKUP(compras_mes11[[#This Row],[CUIT]],Lista_CUIT[#All],4,0)),"CUIT NO CARGADO")</f>
        <v>0</v>
      </c>
    </row>
    <row r="113" spans="2:19" ht="23.45" customHeight="1" x14ac:dyDescent="0.25">
      <c r="B113" s="475">
        <v>45258</v>
      </c>
      <c r="C113" s="489">
        <v>1</v>
      </c>
      <c r="D113" s="476">
        <v>4</v>
      </c>
      <c r="E113" s="477">
        <v>85</v>
      </c>
      <c r="F113" s="478">
        <v>20317488476</v>
      </c>
      <c r="G113" s="479" t="str">
        <f>IFERROR(IF(compras_mes11[[#This Row],[CUIT]]="","-",VLOOKUP(compras_mes11[[#This Row],[CUIT]],Lista_CUIT[#All],2,0)),"CUIT NO CARGADO")</f>
        <v>MIGUEL ANGEL VILLALBA</v>
      </c>
      <c r="H113" s="480">
        <v>55000</v>
      </c>
      <c r="I113" s="481">
        <f>IF(compras_mes11[[#This Row],[NETO GRAVADO]]="","",compras_mes11[[#This Row],[NETO GRAVADO]]*0.21)</f>
        <v>11550</v>
      </c>
      <c r="J113" s="481"/>
      <c r="K113" s="481"/>
      <c r="L113" s="481"/>
      <c r="M113" s="481"/>
      <c r="N113" s="481"/>
      <c r="O113" s="481"/>
      <c r="P113" s="482">
        <f>SUM(compras_mes11[[#This Row],[NETO GRAVADO]:[Otros / No Grav.]])</f>
        <v>66550</v>
      </c>
      <c r="Q113" s="483" t="str">
        <f>IFERROR(IF(compras_mes11[[#This Row],[CUIT]]="","-",VLOOKUP(compras_mes11[[#This Row],[CUIT]],Lista_CUIT[#All],3,0)),"CUIT NO CARGADO")</f>
        <v>Recupero P. Ortopedicos</v>
      </c>
      <c r="R113" s="483">
        <f>IFERROR(IF(compras_mes11[[#This Row],[CUIT]]="","-",VLOOKUP(compras_mes11[[#This Row],[CUIT]],Lista_CUIT[#All],4,0)),"CUIT NO CARGADO")</f>
        <v>0</v>
      </c>
    </row>
    <row r="114" spans="2:19" x14ac:dyDescent="0.25">
      <c r="B114" s="475">
        <v>45259</v>
      </c>
      <c r="C114" s="489">
        <v>1</v>
      </c>
      <c r="D114" s="476">
        <v>7</v>
      </c>
      <c r="E114" s="477">
        <v>17094</v>
      </c>
      <c r="F114" s="478">
        <v>30709214078</v>
      </c>
      <c r="G114" s="479" t="str">
        <f>IFERROR(IF(compras_mes11[[#This Row],[CUIT]]="","-",VLOOKUP(compras_mes11[[#This Row],[CUIT]],Lista_CUIT[#All],2,0)),"CUIT NO CARGADO")</f>
        <v>REHAVITA S.A</v>
      </c>
      <c r="H114" s="480">
        <v>282900</v>
      </c>
      <c r="I114" s="481"/>
      <c r="J114" s="481"/>
      <c r="K114" s="481">
        <v>29704.5</v>
      </c>
      <c r="L114" s="481"/>
      <c r="M114" s="481"/>
      <c r="N114" s="481"/>
      <c r="O114" s="481"/>
      <c r="P114" s="482">
        <f>SUM(compras_mes11[[#This Row],[NETO GRAVADO]:[Otros / No Grav.]])</f>
        <v>312604.5</v>
      </c>
      <c r="Q114" s="483" t="str">
        <f>IFERROR(IF(compras_mes11[[#This Row],[CUIT]]="","-",VLOOKUP(compras_mes11[[#This Row],[CUIT]],Lista_CUIT[#All],3,0)),"CUIT NO CARGADO")</f>
        <v>Productos Ortopedicos</v>
      </c>
      <c r="R114" s="483">
        <f>IFERROR(IF(compras_mes11[[#This Row],[CUIT]]="","-",VLOOKUP(compras_mes11[[#This Row],[CUIT]],Lista_CUIT[#All],4,0)),"CUIT NO CARGADO")</f>
        <v>0</v>
      </c>
    </row>
    <row r="115" spans="2:19" x14ac:dyDescent="0.25">
      <c r="B115" s="498">
        <v>45259</v>
      </c>
      <c r="C115" s="209">
        <v>1</v>
      </c>
      <c r="D115" s="491">
        <v>12</v>
      </c>
      <c r="E115" s="492">
        <v>808</v>
      </c>
      <c r="F115" s="493">
        <v>30710374801</v>
      </c>
      <c r="G115" s="494" t="str">
        <f>IFERROR(IF(compras_mes11[[#This Row],[CUIT]]="","-",VLOOKUP(compras_mes11[[#This Row],[CUIT]],Lista_CUIT[#All],2,0)),"CUIT NO CARGADO")</f>
        <v>DISTRIBUIDORA LARREA SA</v>
      </c>
      <c r="H115" s="495">
        <v>9185.9500000000007</v>
      </c>
      <c r="I115" s="496">
        <f>IF(compras_mes11[[#This Row],[NETO GRAVADO]]="","",compras_mes11[[#This Row],[NETO GRAVADO]]*0.21)</f>
        <v>1929.0495000000001</v>
      </c>
      <c r="J115" s="496"/>
      <c r="K115" s="496"/>
      <c r="L115" s="496"/>
      <c r="M115" s="496"/>
      <c r="N115" s="496"/>
      <c r="O115" s="496"/>
      <c r="P115" s="490">
        <f>SUM(compras_mes11[[#This Row],[NETO GRAVADO]:[Otros / No Grav.]])</f>
        <v>11114.999500000002</v>
      </c>
      <c r="Q115" s="497" t="str">
        <f>IFERROR(IF(compras_mes11[[#This Row],[CUIT]]="","-",VLOOKUP(compras_mes11[[#This Row],[CUIT]],Lista_CUIT[#All],3,0)),"CUIT NO CARGADO")</f>
        <v>gastos varios</v>
      </c>
      <c r="R115" s="497">
        <f>IFERROR(IF(compras_mes11[[#This Row],[CUIT]]="","-",VLOOKUP(compras_mes11[[#This Row],[CUIT]],Lista_CUIT[#All],4,0)),"CUIT NO CARGADO")</f>
        <v>0</v>
      </c>
    </row>
    <row r="116" spans="2:19" x14ac:dyDescent="0.25">
      <c r="B116" s="498">
        <v>45259</v>
      </c>
      <c r="C116" s="209">
        <v>1</v>
      </c>
      <c r="D116" s="491">
        <v>105</v>
      </c>
      <c r="E116" s="492">
        <v>1382693</v>
      </c>
      <c r="F116" s="493">
        <v>30537882871</v>
      </c>
      <c r="G116" s="494" t="str">
        <f>IFERROR(IF(compras_mes11[[#This Row],[CUIT]]="","-",VLOOKUP(compras_mes11[[#This Row],[CUIT]],Lista_CUIT[#All],2,0)),"CUIT NO CARGADO")</f>
        <v>EL JUMILIANO SA</v>
      </c>
      <c r="H116" s="495">
        <v>1925.62</v>
      </c>
      <c r="I116" s="496">
        <f>IF(compras_mes11[[#This Row],[NETO GRAVADO]]="","",compras_mes11[[#This Row],[NETO GRAVADO]]*0.21)</f>
        <v>404.38019999999995</v>
      </c>
      <c r="J116" s="496"/>
      <c r="K116" s="496"/>
      <c r="L116" s="496"/>
      <c r="M116" s="496"/>
      <c r="N116" s="496"/>
      <c r="O116" s="496"/>
      <c r="P116" s="490">
        <f>SUM(compras_mes11[[#This Row],[NETO GRAVADO]:[Otros / No Grav.]])</f>
        <v>2330.0001999999999</v>
      </c>
      <c r="Q116" s="497" t="str">
        <f>IFERROR(IF(compras_mes11[[#This Row],[CUIT]]="","-",VLOOKUP(compras_mes11[[#This Row],[CUIT]],Lista_CUIT[#All],3,0)),"CUIT NO CARGADO")</f>
        <v>SERVICIOS</v>
      </c>
      <c r="R116" s="497">
        <f>IFERROR(IF(compras_mes11[[#This Row],[CUIT]]="","-",VLOOKUP(compras_mes11[[#This Row],[CUIT]],Lista_CUIT[#All],4,0)),"CUIT NO CARGADO")</f>
        <v>0</v>
      </c>
    </row>
    <row r="117" spans="2:19" x14ac:dyDescent="0.25">
      <c r="B117" s="498">
        <v>45259</v>
      </c>
      <c r="C117" s="209">
        <v>1</v>
      </c>
      <c r="D117" s="491">
        <v>23</v>
      </c>
      <c r="E117" s="492">
        <v>1859980</v>
      </c>
      <c r="F117" s="493">
        <v>30703088534</v>
      </c>
      <c r="G117" s="494" t="str">
        <f>IFERROR(IF(compras_mes11[[#This Row],[CUIT]]="","-",VLOOKUP(compras_mes11[[#This Row],[CUIT]],Lista_CUIT[#All],2,0)),"CUIT NO CARGADO")</f>
        <v>MERCADO LIBRE SRL</v>
      </c>
      <c r="H117" s="495">
        <v>16408.47</v>
      </c>
      <c r="I117" s="496">
        <f>IF(compras_mes11[[#This Row],[NETO GRAVADO]]="","",compras_mes11[[#This Row],[NETO GRAVADO]]*0.21)</f>
        <v>3445.7787000000003</v>
      </c>
      <c r="J117" s="496"/>
      <c r="K117" s="496"/>
      <c r="L117" s="496"/>
      <c r="M117" s="496"/>
      <c r="N117" s="496"/>
      <c r="O117" s="496">
        <v>1148.5899999999999</v>
      </c>
      <c r="P117" s="490">
        <f>SUM(compras_mes11[[#This Row],[NETO GRAVADO]:[Otros / No Grav.]])</f>
        <v>21002.8387</v>
      </c>
      <c r="Q117" s="497" t="str">
        <f>IFERROR(IF(compras_mes11[[#This Row],[CUIT]]="","-",VLOOKUP(compras_mes11[[#This Row],[CUIT]],Lista_CUIT[#All],3,0)),"CUIT NO CARGADO")</f>
        <v>GASTOS COMERCIALIZACION</v>
      </c>
      <c r="R117" s="497">
        <f>IFERROR(IF(compras_mes11[[#This Row],[CUIT]]="","-",VLOOKUP(compras_mes11[[#This Row],[CUIT]],Lista_CUIT[#All],4,0)),"CUIT NO CARGADO")</f>
        <v>0</v>
      </c>
    </row>
    <row r="118" spans="2:19" x14ac:dyDescent="0.25">
      <c r="B118" s="498">
        <v>45259</v>
      </c>
      <c r="C118" s="209">
        <v>1</v>
      </c>
      <c r="D118" s="491">
        <v>104</v>
      </c>
      <c r="E118" s="492">
        <v>4551784</v>
      </c>
      <c r="F118" s="493">
        <v>30715804812</v>
      </c>
      <c r="G118" s="494" t="str">
        <f>IFERROR(IF(compras_mes11[[#This Row],[CUIT]]="","-",VLOOKUP(compras_mes11[[#This Row],[CUIT]],Lista_CUIT[#All],2,0)),"CUIT NO CARGADO")</f>
        <v>CORREDORES VIALES SOCIEDAD ANONIMA</v>
      </c>
      <c r="H118" s="495">
        <v>330.58</v>
      </c>
      <c r="I118" s="496">
        <f>IF(compras_mes11[[#This Row],[NETO GRAVADO]]="","",compras_mes11[[#This Row],[NETO GRAVADO]]*0.21)</f>
        <v>69.42179999999999</v>
      </c>
      <c r="J118" s="496"/>
      <c r="K118" s="496"/>
      <c r="L118" s="496"/>
      <c r="M118" s="496"/>
      <c r="N118" s="496">
        <v>13.22</v>
      </c>
      <c r="O118" s="496"/>
      <c r="P118" s="490">
        <f>SUM(compras_mes11[[#This Row],[NETO GRAVADO]:[Otros / No Grav.]])</f>
        <v>413.22180000000003</v>
      </c>
      <c r="Q118" s="497" t="str">
        <f>IFERROR(IF(compras_mes11[[#This Row],[CUIT]]="","-",VLOOKUP(compras_mes11[[#This Row],[CUIT]],Lista_CUIT[#All],3,0)),"CUIT NO CARGADO")</f>
        <v>Autopista</v>
      </c>
      <c r="R118" s="497">
        <f>IFERROR(IF(compras_mes11[[#This Row],[CUIT]]="","-",VLOOKUP(compras_mes11[[#This Row],[CUIT]],Lista_CUIT[#All],4,0)),"CUIT NO CARGADO")</f>
        <v>0</v>
      </c>
    </row>
    <row r="119" spans="2:19" x14ac:dyDescent="0.25">
      <c r="B119" s="475">
        <v>45260</v>
      </c>
      <c r="C119" s="489">
        <v>1</v>
      </c>
      <c r="D119" s="476">
        <v>2</v>
      </c>
      <c r="E119" s="477">
        <v>238</v>
      </c>
      <c r="F119" s="478">
        <v>20272865869</v>
      </c>
      <c r="G119" s="479" t="str">
        <f>IFERROR(IF(compras_mes11[[#This Row],[CUIT]]="","-",VLOOKUP(compras_mes11[[#This Row],[CUIT]],Lista_CUIT[#All],2,0)),"CUIT NO CARGADO")</f>
        <v>DI FEO MARTIN EZEQUIEL</v>
      </c>
      <c r="H119" s="480">
        <v>57285</v>
      </c>
      <c r="I119" s="481">
        <f>IF(compras_mes11[[#This Row],[NETO GRAVADO]]="","",compras_mes11[[#This Row],[NETO GRAVADO]]*0.21)</f>
        <v>12029.85</v>
      </c>
      <c r="J119" s="481"/>
      <c r="K119" s="481"/>
      <c r="L119" s="481"/>
      <c r="M119" s="481"/>
      <c r="N119" s="481"/>
      <c r="O119" s="481"/>
      <c r="P119" s="482">
        <f>SUM(compras_mes11[[#This Row],[NETO GRAVADO]:[Otros / No Grav.]])</f>
        <v>69314.850000000006</v>
      </c>
      <c r="Q119" s="483" t="str">
        <f>IFERROR(IF(compras_mes11[[#This Row],[CUIT]]="","-",VLOOKUP(compras_mes11[[#This Row],[CUIT]],Lista_CUIT[#All],3,0)),"CUIT NO CARGADO")</f>
        <v>Productos Ortopedicos</v>
      </c>
      <c r="R119" s="483">
        <f>IFERROR(IF(compras_mes11[[#This Row],[CUIT]]="","-",VLOOKUP(compras_mes11[[#This Row],[CUIT]],Lista_CUIT[#All],4,0)),"CUIT NO CARGADO")</f>
        <v>0</v>
      </c>
    </row>
    <row r="120" spans="2:19" s="56" customFormat="1" ht="18.600000000000001" customHeight="1" x14ac:dyDescent="0.25">
      <c r="B120" s="475">
        <v>45260</v>
      </c>
      <c r="C120" s="489">
        <v>1</v>
      </c>
      <c r="D120" s="476">
        <v>2</v>
      </c>
      <c r="E120" s="477">
        <v>239</v>
      </c>
      <c r="F120" s="478">
        <v>20272865869</v>
      </c>
      <c r="G120" s="479" t="str">
        <f>IFERROR(IF(compras_mes11[[#This Row],[CUIT]]="","-",VLOOKUP(compras_mes11[[#This Row],[CUIT]],Lista_CUIT[#All],2,0)),"CUIT NO CARGADO")</f>
        <v>DI FEO MARTIN EZEQUIEL</v>
      </c>
      <c r="H120" s="480">
        <v>7300</v>
      </c>
      <c r="I120" s="481">
        <f>IF(compras_mes11[[#This Row],[NETO GRAVADO]]="","",compras_mes11[[#This Row],[NETO GRAVADO]]*0.21)</f>
        <v>1533</v>
      </c>
      <c r="J120" s="481"/>
      <c r="K120" s="481"/>
      <c r="L120" s="481"/>
      <c r="M120" s="481"/>
      <c r="N120" s="481"/>
      <c r="O120" s="481"/>
      <c r="P120" s="482">
        <f>SUM(compras_mes11[[#This Row],[NETO GRAVADO]:[Otros / No Grav.]])</f>
        <v>8833</v>
      </c>
      <c r="Q120" s="483" t="str">
        <f>IFERROR(IF(compras_mes11[[#This Row],[CUIT]]="","-",VLOOKUP(compras_mes11[[#This Row],[CUIT]],Lista_CUIT[#All],3,0)),"CUIT NO CARGADO")</f>
        <v>Productos Ortopedicos</v>
      </c>
      <c r="R120" s="483">
        <f>IFERROR(IF(compras_mes11[[#This Row],[CUIT]]="","-",VLOOKUP(compras_mes11[[#This Row],[CUIT]],Lista_CUIT[#All],4,0)),"CUIT NO CARGADO")</f>
        <v>0</v>
      </c>
    </row>
    <row r="121" spans="2:19" x14ac:dyDescent="0.25">
      <c r="B121" s="475">
        <v>45260</v>
      </c>
      <c r="C121" s="489">
        <v>1</v>
      </c>
      <c r="D121" s="476">
        <v>17</v>
      </c>
      <c r="E121" s="477">
        <v>8340</v>
      </c>
      <c r="F121" s="478">
        <v>30661143610</v>
      </c>
      <c r="G121" s="479" t="str">
        <f>IFERROR(IF(compras_mes11[[#This Row],[CUIT]]="","-",VLOOKUP(compras_mes11[[#This Row],[CUIT]],Lista_CUIT[#All],2,0)),"CUIT NO CARGADO")</f>
        <v>ORTOPEDIA BERNAT SRL</v>
      </c>
      <c r="H121" s="480">
        <v>506000</v>
      </c>
      <c r="I121" s="481">
        <f>IF(compras_mes11[[#This Row],[NETO GRAVADO]]="","",compras_mes11[[#This Row],[NETO GRAVADO]]*0.21)</f>
        <v>106260</v>
      </c>
      <c r="J121" s="481"/>
      <c r="K121" s="481"/>
      <c r="L121" s="481"/>
      <c r="M121" s="481"/>
      <c r="N121" s="481">
        <v>20240</v>
      </c>
      <c r="O121" s="481"/>
      <c r="P121" s="482">
        <f>SUM(compras_mes11[[#This Row],[NETO GRAVADO]:[Otros / No Grav.]])</f>
        <v>632500</v>
      </c>
      <c r="Q121" s="483" t="str">
        <f>IFERROR(IF(compras_mes11[[#This Row],[CUIT]]="","-",VLOOKUP(compras_mes11[[#This Row],[CUIT]],Lista_CUIT[#All],3,0)),"CUIT NO CARGADO")</f>
        <v>Productos Ortopedicos</v>
      </c>
      <c r="R121" s="483">
        <f>IFERROR(IF(compras_mes11[[#This Row],[CUIT]]="","-",VLOOKUP(compras_mes11[[#This Row],[CUIT]],Lista_CUIT[#All],4,0)),"CUIT NO CARGADO")</f>
        <v>0</v>
      </c>
    </row>
    <row r="122" spans="2:19" x14ac:dyDescent="0.25">
      <c r="B122" s="475">
        <v>45260</v>
      </c>
      <c r="C122" s="489">
        <v>1</v>
      </c>
      <c r="D122" s="476">
        <v>20</v>
      </c>
      <c r="E122" s="477">
        <v>168585</v>
      </c>
      <c r="F122" s="478">
        <v>30696850972</v>
      </c>
      <c r="G122" s="479" t="str">
        <f>IFERROR(IF(compras_mes11[[#This Row],[CUIT]]="","-",VLOOKUP(compras_mes11[[#This Row],[CUIT]],Lista_CUIT[#All],2,0)),"CUIT NO CARGADO")</f>
        <v>CPS COMUNICACIONES SA</v>
      </c>
      <c r="H122" s="480">
        <v>4647.6000000000004</v>
      </c>
      <c r="I122" s="481"/>
      <c r="J122" s="481">
        <v>1254.8499999999999</v>
      </c>
      <c r="K122" s="481"/>
      <c r="L122" s="481"/>
      <c r="M122" s="481"/>
      <c r="N122" s="481">
        <v>185.9</v>
      </c>
      <c r="O122" s="481"/>
      <c r="P122" s="482">
        <f>SUM(compras_mes11[[#This Row],[NETO GRAVADO]:[Otros / No Grav.]])</f>
        <v>6088.35</v>
      </c>
      <c r="Q122" s="483" t="str">
        <f>IFERROR(IF(compras_mes11[[#This Row],[CUIT]]="","-",VLOOKUP(compras_mes11[[#This Row],[CUIT]],Lista_CUIT[#All],3,0)),"CUIT NO CARGADO")</f>
        <v>SERVICIO DE TELEFONIA</v>
      </c>
      <c r="R122" s="483">
        <f>IFERROR(IF(compras_mes11[[#This Row],[CUIT]]="","-",VLOOKUP(compras_mes11[[#This Row],[CUIT]],Lista_CUIT[#All],4,0)),"CUIT NO CARGADO")</f>
        <v>0</v>
      </c>
    </row>
    <row r="123" spans="2:19" x14ac:dyDescent="0.25">
      <c r="B123" s="498">
        <v>45260</v>
      </c>
      <c r="C123" s="499">
        <v>1</v>
      </c>
      <c r="D123" s="491">
        <v>9036</v>
      </c>
      <c r="E123" s="492">
        <v>21630</v>
      </c>
      <c r="F123" s="493">
        <v>30678774495</v>
      </c>
      <c r="G123" s="494" t="str">
        <f>IFERROR(IF(compras_mes11[[#This Row],[CUIT]]="","-",VLOOKUP(compras_mes11[[#This Row],[CUIT]],Lista_CUIT[#All],2,0)),"CUIT NO CARGADO")</f>
        <v>OPER. DE EST. DE SERV. SA</v>
      </c>
      <c r="H123" s="495">
        <v>9554.18</v>
      </c>
      <c r="I123" s="496">
        <f>IF(compras_mes11[[#This Row],[NETO GRAVADO]]="","",compras_mes11[[#This Row],[NETO GRAVADO]]*0.21)</f>
        <v>2006.3778</v>
      </c>
      <c r="J123" s="496"/>
      <c r="K123" s="496"/>
      <c r="L123" s="496"/>
      <c r="M123" s="496"/>
      <c r="N123" s="496"/>
      <c r="O123" s="496">
        <v>439.43</v>
      </c>
      <c r="P123" s="490">
        <f>SUM(compras_mes11[[#This Row],[NETO GRAVADO]:[Otros / No Grav.]])</f>
        <v>11999.987800000001</v>
      </c>
      <c r="Q123" s="497" t="str">
        <f>IFERROR(IF(compras_mes11[[#This Row],[CUIT]]="","-",VLOOKUP(compras_mes11[[#This Row],[CUIT]],Lista_CUIT[#All],3,0)),"CUIT NO CARGADO")</f>
        <v>COMBUSTIBLE</v>
      </c>
      <c r="R123" s="497">
        <f>IFERROR(IF(compras_mes11[[#This Row],[CUIT]]="","-",VLOOKUP(compras_mes11[[#This Row],[CUIT]],Lista_CUIT[#All],4,0)),"CUIT NO CARGADO")</f>
        <v>0</v>
      </c>
      <c r="S123" t="s">
        <v>2333</v>
      </c>
    </row>
    <row r="124" spans="2:19" x14ac:dyDescent="0.25">
      <c r="B124" s="498">
        <v>45260</v>
      </c>
      <c r="C124" s="209">
        <v>1</v>
      </c>
      <c r="D124" s="491">
        <v>6</v>
      </c>
      <c r="E124" s="492">
        <v>15140714</v>
      </c>
      <c r="F124" s="493">
        <v>30620177497</v>
      </c>
      <c r="G124" s="494" t="str">
        <f>IFERROR(IF(compras_mes11[[#This Row],[CUIT]]="","-",VLOOKUP(compras_mes11[[#This Row],[CUIT]],Lista_CUIT[#All],2,0)),"CUIT NO CARGADO")</f>
        <v>POSNET SOCIEDAD DE RESPONSABILIDAD LIMITADA</v>
      </c>
      <c r="H124" s="495">
        <v>9292.49</v>
      </c>
      <c r="I124" s="496">
        <f>IF(compras_mes11[[#This Row],[NETO GRAVADO]]="","",compras_mes11[[#This Row],[NETO GRAVADO]]*0.21)</f>
        <v>1951.4228999999998</v>
      </c>
      <c r="J124" s="496"/>
      <c r="K124" s="496"/>
      <c r="L124" s="496"/>
      <c r="M124" s="496"/>
      <c r="N124" s="496">
        <v>650.47</v>
      </c>
      <c r="O124" s="496"/>
      <c r="P124" s="490">
        <f>SUM(compras_mes11[[#This Row],[NETO GRAVADO]:[Otros / No Grav.]])</f>
        <v>11894.382899999999</v>
      </c>
      <c r="Q124" s="497" t="str">
        <f>IFERROR(IF(compras_mes11[[#This Row],[CUIT]]="","-",VLOOKUP(compras_mes11[[#This Row],[CUIT]],Lista_CUIT[#All],3,0)),"CUIT NO CARGADO")</f>
        <v>GASTOS VARIOS</v>
      </c>
      <c r="R124" s="497">
        <f>IFERROR(IF(compras_mes11[[#This Row],[CUIT]]="","-",VLOOKUP(compras_mes11[[#This Row],[CUIT]],Lista_CUIT[#All],4,0)),"CUIT NO CARGADO")</f>
        <v>0</v>
      </c>
    </row>
    <row r="125" spans="2:19" x14ac:dyDescent="0.25">
      <c r="B125" s="96" t="s">
        <v>110</v>
      </c>
      <c r="C125" s="96"/>
      <c r="D125" s="96"/>
      <c r="E125" s="96"/>
      <c r="F125" s="96"/>
      <c r="G125" s="97"/>
      <c r="H125" s="98">
        <f>SUBTOTAL(109,compras_mes11[NETO GRAVADO])</f>
        <v>30474287.339999989</v>
      </c>
      <c r="I125" s="98">
        <f>SUBTOTAL(109,compras_mes11[IVA 21 %])</f>
        <v>4993732.1282999991</v>
      </c>
      <c r="J125" s="98">
        <f>SUBTOTAL(109,compras_mes11[IVA 27%])</f>
        <v>9370.4600000000009</v>
      </c>
      <c r="K125" s="98">
        <f>SUBTOTAL(109,compras_mes11[IVA 10,5%])</f>
        <v>699290.03</v>
      </c>
      <c r="L125" s="98">
        <f>SUBTOTAL(109,compras_mes11[PERC. IVA])</f>
        <v>1010.64</v>
      </c>
      <c r="M125" s="98">
        <f>SUBTOTAL(109,compras_mes11[PERC IIBB 
BS AS])</f>
        <v>853.17000000000007</v>
      </c>
      <c r="N125" s="98">
        <f>SUBTOTAL(109,compras_mes11[PERC. IIBB CABA])</f>
        <v>413591.09999999986</v>
      </c>
      <c r="O125" s="98">
        <f>SUBTOTAL(109,compras_mes11[Otros / No Grav.])</f>
        <v>28099.489999999998</v>
      </c>
      <c r="P125" s="98">
        <f>SUBTOTAL(109,compras_mes11[TOTAL])</f>
        <v>36620234.3583</v>
      </c>
      <c r="Q125" s="96"/>
      <c r="R125" s="96"/>
    </row>
    <row r="126" spans="2:19" x14ac:dyDescent="0.25">
      <c r="B126" s="40"/>
      <c r="C126" s="41"/>
      <c r="D126" s="42"/>
      <c r="E126" s="43"/>
      <c r="F126" s="44"/>
      <c r="G126" s="45"/>
      <c r="H126" s="46"/>
      <c r="I126" s="47"/>
      <c r="J126" s="47"/>
      <c r="K126" s="47"/>
      <c r="L126" s="47"/>
      <c r="M126" s="47"/>
      <c r="N126" s="47"/>
      <c r="O126" s="47"/>
      <c r="P126" s="48"/>
      <c r="Q126" s="49"/>
      <c r="R126" s="49"/>
    </row>
    <row r="127" spans="2:19" x14ac:dyDescent="0.25">
      <c r="B127" s="40"/>
      <c r="C127" s="41"/>
      <c r="D127" s="42"/>
      <c r="E127" s="43"/>
      <c r="F127" s="44"/>
      <c r="G127" s="45"/>
      <c r="H127" s="46"/>
      <c r="I127" s="47"/>
      <c r="J127" s="47"/>
      <c r="K127" s="47"/>
      <c r="L127" s="47"/>
      <c r="M127" s="47"/>
      <c r="N127" s="47"/>
      <c r="O127" s="47"/>
      <c r="P127" s="48"/>
      <c r="Q127" s="49"/>
      <c r="R127" s="49"/>
    </row>
    <row r="128" spans="2:19" x14ac:dyDescent="0.25">
      <c r="B128" s="40"/>
      <c r="C128" s="41"/>
      <c r="D128" s="42"/>
      <c r="E128" s="43"/>
      <c r="F128" s="44"/>
      <c r="G128" s="45"/>
      <c r="H128" s="46"/>
      <c r="I128" s="47"/>
      <c r="J128" s="47"/>
      <c r="K128" s="47"/>
      <c r="L128" s="47"/>
      <c r="M128" s="47"/>
      <c r="N128" s="47"/>
      <c r="O128" s="47"/>
      <c r="P128" s="48"/>
      <c r="Q128" s="49"/>
      <c r="R128" s="49"/>
    </row>
    <row r="129" spans="2:12" x14ac:dyDescent="0.25">
      <c r="B129" s="40"/>
      <c r="C129" s="41"/>
      <c r="D129" s="42"/>
      <c r="E129" s="43"/>
      <c r="F129" s="44"/>
      <c r="G129" s="45"/>
      <c r="H129" s="46"/>
      <c r="I129" s="47"/>
      <c r="J129" s="47"/>
      <c r="K129" s="47"/>
      <c r="L129" s="47"/>
    </row>
    <row r="130" spans="2:12" ht="21" x14ac:dyDescent="0.25">
      <c r="D130" s="524" t="s">
        <v>15</v>
      </c>
      <c r="E130" s="524"/>
      <c r="F130" s="524"/>
      <c r="G130" s="524"/>
      <c r="H130" s="524"/>
      <c r="I130" s="524"/>
      <c r="J130" s="524"/>
      <c r="K130" s="524"/>
      <c r="L130" s="524"/>
    </row>
    <row r="131" spans="2:12" ht="15.75" x14ac:dyDescent="0.25">
      <c r="D131" s="73" t="s">
        <v>0</v>
      </c>
      <c r="E131" s="74" t="s">
        <v>26</v>
      </c>
      <c r="F131" s="74" t="s">
        <v>16</v>
      </c>
      <c r="G131" s="74" t="s">
        <v>5</v>
      </c>
      <c r="H131" s="74" t="s">
        <v>17</v>
      </c>
      <c r="I131" s="74" t="s">
        <v>7</v>
      </c>
      <c r="J131" s="75" t="s">
        <v>18</v>
      </c>
      <c r="K131" s="75" t="s">
        <v>19</v>
      </c>
      <c r="L131" s="76" t="s">
        <v>20</v>
      </c>
    </row>
    <row r="132" spans="2:12" x14ac:dyDescent="0.25">
      <c r="D132" s="50">
        <v>45260</v>
      </c>
      <c r="E132" s="80">
        <v>30112023</v>
      </c>
      <c r="F132" s="80" t="s">
        <v>2228</v>
      </c>
      <c r="G132" s="81">
        <f>1000+250+346.5+100</f>
        <v>1696.5</v>
      </c>
      <c r="H132" s="81">
        <f>extracto_banco_mes11[[#This Row],[NETO]]*0.21</f>
        <v>356.26499999999999</v>
      </c>
      <c r="I132" s="81"/>
      <c r="J132" s="81">
        <v>440</v>
      </c>
      <c r="K132" s="81">
        <v>330</v>
      </c>
      <c r="L132" s="81"/>
    </row>
    <row r="133" spans="2:12" x14ac:dyDescent="0.25">
      <c r="D133" s="50">
        <v>45260</v>
      </c>
      <c r="E133" s="80">
        <v>11202330</v>
      </c>
      <c r="F133" s="80" t="s">
        <v>2227</v>
      </c>
      <c r="G133" s="81">
        <f>4600+35+35+500+2.5</f>
        <v>5172.5</v>
      </c>
      <c r="H133" s="81">
        <f>extracto_banco_mes11[[#This Row],[NETO]]*0.21</f>
        <v>1086.2249999999999</v>
      </c>
      <c r="I133" s="81"/>
      <c r="J133" s="81">
        <v>184</v>
      </c>
      <c r="K133" s="81">
        <f>138</f>
        <v>138</v>
      </c>
      <c r="L133" s="81"/>
    </row>
    <row r="134" spans="2:12" x14ac:dyDescent="0.25">
      <c r="D134" s="50"/>
      <c r="E134" s="79"/>
      <c r="F134" s="80"/>
      <c r="G134" s="81"/>
      <c r="H134" s="81">
        <f>extracto_banco_mes11[[#This Row],[NETO]]*0.21</f>
        <v>0</v>
      </c>
      <c r="I134" s="81"/>
      <c r="J134" s="81"/>
      <c r="K134" s="81"/>
      <c r="L134" s="81"/>
    </row>
    <row r="135" spans="2:12" x14ac:dyDescent="0.25">
      <c r="D135" s="82" t="s">
        <v>110</v>
      </c>
      <c r="E135" s="80"/>
      <c r="F135" s="80"/>
      <c r="G135" s="83">
        <f>SUBTOTAL(109,extracto_banco_mes11[NETO])</f>
        <v>6869</v>
      </c>
      <c r="H135" s="83">
        <f>SUBTOTAL(109,extracto_banco_mes11[IVA 21%])</f>
        <v>1442.4899999999998</v>
      </c>
      <c r="I135" s="83">
        <f>SUBTOTAL(109,extracto_banco_mes11[IVA 10,5%])</f>
        <v>0</v>
      </c>
      <c r="J135" s="83">
        <f>SUBTOTAL(109,extracto_banco_mes11[RET IIBB CABA])</f>
        <v>624</v>
      </c>
      <c r="K135" s="83">
        <f>SUBTOTAL(109,extracto_banco_mes11[PERC IVA])</f>
        <v>468</v>
      </c>
      <c r="L135" s="83">
        <f>SUBTOTAL(109,extracto_banco_mes11[PERC IIBB])</f>
        <v>0</v>
      </c>
    </row>
    <row r="139" spans="2:12" ht="21" x14ac:dyDescent="0.25">
      <c r="D139" s="524" t="s">
        <v>25</v>
      </c>
      <c r="E139" s="524"/>
      <c r="F139" s="524"/>
      <c r="G139" s="524"/>
      <c r="H139" s="524"/>
      <c r="I139" s="524"/>
      <c r="J139" s="524"/>
      <c r="K139" s="524"/>
    </row>
    <row r="140" spans="2:12" x14ac:dyDescent="0.25">
      <c r="D140" s="51" t="s">
        <v>0</v>
      </c>
      <c r="E140" s="51" t="s">
        <v>2</v>
      </c>
      <c r="F140" s="51" t="s">
        <v>74</v>
      </c>
      <c r="G140" s="51" t="s">
        <v>3</v>
      </c>
      <c r="H140" s="51" t="s">
        <v>4</v>
      </c>
      <c r="I140" s="52" t="s">
        <v>10</v>
      </c>
      <c r="J140" s="51" t="s">
        <v>13</v>
      </c>
      <c r="K140" s="51" t="s">
        <v>38</v>
      </c>
    </row>
    <row r="141" spans="2:12" x14ac:dyDescent="0.25">
      <c r="D141" s="50">
        <v>45260</v>
      </c>
      <c r="E141" s="42">
        <v>1</v>
      </c>
      <c r="F141" s="43">
        <v>3</v>
      </c>
      <c r="G141" s="44">
        <v>27443612705</v>
      </c>
      <c r="H141" s="53" t="str">
        <f>IFERROR(IF(factura_c_mes11[[#This Row],[CUIT]]="","-",VLOOKUP(factura_c_mes11[[#This Row],[CUIT]],Lista_CUIT[#All],2,0)),"CUIT NO CARGADO")</f>
        <v>MIGOYA MORIONDO MARIA INES</v>
      </c>
      <c r="I141" s="81">
        <v>150000</v>
      </c>
      <c r="J141" s="54" t="str">
        <f>IFERROR(IF(factura_c_mes11[[#This Row],[CUIT]]="","-",VLOOKUP(factura_c_mes11[[#This Row],[CUIT]],Lista_CUIT[#All],3,0)),"CUIT NO CARGADO")</f>
        <v>ALQUILERES</v>
      </c>
      <c r="K141" s="54">
        <f>IFERROR(IF(factura_c_mes11[[#This Row],[CUIT]]="","-",VLOOKUP(factura_c_mes11[[#This Row],[CUIT]],Lista_CUIT[#All],4,0)),"CUIT NO CARGADO")</f>
        <v>0</v>
      </c>
    </row>
    <row r="142" spans="2:12" x14ac:dyDescent="0.25">
      <c r="D142" s="50">
        <v>45231</v>
      </c>
      <c r="E142" s="42">
        <v>3</v>
      </c>
      <c r="F142" s="43">
        <v>280</v>
      </c>
      <c r="G142" s="44">
        <v>23306035444</v>
      </c>
      <c r="H142" s="486" t="str">
        <f>IFERROR(IF(factura_c_mes11[[#This Row],[CUIT]]="","-",VLOOKUP(factura_c_mes11[[#This Row],[CUIT]],Lista_CUIT[#All],2,0)),"CUIT NO CARGADO")</f>
        <v>NADIA TARANTINO</v>
      </c>
      <c r="I142" s="487">
        <v>25615</v>
      </c>
      <c r="J142" s="488" t="str">
        <f>IFERROR(IF(factura_c_mes11[[#This Row],[CUIT]]="","-",VLOOKUP(factura_c_mes11[[#This Row],[CUIT]],Lista_CUIT[#All],3,0)),"CUIT NO CARGADO")</f>
        <v>GASTOS CONTABLES</v>
      </c>
      <c r="K142" s="488">
        <f>IFERROR(IF(factura_c_mes11[[#This Row],[CUIT]]="","-",VLOOKUP(factura_c_mes11[[#This Row],[CUIT]],Lista_CUIT[#All],4,0)),"CUIT NO CARGADO")</f>
        <v>0</v>
      </c>
    </row>
    <row r="143" spans="2:12" x14ac:dyDescent="0.25">
      <c r="D143" s="50">
        <v>45232</v>
      </c>
      <c r="E143" s="42">
        <v>1</v>
      </c>
      <c r="F143" s="43">
        <v>48</v>
      </c>
      <c r="G143" s="44">
        <v>20403969886</v>
      </c>
      <c r="H143" s="486" t="str">
        <f>IFERROR(IF(factura_c_mes11[[#This Row],[CUIT]]="","-",VLOOKUP(factura_c_mes11[[#This Row],[CUIT]],Lista_CUIT[#All],2,0)),"CUIT NO CARGADO")</f>
        <v>DEL GESSO FRANCO JESUS</v>
      </c>
      <c r="I143" s="487">
        <v>350225</v>
      </c>
      <c r="J143" s="488" t="str">
        <f>IFERROR(IF(factura_c_mes11[[#This Row],[CUIT]]="","-",VLOOKUP(factura_c_mes11[[#This Row],[CUIT]],Lista_CUIT[#All],3,0)),"CUIT NO CARGADO")</f>
        <v>GASTOS ADMINISTRATIVOS</v>
      </c>
      <c r="K143" s="488">
        <f>IFERROR(IF(factura_c_mes11[[#This Row],[CUIT]]="","-",VLOOKUP(factura_c_mes11[[#This Row],[CUIT]],Lista_CUIT[#All],4,0)),"CUIT NO CARGADO")</f>
        <v>0</v>
      </c>
    </row>
    <row r="144" spans="2:12" x14ac:dyDescent="0.25">
      <c r="D144" s="50">
        <v>45232</v>
      </c>
      <c r="E144" s="42">
        <v>3</v>
      </c>
      <c r="F144" s="43">
        <v>786</v>
      </c>
      <c r="G144" s="44">
        <v>20086277523</v>
      </c>
      <c r="H144" s="486" t="str">
        <f>IFERROR(IF(factura_c_mes11[[#This Row],[CUIT]]="","-",VLOOKUP(factura_c_mes11[[#This Row],[CUIT]],Lista_CUIT[#All],2,0)),"CUIT NO CARGADO")</f>
        <v>BOTINDARI JUAN CARLOS</v>
      </c>
      <c r="I144" s="487">
        <v>150000</v>
      </c>
      <c r="J144" s="488" t="str">
        <f>IFERROR(IF(factura_c_mes11[[#This Row],[CUIT]]="","-",VLOOKUP(factura_c_mes11[[#This Row],[CUIT]],Lista_CUIT[#All],3,0)),"CUIT NO CARGADO")</f>
        <v>HONORARIOS CONTABLES</v>
      </c>
      <c r="K144" s="488">
        <f>IFERROR(IF(factura_c_mes11[[#This Row],[CUIT]]="","-",VLOOKUP(factura_c_mes11[[#This Row],[CUIT]],Lista_CUIT[#All],4,0)),"CUIT NO CARGADO")</f>
        <v>0</v>
      </c>
    </row>
    <row r="145" spans="4:11" x14ac:dyDescent="0.25">
      <c r="D145" s="50">
        <v>45232</v>
      </c>
      <c r="E145" s="42">
        <v>1</v>
      </c>
      <c r="F145" s="43">
        <v>47</v>
      </c>
      <c r="G145" s="44">
        <v>20403969886</v>
      </c>
      <c r="H145" s="486" t="str">
        <f>IFERROR(IF(factura_c_mes11[[#This Row],[CUIT]]="","-",VLOOKUP(factura_c_mes11[[#This Row],[CUIT]],Lista_CUIT[#All],2,0)),"CUIT NO CARGADO")</f>
        <v>DEL GESSO FRANCO JESUS</v>
      </c>
      <c r="I145" s="487">
        <v>294710</v>
      </c>
      <c r="J145" s="488" t="str">
        <f>IFERROR(IF(factura_c_mes11[[#This Row],[CUIT]]="","-",VLOOKUP(factura_c_mes11[[#This Row],[CUIT]],Lista_CUIT[#All],3,0)),"CUIT NO CARGADO")</f>
        <v>GASTOS ADMINISTRATIVOS</v>
      </c>
      <c r="K145" s="488">
        <f>IFERROR(IF(factura_c_mes11[[#This Row],[CUIT]]="","-",VLOOKUP(factura_c_mes11[[#This Row],[CUIT]],Lista_CUIT[#All],4,0)),"CUIT NO CARGADO")</f>
        <v>0</v>
      </c>
    </row>
    <row r="146" spans="4:11" x14ac:dyDescent="0.25">
      <c r="D146" s="50">
        <v>45234</v>
      </c>
      <c r="E146" s="42">
        <v>2</v>
      </c>
      <c r="F146" s="43">
        <v>103</v>
      </c>
      <c r="G146" s="44">
        <v>20220423655</v>
      </c>
      <c r="H146" s="486" t="str">
        <f>IFERROR(IF(factura_c_mes11[[#This Row],[CUIT]]="","-",VLOOKUP(factura_c_mes11[[#This Row],[CUIT]],Lista_CUIT[#All],2,0)),"CUIT NO CARGADO")</f>
        <v>LANDRO FERNANDO GABRIEL</v>
      </c>
      <c r="I146" s="487">
        <v>303577</v>
      </c>
      <c r="J146" s="488" t="str">
        <f>IFERROR(IF(factura_c_mes11[[#This Row],[CUIT]]="","-",VLOOKUP(factura_c_mes11[[#This Row],[CUIT]],Lista_CUIT[#All],3,0)),"CUIT NO CARGADO")</f>
        <v>GESTION COBRANZAS</v>
      </c>
      <c r="K146" s="488">
        <f>IFERROR(IF(factura_c_mes11[[#This Row],[CUIT]]="","-",VLOOKUP(factura_c_mes11[[#This Row],[CUIT]],Lista_CUIT[#All],4,0)),"CUIT NO CARGADO")</f>
        <v>0</v>
      </c>
    </row>
    <row r="147" spans="4:11" x14ac:dyDescent="0.25">
      <c r="D147" s="50">
        <v>45234</v>
      </c>
      <c r="E147" s="42">
        <v>2</v>
      </c>
      <c r="F147" s="43">
        <v>104</v>
      </c>
      <c r="G147" s="44">
        <v>20220423655</v>
      </c>
      <c r="H147" s="486" t="str">
        <f>IFERROR(IF(factura_c_mes11[[#This Row],[CUIT]]="","-",VLOOKUP(factura_c_mes11[[#This Row],[CUIT]],Lista_CUIT[#All],2,0)),"CUIT NO CARGADO")</f>
        <v>LANDRO FERNANDO GABRIEL</v>
      </c>
      <c r="I147" s="487">
        <v>333630</v>
      </c>
      <c r="J147" s="488" t="str">
        <f>IFERROR(IF(factura_c_mes11[[#This Row],[CUIT]]="","-",VLOOKUP(factura_c_mes11[[#This Row],[CUIT]],Lista_CUIT[#All],3,0)),"CUIT NO CARGADO")</f>
        <v>GESTION COBRANZAS</v>
      </c>
      <c r="K147" s="488">
        <f>IFERROR(IF(factura_c_mes11[[#This Row],[CUIT]]="","-",VLOOKUP(factura_c_mes11[[#This Row],[CUIT]],Lista_CUIT[#All],4,0)),"CUIT NO CARGADO")</f>
        <v>0</v>
      </c>
    </row>
    <row r="148" spans="4:11" x14ac:dyDescent="0.25">
      <c r="D148" s="50">
        <v>45236</v>
      </c>
      <c r="E148" s="42">
        <v>2</v>
      </c>
      <c r="F148" s="43">
        <v>226</v>
      </c>
      <c r="G148" s="44">
        <v>27265832178</v>
      </c>
      <c r="H148" s="486" t="str">
        <f>IFERROR(IF(factura_c_mes11[[#This Row],[CUIT]]="","-",VLOOKUP(factura_c_mes11[[#This Row],[CUIT]],Lista_CUIT[#All],2,0)),"CUIT NO CARGADO")</f>
        <v>BLASCO MARIA GUADALUPE</v>
      </c>
      <c r="I148" s="487">
        <v>150000</v>
      </c>
      <c r="J148" s="488" t="str">
        <f>IFERROR(IF(factura_c_mes11[[#This Row],[CUIT]]="","-",VLOOKUP(factura_c_mes11[[#This Row],[CUIT]],Lista_CUIT[#All],3,0)),"CUIT NO CARGADO")</f>
        <v>Gastos Varios</v>
      </c>
      <c r="K148" s="488">
        <f>IFERROR(IF(factura_c_mes11[[#This Row],[CUIT]]="","-",VLOOKUP(factura_c_mes11[[#This Row],[CUIT]],Lista_CUIT[#All],4,0)),"CUIT NO CARGADO")</f>
        <v>0</v>
      </c>
    </row>
    <row r="149" spans="4:11" ht="18" customHeight="1" x14ac:dyDescent="0.25">
      <c r="D149" s="50">
        <v>45238</v>
      </c>
      <c r="E149" s="42">
        <v>3</v>
      </c>
      <c r="F149" s="43">
        <v>806</v>
      </c>
      <c r="G149" s="44">
        <v>20216451679</v>
      </c>
      <c r="H149" s="486" t="str">
        <f>IFERROR(IF(factura_c_mes11[[#This Row],[CUIT]]="","-",VLOOKUP(factura_c_mes11[[#This Row],[CUIT]],Lista_CUIT[#All],2,0)),"CUIT NO CARGADO")</f>
        <v>VAZQUEZ RICARDO OSCAR</v>
      </c>
      <c r="I149" s="487">
        <v>120000</v>
      </c>
      <c r="J149" s="488" t="str">
        <f>IFERROR(IF(factura_c_mes11[[#This Row],[CUIT]]="","-",VLOOKUP(factura_c_mes11[[#This Row],[CUIT]],Lista_CUIT[#All],3,0)),"CUIT NO CARGADO")</f>
        <v>Productos Ortopedicos</v>
      </c>
      <c r="K149" s="488">
        <f>IFERROR(IF(factura_c_mes11[[#This Row],[CUIT]]="","-",VLOOKUP(factura_c_mes11[[#This Row],[CUIT]],Lista_CUIT[#All],4,0)),"CUIT NO CARGADO")</f>
        <v>0</v>
      </c>
    </row>
    <row r="150" spans="4:11" x14ac:dyDescent="0.25">
      <c r="D150" s="50">
        <v>45239</v>
      </c>
      <c r="E150" s="42">
        <v>2</v>
      </c>
      <c r="F150" s="43">
        <v>2452</v>
      </c>
      <c r="G150" s="44">
        <v>20131202114</v>
      </c>
      <c r="H150" s="486" t="str">
        <f>IFERROR(IF(factura_c_mes11[[#This Row],[CUIT]]="","-",VLOOKUP(factura_c_mes11[[#This Row],[CUIT]],Lista_CUIT[#All],2,0)),"CUIT NO CARGADO")</f>
        <v>QUARATINO HUGO JOSE</v>
      </c>
      <c r="I150" s="487">
        <v>1900</v>
      </c>
      <c r="J150" s="488" t="str">
        <f>IFERROR(IF(factura_c_mes11[[#This Row],[CUIT]]="","-",VLOOKUP(factura_c_mes11[[#This Row],[CUIT]],Lista_CUIT[#All],3,0)),"CUIT NO CARGADO")</f>
        <v>Gastos Varios</v>
      </c>
      <c r="K150" s="488">
        <f>IFERROR(IF(factura_c_mes11[[#This Row],[CUIT]]="","-",VLOOKUP(factura_c_mes11[[#This Row],[CUIT]],Lista_CUIT[#All],4,0)),"CUIT NO CARGADO")</f>
        <v>0</v>
      </c>
    </row>
    <row r="151" spans="4:11" ht="17.25" customHeight="1" x14ac:dyDescent="0.25">
      <c r="D151" s="50">
        <v>45244</v>
      </c>
      <c r="E151" s="42">
        <v>5</v>
      </c>
      <c r="F151" s="43">
        <v>157</v>
      </c>
      <c r="G151" s="44">
        <v>27062343449</v>
      </c>
      <c r="H151" s="486" t="str">
        <f>IFERROR(IF(factura_c_mes11[[#This Row],[CUIT]]="","-",VLOOKUP(factura_c_mes11[[#This Row],[CUIT]],Lista_CUIT[#All],2,0)),"CUIT NO CARGADO")</f>
        <v>FERREIRS LILISNS INES</v>
      </c>
      <c r="I151" s="487">
        <v>205000</v>
      </c>
      <c r="J151" s="488" t="str">
        <f>IFERROR(IF(factura_c_mes11[[#This Row],[CUIT]]="","-",VLOOKUP(factura_c_mes11[[#This Row],[CUIT]],Lista_CUIT[#All],3,0)),"CUIT NO CARGADO")</f>
        <v>ALQUILERES</v>
      </c>
      <c r="K151" s="488">
        <f>IFERROR(IF(factura_c_mes11[[#This Row],[CUIT]]="","-",VLOOKUP(factura_c_mes11[[#This Row],[CUIT]],Lista_CUIT[#All],4,0)),"CUIT NO CARGADO")</f>
        <v>0</v>
      </c>
    </row>
    <row r="152" spans="4:11" x14ac:dyDescent="0.25">
      <c r="D152" s="50">
        <v>45245</v>
      </c>
      <c r="E152" s="42">
        <v>1</v>
      </c>
      <c r="F152" s="43">
        <v>60</v>
      </c>
      <c r="G152" s="44">
        <v>23281233084</v>
      </c>
      <c r="H152" s="486" t="str">
        <f>IFERROR(IF(factura_c_mes11[[#This Row],[CUIT]]="","-",VLOOKUP(factura_c_mes11[[#This Row],[CUIT]],Lista_CUIT[#All],2,0)),"CUIT NO CARGADO")</f>
        <v>DRUETTA ANDREA MARIEL</v>
      </c>
      <c r="I152" s="487">
        <v>72414</v>
      </c>
      <c r="J152" s="488" t="str">
        <f>IFERROR(IF(factura_c_mes11[[#This Row],[CUIT]]="","-",VLOOKUP(factura_c_mes11[[#This Row],[CUIT]],Lista_CUIT[#All],3,0)),"CUIT NO CARGADO")</f>
        <v>HONORARIOS TECNICOS</v>
      </c>
      <c r="K152" s="488">
        <f>IFERROR(IF(factura_c_mes11[[#This Row],[CUIT]]="","-",VLOOKUP(factura_c_mes11[[#This Row],[CUIT]],Lista_CUIT[#All],4,0)),"CUIT NO CARGADO")</f>
        <v>0</v>
      </c>
    </row>
    <row r="153" spans="4:11" x14ac:dyDescent="0.25">
      <c r="D153" s="50">
        <v>45246</v>
      </c>
      <c r="E153" s="42">
        <v>2</v>
      </c>
      <c r="F153" s="43">
        <v>230</v>
      </c>
      <c r="G153" s="44">
        <v>27265832178</v>
      </c>
      <c r="H153" s="486" t="str">
        <f>IFERROR(IF(factura_c_mes11[[#This Row],[CUIT]]="","-",VLOOKUP(factura_c_mes11[[#This Row],[CUIT]],Lista_CUIT[#All],2,0)),"CUIT NO CARGADO")</f>
        <v>BLASCO MARIA GUADALUPE</v>
      </c>
      <c r="I153" s="487">
        <v>150000</v>
      </c>
      <c r="J153" s="488" t="str">
        <f>IFERROR(IF(factura_c_mes11[[#This Row],[CUIT]]="","-",VLOOKUP(factura_c_mes11[[#This Row],[CUIT]],Lista_CUIT[#All],3,0)),"CUIT NO CARGADO")</f>
        <v>Gastos Varios</v>
      </c>
      <c r="K153" s="488">
        <f>IFERROR(IF(factura_c_mes11[[#This Row],[CUIT]]="","-",VLOOKUP(factura_c_mes11[[#This Row],[CUIT]],Lista_CUIT[#All],4,0)),"CUIT NO CARGADO")</f>
        <v>0</v>
      </c>
    </row>
    <row r="154" spans="4:11" x14ac:dyDescent="0.25">
      <c r="D154" s="50">
        <v>45251</v>
      </c>
      <c r="E154" s="42">
        <v>3</v>
      </c>
      <c r="F154" s="43">
        <v>820</v>
      </c>
      <c r="G154" s="44">
        <v>20216451679</v>
      </c>
      <c r="H154" s="486" t="str">
        <f>IFERROR(IF(factura_c_mes11[[#This Row],[CUIT]]="","-",VLOOKUP(factura_c_mes11[[#This Row],[CUIT]],Lista_CUIT[#All],2,0)),"CUIT NO CARGADO")</f>
        <v>VAZQUEZ RICARDO OSCAR</v>
      </c>
      <c r="I154" s="487">
        <v>120000</v>
      </c>
      <c r="J154" s="488" t="str">
        <f>IFERROR(IF(factura_c_mes11[[#This Row],[CUIT]]="","-",VLOOKUP(factura_c_mes11[[#This Row],[CUIT]],Lista_CUIT[#All],3,0)),"CUIT NO CARGADO")</f>
        <v>Productos Ortopedicos</v>
      </c>
      <c r="K154" s="488">
        <f>IFERROR(IF(factura_c_mes11[[#This Row],[CUIT]]="","-",VLOOKUP(factura_c_mes11[[#This Row],[CUIT]],Lista_CUIT[#All],4,0)),"CUIT NO CARGADO")</f>
        <v>0</v>
      </c>
    </row>
    <row r="155" spans="4:11" x14ac:dyDescent="0.25">
      <c r="D155" s="50">
        <v>45253</v>
      </c>
      <c r="E155" s="42">
        <v>1</v>
      </c>
      <c r="F155" s="43">
        <v>179</v>
      </c>
      <c r="G155" s="44">
        <v>27217606255</v>
      </c>
      <c r="H155" s="486" t="str">
        <f>IFERROR(IF(factura_c_mes11[[#This Row],[CUIT]]="","-",VLOOKUP(factura_c_mes11[[#This Row],[CUIT]],Lista_CUIT[#All],2,0)),"CUIT NO CARGADO")</f>
        <v>SAPUNA MARIAN KARINA</v>
      </c>
      <c r="I155" s="487">
        <v>73700</v>
      </c>
      <c r="J155" s="488" t="str">
        <f>IFERROR(IF(factura_c_mes11[[#This Row],[CUIT]]="","-",VLOOKUP(factura_c_mes11[[#This Row],[CUIT]],Lista_CUIT[#All],3,0)),"CUIT NO CARGADO")</f>
        <v>GASTOS MANTENIMIENTO</v>
      </c>
      <c r="K155" s="488">
        <f>IFERROR(IF(factura_c_mes11[[#This Row],[CUIT]]="","-",VLOOKUP(factura_c_mes11[[#This Row],[CUIT]],Lista_CUIT[#All],4,0)),"CUIT NO CARGADO")</f>
        <v>0</v>
      </c>
    </row>
    <row r="156" spans="4:11" x14ac:dyDescent="0.25">
      <c r="D156" s="50">
        <v>45253</v>
      </c>
      <c r="E156" s="42">
        <v>1</v>
      </c>
      <c r="F156" s="43">
        <v>180</v>
      </c>
      <c r="G156" s="44">
        <v>27217606255</v>
      </c>
      <c r="H156" s="486" t="str">
        <f>IFERROR(IF(factura_c_mes11[[#This Row],[CUIT]]="","-",VLOOKUP(factura_c_mes11[[#This Row],[CUIT]],Lista_CUIT[#All],2,0)),"CUIT NO CARGADO")</f>
        <v>SAPUNA MARIAN KARINA</v>
      </c>
      <c r="I156" s="487">
        <v>47850</v>
      </c>
      <c r="J156" s="488" t="str">
        <f>IFERROR(IF(factura_c_mes11[[#This Row],[CUIT]]="","-",VLOOKUP(factura_c_mes11[[#This Row],[CUIT]],Lista_CUIT[#All],3,0)),"CUIT NO CARGADO")</f>
        <v>GASTOS MANTENIMIENTO</v>
      </c>
      <c r="K156" s="488">
        <f>IFERROR(IF(factura_c_mes11[[#This Row],[CUIT]]="","-",VLOOKUP(factura_c_mes11[[#This Row],[CUIT]],Lista_CUIT[#All],4,0)),"CUIT NO CARGADO")</f>
        <v>0</v>
      </c>
    </row>
    <row r="157" spans="4:11" x14ac:dyDescent="0.25">
      <c r="D157" s="50">
        <v>45253</v>
      </c>
      <c r="E157" s="42">
        <v>1</v>
      </c>
      <c r="F157" s="43">
        <v>176</v>
      </c>
      <c r="G157" s="44">
        <v>27217606255</v>
      </c>
      <c r="H157" s="486" t="str">
        <f>IFERROR(IF(factura_c_mes11[[#This Row],[CUIT]]="","-",VLOOKUP(factura_c_mes11[[#This Row],[CUIT]],Lista_CUIT[#All],2,0)),"CUIT NO CARGADO")</f>
        <v>SAPUNA MARIAN KARINA</v>
      </c>
      <c r="I157" s="487">
        <v>61270</v>
      </c>
      <c r="J157" s="488" t="str">
        <f>IFERROR(IF(factura_c_mes11[[#This Row],[CUIT]]="","-",VLOOKUP(factura_c_mes11[[#This Row],[CUIT]],Lista_CUIT[#All],3,0)),"CUIT NO CARGADO")</f>
        <v>GASTOS MANTENIMIENTO</v>
      </c>
      <c r="K157" s="488">
        <f>IFERROR(IF(factura_c_mes11[[#This Row],[CUIT]]="","-",VLOOKUP(factura_c_mes11[[#This Row],[CUIT]],Lista_CUIT[#All],4,0)),"CUIT NO CARGADO")</f>
        <v>0</v>
      </c>
    </row>
    <row r="158" spans="4:11" x14ac:dyDescent="0.25">
      <c r="D158" s="50">
        <v>45253</v>
      </c>
      <c r="E158" s="42">
        <v>1</v>
      </c>
      <c r="F158" s="43">
        <v>177</v>
      </c>
      <c r="G158" s="44">
        <v>27217606255</v>
      </c>
      <c r="H158" s="486" t="str">
        <f>IFERROR(IF(factura_c_mes11[[#This Row],[CUIT]]="","-",VLOOKUP(factura_c_mes11[[#This Row],[CUIT]],Lista_CUIT[#All],2,0)),"CUIT NO CARGADO")</f>
        <v>SAPUNA MARIAN KARINA</v>
      </c>
      <c r="I158" s="487">
        <v>60500</v>
      </c>
      <c r="J158" s="488" t="str">
        <f>IFERROR(IF(factura_c_mes11[[#This Row],[CUIT]]="","-",VLOOKUP(factura_c_mes11[[#This Row],[CUIT]],Lista_CUIT[#All],3,0)),"CUIT NO CARGADO")</f>
        <v>GASTOS MANTENIMIENTO</v>
      </c>
      <c r="K158" s="488">
        <f>IFERROR(IF(factura_c_mes11[[#This Row],[CUIT]]="","-",VLOOKUP(factura_c_mes11[[#This Row],[CUIT]],Lista_CUIT[#All],4,0)),"CUIT NO CARGADO")</f>
        <v>0</v>
      </c>
    </row>
    <row r="159" spans="4:11" x14ac:dyDescent="0.25">
      <c r="D159" s="50">
        <v>45253</v>
      </c>
      <c r="E159" s="42">
        <v>1</v>
      </c>
      <c r="F159" s="43">
        <v>178</v>
      </c>
      <c r="G159" s="44">
        <v>27217606255</v>
      </c>
      <c r="H159" s="53" t="str">
        <f>IFERROR(IF(factura_c_mes11[[#This Row],[CUIT]]="","-",VLOOKUP(factura_c_mes11[[#This Row],[CUIT]],Lista_CUIT[#All],2,0)),"CUIT NO CARGADO")</f>
        <v>SAPUNA MARIAN KARINA</v>
      </c>
      <c r="I159" s="81">
        <v>105600</v>
      </c>
      <c r="J159" s="54" t="str">
        <f>IFERROR(IF(factura_c_mes11[[#This Row],[CUIT]]="","-",VLOOKUP(factura_c_mes11[[#This Row],[CUIT]],Lista_CUIT[#All],3,0)),"CUIT NO CARGADO")</f>
        <v>GASTOS MANTENIMIENTO</v>
      </c>
      <c r="K159" s="54">
        <f>IFERROR(IF(factura_c_mes11[[#This Row],[CUIT]]="","-",VLOOKUP(factura_c_mes11[[#This Row],[CUIT]],Lista_CUIT[#All],4,0)),"CUIT NO CARGADO")</f>
        <v>0</v>
      </c>
    </row>
    <row r="160" spans="4:11" x14ac:dyDescent="0.25">
      <c r="D160" s="50">
        <v>45258</v>
      </c>
      <c r="E160" s="42">
        <v>1</v>
      </c>
      <c r="F160" s="43">
        <v>115</v>
      </c>
      <c r="G160" s="44">
        <v>27338342840</v>
      </c>
      <c r="H160" s="53" t="str">
        <f>IFERROR(IF(factura_c_mes11[[#This Row],[CUIT]]="","-",VLOOKUP(factura_c_mes11[[#This Row],[CUIT]],Lista_CUIT[#All],2,0)),"CUIT NO CARGADO")</f>
        <v>CANCINO PAMELA RITA</v>
      </c>
      <c r="I160" s="81">
        <v>113000</v>
      </c>
      <c r="J160" s="54" t="str">
        <f>IFERROR(IF(factura_c_mes11[[#This Row],[CUIT]]="","-",VLOOKUP(factura_c_mes11[[#This Row],[CUIT]],Lista_CUIT[#All],3,0)),"CUIT NO CARGADO")</f>
        <v>Productos Ortopedicos</v>
      </c>
      <c r="K160" s="54">
        <f>IFERROR(IF(factura_c_mes11[[#This Row],[CUIT]]="","-",VLOOKUP(factura_c_mes11[[#This Row],[CUIT]],Lista_CUIT[#All],4,0)),"CUIT NO CARGADO")</f>
        <v>0</v>
      </c>
    </row>
    <row r="161" spans="2:18" ht="18" customHeight="1" x14ac:dyDescent="0.25">
      <c r="D161" s="55" t="s">
        <v>110</v>
      </c>
      <c r="E161" s="55"/>
      <c r="F161" s="55"/>
      <c r="G161" s="55"/>
      <c r="H161" s="57"/>
      <c r="I161" s="58">
        <f>SUBTOTAL(109,factura_c_mes11[TOTAL])</f>
        <v>2888991</v>
      </c>
      <c r="J161" s="55"/>
      <c r="K161" s="55"/>
    </row>
    <row r="162" spans="2:18" ht="21" customHeight="1" x14ac:dyDescent="0.25">
      <c r="B162" s="56"/>
      <c r="C162" s="56"/>
      <c r="L162" s="56"/>
      <c r="M162" s="56"/>
      <c r="N162" s="56"/>
      <c r="O162" s="56"/>
      <c r="P162" s="56"/>
      <c r="Q162" s="56"/>
      <c r="R162" s="56"/>
    </row>
    <row r="163" spans="2:18" ht="22.5" customHeight="1" x14ac:dyDescent="0.25"/>
    <row r="164" spans="2:18" ht="19.149999999999999" customHeight="1" x14ac:dyDescent="0.25"/>
    <row r="165" spans="2:18" ht="18.75" customHeight="1" x14ac:dyDescent="0.25"/>
    <row r="167" spans="2:18" ht="26.25" x14ac:dyDescent="0.25">
      <c r="B167" s="532" t="s">
        <v>29</v>
      </c>
      <c r="C167" s="532"/>
      <c r="D167" s="532"/>
      <c r="E167" s="532"/>
      <c r="F167" s="532"/>
      <c r="G167" s="532"/>
      <c r="H167" s="532"/>
      <c r="I167" s="532"/>
      <c r="J167" s="532"/>
      <c r="K167" s="528">
        <f>N1</f>
        <v>45231</v>
      </c>
      <c r="L167" s="528"/>
      <c r="M167" s="528"/>
    </row>
    <row r="169" spans="2:18" ht="21" x14ac:dyDescent="0.25">
      <c r="B169" s="525" t="s">
        <v>30</v>
      </c>
      <c r="C169" s="525"/>
    </row>
    <row r="170" spans="2:18" ht="31.5" x14ac:dyDescent="0.25">
      <c r="B170" s="60" t="s">
        <v>0</v>
      </c>
      <c r="C170" s="61" t="s">
        <v>1</v>
      </c>
      <c r="D170" s="61" t="s">
        <v>21</v>
      </c>
      <c r="E170" s="61" t="s">
        <v>22</v>
      </c>
      <c r="F170" s="61" t="s">
        <v>3</v>
      </c>
      <c r="G170" s="61" t="s">
        <v>4</v>
      </c>
      <c r="H170" s="61" t="s">
        <v>23</v>
      </c>
      <c r="I170" s="61" t="s">
        <v>17</v>
      </c>
      <c r="J170" s="61" t="s">
        <v>7</v>
      </c>
      <c r="K170" s="61" t="s">
        <v>24</v>
      </c>
      <c r="L170" s="61" t="s">
        <v>10</v>
      </c>
      <c r="M170" s="62" t="s">
        <v>38</v>
      </c>
    </row>
    <row r="171" spans="2:18" x14ac:dyDescent="0.25">
      <c r="B171" s="40"/>
      <c r="C171" s="41"/>
      <c r="D171" s="42"/>
      <c r="E171" s="43"/>
      <c r="F171" s="44"/>
      <c r="G171" s="99" t="str">
        <f>IFERROR(IF(venta_a_mes11[[#This Row],[CUIT]]="","-",VLOOKUP(venta_a_mes11[[#This Row],[CUIT]],Lista_CUIT[#All],2,0)),"CUIT NO CARGADO")</f>
        <v>-</v>
      </c>
      <c r="H171" s="100"/>
      <c r="I171" s="101">
        <f>venta_a_mes11[[#This Row],[IMPORTE NETO]]*0.21</f>
        <v>0</v>
      </c>
      <c r="J171" s="65"/>
      <c r="K171" s="65"/>
      <c r="L171" s="65">
        <f>SUM(venta_a_mes11[[#This Row],[IMPORTE NETO]:[EXENTO]])</f>
        <v>0</v>
      </c>
      <c r="M171" s="59"/>
    </row>
    <row r="172" spans="2:18" x14ac:dyDescent="0.25">
      <c r="B172" s="510"/>
      <c r="C172" s="41"/>
      <c r="D172" s="511"/>
      <c r="E172" s="512"/>
      <c r="F172" s="513"/>
      <c r="G172" s="514" t="str">
        <f>IFERROR(IF(venta_a_mes11[[#This Row],[CUIT]]="","-",VLOOKUP(venta_a_mes11[[#This Row],[CUIT]],Lista_CUIT[#All],2,0)),"CUIT NO CARGADO")</f>
        <v>-</v>
      </c>
      <c r="H172" s="100"/>
      <c r="I172" s="515">
        <f>venta_a_mes11[[#This Row],[IMPORTE NETO]]*0.21</f>
        <v>0</v>
      </c>
      <c r="J172" s="516"/>
      <c r="K172" s="516"/>
      <c r="L172" s="516">
        <f>SUM(venta_a_mes11[[#This Row],[IMPORTE NETO]:[EXENTO]])</f>
        <v>0</v>
      </c>
      <c r="M172" s="509"/>
    </row>
    <row r="173" spans="2:18" x14ac:dyDescent="0.25">
      <c r="B173" s="510"/>
      <c r="C173" s="41"/>
      <c r="D173" s="511"/>
      <c r="E173" s="512"/>
      <c r="F173" s="513"/>
      <c r="G173" s="514" t="str">
        <f>IFERROR(IF(venta_a_mes11[[#This Row],[CUIT]]="","-",VLOOKUP(venta_a_mes11[[#This Row],[CUIT]],Lista_CUIT[#All],2,0)),"CUIT NO CARGADO")</f>
        <v>-</v>
      </c>
      <c r="H173" s="100"/>
      <c r="I173" s="515">
        <f>venta_a_mes11[[#This Row],[IMPORTE NETO]]*0.21</f>
        <v>0</v>
      </c>
      <c r="J173" s="516"/>
      <c r="K173" s="516"/>
      <c r="L173" s="516">
        <f>SUM(venta_a_mes11[[#This Row],[IMPORTE NETO]:[EXENTO]])</f>
        <v>0</v>
      </c>
      <c r="M173" s="509"/>
    </row>
    <row r="174" spans="2:18" x14ac:dyDescent="0.25">
      <c r="B174" s="510"/>
      <c r="C174" s="41"/>
      <c r="D174" s="511"/>
      <c r="E174" s="512"/>
      <c r="F174" s="513"/>
      <c r="G174" s="514" t="str">
        <f>IFERROR(IF(venta_a_mes11[[#This Row],[CUIT]]="","-",VLOOKUP(venta_a_mes11[[#This Row],[CUIT]],Lista_CUIT[#All],2,0)),"CUIT NO CARGADO")</f>
        <v>-</v>
      </c>
      <c r="H174" s="100"/>
      <c r="I174" s="515">
        <f>venta_a_mes11[[#This Row],[IMPORTE NETO]]*0.21</f>
        <v>0</v>
      </c>
      <c r="J174" s="516"/>
      <c r="K174" s="516"/>
      <c r="L174" s="516">
        <f>SUM(venta_a_mes11[[#This Row],[IMPORTE NETO]:[EXENTO]])</f>
        <v>0</v>
      </c>
      <c r="M174" s="509"/>
    </row>
    <row r="175" spans="2:18" x14ac:dyDescent="0.25">
      <c r="B175" s="510"/>
      <c r="C175" s="41"/>
      <c r="D175" s="511"/>
      <c r="E175" s="512"/>
      <c r="F175" s="513"/>
      <c r="G175" s="514" t="str">
        <f>IFERROR(IF(venta_a_mes11[[#This Row],[CUIT]]="","-",VLOOKUP(venta_a_mes11[[#This Row],[CUIT]],Lista_CUIT[#All],2,0)),"CUIT NO CARGADO")</f>
        <v>-</v>
      </c>
      <c r="H175" s="100"/>
      <c r="I175" s="515">
        <f>venta_a_mes11[[#This Row],[IMPORTE NETO]]*0.21</f>
        <v>0</v>
      </c>
      <c r="J175" s="516"/>
      <c r="K175" s="516"/>
      <c r="L175" s="516">
        <f>SUM(venta_a_mes11[[#This Row],[IMPORTE NETO]:[EXENTO]])</f>
        <v>0</v>
      </c>
      <c r="M175" s="509"/>
    </row>
    <row r="176" spans="2:18" x14ac:dyDescent="0.25">
      <c r="B176" s="109"/>
      <c r="C176" s="110"/>
      <c r="D176" s="111"/>
      <c r="E176" s="112"/>
      <c r="F176" s="113"/>
      <c r="G176" s="99" t="str">
        <f>IFERROR(IF(venta_a_mes11[[#This Row],[CUIT]]="","-",VLOOKUP(venta_a_mes11[[#This Row],[CUIT]],Lista_CUIT[#All],2,0)),"CUIT NO CARGADO")</f>
        <v>-</v>
      </c>
      <c r="H176" s="100"/>
      <c r="I176" s="101">
        <f>venta_a_mes11[[#This Row],[IMPORTE NETO]]*0.21</f>
        <v>0</v>
      </c>
      <c r="J176" s="65"/>
      <c r="K176" s="65"/>
      <c r="L176" s="65">
        <f>SUM(venta_a_mes11[[#This Row],[IMPORTE NETO]:[EXENTO]])</f>
        <v>0</v>
      </c>
      <c r="M176" s="59"/>
    </row>
    <row r="177" spans="2:13" x14ac:dyDescent="0.25">
      <c r="B177" s="66" t="s">
        <v>110</v>
      </c>
      <c r="C177" s="67"/>
      <c r="D177" s="67"/>
      <c r="E177" s="67"/>
      <c r="F177" s="67"/>
      <c r="G177" s="67"/>
      <c r="H177" s="69">
        <f>SUBTOTAL(109,venta_a_mes11[IMPORTE NETO])</f>
        <v>0</v>
      </c>
      <c r="I177" s="70">
        <f>SUBTOTAL(109,venta_a_mes11[IVA 21%])</f>
        <v>0</v>
      </c>
      <c r="J177" s="71">
        <f>SUBTOTAL(109,venta_a_mes11[IVA 10,5%])</f>
        <v>0</v>
      </c>
      <c r="K177" s="71">
        <f>SUBTOTAL(109,venta_a_mes11[EXENTO])</f>
        <v>0</v>
      </c>
      <c r="L177" s="71">
        <f>SUBTOTAL(109,venta_a_mes11[TOTAL])</f>
        <v>0</v>
      </c>
      <c r="M177" s="68">
        <f>SUBTOTAL(103,venta_a_mes11[Provincia])</f>
        <v>0</v>
      </c>
    </row>
    <row r="180" spans="2:13" ht="21" x14ac:dyDescent="0.25">
      <c r="B180" s="525" t="s">
        <v>31</v>
      </c>
      <c r="C180" s="525"/>
    </row>
    <row r="181" spans="2:13" ht="31.5" x14ac:dyDescent="0.25">
      <c r="B181" s="60" t="s">
        <v>0</v>
      </c>
      <c r="C181" s="61" t="s">
        <v>1</v>
      </c>
      <c r="D181" s="61" t="s">
        <v>21</v>
      </c>
      <c r="E181" s="61" t="s">
        <v>22</v>
      </c>
      <c r="F181" s="61" t="s">
        <v>3</v>
      </c>
      <c r="G181" s="61" t="s">
        <v>4</v>
      </c>
      <c r="H181" s="61" t="s">
        <v>23</v>
      </c>
      <c r="I181" s="61" t="s">
        <v>17</v>
      </c>
      <c r="J181" s="61" t="s">
        <v>7</v>
      </c>
      <c r="K181" s="61" t="s">
        <v>24</v>
      </c>
      <c r="L181" s="61" t="s">
        <v>10</v>
      </c>
      <c r="M181" s="62" t="s">
        <v>38</v>
      </c>
    </row>
    <row r="182" spans="2:13" x14ac:dyDescent="0.25">
      <c r="B182" s="40"/>
      <c r="C182" s="41"/>
      <c r="D182" s="42"/>
      <c r="E182" s="43"/>
      <c r="F182" s="44"/>
      <c r="G182" s="1" t="str">
        <f>IFERROR(IF(ventas_b_mes11[[#This Row],[CUIT]]="","-",VLOOKUP(ventas_b_mes11[[#This Row],[CUIT]],Lista_CUIT[#All],2,0)),"CUIT NO CARGADO")</f>
        <v>-</v>
      </c>
      <c r="H182" s="64"/>
      <c r="I182" s="64"/>
      <c r="J182" s="64"/>
      <c r="K182" s="64"/>
      <c r="L182" s="64">
        <f>SUM(ventas_b_mes11[[#This Row],[IMPORTE NETO]:[EXENTO]])</f>
        <v>0</v>
      </c>
      <c r="M182" s="59"/>
    </row>
    <row r="183" spans="2:13" x14ac:dyDescent="0.25">
      <c r="B183" s="500"/>
      <c r="C183" s="41"/>
      <c r="D183" s="502"/>
      <c r="E183" s="503"/>
      <c r="F183" s="504"/>
      <c r="G183" s="505" t="str">
        <f>IFERROR(IF(ventas_b_mes11[[#This Row],[CUIT]]="","-",VLOOKUP(ventas_b_mes11[[#This Row],[CUIT]],Lista_CUIT[#All],2,0)),"CUIT NO CARGADO")</f>
        <v>-</v>
      </c>
      <c r="H183" s="506"/>
      <c r="I183" s="507"/>
      <c r="J183" s="508"/>
      <c r="K183" s="508"/>
      <c r="L183" s="508">
        <f>SUM(ventas_b_mes11[[#This Row],[IMPORTE NETO]:[EXENTO]])</f>
        <v>0</v>
      </c>
      <c r="M183" s="509"/>
    </row>
    <row r="184" spans="2:13" x14ac:dyDescent="0.25">
      <c r="B184" s="500"/>
      <c r="C184" s="41"/>
      <c r="D184" s="502"/>
      <c r="E184" s="503"/>
      <c r="F184" s="504"/>
      <c r="G184" s="505" t="str">
        <f>IFERROR(IF(ventas_b_mes11[[#This Row],[CUIT]]="","-",VLOOKUP(ventas_b_mes11[[#This Row],[CUIT]],Lista_CUIT[#All],2,0)),"CUIT NO CARGADO")</f>
        <v>-</v>
      </c>
      <c r="H184" s="506"/>
      <c r="I184" s="507"/>
      <c r="J184" s="508"/>
      <c r="K184" s="508"/>
      <c r="L184" s="508">
        <f>SUM(ventas_b_mes11[[#This Row],[IMPORTE NETO]:[EXENTO]])</f>
        <v>0</v>
      </c>
      <c r="M184" s="509"/>
    </row>
    <row r="185" spans="2:13" x14ac:dyDescent="0.25">
      <c r="B185" s="500"/>
      <c r="C185" s="41"/>
      <c r="D185" s="502"/>
      <c r="E185" s="503"/>
      <c r="F185" s="504"/>
      <c r="G185" s="505" t="str">
        <f>IFERROR(IF(ventas_b_mes11[[#This Row],[CUIT]]="","-",VLOOKUP(ventas_b_mes11[[#This Row],[CUIT]],Lista_CUIT[#All],2,0)),"CUIT NO CARGADO")</f>
        <v>-</v>
      </c>
      <c r="H185" s="506"/>
      <c r="I185" s="507"/>
      <c r="J185" s="508"/>
      <c r="K185" s="508"/>
      <c r="L185" s="508">
        <f>SUM(ventas_b_mes11[[#This Row],[IMPORTE NETO]:[EXENTO]])</f>
        <v>0</v>
      </c>
      <c r="M185" s="509"/>
    </row>
    <row r="186" spans="2:13" x14ac:dyDescent="0.25">
      <c r="B186" s="500"/>
      <c r="C186" s="41"/>
      <c r="D186" s="502"/>
      <c r="E186" s="503"/>
      <c r="F186" s="504"/>
      <c r="G186" s="505" t="str">
        <f>IFERROR(IF(ventas_b_mes11[[#This Row],[CUIT]]="","-",VLOOKUP(ventas_b_mes11[[#This Row],[CUIT]],Lista_CUIT[#All],2,0)),"CUIT NO CARGADO")</f>
        <v>-</v>
      </c>
      <c r="H186" s="506"/>
      <c r="I186" s="507"/>
      <c r="J186" s="508"/>
      <c r="K186" s="508"/>
      <c r="L186" s="508">
        <f>SUM(ventas_b_mes11[[#This Row],[IMPORTE NETO]:[EXENTO]])</f>
        <v>0</v>
      </c>
      <c r="M186" s="509"/>
    </row>
    <row r="187" spans="2:13" x14ac:dyDescent="0.25">
      <c r="B187" s="500"/>
      <c r="C187" s="41"/>
      <c r="D187" s="502"/>
      <c r="E187" s="503"/>
      <c r="F187" s="504"/>
      <c r="G187" s="505" t="str">
        <f>IFERROR(IF(ventas_b_mes11[[#This Row],[CUIT]]="","-",VLOOKUP(ventas_b_mes11[[#This Row],[CUIT]],Lista_CUIT[#All],2,0)),"CUIT NO CARGADO")</f>
        <v>-</v>
      </c>
      <c r="H187" s="506"/>
      <c r="I187" s="507"/>
      <c r="J187" s="508"/>
      <c r="K187" s="508"/>
      <c r="L187" s="508">
        <f>SUM(ventas_b_mes11[[#This Row],[IMPORTE NETO]:[EXENTO]])</f>
        <v>0</v>
      </c>
      <c r="M187" s="509"/>
    </row>
    <row r="188" spans="2:13" x14ac:dyDescent="0.25">
      <c r="B188" s="500"/>
      <c r="C188" s="41"/>
      <c r="D188" s="502"/>
      <c r="E188" s="503"/>
      <c r="F188" s="504"/>
      <c r="G188" s="505" t="str">
        <f>IFERROR(IF(ventas_b_mes11[[#This Row],[CUIT]]="","-",VLOOKUP(ventas_b_mes11[[#This Row],[CUIT]],Lista_CUIT[#All],2,0)),"CUIT NO CARGADO")</f>
        <v>-</v>
      </c>
      <c r="H188" s="506"/>
      <c r="I188" s="507"/>
      <c r="J188" s="508"/>
      <c r="K188" s="508"/>
      <c r="L188" s="508">
        <f>SUM(ventas_b_mes11[[#This Row],[IMPORTE NETO]:[EXENTO]])</f>
        <v>0</v>
      </c>
      <c r="M188" s="509"/>
    </row>
    <row r="189" spans="2:13" x14ac:dyDescent="0.25">
      <c r="B189" s="500"/>
      <c r="C189" s="41"/>
      <c r="D189" s="502"/>
      <c r="E189" s="503"/>
      <c r="F189" s="504"/>
      <c r="G189" s="505" t="str">
        <f>IFERROR(IF(ventas_b_mes11[[#This Row],[CUIT]]="","-",VLOOKUP(ventas_b_mes11[[#This Row],[CUIT]],Lista_CUIT[#All],2,0)),"CUIT NO CARGADO")</f>
        <v>-</v>
      </c>
      <c r="H189" s="506"/>
      <c r="I189" s="507"/>
      <c r="J189" s="508"/>
      <c r="K189" s="508"/>
      <c r="L189" s="508">
        <f>SUM(ventas_b_mes11[[#This Row],[IMPORTE NETO]:[EXENTO]])</f>
        <v>0</v>
      </c>
      <c r="M189" s="509"/>
    </row>
    <row r="190" spans="2:13" x14ac:dyDescent="0.25">
      <c r="B190" s="500"/>
      <c r="C190" s="41"/>
      <c r="D190" s="502"/>
      <c r="E190" s="503"/>
      <c r="F190" s="504"/>
      <c r="G190" s="505" t="str">
        <f>IFERROR(IF(ventas_b_mes11[[#This Row],[CUIT]]="","-",VLOOKUP(ventas_b_mes11[[#This Row],[CUIT]],Lista_CUIT[#All],2,0)),"CUIT NO CARGADO")</f>
        <v>-</v>
      </c>
      <c r="H190" s="506"/>
      <c r="I190" s="507"/>
      <c r="J190" s="508"/>
      <c r="K190" s="508"/>
      <c r="L190" s="508">
        <f>SUM(ventas_b_mes11[[#This Row],[IMPORTE NETO]:[EXENTO]])</f>
        <v>0</v>
      </c>
      <c r="M190" s="509"/>
    </row>
    <row r="191" spans="2:13" x14ac:dyDescent="0.25">
      <c r="B191" s="500"/>
      <c r="C191" s="41"/>
      <c r="D191" s="502"/>
      <c r="E191" s="503"/>
      <c r="F191" s="504"/>
      <c r="G191" s="505" t="str">
        <f>IFERROR(IF(ventas_b_mes11[[#This Row],[CUIT]]="","-",VLOOKUP(ventas_b_mes11[[#This Row],[CUIT]],Lista_CUIT[#All],2,0)),"CUIT NO CARGADO")</f>
        <v>-</v>
      </c>
      <c r="H191" s="506"/>
      <c r="I191" s="507"/>
      <c r="J191" s="508"/>
      <c r="K191" s="508"/>
      <c r="L191" s="508">
        <f>SUM(ventas_b_mes11[[#This Row],[IMPORTE NETO]:[EXENTO]])</f>
        <v>0</v>
      </c>
      <c r="M191" s="509"/>
    </row>
    <row r="192" spans="2:13" x14ac:dyDescent="0.25">
      <c r="B192" s="500"/>
      <c r="C192" s="41"/>
      <c r="D192" s="502"/>
      <c r="E192" s="503"/>
      <c r="F192" s="504"/>
      <c r="G192" s="505" t="str">
        <f>IFERROR(IF(ventas_b_mes11[[#This Row],[CUIT]]="","-",VLOOKUP(ventas_b_mes11[[#This Row],[CUIT]],Lista_CUIT[#All],2,0)),"CUIT NO CARGADO")</f>
        <v>-</v>
      </c>
      <c r="H192" s="506"/>
      <c r="I192" s="507"/>
      <c r="J192" s="508"/>
      <c r="K192" s="508"/>
      <c r="L192" s="508">
        <f>SUM(ventas_b_mes11[[#This Row],[IMPORTE NETO]:[EXENTO]])</f>
        <v>0</v>
      </c>
      <c r="M192" s="509"/>
    </row>
    <row r="193" spans="2:13" x14ac:dyDescent="0.25">
      <c r="B193" s="500"/>
      <c r="C193" s="41"/>
      <c r="D193" s="502"/>
      <c r="E193" s="503"/>
      <c r="F193" s="504"/>
      <c r="G193" s="505" t="str">
        <f>IFERROR(IF(ventas_b_mes11[[#This Row],[CUIT]]="","-",VLOOKUP(ventas_b_mes11[[#This Row],[CUIT]],Lista_CUIT[#All],2,0)),"CUIT NO CARGADO")</f>
        <v>-</v>
      </c>
      <c r="H193" s="506"/>
      <c r="I193" s="507"/>
      <c r="J193" s="508"/>
      <c r="K193" s="508"/>
      <c r="L193" s="508">
        <f>SUM(ventas_b_mes11[[#This Row],[IMPORTE NETO]:[EXENTO]])</f>
        <v>0</v>
      </c>
      <c r="M193" s="509"/>
    </row>
    <row r="194" spans="2:13" x14ac:dyDescent="0.25">
      <c r="B194" s="500"/>
      <c r="C194" s="41"/>
      <c r="D194" s="502"/>
      <c r="E194" s="503"/>
      <c r="F194" s="504"/>
      <c r="G194" s="505" t="str">
        <f>IFERROR(IF(ventas_b_mes11[[#This Row],[CUIT]]="","-",VLOOKUP(ventas_b_mes11[[#This Row],[CUIT]],Lista_CUIT[#All],2,0)),"CUIT NO CARGADO")</f>
        <v>-</v>
      </c>
      <c r="H194" s="506"/>
      <c r="I194" s="507"/>
      <c r="J194" s="508"/>
      <c r="K194" s="508"/>
      <c r="L194" s="508">
        <f>SUM(ventas_b_mes11[[#This Row],[IMPORTE NETO]:[EXENTO]])</f>
        <v>0</v>
      </c>
      <c r="M194" s="509"/>
    </row>
    <row r="195" spans="2:13" x14ac:dyDescent="0.25">
      <c r="B195" s="500"/>
      <c r="C195" s="41"/>
      <c r="D195" s="502"/>
      <c r="E195" s="503"/>
      <c r="F195" s="504"/>
      <c r="G195" s="505" t="str">
        <f>IFERROR(IF(ventas_b_mes11[[#This Row],[CUIT]]="","-",VLOOKUP(ventas_b_mes11[[#This Row],[CUIT]],Lista_CUIT[#All],2,0)),"CUIT NO CARGADO")</f>
        <v>-</v>
      </c>
      <c r="H195" s="506"/>
      <c r="I195" s="507"/>
      <c r="J195" s="508"/>
      <c r="K195" s="508"/>
      <c r="L195" s="508">
        <f>SUM(ventas_b_mes11[[#This Row],[IMPORTE NETO]:[EXENTO]])</f>
        <v>0</v>
      </c>
      <c r="M195" s="509"/>
    </row>
    <row r="196" spans="2:13" x14ac:dyDescent="0.25">
      <c r="B196" s="500"/>
      <c r="C196" s="41"/>
      <c r="D196" s="502"/>
      <c r="E196" s="503"/>
      <c r="F196" s="504"/>
      <c r="G196" s="505" t="str">
        <f>IFERROR(IF(ventas_b_mes11[[#This Row],[CUIT]]="","-",VLOOKUP(ventas_b_mes11[[#This Row],[CUIT]],Lista_CUIT[#All],2,0)),"CUIT NO CARGADO")</f>
        <v>-</v>
      </c>
      <c r="H196" s="506"/>
      <c r="I196" s="507"/>
      <c r="J196" s="508"/>
      <c r="K196" s="508"/>
      <c r="L196" s="508">
        <f>SUM(ventas_b_mes11[[#This Row],[IMPORTE NETO]:[EXENTO]])</f>
        <v>0</v>
      </c>
      <c r="M196" s="509"/>
    </row>
    <row r="197" spans="2:13" x14ac:dyDescent="0.25">
      <c r="B197" s="500"/>
      <c r="C197" s="41"/>
      <c r="D197" s="502"/>
      <c r="E197" s="503"/>
      <c r="F197" s="504"/>
      <c r="G197" s="505" t="str">
        <f>IFERROR(IF(ventas_b_mes11[[#This Row],[CUIT]]="","-",VLOOKUP(ventas_b_mes11[[#This Row],[CUIT]],Lista_CUIT[#All],2,0)),"CUIT NO CARGADO")</f>
        <v>-</v>
      </c>
      <c r="H197" s="506"/>
      <c r="I197" s="507"/>
      <c r="J197" s="508"/>
      <c r="K197" s="508"/>
      <c r="L197" s="508">
        <f>SUM(ventas_b_mes11[[#This Row],[IMPORTE NETO]:[EXENTO]])</f>
        <v>0</v>
      </c>
      <c r="M197" s="509"/>
    </row>
    <row r="198" spans="2:13" x14ac:dyDescent="0.25">
      <c r="B198" s="500"/>
      <c r="C198" s="41"/>
      <c r="D198" s="502"/>
      <c r="E198" s="503"/>
      <c r="F198" s="504"/>
      <c r="G198" s="505" t="str">
        <f>IFERROR(IF(ventas_b_mes11[[#This Row],[CUIT]]="","-",VLOOKUP(ventas_b_mes11[[#This Row],[CUIT]],Lista_CUIT[#All],2,0)),"CUIT NO CARGADO")</f>
        <v>-</v>
      </c>
      <c r="H198" s="506"/>
      <c r="I198" s="507"/>
      <c r="J198" s="508"/>
      <c r="K198" s="508"/>
      <c r="L198" s="508">
        <f>SUM(ventas_b_mes11[[#This Row],[IMPORTE NETO]:[EXENTO]])</f>
        <v>0</v>
      </c>
      <c r="M198" s="509"/>
    </row>
    <row r="199" spans="2:13" x14ac:dyDescent="0.25">
      <c r="B199" s="500"/>
      <c r="C199" s="41"/>
      <c r="D199" s="502"/>
      <c r="E199" s="503"/>
      <c r="F199" s="504"/>
      <c r="G199" s="505" t="str">
        <f>IFERROR(IF(ventas_b_mes11[[#This Row],[CUIT]]="","-",VLOOKUP(ventas_b_mes11[[#This Row],[CUIT]],Lista_CUIT[#All],2,0)),"CUIT NO CARGADO")</f>
        <v>-</v>
      </c>
      <c r="H199" s="506"/>
      <c r="I199" s="507"/>
      <c r="J199" s="508"/>
      <c r="K199" s="508"/>
      <c r="L199" s="508">
        <f>SUM(ventas_b_mes11[[#This Row],[IMPORTE NETO]:[EXENTO]])</f>
        <v>0</v>
      </c>
      <c r="M199" s="509"/>
    </row>
    <row r="200" spans="2:13" x14ac:dyDescent="0.25">
      <c r="B200" s="500"/>
      <c r="C200" s="41"/>
      <c r="D200" s="502"/>
      <c r="E200" s="503"/>
      <c r="F200" s="504"/>
      <c r="G200" s="505" t="str">
        <f>IFERROR(IF(ventas_b_mes11[[#This Row],[CUIT]]="","-",VLOOKUP(ventas_b_mes11[[#This Row],[CUIT]],Lista_CUIT[#All],2,0)),"CUIT NO CARGADO")</f>
        <v>-</v>
      </c>
      <c r="H200" s="506"/>
      <c r="I200" s="507"/>
      <c r="J200" s="508"/>
      <c r="K200" s="508"/>
      <c r="L200" s="508">
        <f>SUM(ventas_b_mes11[[#This Row],[IMPORTE NETO]:[EXENTO]])</f>
        <v>0</v>
      </c>
      <c r="M200" s="509"/>
    </row>
    <row r="201" spans="2:13" x14ac:dyDescent="0.25">
      <c r="B201" s="40"/>
      <c r="C201" s="41"/>
      <c r="D201" s="42"/>
      <c r="E201" s="43"/>
      <c r="F201" s="44"/>
      <c r="G201" s="1"/>
      <c r="H201" s="64"/>
      <c r="I201" s="64"/>
      <c r="J201" s="64"/>
      <c r="K201" s="64"/>
      <c r="L201" s="64">
        <f>SUM(ventas_b_mes11[[#This Row],[IMPORTE NETO]:[EXENTO]])</f>
        <v>0</v>
      </c>
      <c r="M201" s="59"/>
    </row>
    <row r="202" spans="2:13" x14ac:dyDescent="0.25">
      <c r="B202" s="40"/>
      <c r="C202" s="41"/>
      <c r="D202" s="42"/>
      <c r="E202" s="43"/>
      <c r="F202" s="44"/>
      <c r="G202" s="1"/>
      <c r="H202" s="64"/>
      <c r="I202" s="64"/>
      <c r="J202" s="64"/>
      <c r="K202" s="64"/>
      <c r="L202" s="64">
        <f>SUM(ventas_b_mes11[[#This Row],[IMPORTE NETO]:[EXENTO]])</f>
        <v>0</v>
      </c>
      <c r="M202" s="59"/>
    </row>
    <row r="203" spans="2:13" x14ac:dyDescent="0.25">
      <c r="B203" s="40"/>
      <c r="C203" s="41"/>
      <c r="D203" s="42"/>
      <c r="E203" s="43"/>
      <c r="F203" s="44"/>
      <c r="G203" s="1"/>
      <c r="H203" s="64"/>
      <c r="I203" s="64"/>
      <c r="J203" s="64"/>
      <c r="K203" s="64"/>
      <c r="L203" s="64">
        <f>SUM(ventas_b_mes11[[#This Row],[IMPORTE NETO]:[EXENTO]])</f>
        <v>0</v>
      </c>
      <c r="M203" s="59"/>
    </row>
    <row r="204" spans="2:13" x14ac:dyDescent="0.25">
      <c r="B204" s="40"/>
      <c r="C204" s="41"/>
      <c r="D204" s="42"/>
      <c r="E204" s="43"/>
      <c r="F204" s="44"/>
      <c r="G204" s="1"/>
      <c r="H204" s="64"/>
      <c r="I204" s="64"/>
      <c r="J204" s="64"/>
      <c r="K204" s="64"/>
      <c r="L204" s="64">
        <f>SUM(ventas_b_mes11[[#This Row],[IMPORTE NETO]:[EXENTO]])</f>
        <v>0</v>
      </c>
      <c r="M204" s="59"/>
    </row>
    <row r="205" spans="2:13" x14ac:dyDescent="0.25">
      <c r="B205" s="40"/>
      <c r="C205" s="41"/>
      <c r="D205" s="42"/>
      <c r="E205" s="43"/>
      <c r="F205" s="44"/>
      <c r="G205" s="1"/>
      <c r="H205" s="64"/>
      <c r="I205" s="64"/>
      <c r="J205" s="64"/>
      <c r="K205" s="64"/>
      <c r="L205" s="64">
        <f>SUM(ventas_b_mes11[[#This Row],[IMPORTE NETO]:[EXENTO]])</f>
        <v>0</v>
      </c>
      <c r="M205" s="59"/>
    </row>
    <row r="206" spans="2:13" x14ac:dyDescent="0.25">
      <c r="B206" s="500"/>
      <c r="C206" s="41"/>
      <c r="D206" s="502"/>
      <c r="E206" s="503"/>
      <c r="F206" s="504"/>
      <c r="G206" s="505" t="str">
        <f>IFERROR(IF(ventas_b_mes11[[#This Row],[CUIT]]="","-",VLOOKUP(ventas_b_mes11[[#This Row],[CUIT]],Lista_CUIT[#All],2,0)),"CUIT NO CARGADO")</f>
        <v>-</v>
      </c>
      <c r="H206" s="506"/>
      <c r="I206" s="507"/>
      <c r="J206" s="508"/>
      <c r="K206" s="508"/>
      <c r="L206" s="508">
        <f>SUM(ventas_b_mes11[[#This Row],[IMPORTE NETO]:[EXENTO]])</f>
        <v>0</v>
      </c>
      <c r="M206" s="509"/>
    </row>
    <row r="207" spans="2:13" x14ac:dyDescent="0.25">
      <c r="B207" s="500"/>
      <c r="C207" s="41"/>
      <c r="D207" s="502"/>
      <c r="E207" s="503"/>
      <c r="F207" s="504"/>
      <c r="G207" s="505" t="str">
        <f>IFERROR(IF(ventas_b_mes11[[#This Row],[CUIT]]="","-",VLOOKUP(ventas_b_mes11[[#This Row],[CUIT]],Lista_CUIT[#All],2,0)),"CUIT NO CARGADO")</f>
        <v>-</v>
      </c>
      <c r="H207" s="506"/>
      <c r="I207" s="507"/>
      <c r="J207" s="508"/>
      <c r="K207" s="508"/>
      <c r="L207" s="508">
        <f>SUM(ventas_b_mes11[[#This Row],[IMPORTE NETO]:[EXENTO]])</f>
        <v>0</v>
      </c>
      <c r="M207" s="509"/>
    </row>
    <row r="208" spans="2:13" x14ac:dyDescent="0.25">
      <c r="B208" s="500"/>
      <c r="C208" s="41"/>
      <c r="D208" s="502"/>
      <c r="E208" s="503"/>
      <c r="F208" s="504"/>
      <c r="G208" s="505" t="str">
        <f>IFERROR(IF(ventas_b_mes11[[#This Row],[CUIT]]="","-",VLOOKUP(ventas_b_mes11[[#This Row],[CUIT]],Lista_CUIT[#All],2,0)),"CUIT NO CARGADO")</f>
        <v>-</v>
      </c>
      <c r="H208" s="506"/>
      <c r="I208" s="507"/>
      <c r="J208" s="508"/>
      <c r="K208" s="508"/>
      <c r="L208" s="508">
        <f>SUM(ventas_b_mes11[[#This Row],[IMPORTE NETO]:[EXENTO]])</f>
        <v>0</v>
      </c>
      <c r="M208" s="509"/>
    </row>
    <row r="209" spans="2:13" x14ac:dyDescent="0.25">
      <c r="B209" s="500"/>
      <c r="C209" s="41"/>
      <c r="D209" s="502"/>
      <c r="E209" s="503"/>
      <c r="F209" s="504"/>
      <c r="G209" s="505" t="str">
        <f>IFERROR(IF(ventas_b_mes11[[#This Row],[CUIT]]="","-",VLOOKUP(ventas_b_mes11[[#This Row],[CUIT]],Lista_CUIT[#All],2,0)),"CUIT NO CARGADO")</f>
        <v>-</v>
      </c>
      <c r="H209" s="506"/>
      <c r="I209" s="507"/>
      <c r="J209" s="508"/>
      <c r="K209" s="508"/>
      <c r="L209" s="508">
        <f>SUM(ventas_b_mes11[[#This Row],[IMPORTE NETO]:[EXENTO]])</f>
        <v>0</v>
      </c>
      <c r="M209" s="509"/>
    </row>
    <row r="210" spans="2:13" x14ac:dyDescent="0.25">
      <c r="B210" s="500"/>
      <c r="C210" s="41"/>
      <c r="D210" s="502"/>
      <c r="E210" s="503"/>
      <c r="F210" s="504"/>
      <c r="G210" s="505" t="str">
        <f>IFERROR(IF(ventas_b_mes11[[#This Row],[CUIT]]="","-",VLOOKUP(ventas_b_mes11[[#This Row],[CUIT]],Lista_CUIT[#All],2,0)),"CUIT NO CARGADO")</f>
        <v>-</v>
      </c>
      <c r="H210" s="506"/>
      <c r="I210" s="507"/>
      <c r="J210" s="508"/>
      <c r="K210" s="508"/>
      <c r="L210" s="508">
        <f>SUM(ventas_b_mes11[[#This Row],[IMPORTE NETO]:[EXENTO]])</f>
        <v>0</v>
      </c>
      <c r="M210" s="509"/>
    </row>
    <row r="211" spans="2:13" x14ac:dyDescent="0.25">
      <c r="B211" s="500"/>
      <c r="C211" s="41"/>
      <c r="D211" s="502"/>
      <c r="E211" s="503"/>
      <c r="F211" s="504"/>
      <c r="G211" s="505" t="str">
        <f>IFERROR(IF(ventas_b_mes11[[#This Row],[CUIT]]="","-",VLOOKUP(ventas_b_mes11[[#This Row],[CUIT]],Lista_CUIT[#All],2,0)),"CUIT NO CARGADO")</f>
        <v>-</v>
      </c>
      <c r="H211" s="506"/>
      <c r="I211" s="507"/>
      <c r="J211" s="508"/>
      <c r="K211" s="508"/>
      <c r="L211" s="508">
        <f>SUM(ventas_b_mes11[[#This Row],[IMPORTE NETO]:[EXENTO]])</f>
        <v>0</v>
      </c>
      <c r="M211" s="509"/>
    </row>
    <row r="212" spans="2:13" x14ac:dyDescent="0.25">
      <c r="B212" s="500"/>
      <c r="C212" s="41"/>
      <c r="D212" s="502"/>
      <c r="E212" s="503"/>
      <c r="F212" s="504"/>
      <c r="G212" s="505" t="str">
        <f>IFERROR(IF(ventas_b_mes11[[#This Row],[CUIT]]="","-",VLOOKUP(ventas_b_mes11[[#This Row],[CUIT]],Lista_CUIT[#All],2,0)),"CUIT NO CARGADO")</f>
        <v>-</v>
      </c>
      <c r="H212" s="506"/>
      <c r="I212" s="507"/>
      <c r="J212" s="508"/>
      <c r="K212" s="508"/>
      <c r="L212" s="508">
        <f>SUM(ventas_b_mes11[[#This Row],[IMPORTE NETO]:[EXENTO]])</f>
        <v>0</v>
      </c>
      <c r="M212" s="509"/>
    </row>
    <row r="213" spans="2:13" x14ac:dyDescent="0.25">
      <c r="B213" s="500"/>
      <c r="C213" s="41"/>
      <c r="D213" s="502"/>
      <c r="E213" s="503"/>
      <c r="F213" s="504"/>
      <c r="G213" s="505" t="str">
        <f>IFERROR(IF(ventas_b_mes11[[#This Row],[CUIT]]="","-",VLOOKUP(ventas_b_mes11[[#This Row],[CUIT]],Lista_CUIT[#All],2,0)),"CUIT NO CARGADO")</f>
        <v>-</v>
      </c>
      <c r="H213" s="506"/>
      <c r="I213" s="507"/>
      <c r="J213" s="508"/>
      <c r="K213" s="508"/>
      <c r="L213" s="508">
        <f>SUM(ventas_b_mes11[[#This Row],[IMPORTE NETO]:[EXENTO]])</f>
        <v>0</v>
      </c>
      <c r="M213" s="509"/>
    </row>
    <row r="214" spans="2:13" x14ac:dyDescent="0.25">
      <c r="B214" s="500"/>
      <c r="C214" s="41"/>
      <c r="D214" s="502"/>
      <c r="E214" s="503"/>
      <c r="F214" s="504"/>
      <c r="G214" s="505" t="str">
        <f>IFERROR(IF(ventas_b_mes11[[#This Row],[CUIT]]="","-",VLOOKUP(ventas_b_mes11[[#This Row],[CUIT]],Lista_CUIT[#All],2,0)),"CUIT NO CARGADO")</f>
        <v>-</v>
      </c>
      <c r="H214" s="506"/>
      <c r="I214" s="507"/>
      <c r="J214" s="508"/>
      <c r="K214" s="508"/>
      <c r="L214" s="508">
        <f>SUM(ventas_b_mes11[[#This Row],[IMPORTE NETO]:[EXENTO]])</f>
        <v>0</v>
      </c>
      <c r="M214" s="509"/>
    </row>
    <row r="215" spans="2:13" x14ac:dyDescent="0.25">
      <c r="B215" s="500"/>
      <c r="C215" s="41"/>
      <c r="D215" s="502"/>
      <c r="E215" s="503"/>
      <c r="F215" s="504"/>
      <c r="G215" s="505" t="str">
        <f>IFERROR(IF(ventas_b_mes11[[#This Row],[CUIT]]="","-",VLOOKUP(ventas_b_mes11[[#This Row],[CUIT]],Lista_CUIT[#All],2,0)),"CUIT NO CARGADO")</f>
        <v>-</v>
      </c>
      <c r="H215" s="506"/>
      <c r="I215" s="507"/>
      <c r="J215" s="508"/>
      <c r="K215" s="508"/>
      <c r="L215" s="508">
        <f>SUM(ventas_b_mes11[[#This Row],[IMPORTE NETO]:[EXENTO]])</f>
        <v>0</v>
      </c>
      <c r="M215" s="509"/>
    </row>
    <row r="216" spans="2:13" x14ac:dyDescent="0.25">
      <c r="B216" s="500"/>
      <c r="C216" s="41"/>
      <c r="D216" s="502"/>
      <c r="E216" s="503"/>
      <c r="F216" s="504"/>
      <c r="G216" s="505" t="str">
        <f>IFERROR(IF(ventas_b_mes11[[#This Row],[CUIT]]="","-",VLOOKUP(ventas_b_mes11[[#This Row],[CUIT]],Lista_CUIT[#All],2,0)),"CUIT NO CARGADO")</f>
        <v>-</v>
      </c>
      <c r="H216" s="506"/>
      <c r="I216" s="507"/>
      <c r="J216" s="508"/>
      <c r="K216" s="508"/>
      <c r="L216" s="508">
        <f>SUM(ventas_b_mes11[[#This Row],[IMPORTE NETO]:[EXENTO]])</f>
        <v>0</v>
      </c>
      <c r="M216" s="509"/>
    </row>
    <row r="217" spans="2:13" x14ac:dyDescent="0.25">
      <c r="B217" s="500"/>
      <c r="C217" s="41"/>
      <c r="D217" s="502"/>
      <c r="E217" s="503"/>
      <c r="F217" s="504"/>
      <c r="G217" s="505" t="str">
        <f>IFERROR(IF(ventas_b_mes11[[#This Row],[CUIT]]="","-",VLOOKUP(ventas_b_mes11[[#This Row],[CUIT]],Lista_CUIT[#All],2,0)),"CUIT NO CARGADO")</f>
        <v>-</v>
      </c>
      <c r="H217" s="506"/>
      <c r="I217" s="507"/>
      <c r="J217" s="508"/>
      <c r="K217" s="508"/>
      <c r="L217" s="508">
        <f>SUM(ventas_b_mes11[[#This Row],[IMPORTE NETO]:[EXENTO]])</f>
        <v>0</v>
      </c>
      <c r="M217" s="509"/>
    </row>
    <row r="218" spans="2:13" x14ac:dyDescent="0.25">
      <c r="B218" s="500"/>
      <c r="C218" s="41"/>
      <c r="D218" s="502"/>
      <c r="E218" s="503"/>
      <c r="F218" s="504"/>
      <c r="G218" s="505" t="str">
        <f>IFERROR(IF(ventas_b_mes11[[#This Row],[CUIT]]="","-",VLOOKUP(ventas_b_mes11[[#This Row],[CUIT]],Lista_CUIT[#All],2,0)),"CUIT NO CARGADO")</f>
        <v>-</v>
      </c>
      <c r="H218" s="506"/>
      <c r="I218" s="507"/>
      <c r="J218" s="508"/>
      <c r="K218" s="508"/>
      <c r="L218" s="508">
        <f>SUM(ventas_b_mes11[[#This Row],[IMPORTE NETO]:[EXENTO]])</f>
        <v>0</v>
      </c>
      <c r="M218" s="509"/>
    </row>
    <row r="219" spans="2:13" x14ac:dyDescent="0.25">
      <c r="B219" s="500"/>
      <c r="C219" s="41"/>
      <c r="D219" s="502"/>
      <c r="E219" s="503"/>
      <c r="F219" s="504"/>
      <c r="G219" s="505" t="str">
        <f>IFERROR(IF(ventas_b_mes11[[#This Row],[CUIT]]="","-",VLOOKUP(ventas_b_mes11[[#This Row],[CUIT]],Lista_CUIT[#All],2,0)),"CUIT NO CARGADO")</f>
        <v>-</v>
      </c>
      <c r="H219" s="506"/>
      <c r="I219" s="507"/>
      <c r="J219" s="508"/>
      <c r="K219" s="508"/>
      <c r="L219" s="508">
        <f>SUM(ventas_b_mes11[[#This Row],[IMPORTE NETO]:[EXENTO]])</f>
        <v>0</v>
      </c>
      <c r="M219" s="509"/>
    </row>
    <row r="220" spans="2:13" x14ac:dyDescent="0.25">
      <c r="B220" s="500"/>
      <c r="C220" s="41"/>
      <c r="D220" s="502"/>
      <c r="E220" s="503"/>
      <c r="F220" s="504"/>
      <c r="G220" s="505" t="str">
        <f>IFERROR(IF(ventas_b_mes11[[#This Row],[CUIT]]="","-",VLOOKUP(ventas_b_mes11[[#This Row],[CUIT]],Lista_CUIT[#All],2,0)),"CUIT NO CARGADO")</f>
        <v>-</v>
      </c>
      <c r="H220" s="506"/>
      <c r="I220" s="507"/>
      <c r="J220" s="508"/>
      <c r="K220" s="508"/>
      <c r="L220" s="508">
        <f>SUM(ventas_b_mes11[[#This Row],[IMPORTE NETO]:[EXENTO]])</f>
        <v>0</v>
      </c>
      <c r="M220" s="509"/>
    </row>
    <row r="221" spans="2:13" x14ac:dyDescent="0.25">
      <c r="B221" s="500"/>
      <c r="C221" s="41"/>
      <c r="D221" s="502"/>
      <c r="E221" s="503"/>
      <c r="F221" s="504"/>
      <c r="G221" s="505" t="str">
        <f>IFERROR(IF(ventas_b_mes11[[#This Row],[CUIT]]="","-",VLOOKUP(ventas_b_mes11[[#This Row],[CUIT]],Lista_CUIT[#All],2,0)),"CUIT NO CARGADO")</f>
        <v>-</v>
      </c>
      <c r="H221" s="506"/>
      <c r="I221" s="507"/>
      <c r="J221" s="508"/>
      <c r="K221" s="508"/>
      <c r="L221" s="508">
        <f>SUM(ventas_b_mes11[[#This Row],[IMPORTE NETO]:[EXENTO]])</f>
        <v>0</v>
      </c>
      <c r="M221" s="509"/>
    </row>
    <row r="222" spans="2:13" x14ac:dyDescent="0.25">
      <c r="B222" s="500"/>
      <c r="C222" s="41"/>
      <c r="D222" s="502"/>
      <c r="E222" s="503"/>
      <c r="F222" s="504"/>
      <c r="G222" s="505" t="str">
        <f>IFERROR(IF(ventas_b_mes11[[#This Row],[CUIT]]="","-",VLOOKUP(ventas_b_mes11[[#This Row],[CUIT]],Lista_CUIT[#All],2,0)),"CUIT NO CARGADO")</f>
        <v>-</v>
      </c>
      <c r="H222" s="506"/>
      <c r="I222" s="507"/>
      <c r="J222" s="508"/>
      <c r="K222" s="508"/>
      <c r="L222" s="508">
        <f>SUM(ventas_b_mes11[[#This Row],[IMPORTE NETO]:[EXENTO]])</f>
        <v>0</v>
      </c>
      <c r="M222" s="509"/>
    </row>
    <row r="223" spans="2:13" x14ac:dyDescent="0.25">
      <c r="B223" s="500"/>
      <c r="C223" s="41"/>
      <c r="D223" s="502"/>
      <c r="E223" s="503"/>
      <c r="F223" s="504"/>
      <c r="G223" s="505" t="str">
        <f>IFERROR(IF(ventas_b_mes11[[#This Row],[CUIT]]="","-",VLOOKUP(ventas_b_mes11[[#This Row],[CUIT]],Lista_CUIT[#All],2,0)),"CUIT NO CARGADO")</f>
        <v>-</v>
      </c>
      <c r="H223" s="506"/>
      <c r="I223" s="507"/>
      <c r="J223" s="508"/>
      <c r="K223" s="508"/>
      <c r="L223" s="508">
        <f>SUM(ventas_b_mes11[[#This Row],[IMPORTE NETO]:[EXENTO]])</f>
        <v>0</v>
      </c>
      <c r="M223" s="509"/>
    </row>
    <row r="224" spans="2:13" x14ac:dyDescent="0.25">
      <c r="B224" s="500"/>
      <c r="C224" s="41"/>
      <c r="D224" s="502"/>
      <c r="E224" s="503"/>
      <c r="F224" s="504"/>
      <c r="G224" s="505" t="str">
        <f>IFERROR(IF(ventas_b_mes11[[#This Row],[CUIT]]="","-",VLOOKUP(ventas_b_mes11[[#This Row],[CUIT]],Lista_CUIT[#All],2,0)),"CUIT NO CARGADO")</f>
        <v>-</v>
      </c>
      <c r="H224" s="506"/>
      <c r="I224" s="507"/>
      <c r="J224" s="508"/>
      <c r="K224" s="508"/>
      <c r="L224" s="508">
        <f>SUM(ventas_b_mes11[[#This Row],[IMPORTE NETO]:[EXENTO]])</f>
        <v>0</v>
      </c>
      <c r="M224" s="509"/>
    </row>
    <row r="225" spans="2:13" x14ac:dyDescent="0.25">
      <c r="B225" s="500"/>
      <c r="C225" s="41"/>
      <c r="D225" s="502"/>
      <c r="E225" s="503"/>
      <c r="F225" s="504"/>
      <c r="G225" s="505" t="str">
        <f>IFERROR(IF(ventas_b_mes11[[#This Row],[CUIT]]="","-",VLOOKUP(ventas_b_mes11[[#This Row],[CUIT]],Lista_CUIT[#All],2,0)),"CUIT NO CARGADO")</f>
        <v>-</v>
      </c>
      <c r="H225" s="506"/>
      <c r="I225" s="507"/>
      <c r="J225" s="508"/>
      <c r="K225" s="508"/>
      <c r="L225" s="508">
        <f>SUM(ventas_b_mes11[[#This Row],[IMPORTE NETO]:[EXENTO]])</f>
        <v>0</v>
      </c>
      <c r="M225" s="509"/>
    </row>
    <row r="226" spans="2:13" x14ac:dyDescent="0.25">
      <c r="B226" s="500"/>
      <c r="C226" s="41"/>
      <c r="D226" s="502"/>
      <c r="E226" s="503"/>
      <c r="F226" s="504"/>
      <c r="G226" s="505" t="str">
        <f>IFERROR(IF(ventas_b_mes11[[#This Row],[CUIT]]="","-",VLOOKUP(ventas_b_mes11[[#This Row],[CUIT]],Lista_CUIT[#All],2,0)),"CUIT NO CARGADO")</f>
        <v>-</v>
      </c>
      <c r="H226" s="506"/>
      <c r="I226" s="507"/>
      <c r="J226" s="508"/>
      <c r="K226" s="508"/>
      <c r="L226" s="508">
        <f>SUM(ventas_b_mes11[[#This Row],[IMPORTE NETO]:[EXENTO]])</f>
        <v>0</v>
      </c>
      <c r="M226" s="509"/>
    </row>
    <row r="227" spans="2:13" x14ac:dyDescent="0.25">
      <c r="B227" s="500"/>
      <c r="C227" s="41"/>
      <c r="D227" s="502"/>
      <c r="E227" s="503"/>
      <c r="F227" s="504"/>
      <c r="G227" s="505" t="str">
        <f>IFERROR(IF(ventas_b_mes11[[#This Row],[CUIT]]="","-",VLOOKUP(ventas_b_mes11[[#This Row],[CUIT]],Lista_CUIT[#All],2,0)),"CUIT NO CARGADO")</f>
        <v>-</v>
      </c>
      <c r="H227" s="506"/>
      <c r="I227" s="507"/>
      <c r="J227" s="508"/>
      <c r="K227" s="508"/>
      <c r="L227" s="508">
        <f>SUM(ventas_b_mes11[[#This Row],[IMPORTE NETO]:[EXENTO]])</f>
        <v>0</v>
      </c>
      <c r="M227" s="509"/>
    </row>
    <row r="228" spans="2:13" x14ac:dyDescent="0.25">
      <c r="B228" s="500"/>
      <c r="C228" s="41"/>
      <c r="D228" s="502"/>
      <c r="E228" s="503"/>
      <c r="F228" s="504"/>
      <c r="G228" s="505" t="str">
        <f>IFERROR(IF(ventas_b_mes11[[#This Row],[CUIT]]="","-",VLOOKUP(ventas_b_mes11[[#This Row],[CUIT]],Lista_CUIT[#All],2,0)),"CUIT NO CARGADO")</f>
        <v>-</v>
      </c>
      <c r="H228" s="506"/>
      <c r="I228" s="507"/>
      <c r="J228" s="508"/>
      <c r="K228" s="508"/>
      <c r="L228" s="508">
        <f>SUM(ventas_b_mes11[[#This Row],[IMPORTE NETO]:[EXENTO]])</f>
        <v>0</v>
      </c>
      <c r="M228" s="509"/>
    </row>
    <row r="229" spans="2:13" x14ac:dyDescent="0.25">
      <c r="B229" s="500"/>
      <c r="C229" s="41"/>
      <c r="D229" s="502"/>
      <c r="E229" s="503"/>
      <c r="F229" s="504"/>
      <c r="G229" s="505" t="str">
        <f>IFERROR(IF(ventas_b_mes11[[#This Row],[CUIT]]="","-",VLOOKUP(ventas_b_mes11[[#This Row],[CUIT]],Lista_CUIT[#All],2,0)),"CUIT NO CARGADO")</f>
        <v>-</v>
      </c>
      <c r="H229" s="506"/>
      <c r="I229" s="507"/>
      <c r="J229" s="508"/>
      <c r="K229" s="508"/>
      <c r="L229" s="508">
        <f>SUM(ventas_b_mes11[[#This Row],[IMPORTE NETO]:[EXENTO]])</f>
        <v>0</v>
      </c>
      <c r="M229" s="509"/>
    </row>
    <row r="230" spans="2:13" x14ac:dyDescent="0.25">
      <c r="B230" s="500"/>
      <c r="C230" s="41"/>
      <c r="D230" s="502"/>
      <c r="E230" s="503"/>
      <c r="F230" s="504"/>
      <c r="G230" s="505" t="str">
        <f>IFERROR(IF(ventas_b_mes11[[#This Row],[CUIT]]="","-",VLOOKUP(ventas_b_mes11[[#This Row],[CUIT]],Lista_CUIT[#All],2,0)),"CUIT NO CARGADO")</f>
        <v>-</v>
      </c>
      <c r="H230" s="506"/>
      <c r="I230" s="507"/>
      <c r="J230" s="508"/>
      <c r="K230" s="508"/>
      <c r="L230" s="508">
        <f>SUM(ventas_b_mes11[[#This Row],[IMPORTE NETO]:[EXENTO]])</f>
        <v>0</v>
      </c>
      <c r="M230" s="509"/>
    </row>
    <row r="231" spans="2:13" x14ac:dyDescent="0.25">
      <c r="B231" s="500"/>
      <c r="C231" s="41"/>
      <c r="D231" s="502"/>
      <c r="E231" s="503"/>
      <c r="F231" s="504"/>
      <c r="G231" s="505" t="str">
        <f>IFERROR(IF(ventas_b_mes11[[#This Row],[CUIT]]="","-",VLOOKUP(ventas_b_mes11[[#This Row],[CUIT]],Lista_CUIT[#All],2,0)),"CUIT NO CARGADO")</f>
        <v>-</v>
      </c>
      <c r="H231" s="506"/>
      <c r="I231" s="507"/>
      <c r="J231" s="508"/>
      <c r="K231" s="508"/>
      <c r="L231" s="508">
        <f>SUM(ventas_b_mes11[[#This Row],[IMPORTE NETO]:[EXENTO]])</f>
        <v>0</v>
      </c>
      <c r="M231" s="509"/>
    </row>
    <row r="232" spans="2:13" x14ac:dyDescent="0.25">
      <c r="B232" s="500"/>
      <c r="C232" s="41"/>
      <c r="D232" s="502"/>
      <c r="E232" s="503"/>
      <c r="F232" s="504"/>
      <c r="G232" s="505" t="str">
        <f>IFERROR(IF(ventas_b_mes11[[#This Row],[CUIT]]="","-",VLOOKUP(ventas_b_mes11[[#This Row],[CUIT]],Lista_CUIT[#All],2,0)),"CUIT NO CARGADO")</f>
        <v>-</v>
      </c>
      <c r="H232" s="506"/>
      <c r="I232" s="507"/>
      <c r="J232" s="508"/>
      <c r="K232" s="508"/>
      <c r="L232" s="508">
        <f>SUM(ventas_b_mes11[[#This Row],[IMPORTE NETO]:[EXENTO]])</f>
        <v>0</v>
      </c>
      <c r="M232" s="509"/>
    </row>
    <row r="233" spans="2:13" x14ac:dyDescent="0.25">
      <c r="B233" s="500"/>
      <c r="C233" s="41"/>
      <c r="D233" s="502"/>
      <c r="E233" s="503"/>
      <c r="F233" s="504"/>
      <c r="G233" s="505" t="str">
        <f>IFERROR(IF(ventas_b_mes11[[#This Row],[CUIT]]="","-",VLOOKUP(ventas_b_mes11[[#This Row],[CUIT]],Lista_CUIT[#All],2,0)),"CUIT NO CARGADO")</f>
        <v>-</v>
      </c>
      <c r="H233" s="506"/>
      <c r="I233" s="507"/>
      <c r="J233" s="508"/>
      <c r="K233" s="508"/>
      <c r="L233" s="508">
        <f>SUM(ventas_b_mes11[[#This Row],[IMPORTE NETO]:[EXENTO]])</f>
        <v>0</v>
      </c>
      <c r="M233" s="509"/>
    </row>
    <row r="234" spans="2:13" x14ac:dyDescent="0.25">
      <c r="B234" s="500"/>
      <c r="C234" s="41"/>
      <c r="D234" s="502"/>
      <c r="E234" s="503"/>
      <c r="F234" s="504"/>
      <c r="G234" s="505" t="str">
        <f>IFERROR(IF(ventas_b_mes11[[#This Row],[CUIT]]="","-",VLOOKUP(ventas_b_mes11[[#This Row],[CUIT]],Lista_CUIT[#All],2,0)),"CUIT NO CARGADO")</f>
        <v>-</v>
      </c>
      <c r="H234" s="506"/>
      <c r="I234" s="507"/>
      <c r="J234" s="508"/>
      <c r="K234" s="508"/>
      <c r="L234" s="508">
        <f>SUM(ventas_b_mes11[[#This Row],[IMPORTE NETO]:[EXENTO]])</f>
        <v>0</v>
      </c>
      <c r="M234" s="509"/>
    </row>
    <row r="235" spans="2:13" x14ac:dyDescent="0.25">
      <c r="B235" s="500"/>
      <c r="C235" s="41"/>
      <c r="D235" s="502"/>
      <c r="E235" s="503"/>
      <c r="F235" s="504"/>
      <c r="G235" s="505" t="str">
        <f>IFERROR(IF(ventas_b_mes11[[#This Row],[CUIT]]="","-",VLOOKUP(ventas_b_mes11[[#This Row],[CUIT]],Lista_CUIT[#All],2,0)),"CUIT NO CARGADO")</f>
        <v>-</v>
      </c>
      <c r="H235" s="506"/>
      <c r="I235" s="507"/>
      <c r="J235" s="508"/>
      <c r="K235" s="508"/>
      <c r="L235" s="508">
        <f>SUM(ventas_b_mes11[[#This Row],[IMPORTE NETO]:[EXENTO]])</f>
        <v>0</v>
      </c>
      <c r="M235" s="509"/>
    </row>
    <row r="236" spans="2:13" x14ac:dyDescent="0.25">
      <c r="B236" s="500"/>
      <c r="C236" s="41"/>
      <c r="D236" s="502"/>
      <c r="E236" s="503"/>
      <c r="F236" s="504"/>
      <c r="G236" s="505" t="str">
        <f>IFERROR(IF(ventas_b_mes11[[#This Row],[CUIT]]="","-",VLOOKUP(ventas_b_mes11[[#This Row],[CUIT]],Lista_CUIT[#All],2,0)),"CUIT NO CARGADO")</f>
        <v>-</v>
      </c>
      <c r="H236" s="506"/>
      <c r="I236" s="507"/>
      <c r="J236" s="508"/>
      <c r="K236" s="508"/>
      <c r="L236" s="508">
        <f>SUM(ventas_b_mes11[[#This Row],[IMPORTE NETO]:[EXENTO]])</f>
        <v>0</v>
      </c>
      <c r="M236" s="509"/>
    </row>
    <row r="237" spans="2:13" x14ac:dyDescent="0.25">
      <c r="B237" s="500"/>
      <c r="C237" s="41"/>
      <c r="D237" s="502"/>
      <c r="E237" s="503"/>
      <c r="F237" s="504"/>
      <c r="G237" s="505" t="str">
        <f>IFERROR(IF(ventas_b_mes11[[#This Row],[CUIT]]="","-",VLOOKUP(ventas_b_mes11[[#This Row],[CUIT]],Lista_CUIT[#All],2,0)),"CUIT NO CARGADO")</f>
        <v>-</v>
      </c>
      <c r="H237" s="506"/>
      <c r="I237" s="507"/>
      <c r="J237" s="508"/>
      <c r="K237" s="508"/>
      <c r="L237" s="508">
        <f>SUM(ventas_b_mes11[[#This Row],[IMPORTE NETO]:[EXENTO]])</f>
        <v>0</v>
      </c>
      <c r="M237" s="509"/>
    </row>
    <row r="238" spans="2:13" x14ac:dyDescent="0.25">
      <c r="B238" s="500"/>
      <c r="C238" s="41"/>
      <c r="D238" s="502"/>
      <c r="E238" s="503"/>
      <c r="F238" s="504"/>
      <c r="G238" s="505" t="str">
        <f>IFERROR(IF(ventas_b_mes11[[#This Row],[CUIT]]="","-",VLOOKUP(ventas_b_mes11[[#This Row],[CUIT]],Lista_CUIT[#All],2,0)),"CUIT NO CARGADO")</f>
        <v>-</v>
      </c>
      <c r="H238" s="506"/>
      <c r="I238" s="507"/>
      <c r="J238" s="508"/>
      <c r="K238" s="508"/>
      <c r="L238" s="508">
        <f>SUM(ventas_b_mes11[[#This Row],[IMPORTE NETO]:[EXENTO]])</f>
        <v>0</v>
      </c>
      <c r="M238" s="509"/>
    </row>
    <row r="239" spans="2:13" x14ac:dyDescent="0.25">
      <c r="B239" s="500"/>
      <c r="C239" s="41"/>
      <c r="D239" s="502"/>
      <c r="E239" s="503"/>
      <c r="F239" s="504"/>
      <c r="G239" s="505" t="str">
        <f>IFERROR(IF(ventas_b_mes11[[#This Row],[CUIT]]="","-",VLOOKUP(ventas_b_mes11[[#This Row],[CUIT]],Lista_CUIT[#All],2,0)),"CUIT NO CARGADO")</f>
        <v>-</v>
      </c>
      <c r="H239" s="506"/>
      <c r="I239" s="507"/>
      <c r="J239" s="508"/>
      <c r="K239" s="508"/>
      <c r="L239" s="508">
        <f>SUM(ventas_b_mes11[[#This Row],[IMPORTE NETO]:[EXENTO]])</f>
        <v>0</v>
      </c>
      <c r="M239" s="509"/>
    </row>
    <row r="240" spans="2:13" x14ac:dyDescent="0.25">
      <c r="B240" s="500"/>
      <c r="C240" s="41"/>
      <c r="D240" s="502"/>
      <c r="E240" s="503"/>
      <c r="F240" s="504"/>
      <c r="G240" s="505" t="str">
        <f>IFERROR(IF(ventas_b_mes11[[#This Row],[CUIT]]="","-",VLOOKUP(ventas_b_mes11[[#This Row],[CUIT]],Lista_CUIT[#All],2,0)),"CUIT NO CARGADO")</f>
        <v>-</v>
      </c>
      <c r="H240" s="506"/>
      <c r="I240" s="507"/>
      <c r="J240" s="508"/>
      <c r="K240" s="508"/>
      <c r="L240" s="508">
        <f>SUM(ventas_b_mes11[[#This Row],[IMPORTE NETO]:[EXENTO]])</f>
        <v>0</v>
      </c>
      <c r="M240" s="509"/>
    </row>
    <row r="241" spans="2:13" x14ac:dyDescent="0.25">
      <c r="B241" s="500"/>
      <c r="C241" s="41"/>
      <c r="D241" s="502"/>
      <c r="E241" s="503"/>
      <c r="F241" s="504"/>
      <c r="G241" s="505" t="str">
        <f>IFERROR(IF(ventas_b_mes11[[#This Row],[CUIT]]="","-",VLOOKUP(ventas_b_mes11[[#This Row],[CUIT]],Lista_CUIT[#All],2,0)),"CUIT NO CARGADO")</f>
        <v>-</v>
      </c>
      <c r="H241" s="506"/>
      <c r="I241" s="507"/>
      <c r="J241" s="508"/>
      <c r="K241" s="508"/>
      <c r="L241" s="508">
        <f>SUM(ventas_b_mes11[[#This Row],[IMPORTE NETO]:[EXENTO]])</f>
        <v>0</v>
      </c>
      <c r="M241" s="509"/>
    </row>
    <row r="242" spans="2:13" x14ac:dyDescent="0.25">
      <c r="B242" s="500"/>
      <c r="C242" s="41"/>
      <c r="D242" s="502"/>
      <c r="E242" s="503"/>
      <c r="F242" s="504"/>
      <c r="G242" s="505" t="str">
        <f>IFERROR(IF(ventas_b_mes11[[#This Row],[CUIT]]="","-",VLOOKUP(ventas_b_mes11[[#This Row],[CUIT]],Lista_CUIT[#All],2,0)),"CUIT NO CARGADO")</f>
        <v>-</v>
      </c>
      <c r="H242" s="506"/>
      <c r="I242" s="507"/>
      <c r="J242" s="508"/>
      <c r="K242" s="508"/>
      <c r="L242" s="508">
        <f>SUM(ventas_b_mes11[[#This Row],[IMPORTE NETO]:[EXENTO]])</f>
        <v>0</v>
      </c>
      <c r="M242" s="509"/>
    </row>
    <row r="243" spans="2:13" x14ac:dyDescent="0.25">
      <c r="B243" s="500"/>
      <c r="C243" s="41"/>
      <c r="D243" s="502"/>
      <c r="E243" s="503"/>
      <c r="F243" s="504"/>
      <c r="G243" s="505" t="str">
        <f>IFERROR(IF(ventas_b_mes11[[#This Row],[CUIT]]="","-",VLOOKUP(ventas_b_mes11[[#This Row],[CUIT]],Lista_CUIT[#All],2,0)),"CUIT NO CARGADO")</f>
        <v>-</v>
      </c>
      <c r="H243" s="506"/>
      <c r="I243" s="507"/>
      <c r="J243" s="508"/>
      <c r="K243" s="508"/>
      <c r="L243" s="508">
        <f>SUM(ventas_b_mes11[[#This Row],[IMPORTE NETO]:[EXENTO]])</f>
        <v>0</v>
      </c>
      <c r="M243" s="509"/>
    </row>
    <row r="244" spans="2:13" x14ac:dyDescent="0.25">
      <c r="B244" s="500"/>
      <c r="C244" s="41"/>
      <c r="D244" s="502"/>
      <c r="E244" s="503"/>
      <c r="F244" s="504"/>
      <c r="G244" s="505" t="str">
        <f>IFERROR(IF(ventas_b_mes11[[#This Row],[CUIT]]="","-",VLOOKUP(ventas_b_mes11[[#This Row],[CUIT]],Lista_CUIT[#All],2,0)),"CUIT NO CARGADO")</f>
        <v>-</v>
      </c>
      <c r="H244" s="506"/>
      <c r="I244" s="507"/>
      <c r="J244" s="508"/>
      <c r="K244" s="508"/>
      <c r="L244" s="508">
        <f>SUM(ventas_b_mes11[[#This Row],[IMPORTE NETO]:[EXENTO]])</f>
        <v>0</v>
      </c>
      <c r="M244" s="509"/>
    </row>
    <row r="245" spans="2:13" x14ac:dyDescent="0.25">
      <c r="B245" s="500"/>
      <c r="C245" s="41"/>
      <c r="D245" s="502"/>
      <c r="E245" s="503"/>
      <c r="F245" s="504"/>
      <c r="G245" s="505" t="str">
        <f>IFERROR(IF(ventas_b_mes11[[#This Row],[CUIT]]="","-",VLOOKUP(ventas_b_mes11[[#This Row],[CUIT]],Lista_CUIT[#All],2,0)),"CUIT NO CARGADO")</f>
        <v>-</v>
      </c>
      <c r="H245" s="506"/>
      <c r="I245" s="507"/>
      <c r="J245" s="508"/>
      <c r="K245" s="508"/>
      <c r="L245" s="508">
        <f>SUM(ventas_b_mes11[[#This Row],[IMPORTE NETO]:[EXENTO]])</f>
        <v>0</v>
      </c>
      <c r="M245" s="509"/>
    </row>
    <row r="246" spans="2:13" x14ac:dyDescent="0.25">
      <c r="B246" s="500"/>
      <c r="C246" s="41"/>
      <c r="D246" s="502"/>
      <c r="E246" s="503"/>
      <c r="F246" s="504"/>
      <c r="G246" s="505" t="str">
        <f>IFERROR(IF(ventas_b_mes11[[#This Row],[CUIT]]="","-",VLOOKUP(ventas_b_mes11[[#This Row],[CUIT]],Lista_CUIT[#All],2,0)),"CUIT NO CARGADO")</f>
        <v>-</v>
      </c>
      <c r="H246" s="506"/>
      <c r="I246" s="507"/>
      <c r="J246" s="508"/>
      <c r="K246" s="508"/>
      <c r="L246" s="508">
        <f>SUM(ventas_b_mes11[[#This Row],[IMPORTE NETO]:[EXENTO]])</f>
        <v>0</v>
      </c>
      <c r="M246" s="509"/>
    </row>
    <row r="247" spans="2:13" x14ac:dyDescent="0.25">
      <c r="B247" s="500"/>
      <c r="C247" s="41"/>
      <c r="D247" s="502"/>
      <c r="E247" s="503"/>
      <c r="F247" s="504"/>
      <c r="G247" s="505" t="str">
        <f>IFERROR(IF(ventas_b_mes11[[#This Row],[CUIT]]="","-",VLOOKUP(ventas_b_mes11[[#This Row],[CUIT]],Lista_CUIT[#All],2,0)),"CUIT NO CARGADO")</f>
        <v>-</v>
      </c>
      <c r="H247" s="506"/>
      <c r="I247" s="507"/>
      <c r="J247" s="508"/>
      <c r="K247" s="508"/>
      <c r="L247" s="508">
        <f>SUM(ventas_b_mes11[[#This Row],[IMPORTE NETO]:[EXENTO]])</f>
        <v>0</v>
      </c>
      <c r="M247" s="509"/>
    </row>
    <row r="248" spans="2:13" x14ac:dyDescent="0.25">
      <c r="B248" s="500"/>
      <c r="C248" s="41"/>
      <c r="D248" s="502"/>
      <c r="E248" s="503"/>
      <c r="F248" s="504"/>
      <c r="G248" s="505" t="str">
        <f>IFERROR(IF(ventas_b_mes11[[#This Row],[CUIT]]="","-",VLOOKUP(ventas_b_mes11[[#This Row],[CUIT]],Lista_CUIT[#All],2,0)),"CUIT NO CARGADO")</f>
        <v>-</v>
      </c>
      <c r="H248" s="506"/>
      <c r="I248" s="507"/>
      <c r="J248" s="508"/>
      <c r="K248" s="508"/>
      <c r="L248" s="508">
        <f>SUM(ventas_b_mes11[[#This Row],[IMPORTE NETO]:[EXENTO]])</f>
        <v>0</v>
      </c>
      <c r="M248" s="509"/>
    </row>
    <row r="249" spans="2:13" x14ac:dyDescent="0.25">
      <c r="B249" s="500"/>
      <c r="C249" s="41"/>
      <c r="D249" s="502"/>
      <c r="E249" s="503"/>
      <c r="F249" s="504"/>
      <c r="G249" s="505" t="str">
        <f>IFERROR(IF(ventas_b_mes11[[#This Row],[CUIT]]="","-",VLOOKUP(ventas_b_mes11[[#This Row],[CUIT]],Lista_CUIT[#All],2,0)),"CUIT NO CARGADO")</f>
        <v>-</v>
      </c>
      <c r="H249" s="506"/>
      <c r="I249" s="507"/>
      <c r="J249" s="508"/>
      <c r="K249" s="508"/>
      <c r="L249" s="508">
        <f>SUM(ventas_b_mes11[[#This Row],[IMPORTE NETO]:[EXENTO]])</f>
        <v>0</v>
      </c>
      <c r="M249" s="509"/>
    </row>
    <row r="250" spans="2:13" x14ac:dyDescent="0.25">
      <c r="B250" s="500"/>
      <c r="C250" s="41"/>
      <c r="D250" s="502"/>
      <c r="E250" s="503"/>
      <c r="F250" s="504"/>
      <c r="G250" s="505" t="str">
        <f>IFERROR(IF(ventas_b_mes11[[#This Row],[CUIT]]="","-",VLOOKUP(ventas_b_mes11[[#This Row],[CUIT]],Lista_CUIT[#All],2,0)),"CUIT NO CARGADO")</f>
        <v>-</v>
      </c>
      <c r="H250" s="506"/>
      <c r="I250" s="507"/>
      <c r="J250" s="508"/>
      <c r="K250" s="508"/>
      <c r="L250" s="508">
        <f>SUM(ventas_b_mes11[[#This Row],[IMPORTE NETO]:[EXENTO]])</f>
        <v>0</v>
      </c>
      <c r="M250" s="509"/>
    </row>
    <row r="251" spans="2:13" x14ac:dyDescent="0.25">
      <c r="B251" s="500"/>
      <c r="C251" s="41"/>
      <c r="D251" s="502"/>
      <c r="E251" s="503"/>
      <c r="F251" s="504"/>
      <c r="G251" s="505" t="str">
        <f>IFERROR(IF(ventas_b_mes11[[#This Row],[CUIT]]="","-",VLOOKUP(ventas_b_mes11[[#This Row],[CUIT]],Lista_CUIT[#All],2,0)),"CUIT NO CARGADO")</f>
        <v>-</v>
      </c>
      <c r="H251" s="506"/>
      <c r="I251" s="507"/>
      <c r="J251" s="508"/>
      <c r="K251" s="508"/>
      <c r="L251" s="508">
        <f>SUM(ventas_b_mes11[[#This Row],[IMPORTE NETO]:[EXENTO]])</f>
        <v>0</v>
      </c>
      <c r="M251" s="509"/>
    </row>
    <row r="252" spans="2:13" x14ac:dyDescent="0.25">
      <c r="B252" s="500"/>
      <c r="C252" s="41"/>
      <c r="D252" s="502"/>
      <c r="E252" s="503"/>
      <c r="F252" s="504"/>
      <c r="G252" s="505" t="str">
        <f>IFERROR(IF(ventas_b_mes11[[#This Row],[CUIT]]="","-",VLOOKUP(ventas_b_mes11[[#This Row],[CUIT]],Lista_CUIT[#All],2,0)),"CUIT NO CARGADO")</f>
        <v>-</v>
      </c>
      <c r="H252" s="506"/>
      <c r="I252" s="507"/>
      <c r="J252" s="508"/>
      <c r="K252" s="508"/>
      <c r="L252" s="508">
        <f>SUM(ventas_b_mes11[[#This Row],[IMPORTE NETO]:[EXENTO]])</f>
        <v>0</v>
      </c>
      <c r="M252" s="509"/>
    </row>
    <row r="253" spans="2:13" x14ac:dyDescent="0.25">
      <c r="B253" s="500"/>
      <c r="C253" s="41"/>
      <c r="D253" s="502"/>
      <c r="E253" s="503"/>
      <c r="F253" s="504"/>
      <c r="G253" s="505" t="str">
        <f>IFERROR(IF(ventas_b_mes11[[#This Row],[CUIT]]="","-",VLOOKUP(ventas_b_mes11[[#This Row],[CUIT]],Lista_CUIT[#All],2,0)),"CUIT NO CARGADO")</f>
        <v>-</v>
      </c>
      <c r="H253" s="506"/>
      <c r="I253" s="507"/>
      <c r="J253" s="508"/>
      <c r="K253" s="508"/>
      <c r="L253" s="508">
        <f>SUM(ventas_b_mes11[[#This Row],[IMPORTE NETO]:[EXENTO]])</f>
        <v>0</v>
      </c>
      <c r="M253" s="509"/>
    </row>
    <row r="254" spans="2:13" x14ac:dyDescent="0.25">
      <c r="B254" s="500"/>
      <c r="C254" s="41"/>
      <c r="D254" s="502"/>
      <c r="E254" s="503"/>
      <c r="F254" s="504"/>
      <c r="G254" s="505" t="str">
        <f>IFERROR(IF(ventas_b_mes11[[#This Row],[CUIT]]="","-",VLOOKUP(ventas_b_mes11[[#This Row],[CUIT]],Lista_CUIT[#All],2,0)),"CUIT NO CARGADO")</f>
        <v>-</v>
      </c>
      <c r="H254" s="506"/>
      <c r="I254" s="507"/>
      <c r="J254" s="508"/>
      <c r="K254" s="508"/>
      <c r="L254" s="508">
        <f>SUM(ventas_b_mes11[[#This Row],[IMPORTE NETO]:[EXENTO]])</f>
        <v>0</v>
      </c>
      <c r="M254" s="509"/>
    </row>
    <row r="255" spans="2:13" x14ac:dyDescent="0.25">
      <c r="B255" s="500"/>
      <c r="C255" s="41"/>
      <c r="D255" s="502"/>
      <c r="E255" s="503"/>
      <c r="F255" s="504"/>
      <c r="G255" s="505" t="str">
        <f>IFERROR(IF(ventas_b_mes11[[#This Row],[CUIT]]="","-",VLOOKUP(ventas_b_mes11[[#This Row],[CUIT]],Lista_CUIT[#All],2,0)),"CUIT NO CARGADO")</f>
        <v>-</v>
      </c>
      <c r="H255" s="506"/>
      <c r="I255" s="507"/>
      <c r="J255" s="508"/>
      <c r="K255" s="508"/>
      <c r="L255" s="508">
        <f>SUM(ventas_b_mes11[[#This Row],[IMPORTE NETO]:[EXENTO]])</f>
        <v>0</v>
      </c>
      <c r="M255" s="509"/>
    </row>
    <row r="256" spans="2:13" x14ac:dyDescent="0.25">
      <c r="B256" s="500"/>
      <c r="C256" s="41"/>
      <c r="D256" s="502"/>
      <c r="E256" s="503"/>
      <c r="F256" s="504"/>
      <c r="G256" s="505" t="str">
        <f>IFERROR(IF(ventas_b_mes11[[#This Row],[CUIT]]="","-",VLOOKUP(ventas_b_mes11[[#This Row],[CUIT]],Lista_CUIT[#All],2,0)),"CUIT NO CARGADO")</f>
        <v>-</v>
      </c>
      <c r="H256" s="506"/>
      <c r="I256" s="507"/>
      <c r="J256" s="508"/>
      <c r="K256" s="508"/>
      <c r="L256" s="508">
        <f>SUM(ventas_b_mes11[[#This Row],[IMPORTE NETO]:[EXENTO]])</f>
        <v>0</v>
      </c>
      <c r="M256" s="509"/>
    </row>
    <row r="257" spans="2:13" x14ac:dyDescent="0.25">
      <c r="B257" s="500"/>
      <c r="C257" s="41"/>
      <c r="D257" s="502"/>
      <c r="E257" s="503"/>
      <c r="F257" s="504"/>
      <c r="G257" s="505" t="str">
        <f>IFERROR(IF(ventas_b_mes11[[#This Row],[CUIT]]="","-",VLOOKUP(ventas_b_mes11[[#This Row],[CUIT]],Lista_CUIT[#All],2,0)),"CUIT NO CARGADO")</f>
        <v>-</v>
      </c>
      <c r="H257" s="506"/>
      <c r="I257" s="507"/>
      <c r="J257" s="508"/>
      <c r="K257" s="508"/>
      <c r="L257" s="508">
        <f>SUM(ventas_b_mes11[[#This Row],[IMPORTE NETO]:[EXENTO]])</f>
        <v>0</v>
      </c>
      <c r="M257" s="509"/>
    </row>
    <row r="258" spans="2:13" x14ac:dyDescent="0.25">
      <c r="B258" s="500"/>
      <c r="C258" s="41"/>
      <c r="D258" s="502"/>
      <c r="E258" s="503"/>
      <c r="F258" s="504"/>
      <c r="G258" s="505" t="str">
        <f>IFERROR(IF(ventas_b_mes11[[#This Row],[CUIT]]="","-",VLOOKUP(ventas_b_mes11[[#This Row],[CUIT]],Lista_CUIT[#All],2,0)),"CUIT NO CARGADO")</f>
        <v>-</v>
      </c>
      <c r="H258" s="506"/>
      <c r="I258" s="507"/>
      <c r="J258" s="508"/>
      <c r="K258" s="508"/>
      <c r="L258" s="508">
        <f>SUM(ventas_b_mes11[[#This Row],[IMPORTE NETO]:[EXENTO]])</f>
        <v>0</v>
      </c>
      <c r="M258" s="509"/>
    </row>
    <row r="259" spans="2:13" x14ac:dyDescent="0.25">
      <c r="B259" s="500"/>
      <c r="C259" s="41"/>
      <c r="D259" s="502"/>
      <c r="E259" s="503"/>
      <c r="F259" s="504"/>
      <c r="G259" s="505" t="str">
        <f>IFERROR(IF(ventas_b_mes11[[#This Row],[CUIT]]="","-",VLOOKUP(ventas_b_mes11[[#This Row],[CUIT]],Lista_CUIT[#All],2,0)),"CUIT NO CARGADO")</f>
        <v>-</v>
      </c>
      <c r="H259" s="506"/>
      <c r="I259" s="507"/>
      <c r="J259" s="508"/>
      <c r="K259" s="508"/>
      <c r="L259" s="508">
        <f>SUM(ventas_b_mes11[[#This Row],[IMPORTE NETO]:[EXENTO]])</f>
        <v>0</v>
      </c>
      <c r="M259" s="509"/>
    </row>
    <row r="260" spans="2:13" x14ac:dyDescent="0.25">
      <c r="B260" s="500"/>
      <c r="C260" s="41"/>
      <c r="D260" s="502"/>
      <c r="E260" s="503"/>
      <c r="F260" s="504"/>
      <c r="G260" s="505" t="str">
        <f>IFERROR(IF(ventas_b_mes11[[#This Row],[CUIT]]="","-",VLOOKUP(ventas_b_mes11[[#This Row],[CUIT]],Lista_CUIT[#All],2,0)),"CUIT NO CARGADO")</f>
        <v>-</v>
      </c>
      <c r="H260" s="506"/>
      <c r="I260" s="507"/>
      <c r="J260" s="508"/>
      <c r="K260" s="508"/>
      <c r="L260" s="508">
        <f>SUM(ventas_b_mes11[[#This Row],[IMPORTE NETO]:[EXENTO]])</f>
        <v>0</v>
      </c>
      <c r="M260" s="509"/>
    </row>
    <row r="261" spans="2:13" x14ac:dyDescent="0.25">
      <c r="B261" s="500"/>
      <c r="C261" s="41"/>
      <c r="D261" s="502"/>
      <c r="E261" s="503"/>
      <c r="F261" s="504"/>
      <c r="G261" s="505" t="str">
        <f>IFERROR(IF(ventas_b_mes11[[#This Row],[CUIT]]="","-",VLOOKUP(ventas_b_mes11[[#This Row],[CUIT]],Lista_CUIT[#All],2,0)),"CUIT NO CARGADO")</f>
        <v>-</v>
      </c>
      <c r="H261" s="506"/>
      <c r="I261" s="507"/>
      <c r="J261" s="508"/>
      <c r="K261" s="508"/>
      <c r="L261" s="508">
        <f>SUM(ventas_b_mes11[[#This Row],[IMPORTE NETO]:[EXENTO]])</f>
        <v>0</v>
      </c>
      <c r="M261" s="509"/>
    </row>
    <row r="262" spans="2:13" x14ac:dyDescent="0.25">
      <c r="B262" s="500"/>
      <c r="C262" s="41"/>
      <c r="D262" s="502"/>
      <c r="E262" s="503"/>
      <c r="F262" s="504"/>
      <c r="G262" s="505" t="str">
        <f>IFERROR(IF(ventas_b_mes11[[#This Row],[CUIT]]="","-",VLOOKUP(ventas_b_mes11[[#This Row],[CUIT]],Lista_CUIT[#All],2,0)),"CUIT NO CARGADO")</f>
        <v>-</v>
      </c>
      <c r="H262" s="506"/>
      <c r="I262" s="507"/>
      <c r="J262" s="508"/>
      <c r="K262" s="508"/>
      <c r="L262" s="508">
        <f>SUM(ventas_b_mes11[[#This Row],[IMPORTE NETO]:[EXENTO]])</f>
        <v>0</v>
      </c>
      <c r="M262" s="509"/>
    </row>
    <row r="263" spans="2:13" x14ac:dyDescent="0.25">
      <c r="B263" s="500"/>
      <c r="C263" s="41"/>
      <c r="D263" s="502"/>
      <c r="E263" s="503"/>
      <c r="F263" s="504"/>
      <c r="G263" s="505" t="str">
        <f>IFERROR(IF(ventas_b_mes11[[#This Row],[CUIT]]="","-",VLOOKUP(ventas_b_mes11[[#This Row],[CUIT]],Lista_CUIT[#All],2,0)),"CUIT NO CARGADO")</f>
        <v>-</v>
      </c>
      <c r="H263" s="506"/>
      <c r="I263" s="507"/>
      <c r="J263" s="508"/>
      <c r="K263" s="508"/>
      <c r="L263" s="508">
        <f>SUM(ventas_b_mes11[[#This Row],[IMPORTE NETO]:[EXENTO]])</f>
        <v>0</v>
      </c>
      <c r="M263" s="509"/>
    </row>
    <row r="264" spans="2:13" x14ac:dyDescent="0.25">
      <c r="B264" s="500"/>
      <c r="C264" s="41"/>
      <c r="D264" s="502"/>
      <c r="E264" s="503"/>
      <c r="F264" s="504"/>
      <c r="G264" s="505" t="str">
        <f>IFERROR(IF(ventas_b_mes11[[#This Row],[CUIT]]="","-",VLOOKUP(ventas_b_mes11[[#This Row],[CUIT]],Lista_CUIT[#All],2,0)),"CUIT NO CARGADO")</f>
        <v>-</v>
      </c>
      <c r="H264" s="506"/>
      <c r="I264" s="507"/>
      <c r="J264" s="508"/>
      <c r="K264" s="508"/>
      <c r="L264" s="508">
        <f>SUM(ventas_b_mes11[[#This Row],[IMPORTE NETO]:[EXENTO]])</f>
        <v>0</v>
      </c>
      <c r="M264" s="509"/>
    </row>
    <row r="265" spans="2:13" x14ac:dyDescent="0.25">
      <c r="B265" s="500"/>
      <c r="C265" s="41"/>
      <c r="D265" s="502"/>
      <c r="E265" s="503"/>
      <c r="F265" s="504"/>
      <c r="G265" s="505" t="str">
        <f>IFERROR(IF(ventas_b_mes11[[#This Row],[CUIT]]="","-",VLOOKUP(ventas_b_mes11[[#This Row],[CUIT]],Lista_CUIT[#All],2,0)),"CUIT NO CARGADO")</f>
        <v>-</v>
      </c>
      <c r="H265" s="506"/>
      <c r="I265" s="507"/>
      <c r="J265" s="508"/>
      <c r="K265" s="508"/>
      <c r="L265" s="508">
        <f>SUM(ventas_b_mes11[[#This Row],[IMPORTE NETO]:[EXENTO]])</f>
        <v>0</v>
      </c>
      <c r="M265" s="509"/>
    </row>
    <row r="266" spans="2:13" x14ac:dyDescent="0.25">
      <c r="B266" s="500"/>
      <c r="C266" s="41"/>
      <c r="D266" s="502"/>
      <c r="E266" s="503"/>
      <c r="F266" s="504"/>
      <c r="G266" s="505" t="str">
        <f>IFERROR(IF(ventas_b_mes11[[#This Row],[CUIT]]="","-",VLOOKUP(ventas_b_mes11[[#This Row],[CUIT]],Lista_CUIT[#All],2,0)),"CUIT NO CARGADO")</f>
        <v>-</v>
      </c>
      <c r="H266" s="506"/>
      <c r="I266" s="507"/>
      <c r="J266" s="508"/>
      <c r="K266" s="508"/>
      <c r="L266" s="508">
        <f>SUM(ventas_b_mes11[[#This Row],[IMPORTE NETO]:[EXENTO]])</f>
        <v>0</v>
      </c>
      <c r="M266" s="509"/>
    </row>
    <row r="267" spans="2:13" x14ac:dyDescent="0.25">
      <c r="B267" s="500"/>
      <c r="C267" s="41"/>
      <c r="D267" s="502"/>
      <c r="E267" s="503"/>
      <c r="F267" s="504"/>
      <c r="G267" s="505" t="str">
        <f>IFERROR(IF(ventas_b_mes11[[#This Row],[CUIT]]="","-",VLOOKUP(ventas_b_mes11[[#This Row],[CUIT]],Lista_CUIT[#All],2,0)),"CUIT NO CARGADO")</f>
        <v>-</v>
      </c>
      <c r="H267" s="506"/>
      <c r="I267" s="507"/>
      <c r="J267" s="508"/>
      <c r="K267" s="508"/>
      <c r="L267" s="508">
        <f>SUM(ventas_b_mes11[[#This Row],[IMPORTE NETO]:[EXENTO]])</f>
        <v>0</v>
      </c>
      <c r="M267" s="509"/>
    </row>
    <row r="268" spans="2:13" x14ac:dyDescent="0.25">
      <c r="B268" s="500"/>
      <c r="C268" s="41"/>
      <c r="D268" s="502"/>
      <c r="E268" s="503"/>
      <c r="F268" s="504"/>
      <c r="G268" s="505" t="str">
        <f>IFERROR(IF(ventas_b_mes11[[#This Row],[CUIT]]="","-",VLOOKUP(ventas_b_mes11[[#This Row],[CUIT]],Lista_CUIT[#All],2,0)),"CUIT NO CARGADO")</f>
        <v>-</v>
      </c>
      <c r="H268" s="506"/>
      <c r="I268" s="507"/>
      <c r="J268" s="508"/>
      <c r="K268" s="508"/>
      <c r="L268" s="508">
        <f>SUM(ventas_b_mes11[[#This Row],[IMPORTE NETO]:[EXENTO]])</f>
        <v>0</v>
      </c>
      <c r="M268" s="509"/>
    </row>
    <row r="269" spans="2:13" x14ac:dyDescent="0.25">
      <c r="B269" s="500"/>
      <c r="C269" s="41"/>
      <c r="D269" s="502"/>
      <c r="E269" s="503"/>
      <c r="F269" s="504"/>
      <c r="G269" s="505" t="str">
        <f>IFERROR(IF(ventas_b_mes11[[#This Row],[CUIT]]="","-",VLOOKUP(ventas_b_mes11[[#This Row],[CUIT]],Lista_CUIT[#All],2,0)),"CUIT NO CARGADO")</f>
        <v>-</v>
      </c>
      <c r="H269" s="506"/>
      <c r="I269" s="507"/>
      <c r="J269" s="508"/>
      <c r="K269" s="508"/>
      <c r="L269" s="508">
        <f>SUM(ventas_b_mes11[[#This Row],[IMPORTE NETO]:[EXENTO]])</f>
        <v>0</v>
      </c>
      <c r="M269" s="509"/>
    </row>
    <row r="270" spans="2:13" x14ac:dyDescent="0.25">
      <c r="B270" s="500"/>
      <c r="C270" s="41"/>
      <c r="D270" s="502"/>
      <c r="E270" s="503"/>
      <c r="F270" s="504"/>
      <c r="G270" s="505" t="str">
        <f>IFERROR(IF(ventas_b_mes11[[#This Row],[CUIT]]="","-",VLOOKUP(ventas_b_mes11[[#This Row],[CUIT]],Lista_CUIT[#All],2,0)),"CUIT NO CARGADO")</f>
        <v>-</v>
      </c>
      <c r="H270" s="506"/>
      <c r="I270" s="507"/>
      <c r="J270" s="508"/>
      <c r="K270" s="508"/>
      <c r="L270" s="508">
        <f>SUM(ventas_b_mes11[[#This Row],[IMPORTE NETO]:[EXENTO]])</f>
        <v>0</v>
      </c>
      <c r="M270" s="509"/>
    </row>
    <row r="271" spans="2:13" x14ac:dyDescent="0.25">
      <c r="B271" s="500"/>
      <c r="C271" s="41"/>
      <c r="D271" s="502"/>
      <c r="E271" s="503"/>
      <c r="F271" s="504"/>
      <c r="G271" s="505" t="str">
        <f>IFERROR(IF(ventas_b_mes11[[#This Row],[CUIT]]="","-",VLOOKUP(ventas_b_mes11[[#This Row],[CUIT]],Lista_CUIT[#All],2,0)),"CUIT NO CARGADO")</f>
        <v>-</v>
      </c>
      <c r="H271" s="506"/>
      <c r="I271" s="507"/>
      <c r="J271" s="508"/>
      <c r="K271" s="508"/>
      <c r="L271" s="508">
        <f>SUM(ventas_b_mes11[[#This Row],[IMPORTE NETO]:[EXENTO]])</f>
        <v>0</v>
      </c>
      <c r="M271" s="509"/>
    </row>
    <row r="272" spans="2:13" x14ac:dyDescent="0.25">
      <c r="B272" s="500"/>
      <c r="C272" s="41"/>
      <c r="D272" s="502"/>
      <c r="E272" s="503"/>
      <c r="F272" s="504"/>
      <c r="G272" s="505" t="str">
        <f>IFERROR(IF(ventas_b_mes11[[#This Row],[CUIT]]="","-",VLOOKUP(ventas_b_mes11[[#This Row],[CUIT]],Lista_CUIT[#All],2,0)),"CUIT NO CARGADO")</f>
        <v>-</v>
      </c>
      <c r="H272" s="506"/>
      <c r="I272" s="507"/>
      <c r="J272" s="508"/>
      <c r="K272" s="508"/>
      <c r="L272" s="508">
        <f>SUM(ventas_b_mes11[[#This Row],[IMPORTE NETO]:[EXENTO]])</f>
        <v>0</v>
      </c>
      <c r="M272" s="509"/>
    </row>
    <row r="273" spans="2:13" x14ac:dyDescent="0.25">
      <c r="B273" s="500"/>
      <c r="C273" s="41"/>
      <c r="D273" s="502"/>
      <c r="E273" s="503"/>
      <c r="F273" s="504"/>
      <c r="G273" s="505" t="str">
        <f>IFERROR(IF(ventas_b_mes11[[#This Row],[CUIT]]="","-",VLOOKUP(ventas_b_mes11[[#This Row],[CUIT]],Lista_CUIT[#All],2,0)),"CUIT NO CARGADO")</f>
        <v>-</v>
      </c>
      <c r="H273" s="506"/>
      <c r="I273" s="507"/>
      <c r="J273" s="508"/>
      <c r="K273" s="508"/>
      <c r="L273" s="508">
        <f>SUM(ventas_b_mes11[[#This Row],[IMPORTE NETO]:[EXENTO]])</f>
        <v>0</v>
      </c>
      <c r="M273" s="509"/>
    </row>
    <row r="274" spans="2:13" x14ac:dyDescent="0.25">
      <c r="B274" s="500"/>
      <c r="C274" s="41"/>
      <c r="D274" s="502"/>
      <c r="E274" s="503"/>
      <c r="F274" s="504"/>
      <c r="G274" s="505" t="str">
        <f>IFERROR(IF(ventas_b_mes11[[#This Row],[CUIT]]="","-",VLOOKUP(ventas_b_mes11[[#This Row],[CUIT]],Lista_CUIT[#All],2,0)),"CUIT NO CARGADO")</f>
        <v>-</v>
      </c>
      <c r="H274" s="506"/>
      <c r="I274" s="507"/>
      <c r="J274" s="508"/>
      <c r="K274" s="508"/>
      <c r="L274" s="508">
        <f>SUM(ventas_b_mes11[[#This Row],[IMPORTE NETO]:[EXENTO]])</f>
        <v>0</v>
      </c>
      <c r="M274" s="509"/>
    </row>
    <row r="275" spans="2:13" x14ac:dyDescent="0.25">
      <c r="B275" s="500"/>
      <c r="C275" s="41"/>
      <c r="D275" s="502"/>
      <c r="E275" s="503"/>
      <c r="F275" s="504"/>
      <c r="G275" s="505" t="str">
        <f>IFERROR(IF(ventas_b_mes11[[#This Row],[CUIT]]="","-",VLOOKUP(ventas_b_mes11[[#This Row],[CUIT]],Lista_CUIT[#All],2,0)),"CUIT NO CARGADO")</f>
        <v>-</v>
      </c>
      <c r="H275" s="506"/>
      <c r="I275" s="507"/>
      <c r="J275" s="508"/>
      <c r="K275" s="508"/>
      <c r="L275" s="508">
        <f>SUM(ventas_b_mes11[[#This Row],[IMPORTE NETO]:[EXENTO]])</f>
        <v>0</v>
      </c>
      <c r="M275" s="509"/>
    </row>
    <row r="276" spans="2:13" x14ac:dyDescent="0.25">
      <c r="B276" s="500"/>
      <c r="C276" s="41"/>
      <c r="D276" s="502"/>
      <c r="E276" s="503"/>
      <c r="F276" s="504"/>
      <c r="G276" s="505" t="str">
        <f>IFERROR(IF(ventas_b_mes11[[#This Row],[CUIT]]="","-",VLOOKUP(ventas_b_mes11[[#This Row],[CUIT]],Lista_CUIT[#All],2,0)),"CUIT NO CARGADO")</f>
        <v>-</v>
      </c>
      <c r="H276" s="506"/>
      <c r="I276" s="507"/>
      <c r="J276" s="508"/>
      <c r="K276" s="508"/>
      <c r="L276" s="508">
        <f>SUM(ventas_b_mes11[[#This Row],[IMPORTE NETO]:[EXENTO]])</f>
        <v>0</v>
      </c>
      <c r="M276" s="509"/>
    </row>
    <row r="277" spans="2:13" x14ac:dyDescent="0.25">
      <c r="B277" s="500"/>
      <c r="C277" s="41"/>
      <c r="D277" s="502"/>
      <c r="E277" s="503"/>
      <c r="F277" s="504"/>
      <c r="G277" s="505" t="str">
        <f>IFERROR(IF(ventas_b_mes11[[#This Row],[CUIT]]="","-",VLOOKUP(ventas_b_mes11[[#This Row],[CUIT]],Lista_CUIT[#All],2,0)),"CUIT NO CARGADO")</f>
        <v>-</v>
      </c>
      <c r="H277" s="506"/>
      <c r="I277" s="507"/>
      <c r="J277" s="508"/>
      <c r="K277" s="508"/>
      <c r="L277" s="508">
        <f>SUM(ventas_b_mes11[[#This Row],[IMPORTE NETO]:[EXENTO]])</f>
        <v>0</v>
      </c>
      <c r="M277" s="509"/>
    </row>
    <row r="278" spans="2:13" x14ac:dyDescent="0.25">
      <c r="B278" s="500"/>
      <c r="C278" s="41"/>
      <c r="D278" s="502"/>
      <c r="E278" s="503"/>
      <c r="F278" s="504"/>
      <c r="G278" s="505" t="str">
        <f>IFERROR(IF(ventas_b_mes11[[#This Row],[CUIT]]="","-",VLOOKUP(ventas_b_mes11[[#This Row],[CUIT]],Lista_CUIT[#All],2,0)),"CUIT NO CARGADO")</f>
        <v>-</v>
      </c>
      <c r="H278" s="506"/>
      <c r="I278" s="507"/>
      <c r="J278" s="508"/>
      <c r="K278" s="508"/>
      <c r="L278" s="508">
        <f>SUM(ventas_b_mes11[[#This Row],[IMPORTE NETO]:[EXENTO]])</f>
        <v>0</v>
      </c>
      <c r="M278" s="509"/>
    </row>
    <row r="279" spans="2:13" x14ac:dyDescent="0.25">
      <c r="B279" s="500"/>
      <c r="C279" s="41"/>
      <c r="D279" s="502"/>
      <c r="E279" s="503"/>
      <c r="F279" s="504"/>
      <c r="G279" s="505" t="str">
        <f>IFERROR(IF(ventas_b_mes11[[#This Row],[CUIT]]="","-",VLOOKUP(ventas_b_mes11[[#This Row],[CUIT]],Lista_CUIT[#All],2,0)),"CUIT NO CARGADO")</f>
        <v>-</v>
      </c>
      <c r="H279" s="506"/>
      <c r="I279" s="507"/>
      <c r="J279" s="508"/>
      <c r="K279" s="508"/>
      <c r="L279" s="508">
        <f>SUM(ventas_b_mes11[[#This Row],[IMPORTE NETO]:[EXENTO]])</f>
        <v>0</v>
      </c>
      <c r="M279" s="509"/>
    </row>
    <row r="280" spans="2:13" x14ac:dyDescent="0.25">
      <c r="B280" s="500"/>
      <c r="C280" s="41"/>
      <c r="D280" s="502"/>
      <c r="E280" s="503"/>
      <c r="F280" s="504"/>
      <c r="G280" s="505" t="str">
        <f>IFERROR(IF(ventas_b_mes11[[#This Row],[CUIT]]="","-",VLOOKUP(ventas_b_mes11[[#This Row],[CUIT]],Lista_CUIT[#All],2,0)),"CUIT NO CARGADO")</f>
        <v>-</v>
      </c>
      <c r="H280" s="506"/>
      <c r="I280" s="507"/>
      <c r="J280" s="508"/>
      <c r="K280" s="508"/>
      <c r="L280" s="508">
        <f>SUM(ventas_b_mes11[[#This Row],[IMPORTE NETO]:[EXENTO]])</f>
        <v>0</v>
      </c>
      <c r="M280" s="509"/>
    </row>
    <row r="281" spans="2:13" x14ac:dyDescent="0.25">
      <c r="B281" s="500"/>
      <c r="C281" s="41"/>
      <c r="D281" s="502"/>
      <c r="E281" s="503"/>
      <c r="F281" s="504"/>
      <c r="G281" s="505" t="str">
        <f>IFERROR(IF(ventas_b_mes11[[#This Row],[CUIT]]="","-",VLOOKUP(ventas_b_mes11[[#This Row],[CUIT]],Lista_CUIT[#All],2,0)),"CUIT NO CARGADO")</f>
        <v>-</v>
      </c>
      <c r="H281" s="506"/>
      <c r="I281" s="507"/>
      <c r="J281" s="508"/>
      <c r="K281" s="508"/>
      <c r="L281" s="508">
        <f>SUM(ventas_b_mes11[[#This Row],[IMPORTE NETO]:[EXENTO]])</f>
        <v>0</v>
      </c>
      <c r="M281" s="509"/>
    </row>
    <row r="282" spans="2:13" x14ac:dyDescent="0.25">
      <c r="B282" s="500"/>
      <c r="C282" s="41"/>
      <c r="D282" s="502"/>
      <c r="E282" s="503"/>
      <c r="F282" s="504"/>
      <c r="G282" s="505" t="str">
        <f>IFERROR(IF(ventas_b_mes11[[#This Row],[CUIT]]="","-",VLOOKUP(ventas_b_mes11[[#This Row],[CUIT]],Lista_CUIT[#All],2,0)),"CUIT NO CARGADO")</f>
        <v>-</v>
      </c>
      <c r="H282" s="506"/>
      <c r="I282" s="507"/>
      <c r="J282" s="508"/>
      <c r="K282" s="508"/>
      <c r="L282" s="508">
        <f>SUM(ventas_b_mes11[[#This Row],[IMPORTE NETO]:[EXENTO]])</f>
        <v>0</v>
      </c>
      <c r="M282" s="509"/>
    </row>
    <row r="283" spans="2:13" x14ac:dyDescent="0.25">
      <c r="B283" s="500"/>
      <c r="C283" s="41"/>
      <c r="D283" s="502"/>
      <c r="E283" s="503"/>
      <c r="F283" s="504"/>
      <c r="G283" s="505" t="str">
        <f>IFERROR(IF(ventas_b_mes11[[#This Row],[CUIT]]="","-",VLOOKUP(ventas_b_mes11[[#This Row],[CUIT]],Lista_CUIT[#All],2,0)),"CUIT NO CARGADO")</f>
        <v>-</v>
      </c>
      <c r="H283" s="506"/>
      <c r="I283" s="507"/>
      <c r="J283" s="508"/>
      <c r="K283" s="508"/>
      <c r="L283" s="508">
        <f>SUM(ventas_b_mes11[[#This Row],[IMPORTE NETO]:[EXENTO]])</f>
        <v>0</v>
      </c>
      <c r="M283" s="509"/>
    </row>
    <row r="284" spans="2:13" x14ac:dyDescent="0.25">
      <c r="B284" s="500"/>
      <c r="C284" s="41"/>
      <c r="D284" s="502"/>
      <c r="E284" s="503"/>
      <c r="F284" s="504"/>
      <c r="G284" s="505" t="str">
        <f>IFERROR(IF(ventas_b_mes11[[#This Row],[CUIT]]="","-",VLOOKUP(ventas_b_mes11[[#This Row],[CUIT]],Lista_CUIT[#All],2,0)),"CUIT NO CARGADO")</f>
        <v>-</v>
      </c>
      <c r="H284" s="506"/>
      <c r="I284" s="507"/>
      <c r="J284" s="508"/>
      <c r="K284" s="508"/>
      <c r="L284" s="508">
        <f>SUM(ventas_b_mes11[[#This Row],[IMPORTE NETO]:[EXENTO]])</f>
        <v>0</v>
      </c>
      <c r="M284" s="509"/>
    </row>
    <row r="285" spans="2:13" x14ac:dyDescent="0.25">
      <c r="B285" s="500"/>
      <c r="C285" s="41"/>
      <c r="D285" s="502"/>
      <c r="E285" s="503"/>
      <c r="F285" s="504"/>
      <c r="G285" s="505" t="str">
        <f>IFERROR(IF(ventas_b_mes11[[#This Row],[CUIT]]="","-",VLOOKUP(ventas_b_mes11[[#This Row],[CUIT]],Lista_CUIT[#All],2,0)),"CUIT NO CARGADO")</f>
        <v>-</v>
      </c>
      <c r="H285" s="506"/>
      <c r="I285" s="507"/>
      <c r="J285" s="508"/>
      <c r="K285" s="508"/>
      <c r="L285" s="508">
        <f>SUM(ventas_b_mes11[[#This Row],[IMPORTE NETO]:[EXENTO]])</f>
        <v>0</v>
      </c>
      <c r="M285" s="509"/>
    </row>
    <row r="286" spans="2:13" x14ac:dyDescent="0.25">
      <c r="B286" s="500"/>
      <c r="C286" s="41"/>
      <c r="D286" s="502"/>
      <c r="E286" s="503"/>
      <c r="F286" s="504"/>
      <c r="G286" s="505" t="str">
        <f>IFERROR(IF(ventas_b_mes11[[#This Row],[CUIT]]="","-",VLOOKUP(ventas_b_mes11[[#This Row],[CUIT]],Lista_CUIT[#All],2,0)),"CUIT NO CARGADO")</f>
        <v>-</v>
      </c>
      <c r="H286" s="506"/>
      <c r="I286" s="507"/>
      <c r="J286" s="508"/>
      <c r="K286" s="508"/>
      <c r="L286" s="508">
        <f>SUM(ventas_b_mes11[[#This Row],[IMPORTE NETO]:[EXENTO]])</f>
        <v>0</v>
      </c>
      <c r="M286" s="509"/>
    </row>
    <row r="287" spans="2:13" x14ac:dyDescent="0.25">
      <c r="B287" s="500"/>
      <c r="C287" s="41"/>
      <c r="D287" s="502"/>
      <c r="E287" s="503"/>
      <c r="F287" s="504"/>
      <c r="G287" s="505" t="str">
        <f>IFERROR(IF(ventas_b_mes11[[#This Row],[CUIT]]="","-",VLOOKUP(ventas_b_mes11[[#This Row],[CUIT]],Lista_CUIT[#All],2,0)),"CUIT NO CARGADO")</f>
        <v>-</v>
      </c>
      <c r="H287" s="506"/>
      <c r="I287" s="507"/>
      <c r="J287" s="508"/>
      <c r="K287" s="508"/>
      <c r="L287" s="508">
        <f>SUM(ventas_b_mes11[[#This Row],[IMPORTE NETO]:[EXENTO]])</f>
        <v>0</v>
      </c>
      <c r="M287" s="509"/>
    </row>
    <row r="288" spans="2:13" x14ac:dyDescent="0.25">
      <c r="B288" s="500"/>
      <c r="C288" s="41"/>
      <c r="D288" s="502"/>
      <c r="E288" s="503"/>
      <c r="F288" s="504"/>
      <c r="G288" s="505" t="str">
        <f>IFERROR(IF(ventas_b_mes11[[#This Row],[CUIT]]="","-",VLOOKUP(ventas_b_mes11[[#This Row],[CUIT]],Lista_CUIT[#All],2,0)),"CUIT NO CARGADO")</f>
        <v>-</v>
      </c>
      <c r="H288" s="506"/>
      <c r="I288" s="507"/>
      <c r="J288" s="508"/>
      <c r="K288" s="508"/>
      <c r="L288" s="508">
        <f>SUM(ventas_b_mes11[[#This Row],[IMPORTE NETO]:[EXENTO]])</f>
        <v>0</v>
      </c>
      <c r="M288" s="509"/>
    </row>
    <row r="289" spans="2:13" x14ac:dyDescent="0.25">
      <c r="B289" s="500"/>
      <c r="C289" s="41"/>
      <c r="D289" s="502"/>
      <c r="E289" s="503"/>
      <c r="F289" s="504"/>
      <c r="G289" s="505" t="str">
        <f>IFERROR(IF(ventas_b_mes11[[#This Row],[CUIT]]="","-",VLOOKUP(ventas_b_mes11[[#This Row],[CUIT]],Lista_CUIT[#All],2,0)),"CUIT NO CARGADO")</f>
        <v>-</v>
      </c>
      <c r="H289" s="506"/>
      <c r="I289" s="507"/>
      <c r="J289" s="508"/>
      <c r="K289" s="508"/>
      <c r="L289" s="508">
        <f>SUM(ventas_b_mes11[[#This Row],[IMPORTE NETO]:[EXENTO]])</f>
        <v>0</v>
      </c>
      <c r="M289" s="509"/>
    </row>
    <row r="290" spans="2:13" x14ac:dyDescent="0.25">
      <c r="B290" s="500"/>
      <c r="C290" s="41"/>
      <c r="D290" s="502"/>
      <c r="E290" s="503"/>
      <c r="F290" s="504"/>
      <c r="G290" s="505" t="str">
        <f>IFERROR(IF(ventas_b_mes11[[#This Row],[CUIT]]="","-",VLOOKUP(ventas_b_mes11[[#This Row],[CUIT]],Lista_CUIT[#All],2,0)),"CUIT NO CARGADO")</f>
        <v>-</v>
      </c>
      <c r="H290" s="506"/>
      <c r="I290" s="507"/>
      <c r="J290" s="508"/>
      <c r="K290" s="508"/>
      <c r="L290" s="508">
        <f>SUM(ventas_b_mes11[[#This Row],[IMPORTE NETO]:[EXENTO]])</f>
        <v>0</v>
      </c>
      <c r="M290" s="509"/>
    </row>
    <row r="291" spans="2:13" x14ac:dyDescent="0.25">
      <c r="B291" s="500"/>
      <c r="C291" s="41"/>
      <c r="D291" s="502"/>
      <c r="E291" s="503"/>
      <c r="F291" s="504"/>
      <c r="G291" s="505" t="str">
        <f>IFERROR(IF(ventas_b_mes11[[#This Row],[CUIT]]="","-",VLOOKUP(ventas_b_mes11[[#This Row],[CUIT]],Lista_CUIT[#All],2,0)),"CUIT NO CARGADO")</f>
        <v>-</v>
      </c>
      <c r="H291" s="506"/>
      <c r="I291" s="507"/>
      <c r="J291" s="508"/>
      <c r="K291" s="508"/>
      <c r="L291" s="508">
        <f>SUM(ventas_b_mes11[[#This Row],[IMPORTE NETO]:[EXENTO]])</f>
        <v>0</v>
      </c>
      <c r="M291" s="509"/>
    </row>
    <row r="292" spans="2:13" x14ac:dyDescent="0.25">
      <c r="B292" s="500"/>
      <c r="C292" s="41"/>
      <c r="D292" s="502"/>
      <c r="E292" s="503"/>
      <c r="F292" s="504"/>
      <c r="G292" s="505" t="str">
        <f>IFERROR(IF(ventas_b_mes11[[#This Row],[CUIT]]="","-",VLOOKUP(ventas_b_mes11[[#This Row],[CUIT]],Lista_CUIT[#All],2,0)),"CUIT NO CARGADO")</f>
        <v>-</v>
      </c>
      <c r="H292" s="506"/>
      <c r="I292" s="507"/>
      <c r="J292" s="508"/>
      <c r="K292" s="508"/>
      <c r="L292" s="508">
        <f>SUM(ventas_b_mes11[[#This Row],[IMPORTE NETO]:[EXENTO]])</f>
        <v>0</v>
      </c>
      <c r="M292" s="509"/>
    </row>
    <row r="293" spans="2:13" x14ac:dyDescent="0.25">
      <c r="B293" s="500"/>
      <c r="C293" s="41"/>
      <c r="D293" s="502"/>
      <c r="E293" s="503"/>
      <c r="F293" s="504"/>
      <c r="G293" s="505" t="str">
        <f>IFERROR(IF(ventas_b_mes11[[#This Row],[CUIT]]="","-",VLOOKUP(ventas_b_mes11[[#This Row],[CUIT]],Lista_CUIT[#All],2,0)),"CUIT NO CARGADO")</f>
        <v>-</v>
      </c>
      <c r="H293" s="506"/>
      <c r="I293" s="507"/>
      <c r="J293" s="508"/>
      <c r="K293" s="508"/>
      <c r="L293" s="508">
        <f>SUM(ventas_b_mes11[[#This Row],[IMPORTE NETO]:[EXENTO]])</f>
        <v>0</v>
      </c>
      <c r="M293" s="509"/>
    </row>
    <row r="294" spans="2:13" x14ac:dyDescent="0.25">
      <c r="B294" s="500"/>
      <c r="C294" s="41"/>
      <c r="D294" s="502"/>
      <c r="E294" s="503"/>
      <c r="F294" s="504"/>
      <c r="G294" s="505" t="str">
        <f>IFERROR(IF(ventas_b_mes11[[#This Row],[CUIT]]="","-",VLOOKUP(ventas_b_mes11[[#This Row],[CUIT]],Lista_CUIT[#All],2,0)),"CUIT NO CARGADO")</f>
        <v>-</v>
      </c>
      <c r="H294" s="506"/>
      <c r="I294" s="507"/>
      <c r="J294" s="508"/>
      <c r="K294" s="508"/>
      <c r="L294" s="508">
        <f>SUM(ventas_b_mes11[[#This Row],[IMPORTE NETO]:[EXENTO]])</f>
        <v>0</v>
      </c>
      <c r="M294" s="509"/>
    </row>
    <row r="295" spans="2:13" x14ac:dyDescent="0.25">
      <c r="B295" s="500"/>
      <c r="C295" s="41"/>
      <c r="D295" s="502"/>
      <c r="E295" s="503"/>
      <c r="F295" s="504"/>
      <c r="G295" s="505" t="str">
        <f>IFERROR(IF(ventas_b_mes11[[#This Row],[CUIT]]="","-",VLOOKUP(ventas_b_mes11[[#This Row],[CUIT]],Lista_CUIT[#All],2,0)),"CUIT NO CARGADO")</f>
        <v>-</v>
      </c>
      <c r="H295" s="506"/>
      <c r="I295" s="507"/>
      <c r="J295" s="508"/>
      <c r="K295" s="508"/>
      <c r="L295" s="508">
        <f>SUM(ventas_b_mes11[[#This Row],[IMPORTE NETO]:[EXENTO]])</f>
        <v>0</v>
      </c>
      <c r="M295" s="509"/>
    </row>
    <row r="296" spans="2:13" x14ac:dyDescent="0.25">
      <c r="B296" s="500"/>
      <c r="C296" s="41"/>
      <c r="D296" s="502"/>
      <c r="E296" s="503"/>
      <c r="F296" s="504"/>
      <c r="G296" s="505" t="str">
        <f>IFERROR(IF(ventas_b_mes11[[#This Row],[CUIT]]="","-",VLOOKUP(ventas_b_mes11[[#This Row],[CUIT]],Lista_CUIT[#All],2,0)),"CUIT NO CARGADO")</f>
        <v>-</v>
      </c>
      <c r="H296" s="506"/>
      <c r="I296" s="507"/>
      <c r="J296" s="508"/>
      <c r="K296" s="508"/>
      <c r="L296" s="508">
        <f>SUM(ventas_b_mes11[[#This Row],[IMPORTE NETO]:[EXENTO]])</f>
        <v>0</v>
      </c>
      <c r="M296" s="509"/>
    </row>
    <row r="297" spans="2:13" x14ac:dyDescent="0.25">
      <c r="B297" s="500"/>
      <c r="C297" s="41"/>
      <c r="D297" s="502"/>
      <c r="E297" s="503"/>
      <c r="F297" s="504"/>
      <c r="G297" s="505" t="str">
        <f>IFERROR(IF(ventas_b_mes11[[#This Row],[CUIT]]="","-",VLOOKUP(ventas_b_mes11[[#This Row],[CUIT]],Lista_CUIT[#All],2,0)),"CUIT NO CARGADO")</f>
        <v>-</v>
      </c>
      <c r="H297" s="506"/>
      <c r="I297" s="507"/>
      <c r="J297" s="508"/>
      <c r="K297" s="508"/>
      <c r="L297" s="508">
        <f>SUM(ventas_b_mes11[[#This Row],[IMPORTE NETO]:[EXENTO]])</f>
        <v>0</v>
      </c>
      <c r="M297" s="509"/>
    </row>
    <row r="298" spans="2:13" x14ac:dyDescent="0.25">
      <c r="B298" s="500"/>
      <c r="C298" s="41"/>
      <c r="D298" s="502"/>
      <c r="E298" s="503"/>
      <c r="F298" s="504"/>
      <c r="G298" s="505" t="str">
        <f>IFERROR(IF(ventas_b_mes11[[#This Row],[CUIT]]="","-",VLOOKUP(ventas_b_mes11[[#This Row],[CUIT]],Lista_CUIT[#All],2,0)),"CUIT NO CARGADO")</f>
        <v>-</v>
      </c>
      <c r="H298" s="506"/>
      <c r="I298" s="507"/>
      <c r="J298" s="508"/>
      <c r="K298" s="508"/>
      <c r="L298" s="508">
        <f>SUM(ventas_b_mes11[[#This Row],[IMPORTE NETO]:[EXENTO]])</f>
        <v>0</v>
      </c>
      <c r="M298" s="509"/>
    </row>
    <row r="299" spans="2:13" x14ac:dyDescent="0.25">
      <c r="B299" s="500"/>
      <c r="C299" s="41"/>
      <c r="D299" s="502"/>
      <c r="E299" s="503"/>
      <c r="F299" s="504"/>
      <c r="G299" s="505" t="str">
        <f>IFERROR(IF(ventas_b_mes11[[#This Row],[CUIT]]="","-",VLOOKUP(ventas_b_mes11[[#This Row],[CUIT]],Lista_CUIT[#All],2,0)),"CUIT NO CARGADO")</f>
        <v>-</v>
      </c>
      <c r="H299" s="506"/>
      <c r="I299" s="507"/>
      <c r="J299" s="508"/>
      <c r="K299" s="508"/>
      <c r="L299" s="508">
        <f>SUM(ventas_b_mes11[[#This Row],[IMPORTE NETO]:[EXENTO]])</f>
        <v>0</v>
      </c>
      <c r="M299" s="509"/>
    </row>
    <row r="300" spans="2:13" x14ac:dyDescent="0.25">
      <c r="B300" s="500"/>
      <c r="C300" s="41"/>
      <c r="D300" s="502"/>
      <c r="E300" s="503"/>
      <c r="F300" s="504"/>
      <c r="G300" s="505" t="str">
        <f>IFERROR(IF(ventas_b_mes11[[#This Row],[CUIT]]="","-",VLOOKUP(ventas_b_mes11[[#This Row],[CUIT]],Lista_CUIT[#All],2,0)),"CUIT NO CARGADO")</f>
        <v>-</v>
      </c>
      <c r="H300" s="506"/>
      <c r="I300" s="507"/>
      <c r="J300" s="508"/>
      <c r="K300" s="508"/>
      <c r="L300" s="508">
        <f>SUM(ventas_b_mes11[[#This Row],[IMPORTE NETO]:[EXENTO]])</f>
        <v>0</v>
      </c>
      <c r="M300" s="509"/>
    </row>
    <row r="301" spans="2:13" x14ac:dyDescent="0.25">
      <c r="B301" s="500"/>
      <c r="C301" s="41"/>
      <c r="D301" s="502"/>
      <c r="E301" s="503"/>
      <c r="F301" s="504"/>
      <c r="G301" s="505" t="str">
        <f>IFERROR(IF(ventas_b_mes11[[#This Row],[CUIT]]="","-",VLOOKUP(ventas_b_mes11[[#This Row],[CUIT]],Lista_CUIT[#All],2,0)),"CUIT NO CARGADO")</f>
        <v>-</v>
      </c>
      <c r="H301" s="506"/>
      <c r="I301" s="507"/>
      <c r="J301" s="508"/>
      <c r="K301" s="508"/>
      <c r="L301" s="508">
        <f>SUM(ventas_b_mes11[[#This Row],[IMPORTE NETO]:[EXENTO]])</f>
        <v>0</v>
      </c>
      <c r="M301" s="509"/>
    </row>
    <row r="302" spans="2:13" x14ac:dyDescent="0.25">
      <c r="B302" s="500"/>
      <c r="C302" s="41"/>
      <c r="D302" s="502"/>
      <c r="E302" s="503"/>
      <c r="F302" s="504"/>
      <c r="G302" s="505" t="str">
        <f>IFERROR(IF(ventas_b_mes11[[#This Row],[CUIT]]="","-",VLOOKUP(ventas_b_mes11[[#This Row],[CUIT]],Lista_CUIT[#All],2,0)),"CUIT NO CARGADO")</f>
        <v>-</v>
      </c>
      <c r="H302" s="506"/>
      <c r="I302" s="507"/>
      <c r="J302" s="508"/>
      <c r="K302" s="508"/>
      <c r="L302" s="508">
        <f>SUM(ventas_b_mes11[[#This Row],[IMPORTE NETO]:[EXENTO]])</f>
        <v>0</v>
      </c>
      <c r="M302" s="509"/>
    </row>
    <row r="303" spans="2:13" x14ac:dyDescent="0.25">
      <c r="B303" s="500"/>
      <c r="C303" s="41"/>
      <c r="D303" s="502"/>
      <c r="E303" s="503"/>
      <c r="F303" s="504"/>
      <c r="G303" s="505" t="str">
        <f>IFERROR(IF(ventas_b_mes11[[#This Row],[CUIT]]="","-",VLOOKUP(ventas_b_mes11[[#This Row],[CUIT]],Lista_CUIT[#All],2,0)),"CUIT NO CARGADO")</f>
        <v>-</v>
      </c>
      <c r="H303" s="506"/>
      <c r="I303" s="507"/>
      <c r="J303" s="508"/>
      <c r="K303" s="508"/>
      <c r="L303" s="508">
        <f>SUM(ventas_b_mes11[[#This Row],[IMPORTE NETO]:[EXENTO]])</f>
        <v>0</v>
      </c>
      <c r="M303" s="509"/>
    </row>
    <row r="304" spans="2:13" x14ac:dyDescent="0.25">
      <c r="B304" s="500"/>
      <c r="C304" s="41"/>
      <c r="D304" s="502"/>
      <c r="E304" s="503"/>
      <c r="F304" s="504"/>
      <c r="G304" s="505" t="str">
        <f>IFERROR(IF(ventas_b_mes11[[#This Row],[CUIT]]="","-",VLOOKUP(ventas_b_mes11[[#This Row],[CUIT]],Lista_CUIT[#All],2,0)),"CUIT NO CARGADO")</f>
        <v>-</v>
      </c>
      <c r="H304" s="506"/>
      <c r="I304" s="507"/>
      <c r="J304" s="508"/>
      <c r="K304" s="508"/>
      <c r="L304" s="508">
        <f>SUM(ventas_b_mes11[[#This Row],[IMPORTE NETO]:[EXENTO]])</f>
        <v>0</v>
      </c>
      <c r="M304" s="509"/>
    </row>
    <row r="305" spans="2:13" x14ac:dyDescent="0.25">
      <c r="B305" s="500"/>
      <c r="C305" s="41"/>
      <c r="D305" s="502"/>
      <c r="E305" s="503"/>
      <c r="F305" s="504"/>
      <c r="G305" s="505" t="str">
        <f>IFERROR(IF(ventas_b_mes11[[#This Row],[CUIT]]="","-",VLOOKUP(ventas_b_mes11[[#This Row],[CUIT]],Lista_CUIT[#All],2,0)),"CUIT NO CARGADO")</f>
        <v>-</v>
      </c>
      <c r="H305" s="506"/>
      <c r="I305" s="507"/>
      <c r="J305" s="508"/>
      <c r="K305" s="508"/>
      <c r="L305" s="508">
        <f>SUM(ventas_b_mes11[[#This Row],[IMPORTE NETO]:[EXENTO]])</f>
        <v>0</v>
      </c>
      <c r="M305" s="509"/>
    </row>
    <row r="306" spans="2:13" x14ac:dyDescent="0.25">
      <c r="B306" s="500"/>
      <c r="C306" s="41"/>
      <c r="D306" s="502"/>
      <c r="E306" s="503"/>
      <c r="F306" s="504"/>
      <c r="G306" s="505" t="str">
        <f>IFERROR(IF(ventas_b_mes11[[#This Row],[CUIT]]="","-",VLOOKUP(ventas_b_mes11[[#This Row],[CUIT]],Lista_CUIT[#All],2,0)),"CUIT NO CARGADO")</f>
        <v>-</v>
      </c>
      <c r="H306" s="506"/>
      <c r="I306" s="507"/>
      <c r="J306" s="508"/>
      <c r="K306" s="508"/>
      <c r="L306" s="508">
        <f>SUM(ventas_b_mes11[[#This Row],[IMPORTE NETO]:[EXENTO]])</f>
        <v>0</v>
      </c>
      <c r="M306" s="509"/>
    </row>
    <row r="307" spans="2:13" x14ac:dyDescent="0.25">
      <c r="B307" s="500"/>
      <c r="C307" s="41"/>
      <c r="D307" s="502"/>
      <c r="E307" s="503"/>
      <c r="F307" s="504"/>
      <c r="G307" s="505" t="str">
        <f>IFERROR(IF(ventas_b_mes11[[#This Row],[CUIT]]="","-",VLOOKUP(ventas_b_mes11[[#This Row],[CUIT]],Lista_CUIT[#All],2,0)),"CUIT NO CARGADO")</f>
        <v>-</v>
      </c>
      <c r="H307" s="506"/>
      <c r="I307" s="507"/>
      <c r="J307" s="508"/>
      <c r="K307" s="508"/>
      <c r="L307" s="508">
        <f>SUM(ventas_b_mes11[[#This Row],[IMPORTE NETO]:[EXENTO]])</f>
        <v>0</v>
      </c>
      <c r="M307" s="509"/>
    </row>
    <row r="308" spans="2:13" x14ac:dyDescent="0.25">
      <c r="B308" s="500"/>
      <c r="C308" s="41"/>
      <c r="D308" s="502"/>
      <c r="E308" s="503"/>
      <c r="F308" s="504"/>
      <c r="G308" s="505" t="str">
        <f>IFERROR(IF(ventas_b_mes11[[#This Row],[CUIT]]="","-",VLOOKUP(ventas_b_mes11[[#This Row],[CUIT]],Lista_CUIT[#All],2,0)),"CUIT NO CARGADO")</f>
        <v>-</v>
      </c>
      <c r="H308" s="506"/>
      <c r="I308" s="507"/>
      <c r="J308" s="508"/>
      <c r="K308" s="508"/>
      <c r="L308" s="508">
        <f>SUM(ventas_b_mes11[[#This Row],[IMPORTE NETO]:[EXENTO]])</f>
        <v>0</v>
      </c>
      <c r="M308" s="509"/>
    </row>
    <row r="309" spans="2:13" x14ac:dyDescent="0.25">
      <c r="B309" s="500"/>
      <c r="C309" s="41"/>
      <c r="D309" s="502"/>
      <c r="E309" s="503"/>
      <c r="F309" s="504"/>
      <c r="G309" s="505" t="str">
        <f>IFERROR(IF(ventas_b_mes11[[#This Row],[CUIT]]="","-",VLOOKUP(ventas_b_mes11[[#This Row],[CUIT]],Lista_CUIT[#All],2,0)),"CUIT NO CARGADO")</f>
        <v>-</v>
      </c>
      <c r="H309" s="506"/>
      <c r="I309" s="507"/>
      <c r="J309" s="508"/>
      <c r="K309" s="508"/>
      <c r="L309" s="508">
        <f>SUM(ventas_b_mes11[[#This Row],[IMPORTE NETO]:[EXENTO]])</f>
        <v>0</v>
      </c>
      <c r="M309" s="509"/>
    </row>
    <row r="310" spans="2:13" x14ac:dyDescent="0.25">
      <c r="B310" s="500"/>
      <c r="C310" s="41"/>
      <c r="D310" s="502"/>
      <c r="E310" s="503"/>
      <c r="F310" s="504"/>
      <c r="G310" s="505" t="str">
        <f>IFERROR(IF(ventas_b_mes11[[#This Row],[CUIT]]="","-",VLOOKUP(ventas_b_mes11[[#This Row],[CUIT]],Lista_CUIT[#All],2,0)),"CUIT NO CARGADO")</f>
        <v>-</v>
      </c>
      <c r="H310" s="506"/>
      <c r="I310" s="507"/>
      <c r="J310" s="508"/>
      <c r="K310" s="508"/>
      <c r="L310" s="508">
        <f>SUM(ventas_b_mes11[[#This Row],[IMPORTE NETO]:[EXENTO]])</f>
        <v>0</v>
      </c>
      <c r="M310" s="509"/>
    </row>
    <row r="311" spans="2:13" x14ac:dyDescent="0.25">
      <c r="B311" s="500"/>
      <c r="C311" s="41"/>
      <c r="D311" s="502"/>
      <c r="E311" s="503"/>
      <c r="F311" s="504"/>
      <c r="G311" s="505" t="str">
        <f>IFERROR(IF(ventas_b_mes11[[#This Row],[CUIT]]="","-",VLOOKUP(ventas_b_mes11[[#This Row],[CUIT]],Lista_CUIT[#All],2,0)),"CUIT NO CARGADO")</f>
        <v>-</v>
      </c>
      <c r="H311" s="506"/>
      <c r="I311" s="507"/>
      <c r="J311" s="508"/>
      <c r="K311" s="508"/>
      <c r="L311" s="508">
        <f>SUM(ventas_b_mes11[[#This Row],[IMPORTE NETO]:[EXENTO]])</f>
        <v>0</v>
      </c>
      <c r="M311" s="509"/>
    </row>
    <row r="312" spans="2:13" x14ac:dyDescent="0.25">
      <c r="B312" s="500"/>
      <c r="C312" s="41"/>
      <c r="D312" s="502"/>
      <c r="E312" s="503"/>
      <c r="F312" s="504"/>
      <c r="G312" s="505" t="str">
        <f>IFERROR(IF(ventas_b_mes11[[#This Row],[CUIT]]="","-",VLOOKUP(ventas_b_mes11[[#This Row],[CUIT]],Lista_CUIT[#All],2,0)),"CUIT NO CARGADO")</f>
        <v>-</v>
      </c>
      <c r="H312" s="506"/>
      <c r="I312" s="507"/>
      <c r="J312" s="508"/>
      <c r="K312" s="508"/>
      <c r="L312" s="508">
        <f>SUM(ventas_b_mes11[[#This Row],[IMPORTE NETO]:[EXENTO]])</f>
        <v>0</v>
      </c>
      <c r="M312" s="509"/>
    </row>
    <row r="313" spans="2:13" x14ac:dyDescent="0.25">
      <c r="B313" s="500"/>
      <c r="C313" s="41"/>
      <c r="D313" s="502"/>
      <c r="E313" s="503"/>
      <c r="F313" s="504"/>
      <c r="G313" s="505" t="str">
        <f>IFERROR(IF(ventas_b_mes11[[#This Row],[CUIT]]="","-",VLOOKUP(ventas_b_mes11[[#This Row],[CUIT]],Lista_CUIT[#All],2,0)),"CUIT NO CARGADO")</f>
        <v>-</v>
      </c>
      <c r="H313" s="506"/>
      <c r="I313" s="507"/>
      <c r="J313" s="508"/>
      <c r="K313" s="508"/>
      <c r="L313" s="508">
        <f>SUM(ventas_b_mes11[[#This Row],[IMPORTE NETO]:[EXENTO]])</f>
        <v>0</v>
      </c>
      <c r="M313" s="509"/>
    </row>
    <row r="314" spans="2:13" x14ac:dyDescent="0.25">
      <c r="B314" s="500"/>
      <c r="C314" s="41"/>
      <c r="D314" s="502"/>
      <c r="E314" s="503"/>
      <c r="F314" s="504"/>
      <c r="G314" s="505" t="str">
        <f>IFERROR(IF(ventas_b_mes11[[#This Row],[CUIT]]="","-",VLOOKUP(ventas_b_mes11[[#This Row],[CUIT]],Lista_CUIT[#All],2,0)),"CUIT NO CARGADO")</f>
        <v>-</v>
      </c>
      <c r="H314" s="506"/>
      <c r="I314" s="507"/>
      <c r="J314" s="508"/>
      <c r="K314" s="508"/>
      <c r="L314" s="508">
        <f>SUM(ventas_b_mes11[[#This Row],[IMPORTE NETO]:[EXENTO]])</f>
        <v>0</v>
      </c>
      <c r="M314" s="509"/>
    </row>
    <row r="315" spans="2:13" x14ac:dyDescent="0.25">
      <c r="B315" s="500"/>
      <c r="C315" s="41"/>
      <c r="D315" s="502"/>
      <c r="E315" s="503"/>
      <c r="F315" s="504"/>
      <c r="G315" s="505" t="str">
        <f>IFERROR(IF(ventas_b_mes11[[#This Row],[CUIT]]="","-",VLOOKUP(ventas_b_mes11[[#This Row],[CUIT]],Lista_CUIT[#All],2,0)),"CUIT NO CARGADO")</f>
        <v>-</v>
      </c>
      <c r="H315" s="506"/>
      <c r="I315" s="507"/>
      <c r="J315" s="508"/>
      <c r="K315" s="508"/>
      <c r="L315" s="508">
        <f>SUM(ventas_b_mes11[[#This Row],[IMPORTE NETO]:[EXENTO]])</f>
        <v>0</v>
      </c>
      <c r="M315" s="509"/>
    </row>
    <row r="316" spans="2:13" x14ac:dyDescent="0.25">
      <c r="B316" s="500"/>
      <c r="C316" s="41"/>
      <c r="D316" s="502"/>
      <c r="E316" s="503"/>
      <c r="F316" s="504"/>
      <c r="G316" s="505" t="str">
        <f>IFERROR(IF(ventas_b_mes11[[#This Row],[CUIT]]="","-",VLOOKUP(ventas_b_mes11[[#This Row],[CUIT]],Lista_CUIT[#All],2,0)),"CUIT NO CARGADO")</f>
        <v>-</v>
      </c>
      <c r="H316" s="506"/>
      <c r="I316" s="507"/>
      <c r="J316" s="508"/>
      <c r="K316" s="508"/>
      <c r="L316" s="508">
        <f>SUM(ventas_b_mes11[[#This Row],[IMPORTE NETO]:[EXENTO]])</f>
        <v>0</v>
      </c>
      <c r="M316" s="509"/>
    </row>
    <row r="317" spans="2:13" x14ac:dyDescent="0.25">
      <c r="B317" s="500"/>
      <c r="C317" s="41"/>
      <c r="D317" s="502"/>
      <c r="E317" s="503"/>
      <c r="F317" s="504"/>
      <c r="G317" s="505" t="str">
        <f>IFERROR(IF(ventas_b_mes11[[#This Row],[CUIT]]="","-",VLOOKUP(ventas_b_mes11[[#This Row],[CUIT]],Lista_CUIT[#All],2,0)),"CUIT NO CARGADO")</f>
        <v>-</v>
      </c>
      <c r="H317" s="506"/>
      <c r="I317" s="507"/>
      <c r="J317" s="508"/>
      <c r="K317" s="508"/>
      <c r="L317" s="508">
        <f>SUM(ventas_b_mes11[[#This Row],[IMPORTE NETO]:[EXENTO]])</f>
        <v>0</v>
      </c>
      <c r="M317" s="509"/>
    </row>
    <row r="318" spans="2:13" x14ac:dyDescent="0.25">
      <c r="B318" s="500"/>
      <c r="C318" s="41"/>
      <c r="D318" s="502"/>
      <c r="E318" s="503"/>
      <c r="F318" s="504"/>
      <c r="G318" s="505" t="str">
        <f>IFERROR(IF(ventas_b_mes11[[#This Row],[CUIT]]="","-",VLOOKUP(ventas_b_mes11[[#This Row],[CUIT]],Lista_CUIT[#All],2,0)),"CUIT NO CARGADO")</f>
        <v>-</v>
      </c>
      <c r="H318" s="506"/>
      <c r="I318" s="507"/>
      <c r="J318" s="508"/>
      <c r="K318" s="508"/>
      <c r="L318" s="508">
        <f>SUM(ventas_b_mes11[[#This Row],[IMPORTE NETO]:[EXENTO]])</f>
        <v>0</v>
      </c>
      <c r="M318" s="509"/>
    </row>
    <row r="319" spans="2:13" x14ac:dyDescent="0.25">
      <c r="B319" s="500"/>
      <c r="C319" s="41"/>
      <c r="D319" s="502"/>
      <c r="E319" s="503"/>
      <c r="F319" s="504"/>
      <c r="G319" s="505" t="str">
        <f>IFERROR(IF(ventas_b_mes11[[#This Row],[CUIT]]="","-",VLOOKUP(ventas_b_mes11[[#This Row],[CUIT]],Lista_CUIT[#All],2,0)),"CUIT NO CARGADO")</f>
        <v>-</v>
      </c>
      <c r="H319" s="506"/>
      <c r="I319" s="507"/>
      <c r="J319" s="508"/>
      <c r="K319" s="508"/>
      <c r="L319" s="508">
        <f>SUM(ventas_b_mes11[[#This Row],[IMPORTE NETO]:[EXENTO]])</f>
        <v>0</v>
      </c>
      <c r="M319" s="509"/>
    </row>
    <row r="320" spans="2:13" x14ac:dyDescent="0.25">
      <c r="B320" s="500"/>
      <c r="C320" s="41"/>
      <c r="D320" s="502"/>
      <c r="E320" s="503"/>
      <c r="F320" s="504"/>
      <c r="G320" s="505" t="str">
        <f>IFERROR(IF(ventas_b_mes11[[#This Row],[CUIT]]="","-",VLOOKUP(ventas_b_mes11[[#This Row],[CUIT]],Lista_CUIT[#All],2,0)),"CUIT NO CARGADO")</f>
        <v>-</v>
      </c>
      <c r="H320" s="506"/>
      <c r="I320" s="507"/>
      <c r="J320" s="508"/>
      <c r="K320" s="508"/>
      <c r="L320" s="508">
        <f>SUM(ventas_b_mes11[[#This Row],[IMPORTE NETO]:[EXENTO]])</f>
        <v>0</v>
      </c>
      <c r="M320" s="509"/>
    </row>
    <row r="321" spans="2:13" x14ac:dyDescent="0.25">
      <c r="B321" s="500"/>
      <c r="C321" s="41"/>
      <c r="D321" s="502"/>
      <c r="E321" s="503"/>
      <c r="F321" s="504"/>
      <c r="G321" s="505" t="str">
        <f>IFERROR(IF(ventas_b_mes11[[#This Row],[CUIT]]="","-",VLOOKUP(ventas_b_mes11[[#This Row],[CUIT]],Lista_CUIT[#All],2,0)),"CUIT NO CARGADO")</f>
        <v>-</v>
      </c>
      <c r="H321" s="506"/>
      <c r="I321" s="507"/>
      <c r="J321" s="508"/>
      <c r="K321" s="508"/>
      <c r="L321" s="508">
        <f>SUM(ventas_b_mes11[[#This Row],[IMPORTE NETO]:[EXENTO]])</f>
        <v>0</v>
      </c>
      <c r="M321" s="509"/>
    </row>
    <row r="322" spans="2:13" x14ac:dyDescent="0.25">
      <c r="B322" s="500"/>
      <c r="C322" s="41"/>
      <c r="D322" s="502"/>
      <c r="E322" s="503"/>
      <c r="F322" s="504"/>
      <c r="G322" s="505" t="str">
        <f>IFERROR(IF(ventas_b_mes11[[#This Row],[CUIT]]="","-",VLOOKUP(ventas_b_mes11[[#This Row],[CUIT]],Lista_CUIT[#All],2,0)),"CUIT NO CARGADO")</f>
        <v>-</v>
      </c>
      <c r="H322" s="506"/>
      <c r="I322" s="507"/>
      <c r="J322" s="508"/>
      <c r="K322" s="508"/>
      <c r="L322" s="508">
        <f>SUM(ventas_b_mes11[[#This Row],[IMPORTE NETO]:[EXENTO]])</f>
        <v>0</v>
      </c>
      <c r="M322" s="509"/>
    </row>
    <row r="323" spans="2:13" x14ac:dyDescent="0.25">
      <c r="B323" s="500"/>
      <c r="C323" s="41"/>
      <c r="D323" s="502"/>
      <c r="E323" s="503"/>
      <c r="F323" s="504"/>
      <c r="G323" s="505" t="str">
        <f>IFERROR(IF(ventas_b_mes11[[#This Row],[CUIT]]="","-",VLOOKUP(ventas_b_mes11[[#This Row],[CUIT]],Lista_CUIT[#All],2,0)),"CUIT NO CARGADO")</f>
        <v>-</v>
      </c>
      <c r="H323" s="506"/>
      <c r="I323" s="507"/>
      <c r="J323" s="508"/>
      <c r="K323" s="508"/>
      <c r="L323" s="508">
        <f>SUM(ventas_b_mes11[[#This Row],[IMPORTE NETO]:[EXENTO]])</f>
        <v>0</v>
      </c>
      <c r="M323" s="509"/>
    </row>
    <row r="324" spans="2:13" x14ac:dyDescent="0.25">
      <c r="B324" s="500"/>
      <c r="C324" s="41"/>
      <c r="D324" s="502"/>
      <c r="E324" s="503"/>
      <c r="F324" s="504"/>
      <c r="G324" s="505" t="str">
        <f>IFERROR(IF(ventas_b_mes11[[#This Row],[CUIT]]="","-",VLOOKUP(ventas_b_mes11[[#This Row],[CUIT]],Lista_CUIT[#All],2,0)),"CUIT NO CARGADO")</f>
        <v>-</v>
      </c>
      <c r="H324" s="506"/>
      <c r="I324" s="507"/>
      <c r="J324" s="508"/>
      <c r="K324" s="508"/>
      <c r="L324" s="508">
        <f>SUM(ventas_b_mes11[[#This Row],[IMPORTE NETO]:[EXENTO]])</f>
        <v>0</v>
      </c>
      <c r="M324" s="509"/>
    </row>
    <row r="325" spans="2:13" x14ac:dyDescent="0.25">
      <c r="B325" s="500"/>
      <c r="C325" s="41"/>
      <c r="D325" s="502"/>
      <c r="E325" s="503"/>
      <c r="F325" s="504"/>
      <c r="G325" s="505" t="str">
        <f>IFERROR(IF(ventas_b_mes11[[#This Row],[CUIT]]="","-",VLOOKUP(ventas_b_mes11[[#This Row],[CUIT]],Lista_CUIT[#All],2,0)),"CUIT NO CARGADO")</f>
        <v>-</v>
      </c>
      <c r="H325" s="506"/>
      <c r="I325" s="507"/>
      <c r="J325" s="508"/>
      <c r="K325" s="508"/>
      <c r="L325" s="508">
        <f>SUM(ventas_b_mes11[[#This Row],[IMPORTE NETO]:[EXENTO]])</f>
        <v>0</v>
      </c>
      <c r="M325" s="509"/>
    </row>
    <row r="326" spans="2:13" x14ac:dyDescent="0.25">
      <c r="B326" s="500"/>
      <c r="C326" s="41"/>
      <c r="D326" s="502"/>
      <c r="E326" s="503"/>
      <c r="F326" s="504"/>
      <c r="G326" s="505" t="str">
        <f>IFERROR(IF(ventas_b_mes11[[#This Row],[CUIT]]="","-",VLOOKUP(ventas_b_mes11[[#This Row],[CUIT]],Lista_CUIT[#All],2,0)),"CUIT NO CARGADO")</f>
        <v>-</v>
      </c>
      <c r="H326" s="506"/>
      <c r="I326" s="507"/>
      <c r="J326" s="508"/>
      <c r="K326" s="508"/>
      <c r="L326" s="508">
        <f>SUM(ventas_b_mes11[[#This Row],[IMPORTE NETO]:[EXENTO]])</f>
        <v>0</v>
      </c>
      <c r="M326" s="509"/>
    </row>
    <row r="327" spans="2:13" x14ac:dyDescent="0.25">
      <c r="B327" s="500"/>
      <c r="C327" s="41"/>
      <c r="D327" s="502"/>
      <c r="E327" s="503"/>
      <c r="F327" s="504"/>
      <c r="G327" s="505" t="str">
        <f>IFERROR(IF(ventas_b_mes11[[#This Row],[CUIT]]="","-",VLOOKUP(ventas_b_mes11[[#This Row],[CUIT]],Lista_CUIT[#All],2,0)),"CUIT NO CARGADO")</f>
        <v>-</v>
      </c>
      <c r="H327" s="506"/>
      <c r="I327" s="507"/>
      <c r="J327" s="508"/>
      <c r="K327" s="508"/>
      <c r="L327" s="508">
        <f>SUM(ventas_b_mes11[[#This Row],[IMPORTE NETO]:[EXENTO]])</f>
        <v>0</v>
      </c>
      <c r="M327" s="509"/>
    </row>
    <row r="328" spans="2:13" x14ac:dyDescent="0.25">
      <c r="B328" s="500"/>
      <c r="C328" s="41"/>
      <c r="D328" s="502"/>
      <c r="E328" s="503"/>
      <c r="F328" s="504"/>
      <c r="G328" s="505" t="str">
        <f>IFERROR(IF(ventas_b_mes11[[#This Row],[CUIT]]="","-",VLOOKUP(ventas_b_mes11[[#This Row],[CUIT]],Lista_CUIT[#All],2,0)),"CUIT NO CARGADO")</f>
        <v>-</v>
      </c>
      <c r="H328" s="506"/>
      <c r="I328" s="507"/>
      <c r="J328" s="508"/>
      <c r="K328" s="508"/>
      <c r="L328" s="508">
        <f>SUM(ventas_b_mes11[[#This Row],[IMPORTE NETO]:[EXENTO]])</f>
        <v>0</v>
      </c>
      <c r="M328" s="509"/>
    </row>
    <row r="329" spans="2:13" x14ac:dyDescent="0.25">
      <c r="B329" s="500"/>
      <c r="C329" s="41"/>
      <c r="D329" s="502"/>
      <c r="E329" s="503"/>
      <c r="F329" s="504"/>
      <c r="G329" s="505" t="str">
        <f>IFERROR(IF(ventas_b_mes11[[#This Row],[CUIT]]="","-",VLOOKUP(ventas_b_mes11[[#This Row],[CUIT]],Lista_CUIT[#All],2,0)),"CUIT NO CARGADO")</f>
        <v>-</v>
      </c>
      <c r="H329" s="506"/>
      <c r="I329" s="507"/>
      <c r="J329" s="508"/>
      <c r="K329" s="508"/>
      <c r="L329" s="508">
        <f>SUM(ventas_b_mes11[[#This Row],[IMPORTE NETO]:[EXENTO]])</f>
        <v>0</v>
      </c>
      <c r="M329" s="509"/>
    </row>
    <row r="330" spans="2:13" x14ac:dyDescent="0.25">
      <c r="B330" s="500"/>
      <c r="C330" s="41"/>
      <c r="D330" s="502"/>
      <c r="E330" s="503"/>
      <c r="F330" s="504"/>
      <c r="G330" s="505" t="str">
        <f>IFERROR(IF(ventas_b_mes11[[#This Row],[CUIT]]="","-",VLOOKUP(ventas_b_mes11[[#This Row],[CUIT]],Lista_CUIT[#All],2,0)),"CUIT NO CARGADO")</f>
        <v>-</v>
      </c>
      <c r="H330" s="506"/>
      <c r="I330" s="507"/>
      <c r="J330" s="508"/>
      <c r="K330" s="508"/>
      <c r="L330" s="508">
        <f>SUM(ventas_b_mes11[[#This Row],[IMPORTE NETO]:[EXENTO]])</f>
        <v>0</v>
      </c>
      <c r="M330" s="509"/>
    </row>
    <row r="331" spans="2:13" x14ac:dyDescent="0.25">
      <c r="B331" s="500"/>
      <c r="C331" s="41"/>
      <c r="D331" s="502"/>
      <c r="E331" s="503"/>
      <c r="F331" s="504"/>
      <c r="G331" s="505" t="str">
        <f>IFERROR(IF(ventas_b_mes11[[#This Row],[CUIT]]="","-",VLOOKUP(ventas_b_mes11[[#This Row],[CUIT]],Lista_CUIT[#All],2,0)),"CUIT NO CARGADO")</f>
        <v>-</v>
      </c>
      <c r="H331" s="506"/>
      <c r="I331" s="507"/>
      <c r="J331" s="508"/>
      <c r="K331" s="508"/>
      <c r="L331" s="508">
        <f>SUM(ventas_b_mes11[[#This Row],[IMPORTE NETO]:[EXENTO]])</f>
        <v>0</v>
      </c>
      <c r="M331" s="509"/>
    </row>
    <row r="332" spans="2:13" x14ac:dyDescent="0.25">
      <c r="B332" s="500"/>
      <c r="C332" s="41"/>
      <c r="D332" s="502"/>
      <c r="E332" s="503"/>
      <c r="F332" s="504"/>
      <c r="G332" s="505" t="str">
        <f>IFERROR(IF(ventas_b_mes11[[#This Row],[CUIT]]="","-",VLOOKUP(ventas_b_mes11[[#This Row],[CUIT]],Lista_CUIT[#All],2,0)),"CUIT NO CARGADO")</f>
        <v>-</v>
      </c>
      <c r="H332" s="506"/>
      <c r="I332" s="507"/>
      <c r="J332" s="508"/>
      <c r="K332" s="508"/>
      <c r="L332" s="508">
        <f>SUM(ventas_b_mes11[[#This Row],[IMPORTE NETO]:[EXENTO]])</f>
        <v>0</v>
      </c>
      <c r="M332" s="509"/>
    </row>
    <row r="333" spans="2:13" x14ac:dyDescent="0.25">
      <c r="B333" s="500"/>
      <c r="C333" s="41"/>
      <c r="D333" s="502"/>
      <c r="E333" s="503"/>
      <c r="F333" s="504"/>
      <c r="G333" s="505" t="str">
        <f>IFERROR(IF(ventas_b_mes11[[#This Row],[CUIT]]="","-",VLOOKUP(ventas_b_mes11[[#This Row],[CUIT]],Lista_CUIT[#All],2,0)),"CUIT NO CARGADO")</f>
        <v>-</v>
      </c>
      <c r="H333" s="506"/>
      <c r="I333" s="507"/>
      <c r="J333" s="508"/>
      <c r="K333" s="508"/>
      <c r="L333" s="508">
        <f>SUM(ventas_b_mes11[[#This Row],[IMPORTE NETO]:[EXENTO]])</f>
        <v>0</v>
      </c>
      <c r="M333" s="509"/>
    </row>
    <row r="334" spans="2:13" x14ac:dyDescent="0.25">
      <c r="B334" s="500"/>
      <c r="C334" s="41"/>
      <c r="D334" s="502"/>
      <c r="E334" s="503"/>
      <c r="F334" s="504"/>
      <c r="G334" s="505" t="str">
        <f>IFERROR(IF(ventas_b_mes11[[#This Row],[CUIT]]="","-",VLOOKUP(ventas_b_mes11[[#This Row],[CUIT]],Lista_CUIT[#All],2,0)),"CUIT NO CARGADO")</f>
        <v>-</v>
      </c>
      <c r="H334" s="506"/>
      <c r="I334" s="507"/>
      <c r="J334" s="508"/>
      <c r="K334" s="508"/>
      <c r="L334" s="508">
        <f>SUM(ventas_b_mes11[[#This Row],[IMPORTE NETO]:[EXENTO]])</f>
        <v>0</v>
      </c>
      <c r="M334" s="509"/>
    </row>
    <row r="335" spans="2:13" x14ac:dyDescent="0.25">
      <c r="B335" s="500"/>
      <c r="C335" s="41"/>
      <c r="D335" s="502"/>
      <c r="E335" s="503"/>
      <c r="F335" s="504"/>
      <c r="G335" s="505" t="str">
        <f>IFERROR(IF(ventas_b_mes11[[#This Row],[CUIT]]="","-",VLOOKUP(ventas_b_mes11[[#This Row],[CUIT]],Lista_CUIT[#All],2,0)),"CUIT NO CARGADO")</f>
        <v>-</v>
      </c>
      <c r="H335" s="506"/>
      <c r="I335" s="507"/>
      <c r="J335" s="508"/>
      <c r="K335" s="508"/>
      <c r="L335" s="508">
        <f>SUM(ventas_b_mes11[[#This Row],[IMPORTE NETO]:[EXENTO]])</f>
        <v>0</v>
      </c>
      <c r="M335" s="509"/>
    </row>
    <row r="336" spans="2:13" x14ac:dyDescent="0.25">
      <c r="B336" s="500"/>
      <c r="C336" s="41"/>
      <c r="D336" s="502"/>
      <c r="E336" s="503"/>
      <c r="F336" s="504"/>
      <c r="G336" s="505" t="str">
        <f>IFERROR(IF(ventas_b_mes11[[#This Row],[CUIT]]="","-",VLOOKUP(ventas_b_mes11[[#This Row],[CUIT]],Lista_CUIT[#All],2,0)),"CUIT NO CARGADO")</f>
        <v>-</v>
      </c>
      <c r="H336" s="506"/>
      <c r="I336" s="507"/>
      <c r="J336" s="508"/>
      <c r="K336" s="508"/>
      <c r="L336" s="508">
        <f>SUM(ventas_b_mes11[[#This Row],[IMPORTE NETO]:[EXENTO]])</f>
        <v>0</v>
      </c>
      <c r="M336" s="509"/>
    </row>
    <row r="337" spans="2:13" x14ac:dyDescent="0.25">
      <c r="B337" s="500"/>
      <c r="C337" s="41"/>
      <c r="D337" s="502"/>
      <c r="E337" s="503"/>
      <c r="F337" s="504"/>
      <c r="G337" s="505" t="str">
        <f>IFERROR(IF(ventas_b_mes11[[#This Row],[CUIT]]="","-",VLOOKUP(ventas_b_mes11[[#This Row],[CUIT]],Lista_CUIT[#All],2,0)),"CUIT NO CARGADO")</f>
        <v>-</v>
      </c>
      <c r="H337" s="506"/>
      <c r="I337" s="507"/>
      <c r="J337" s="508"/>
      <c r="K337" s="508"/>
      <c r="L337" s="508">
        <f>SUM(ventas_b_mes11[[#This Row],[IMPORTE NETO]:[EXENTO]])</f>
        <v>0</v>
      </c>
      <c r="M337" s="509"/>
    </row>
    <row r="338" spans="2:13" x14ac:dyDescent="0.25">
      <c r="B338" s="500"/>
      <c r="C338" s="41"/>
      <c r="D338" s="502"/>
      <c r="E338" s="503"/>
      <c r="F338" s="504"/>
      <c r="G338" s="505" t="str">
        <f>IFERROR(IF(ventas_b_mes11[[#This Row],[CUIT]]="","-",VLOOKUP(ventas_b_mes11[[#This Row],[CUIT]],Lista_CUIT[#All],2,0)),"CUIT NO CARGADO")</f>
        <v>-</v>
      </c>
      <c r="H338" s="506"/>
      <c r="I338" s="507"/>
      <c r="J338" s="508"/>
      <c r="K338" s="508"/>
      <c r="L338" s="508">
        <f>SUM(ventas_b_mes11[[#This Row],[IMPORTE NETO]:[EXENTO]])</f>
        <v>0</v>
      </c>
      <c r="M338" s="509"/>
    </row>
    <row r="339" spans="2:13" x14ac:dyDescent="0.25">
      <c r="B339" s="500"/>
      <c r="C339" s="41"/>
      <c r="D339" s="502"/>
      <c r="E339" s="503"/>
      <c r="F339" s="504"/>
      <c r="G339" s="505" t="str">
        <f>IFERROR(IF(ventas_b_mes11[[#This Row],[CUIT]]="","-",VLOOKUP(ventas_b_mes11[[#This Row],[CUIT]],Lista_CUIT[#All],2,0)),"CUIT NO CARGADO")</f>
        <v>-</v>
      </c>
      <c r="H339" s="506"/>
      <c r="I339" s="507"/>
      <c r="J339" s="508"/>
      <c r="K339" s="508"/>
      <c r="L339" s="508">
        <f>SUM(ventas_b_mes11[[#This Row],[IMPORTE NETO]:[EXENTO]])</f>
        <v>0</v>
      </c>
      <c r="M339" s="509"/>
    </row>
    <row r="340" spans="2:13" x14ac:dyDescent="0.25">
      <c r="B340" s="500"/>
      <c r="C340" s="41"/>
      <c r="D340" s="502"/>
      <c r="E340" s="503"/>
      <c r="F340" s="504"/>
      <c r="G340" s="505" t="str">
        <f>IFERROR(IF(ventas_b_mes11[[#This Row],[CUIT]]="","-",VLOOKUP(ventas_b_mes11[[#This Row],[CUIT]],Lista_CUIT[#All],2,0)),"CUIT NO CARGADO")</f>
        <v>-</v>
      </c>
      <c r="H340" s="506"/>
      <c r="I340" s="507"/>
      <c r="J340" s="508"/>
      <c r="K340" s="508"/>
      <c r="L340" s="508">
        <f>SUM(ventas_b_mes11[[#This Row],[IMPORTE NETO]:[EXENTO]])</f>
        <v>0</v>
      </c>
      <c r="M340" s="509"/>
    </row>
    <row r="341" spans="2:13" x14ac:dyDescent="0.25">
      <c r="B341" s="500"/>
      <c r="C341" s="41"/>
      <c r="D341" s="502"/>
      <c r="E341" s="503"/>
      <c r="F341" s="504"/>
      <c r="G341" s="505" t="str">
        <f>IFERROR(IF(ventas_b_mes11[[#This Row],[CUIT]]="","-",VLOOKUP(ventas_b_mes11[[#This Row],[CUIT]],Lista_CUIT[#All],2,0)),"CUIT NO CARGADO")</f>
        <v>-</v>
      </c>
      <c r="H341" s="506"/>
      <c r="I341" s="507"/>
      <c r="J341" s="508"/>
      <c r="K341" s="508"/>
      <c r="L341" s="508">
        <f>SUM(ventas_b_mes11[[#This Row],[IMPORTE NETO]:[EXENTO]])</f>
        <v>0</v>
      </c>
      <c r="M341" s="509"/>
    </row>
    <row r="342" spans="2:13" x14ac:dyDescent="0.25">
      <c r="B342" s="500"/>
      <c r="C342" s="41"/>
      <c r="D342" s="502"/>
      <c r="E342" s="503"/>
      <c r="F342" s="504"/>
      <c r="G342" s="505" t="str">
        <f>IFERROR(IF(ventas_b_mes11[[#This Row],[CUIT]]="","-",VLOOKUP(ventas_b_mes11[[#This Row],[CUIT]],Lista_CUIT[#All],2,0)),"CUIT NO CARGADO")</f>
        <v>-</v>
      </c>
      <c r="H342" s="506"/>
      <c r="I342" s="507"/>
      <c r="J342" s="508"/>
      <c r="K342" s="508"/>
      <c r="L342" s="508">
        <f>SUM(ventas_b_mes11[[#This Row],[IMPORTE NETO]:[EXENTO]])</f>
        <v>0</v>
      </c>
      <c r="M342" s="509"/>
    </row>
    <row r="343" spans="2:13" x14ac:dyDescent="0.25">
      <c r="B343" s="500"/>
      <c r="C343" s="41"/>
      <c r="D343" s="502"/>
      <c r="E343" s="503"/>
      <c r="F343" s="504"/>
      <c r="G343" s="505" t="str">
        <f>IFERROR(IF(ventas_b_mes11[[#This Row],[CUIT]]="","-",VLOOKUP(ventas_b_mes11[[#This Row],[CUIT]],Lista_CUIT[#All],2,0)),"CUIT NO CARGADO")</f>
        <v>-</v>
      </c>
      <c r="H343" s="506"/>
      <c r="I343" s="507"/>
      <c r="J343" s="508"/>
      <c r="K343" s="508"/>
      <c r="L343" s="508">
        <f>SUM(ventas_b_mes11[[#This Row],[IMPORTE NETO]:[EXENTO]])</f>
        <v>0</v>
      </c>
      <c r="M343" s="509"/>
    </row>
    <row r="344" spans="2:13" x14ac:dyDescent="0.25">
      <c r="B344" s="500"/>
      <c r="C344" s="41"/>
      <c r="D344" s="502"/>
      <c r="E344" s="503"/>
      <c r="F344" s="504"/>
      <c r="G344" s="505" t="str">
        <f>IFERROR(IF(ventas_b_mes11[[#This Row],[CUIT]]="","-",VLOOKUP(ventas_b_mes11[[#This Row],[CUIT]],Lista_CUIT[#All],2,0)),"CUIT NO CARGADO")</f>
        <v>-</v>
      </c>
      <c r="H344" s="506"/>
      <c r="I344" s="507"/>
      <c r="J344" s="508"/>
      <c r="K344" s="508"/>
      <c r="L344" s="508">
        <f>SUM(ventas_b_mes11[[#This Row],[IMPORTE NETO]:[EXENTO]])</f>
        <v>0</v>
      </c>
      <c r="M344" s="509"/>
    </row>
    <row r="345" spans="2:13" x14ac:dyDescent="0.25">
      <c r="B345" s="500"/>
      <c r="C345" s="41"/>
      <c r="D345" s="502"/>
      <c r="E345" s="503"/>
      <c r="F345" s="504"/>
      <c r="G345" s="505" t="str">
        <f>IFERROR(IF(ventas_b_mes11[[#This Row],[CUIT]]="","-",VLOOKUP(ventas_b_mes11[[#This Row],[CUIT]],Lista_CUIT[#All],2,0)),"CUIT NO CARGADO")</f>
        <v>-</v>
      </c>
      <c r="H345" s="506"/>
      <c r="I345" s="507"/>
      <c r="J345" s="508"/>
      <c r="K345" s="508"/>
      <c r="L345" s="508">
        <f>SUM(ventas_b_mes11[[#This Row],[IMPORTE NETO]:[EXENTO]])</f>
        <v>0</v>
      </c>
      <c r="M345" s="509"/>
    </row>
    <row r="346" spans="2:13" x14ac:dyDescent="0.25">
      <c r="B346" s="500"/>
      <c r="C346" s="41"/>
      <c r="D346" s="502"/>
      <c r="E346" s="503"/>
      <c r="F346" s="504"/>
      <c r="G346" s="505" t="str">
        <f>IFERROR(IF(ventas_b_mes11[[#This Row],[CUIT]]="","-",VLOOKUP(ventas_b_mes11[[#This Row],[CUIT]],Lista_CUIT[#All],2,0)),"CUIT NO CARGADO")</f>
        <v>-</v>
      </c>
      <c r="H346" s="506"/>
      <c r="I346" s="507"/>
      <c r="J346" s="508"/>
      <c r="K346" s="508"/>
      <c r="L346" s="508">
        <f>SUM(ventas_b_mes11[[#This Row],[IMPORTE NETO]:[EXENTO]])</f>
        <v>0</v>
      </c>
      <c r="M346" s="509"/>
    </row>
    <row r="347" spans="2:13" x14ac:dyDescent="0.25">
      <c r="B347" s="500"/>
      <c r="C347" s="41"/>
      <c r="D347" s="502"/>
      <c r="E347" s="503"/>
      <c r="F347" s="504"/>
      <c r="G347" s="505" t="str">
        <f>IFERROR(IF(ventas_b_mes11[[#This Row],[CUIT]]="","-",VLOOKUP(ventas_b_mes11[[#This Row],[CUIT]],Lista_CUIT[#All],2,0)),"CUIT NO CARGADO")</f>
        <v>-</v>
      </c>
      <c r="H347" s="506"/>
      <c r="I347" s="507"/>
      <c r="J347" s="508"/>
      <c r="K347" s="508"/>
      <c r="L347" s="508">
        <f>SUM(ventas_b_mes11[[#This Row],[IMPORTE NETO]:[EXENTO]])</f>
        <v>0</v>
      </c>
      <c r="M347" s="509"/>
    </row>
    <row r="348" spans="2:13" x14ac:dyDescent="0.25">
      <c r="B348" s="500"/>
      <c r="C348" s="41"/>
      <c r="D348" s="502"/>
      <c r="E348" s="503"/>
      <c r="F348" s="504"/>
      <c r="G348" s="505" t="str">
        <f>IFERROR(IF(ventas_b_mes11[[#This Row],[CUIT]]="","-",VLOOKUP(ventas_b_mes11[[#This Row],[CUIT]],Lista_CUIT[#All],2,0)),"CUIT NO CARGADO")</f>
        <v>-</v>
      </c>
      <c r="H348" s="506"/>
      <c r="I348" s="507"/>
      <c r="J348" s="508"/>
      <c r="K348" s="508"/>
      <c r="L348" s="508">
        <f>SUM(ventas_b_mes11[[#This Row],[IMPORTE NETO]:[EXENTO]])</f>
        <v>0</v>
      </c>
      <c r="M348" s="509"/>
    </row>
    <row r="349" spans="2:13" x14ac:dyDescent="0.25">
      <c r="B349" s="500"/>
      <c r="C349" s="41"/>
      <c r="D349" s="502"/>
      <c r="E349" s="503"/>
      <c r="F349" s="504"/>
      <c r="G349" s="505" t="str">
        <f>IFERROR(IF(ventas_b_mes11[[#This Row],[CUIT]]="","-",VLOOKUP(ventas_b_mes11[[#This Row],[CUIT]],Lista_CUIT[#All],2,0)),"CUIT NO CARGADO")</f>
        <v>-</v>
      </c>
      <c r="H349" s="506"/>
      <c r="I349" s="507"/>
      <c r="J349" s="508"/>
      <c r="K349" s="508"/>
      <c r="L349" s="508">
        <f>SUM(ventas_b_mes11[[#This Row],[IMPORTE NETO]:[EXENTO]])</f>
        <v>0</v>
      </c>
      <c r="M349" s="509"/>
    </row>
    <row r="350" spans="2:13" x14ac:dyDescent="0.25">
      <c r="B350" s="500"/>
      <c r="C350" s="41"/>
      <c r="D350" s="502"/>
      <c r="E350" s="503"/>
      <c r="F350" s="504"/>
      <c r="G350" s="505" t="str">
        <f>IFERROR(IF(ventas_b_mes11[[#This Row],[CUIT]]="","-",VLOOKUP(ventas_b_mes11[[#This Row],[CUIT]],Lista_CUIT[#All],2,0)),"CUIT NO CARGADO")</f>
        <v>-</v>
      </c>
      <c r="H350" s="506"/>
      <c r="I350" s="507"/>
      <c r="J350" s="508"/>
      <c r="K350" s="508"/>
      <c r="L350" s="508">
        <f>SUM(ventas_b_mes11[[#This Row],[IMPORTE NETO]:[EXENTO]])</f>
        <v>0</v>
      </c>
      <c r="M350" s="509"/>
    </row>
    <row r="351" spans="2:13" x14ac:dyDescent="0.25">
      <c r="B351" s="500"/>
      <c r="C351" s="41"/>
      <c r="D351" s="502"/>
      <c r="E351" s="503"/>
      <c r="F351" s="504"/>
      <c r="G351" s="505" t="str">
        <f>IFERROR(IF(ventas_b_mes11[[#This Row],[CUIT]]="","-",VLOOKUP(ventas_b_mes11[[#This Row],[CUIT]],Lista_CUIT[#All],2,0)),"CUIT NO CARGADO")</f>
        <v>-</v>
      </c>
      <c r="H351" s="506"/>
      <c r="I351" s="507"/>
      <c r="J351" s="508"/>
      <c r="K351" s="508"/>
      <c r="L351" s="508">
        <f>SUM(ventas_b_mes11[[#This Row],[IMPORTE NETO]:[EXENTO]])</f>
        <v>0</v>
      </c>
      <c r="M351" s="509"/>
    </row>
    <row r="352" spans="2:13" x14ac:dyDescent="0.25">
      <c r="B352" s="500"/>
      <c r="C352" s="41"/>
      <c r="D352" s="502"/>
      <c r="E352" s="503"/>
      <c r="F352" s="504"/>
      <c r="G352" s="505" t="str">
        <f>IFERROR(IF(ventas_b_mes11[[#This Row],[CUIT]]="","-",VLOOKUP(ventas_b_mes11[[#This Row],[CUIT]],Lista_CUIT[#All],2,0)),"CUIT NO CARGADO")</f>
        <v>-</v>
      </c>
      <c r="H352" s="506"/>
      <c r="I352" s="507"/>
      <c r="J352" s="508"/>
      <c r="K352" s="508"/>
      <c r="L352" s="508">
        <f>SUM(ventas_b_mes11[[#This Row],[IMPORTE NETO]:[EXENTO]])</f>
        <v>0</v>
      </c>
      <c r="M352" s="509"/>
    </row>
    <row r="353" spans="2:13" x14ac:dyDescent="0.25">
      <c r="B353" s="500"/>
      <c r="C353" s="41"/>
      <c r="D353" s="502"/>
      <c r="E353" s="503"/>
      <c r="F353" s="504"/>
      <c r="G353" s="505" t="str">
        <f>IFERROR(IF(ventas_b_mes11[[#This Row],[CUIT]]="","-",VLOOKUP(ventas_b_mes11[[#This Row],[CUIT]],Lista_CUIT[#All],2,0)),"CUIT NO CARGADO")</f>
        <v>-</v>
      </c>
      <c r="H353" s="506"/>
      <c r="I353" s="507"/>
      <c r="J353" s="508"/>
      <c r="K353" s="508"/>
      <c r="L353" s="508">
        <f>SUM(ventas_b_mes11[[#This Row],[IMPORTE NETO]:[EXENTO]])</f>
        <v>0</v>
      </c>
      <c r="M353" s="509"/>
    </row>
    <row r="354" spans="2:13" x14ac:dyDescent="0.25">
      <c r="B354" s="500"/>
      <c r="C354" s="41"/>
      <c r="D354" s="502"/>
      <c r="E354" s="503"/>
      <c r="F354" s="504"/>
      <c r="G354" s="505" t="str">
        <f>IFERROR(IF(ventas_b_mes11[[#This Row],[CUIT]]="","-",VLOOKUP(ventas_b_mes11[[#This Row],[CUIT]],Lista_CUIT[#All],2,0)),"CUIT NO CARGADO")</f>
        <v>-</v>
      </c>
      <c r="H354" s="506"/>
      <c r="I354" s="507"/>
      <c r="J354" s="508"/>
      <c r="K354" s="508"/>
      <c r="L354" s="508">
        <f>SUM(ventas_b_mes11[[#This Row],[IMPORTE NETO]:[EXENTO]])</f>
        <v>0</v>
      </c>
      <c r="M354" s="509"/>
    </row>
    <row r="355" spans="2:13" x14ac:dyDescent="0.25">
      <c r="B355" s="500"/>
      <c r="C355" s="41"/>
      <c r="D355" s="502"/>
      <c r="E355" s="503"/>
      <c r="F355" s="504"/>
      <c r="G355" s="505" t="str">
        <f>IFERROR(IF(ventas_b_mes11[[#This Row],[CUIT]]="","-",VLOOKUP(ventas_b_mes11[[#This Row],[CUIT]],Lista_CUIT[#All],2,0)),"CUIT NO CARGADO")</f>
        <v>-</v>
      </c>
      <c r="H355" s="506"/>
      <c r="I355" s="507"/>
      <c r="J355" s="508"/>
      <c r="K355" s="508"/>
      <c r="L355" s="508">
        <f>SUM(ventas_b_mes11[[#This Row],[IMPORTE NETO]:[EXENTO]])</f>
        <v>0</v>
      </c>
      <c r="M355" s="509"/>
    </row>
    <row r="356" spans="2:13" x14ac:dyDescent="0.25">
      <c r="B356" s="500"/>
      <c r="C356" s="41"/>
      <c r="D356" s="502"/>
      <c r="E356" s="503"/>
      <c r="F356" s="504"/>
      <c r="G356" s="505" t="str">
        <f>IFERROR(IF(ventas_b_mes11[[#This Row],[CUIT]]="","-",VLOOKUP(ventas_b_mes11[[#This Row],[CUIT]],Lista_CUIT[#All],2,0)),"CUIT NO CARGADO")</f>
        <v>-</v>
      </c>
      <c r="H356" s="506"/>
      <c r="I356" s="507"/>
      <c r="J356" s="508"/>
      <c r="K356" s="508"/>
      <c r="L356" s="508">
        <f>SUM(ventas_b_mes11[[#This Row],[IMPORTE NETO]:[EXENTO]])</f>
        <v>0</v>
      </c>
      <c r="M356" s="509"/>
    </row>
    <row r="357" spans="2:13" x14ac:dyDescent="0.25">
      <c r="B357" s="500"/>
      <c r="C357" s="41"/>
      <c r="D357" s="502"/>
      <c r="E357" s="503"/>
      <c r="F357" s="504"/>
      <c r="G357" s="505" t="str">
        <f>IFERROR(IF(ventas_b_mes11[[#This Row],[CUIT]]="","-",VLOOKUP(ventas_b_mes11[[#This Row],[CUIT]],Lista_CUIT[#All],2,0)),"CUIT NO CARGADO")</f>
        <v>-</v>
      </c>
      <c r="H357" s="506"/>
      <c r="I357" s="507"/>
      <c r="J357" s="508"/>
      <c r="K357" s="508"/>
      <c r="L357" s="508">
        <f>SUM(ventas_b_mes11[[#This Row],[IMPORTE NETO]:[EXENTO]])</f>
        <v>0</v>
      </c>
      <c r="M357" s="509"/>
    </row>
    <row r="358" spans="2:13" x14ac:dyDescent="0.25">
      <c r="B358" s="500"/>
      <c r="C358" s="41"/>
      <c r="D358" s="502"/>
      <c r="E358" s="503"/>
      <c r="F358" s="504"/>
      <c r="G358" s="505" t="str">
        <f>IFERROR(IF(ventas_b_mes11[[#This Row],[CUIT]]="","-",VLOOKUP(ventas_b_mes11[[#This Row],[CUIT]],Lista_CUIT[#All],2,0)),"CUIT NO CARGADO")</f>
        <v>-</v>
      </c>
      <c r="H358" s="506"/>
      <c r="I358" s="507"/>
      <c r="J358" s="508"/>
      <c r="K358" s="508"/>
      <c r="L358" s="508">
        <f>SUM(ventas_b_mes11[[#This Row],[IMPORTE NETO]:[EXENTO]])</f>
        <v>0</v>
      </c>
      <c r="M358" s="509"/>
    </row>
    <row r="359" spans="2:13" x14ac:dyDescent="0.25">
      <c r="B359" s="500"/>
      <c r="C359" s="41"/>
      <c r="D359" s="502"/>
      <c r="E359" s="503"/>
      <c r="F359" s="504"/>
      <c r="G359" s="505" t="str">
        <f>IFERROR(IF(ventas_b_mes11[[#This Row],[CUIT]]="","-",VLOOKUP(ventas_b_mes11[[#This Row],[CUIT]],Lista_CUIT[#All],2,0)),"CUIT NO CARGADO")</f>
        <v>-</v>
      </c>
      <c r="H359" s="506"/>
      <c r="I359" s="507"/>
      <c r="J359" s="508"/>
      <c r="K359" s="508"/>
      <c r="L359" s="508">
        <f>SUM(ventas_b_mes11[[#This Row],[IMPORTE NETO]:[EXENTO]])</f>
        <v>0</v>
      </c>
      <c r="M359" s="509"/>
    </row>
    <row r="360" spans="2:13" x14ac:dyDescent="0.25">
      <c r="B360" s="500"/>
      <c r="C360" s="41"/>
      <c r="D360" s="502"/>
      <c r="E360" s="503"/>
      <c r="F360" s="504"/>
      <c r="G360" s="505" t="str">
        <f>IFERROR(IF(ventas_b_mes11[[#This Row],[CUIT]]="","-",VLOOKUP(ventas_b_mes11[[#This Row],[CUIT]],Lista_CUIT[#All],2,0)),"CUIT NO CARGADO")</f>
        <v>-</v>
      </c>
      <c r="H360" s="506"/>
      <c r="I360" s="507"/>
      <c r="J360" s="508"/>
      <c r="K360" s="508"/>
      <c r="L360" s="508">
        <f>SUM(ventas_b_mes11[[#This Row],[IMPORTE NETO]:[EXENTO]])</f>
        <v>0</v>
      </c>
      <c r="M360" s="509"/>
    </row>
    <row r="361" spans="2:13" x14ac:dyDescent="0.25">
      <c r="B361" s="500"/>
      <c r="C361" s="41"/>
      <c r="D361" s="502"/>
      <c r="E361" s="503"/>
      <c r="F361" s="504"/>
      <c r="G361" s="505" t="str">
        <f>IFERROR(IF(ventas_b_mes11[[#This Row],[CUIT]]="","-",VLOOKUP(ventas_b_mes11[[#This Row],[CUIT]],Lista_CUIT[#All],2,0)),"CUIT NO CARGADO")</f>
        <v>-</v>
      </c>
      <c r="H361" s="506"/>
      <c r="I361" s="507"/>
      <c r="J361" s="508"/>
      <c r="K361" s="508"/>
      <c r="L361" s="508">
        <f>SUM(ventas_b_mes11[[#This Row],[IMPORTE NETO]:[EXENTO]])</f>
        <v>0</v>
      </c>
      <c r="M361" s="509"/>
    </row>
    <row r="362" spans="2:13" x14ac:dyDescent="0.25">
      <c r="B362" s="500"/>
      <c r="C362" s="41"/>
      <c r="D362" s="502"/>
      <c r="E362" s="503"/>
      <c r="F362" s="504"/>
      <c r="G362" s="505" t="str">
        <f>IFERROR(IF(ventas_b_mes11[[#This Row],[CUIT]]="","-",VLOOKUP(ventas_b_mes11[[#This Row],[CUIT]],Lista_CUIT[#All],2,0)),"CUIT NO CARGADO")</f>
        <v>-</v>
      </c>
      <c r="H362" s="506"/>
      <c r="I362" s="507"/>
      <c r="J362" s="508"/>
      <c r="K362" s="508"/>
      <c r="L362" s="508">
        <f>SUM(ventas_b_mes11[[#This Row],[IMPORTE NETO]:[EXENTO]])</f>
        <v>0</v>
      </c>
      <c r="M362" s="509"/>
    </row>
    <row r="363" spans="2:13" x14ac:dyDescent="0.25">
      <c r="B363" s="500"/>
      <c r="C363" s="41"/>
      <c r="D363" s="502"/>
      <c r="E363" s="503"/>
      <c r="F363" s="504"/>
      <c r="G363" s="505" t="str">
        <f>IFERROR(IF(ventas_b_mes11[[#This Row],[CUIT]]="","-",VLOOKUP(ventas_b_mes11[[#This Row],[CUIT]],Lista_CUIT[#All],2,0)),"CUIT NO CARGADO")</f>
        <v>-</v>
      </c>
      <c r="H363" s="506"/>
      <c r="I363" s="507"/>
      <c r="J363" s="508"/>
      <c r="K363" s="508"/>
      <c r="L363" s="508">
        <f>SUM(ventas_b_mes11[[#This Row],[IMPORTE NETO]:[EXENTO]])</f>
        <v>0</v>
      </c>
      <c r="M363" s="509"/>
    </row>
    <row r="364" spans="2:13" x14ac:dyDescent="0.25">
      <c r="B364" s="500"/>
      <c r="C364" s="41"/>
      <c r="D364" s="502"/>
      <c r="E364" s="503"/>
      <c r="F364" s="504"/>
      <c r="G364" s="505" t="str">
        <f>IFERROR(IF(ventas_b_mes11[[#This Row],[CUIT]]="","-",VLOOKUP(ventas_b_mes11[[#This Row],[CUIT]],Lista_CUIT[#All],2,0)),"CUIT NO CARGADO")</f>
        <v>-</v>
      </c>
      <c r="H364" s="506"/>
      <c r="I364" s="507"/>
      <c r="J364" s="508"/>
      <c r="K364" s="508"/>
      <c r="L364" s="508">
        <f>SUM(ventas_b_mes11[[#This Row],[IMPORTE NETO]:[EXENTO]])</f>
        <v>0</v>
      </c>
      <c r="M364" s="509"/>
    </row>
    <row r="365" spans="2:13" x14ac:dyDescent="0.25">
      <c r="B365" s="500"/>
      <c r="C365" s="41"/>
      <c r="D365" s="502"/>
      <c r="E365" s="503"/>
      <c r="F365" s="504"/>
      <c r="G365" s="505" t="str">
        <f>IFERROR(IF(ventas_b_mes11[[#This Row],[CUIT]]="","-",VLOOKUP(ventas_b_mes11[[#This Row],[CUIT]],Lista_CUIT[#All],2,0)),"CUIT NO CARGADO")</f>
        <v>-</v>
      </c>
      <c r="H365" s="506"/>
      <c r="I365" s="507"/>
      <c r="J365" s="508"/>
      <c r="K365" s="508"/>
      <c r="L365" s="508">
        <f>SUM(ventas_b_mes11[[#This Row],[IMPORTE NETO]:[EXENTO]])</f>
        <v>0</v>
      </c>
      <c r="M365" s="509"/>
    </row>
    <row r="366" spans="2:13" x14ac:dyDescent="0.25">
      <c r="B366" s="500"/>
      <c r="C366" s="41"/>
      <c r="D366" s="502"/>
      <c r="E366" s="503"/>
      <c r="F366" s="504"/>
      <c r="G366" s="505" t="str">
        <f>IFERROR(IF(ventas_b_mes11[[#This Row],[CUIT]]="","-",VLOOKUP(ventas_b_mes11[[#This Row],[CUIT]],Lista_CUIT[#All],2,0)),"CUIT NO CARGADO")</f>
        <v>-</v>
      </c>
      <c r="H366" s="506"/>
      <c r="I366" s="507"/>
      <c r="J366" s="508"/>
      <c r="K366" s="508"/>
      <c r="L366" s="508">
        <f>SUM(ventas_b_mes11[[#This Row],[IMPORTE NETO]:[EXENTO]])</f>
        <v>0</v>
      </c>
      <c r="M366" s="509"/>
    </row>
    <row r="367" spans="2:13" x14ac:dyDescent="0.25">
      <c r="B367" s="500"/>
      <c r="C367" s="41"/>
      <c r="D367" s="502"/>
      <c r="E367" s="503"/>
      <c r="F367" s="504"/>
      <c r="G367" s="505" t="str">
        <f>IFERROR(IF(ventas_b_mes11[[#This Row],[CUIT]]="","-",VLOOKUP(ventas_b_mes11[[#This Row],[CUIT]],Lista_CUIT[#All],2,0)),"CUIT NO CARGADO")</f>
        <v>-</v>
      </c>
      <c r="H367" s="506"/>
      <c r="I367" s="507"/>
      <c r="J367" s="508"/>
      <c r="K367" s="508"/>
      <c r="L367" s="508">
        <f>SUM(ventas_b_mes11[[#This Row],[IMPORTE NETO]:[EXENTO]])</f>
        <v>0</v>
      </c>
      <c r="M367" s="509"/>
    </row>
    <row r="368" spans="2:13" x14ac:dyDescent="0.25">
      <c r="B368" s="500"/>
      <c r="C368" s="41"/>
      <c r="D368" s="502"/>
      <c r="E368" s="503"/>
      <c r="F368" s="504"/>
      <c r="G368" s="505" t="str">
        <f>IFERROR(IF(ventas_b_mes11[[#This Row],[CUIT]]="","-",VLOOKUP(ventas_b_mes11[[#This Row],[CUIT]],Lista_CUIT[#All],2,0)),"CUIT NO CARGADO")</f>
        <v>-</v>
      </c>
      <c r="H368" s="506"/>
      <c r="I368" s="507"/>
      <c r="J368" s="508"/>
      <c r="K368" s="508"/>
      <c r="L368" s="508">
        <f>SUM(ventas_b_mes11[[#This Row],[IMPORTE NETO]:[EXENTO]])</f>
        <v>0</v>
      </c>
      <c r="M368" s="509"/>
    </row>
    <row r="369" spans="2:13" x14ac:dyDescent="0.25">
      <c r="B369" s="500"/>
      <c r="C369" s="41"/>
      <c r="D369" s="502"/>
      <c r="E369" s="503"/>
      <c r="F369" s="504"/>
      <c r="G369" s="505" t="str">
        <f>IFERROR(IF(ventas_b_mes11[[#This Row],[CUIT]]="","-",VLOOKUP(ventas_b_mes11[[#This Row],[CUIT]],Lista_CUIT[#All],2,0)),"CUIT NO CARGADO")</f>
        <v>-</v>
      </c>
      <c r="H369" s="506"/>
      <c r="I369" s="507"/>
      <c r="J369" s="508"/>
      <c r="K369" s="508"/>
      <c r="L369" s="508">
        <f>SUM(ventas_b_mes11[[#This Row],[IMPORTE NETO]:[EXENTO]])</f>
        <v>0</v>
      </c>
      <c r="M369" s="509"/>
    </row>
    <row r="370" spans="2:13" x14ac:dyDescent="0.25">
      <c r="B370" s="500"/>
      <c r="C370" s="41"/>
      <c r="D370" s="502"/>
      <c r="E370" s="503"/>
      <c r="F370" s="504"/>
      <c r="G370" s="505" t="str">
        <f>IFERROR(IF(ventas_b_mes11[[#This Row],[CUIT]]="","-",VLOOKUP(ventas_b_mes11[[#This Row],[CUIT]],Lista_CUIT[#All],2,0)),"CUIT NO CARGADO")</f>
        <v>-</v>
      </c>
      <c r="H370" s="506"/>
      <c r="I370" s="507"/>
      <c r="J370" s="508"/>
      <c r="K370" s="508"/>
      <c r="L370" s="508">
        <f>SUM(ventas_b_mes11[[#This Row],[IMPORTE NETO]:[EXENTO]])</f>
        <v>0</v>
      </c>
      <c r="M370" s="509"/>
    </row>
    <row r="371" spans="2:13" x14ac:dyDescent="0.25">
      <c r="B371" s="500"/>
      <c r="C371" s="41"/>
      <c r="D371" s="502"/>
      <c r="E371" s="503"/>
      <c r="F371" s="504"/>
      <c r="G371" s="505" t="str">
        <f>IFERROR(IF(ventas_b_mes11[[#This Row],[CUIT]]="","-",VLOOKUP(ventas_b_mes11[[#This Row],[CUIT]],Lista_CUIT[#All],2,0)),"CUIT NO CARGADO")</f>
        <v>-</v>
      </c>
      <c r="H371" s="506"/>
      <c r="I371" s="507"/>
      <c r="J371" s="508"/>
      <c r="K371" s="508"/>
      <c r="L371" s="508">
        <f>SUM(ventas_b_mes11[[#This Row],[IMPORTE NETO]:[EXENTO]])</f>
        <v>0</v>
      </c>
      <c r="M371" s="509"/>
    </row>
    <row r="372" spans="2:13" x14ac:dyDescent="0.25">
      <c r="B372" s="500"/>
      <c r="C372" s="41"/>
      <c r="D372" s="502"/>
      <c r="E372" s="503"/>
      <c r="F372" s="504"/>
      <c r="G372" s="505" t="str">
        <f>IFERROR(IF(ventas_b_mes11[[#This Row],[CUIT]]="","-",VLOOKUP(ventas_b_mes11[[#This Row],[CUIT]],Lista_CUIT[#All],2,0)),"CUIT NO CARGADO")</f>
        <v>-</v>
      </c>
      <c r="H372" s="506"/>
      <c r="I372" s="507"/>
      <c r="J372" s="508"/>
      <c r="K372" s="508"/>
      <c r="L372" s="508">
        <f>SUM(ventas_b_mes11[[#This Row],[IMPORTE NETO]:[EXENTO]])</f>
        <v>0</v>
      </c>
      <c r="M372" s="509"/>
    </row>
    <row r="373" spans="2:13" x14ac:dyDescent="0.25">
      <c r="B373" s="500"/>
      <c r="C373" s="41"/>
      <c r="D373" s="502"/>
      <c r="E373" s="503"/>
      <c r="F373" s="504"/>
      <c r="G373" s="505" t="str">
        <f>IFERROR(IF(ventas_b_mes11[[#This Row],[CUIT]]="","-",VLOOKUP(ventas_b_mes11[[#This Row],[CUIT]],Lista_CUIT[#All],2,0)),"CUIT NO CARGADO")</f>
        <v>-</v>
      </c>
      <c r="H373" s="506"/>
      <c r="I373" s="507"/>
      <c r="J373" s="508"/>
      <c r="K373" s="508"/>
      <c r="L373" s="508">
        <f>SUM(ventas_b_mes11[[#This Row],[IMPORTE NETO]:[EXENTO]])</f>
        <v>0</v>
      </c>
      <c r="M373" s="509"/>
    </row>
    <row r="374" spans="2:13" x14ac:dyDescent="0.25">
      <c r="B374" s="500"/>
      <c r="C374" s="41"/>
      <c r="D374" s="502"/>
      <c r="E374" s="503"/>
      <c r="F374" s="504"/>
      <c r="G374" s="505" t="str">
        <f>IFERROR(IF(ventas_b_mes11[[#This Row],[CUIT]]="","-",VLOOKUP(ventas_b_mes11[[#This Row],[CUIT]],Lista_CUIT[#All],2,0)),"CUIT NO CARGADO")</f>
        <v>-</v>
      </c>
      <c r="H374" s="506"/>
      <c r="I374" s="507"/>
      <c r="J374" s="508"/>
      <c r="K374" s="508"/>
      <c r="L374" s="508">
        <f>SUM(ventas_b_mes11[[#This Row],[IMPORTE NETO]:[EXENTO]])</f>
        <v>0</v>
      </c>
      <c r="M374" s="509"/>
    </row>
    <row r="375" spans="2:13" x14ac:dyDescent="0.25">
      <c r="B375" s="500"/>
      <c r="C375" s="41"/>
      <c r="D375" s="502"/>
      <c r="E375" s="503"/>
      <c r="F375" s="504"/>
      <c r="G375" s="505" t="str">
        <f>IFERROR(IF(ventas_b_mes11[[#This Row],[CUIT]]="","-",VLOOKUP(ventas_b_mes11[[#This Row],[CUIT]],Lista_CUIT[#All],2,0)),"CUIT NO CARGADO")</f>
        <v>-</v>
      </c>
      <c r="H375" s="506"/>
      <c r="I375" s="507"/>
      <c r="J375" s="508"/>
      <c r="K375" s="508"/>
      <c r="L375" s="508">
        <f>SUM(ventas_b_mes11[[#This Row],[IMPORTE NETO]:[EXENTO]])</f>
        <v>0</v>
      </c>
      <c r="M375" s="509"/>
    </row>
    <row r="376" spans="2:13" x14ac:dyDescent="0.25">
      <c r="B376" s="500"/>
      <c r="C376" s="41"/>
      <c r="D376" s="502"/>
      <c r="E376" s="503"/>
      <c r="F376" s="504"/>
      <c r="G376" s="505" t="str">
        <f>IFERROR(IF(ventas_b_mes11[[#This Row],[CUIT]]="","-",VLOOKUP(ventas_b_mes11[[#This Row],[CUIT]],Lista_CUIT[#All],2,0)),"CUIT NO CARGADO")</f>
        <v>-</v>
      </c>
      <c r="H376" s="506"/>
      <c r="I376" s="507"/>
      <c r="J376" s="508"/>
      <c r="K376" s="508"/>
      <c r="L376" s="508">
        <f>SUM(ventas_b_mes11[[#This Row],[IMPORTE NETO]:[EXENTO]])</f>
        <v>0</v>
      </c>
      <c r="M376" s="509"/>
    </row>
    <row r="377" spans="2:13" x14ac:dyDescent="0.25">
      <c r="B377" s="500"/>
      <c r="C377" s="41"/>
      <c r="D377" s="502"/>
      <c r="E377" s="503"/>
      <c r="F377" s="504"/>
      <c r="G377" s="505" t="str">
        <f>IFERROR(IF(ventas_b_mes11[[#This Row],[CUIT]]="","-",VLOOKUP(ventas_b_mes11[[#This Row],[CUIT]],Lista_CUIT[#All],2,0)),"CUIT NO CARGADO")</f>
        <v>-</v>
      </c>
      <c r="H377" s="506"/>
      <c r="I377" s="507"/>
      <c r="J377" s="508"/>
      <c r="K377" s="508"/>
      <c r="L377" s="508">
        <f>SUM(ventas_b_mes11[[#This Row],[IMPORTE NETO]:[EXENTO]])</f>
        <v>0</v>
      </c>
      <c r="M377" s="509"/>
    </row>
    <row r="378" spans="2:13" x14ac:dyDescent="0.25">
      <c r="B378" s="500"/>
      <c r="C378" s="41"/>
      <c r="D378" s="502"/>
      <c r="E378" s="503"/>
      <c r="F378" s="504"/>
      <c r="G378" s="505" t="str">
        <f>IFERROR(IF(ventas_b_mes11[[#This Row],[CUIT]]="","-",VLOOKUP(ventas_b_mes11[[#This Row],[CUIT]],Lista_CUIT[#All],2,0)),"CUIT NO CARGADO")</f>
        <v>-</v>
      </c>
      <c r="H378" s="506"/>
      <c r="I378" s="507"/>
      <c r="J378" s="508"/>
      <c r="K378" s="508"/>
      <c r="L378" s="508">
        <f>SUM(ventas_b_mes11[[#This Row],[IMPORTE NETO]:[EXENTO]])</f>
        <v>0</v>
      </c>
      <c r="M378" s="509"/>
    </row>
    <row r="379" spans="2:13" x14ac:dyDescent="0.25">
      <c r="B379" s="500"/>
      <c r="C379" s="41"/>
      <c r="D379" s="502"/>
      <c r="E379" s="503"/>
      <c r="F379" s="504"/>
      <c r="G379" s="505" t="str">
        <f>IFERROR(IF(ventas_b_mes11[[#This Row],[CUIT]]="","-",VLOOKUP(ventas_b_mes11[[#This Row],[CUIT]],Lista_CUIT[#All],2,0)),"CUIT NO CARGADO")</f>
        <v>-</v>
      </c>
      <c r="H379" s="506"/>
      <c r="I379" s="507"/>
      <c r="J379" s="508"/>
      <c r="K379" s="508"/>
      <c r="L379" s="508">
        <f>SUM(ventas_b_mes11[[#This Row],[IMPORTE NETO]:[EXENTO]])</f>
        <v>0</v>
      </c>
      <c r="M379" s="509"/>
    </row>
    <row r="380" spans="2:13" x14ac:dyDescent="0.25">
      <c r="B380" s="500"/>
      <c r="C380" s="41"/>
      <c r="D380" s="502"/>
      <c r="E380" s="503"/>
      <c r="F380" s="504"/>
      <c r="G380" s="505" t="str">
        <f>IFERROR(IF(ventas_b_mes11[[#This Row],[CUIT]]="","-",VLOOKUP(ventas_b_mes11[[#This Row],[CUIT]],Lista_CUIT[#All],2,0)),"CUIT NO CARGADO")</f>
        <v>-</v>
      </c>
      <c r="H380" s="506"/>
      <c r="I380" s="507"/>
      <c r="J380" s="508"/>
      <c r="K380" s="508"/>
      <c r="L380" s="508">
        <f>SUM(ventas_b_mes11[[#This Row],[IMPORTE NETO]:[EXENTO]])</f>
        <v>0</v>
      </c>
      <c r="M380" s="509"/>
    </row>
    <row r="381" spans="2:13" x14ac:dyDescent="0.25">
      <c r="B381" s="500"/>
      <c r="C381" s="41"/>
      <c r="D381" s="502"/>
      <c r="E381" s="503"/>
      <c r="F381" s="504"/>
      <c r="G381" s="505" t="str">
        <f>IFERROR(IF(ventas_b_mes11[[#This Row],[CUIT]]="","-",VLOOKUP(ventas_b_mes11[[#This Row],[CUIT]],Lista_CUIT[#All],2,0)),"CUIT NO CARGADO")</f>
        <v>-</v>
      </c>
      <c r="H381" s="506"/>
      <c r="I381" s="507"/>
      <c r="J381" s="508"/>
      <c r="K381" s="508"/>
      <c r="L381" s="508">
        <f>SUM(ventas_b_mes11[[#This Row],[IMPORTE NETO]:[EXENTO]])</f>
        <v>0</v>
      </c>
      <c r="M381" s="509"/>
    </row>
    <row r="382" spans="2:13" x14ac:dyDescent="0.25">
      <c r="B382" s="500"/>
      <c r="C382" s="41"/>
      <c r="D382" s="502"/>
      <c r="E382" s="503"/>
      <c r="F382" s="504"/>
      <c r="G382" s="505" t="str">
        <f>IFERROR(IF(ventas_b_mes11[[#This Row],[CUIT]]="","-",VLOOKUP(ventas_b_mes11[[#This Row],[CUIT]],Lista_CUIT[#All],2,0)),"CUIT NO CARGADO")</f>
        <v>-</v>
      </c>
      <c r="H382" s="506"/>
      <c r="I382" s="507"/>
      <c r="J382" s="508"/>
      <c r="K382" s="508"/>
      <c r="L382" s="508">
        <f>SUM(ventas_b_mes11[[#This Row],[IMPORTE NETO]:[EXENTO]])</f>
        <v>0</v>
      </c>
      <c r="M382" s="509"/>
    </row>
    <row r="383" spans="2:13" x14ac:dyDescent="0.25">
      <c r="B383" s="500"/>
      <c r="C383" s="41"/>
      <c r="D383" s="502"/>
      <c r="E383" s="503"/>
      <c r="F383" s="504"/>
      <c r="G383" s="505" t="str">
        <f>IFERROR(IF(ventas_b_mes11[[#This Row],[CUIT]]="","-",VLOOKUP(ventas_b_mes11[[#This Row],[CUIT]],Lista_CUIT[#All],2,0)),"CUIT NO CARGADO")</f>
        <v>-</v>
      </c>
      <c r="H383" s="506"/>
      <c r="I383" s="507"/>
      <c r="J383" s="508"/>
      <c r="K383" s="508"/>
      <c r="L383" s="508">
        <f>SUM(ventas_b_mes11[[#This Row],[IMPORTE NETO]:[EXENTO]])</f>
        <v>0</v>
      </c>
      <c r="M383" s="509"/>
    </row>
    <row r="384" spans="2:13" x14ac:dyDescent="0.25">
      <c r="B384" s="500"/>
      <c r="C384" s="41"/>
      <c r="D384" s="502"/>
      <c r="E384" s="503"/>
      <c r="F384" s="504"/>
      <c r="G384" s="505" t="str">
        <f>IFERROR(IF(ventas_b_mes11[[#This Row],[CUIT]]="","-",VLOOKUP(ventas_b_mes11[[#This Row],[CUIT]],Lista_CUIT[#All],2,0)),"CUIT NO CARGADO")</f>
        <v>-</v>
      </c>
      <c r="H384" s="506"/>
      <c r="I384" s="507"/>
      <c r="J384" s="508"/>
      <c r="K384" s="508"/>
      <c r="L384" s="508">
        <f>SUM(ventas_b_mes11[[#This Row],[IMPORTE NETO]:[EXENTO]])</f>
        <v>0</v>
      </c>
      <c r="M384" s="509"/>
    </row>
    <row r="385" spans="2:13" x14ac:dyDescent="0.25">
      <c r="B385" s="500"/>
      <c r="C385" s="41"/>
      <c r="D385" s="502"/>
      <c r="E385" s="503"/>
      <c r="F385" s="504"/>
      <c r="G385" s="505" t="str">
        <f>IFERROR(IF(ventas_b_mes11[[#This Row],[CUIT]]="","-",VLOOKUP(ventas_b_mes11[[#This Row],[CUIT]],Lista_CUIT[#All],2,0)),"CUIT NO CARGADO")</f>
        <v>-</v>
      </c>
      <c r="H385" s="506"/>
      <c r="I385" s="507"/>
      <c r="J385" s="508"/>
      <c r="K385" s="508"/>
      <c r="L385" s="508">
        <f>SUM(ventas_b_mes11[[#This Row],[IMPORTE NETO]:[EXENTO]])</f>
        <v>0</v>
      </c>
      <c r="M385" s="509"/>
    </row>
    <row r="386" spans="2:13" x14ac:dyDescent="0.25">
      <c r="B386" s="500"/>
      <c r="C386" s="41"/>
      <c r="D386" s="502"/>
      <c r="E386" s="503"/>
      <c r="F386" s="504"/>
      <c r="G386" s="505" t="str">
        <f>IFERROR(IF(ventas_b_mes11[[#This Row],[CUIT]]="","-",VLOOKUP(ventas_b_mes11[[#This Row],[CUIT]],Lista_CUIT[#All],2,0)),"CUIT NO CARGADO")</f>
        <v>-</v>
      </c>
      <c r="H386" s="506"/>
      <c r="I386" s="507"/>
      <c r="J386" s="508"/>
      <c r="K386" s="508"/>
      <c r="L386" s="508">
        <f>SUM(ventas_b_mes11[[#This Row],[IMPORTE NETO]:[EXENTO]])</f>
        <v>0</v>
      </c>
      <c r="M386" s="509"/>
    </row>
    <row r="387" spans="2:13" x14ac:dyDescent="0.25">
      <c r="B387" s="500"/>
      <c r="C387" s="41"/>
      <c r="D387" s="502"/>
      <c r="E387" s="503"/>
      <c r="F387" s="504"/>
      <c r="G387" s="505" t="str">
        <f>IFERROR(IF(ventas_b_mes11[[#This Row],[CUIT]]="","-",VLOOKUP(ventas_b_mes11[[#This Row],[CUIT]],Lista_CUIT[#All],2,0)),"CUIT NO CARGADO")</f>
        <v>-</v>
      </c>
      <c r="H387" s="506"/>
      <c r="I387" s="507"/>
      <c r="J387" s="508"/>
      <c r="K387" s="508"/>
      <c r="L387" s="508">
        <f>SUM(ventas_b_mes11[[#This Row],[IMPORTE NETO]:[EXENTO]])</f>
        <v>0</v>
      </c>
      <c r="M387" s="509"/>
    </row>
    <row r="388" spans="2:13" x14ac:dyDescent="0.25">
      <c r="B388" s="500"/>
      <c r="C388" s="41"/>
      <c r="D388" s="502"/>
      <c r="E388" s="503"/>
      <c r="F388" s="504"/>
      <c r="G388" s="505" t="str">
        <f>IFERROR(IF(ventas_b_mes11[[#This Row],[CUIT]]="","-",VLOOKUP(ventas_b_mes11[[#This Row],[CUIT]],Lista_CUIT[#All],2,0)),"CUIT NO CARGADO")</f>
        <v>-</v>
      </c>
      <c r="H388" s="506"/>
      <c r="I388" s="507"/>
      <c r="J388" s="508"/>
      <c r="K388" s="508"/>
      <c r="L388" s="508">
        <f>SUM(ventas_b_mes11[[#This Row],[IMPORTE NETO]:[EXENTO]])</f>
        <v>0</v>
      </c>
      <c r="M388" s="509"/>
    </row>
    <row r="389" spans="2:13" x14ac:dyDescent="0.25">
      <c r="B389" s="500"/>
      <c r="C389" s="41"/>
      <c r="D389" s="502"/>
      <c r="E389" s="503"/>
      <c r="F389" s="504"/>
      <c r="G389" s="505" t="str">
        <f>IFERROR(IF(ventas_b_mes11[[#This Row],[CUIT]]="","-",VLOOKUP(ventas_b_mes11[[#This Row],[CUIT]],Lista_CUIT[#All],2,0)),"CUIT NO CARGADO")</f>
        <v>-</v>
      </c>
      <c r="H389" s="506"/>
      <c r="I389" s="507"/>
      <c r="J389" s="508"/>
      <c r="K389" s="508"/>
      <c r="L389" s="508">
        <f>SUM(ventas_b_mes11[[#This Row],[IMPORTE NETO]:[EXENTO]])</f>
        <v>0</v>
      </c>
      <c r="M389" s="509"/>
    </row>
    <row r="390" spans="2:13" x14ac:dyDescent="0.25">
      <c r="B390" s="500"/>
      <c r="C390" s="41"/>
      <c r="D390" s="502"/>
      <c r="E390" s="503"/>
      <c r="F390" s="504"/>
      <c r="G390" s="505" t="str">
        <f>IFERROR(IF(ventas_b_mes11[[#This Row],[CUIT]]="","-",VLOOKUP(ventas_b_mes11[[#This Row],[CUIT]],Lista_CUIT[#All],2,0)),"CUIT NO CARGADO")</f>
        <v>-</v>
      </c>
      <c r="H390" s="506"/>
      <c r="I390" s="507"/>
      <c r="J390" s="508"/>
      <c r="K390" s="508"/>
      <c r="L390" s="508">
        <f>SUM(ventas_b_mes11[[#This Row],[IMPORTE NETO]:[EXENTO]])</f>
        <v>0</v>
      </c>
      <c r="M390" s="509"/>
    </row>
    <row r="391" spans="2:13" x14ac:dyDescent="0.25">
      <c r="B391" s="500"/>
      <c r="C391" s="41"/>
      <c r="D391" s="502"/>
      <c r="E391" s="503"/>
      <c r="F391" s="504"/>
      <c r="G391" s="505" t="str">
        <f>IFERROR(IF(ventas_b_mes11[[#This Row],[CUIT]]="","-",VLOOKUP(ventas_b_mes11[[#This Row],[CUIT]],Lista_CUIT[#All],2,0)),"CUIT NO CARGADO")</f>
        <v>-</v>
      </c>
      <c r="H391" s="506"/>
      <c r="I391" s="507"/>
      <c r="J391" s="508"/>
      <c r="K391" s="508"/>
      <c r="L391" s="508">
        <f>SUM(ventas_b_mes11[[#This Row],[IMPORTE NETO]:[EXENTO]])</f>
        <v>0</v>
      </c>
      <c r="M391" s="509"/>
    </row>
    <row r="392" spans="2:13" x14ac:dyDescent="0.25">
      <c r="B392" s="500"/>
      <c r="C392" s="41"/>
      <c r="D392" s="502"/>
      <c r="E392" s="503"/>
      <c r="F392" s="504"/>
      <c r="G392" s="505" t="str">
        <f>IFERROR(IF(ventas_b_mes11[[#This Row],[CUIT]]="","-",VLOOKUP(ventas_b_mes11[[#This Row],[CUIT]],Lista_CUIT[#All],2,0)),"CUIT NO CARGADO")</f>
        <v>-</v>
      </c>
      <c r="H392" s="506"/>
      <c r="I392" s="507"/>
      <c r="J392" s="508"/>
      <c r="K392" s="508"/>
      <c r="L392" s="508">
        <f>SUM(ventas_b_mes11[[#This Row],[IMPORTE NETO]:[EXENTO]])</f>
        <v>0</v>
      </c>
      <c r="M392" s="509"/>
    </row>
    <row r="393" spans="2:13" x14ac:dyDescent="0.25">
      <c r="B393" s="500"/>
      <c r="C393" s="41"/>
      <c r="D393" s="502"/>
      <c r="E393" s="503"/>
      <c r="F393" s="504"/>
      <c r="G393" s="505" t="str">
        <f>IFERROR(IF(ventas_b_mes11[[#This Row],[CUIT]]="","-",VLOOKUP(ventas_b_mes11[[#This Row],[CUIT]],Lista_CUIT[#All],2,0)),"CUIT NO CARGADO")</f>
        <v>-</v>
      </c>
      <c r="H393" s="506"/>
      <c r="I393" s="507"/>
      <c r="J393" s="508"/>
      <c r="K393" s="508"/>
      <c r="L393" s="508">
        <f>SUM(ventas_b_mes11[[#This Row],[IMPORTE NETO]:[EXENTO]])</f>
        <v>0</v>
      </c>
      <c r="M393" s="509"/>
    </row>
    <row r="394" spans="2:13" x14ac:dyDescent="0.25">
      <c r="B394" s="500"/>
      <c r="C394" s="41"/>
      <c r="D394" s="502"/>
      <c r="E394" s="503"/>
      <c r="F394" s="504"/>
      <c r="G394" s="505" t="str">
        <f>IFERROR(IF(ventas_b_mes11[[#This Row],[CUIT]]="","-",VLOOKUP(ventas_b_mes11[[#This Row],[CUIT]],Lista_CUIT[#All],2,0)),"CUIT NO CARGADO")</f>
        <v>-</v>
      </c>
      <c r="H394" s="506"/>
      <c r="I394" s="507"/>
      <c r="J394" s="508"/>
      <c r="K394" s="508"/>
      <c r="L394" s="508">
        <f>SUM(ventas_b_mes11[[#This Row],[IMPORTE NETO]:[EXENTO]])</f>
        <v>0</v>
      </c>
      <c r="M394" s="509"/>
    </row>
    <row r="395" spans="2:13" x14ac:dyDescent="0.25">
      <c r="B395" s="500"/>
      <c r="C395" s="41"/>
      <c r="D395" s="502"/>
      <c r="E395" s="503"/>
      <c r="F395" s="504"/>
      <c r="G395" s="505" t="str">
        <f>IFERROR(IF(ventas_b_mes11[[#This Row],[CUIT]]="","-",VLOOKUP(ventas_b_mes11[[#This Row],[CUIT]],Lista_CUIT[#All],2,0)),"CUIT NO CARGADO")</f>
        <v>-</v>
      </c>
      <c r="H395" s="506"/>
      <c r="I395" s="507"/>
      <c r="J395" s="508"/>
      <c r="K395" s="508"/>
      <c r="L395" s="508">
        <f>SUM(ventas_b_mes11[[#This Row],[IMPORTE NETO]:[EXENTO]])</f>
        <v>0</v>
      </c>
      <c r="M395" s="509"/>
    </row>
    <row r="396" spans="2:13" x14ac:dyDescent="0.25">
      <c r="B396" s="500"/>
      <c r="C396" s="41"/>
      <c r="D396" s="502"/>
      <c r="E396" s="503"/>
      <c r="F396" s="504"/>
      <c r="G396" s="505" t="str">
        <f>IFERROR(IF(ventas_b_mes11[[#This Row],[CUIT]]="","-",VLOOKUP(ventas_b_mes11[[#This Row],[CUIT]],Lista_CUIT[#All],2,0)),"CUIT NO CARGADO")</f>
        <v>-</v>
      </c>
      <c r="H396" s="506"/>
      <c r="I396" s="507"/>
      <c r="J396" s="508"/>
      <c r="K396" s="508"/>
      <c r="L396" s="508">
        <f>SUM(ventas_b_mes11[[#This Row],[IMPORTE NETO]:[EXENTO]])</f>
        <v>0</v>
      </c>
      <c r="M396" s="509"/>
    </row>
    <row r="397" spans="2:13" x14ac:dyDescent="0.25">
      <c r="B397" s="500"/>
      <c r="C397" s="41"/>
      <c r="D397" s="502"/>
      <c r="E397" s="503"/>
      <c r="F397" s="504"/>
      <c r="G397" s="505" t="str">
        <f>IFERROR(IF(ventas_b_mes11[[#This Row],[CUIT]]="","-",VLOOKUP(ventas_b_mes11[[#This Row],[CUIT]],Lista_CUIT[#All],2,0)),"CUIT NO CARGADO")</f>
        <v>-</v>
      </c>
      <c r="H397" s="506"/>
      <c r="I397" s="507"/>
      <c r="J397" s="508"/>
      <c r="K397" s="508"/>
      <c r="L397" s="508">
        <f>SUM(ventas_b_mes11[[#This Row],[IMPORTE NETO]:[EXENTO]])</f>
        <v>0</v>
      </c>
      <c r="M397" s="509"/>
    </row>
    <row r="398" spans="2:13" x14ac:dyDescent="0.25">
      <c r="B398" s="500"/>
      <c r="C398" s="41"/>
      <c r="D398" s="502"/>
      <c r="E398" s="503"/>
      <c r="F398" s="504"/>
      <c r="G398" s="505" t="str">
        <f>IFERROR(IF(ventas_b_mes11[[#This Row],[CUIT]]="","-",VLOOKUP(ventas_b_mes11[[#This Row],[CUIT]],Lista_CUIT[#All],2,0)),"CUIT NO CARGADO")</f>
        <v>-</v>
      </c>
      <c r="H398" s="506"/>
      <c r="I398" s="507"/>
      <c r="J398" s="508"/>
      <c r="K398" s="508"/>
      <c r="L398" s="508">
        <f>SUM(ventas_b_mes11[[#This Row],[IMPORTE NETO]:[EXENTO]])</f>
        <v>0</v>
      </c>
      <c r="M398" s="509"/>
    </row>
    <row r="399" spans="2:13" x14ac:dyDescent="0.25">
      <c r="B399" s="500"/>
      <c r="C399" s="41"/>
      <c r="D399" s="502"/>
      <c r="E399" s="503"/>
      <c r="F399" s="504"/>
      <c r="G399" s="505" t="str">
        <f>IFERROR(IF(ventas_b_mes11[[#This Row],[CUIT]]="","-",VLOOKUP(ventas_b_mes11[[#This Row],[CUIT]],Lista_CUIT[#All],2,0)),"CUIT NO CARGADO")</f>
        <v>-</v>
      </c>
      <c r="H399" s="506"/>
      <c r="I399" s="507"/>
      <c r="J399" s="508"/>
      <c r="K399" s="508"/>
      <c r="L399" s="508">
        <f>SUM(ventas_b_mes11[[#This Row],[IMPORTE NETO]:[EXENTO]])</f>
        <v>0</v>
      </c>
      <c r="M399" s="509"/>
    </row>
    <row r="400" spans="2:13" x14ac:dyDescent="0.25">
      <c r="B400" s="500"/>
      <c r="C400" s="41"/>
      <c r="D400" s="502"/>
      <c r="E400" s="503"/>
      <c r="F400" s="504"/>
      <c r="G400" s="505" t="str">
        <f>IFERROR(IF(ventas_b_mes11[[#This Row],[CUIT]]="","-",VLOOKUP(ventas_b_mes11[[#This Row],[CUIT]],Lista_CUIT[#All],2,0)),"CUIT NO CARGADO")</f>
        <v>-</v>
      </c>
      <c r="H400" s="506"/>
      <c r="I400" s="507"/>
      <c r="J400" s="508"/>
      <c r="K400" s="508"/>
      <c r="L400" s="508">
        <f>SUM(ventas_b_mes11[[#This Row],[IMPORTE NETO]:[EXENTO]])</f>
        <v>0</v>
      </c>
      <c r="M400" s="509"/>
    </row>
    <row r="401" spans="2:13" x14ac:dyDescent="0.25">
      <c r="B401" s="500"/>
      <c r="C401" s="41"/>
      <c r="D401" s="502"/>
      <c r="E401" s="503"/>
      <c r="F401" s="504"/>
      <c r="G401" s="505" t="str">
        <f>IFERROR(IF(ventas_b_mes11[[#This Row],[CUIT]]="","-",VLOOKUP(ventas_b_mes11[[#This Row],[CUIT]],Lista_CUIT[#All],2,0)),"CUIT NO CARGADO")</f>
        <v>-</v>
      </c>
      <c r="H401" s="506"/>
      <c r="I401" s="507"/>
      <c r="J401" s="508"/>
      <c r="K401" s="508"/>
      <c r="L401" s="508">
        <f>SUM(ventas_b_mes11[[#This Row],[IMPORTE NETO]:[EXENTO]])</f>
        <v>0</v>
      </c>
      <c r="M401" s="509"/>
    </row>
    <row r="402" spans="2:13" x14ac:dyDescent="0.25">
      <c r="B402" s="500"/>
      <c r="C402" s="41"/>
      <c r="D402" s="502"/>
      <c r="E402" s="503"/>
      <c r="F402" s="504"/>
      <c r="G402" s="505" t="str">
        <f>IFERROR(IF(ventas_b_mes11[[#This Row],[CUIT]]="","-",VLOOKUP(ventas_b_mes11[[#This Row],[CUIT]],Lista_CUIT[#All],2,0)),"CUIT NO CARGADO")</f>
        <v>-</v>
      </c>
      <c r="H402" s="506"/>
      <c r="I402" s="507"/>
      <c r="J402" s="508"/>
      <c r="K402" s="508"/>
      <c r="L402" s="508">
        <f>SUM(ventas_b_mes11[[#This Row],[IMPORTE NETO]:[EXENTO]])</f>
        <v>0</v>
      </c>
      <c r="M402" s="509"/>
    </row>
    <row r="403" spans="2:13" x14ac:dyDescent="0.25">
      <c r="B403" s="500"/>
      <c r="C403" s="41"/>
      <c r="D403" s="502"/>
      <c r="E403" s="503"/>
      <c r="F403" s="504"/>
      <c r="G403" s="505" t="str">
        <f>IFERROR(IF(ventas_b_mes11[[#This Row],[CUIT]]="","-",VLOOKUP(ventas_b_mes11[[#This Row],[CUIT]],Lista_CUIT[#All],2,0)),"CUIT NO CARGADO")</f>
        <v>-</v>
      </c>
      <c r="H403" s="506"/>
      <c r="I403" s="507"/>
      <c r="J403" s="508"/>
      <c r="K403" s="508"/>
      <c r="L403" s="508">
        <f>SUM(ventas_b_mes11[[#This Row],[IMPORTE NETO]:[EXENTO]])</f>
        <v>0</v>
      </c>
      <c r="M403" s="509"/>
    </row>
    <row r="404" spans="2:13" x14ac:dyDescent="0.25">
      <c r="B404" s="500"/>
      <c r="C404" s="41"/>
      <c r="D404" s="502"/>
      <c r="E404" s="503"/>
      <c r="F404" s="504"/>
      <c r="G404" s="505" t="str">
        <f>IFERROR(IF(ventas_b_mes11[[#This Row],[CUIT]]="","-",VLOOKUP(ventas_b_mes11[[#This Row],[CUIT]],Lista_CUIT[#All],2,0)),"CUIT NO CARGADO")</f>
        <v>-</v>
      </c>
      <c r="H404" s="506"/>
      <c r="I404" s="507"/>
      <c r="J404" s="508"/>
      <c r="K404" s="508"/>
      <c r="L404" s="508">
        <f>SUM(ventas_b_mes11[[#This Row],[IMPORTE NETO]:[EXENTO]])</f>
        <v>0</v>
      </c>
      <c r="M404" s="509"/>
    </row>
    <row r="405" spans="2:13" x14ac:dyDescent="0.25">
      <c r="B405" s="500"/>
      <c r="C405" s="41"/>
      <c r="D405" s="502"/>
      <c r="E405" s="503"/>
      <c r="F405" s="504"/>
      <c r="G405" s="505" t="str">
        <f>IFERROR(IF(ventas_b_mes11[[#This Row],[CUIT]]="","-",VLOOKUP(ventas_b_mes11[[#This Row],[CUIT]],Lista_CUIT[#All],2,0)),"CUIT NO CARGADO")</f>
        <v>-</v>
      </c>
      <c r="H405" s="506"/>
      <c r="I405" s="507"/>
      <c r="J405" s="508"/>
      <c r="K405" s="508"/>
      <c r="L405" s="508">
        <f>SUM(ventas_b_mes11[[#This Row],[IMPORTE NETO]:[EXENTO]])</f>
        <v>0</v>
      </c>
      <c r="M405" s="509"/>
    </row>
    <row r="406" spans="2:13" x14ac:dyDescent="0.25">
      <c r="B406" s="500"/>
      <c r="C406" s="41"/>
      <c r="D406" s="502"/>
      <c r="E406" s="503"/>
      <c r="F406" s="504"/>
      <c r="G406" s="505" t="str">
        <f>IFERROR(IF(ventas_b_mes11[[#This Row],[CUIT]]="","-",VLOOKUP(ventas_b_mes11[[#This Row],[CUIT]],Lista_CUIT[#All],2,0)),"CUIT NO CARGADO")</f>
        <v>-</v>
      </c>
      <c r="H406" s="506"/>
      <c r="I406" s="507"/>
      <c r="J406" s="508"/>
      <c r="K406" s="508"/>
      <c r="L406" s="508">
        <f>SUM(ventas_b_mes11[[#This Row],[IMPORTE NETO]:[EXENTO]])</f>
        <v>0</v>
      </c>
      <c r="M406" s="509"/>
    </row>
    <row r="407" spans="2:13" x14ac:dyDescent="0.25">
      <c r="B407" s="500"/>
      <c r="C407" s="41"/>
      <c r="D407" s="502"/>
      <c r="E407" s="503"/>
      <c r="F407" s="504"/>
      <c r="G407" s="505" t="str">
        <f>IFERROR(IF(ventas_b_mes11[[#This Row],[CUIT]]="","-",VLOOKUP(ventas_b_mes11[[#This Row],[CUIT]],Lista_CUIT[#All],2,0)),"CUIT NO CARGADO")</f>
        <v>-</v>
      </c>
      <c r="H407" s="506"/>
      <c r="I407" s="507"/>
      <c r="J407" s="508"/>
      <c r="K407" s="508"/>
      <c r="L407" s="508">
        <f>SUM(ventas_b_mes11[[#This Row],[IMPORTE NETO]:[EXENTO]])</f>
        <v>0</v>
      </c>
      <c r="M407" s="509"/>
    </row>
    <row r="408" spans="2:13" x14ac:dyDescent="0.25">
      <c r="B408" s="500"/>
      <c r="C408" s="41"/>
      <c r="D408" s="502"/>
      <c r="E408" s="503"/>
      <c r="F408" s="504"/>
      <c r="G408" s="505" t="str">
        <f>IFERROR(IF(ventas_b_mes11[[#This Row],[CUIT]]="","-",VLOOKUP(ventas_b_mes11[[#This Row],[CUIT]],Lista_CUIT[#All],2,0)),"CUIT NO CARGADO")</f>
        <v>-</v>
      </c>
      <c r="H408" s="506"/>
      <c r="I408" s="507"/>
      <c r="J408" s="508"/>
      <c r="K408" s="508"/>
      <c r="L408" s="508">
        <f>SUM(ventas_b_mes11[[#This Row],[IMPORTE NETO]:[EXENTO]])</f>
        <v>0</v>
      </c>
      <c r="M408" s="509"/>
    </row>
    <row r="409" spans="2:13" x14ac:dyDescent="0.25">
      <c r="B409" s="500"/>
      <c r="C409" s="41"/>
      <c r="D409" s="502"/>
      <c r="E409" s="503"/>
      <c r="F409" s="504"/>
      <c r="G409" s="505" t="str">
        <f>IFERROR(IF(ventas_b_mes11[[#This Row],[CUIT]]="","-",VLOOKUP(ventas_b_mes11[[#This Row],[CUIT]],Lista_CUIT[#All],2,0)),"CUIT NO CARGADO")</f>
        <v>-</v>
      </c>
      <c r="H409" s="506"/>
      <c r="I409" s="507"/>
      <c r="J409" s="508"/>
      <c r="K409" s="508"/>
      <c r="L409" s="508">
        <f>SUM(ventas_b_mes11[[#This Row],[IMPORTE NETO]:[EXENTO]])</f>
        <v>0</v>
      </c>
      <c r="M409" s="509"/>
    </row>
    <row r="410" spans="2:13" x14ac:dyDescent="0.25">
      <c r="B410" s="500"/>
      <c r="C410" s="41"/>
      <c r="D410" s="502"/>
      <c r="E410" s="503"/>
      <c r="F410" s="504"/>
      <c r="G410" s="505" t="str">
        <f>IFERROR(IF(ventas_b_mes11[[#This Row],[CUIT]]="","-",VLOOKUP(ventas_b_mes11[[#This Row],[CUIT]],Lista_CUIT[#All],2,0)),"CUIT NO CARGADO")</f>
        <v>-</v>
      </c>
      <c r="H410" s="506"/>
      <c r="I410" s="507"/>
      <c r="J410" s="508"/>
      <c r="K410" s="508"/>
      <c r="L410" s="508">
        <f>SUM(ventas_b_mes11[[#This Row],[IMPORTE NETO]:[EXENTO]])</f>
        <v>0</v>
      </c>
      <c r="M410" s="509"/>
    </row>
    <row r="411" spans="2:13" x14ac:dyDescent="0.25">
      <c r="B411" s="500"/>
      <c r="C411" s="41"/>
      <c r="D411" s="502"/>
      <c r="E411" s="503"/>
      <c r="F411" s="504"/>
      <c r="G411" s="505" t="str">
        <f>IFERROR(IF(ventas_b_mes11[[#This Row],[CUIT]]="","-",VLOOKUP(ventas_b_mes11[[#This Row],[CUIT]],Lista_CUIT[#All],2,0)),"CUIT NO CARGADO")</f>
        <v>-</v>
      </c>
      <c r="H411" s="506"/>
      <c r="I411" s="507"/>
      <c r="J411" s="508"/>
      <c r="K411" s="508"/>
      <c r="L411" s="508">
        <f>SUM(ventas_b_mes11[[#This Row],[IMPORTE NETO]:[EXENTO]])</f>
        <v>0</v>
      </c>
      <c r="M411" s="509"/>
    </row>
    <row r="412" spans="2:13" x14ac:dyDescent="0.25">
      <c r="B412" s="500"/>
      <c r="C412" s="501"/>
      <c r="D412" s="502"/>
      <c r="E412" s="503"/>
      <c r="F412" s="504"/>
      <c r="G412" s="505" t="str">
        <f>IFERROR(IF(ventas_b_mes11[[#This Row],[CUIT]]="","-",VLOOKUP(ventas_b_mes11[[#This Row],[CUIT]],Lista_CUIT[#All],2,0)),"CUIT NO CARGADO")</f>
        <v>-</v>
      </c>
      <c r="H412" s="506"/>
      <c r="I412" s="507"/>
      <c r="J412" s="508"/>
      <c r="K412" s="508"/>
      <c r="L412" s="508">
        <f>SUM(ventas_b_mes11[[#This Row],[IMPORTE NETO]:[EXENTO]])</f>
        <v>0</v>
      </c>
      <c r="M412" s="509"/>
    </row>
    <row r="413" spans="2:13" x14ac:dyDescent="0.25">
      <c r="B413" s="500"/>
      <c r="C413" s="501"/>
      <c r="D413" s="502"/>
      <c r="E413" s="503"/>
      <c r="F413" s="504"/>
      <c r="G413" s="505" t="str">
        <f>IFERROR(IF(ventas_b_mes11[[#This Row],[CUIT]]="","-",VLOOKUP(ventas_b_mes11[[#This Row],[CUIT]],Lista_CUIT[#All],2,0)),"CUIT NO CARGADO")</f>
        <v>-</v>
      </c>
      <c r="H413" s="506"/>
      <c r="I413" s="507"/>
      <c r="J413" s="508"/>
      <c r="K413" s="508"/>
      <c r="L413" s="508">
        <f>SUM(ventas_b_mes11[[#This Row],[IMPORTE NETO]:[EXENTO]])</f>
        <v>0</v>
      </c>
      <c r="M413" s="509"/>
    </row>
    <row r="414" spans="2:13" x14ac:dyDescent="0.25">
      <c r="B414" s="500"/>
      <c r="C414" s="501"/>
      <c r="D414" s="502"/>
      <c r="E414" s="503"/>
      <c r="F414" s="504"/>
      <c r="G414" s="505" t="str">
        <f>IFERROR(IF(ventas_b_mes11[[#This Row],[CUIT]]="","-",VLOOKUP(ventas_b_mes11[[#This Row],[CUIT]],Lista_CUIT[#All],2,0)),"CUIT NO CARGADO")</f>
        <v>-</v>
      </c>
      <c r="H414" s="506"/>
      <c r="I414" s="507"/>
      <c r="J414" s="508"/>
      <c r="K414" s="508"/>
      <c r="L414" s="508">
        <f>SUM(ventas_b_mes11[[#This Row],[IMPORTE NETO]:[EXENTO]])</f>
        <v>0</v>
      </c>
      <c r="M414" s="509"/>
    </row>
    <row r="415" spans="2:13" ht="15.75" thickBot="1" x14ac:dyDescent="0.3">
      <c r="B415" s="66" t="s">
        <v>110</v>
      </c>
      <c r="C415" s="67"/>
      <c r="D415" s="67"/>
      <c r="E415" s="67"/>
      <c r="F415" s="67"/>
      <c r="G415" s="67"/>
      <c r="H415" s="77">
        <f>SUBTOTAL(109,ventas_b_mes11[IMPORTE NETO])</f>
        <v>0</v>
      </c>
      <c r="I415" s="77">
        <f>SUBTOTAL(109,ventas_b_mes11[IVA 21%])</f>
        <v>0</v>
      </c>
      <c r="J415" s="78">
        <f>SUBTOTAL(109,ventas_b_mes11[IVA 10,5%])</f>
        <v>0</v>
      </c>
      <c r="K415" s="78">
        <f>SUBTOTAL(109,ventas_b_mes11[EXENTO])</f>
        <v>0</v>
      </c>
      <c r="L415" s="78">
        <f>SUBTOTAL(109,ventas_b_mes11[TOTAL])</f>
        <v>0</v>
      </c>
      <c r="M415" s="68">
        <f>SUBTOTAL(103,ventas_b_mes11[Provincia])</f>
        <v>0</v>
      </c>
    </row>
    <row r="416" spans="2:13" ht="15.75" thickTop="1" x14ac:dyDescent="0.25">
      <c r="C416" s="522" t="s">
        <v>66</v>
      </c>
      <c r="D416" s="522"/>
      <c r="E416" s="522"/>
      <c r="F416" s="522"/>
      <c r="G416" s="522"/>
      <c r="H416" s="32"/>
      <c r="I416" s="32"/>
      <c r="J416" s="32"/>
    </row>
    <row r="417" spans="3:12" ht="15.75" x14ac:dyDescent="0.25">
      <c r="C417" s="114" t="s">
        <v>67</v>
      </c>
      <c r="D417" s="115" t="s">
        <v>68</v>
      </c>
      <c r="E417" s="115" t="s">
        <v>112</v>
      </c>
      <c r="F417" s="115" t="s">
        <v>3</v>
      </c>
      <c r="G417" s="115" t="s">
        <v>4</v>
      </c>
      <c r="H417" s="116" t="s">
        <v>69</v>
      </c>
      <c r="I417" s="116" t="s">
        <v>70</v>
      </c>
      <c r="J417" s="116" t="s">
        <v>71</v>
      </c>
      <c r="K417" s="116" t="s">
        <v>72</v>
      </c>
      <c r="L417" s="116" t="s">
        <v>73</v>
      </c>
    </row>
    <row r="418" spans="3:12" x14ac:dyDescent="0.25">
      <c r="C418" s="117"/>
      <c r="D418" s="118"/>
      <c r="E418" s="118"/>
      <c r="F418" s="119"/>
      <c r="G418" s="53" t="str">
        <f>IFERROR(IF(Retenciones_mes11[[#This Row],[CUIT]]="","-",VLOOKUP(Retenciones_mes11[[#This Row],[CUIT]],Lista_CUIT[#All],2,0)),"CUIT NO CARGADO")</f>
        <v>-</v>
      </c>
      <c r="H418" s="120"/>
      <c r="I418" s="120"/>
      <c r="J418" s="120"/>
      <c r="K418" s="120"/>
      <c r="L418" s="120"/>
    </row>
    <row r="419" spans="3:12" x14ac:dyDescent="0.25">
      <c r="C419" s="117"/>
      <c r="D419" s="118"/>
      <c r="E419" s="118"/>
      <c r="F419" s="119"/>
      <c r="G419" s="53" t="str">
        <f>IFERROR(IF(Retenciones_mes11[[#This Row],[CUIT]]="","-",VLOOKUP(Retenciones_mes11[[#This Row],[CUIT]],Lista_CUIT[#All],2,0)),"CUIT NO CARGADO")</f>
        <v>-</v>
      </c>
      <c r="H419" s="120"/>
      <c r="I419" s="120"/>
      <c r="J419" s="120"/>
      <c r="K419" s="120"/>
      <c r="L419" s="120"/>
    </row>
    <row r="420" spans="3:12" x14ac:dyDescent="0.25">
      <c r="C420" s="117"/>
      <c r="D420" s="118"/>
      <c r="E420" s="118"/>
      <c r="F420" s="119"/>
      <c r="G420" s="53" t="str">
        <f>IFERROR(IF(Retenciones_mes11[[#This Row],[CUIT]]="","-",VLOOKUP(Retenciones_mes11[[#This Row],[CUIT]],Lista_CUIT[#All],2,0)),"CUIT NO CARGADO")</f>
        <v>-</v>
      </c>
      <c r="H420" s="120"/>
      <c r="I420" s="120"/>
      <c r="J420" s="120"/>
      <c r="K420" s="120"/>
      <c r="L420" s="120"/>
    </row>
    <row r="421" spans="3:12" x14ac:dyDescent="0.25">
      <c r="C421" s="117"/>
      <c r="D421" s="118"/>
      <c r="E421" s="118"/>
      <c r="F421" s="119"/>
      <c r="G421" s="53" t="str">
        <f>IFERROR(IF(Retenciones_mes11[[#This Row],[CUIT]]="","-",VLOOKUP(Retenciones_mes11[[#This Row],[CUIT]],Lista_CUIT[#All],2,0)),"CUIT NO CARGADO")</f>
        <v>-</v>
      </c>
      <c r="H421" s="120"/>
      <c r="I421" s="120"/>
      <c r="J421" s="120"/>
      <c r="K421" s="120"/>
      <c r="L421" s="120"/>
    </row>
    <row r="422" spans="3:12" x14ac:dyDescent="0.25">
      <c r="D422" s="118"/>
      <c r="E422" s="118"/>
      <c r="G422" s="53" t="str">
        <f>IFERROR(IF(Retenciones_mes11[[#This Row],[CUIT]]="","-",VLOOKUP(Retenciones_mes11[[#This Row],[CUIT]],Lista_CUIT[#All],2,0)),"CUIT NO CARGADO")</f>
        <v>-</v>
      </c>
    </row>
    <row r="423" spans="3:12" x14ac:dyDescent="0.25">
      <c r="C423" s="33"/>
    </row>
  </sheetData>
  <mergeCells count="20">
    <mergeCell ref="C416:G416"/>
    <mergeCell ref="B4:E4"/>
    <mergeCell ref="G4:H4"/>
    <mergeCell ref="J4:K4"/>
    <mergeCell ref="M4:N4"/>
    <mergeCell ref="D139:K139"/>
    <mergeCell ref="B167:J167"/>
    <mergeCell ref="K167:M167"/>
    <mergeCell ref="B169:C169"/>
    <mergeCell ref="B180:C180"/>
    <mergeCell ref="P4:R4"/>
    <mergeCell ref="D130:L130"/>
    <mergeCell ref="B1:F1"/>
    <mergeCell ref="G1:M1"/>
    <mergeCell ref="N1:R1"/>
    <mergeCell ref="B3:E3"/>
    <mergeCell ref="G3:H3"/>
    <mergeCell ref="J3:K3"/>
    <mergeCell ref="M3:N3"/>
    <mergeCell ref="P3:R3"/>
  </mergeCells>
  <dataValidations count="10">
    <dataValidation type="whole" allowBlank="1" showInputMessage="1" showErrorMessage="1" sqref="D182:D414 D171:D176 D9:D124 E141:E160" xr:uid="{56E4DA15-E14B-4E91-AC8B-20C12380BD92}">
      <formula1>1</formula1>
      <formula2>9999</formula2>
    </dataValidation>
    <dataValidation type="whole" allowBlank="1" showInputMessage="1" showErrorMessage="1" sqref="E182:E414 E171:E176 E9:E124 F141:F160" xr:uid="{3AD2E600-857F-425E-9827-0BEE352BBD2B}">
      <formula1>1</formula1>
      <formula2>99999999</formula2>
    </dataValidation>
    <dataValidation type="whole" allowBlank="1" showInputMessage="1" showErrorMessage="1" sqref="F171:F176 F182:F414 F9:F124 G141:G160" xr:uid="{7328327F-B21D-444E-9A6D-BAFC65CA86A7}">
      <formula1>20000000000</formula1>
      <formula2>33999999999</formula2>
    </dataValidation>
    <dataValidation type="date" allowBlank="1" showInputMessage="1" showErrorMessage="1" sqref="D132:D134 B126:B129 B182:B414 B171:B176 B9:B124 D141:D160" xr:uid="{0DDFA704-73EA-4E85-9BA4-991F38A29D6B}">
      <formula1>40179</formula1>
      <formula2>TODAY()</formula2>
    </dataValidation>
    <dataValidation type="whole" allowBlank="1" showInputMessage="1" showErrorMessage="1" sqref="C126:C129 C171:C176 C9:C124" xr:uid="{9D45522B-E376-4F28-AED9-CB1E132F88C8}">
      <formula1>1</formula1>
      <formula2>3</formula2>
    </dataValidation>
    <dataValidation type="custom" allowBlank="1" showInputMessage="1" showErrorMessage="1" sqref="L171:L175" xr:uid="{D08E4DB0-7369-44EF-A0CF-9B1185359BB1}">
      <formula1>IF($C9=3,L9&lt;0,L9&gt;=0)</formula1>
    </dataValidation>
    <dataValidation type="whole" allowBlank="1" showInputMessage="1" showErrorMessage="1" sqref="C182:C414" xr:uid="{CDC38775-EED7-4B69-B879-C413A2B93A33}">
      <formula1>6</formula1>
      <formula2>8</formula2>
    </dataValidation>
    <dataValidation type="custom" allowBlank="1" showInputMessage="1" showErrorMessage="1" sqref="H182:L414" xr:uid="{2CA2548B-E69B-4F96-B0C1-61E522896F88}">
      <formula1>IF($C182=8,H182&lt;0,H182&gt;=0)</formula1>
    </dataValidation>
    <dataValidation type="custom" allowBlank="1" showInputMessage="1" showErrorMessage="1" sqref="H171:K175" xr:uid="{91A9314E-982C-45D7-BD38-0CF26FACB82F}">
      <formula1>IF($C171=3,H171&lt;0,H171&gt;=0)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24" xr:uid="{3C05D4D4-C0E9-4951-A9EF-7E5BCB1D4381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theme="9" tint="0.79998168889431442"/>
  </sheetPr>
  <dimension ref="A1:Z177"/>
  <sheetViews>
    <sheetView showGridLines="0" topLeftCell="G109" zoomScale="80" zoomScaleNormal="80" workbookViewId="0">
      <selection activeCell="D107" sqref="D107:J132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3" customWidth="1"/>
    <col min="11" max="11" width="13.42578125" customWidth="1"/>
    <col min="12" max="12" width="12.85546875" customWidth="1"/>
    <col min="13" max="13" width="12.42578125" customWidth="1"/>
    <col min="14" max="14" width="16.28515625" customWidth="1"/>
    <col min="15" max="15" width="13.42578125" customWidth="1"/>
    <col min="16" max="16" width="23.140625" customWidth="1"/>
    <col min="17" max="17" width="12.7109375" customWidth="1"/>
    <col min="18" max="18" width="10" customWidth="1"/>
    <col min="19" max="19" width="11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26" t="s">
        <v>28</v>
      </c>
      <c r="C1" s="526"/>
      <c r="D1" s="526"/>
      <c r="E1" s="526"/>
      <c r="F1" s="526"/>
      <c r="G1" s="538" t="str">
        <f>'Ene-23'!G1:M1</f>
        <v>ORTOPEDIA GEMINIS S.A.</v>
      </c>
      <c r="H1" s="538"/>
      <c r="I1" s="538"/>
      <c r="J1" s="538"/>
      <c r="K1" s="538"/>
      <c r="L1" s="538"/>
      <c r="M1" s="538"/>
      <c r="N1" s="523">
        <f>EDATE('Ene-23'!N1,11)</f>
        <v>45261</v>
      </c>
      <c r="O1" s="523"/>
      <c r="P1" s="523"/>
      <c r="Q1" s="523"/>
      <c r="R1" s="523"/>
    </row>
    <row r="2" spans="1:26" ht="15" customHeight="1" x14ac:dyDescent="0.25"/>
    <row r="3" spans="1:26" ht="26.45" customHeight="1" x14ac:dyDescent="0.25">
      <c r="B3" s="529" t="s">
        <v>65</v>
      </c>
      <c r="C3" s="529"/>
      <c r="D3" s="529"/>
      <c r="E3" s="529"/>
      <c r="F3" s="38"/>
      <c r="G3" s="529" t="s">
        <v>37</v>
      </c>
      <c r="H3" s="529"/>
      <c r="I3" s="38"/>
      <c r="J3" s="536" t="s">
        <v>14</v>
      </c>
      <c r="K3" s="536"/>
      <c r="L3" s="38"/>
      <c r="M3" s="536" t="s">
        <v>12</v>
      </c>
      <c r="N3" s="536"/>
      <c r="O3" s="38"/>
      <c r="P3" s="535" t="s">
        <v>109</v>
      </c>
      <c r="Q3" s="535"/>
      <c r="R3" s="535"/>
    </row>
    <row r="4" spans="1:26" ht="25.15" customHeight="1" x14ac:dyDescent="0.35">
      <c r="B4" s="530">
        <f>SUM(compras_mes12[[#Totals],[NETO GRAVADO]])+extracto_banco_mes12[[#Totals],[NETO]]</f>
        <v>42541487.770000018</v>
      </c>
      <c r="C4" s="530"/>
      <c r="D4" s="530"/>
      <c r="E4" s="530"/>
      <c r="F4" s="39"/>
      <c r="G4" s="539">
        <f ca="1">compras_mes12[[#Totals],[IVA 21 %]]+compras_mes12[[#Totals],[IVA 27%]]+compras_mes12[[#Totals],[IVA 10,5%]]+extracto_banco_mes12[[#Totals],[IVA 21%]]+extracto_banco_mes12[[#Totals],[IVA 10,5%]]</f>
        <v>8697745.0344999973</v>
      </c>
      <c r="H4" s="539"/>
      <c r="I4" s="39"/>
      <c r="J4" s="537">
        <f>venta_a_mes12[[#Totals],[IMPORTE NETO]]+ventas_b_mes12[[#Totals],[IMPORTE NETO]]</f>
        <v>0</v>
      </c>
      <c r="K4" s="537"/>
      <c r="L4" s="39"/>
      <c r="M4" s="537">
        <f>venta_a_mes12[[#Totals],[IVA 21%]]+venta_a_mes12[[#Totals],[IVA 10,5%]]+ventas_b_mes12[[#Totals],[IVA 21%]]+ventas_b_mes12[[#Totals],[IVA 10,5%]]</f>
        <v>0</v>
      </c>
      <c r="N4" s="537"/>
      <c r="O4" s="39"/>
      <c r="P4" s="533">
        <f ca="1">G4-M4</f>
        <v>8697745.0344999973</v>
      </c>
      <c r="Q4" s="534"/>
      <c r="R4" s="534"/>
    </row>
    <row r="5" spans="1:26" ht="13.15" customHeight="1" x14ac:dyDescent="0.25"/>
    <row r="6" spans="1:26" ht="10.9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75">
        <v>45226</v>
      </c>
      <c r="C9" s="489">
        <v>1</v>
      </c>
      <c r="D9" s="476">
        <v>5024</v>
      </c>
      <c r="E9" s="477">
        <v>23340</v>
      </c>
      <c r="F9" s="478">
        <v>30695542476</v>
      </c>
      <c r="G9" s="479" t="str">
        <f>IFERROR(IF(compras_mes12[[#This Row],[CUIT]]="","-",VLOOKUP(compras_mes12[[#This Row],[CUIT]],Lista_CUIT[#All],2,0)),"CUIT NO CARGADO")</f>
        <v>PAN AMERICAN ENERGY LLC</v>
      </c>
      <c r="H9" s="480">
        <v>11563.39</v>
      </c>
      <c r="I9" s="481">
        <f>IF(compras_mes12[[#This Row],[NETO GRAVADO]]="","",compras_mes12[[#This Row],[NETO GRAVADO]]*0.21)</f>
        <v>2428.3118999999997</v>
      </c>
      <c r="J9" s="481"/>
      <c r="K9" s="481"/>
      <c r="L9" s="481"/>
      <c r="M9" s="481"/>
      <c r="N9" s="481"/>
      <c r="O9" s="481">
        <v>967.89</v>
      </c>
      <c r="P9" s="482">
        <f>SUM(compras_mes12[[#This Row],[NETO GRAVADO]:[Otros / No Grav.]])</f>
        <v>14959.591899999999</v>
      </c>
      <c r="Q9" s="483" t="str">
        <f>IFERROR(IF(compras_mes12[[#This Row],[CUIT]]="","-",VLOOKUP(compras_mes12[[#This Row],[CUIT]],Lista_CUIT[#All],3,0)),"CUIT NO CARGADO")</f>
        <v>COMBUSTIBLE</v>
      </c>
      <c r="R9" s="483">
        <f>IFERROR(IF(compras_mes12[[#This Row],[CUIT]]="","-",VLOOKUP(compras_mes12[[#This Row],[CUIT]],Lista_CUIT[#All],4,0)),"CUIT NO CARGADO")</f>
        <v>0</v>
      </c>
    </row>
    <row r="10" spans="1:26" x14ac:dyDescent="0.25">
      <c r="B10" s="475">
        <v>45247</v>
      </c>
      <c r="C10" s="489">
        <v>1</v>
      </c>
      <c r="D10" s="476">
        <v>1</v>
      </c>
      <c r="E10" s="477">
        <v>626</v>
      </c>
      <c r="F10" s="478">
        <v>30715048066</v>
      </c>
      <c r="G10" s="479" t="str">
        <f>IFERROR(IF(compras_mes12[[#This Row],[CUIT]]="","-",VLOOKUP(compras_mes12[[#This Row],[CUIT]],Lista_CUIT[#All],2,0)),"CUIT NO CARGADO")</f>
        <v>ROLLS Y EMPANADAS SA</v>
      </c>
      <c r="H10" s="480">
        <v>473475</v>
      </c>
      <c r="I10" s="481">
        <f>IF(compras_mes12[[#This Row],[NETO GRAVADO]]="","",compras_mes12[[#This Row],[NETO GRAVADO]]*0.21)</f>
        <v>99429.75</v>
      </c>
      <c r="J10" s="481"/>
      <c r="K10" s="481"/>
      <c r="L10" s="481"/>
      <c r="M10" s="481"/>
      <c r="N10" s="481"/>
      <c r="O10" s="481"/>
      <c r="P10" s="482">
        <f>SUM(compras_mes12[[#This Row],[NETO GRAVADO]:[Otros / No Grav.]])</f>
        <v>572904.75</v>
      </c>
      <c r="Q10" s="483" t="str">
        <f>IFERROR(IF(compras_mes12[[#This Row],[CUIT]]="","-",VLOOKUP(compras_mes12[[#This Row],[CUIT]],Lista_CUIT[#All],3,0)),"CUIT NO CARGADO")</f>
        <v>Catering</v>
      </c>
      <c r="R10" s="483">
        <f>IFERROR(IF(compras_mes12[[#This Row],[CUIT]]="","-",VLOOKUP(compras_mes12[[#This Row],[CUIT]],Lista_CUIT[#All],4,0)),"CUIT NO CARGADO")</f>
        <v>0</v>
      </c>
    </row>
    <row r="11" spans="1:26" x14ac:dyDescent="0.25">
      <c r="B11" s="475">
        <v>45261</v>
      </c>
      <c r="C11" s="489">
        <v>1</v>
      </c>
      <c r="D11" s="476">
        <v>7</v>
      </c>
      <c r="E11" s="477">
        <v>1013</v>
      </c>
      <c r="F11" s="478">
        <v>30712187316</v>
      </c>
      <c r="G11" s="479" t="str">
        <f>IFERROR(IF(compras_mes12[[#This Row],[CUIT]]="","-",VLOOKUP(compras_mes12[[#This Row],[CUIT]],Lista_CUIT[#All],2,0)),"CUIT NO CARGADO")</f>
        <v>ITALOMED PRODUCTOS SRL</v>
      </c>
      <c r="H11" s="480">
        <v>145018.34</v>
      </c>
      <c r="I11" s="481">
        <f>IF(compras_mes12[[#This Row],[NETO GRAVADO]]="","",compras_mes12[[#This Row],[NETO GRAVADO]]*0.21)</f>
        <v>30453.8514</v>
      </c>
      <c r="J11" s="481"/>
      <c r="K11" s="481"/>
      <c r="L11" s="481"/>
      <c r="M11" s="481"/>
      <c r="N11" s="481"/>
      <c r="O11" s="481"/>
      <c r="P11" s="48">
        <f>SUM(compras_mes12[[#This Row],[NETO GRAVADO]:[Otros / No Grav.]])</f>
        <v>175472.19140000001</v>
      </c>
      <c r="Q11" s="49" t="str">
        <f>IFERROR(IF(compras_mes12[[#This Row],[CUIT]]="","-",VLOOKUP(compras_mes12[[#This Row],[CUIT]],Lista_CUIT[#All],3,0)),"CUIT NO CARGADO")</f>
        <v>Productos Ortopedicos</v>
      </c>
      <c r="R11" s="49">
        <f>IFERROR(IF(compras_mes12[[#This Row],[CUIT]]="","-",VLOOKUP(compras_mes12[[#This Row],[CUIT]],Lista_CUIT[#All],4,0)),"CUIT NO CARGADO")</f>
        <v>0</v>
      </c>
    </row>
    <row r="12" spans="1:26" x14ac:dyDescent="0.25">
      <c r="B12" s="475">
        <v>45261</v>
      </c>
      <c r="C12" s="489">
        <v>1</v>
      </c>
      <c r="D12" s="476">
        <v>2</v>
      </c>
      <c r="E12" s="477">
        <v>9270</v>
      </c>
      <c r="F12" s="478">
        <v>30714331082</v>
      </c>
      <c r="G12" s="479" t="str">
        <f>IFERROR(IF(compras_mes12[[#This Row],[CUIT]]="","-",VLOOKUP(compras_mes12[[#This Row],[CUIT]],Lista_CUIT[#All],2,0)),"CUIT NO CARGADO")</f>
        <v>ORTOPEDIA CASA ESCALADA SRL</v>
      </c>
      <c r="H12" s="480">
        <v>889200</v>
      </c>
      <c r="I12" s="481">
        <f>IF(compras_mes12[[#This Row],[NETO GRAVADO]]="","",compras_mes12[[#This Row],[NETO GRAVADO]]*0.21)</f>
        <v>186732</v>
      </c>
      <c r="J12" s="481"/>
      <c r="K12" s="481"/>
      <c r="L12" s="481"/>
      <c r="M12" s="481"/>
      <c r="N12" s="481"/>
      <c r="O12" s="481"/>
      <c r="P12" s="482">
        <f>SUM(compras_mes12[[#This Row],[NETO GRAVADO]:[Otros / No Grav.]])</f>
        <v>1075932</v>
      </c>
      <c r="Q12" s="483" t="str">
        <f>IFERROR(IF(compras_mes12[[#This Row],[CUIT]]="","-",VLOOKUP(compras_mes12[[#This Row],[CUIT]],Lista_CUIT[#All],3,0)),"CUIT NO CARGADO")</f>
        <v>Productos Ortopedicos</v>
      </c>
      <c r="R12" s="483">
        <f>IFERROR(IF(compras_mes12[[#This Row],[CUIT]]="","-",VLOOKUP(compras_mes12[[#This Row],[CUIT]],Lista_CUIT[#All],4,0)),"CUIT NO CARGADO")</f>
        <v>0</v>
      </c>
    </row>
    <row r="13" spans="1:26" x14ac:dyDescent="0.25">
      <c r="B13" s="475">
        <v>45261</v>
      </c>
      <c r="C13" s="489">
        <v>1</v>
      </c>
      <c r="D13" s="476">
        <v>2</v>
      </c>
      <c r="E13" s="477">
        <v>9274</v>
      </c>
      <c r="F13" s="478">
        <v>30714331082</v>
      </c>
      <c r="G13" s="479" t="str">
        <f>IFERROR(IF(compras_mes12[[#This Row],[CUIT]]="","-",VLOOKUP(compras_mes12[[#This Row],[CUIT]],Lista_CUIT[#All],2,0)),"CUIT NO CARGADO")</f>
        <v>ORTOPEDIA CASA ESCALADA SRL</v>
      </c>
      <c r="H13" s="480">
        <v>261900</v>
      </c>
      <c r="I13" s="481">
        <f>IF(compras_mes12[[#This Row],[NETO GRAVADO]]="","",compras_mes12[[#This Row],[NETO GRAVADO]]*0.21)</f>
        <v>54999</v>
      </c>
      <c r="J13" s="481"/>
      <c r="K13" s="481"/>
      <c r="L13" s="481"/>
      <c r="M13" s="481"/>
      <c r="N13" s="481"/>
      <c r="O13" s="481"/>
      <c r="P13" s="482">
        <f>SUM(compras_mes12[[#This Row],[NETO GRAVADO]:[Otros / No Grav.]])</f>
        <v>316899</v>
      </c>
      <c r="Q13" s="483" t="str">
        <f>IFERROR(IF(compras_mes12[[#This Row],[CUIT]]="","-",VLOOKUP(compras_mes12[[#This Row],[CUIT]],Lista_CUIT[#All],3,0)),"CUIT NO CARGADO")</f>
        <v>Productos Ortopedicos</v>
      </c>
      <c r="R13" s="483">
        <f>IFERROR(IF(compras_mes12[[#This Row],[CUIT]]="","-",VLOOKUP(compras_mes12[[#This Row],[CUIT]],Lista_CUIT[#All],4,0)),"CUIT NO CARGADO")</f>
        <v>0</v>
      </c>
    </row>
    <row r="14" spans="1:26" x14ac:dyDescent="0.25">
      <c r="B14" s="475">
        <v>45261</v>
      </c>
      <c r="C14" s="489">
        <v>1</v>
      </c>
      <c r="D14" s="476">
        <v>7</v>
      </c>
      <c r="E14" s="477">
        <v>28139</v>
      </c>
      <c r="F14" s="478">
        <v>20271532483</v>
      </c>
      <c r="G14" s="479" t="str">
        <f>IFERROR(IF(compras_mes12[[#This Row],[CUIT]]="","-",VLOOKUP(compras_mes12[[#This Row],[CUIT]],Lista_CUIT[#All],2,0)),"CUIT NO CARGADO")</f>
        <v>DIEGO MARTIN RIOS</v>
      </c>
      <c r="H14" s="480">
        <v>910880.8</v>
      </c>
      <c r="I14" s="481">
        <f>IF(compras_mes12[[#This Row],[NETO GRAVADO]]="","",compras_mes12[[#This Row],[NETO GRAVADO]]*0.21)</f>
        <v>191284.96799999999</v>
      </c>
      <c r="J14" s="481"/>
      <c r="K14" s="481"/>
      <c r="L14" s="481"/>
      <c r="M14" s="481"/>
      <c r="N14" s="481">
        <v>36435.230000000003</v>
      </c>
      <c r="O14" s="481"/>
      <c r="P14" s="48">
        <f>SUM(compras_mes12[[#This Row],[NETO GRAVADO]:[Otros / No Grav.]])</f>
        <v>1138600.9980000001</v>
      </c>
      <c r="Q14" s="49" t="str">
        <f>IFERROR(IF(compras_mes12[[#This Row],[CUIT]]="","-",VLOOKUP(compras_mes12[[#This Row],[CUIT]],Lista_CUIT[#All],3,0)),"CUIT NO CARGADO")</f>
        <v>Productos Ortopedicos</v>
      </c>
      <c r="R14" s="49">
        <f>IFERROR(IF(compras_mes12[[#This Row],[CUIT]]="","-",VLOOKUP(compras_mes12[[#This Row],[CUIT]],Lista_CUIT[#All],4,0)),"CUIT NO CARGADO")</f>
        <v>0</v>
      </c>
    </row>
    <row r="15" spans="1:26" x14ac:dyDescent="0.25">
      <c r="B15" s="475">
        <v>45261</v>
      </c>
      <c r="C15" s="489">
        <v>1</v>
      </c>
      <c r="D15" s="476">
        <v>7</v>
      </c>
      <c r="E15" s="477">
        <v>28138</v>
      </c>
      <c r="F15" s="478">
        <v>20271532483</v>
      </c>
      <c r="G15" s="479" t="str">
        <f>IFERROR(IF(compras_mes12[[#This Row],[CUIT]]="","-",VLOOKUP(compras_mes12[[#This Row],[CUIT]],Lista_CUIT[#All],2,0)),"CUIT NO CARGADO")</f>
        <v>DIEGO MARTIN RIOS</v>
      </c>
      <c r="H15" s="480">
        <v>2768345.92</v>
      </c>
      <c r="I15" s="481">
        <f>IF(compras_mes12[[#This Row],[NETO GRAVADO]]="","",compras_mes12[[#This Row],[NETO GRAVADO]]*0.21)</f>
        <v>581352.64319999993</v>
      </c>
      <c r="J15" s="481"/>
      <c r="K15" s="481"/>
      <c r="L15" s="481"/>
      <c r="M15" s="481"/>
      <c r="N15" s="481">
        <v>110733.84</v>
      </c>
      <c r="O15" s="481"/>
      <c r="P15" s="48">
        <f>SUM(compras_mes12[[#This Row],[NETO GRAVADO]:[Otros / No Grav.]])</f>
        <v>3460432.4031999996</v>
      </c>
      <c r="Q15" s="49" t="str">
        <f>IFERROR(IF(compras_mes12[[#This Row],[CUIT]]="","-",VLOOKUP(compras_mes12[[#This Row],[CUIT]],Lista_CUIT[#All],3,0)),"CUIT NO CARGADO")</f>
        <v>Productos Ortopedicos</v>
      </c>
      <c r="R15" s="49">
        <f>IFERROR(IF(compras_mes12[[#This Row],[CUIT]]="","-",VLOOKUP(compras_mes12[[#This Row],[CUIT]],Lista_CUIT[#All],4,0)),"CUIT NO CARGADO")</f>
        <v>0</v>
      </c>
    </row>
    <row r="16" spans="1:26" x14ac:dyDescent="0.25">
      <c r="B16" s="475">
        <v>45261</v>
      </c>
      <c r="C16" s="489">
        <v>1</v>
      </c>
      <c r="D16" s="476">
        <v>2</v>
      </c>
      <c r="E16" s="477">
        <v>9271</v>
      </c>
      <c r="F16" s="478">
        <v>30714331082</v>
      </c>
      <c r="G16" s="479" t="str">
        <f>IFERROR(IF(compras_mes12[[#This Row],[CUIT]]="","-",VLOOKUP(compras_mes12[[#This Row],[CUIT]],Lista_CUIT[#All],2,0)),"CUIT NO CARGADO")</f>
        <v>ORTOPEDIA CASA ESCALADA SRL</v>
      </c>
      <c r="H16" s="480">
        <v>1654200</v>
      </c>
      <c r="I16" s="481">
        <v>86562</v>
      </c>
      <c r="J16" s="481"/>
      <c r="K16" s="481">
        <v>130410</v>
      </c>
      <c r="L16" s="481"/>
      <c r="M16" s="481"/>
      <c r="N16" s="481"/>
      <c r="O16" s="481"/>
      <c r="P16" s="482">
        <f>SUM(compras_mes12[[#This Row],[NETO GRAVADO]:[Otros / No Grav.]])</f>
        <v>1871172</v>
      </c>
      <c r="Q16" s="483" t="str">
        <f>IFERROR(IF(compras_mes12[[#This Row],[CUIT]]="","-",VLOOKUP(compras_mes12[[#This Row],[CUIT]],Lista_CUIT[#All],3,0)),"CUIT NO CARGADO")</f>
        <v>Productos Ortopedicos</v>
      </c>
      <c r="R16" s="483">
        <f>IFERROR(IF(compras_mes12[[#This Row],[CUIT]]="","-",VLOOKUP(compras_mes12[[#This Row],[CUIT]],Lista_CUIT[#All],4,0)),"CUIT NO CARGADO")</f>
        <v>0</v>
      </c>
    </row>
    <row r="17" spans="2:18" x14ac:dyDescent="0.25">
      <c r="B17" s="475">
        <v>45261</v>
      </c>
      <c r="C17" s="489">
        <v>1</v>
      </c>
      <c r="D17" s="476">
        <v>27</v>
      </c>
      <c r="E17" s="477">
        <v>17896</v>
      </c>
      <c r="F17" s="478">
        <v>30627351263</v>
      </c>
      <c r="G17" s="479" t="str">
        <f>IFERROR(IF(compras_mes12[[#This Row],[CUIT]]="","-",VLOOKUP(compras_mes12[[#This Row],[CUIT]],Lista_CUIT[#All],2,0)),"CUIT NO CARGADO")</f>
        <v>TRANSPORTES ÑANDUBAY</v>
      </c>
      <c r="H17" s="480">
        <v>60700</v>
      </c>
      <c r="I17" s="481">
        <f>IF(compras_mes12[[#This Row],[NETO GRAVADO]]="","",compras_mes12[[#This Row],[NETO GRAVADO]]*0.21)</f>
        <v>12747</v>
      </c>
      <c r="J17" s="481"/>
      <c r="K17" s="481"/>
      <c r="L17" s="481"/>
      <c r="M17" s="481"/>
      <c r="N17" s="481"/>
      <c r="O17" s="481"/>
      <c r="P17" s="482">
        <f>SUM(compras_mes12[[#This Row],[NETO GRAVADO]:[Otros / No Grav.]])</f>
        <v>73447</v>
      </c>
      <c r="Q17" s="483" t="str">
        <f>IFERROR(IF(compras_mes12[[#This Row],[CUIT]]="","-",VLOOKUP(compras_mes12[[#This Row],[CUIT]],Lista_CUIT[#All],3,0)),"CUIT NO CARGADO")</f>
        <v>FLETE</v>
      </c>
      <c r="R17" s="483">
        <f>IFERROR(IF(compras_mes12[[#This Row],[CUIT]]="","-",VLOOKUP(compras_mes12[[#This Row],[CUIT]],Lista_CUIT[#All],4,0)),"CUIT NO CARGADO")</f>
        <v>0</v>
      </c>
    </row>
    <row r="18" spans="2:18" x14ac:dyDescent="0.25">
      <c r="B18" s="219">
        <v>45261</v>
      </c>
      <c r="C18" s="209">
        <v>1</v>
      </c>
      <c r="D18" s="220">
        <v>500</v>
      </c>
      <c r="E18" s="221">
        <v>1460105</v>
      </c>
      <c r="F18" s="222">
        <v>30654118767</v>
      </c>
      <c r="G18" s="223" t="str">
        <f>IFERROR(IF(compras_mes12[[#This Row],[CUIT]]="","-",VLOOKUP(compras_mes12[[#This Row],[CUIT]],Lista_CUIT[#All],2,0)),"CUIT NO CARGADO")</f>
        <v>SOLUCIONES MULTIMEDIA SA</v>
      </c>
      <c r="H18" s="224">
        <v>27758.33</v>
      </c>
      <c r="I18" s="225">
        <f>IF(compras_mes12[[#This Row],[NETO GRAVADO]]="","",compras_mes12[[#This Row],[NETO GRAVADO]]*0.21)</f>
        <v>5829.2493000000004</v>
      </c>
      <c r="J18" s="225"/>
      <c r="K18" s="225"/>
      <c r="L18" s="225"/>
      <c r="M18" s="225"/>
      <c r="N18" s="225">
        <v>1110.33</v>
      </c>
      <c r="O18" s="225"/>
      <c r="P18" s="48">
        <f>SUM(compras_mes12[[#This Row],[NETO GRAVADO]:[Otros / No Grav.]])</f>
        <v>34697.909300000007</v>
      </c>
      <c r="Q18" s="49" t="str">
        <f>IFERROR(IF(compras_mes12[[#This Row],[CUIT]]="","-",VLOOKUP(compras_mes12[[#This Row],[CUIT]],Lista_CUIT[#All],3,0)),"CUIT NO CARGADO")</f>
        <v>GASTOS ADMINISTRATIVOS</v>
      </c>
      <c r="R18" s="49">
        <f>IFERROR(IF(compras_mes12[[#This Row],[CUIT]]="","-",VLOOKUP(compras_mes12[[#This Row],[CUIT]],Lista_CUIT[#All],4,0)),"CUIT NO CARGADO")</f>
        <v>0</v>
      </c>
    </row>
    <row r="19" spans="2:18" x14ac:dyDescent="0.25">
      <c r="B19" s="498">
        <v>45261</v>
      </c>
      <c r="C19" s="209">
        <v>1</v>
      </c>
      <c r="D19" s="491">
        <v>1326</v>
      </c>
      <c r="E19" s="492">
        <v>45960</v>
      </c>
      <c r="F19" s="493">
        <v>30663288497</v>
      </c>
      <c r="G19" s="494" t="str">
        <f>IFERROR(IF(compras_mes12[[#This Row],[CUIT]]="","-",VLOOKUP(compras_mes12[[#This Row],[CUIT]],Lista_CUIT[#All],2,0)),"CUIT NO CARGADO")</f>
        <v>AMX ARG SA</v>
      </c>
      <c r="H19" s="495">
        <v>12750</v>
      </c>
      <c r="I19" s="496">
        <v>1023.75</v>
      </c>
      <c r="J19" s="496">
        <v>2126.25</v>
      </c>
      <c r="K19" s="496"/>
      <c r="L19" s="496"/>
      <c r="M19" s="496">
        <v>382.5</v>
      </c>
      <c r="N19" s="496">
        <v>510</v>
      </c>
      <c r="O19" s="496">
        <v>414.47</v>
      </c>
      <c r="P19" s="482">
        <f>SUM(compras_mes12[[#This Row],[NETO GRAVADO]:[Otros / No Grav.]])</f>
        <v>17206.97</v>
      </c>
      <c r="Q19" s="483" t="str">
        <f>IFERROR(IF(compras_mes12[[#This Row],[CUIT]]="","-",VLOOKUP(compras_mes12[[#This Row],[CUIT]],Lista_CUIT[#All],3,0)),"CUIT NO CARGADO")</f>
        <v>SERVICIOS DE INTERNET</v>
      </c>
      <c r="R19" s="483">
        <f>IFERROR(IF(compras_mes12[[#This Row],[CUIT]]="","-",VLOOKUP(compras_mes12[[#This Row],[CUIT]],Lista_CUIT[#All],4,0)),"CUIT NO CARGADO")</f>
        <v>0</v>
      </c>
    </row>
    <row r="20" spans="2:18" x14ac:dyDescent="0.25">
      <c r="B20" s="475">
        <v>45262</v>
      </c>
      <c r="C20" s="489">
        <v>1</v>
      </c>
      <c r="D20" s="476">
        <v>9058</v>
      </c>
      <c r="E20" s="477">
        <v>21494</v>
      </c>
      <c r="F20" s="478">
        <v>30678774495</v>
      </c>
      <c r="G20" s="479" t="str">
        <f>IFERROR(IF(compras_mes12[[#This Row],[CUIT]]="","-",VLOOKUP(compras_mes12[[#This Row],[CUIT]],Lista_CUIT[#All],2,0)),"CUIT NO CARGADO")</f>
        <v>OPER. DE EST. DE SERV. SA</v>
      </c>
      <c r="H20" s="480">
        <v>12931.13</v>
      </c>
      <c r="I20" s="481">
        <f>IF(compras_mes12[[#This Row],[NETO GRAVADO]]="","",compras_mes12[[#This Row],[NETO GRAVADO]]*0.21)</f>
        <v>2715.5372999999995</v>
      </c>
      <c r="J20" s="481"/>
      <c r="K20" s="481"/>
      <c r="L20" s="481"/>
      <c r="M20" s="481"/>
      <c r="N20" s="481"/>
      <c r="O20" s="481">
        <v>1155.3399999999999</v>
      </c>
      <c r="P20" s="482">
        <f>SUM(compras_mes12[[#This Row],[NETO GRAVADO]:[Otros / No Grav.]])</f>
        <v>16802.007299999997</v>
      </c>
      <c r="Q20" s="483" t="str">
        <f>IFERROR(IF(compras_mes12[[#This Row],[CUIT]]="","-",VLOOKUP(compras_mes12[[#This Row],[CUIT]],Lista_CUIT[#All],3,0)),"CUIT NO CARGADO")</f>
        <v>COMBUSTIBLE</v>
      </c>
      <c r="R20" s="483">
        <f>IFERROR(IF(compras_mes12[[#This Row],[CUIT]]="","-",VLOOKUP(compras_mes12[[#This Row],[CUIT]],Lista_CUIT[#All],4,0)),"CUIT NO CARGADO")</f>
        <v>0</v>
      </c>
    </row>
    <row r="21" spans="2:18" x14ac:dyDescent="0.25">
      <c r="B21" s="498">
        <v>45263</v>
      </c>
      <c r="C21" s="209">
        <v>1</v>
      </c>
      <c r="D21" s="491">
        <v>711</v>
      </c>
      <c r="E21" s="492">
        <v>5063596</v>
      </c>
      <c r="F21" s="493">
        <v>30677237119</v>
      </c>
      <c r="G21" s="494" t="str">
        <f>IFERROR(IF(compras_mes12[[#This Row],[CUIT]]="","-",VLOOKUP(compras_mes12[[#This Row],[CUIT]],Lista_CUIT[#All],2,0)),"CUIT NO CARGADO")</f>
        <v>AUTOPISTAS DEL SOL SA</v>
      </c>
      <c r="H21" s="495">
        <v>2376.0500000000002</v>
      </c>
      <c r="I21" s="496">
        <f>IF(compras_mes12[[#This Row],[NETO GRAVADO]]="","",compras_mes12[[#This Row],[NETO GRAVADO]]*0.21)</f>
        <v>498.97050000000002</v>
      </c>
      <c r="J21" s="496"/>
      <c r="K21" s="496"/>
      <c r="L21" s="496">
        <v>95.04</v>
      </c>
      <c r="M21" s="496"/>
      <c r="N21" s="496"/>
      <c r="O21" s="496">
        <v>71.28</v>
      </c>
      <c r="P21" s="482">
        <f>SUM(compras_mes12[[#This Row],[NETO GRAVADO]:[Otros / No Grav.]])</f>
        <v>3041.3405000000002</v>
      </c>
      <c r="Q21" s="483" t="str">
        <f>IFERROR(IF(compras_mes12[[#This Row],[CUIT]]="","-",VLOOKUP(compras_mes12[[#This Row],[CUIT]],Lista_CUIT[#All],3,0)),"CUIT NO CARGADO")</f>
        <v>Autopista</v>
      </c>
      <c r="R21" s="483">
        <f>IFERROR(IF(compras_mes12[[#This Row],[CUIT]]="","-",VLOOKUP(compras_mes12[[#This Row],[CUIT]],Lista_CUIT[#All],4,0)),"CUIT NO CARGADO")</f>
        <v>0</v>
      </c>
    </row>
    <row r="22" spans="2:18" x14ac:dyDescent="0.25">
      <c r="B22" s="475">
        <v>45264</v>
      </c>
      <c r="C22" s="489">
        <v>1</v>
      </c>
      <c r="D22" s="476">
        <v>9044</v>
      </c>
      <c r="E22" s="477">
        <v>22083</v>
      </c>
      <c r="F22" s="478">
        <v>30678774495</v>
      </c>
      <c r="G22" s="479" t="str">
        <f>IFERROR(IF(compras_mes12[[#This Row],[CUIT]]="","-",VLOOKUP(compras_mes12[[#This Row],[CUIT]],Lista_CUIT[#All],2,0)),"CUIT NO CARGADO")</f>
        <v>OPER. DE EST. DE SERV. SA</v>
      </c>
      <c r="H22" s="480">
        <v>17696.98</v>
      </c>
      <c r="I22" s="481">
        <f>IF(compras_mes12[[#This Row],[NETO GRAVADO]]="","",compras_mes12[[#This Row],[NETO GRAVADO]]*0.21)</f>
        <v>3716.3657999999996</v>
      </c>
      <c r="J22" s="481"/>
      <c r="K22" s="481"/>
      <c r="L22" s="481"/>
      <c r="M22" s="481"/>
      <c r="N22" s="481"/>
      <c r="O22" s="481">
        <v>800.68</v>
      </c>
      <c r="P22" s="482">
        <f>SUM(compras_mes12[[#This Row],[NETO GRAVADO]:[Otros / No Grav.]])</f>
        <v>22214.025799999999</v>
      </c>
      <c r="Q22" s="483" t="str">
        <f>IFERROR(IF(compras_mes12[[#This Row],[CUIT]]="","-",VLOOKUP(compras_mes12[[#This Row],[CUIT]],Lista_CUIT[#All],3,0)),"CUIT NO CARGADO")</f>
        <v>COMBUSTIBLE</v>
      </c>
      <c r="R22" s="483">
        <f>IFERROR(IF(compras_mes12[[#This Row],[CUIT]]="","-",VLOOKUP(compras_mes12[[#This Row],[CUIT]],Lista_CUIT[#All],4,0)),"CUIT NO CARGADO")</f>
        <v>0</v>
      </c>
    </row>
    <row r="23" spans="2:18" x14ac:dyDescent="0.25">
      <c r="B23" s="475">
        <v>45264</v>
      </c>
      <c r="C23" s="489">
        <v>1</v>
      </c>
      <c r="D23" s="476">
        <v>5</v>
      </c>
      <c r="E23" s="477">
        <v>11917</v>
      </c>
      <c r="F23" s="478">
        <v>30711583765</v>
      </c>
      <c r="G23" s="479" t="str">
        <f>IFERROR(IF(compras_mes12[[#This Row],[CUIT]]="","-",VLOOKUP(compras_mes12[[#This Row],[CUIT]],Lista_CUIT[#All],2,0)),"CUIT NO CARGADO")</f>
        <v>PH SERVICIOS Y GESTIONES SOCIEDAD ANONIMA</v>
      </c>
      <c r="H23" s="480">
        <v>15800</v>
      </c>
      <c r="I23" s="481">
        <f>IF(compras_mes12[[#This Row],[NETO GRAVADO]]="","",compras_mes12[[#This Row],[NETO GRAVADO]]*0.21)</f>
        <v>3318</v>
      </c>
      <c r="J23" s="481"/>
      <c r="K23" s="481"/>
      <c r="L23" s="481"/>
      <c r="M23" s="481"/>
      <c r="N23" s="481"/>
      <c r="O23" s="481"/>
      <c r="P23" s="482">
        <f>SUM(compras_mes12[[#This Row],[NETO GRAVADO]:[Otros / No Grav.]])</f>
        <v>19118</v>
      </c>
      <c r="Q23" s="483" t="str">
        <f>IFERROR(IF(compras_mes12[[#This Row],[CUIT]]="","-",VLOOKUP(compras_mes12[[#This Row],[CUIT]],Lista_CUIT[#All],3,0)),"CUIT NO CARGADO")</f>
        <v>FLETE</v>
      </c>
      <c r="R23" s="483">
        <f>IFERROR(IF(compras_mes12[[#This Row],[CUIT]]="","-",VLOOKUP(compras_mes12[[#This Row],[CUIT]],Lista_CUIT[#All],4,0)),"CUIT NO CARGADO")</f>
        <v>0</v>
      </c>
    </row>
    <row r="24" spans="2:18" x14ac:dyDescent="0.25">
      <c r="B24" s="475">
        <v>45264</v>
      </c>
      <c r="C24" s="489">
        <v>1</v>
      </c>
      <c r="D24" s="476">
        <v>3</v>
      </c>
      <c r="E24" s="477">
        <v>118</v>
      </c>
      <c r="F24" s="478">
        <v>20334976433</v>
      </c>
      <c r="G24" s="479" t="str">
        <f>IFERROR(IF(compras_mes12[[#This Row],[CUIT]]="","-",VLOOKUP(compras_mes12[[#This Row],[CUIT]],Lista_CUIT[#All],2,0)),"CUIT NO CARGADO")</f>
        <v>NARDOMARINO EZEQUIEL EDUARDO</v>
      </c>
      <c r="H24" s="480">
        <v>143499.19</v>
      </c>
      <c r="I24" s="481">
        <f>IF(compras_mes12[[#This Row],[NETO GRAVADO]]="","",compras_mes12[[#This Row],[NETO GRAVADO]]*0.21)</f>
        <v>30134.829900000001</v>
      </c>
      <c r="J24" s="481"/>
      <c r="K24" s="481"/>
      <c r="L24" s="481"/>
      <c r="M24" s="481"/>
      <c r="N24" s="481"/>
      <c r="O24" s="481"/>
      <c r="P24" s="48">
        <f>SUM(compras_mes12[[#This Row],[NETO GRAVADO]:[Otros / No Grav.]])</f>
        <v>173634.01990000001</v>
      </c>
      <c r="Q24" s="49" t="str">
        <f>IFERROR(IF(compras_mes12[[#This Row],[CUIT]]="","-",VLOOKUP(compras_mes12[[#This Row],[CUIT]],Lista_CUIT[#All],3,0)),"CUIT NO CARGADO")</f>
        <v>FLETE</v>
      </c>
      <c r="R24" s="49">
        <f>IFERROR(IF(compras_mes12[[#This Row],[CUIT]]="","-",VLOOKUP(compras_mes12[[#This Row],[CUIT]],Lista_CUIT[#All],4,0)),"CUIT NO CARGADO")</f>
        <v>0</v>
      </c>
    </row>
    <row r="25" spans="2:18" x14ac:dyDescent="0.25">
      <c r="B25" s="475">
        <v>45264</v>
      </c>
      <c r="C25" s="489">
        <v>1</v>
      </c>
      <c r="D25" s="476">
        <v>8</v>
      </c>
      <c r="E25" s="477">
        <v>1564</v>
      </c>
      <c r="F25" s="478">
        <v>30708973501</v>
      </c>
      <c r="G25" s="479" t="str">
        <f>IFERROR(IF(compras_mes12[[#This Row],[CUIT]]="","-",VLOOKUP(compras_mes12[[#This Row],[CUIT]],Lista_CUIT[#All],2,0)),"CUIT NO CARGADO")</f>
        <v>ASIAL SRL</v>
      </c>
      <c r="H25" s="480">
        <v>240660</v>
      </c>
      <c r="I25" s="481">
        <f>IF(compras_mes12[[#This Row],[NETO GRAVADO]]="","",compras_mes12[[#This Row],[NETO GRAVADO]]*0.21)</f>
        <v>50538.6</v>
      </c>
      <c r="J25" s="481"/>
      <c r="K25" s="481"/>
      <c r="L25" s="481"/>
      <c r="M25" s="481"/>
      <c r="N25" s="481"/>
      <c r="O25" s="481"/>
      <c r="P25" s="48">
        <f>SUM(compras_mes12[[#This Row],[NETO GRAVADO]:[Otros / No Grav.]])</f>
        <v>291198.59999999998</v>
      </c>
      <c r="Q25" s="49" t="str">
        <f>IFERROR(IF(compras_mes12[[#This Row],[CUIT]]="","-",VLOOKUP(compras_mes12[[#This Row],[CUIT]],Lista_CUIT[#All],3,0)),"CUIT NO CARGADO")</f>
        <v>Productos Ortopedicos</v>
      </c>
      <c r="R25" s="49">
        <f>IFERROR(IF(compras_mes12[[#This Row],[CUIT]]="","-",VLOOKUP(compras_mes12[[#This Row],[CUIT]],Lista_CUIT[#All],4,0)),"CUIT NO CARGADO")</f>
        <v>0</v>
      </c>
    </row>
    <row r="26" spans="2:18" x14ac:dyDescent="0.25">
      <c r="B26" s="475">
        <v>45264</v>
      </c>
      <c r="C26" s="489">
        <v>3</v>
      </c>
      <c r="D26" s="476">
        <v>7</v>
      </c>
      <c r="E26" s="477">
        <v>973</v>
      </c>
      <c r="F26" s="478">
        <v>20271532483</v>
      </c>
      <c r="G26" s="479" t="str">
        <f>IFERROR(IF(compras_mes12[[#This Row],[CUIT]]="","-",VLOOKUP(compras_mes12[[#This Row],[CUIT]],Lista_CUIT[#All],2,0)),"CUIT NO CARGADO")</f>
        <v>DIEGO MARTIN RIOS</v>
      </c>
      <c r="H26" s="480">
        <v>-582976.80000000005</v>
      </c>
      <c r="I26" s="481">
        <f>IF(compras_mes12[[#This Row],[NETO GRAVADO]]="","",compras_mes12[[#This Row],[NETO GRAVADO]]*0.21)</f>
        <v>-122425.12800000001</v>
      </c>
      <c r="J26" s="481"/>
      <c r="K26" s="481"/>
      <c r="L26" s="481"/>
      <c r="M26" s="481"/>
      <c r="N26" s="481"/>
      <c r="O26" s="481"/>
      <c r="P26" s="48">
        <f>SUM(compras_mes12[[#This Row],[NETO GRAVADO]:[Otros / No Grav.]])</f>
        <v>-705401.92800000007</v>
      </c>
      <c r="Q26" s="49" t="str">
        <f>IFERROR(IF(compras_mes12[[#This Row],[CUIT]]="","-",VLOOKUP(compras_mes12[[#This Row],[CUIT]],Lista_CUIT[#All],3,0)),"CUIT NO CARGADO")</f>
        <v>Productos Ortopedicos</v>
      </c>
      <c r="R26" s="49">
        <f>IFERROR(IF(compras_mes12[[#This Row],[CUIT]]="","-",VLOOKUP(compras_mes12[[#This Row],[CUIT]],Lista_CUIT[#All],4,0)),"CUIT NO CARGADO")</f>
        <v>0</v>
      </c>
    </row>
    <row r="27" spans="2:18" x14ac:dyDescent="0.25">
      <c r="B27" s="498">
        <v>45264</v>
      </c>
      <c r="C27" s="209">
        <v>1</v>
      </c>
      <c r="D27" s="491">
        <v>5011</v>
      </c>
      <c r="E27" s="492">
        <v>557107</v>
      </c>
      <c r="F27" s="493">
        <v>30574876474</v>
      </c>
      <c r="G27" s="494" t="str">
        <f>IFERROR(IF(compras_mes12[[#This Row],[CUIT]]="","-",VLOOKUP(compras_mes12[[#This Row],[CUIT]],Lista_CUIT[#All],2,0)),"CUIT NO CARGADO")</f>
        <v>AUTOP. URBANAS SA</v>
      </c>
      <c r="H27" s="495">
        <v>6077.88</v>
      </c>
      <c r="I27" s="496">
        <f>IF(compras_mes12[[#This Row],[NETO GRAVADO]]="","",compras_mes12[[#This Row],[NETO GRAVADO]]*0.21)</f>
        <v>1276.3548000000001</v>
      </c>
      <c r="J27" s="496"/>
      <c r="K27" s="496"/>
      <c r="L27" s="496"/>
      <c r="M27" s="496"/>
      <c r="N27" s="496">
        <v>182.33</v>
      </c>
      <c r="O27" s="496">
        <v>607.77</v>
      </c>
      <c r="P27" s="48">
        <f>SUM(compras_mes12[[#This Row],[NETO GRAVADO]:[Otros / No Grav.]])</f>
        <v>8144.3348000000005</v>
      </c>
      <c r="Q27" s="483" t="str">
        <f>IFERROR(IF(compras_mes12[[#This Row],[CUIT]]="","-",VLOOKUP(compras_mes12[[#This Row],[CUIT]],Lista_CUIT[#All],3,0)),"CUIT NO CARGADO")</f>
        <v>PEAJE</v>
      </c>
      <c r="R27" s="483">
        <f>IFERROR(IF(compras_mes12[[#This Row],[CUIT]]="","-",VLOOKUP(compras_mes12[[#This Row],[CUIT]],Lista_CUIT[#All],4,0)),"CUIT NO CARGADO")</f>
        <v>0</v>
      </c>
    </row>
    <row r="28" spans="2:18" x14ac:dyDescent="0.25">
      <c r="B28" s="498">
        <v>45265</v>
      </c>
      <c r="C28" s="209">
        <v>1</v>
      </c>
      <c r="D28" s="491">
        <v>3</v>
      </c>
      <c r="E28" s="492">
        <v>777</v>
      </c>
      <c r="F28" s="493">
        <v>23076996989</v>
      </c>
      <c r="G28" s="494" t="str">
        <f>IFERROR(IF(compras_mes12[[#This Row],[CUIT]]="","-",VLOOKUP(compras_mes12[[#This Row],[CUIT]],Lista_CUIT[#All],2,0)),"CUIT NO CARGADO")</f>
        <v>GIULIETTI LUIS ALBERTO</v>
      </c>
      <c r="H28" s="495">
        <v>2314.0500000000002</v>
      </c>
      <c r="I28" s="496">
        <f>IF(compras_mes12[[#This Row],[NETO GRAVADO]]="","",compras_mes12[[#This Row],[NETO GRAVADO]]*0.21)</f>
        <v>485.95050000000003</v>
      </c>
      <c r="J28" s="496"/>
      <c r="K28" s="496"/>
      <c r="L28" s="496"/>
      <c r="M28" s="496"/>
      <c r="N28" s="496"/>
      <c r="O28" s="496"/>
      <c r="P28" s="482">
        <f>SUM(compras_mes12[[#This Row],[NETO GRAVADO]:[Otros / No Grav.]])</f>
        <v>2800.0005000000001</v>
      </c>
      <c r="Q28" s="483" t="str">
        <f>IFERROR(IF(compras_mes12[[#This Row],[CUIT]]="","-",VLOOKUP(compras_mes12[[#This Row],[CUIT]],Lista_CUIT[#All],3,0)),"CUIT NO CARGADO")</f>
        <v>Productos Ortopedicos</v>
      </c>
      <c r="R28" s="483">
        <f>IFERROR(IF(compras_mes12[[#This Row],[CUIT]]="","-",VLOOKUP(compras_mes12[[#This Row],[CUIT]],Lista_CUIT[#All],4,0)),"CUIT NO CARGADO")</f>
        <v>0</v>
      </c>
    </row>
    <row r="29" spans="2:18" x14ac:dyDescent="0.25">
      <c r="B29" s="475">
        <v>45266</v>
      </c>
      <c r="C29" s="489">
        <v>1</v>
      </c>
      <c r="D29" s="476">
        <v>5</v>
      </c>
      <c r="E29" s="477">
        <v>150472</v>
      </c>
      <c r="F29" s="478">
        <v>30598960093</v>
      </c>
      <c r="G29" s="479" t="str">
        <f>IFERROR(IF(compras_mes12[[#This Row],[CUIT]]="","-",VLOOKUP(compras_mes12[[#This Row],[CUIT]],Lista_CUIT[#All],2,0)),"CUIT NO CARGADO")</f>
        <v>SILVESTRIN FABRIS SRL</v>
      </c>
      <c r="H29" s="480">
        <v>371196.8</v>
      </c>
      <c r="I29" s="481">
        <f>IF(compras_mes12[[#This Row],[NETO GRAVADO]]="","",compras_mes12[[#This Row],[NETO GRAVADO]]*0.21)</f>
        <v>77951.327999999994</v>
      </c>
      <c r="J29" s="481"/>
      <c r="K29" s="481"/>
      <c r="L29" s="481"/>
      <c r="M29" s="481"/>
      <c r="N29" s="481">
        <v>14847.87</v>
      </c>
      <c r="O29" s="481"/>
      <c r="P29" s="48">
        <f>SUM(compras_mes12[[#This Row],[NETO GRAVADO]:[Otros / No Grav.]])</f>
        <v>463995.99799999996</v>
      </c>
      <c r="Q29" s="49" t="str">
        <f>IFERROR(IF(compras_mes12[[#This Row],[CUIT]]="","-",VLOOKUP(compras_mes12[[#This Row],[CUIT]],Lista_CUIT[#All],3,0)),"CUIT NO CARGADO")</f>
        <v>Productos Ortopedicos</v>
      </c>
      <c r="R29" s="49">
        <f>IFERROR(IF(compras_mes12[[#This Row],[CUIT]]="","-",VLOOKUP(compras_mes12[[#This Row],[CUIT]],Lista_CUIT[#All],4,0)),"CUIT NO CARGADO")</f>
        <v>0</v>
      </c>
    </row>
    <row r="30" spans="2:18" x14ac:dyDescent="0.25">
      <c r="B30" s="475">
        <v>45266</v>
      </c>
      <c r="C30" s="489">
        <v>1</v>
      </c>
      <c r="D30" s="476">
        <v>2</v>
      </c>
      <c r="E30" s="477">
        <v>250</v>
      </c>
      <c r="F30" s="478">
        <v>20272865869</v>
      </c>
      <c r="G30" s="479" t="str">
        <f>IFERROR(IF(compras_mes12[[#This Row],[CUIT]]="","-",VLOOKUP(compras_mes12[[#This Row],[CUIT]],Lista_CUIT[#All],2,0)),"CUIT NO CARGADO")</f>
        <v>DI FEO MARTIN EZEQUIEL</v>
      </c>
      <c r="H30" s="480">
        <v>93702.07</v>
      </c>
      <c r="I30" s="481">
        <f>IF(compras_mes12[[#This Row],[NETO GRAVADO]]="","",compras_mes12[[#This Row],[NETO GRAVADO]]*0.21)</f>
        <v>19677.434700000002</v>
      </c>
      <c r="J30" s="481"/>
      <c r="K30" s="481"/>
      <c r="L30" s="481"/>
      <c r="M30" s="481"/>
      <c r="N30" s="481"/>
      <c r="O30" s="481"/>
      <c r="P30" s="48">
        <f>SUM(compras_mes12[[#This Row],[NETO GRAVADO]:[Otros / No Grav.]])</f>
        <v>113379.5047</v>
      </c>
      <c r="Q30" s="49" t="str">
        <f>IFERROR(IF(compras_mes12[[#This Row],[CUIT]]="","-",VLOOKUP(compras_mes12[[#This Row],[CUIT]],Lista_CUIT[#All],3,0)),"CUIT NO CARGADO")</f>
        <v>Productos Ortopedicos</v>
      </c>
      <c r="R30" s="49">
        <f>IFERROR(IF(compras_mes12[[#This Row],[CUIT]]="","-",VLOOKUP(compras_mes12[[#This Row],[CUIT]],Lista_CUIT[#All],4,0)),"CUIT NO CARGADO")</f>
        <v>0</v>
      </c>
    </row>
    <row r="31" spans="2:18" x14ac:dyDescent="0.25">
      <c r="B31" s="475">
        <v>45266</v>
      </c>
      <c r="C31" s="489">
        <v>1</v>
      </c>
      <c r="D31" s="476">
        <v>11</v>
      </c>
      <c r="E31" s="477">
        <v>1618293</v>
      </c>
      <c r="F31" s="478">
        <v>30709776564</v>
      </c>
      <c r="G31" s="479" t="str">
        <f>IFERROR(IF(compras_mes12[[#This Row],[CUIT]]="","-",VLOOKUP(compras_mes12[[#This Row],[CUIT]],Lista_CUIT[#All],2,0)),"CUIT NO CARGADO")</f>
        <v>PROSEGUR ACTIVA ARG SA</v>
      </c>
      <c r="H31" s="480">
        <v>42381.33</v>
      </c>
      <c r="I31" s="481">
        <f>IF(compras_mes12[[#This Row],[NETO GRAVADO]]="","",compras_mes12[[#This Row],[NETO GRAVADO]]*0.21)</f>
        <v>8900.0792999999994</v>
      </c>
      <c r="J31" s="481"/>
      <c r="K31" s="481"/>
      <c r="L31" s="481"/>
      <c r="M31" s="481"/>
      <c r="N31" s="481">
        <v>1695.25</v>
      </c>
      <c r="O31" s="481"/>
      <c r="P31" s="482">
        <f>SUM(compras_mes12[[#This Row],[NETO GRAVADO]:[Otros / No Grav.]])</f>
        <v>52976.659299999999</v>
      </c>
      <c r="Q31" s="483" t="str">
        <f>IFERROR(IF(compras_mes12[[#This Row],[CUIT]]="","-",VLOOKUP(compras_mes12[[#This Row],[CUIT]],Lista_CUIT[#All],3,0)),"CUIT NO CARGADO")</f>
        <v>SEGURIDAD</v>
      </c>
      <c r="R31" s="483">
        <f>IFERROR(IF(compras_mes12[[#This Row],[CUIT]]="","-",VLOOKUP(compras_mes12[[#This Row],[CUIT]],Lista_CUIT[#All],4,0)),"CUIT NO CARGADO")</f>
        <v>0</v>
      </c>
    </row>
    <row r="32" spans="2:18" x14ac:dyDescent="0.25">
      <c r="B32" s="475">
        <v>45266</v>
      </c>
      <c r="C32" s="489">
        <v>1</v>
      </c>
      <c r="D32" s="476">
        <v>4</v>
      </c>
      <c r="E32" s="477">
        <v>86</v>
      </c>
      <c r="F32" s="478">
        <v>20317488476</v>
      </c>
      <c r="G32" s="479" t="str">
        <f>IFERROR(IF(compras_mes12[[#This Row],[CUIT]]="","-",VLOOKUP(compras_mes12[[#This Row],[CUIT]],Lista_CUIT[#All],2,0)),"CUIT NO CARGADO")</f>
        <v>MIGUEL ANGEL VILLALBA</v>
      </c>
      <c r="H32" s="480">
        <v>154000</v>
      </c>
      <c r="I32" s="481">
        <f>IF(compras_mes12[[#This Row],[NETO GRAVADO]]="","",compras_mes12[[#This Row],[NETO GRAVADO]]*0.21)</f>
        <v>32340</v>
      </c>
      <c r="J32" s="481"/>
      <c r="K32" s="481"/>
      <c r="L32" s="481"/>
      <c r="M32" s="481"/>
      <c r="N32" s="481"/>
      <c r="O32" s="481"/>
      <c r="P32" s="482">
        <f>SUM(compras_mes12[[#This Row],[NETO GRAVADO]:[Otros / No Grav.]])</f>
        <v>186340</v>
      </c>
      <c r="Q32" s="483" t="str">
        <f>IFERROR(IF(compras_mes12[[#This Row],[CUIT]]="","-",VLOOKUP(compras_mes12[[#This Row],[CUIT]],Lista_CUIT[#All],3,0)),"CUIT NO CARGADO")</f>
        <v>Recupero P. Ortopedicos</v>
      </c>
      <c r="R32" s="483">
        <f>IFERROR(IF(compras_mes12[[#This Row],[CUIT]]="","-",VLOOKUP(compras_mes12[[#This Row],[CUIT]],Lista_CUIT[#All],4,0)),"CUIT NO CARGADO")</f>
        <v>0</v>
      </c>
    </row>
    <row r="33" spans="2:18" x14ac:dyDescent="0.25">
      <c r="B33" s="498">
        <v>45266</v>
      </c>
      <c r="C33" s="209">
        <v>1</v>
      </c>
      <c r="D33" s="491">
        <v>7</v>
      </c>
      <c r="E33" s="492">
        <v>1474</v>
      </c>
      <c r="F33" s="493">
        <v>30708865377</v>
      </c>
      <c r="G33" s="494" t="str">
        <f>IFERROR(IF(compras_mes12[[#This Row],[CUIT]]="","-",VLOOKUP(compras_mes12[[#This Row],[CUIT]],Lista_CUIT[#All],2,0)),"CUIT NO CARGADO")</f>
        <v>S.F. PANDA IMPORTACION Y EXPORTACION S.R.L.</v>
      </c>
      <c r="H33" s="495">
        <v>72719.070000000007</v>
      </c>
      <c r="I33" s="496">
        <f>IF(compras_mes12[[#This Row],[NETO GRAVADO]]="","",compras_mes12[[#This Row],[NETO GRAVADO]]*0.21)</f>
        <v>15271.004700000001</v>
      </c>
      <c r="J33" s="496"/>
      <c r="K33" s="496"/>
      <c r="L33" s="496"/>
      <c r="M33" s="496"/>
      <c r="N33" s="496"/>
      <c r="O33" s="496"/>
      <c r="P33" s="482">
        <f>SUM(compras_mes12[[#This Row],[NETO GRAVADO]:[Otros / No Grav.]])</f>
        <v>87990.074700000012</v>
      </c>
      <c r="Q33" s="483" t="str">
        <f>IFERROR(IF(compras_mes12[[#This Row],[CUIT]]="","-",VLOOKUP(compras_mes12[[#This Row],[CUIT]],Lista_CUIT[#All],3,0)),"CUIT NO CARGADO")</f>
        <v>Gastos Varios</v>
      </c>
      <c r="R33" s="483">
        <f>IFERROR(IF(compras_mes12[[#This Row],[CUIT]]="","-",VLOOKUP(compras_mes12[[#This Row],[CUIT]],Lista_CUIT[#All],4,0)),"CUIT NO CARGADO")</f>
        <v>0</v>
      </c>
    </row>
    <row r="34" spans="2:18" x14ac:dyDescent="0.25">
      <c r="B34" s="498">
        <v>45266</v>
      </c>
      <c r="C34" s="209">
        <v>1</v>
      </c>
      <c r="D34" s="491">
        <v>700</v>
      </c>
      <c r="E34" s="492">
        <v>1322431</v>
      </c>
      <c r="F34" s="493">
        <v>30715804812</v>
      </c>
      <c r="G34" s="494" t="str">
        <f>IFERROR(IF(compras_mes12[[#This Row],[CUIT]]="","-",VLOOKUP(compras_mes12[[#This Row],[CUIT]],Lista_CUIT[#All],2,0)),"CUIT NO CARGADO")</f>
        <v>CORREDORES VIALES SOCIEDAD ANONIMA</v>
      </c>
      <c r="H34" s="495">
        <v>5330.58</v>
      </c>
      <c r="I34" s="496">
        <f>IF(compras_mes12[[#This Row],[NETO GRAVADO]]="","",compras_mes12[[#This Row],[NETO GRAVADO]]*0.21)</f>
        <v>1119.4217999999998</v>
      </c>
      <c r="J34" s="496"/>
      <c r="K34" s="496"/>
      <c r="L34" s="496"/>
      <c r="M34" s="496"/>
      <c r="N34" s="496">
        <v>213.22</v>
      </c>
      <c r="O34" s="496"/>
      <c r="P34" s="482">
        <f>SUM(compras_mes12[[#This Row],[NETO GRAVADO]:[Otros / No Grav.]])</f>
        <v>6663.2218000000003</v>
      </c>
      <c r="Q34" s="483" t="str">
        <f>IFERROR(IF(compras_mes12[[#This Row],[CUIT]]="","-",VLOOKUP(compras_mes12[[#This Row],[CUIT]],Lista_CUIT[#All],3,0)),"CUIT NO CARGADO")</f>
        <v>Autopista</v>
      </c>
      <c r="R34" s="483">
        <f>IFERROR(IF(compras_mes12[[#This Row],[CUIT]]="","-",VLOOKUP(compras_mes12[[#This Row],[CUIT]],Lista_CUIT[#All],4,0)),"CUIT NO CARGADO")</f>
        <v>0</v>
      </c>
    </row>
    <row r="35" spans="2:18" x14ac:dyDescent="0.25">
      <c r="B35" s="475">
        <v>45267</v>
      </c>
      <c r="C35" s="489">
        <v>1</v>
      </c>
      <c r="D35" s="476">
        <v>3</v>
      </c>
      <c r="E35" s="477">
        <v>48988</v>
      </c>
      <c r="F35" s="478">
        <v>30577744579</v>
      </c>
      <c r="G35" s="479" t="str">
        <f>IFERROR(IF(compras_mes12[[#This Row],[CUIT]]="","-",VLOOKUP(compras_mes12[[#This Row],[CUIT]],Lista_CUIT[#All],2,0)),"CUIT NO CARGADO")</f>
        <v>EXPRESO TROLE SRL</v>
      </c>
      <c r="H35" s="480">
        <v>16647.34</v>
      </c>
      <c r="I35" s="481">
        <f>IF(compras_mes12[[#This Row],[NETO GRAVADO]]="","",compras_mes12[[#This Row],[NETO GRAVADO]]*0.21)</f>
        <v>3495.9413999999997</v>
      </c>
      <c r="J35" s="481"/>
      <c r="K35" s="481"/>
      <c r="L35" s="481"/>
      <c r="M35" s="481"/>
      <c r="N35" s="481"/>
      <c r="O35" s="481"/>
      <c r="P35" s="482">
        <f>SUM(compras_mes12[[#This Row],[NETO GRAVADO]:[Otros / No Grav.]])</f>
        <v>20143.2814</v>
      </c>
      <c r="Q35" s="483" t="str">
        <f>IFERROR(IF(compras_mes12[[#This Row],[CUIT]]="","-",VLOOKUP(compras_mes12[[#This Row],[CUIT]],Lista_CUIT[#All],3,0)),"CUIT NO CARGADO")</f>
        <v>FLETE</v>
      </c>
      <c r="R35" s="483">
        <f>IFERROR(IF(compras_mes12[[#This Row],[CUIT]]="","-",VLOOKUP(compras_mes12[[#This Row],[CUIT]],Lista_CUIT[#All],4,0)),"CUIT NO CARGADO")</f>
        <v>0</v>
      </c>
    </row>
    <row r="36" spans="2:18" x14ac:dyDescent="0.25">
      <c r="B36" s="475">
        <v>45267</v>
      </c>
      <c r="C36" s="489">
        <v>1</v>
      </c>
      <c r="D36" s="476">
        <v>9036</v>
      </c>
      <c r="E36" s="477">
        <v>21904</v>
      </c>
      <c r="F36" s="478">
        <v>30678774495</v>
      </c>
      <c r="G36" s="479" t="str">
        <f>IFERROR(IF(compras_mes12[[#This Row],[CUIT]]="","-",VLOOKUP(compras_mes12[[#This Row],[CUIT]],Lista_CUIT[#All],2,0)),"CUIT NO CARGADO")</f>
        <v>OPER. DE EST. DE SERV. SA</v>
      </c>
      <c r="H36" s="480">
        <v>16411.13</v>
      </c>
      <c r="I36" s="481">
        <f>IF(compras_mes12[[#This Row],[NETO GRAVADO]]="","",compras_mes12[[#This Row],[NETO GRAVADO]]*0.21)</f>
        <v>3446.3373000000001</v>
      </c>
      <c r="J36" s="481"/>
      <c r="K36" s="481"/>
      <c r="L36" s="481"/>
      <c r="M36" s="481"/>
      <c r="N36" s="481"/>
      <c r="O36" s="481">
        <v>742.51</v>
      </c>
      <c r="P36" s="482">
        <f>SUM(compras_mes12[[#This Row],[NETO GRAVADO]:[Otros / No Grav.]])</f>
        <v>20599.977299999999</v>
      </c>
      <c r="Q36" s="483" t="str">
        <f>IFERROR(IF(compras_mes12[[#This Row],[CUIT]]="","-",VLOOKUP(compras_mes12[[#This Row],[CUIT]],Lista_CUIT[#All],3,0)),"CUIT NO CARGADO")</f>
        <v>COMBUSTIBLE</v>
      </c>
      <c r="R36" s="483">
        <f>IFERROR(IF(compras_mes12[[#This Row],[CUIT]]="","-",VLOOKUP(compras_mes12[[#This Row],[CUIT]],Lista_CUIT[#All],4,0)),"CUIT NO CARGADO")</f>
        <v>0</v>
      </c>
    </row>
    <row r="37" spans="2:18" x14ac:dyDescent="0.25">
      <c r="B37" s="475">
        <v>45267</v>
      </c>
      <c r="C37" s="489">
        <v>3</v>
      </c>
      <c r="D37" s="476">
        <v>2</v>
      </c>
      <c r="E37" s="477">
        <v>20</v>
      </c>
      <c r="F37" s="478">
        <v>20272865869</v>
      </c>
      <c r="G37" s="479" t="str">
        <f>IFERROR(IF(compras_mes12[[#This Row],[CUIT]]="","-",VLOOKUP(compras_mes12[[#This Row],[CUIT]],Lista_CUIT[#All],2,0)),"CUIT NO CARGADO")</f>
        <v>DI FEO MARTIN EZEQUIEL</v>
      </c>
      <c r="H37" s="480">
        <v>-7875</v>
      </c>
      <c r="I37" s="481">
        <f>IF(compras_mes12[[#This Row],[NETO GRAVADO]]="","",compras_mes12[[#This Row],[NETO GRAVADO]]*0.21)</f>
        <v>-1653.75</v>
      </c>
      <c r="J37" s="481"/>
      <c r="K37" s="481"/>
      <c r="L37" s="481"/>
      <c r="M37" s="481"/>
      <c r="N37" s="481"/>
      <c r="O37" s="481"/>
      <c r="P37" s="48">
        <f>SUM(compras_mes12[[#This Row],[NETO GRAVADO]:[Otros / No Grav.]])</f>
        <v>-9528.75</v>
      </c>
      <c r="Q37" s="49" t="str">
        <f>IFERROR(IF(compras_mes12[[#This Row],[CUIT]]="","-",VLOOKUP(compras_mes12[[#This Row],[CUIT]],Lista_CUIT[#All],3,0)),"CUIT NO CARGADO")</f>
        <v>Productos Ortopedicos</v>
      </c>
      <c r="R37" s="49">
        <f>IFERROR(IF(compras_mes12[[#This Row],[CUIT]]="","-",VLOOKUP(compras_mes12[[#This Row],[CUIT]],Lista_CUIT[#All],4,0)),"CUIT NO CARGADO")</f>
        <v>0</v>
      </c>
    </row>
    <row r="38" spans="2:18" x14ac:dyDescent="0.25">
      <c r="B38" s="498">
        <v>45269</v>
      </c>
      <c r="C38" s="209">
        <v>1</v>
      </c>
      <c r="D38" s="491">
        <v>948</v>
      </c>
      <c r="E38" s="492">
        <v>1118393</v>
      </c>
      <c r="F38" s="493">
        <v>30639453975</v>
      </c>
      <c r="G38" s="494" t="str">
        <f>IFERROR(IF(compras_mes12[[#This Row],[CUIT]]="","-",VLOOKUP(compras_mes12[[#This Row],[CUIT]],Lista_CUIT[#All],2,0)),"CUIT NO CARGADO")</f>
        <v>TELEFONICA ARG SA</v>
      </c>
      <c r="H38" s="495">
        <v>18805.37</v>
      </c>
      <c r="I38" s="496"/>
      <c r="J38" s="496">
        <v>5077.45</v>
      </c>
      <c r="K38" s="496"/>
      <c r="L38" s="496">
        <v>564.16</v>
      </c>
      <c r="M38" s="496"/>
      <c r="N38" s="496">
        <v>752.16</v>
      </c>
      <c r="O38" s="496"/>
      <c r="P38" s="482">
        <f>SUM(compras_mes12[[#This Row],[NETO GRAVADO]:[Otros / No Grav.]])</f>
        <v>25199.14</v>
      </c>
      <c r="Q38" s="483" t="str">
        <f>IFERROR(IF(compras_mes12[[#This Row],[CUIT]]="","-",VLOOKUP(compras_mes12[[#This Row],[CUIT]],Lista_CUIT[#All],3,0)),"CUIT NO CARGADO")</f>
        <v>TELEFONIA</v>
      </c>
      <c r="R38" s="483">
        <f>IFERROR(IF(compras_mes12[[#This Row],[CUIT]]="","-",VLOOKUP(compras_mes12[[#This Row],[CUIT]],Lista_CUIT[#All],4,0)),"CUIT NO CARGADO")</f>
        <v>0</v>
      </c>
    </row>
    <row r="39" spans="2:18" x14ac:dyDescent="0.25">
      <c r="B39" s="475">
        <v>45271</v>
      </c>
      <c r="C39" s="489">
        <v>1</v>
      </c>
      <c r="D39" s="476">
        <v>5</v>
      </c>
      <c r="E39" s="477">
        <v>150592</v>
      </c>
      <c r="F39" s="478">
        <v>30598960093</v>
      </c>
      <c r="G39" s="479" t="str">
        <f>IFERROR(IF(compras_mes12[[#This Row],[CUIT]]="","-",VLOOKUP(compras_mes12[[#This Row],[CUIT]],Lista_CUIT[#All],2,0)),"CUIT NO CARGADO")</f>
        <v>SILVESTRIN FABRIS SRL</v>
      </c>
      <c r="H39" s="480">
        <v>40352</v>
      </c>
      <c r="I39" s="481">
        <f>IF(compras_mes12[[#This Row],[NETO GRAVADO]]="","",compras_mes12[[#This Row],[NETO GRAVADO]]*0.21)</f>
        <v>8473.92</v>
      </c>
      <c r="J39" s="481"/>
      <c r="K39" s="481"/>
      <c r="L39" s="481"/>
      <c r="M39" s="481"/>
      <c r="N39" s="481">
        <v>1614.08</v>
      </c>
      <c r="O39" s="481"/>
      <c r="P39" s="48">
        <f>SUM(compras_mes12[[#This Row],[NETO GRAVADO]:[Otros / No Grav.]])</f>
        <v>50440</v>
      </c>
      <c r="Q39" s="49" t="str">
        <f>IFERROR(IF(compras_mes12[[#This Row],[CUIT]]="","-",VLOOKUP(compras_mes12[[#This Row],[CUIT]],Lista_CUIT[#All],3,0)),"CUIT NO CARGADO")</f>
        <v>Productos Ortopedicos</v>
      </c>
      <c r="R39" s="49">
        <f>IFERROR(IF(compras_mes12[[#This Row],[CUIT]]="","-",VLOOKUP(compras_mes12[[#This Row],[CUIT]],Lista_CUIT[#All],4,0)),"CUIT NO CARGADO")</f>
        <v>0</v>
      </c>
    </row>
    <row r="40" spans="2:18" x14ac:dyDescent="0.25">
      <c r="B40" s="475">
        <v>45271</v>
      </c>
      <c r="C40" s="489">
        <v>1</v>
      </c>
      <c r="D40" s="476">
        <v>3</v>
      </c>
      <c r="E40" s="477">
        <v>119</v>
      </c>
      <c r="F40" s="478">
        <v>20334976433</v>
      </c>
      <c r="G40" s="479" t="str">
        <f>IFERROR(IF(compras_mes12[[#This Row],[CUIT]]="","-",VLOOKUP(compras_mes12[[#This Row],[CUIT]],Lista_CUIT[#All],2,0)),"CUIT NO CARGADO")</f>
        <v>NARDOMARINO EZEQUIEL EDUARDO</v>
      </c>
      <c r="H40" s="480">
        <v>88742.14</v>
      </c>
      <c r="I40" s="481">
        <f>IF(compras_mes12[[#This Row],[NETO GRAVADO]]="","",compras_mes12[[#This Row],[NETO GRAVADO]]*0.21)</f>
        <v>18635.849399999999</v>
      </c>
      <c r="J40" s="481"/>
      <c r="K40" s="481"/>
      <c r="L40" s="481"/>
      <c r="M40" s="481"/>
      <c r="N40" s="481"/>
      <c r="O40" s="481"/>
      <c r="P40" s="48">
        <f>SUM(compras_mes12[[#This Row],[NETO GRAVADO]:[Otros / No Grav.]])</f>
        <v>107377.98939999999</v>
      </c>
      <c r="Q40" s="49" t="str">
        <f>IFERROR(IF(compras_mes12[[#This Row],[CUIT]]="","-",VLOOKUP(compras_mes12[[#This Row],[CUIT]],Lista_CUIT[#All],3,0)),"CUIT NO CARGADO")</f>
        <v>FLETE</v>
      </c>
      <c r="R40" s="49">
        <f>IFERROR(IF(compras_mes12[[#This Row],[CUIT]]="","-",VLOOKUP(compras_mes12[[#This Row],[CUIT]],Lista_CUIT[#All],4,0)),"CUIT NO CARGADO")</f>
        <v>0</v>
      </c>
    </row>
    <row r="41" spans="2:18" x14ac:dyDescent="0.25">
      <c r="B41" s="475">
        <v>45272</v>
      </c>
      <c r="C41" s="489">
        <v>1</v>
      </c>
      <c r="D41" s="476">
        <v>120</v>
      </c>
      <c r="E41" s="477">
        <v>3821</v>
      </c>
      <c r="F41" s="478">
        <v>30587197215</v>
      </c>
      <c r="G41" s="479" t="str">
        <f>IFERROR(IF(compras_mes12[[#This Row],[CUIT]]="","-",VLOOKUP(compras_mes12[[#This Row],[CUIT]],Lista_CUIT[#All],2,0)),"CUIT NO CARGADO")</f>
        <v>PANATEL SOCIEDAD ANONIMA</v>
      </c>
      <c r="H41" s="480">
        <v>28099.17</v>
      </c>
      <c r="I41" s="481">
        <f>IF(compras_mes12[[#This Row],[NETO GRAVADO]]="","",compras_mes12[[#This Row],[NETO GRAVADO]]*0.21)</f>
        <v>5900.8256999999994</v>
      </c>
      <c r="J41" s="481"/>
      <c r="K41" s="481"/>
      <c r="L41" s="481"/>
      <c r="M41" s="481"/>
      <c r="N41" s="481"/>
      <c r="O41" s="481"/>
      <c r="P41" s="482">
        <f>SUM(compras_mes12[[#This Row],[NETO GRAVADO]:[Otros / No Grav.]])</f>
        <v>33999.995699999999</v>
      </c>
      <c r="Q41" s="483" t="str">
        <f>IFERROR(IF(compras_mes12[[#This Row],[CUIT]]="","-",VLOOKUP(compras_mes12[[#This Row],[CUIT]],Lista_CUIT[#All],3,0)),"CUIT NO CARGADO")</f>
        <v>Gastos Varios</v>
      </c>
      <c r="R41" s="483">
        <f>IFERROR(IF(compras_mes12[[#This Row],[CUIT]]="","-",VLOOKUP(compras_mes12[[#This Row],[CUIT]],Lista_CUIT[#All],4,0)),"CUIT NO CARGADO")</f>
        <v>0</v>
      </c>
    </row>
    <row r="42" spans="2:18" x14ac:dyDescent="0.25">
      <c r="B42" s="475">
        <v>45272</v>
      </c>
      <c r="C42" s="489">
        <v>1</v>
      </c>
      <c r="D42" s="476">
        <v>3</v>
      </c>
      <c r="E42" s="477">
        <v>224922</v>
      </c>
      <c r="F42" s="478">
        <v>30693293754</v>
      </c>
      <c r="G42" s="479" t="str">
        <f>IFERROR(IF(compras_mes12[[#This Row],[CUIT]]="","-",VLOOKUP(compras_mes12[[#This Row],[CUIT]],Lista_CUIT[#All],2,0)),"CUIT NO CARGADO")</f>
        <v>CPT INTEGRAL SA</v>
      </c>
      <c r="H42" s="480">
        <v>28263.64</v>
      </c>
      <c r="I42" s="481"/>
      <c r="J42" s="481">
        <v>7065.91</v>
      </c>
      <c r="K42" s="481"/>
      <c r="L42" s="481"/>
      <c r="M42" s="481"/>
      <c r="N42" s="481"/>
      <c r="O42" s="481"/>
      <c r="P42" s="482">
        <f>SUM(compras_mes12[[#This Row],[NETO GRAVADO]:[Otros / No Grav.]])</f>
        <v>35329.550000000003</v>
      </c>
      <c r="Q42" s="483" t="str">
        <f>IFERROR(IF(compras_mes12[[#This Row],[CUIT]]="","-",VLOOKUP(compras_mes12[[#This Row],[CUIT]],Lista_CUIT[#All],3,0)),"CUIT NO CARGADO")</f>
        <v>PAPELERIA</v>
      </c>
      <c r="R42" s="483">
        <f>IFERROR(IF(compras_mes12[[#This Row],[CUIT]]="","-",VLOOKUP(compras_mes12[[#This Row],[CUIT]],Lista_CUIT[#All],4,0)),"CUIT NO CARGADO")</f>
        <v>0</v>
      </c>
    </row>
    <row r="43" spans="2:18" x14ac:dyDescent="0.25">
      <c r="B43" s="475">
        <v>45273</v>
      </c>
      <c r="C43" s="489">
        <v>1</v>
      </c>
      <c r="D43" s="476">
        <v>6</v>
      </c>
      <c r="E43" s="477">
        <v>536</v>
      </c>
      <c r="F43" s="478">
        <v>20289111329</v>
      </c>
      <c r="G43" s="479" t="str">
        <f>IFERROR(IF(compras_mes12[[#This Row],[CUIT]]="","-",VLOOKUP(compras_mes12[[#This Row],[CUIT]],Lista_CUIT[#All],2,0)),"CUIT NO CARGADO")</f>
        <v>R. N. LEDESMA</v>
      </c>
      <c r="H43" s="480">
        <v>9895582.0999999996</v>
      </c>
      <c r="I43" s="481">
        <f>IF(compras_mes12[[#This Row],[NETO GRAVADO]]="","",compras_mes12[[#This Row],[NETO GRAVADO]]*0.21)</f>
        <v>2078072.2409999999</v>
      </c>
      <c r="J43" s="481"/>
      <c r="K43" s="481"/>
      <c r="L43" s="481"/>
      <c r="M43" s="481"/>
      <c r="N43" s="481"/>
      <c r="O43" s="481"/>
      <c r="P43" s="482">
        <f>SUM(compras_mes12[[#This Row],[NETO GRAVADO]:[Otros / No Grav.]])</f>
        <v>11973654.341</v>
      </c>
      <c r="Q43" s="483" t="str">
        <f>IFERROR(IF(compras_mes12[[#This Row],[CUIT]]="","-",VLOOKUP(compras_mes12[[#This Row],[CUIT]],Lista_CUIT[#All],3,0)),"CUIT NO CARGADO")</f>
        <v>Productos Ortopedicos</v>
      </c>
      <c r="R43" s="483">
        <f>IFERROR(IF(compras_mes12[[#This Row],[CUIT]]="","-",VLOOKUP(compras_mes12[[#This Row],[CUIT]],Lista_CUIT[#All],4,0)),"CUIT NO CARGADO")</f>
        <v>0</v>
      </c>
    </row>
    <row r="44" spans="2:18" x14ac:dyDescent="0.25">
      <c r="B44" s="475">
        <v>45274</v>
      </c>
      <c r="C44" s="489">
        <v>1</v>
      </c>
      <c r="D44" s="476">
        <v>6</v>
      </c>
      <c r="E44" s="477">
        <v>539</v>
      </c>
      <c r="F44" s="478">
        <v>20289111329</v>
      </c>
      <c r="G44" s="479" t="str">
        <f>IFERROR(IF(compras_mes12[[#This Row],[CUIT]]="","-",VLOOKUP(compras_mes12[[#This Row],[CUIT]],Lista_CUIT[#All],2,0)),"CUIT NO CARGADO")</f>
        <v>R. N. LEDESMA</v>
      </c>
      <c r="H44" s="480">
        <v>2431600</v>
      </c>
      <c r="I44" s="481">
        <f>IF(compras_mes12[[#This Row],[NETO GRAVADO]]="","",compras_mes12[[#This Row],[NETO GRAVADO]]*0.21)</f>
        <v>510636</v>
      </c>
      <c r="J44" s="481"/>
      <c r="K44" s="481"/>
      <c r="L44" s="481"/>
      <c r="M44" s="481"/>
      <c r="N44" s="481"/>
      <c r="O44" s="481"/>
      <c r="P44" s="482">
        <f>SUM(compras_mes12[[#This Row],[NETO GRAVADO]:[Otros / No Grav.]])</f>
        <v>2942236</v>
      </c>
      <c r="Q44" s="483" t="str">
        <f>IFERROR(IF(compras_mes12[[#This Row],[CUIT]]="","-",VLOOKUP(compras_mes12[[#This Row],[CUIT]],Lista_CUIT[#All],3,0)),"CUIT NO CARGADO")</f>
        <v>Productos Ortopedicos</v>
      </c>
      <c r="R44" s="483">
        <f>IFERROR(IF(compras_mes12[[#This Row],[CUIT]]="","-",VLOOKUP(compras_mes12[[#This Row],[CUIT]],Lista_CUIT[#All],4,0)),"CUIT NO CARGADO")</f>
        <v>0</v>
      </c>
    </row>
    <row r="45" spans="2:18" x14ac:dyDescent="0.25">
      <c r="B45" s="475">
        <v>45274</v>
      </c>
      <c r="C45" s="489">
        <v>1</v>
      </c>
      <c r="D45" s="476">
        <v>7</v>
      </c>
      <c r="E45" s="477">
        <v>28208</v>
      </c>
      <c r="F45" s="478">
        <v>20271532483</v>
      </c>
      <c r="G45" s="479" t="str">
        <f>IFERROR(IF(compras_mes12[[#This Row],[CUIT]]="","-",VLOOKUP(compras_mes12[[#This Row],[CUIT]],Lista_CUIT[#All],2,0)),"CUIT NO CARGADO")</f>
        <v>DIEGO MARTIN RIOS</v>
      </c>
      <c r="H45" s="480">
        <v>2519264.6</v>
      </c>
      <c r="I45" s="481">
        <f>IF(compras_mes12[[#This Row],[NETO GRAVADO]]="","",compras_mes12[[#This Row],[NETO GRAVADO]]*0.21)</f>
        <v>529045.56599999999</v>
      </c>
      <c r="J45" s="481"/>
      <c r="K45" s="481"/>
      <c r="L45" s="481"/>
      <c r="M45" s="481"/>
      <c r="N45" s="481"/>
      <c r="O45" s="481">
        <v>100770.58</v>
      </c>
      <c r="P45" s="48">
        <f>SUM(compras_mes12[[#This Row],[NETO GRAVADO]:[Otros / No Grav.]])</f>
        <v>3149080.7460000003</v>
      </c>
      <c r="Q45" s="49" t="str">
        <f>IFERROR(IF(compras_mes12[[#This Row],[CUIT]]="","-",VLOOKUP(compras_mes12[[#This Row],[CUIT]],Lista_CUIT[#All],3,0)),"CUIT NO CARGADO")</f>
        <v>Productos Ortopedicos</v>
      </c>
      <c r="R45" s="49">
        <f>IFERROR(IF(compras_mes12[[#This Row],[CUIT]]="","-",VLOOKUP(compras_mes12[[#This Row],[CUIT]],Lista_CUIT[#All],4,0)),"CUIT NO CARGADO")</f>
        <v>0</v>
      </c>
    </row>
    <row r="46" spans="2:18" x14ac:dyDescent="0.25">
      <c r="B46" s="475">
        <v>45274</v>
      </c>
      <c r="C46" s="489">
        <v>1</v>
      </c>
      <c r="D46" s="476">
        <v>2</v>
      </c>
      <c r="E46" s="477">
        <v>263</v>
      </c>
      <c r="F46" s="478">
        <v>20272865869</v>
      </c>
      <c r="G46" s="479" t="str">
        <f>IFERROR(IF(compras_mes12[[#This Row],[CUIT]]="","-",VLOOKUP(compras_mes12[[#This Row],[CUIT]],Lista_CUIT[#All],2,0)),"CUIT NO CARGADO")</f>
        <v>DI FEO MARTIN EZEQUIEL</v>
      </c>
      <c r="H46" s="480">
        <v>113485</v>
      </c>
      <c r="I46" s="481">
        <f>IF(compras_mes12[[#This Row],[NETO GRAVADO]]="","",compras_mes12[[#This Row],[NETO GRAVADO]]*0.21)</f>
        <v>23831.85</v>
      </c>
      <c r="J46" s="481"/>
      <c r="K46" s="481"/>
      <c r="L46" s="481"/>
      <c r="M46" s="481"/>
      <c r="N46" s="481"/>
      <c r="O46" s="481"/>
      <c r="P46" s="48">
        <f>SUM(compras_mes12[[#This Row],[NETO GRAVADO]:[Otros / No Grav.]])</f>
        <v>137316.85</v>
      </c>
      <c r="Q46" s="49" t="str">
        <f>IFERROR(IF(compras_mes12[[#This Row],[CUIT]]="","-",VLOOKUP(compras_mes12[[#This Row],[CUIT]],Lista_CUIT[#All],3,0)),"CUIT NO CARGADO")</f>
        <v>Productos Ortopedicos</v>
      </c>
      <c r="R46" s="49">
        <f>IFERROR(IF(compras_mes12[[#This Row],[CUIT]]="","-",VLOOKUP(compras_mes12[[#This Row],[CUIT]],Lista_CUIT[#All],4,0)),"CUIT NO CARGADO")</f>
        <v>0</v>
      </c>
    </row>
    <row r="47" spans="2:18" x14ac:dyDescent="0.25">
      <c r="B47" s="475">
        <v>45274</v>
      </c>
      <c r="C47" s="489">
        <v>1</v>
      </c>
      <c r="D47" s="476">
        <v>6</v>
      </c>
      <c r="E47" s="477">
        <v>1266</v>
      </c>
      <c r="F47" s="478">
        <v>30716815710</v>
      </c>
      <c r="G47" s="479" t="str">
        <f>IFERROR(IF(compras_mes12[[#This Row],[CUIT]]="","-",VLOOKUP(compras_mes12[[#This Row],[CUIT]],Lista_CUIT[#All],2,0)),"CUIT NO CARGADO")</f>
        <v>PAPELERA GEOPEL SRL</v>
      </c>
      <c r="H47" s="480">
        <v>10537.19</v>
      </c>
      <c r="I47" s="481">
        <f>IF(compras_mes12[[#This Row],[NETO GRAVADO]]="","",compras_mes12[[#This Row],[NETO GRAVADO]]*0.21)</f>
        <v>2212.8099000000002</v>
      </c>
      <c r="J47" s="481"/>
      <c r="K47" s="481"/>
      <c r="L47" s="481"/>
      <c r="M47" s="481"/>
      <c r="N47" s="481"/>
      <c r="O47" s="481"/>
      <c r="P47" s="482">
        <f>SUM(compras_mes12[[#This Row],[NETO GRAVADO]:[Otros / No Grav.]])</f>
        <v>12749.999900000001</v>
      </c>
      <c r="Q47" s="483" t="str">
        <f>IFERROR(IF(compras_mes12[[#This Row],[CUIT]]="","-",VLOOKUP(compras_mes12[[#This Row],[CUIT]],Lista_CUIT[#All],3,0)),"CUIT NO CARGADO")</f>
        <v>PAPELERIA</v>
      </c>
      <c r="R47" s="483">
        <f>IFERROR(IF(compras_mes12[[#This Row],[CUIT]]="","-",VLOOKUP(compras_mes12[[#This Row],[CUIT]],Lista_CUIT[#All],4,0)),"CUIT NO CARGADO")</f>
        <v>0</v>
      </c>
    </row>
    <row r="48" spans="2:18" x14ac:dyDescent="0.25">
      <c r="B48" s="498">
        <v>45275</v>
      </c>
      <c r="C48" s="209">
        <v>1</v>
      </c>
      <c r="D48" s="491">
        <v>53</v>
      </c>
      <c r="E48" s="492">
        <v>29381</v>
      </c>
      <c r="F48" s="493">
        <v>30686525607</v>
      </c>
      <c r="G48" s="494" t="str">
        <f>IFERROR(IF(compras_mes12[[#This Row],[CUIT]]="","-",VLOOKUP(compras_mes12[[#This Row],[CUIT]],Lista_CUIT[#All],2,0)),"CUIT NO CARGADO")</f>
        <v>LIGIER SA</v>
      </c>
      <c r="H48" s="495">
        <v>27272.73</v>
      </c>
      <c r="I48" s="496">
        <f>IF(compras_mes12[[#This Row],[NETO GRAVADO]]="","",compras_mes12[[#This Row],[NETO GRAVADO]]*0.21)</f>
        <v>5727.2732999999998</v>
      </c>
      <c r="J48" s="496"/>
      <c r="K48" s="496"/>
      <c r="L48" s="496"/>
      <c r="M48" s="496"/>
      <c r="N48" s="496"/>
      <c r="O48" s="496">
        <v>1909.09</v>
      </c>
      <c r="P48" s="48">
        <f>SUM(compras_mes12[[#This Row],[NETO GRAVADO]:[Otros / No Grav.]])</f>
        <v>34909.093299999993</v>
      </c>
      <c r="Q48" s="483" t="str">
        <f>IFERROR(IF(compras_mes12[[#This Row],[CUIT]]="","-",VLOOKUP(compras_mes12[[#This Row],[CUIT]],Lista_CUIT[#All],3,0)),"CUIT NO CARGADO")</f>
        <v>Gastos Varios</v>
      </c>
      <c r="R48" s="483">
        <f>IFERROR(IF(compras_mes12[[#This Row],[CUIT]]="","-",VLOOKUP(compras_mes12[[#This Row],[CUIT]],Lista_CUIT[#All],4,0)),"CUIT NO CARGADO")</f>
        <v>0</v>
      </c>
    </row>
    <row r="49" spans="2:18" x14ac:dyDescent="0.25">
      <c r="B49" s="475">
        <v>45278</v>
      </c>
      <c r="C49" s="489">
        <v>1</v>
      </c>
      <c r="D49" s="476">
        <v>3</v>
      </c>
      <c r="E49" s="477">
        <v>7765</v>
      </c>
      <c r="F49" s="478">
        <v>30710816049</v>
      </c>
      <c r="G49" s="479" t="str">
        <f>IFERROR(IF(compras_mes12[[#This Row],[CUIT]]="","-",VLOOKUP(compras_mes12[[#This Row],[CUIT]],Lista_CUIT[#All],2,0)),"CUIT NO CARGADO")</f>
        <v>MELICASLAT SRL</v>
      </c>
      <c r="H49" s="480">
        <v>78922.19</v>
      </c>
      <c r="I49" s="481">
        <f>IF(compras_mes12[[#This Row],[NETO GRAVADO]]="","",compras_mes12[[#This Row],[NETO GRAVADO]]*0.21)</f>
        <v>16573.659899999999</v>
      </c>
      <c r="J49" s="481"/>
      <c r="K49" s="481"/>
      <c r="L49" s="481"/>
      <c r="M49" s="481"/>
      <c r="N49" s="481"/>
      <c r="O49" s="481"/>
      <c r="P49" s="48">
        <f>SUM(compras_mes12[[#This Row],[NETO GRAVADO]:[Otros / No Grav.]])</f>
        <v>95495.849900000001</v>
      </c>
      <c r="Q49" s="49" t="str">
        <f>IFERROR(IF(compras_mes12[[#This Row],[CUIT]]="","-",VLOOKUP(compras_mes12[[#This Row],[CUIT]],Lista_CUIT[#All],3,0)),"CUIT NO CARGADO")</f>
        <v>Productos Ortopedicos</v>
      </c>
      <c r="R49" s="49">
        <f>IFERROR(IF(compras_mes12[[#This Row],[CUIT]]="","-",VLOOKUP(compras_mes12[[#This Row],[CUIT]],Lista_CUIT[#All],4,0)),"CUIT NO CARGADO")</f>
        <v>0</v>
      </c>
    </row>
    <row r="50" spans="2:18" x14ac:dyDescent="0.25">
      <c r="B50" s="475">
        <v>45278</v>
      </c>
      <c r="C50" s="489">
        <v>1</v>
      </c>
      <c r="D50" s="476">
        <v>4264</v>
      </c>
      <c r="E50" s="477">
        <v>3173885</v>
      </c>
      <c r="F50" s="478">
        <v>30639453738</v>
      </c>
      <c r="G50" s="479" t="str">
        <f>IFERROR(IF(compras_mes12[[#This Row],[CUIT]]="","-",VLOOKUP(compras_mes12[[#This Row],[CUIT]],Lista_CUIT[#All],2,0)),"CUIT NO CARGADO")</f>
        <v>TELECOM ARGENTINA SA</v>
      </c>
      <c r="H50" s="480">
        <v>28132.23</v>
      </c>
      <c r="I50" s="481">
        <f>IF(compras_mes12[[#This Row],[NETO GRAVADO]]="","",compras_mes12[[#This Row],[NETO GRAVADO]]*0.21)</f>
        <v>5907.7682999999997</v>
      </c>
      <c r="J50" s="481"/>
      <c r="K50" s="481"/>
      <c r="L50" s="481">
        <v>843.97</v>
      </c>
      <c r="M50" s="481">
        <v>1125.28</v>
      </c>
      <c r="N50" s="481"/>
      <c r="O50" s="481"/>
      <c r="P50" s="482">
        <f>SUM(compras_mes12[[#This Row],[NETO GRAVADO]:[Otros / No Grav.]])</f>
        <v>36009.248299999999</v>
      </c>
      <c r="Q50" s="483" t="str">
        <f>IFERROR(IF(compras_mes12[[#This Row],[CUIT]]="","-",VLOOKUP(compras_mes12[[#This Row],[CUIT]],Lista_CUIT[#All],3,0)),"CUIT NO CARGADO")</f>
        <v>TELEFONIA</v>
      </c>
      <c r="R50" s="483">
        <f>IFERROR(IF(compras_mes12[[#This Row],[CUIT]]="","-",VLOOKUP(compras_mes12[[#This Row],[CUIT]],Lista_CUIT[#All],4,0)),"CUIT NO CARGADO")</f>
        <v>0</v>
      </c>
    </row>
    <row r="51" spans="2:18" x14ac:dyDescent="0.25">
      <c r="B51" s="475">
        <v>45278</v>
      </c>
      <c r="C51" s="489">
        <v>1</v>
      </c>
      <c r="D51" s="476">
        <v>3</v>
      </c>
      <c r="E51" s="477">
        <v>121</v>
      </c>
      <c r="F51" s="478">
        <v>20334976433</v>
      </c>
      <c r="G51" s="479" t="str">
        <f>IFERROR(IF(compras_mes12[[#This Row],[CUIT]]="","-",VLOOKUP(compras_mes12[[#This Row],[CUIT]],Lista_CUIT[#All],2,0)),"CUIT NO CARGADO")</f>
        <v>NARDOMARINO EZEQUIEL EDUARDO</v>
      </c>
      <c r="H51" s="480">
        <v>386328.1</v>
      </c>
      <c r="I51" s="481">
        <f>IF(compras_mes12[[#This Row],[NETO GRAVADO]]="","",compras_mes12[[#This Row],[NETO GRAVADO]]*0.21)</f>
        <v>81128.900999999998</v>
      </c>
      <c r="J51" s="481"/>
      <c r="K51" s="481"/>
      <c r="L51" s="481"/>
      <c r="M51" s="481"/>
      <c r="N51" s="481"/>
      <c r="O51" s="481"/>
      <c r="P51" s="48">
        <f>SUM(compras_mes12[[#This Row],[NETO GRAVADO]:[Otros / No Grav.]])</f>
        <v>467457.00099999999</v>
      </c>
      <c r="Q51" s="49" t="str">
        <f>IFERROR(IF(compras_mes12[[#This Row],[CUIT]]="","-",VLOOKUP(compras_mes12[[#This Row],[CUIT]],Lista_CUIT[#All],3,0)),"CUIT NO CARGADO")</f>
        <v>FLETE</v>
      </c>
      <c r="R51" s="49">
        <f>IFERROR(IF(compras_mes12[[#This Row],[CUIT]]="","-",VLOOKUP(compras_mes12[[#This Row],[CUIT]],Lista_CUIT[#All],4,0)),"CUIT NO CARGADO")</f>
        <v>0</v>
      </c>
    </row>
    <row r="52" spans="2:18" x14ac:dyDescent="0.25">
      <c r="B52" s="498">
        <v>45278</v>
      </c>
      <c r="C52" s="209">
        <v>1</v>
      </c>
      <c r="D52" s="491">
        <v>5009</v>
      </c>
      <c r="E52" s="492">
        <v>824027</v>
      </c>
      <c r="F52" s="493">
        <v>30574876474</v>
      </c>
      <c r="G52" s="494" t="str">
        <f>IFERROR(IF(compras_mes12[[#This Row],[CUIT]]="","-",VLOOKUP(compras_mes12[[#This Row],[CUIT]],Lista_CUIT[#All],2,0)),"CUIT NO CARGADO")</f>
        <v>AUTOP. URBANAS SA</v>
      </c>
      <c r="H52" s="495">
        <v>466.44</v>
      </c>
      <c r="I52" s="496">
        <f>IF(compras_mes12[[#This Row],[NETO GRAVADO]]="","",compras_mes12[[#This Row],[NETO GRAVADO]]*0.21)</f>
        <v>97.952399999999997</v>
      </c>
      <c r="J52" s="496"/>
      <c r="K52" s="496"/>
      <c r="L52" s="496"/>
      <c r="M52" s="496"/>
      <c r="N52" s="496"/>
      <c r="O52" s="496">
        <v>46.64</v>
      </c>
      <c r="P52" s="48">
        <f>SUM(compras_mes12[[#This Row],[NETO GRAVADO]:[Otros / No Grav.]])</f>
        <v>611.03239999999994</v>
      </c>
      <c r="Q52" s="483" t="str">
        <f>IFERROR(IF(compras_mes12[[#This Row],[CUIT]]="","-",VLOOKUP(compras_mes12[[#This Row],[CUIT]],Lista_CUIT[#All],3,0)),"CUIT NO CARGADO")</f>
        <v>PEAJE</v>
      </c>
      <c r="R52" s="483">
        <f>IFERROR(IF(compras_mes12[[#This Row],[CUIT]]="","-",VLOOKUP(compras_mes12[[#This Row],[CUIT]],Lista_CUIT[#All],4,0)),"CUIT NO CARGADO")</f>
        <v>0</v>
      </c>
    </row>
    <row r="53" spans="2:18" x14ac:dyDescent="0.25">
      <c r="B53" s="498">
        <v>45278</v>
      </c>
      <c r="C53" s="209">
        <v>1</v>
      </c>
      <c r="D53" s="491">
        <v>5011</v>
      </c>
      <c r="E53" s="492">
        <v>561846</v>
      </c>
      <c r="F53" s="493">
        <v>30574876474</v>
      </c>
      <c r="G53" s="494" t="str">
        <f>IFERROR(IF(compras_mes12[[#This Row],[CUIT]]="","-",VLOOKUP(compras_mes12[[#This Row],[CUIT]],Lista_CUIT[#All],2,0)),"CUIT NO CARGADO")</f>
        <v>AUTOP. URBANAS SA</v>
      </c>
      <c r="H53" s="495">
        <v>2061.41</v>
      </c>
      <c r="I53" s="496">
        <f>IF(compras_mes12[[#This Row],[NETO GRAVADO]]="","",compras_mes12[[#This Row],[NETO GRAVADO]]*0.21)</f>
        <v>432.89609999999993</v>
      </c>
      <c r="J53" s="496"/>
      <c r="K53" s="496"/>
      <c r="L53" s="496"/>
      <c r="M53" s="496">
        <v>61.84</v>
      </c>
      <c r="N53" s="496"/>
      <c r="O53" s="496">
        <v>206.13</v>
      </c>
      <c r="P53" s="48">
        <f>SUM(compras_mes12[[#This Row],[NETO GRAVADO]:[Otros / No Grav.]])</f>
        <v>2762.2761</v>
      </c>
      <c r="Q53" s="483" t="str">
        <f>IFERROR(IF(compras_mes12[[#This Row],[CUIT]]="","-",VLOOKUP(compras_mes12[[#This Row],[CUIT]],Lista_CUIT[#All],3,0)),"CUIT NO CARGADO")</f>
        <v>PEAJE</v>
      </c>
      <c r="R53" s="483">
        <f>IFERROR(IF(compras_mes12[[#This Row],[CUIT]]="","-",VLOOKUP(compras_mes12[[#This Row],[CUIT]],Lista_CUIT[#All],4,0)),"CUIT NO CARGADO")</f>
        <v>0</v>
      </c>
    </row>
    <row r="54" spans="2:18" x14ac:dyDescent="0.25">
      <c r="B54" s="498">
        <v>45278</v>
      </c>
      <c r="C54" s="209">
        <v>1</v>
      </c>
      <c r="D54" s="491">
        <v>711</v>
      </c>
      <c r="E54" s="492">
        <v>5121820</v>
      </c>
      <c r="F54" s="493">
        <v>30677237119</v>
      </c>
      <c r="G54" s="494" t="str">
        <f>IFERROR(IF(compras_mes12[[#This Row],[CUIT]]="","-",VLOOKUP(compras_mes12[[#This Row],[CUIT]],Lista_CUIT[#All],2,0)),"CUIT NO CARGADO")</f>
        <v>AUTOPISTAS DEL SOL SA</v>
      </c>
      <c r="H54" s="495">
        <v>867.76</v>
      </c>
      <c r="I54" s="496">
        <f>IF(compras_mes12[[#This Row],[NETO GRAVADO]]="","",compras_mes12[[#This Row],[NETO GRAVADO]]*0.21)</f>
        <v>182.2296</v>
      </c>
      <c r="J54" s="496"/>
      <c r="K54" s="496"/>
      <c r="L54" s="496"/>
      <c r="M54" s="496"/>
      <c r="N54" s="496">
        <v>34.71</v>
      </c>
      <c r="O54" s="496"/>
      <c r="P54" s="482">
        <f>SUM(compras_mes12[[#This Row],[NETO GRAVADO]:[Otros / No Grav.]])</f>
        <v>1084.6995999999999</v>
      </c>
      <c r="Q54" s="483" t="str">
        <f>IFERROR(IF(compras_mes12[[#This Row],[CUIT]]="","-",VLOOKUP(compras_mes12[[#This Row],[CUIT]],Lista_CUIT[#All],3,0)),"CUIT NO CARGADO")</f>
        <v>Autopista</v>
      </c>
      <c r="R54" s="483">
        <f>IFERROR(IF(compras_mes12[[#This Row],[CUIT]]="","-",VLOOKUP(compras_mes12[[#This Row],[CUIT]],Lista_CUIT[#All],4,0)),"CUIT NO CARGADO")</f>
        <v>0</v>
      </c>
    </row>
    <row r="55" spans="2:18" x14ac:dyDescent="0.25">
      <c r="B55" s="475">
        <v>45279</v>
      </c>
      <c r="C55" s="489">
        <v>1</v>
      </c>
      <c r="D55" s="476">
        <v>4</v>
      </c>
      <c r="E55" s="477">
        <v>88</v>
      </c>
      <c r="F55" s="478">
        <v>20317488476</v>
      </c>
      <c r="G55" s="479" t="str">
        <f>IFERROR(IF(compras_mes12[[#This Row],[CUIT]]="","-",VLOOKUP(compras_mes12[[#This Row],[CUIT]],Lista_CUIT[#All],2,0)),"CUIT NO CARGADO")</f>
        <v>MIGUEL ANGEL VILLALBA</v>
      </c>
      <c r="H55" s="480">
        <v>60000</v>
      </c>
      <c r="I55" s="481">
        <f>IF(compras_mes12[[#This Row],[NETO GRAVADO]]="","",compras_mes12[[#This Row],[NETO GRAVADO]]*0.21)</f>
        <v>12600</v>
      </c>
      <c r="J55" s="481"/>
      <c r="K55" s="481"/>
      <c r="L55" s="481"/>
      <c r="M55" s="481"/>
      <c r="N55" s="481"/>
      <c r="O55" s="481"/>
      <c r="P55" s="482">
        <f>SUM(compras_mes12[[#This Row],[NETO GRAVADO]:[Otros / No Grav.]])</f>
        <v>72600</v>
      </c>
      <c r="Q55" s="483" t="str">
        <f>IFERROR(IF(compras_mes12[[#This Row],[CUIT]]="","-",VLOOKUP(compras_mes12[[#This Row],[CUIT]],Lista_CUIT[#All],3,0)),"CUIT NO CARGADO")</f>
        <v>Recupero P. Ortopedicos</v>
      </c>
      <c r="R55" s="483">
        <f>IFERROR(IF(compras_mes12[[#This Row],[CUIT]]="","-",VLOOKUP(compras_mes12[[#This Row],[CUIT]],Lista_CUIT[#All],4,0)),"CUIT NO CARGADO")</f>
        <v>0</v>
      </c>
    </row>
    <row r="56" spans="2:18" x14ac:dyDescent="0.25">
      <c r="B56" s="498">
        <v>45279</v>
      </c>
      <c r="C56" s="209">
        <v>1</v>
      </c>
      <c r="D56" s="491">
        <v>3</v>
      </c>
      <c r="E56" s="492">
        <v>7766</v>
      </c>
      <c r="F56" s="493">
        <v>30710816049</v>
      </c>
      <c r="G56" s="494" t="str">
        <f>IFERROR(IF(compras_mes12[[#This Row],[CUIT]]="","-",VLOOKUP(compras_mes12[[#This Row],[CUIT]],Lista_CUIT[#All],2,0)),"CUIT NO CARGADO")</f>
        <v>MELICASLAT SRL</v>
      </c>
      <c r="H56" s="495">
        <v>78922.19</v>
      </c>
      <c r="I56" s="496">
        <f>IF(compras_mes12[[#This Row],[NETO GRAVADO]]="","",compras_mes12[[#This Row],[NETO GRAVADO]]*0.21)</f>
        <v>16573.659899999999</v>
      </c>
      <c r="J56" s="496"/>
      <c r="K56" s="496"/>
      <c r="L56" s="496"/>
      <c r="M56" s="496"/>
      <c r="N56" s="496"/>
      <c r="O56" s="496"/>
      <c r="P56" s="482">
        <f>SUM(compras_mes12[[#This Row],[NETO GRAVADO]:[Otros / No Grav.]])</f>
        <v>95495.849900000001</v>
      </c>
      <c r="Q56" s="483" t="str">
        <f>IFERROR(IF(compras_mes12[[#This Row],[CUIT]]="","-",VLOOKUP(compras_mes12[[#This Row],[CUIT]],Lista_CUIT[#All],3,0)),"CUIT NO CARGADO")</f>
        <v>Productos Ortopedicos</v>
      </c>
      <c r="R56" s="483">
        <f>IFERROR(IF(compras_mes12[[#This Row],[CUIT]]="","-",VLOOKUP(compras_mes12[[#This Row],[CUIT]],Lista_CUIT[#All],4,0)),"CUIT NO CARGADO")</f>
        <v>0</v>
      </c>
    </row>
    <row r="57" spans="2:18" x14ac:dyDescent="0.25">
      <c r="B57" s="498">
        <v>45279</v>
      </c>
      <c r="C57" s="499">
        <v>3</v>
      </c>
      <c r="D57" s="491">
        <v>3</v>
      </c>
      <c r="E57" s="492">
        <v>490</v>
      </c>
      <c r="F57" s="493">
        <v>30710816049</v>
      </c>
      <c r="G57" s="494" t="str">
        <f>IFERROR(IF(compras_mes12[[#This Row],[CUIT]]="","-",VLOOKUP(compras_mes12[[#This Row],[CUIT]],Lista_CUIT[#All],2,0)),"CUIT NO CARGADO")</f>
        <v>MELICASLAT SRL</v>
      </c>
      <c r="H57" s="495">
        <v>-78922.19</v>
      </c>
      <c r="I57" s="496">
        <f>IF(compras_mes12[[#This Row],[NETO GRAVADO]]="","",compras_mes12[[#This Row],[NETO GRAVADO]]*0.21)</f>
        <v>-16573.659899999999</v>
      </c>
      <c r="J57" s="496"/>
      <c r="K57" s="496"/>
      <c r="L57" s="496"/>
      <c r="M57" s="496"/>
      <c r="N57" s="496"/>
      <c r="O57" s="496"/>
      <c r="P57" s="482">
        <f>SUM(compras_mes12[[#This Row],[NETO GRAVADO]:[Otros / No Grav.]])</f>
        <v>-95495.849900000001</v>
      </c>
      <c r="Q57" s="483" t="str">
        <f>IFERROR(IF(compras_mes12[[#This Row],[CUIT]]="","-",VLOOKUP(compras_mes12[[#This Row],[CUIT]],Lista_CUIT[#All],3,0)),"CUIT NO CARGADO")</f>
        <v>Productos Ortopedicos</v>
      </c>
      <c r="R57" s="483">
        <f>IFERROR(IF(compras_mes12[[#This Row],[CUIT]]="","-",VLOOKUP(compras_mes12[[#This Row],[CUIT]],Lista_CUIT[#All],4,0)),"CUIT NO CARGADO")</f>
        <v>0</v>
      </c>
    </row>
    <row r="58" spans="2:18" x14ac:dyDescent="0.25">
      <c r="B58" s="475">
        <v>45280</v>
      </c>
      <c r="C58" s="489">
        <v>1</v>
      </c>
      <c r="D58" s="476">
        <v>6</v>
      </c>
      <c r="E58" s="477">
        <v>866</v>
      </c>
      <c r="F58" s="478">
        <v>20247225243</v>
      </c>
      <c r="G58" s="479" t="str">
        <f>IFERROR(IF(compras_mes12[[#This Row],[CUIT]]="","-",VLOOKUP(compras_mes12[[#This Row],[CUIT]],Lista_CUIT[#All],2,0)),"CUIT NO CARGADO")</f>
        <v>VENTO HUGO GABRIEL</v>
      </c>
      <c r="H58" s="480">
        <v>30390</v>
      </c>
      <c r="I58" s="481">
        <f>IF(compras_mes12[[#This Row],[NETO GRAVADO]]="","",compras_mes12[[#This Row],[NETO GRAVADO]]*0.21)</f>
        <v>6381.9</v>
      </c>
      <c r="J58" s="481"/>
      <c r="K58" s="481"/>
      <c r="L58" s="481"/>
      <c r="M58" s="481"/>
      <c r="N58" s="481"/>
      <c r="O58" s="481"/>
      <c r="P58" s="48">
        <f>SUM(compras_mes12[[#This Row],[NETO GRAVADO]:[Otros / No Grav.]])</f>
        <v>36771.9</v>
      </c>
      <c r="Q58" s="49" t="str">
        <f>IFERROR(IF(compras_mes12[[#This Row],[CUIT]]="","-",VLOOKUP(compras_mes12[[#This Row],[CUIT]],Lista_CUIT[#All],3,0)),"CUIT NO CARGADO")</f>
        <v>Productos Ortopedicos</v>
      </c>
      <c r="R58" s="49">
        <f>IFERROR(IF(compras_mes12[[#This Row],[CUIT]]="","-",VLOOKUP(compras_mes12[[#This Row],[CUIT]],Lista_CUIT[#All],4,0)),"CUIT NO CARGADO")</f>
        <v>0</v>
      </c>
    </row>
    <row r="59" spans="2:18" x14ac:dyDescent="0.25">
      <c r="B59" s="475">
        <v>45280</v>
      </c>
      <c r="C59" s="489">
        <v>1</v>
      </c>
      <c r="D59" s="476">
        <v>9058</v>
      </c>
      <c r="E59" s="477">
        <v>22096</v>
      </c>
      <c r="F59" s="478">
        <v>30678774495</v>
      </c>
      <c r="G59" s="479" t="str">
        <f>IFERROR(IF(compras_mes12[[#This Row],[CUIT]]="","-",VLOOKUP(compras_mes12[[#This Row],[CUIT]],Lista_CUIT[#All],2,0)),"CUIT NO CARGADO")</f>
        <v>OPER. DE EST. DE SERV. SA</v>
      </c>
      <c r="H59" s="480">
        <v>23010.27</v>
      </c>
      <c r="I59" s="481">
        <f>IF(compras_mes12[[#This Row],[NETO GRAVADO]]="","",compras_mes12[[#This Row],[NETO GRAVADO]]*0.21)</f>
        <v>4832.1566999999995</v>
      </c>
      <c r="J59" s="481"/>
      <c r="K59" s="481"/>
      <c r="L59" s="481"/>
      <c r="M59" s="481"/>
      <c r="N59" s="481"/>
      <c r="O59" s="481">
        <v>625.58000000000004</v>
      </c>
      <c r="P59" s="482">
        <f>SUM(compras_mes12[[#This Row],[NETO GRAVADO]:[Otros / No Grav.]])</f>
        <v>28468.006700000002</v>
      </c>
      <c r="Q59" s="483" t="str">
        <f>IFERROR(IF(compras_mes12[[#This Row],[CUIT]]="","-",VLOOKUP(compras_mes12[[#This Row],[CUIT]],Lista_CUIT[#All],3,0)),"CUIT NO CARGADO")</f>
        <v>COMBUSTIBLE</v>
      </c>
      <c r="R59" s="483">
        <f>IFERROR(IF(compras_mes12[[#This Row],[CUIT]]="","-",VLOOKUP(compras_mes12[[#This Row],[CUIT]],Lista_CUIT[#All],4,0)),"CUIT NO CARGADO")</f>
        <v>0</v>
      </c>
    </row>
    <row r="60" spans="2:18" x14ac:dyDescent="0.25">
      <c r="B60" s="475">
        <v>45280</v>
      </c>
      <c r="C60" s="489">
        <v>1</v>
      </c>
      <c r="D60" s="476">
        <v>1</v>
      </c>
      <c r="E60" s="477">
        <v>721</v>
      </c>
      <c r="F60" s="478">
        <v>30715048066</v>
      </c>
      <c r="G60" s="479" t="str">
        <f>IFERROR(IF(compras_mes12[[#This Row],[CUIT]]="","-",VLOOKUP(compras_mes12[[#This Row],[CUIT]],Lista_CUIT[#All],2,0)),"CUIT NO CARGADO")</f>
        <v>ROLLS Y EMPANADAS SA</v>
      </c>
      <c r="H60" s="480">
        <v>407340</v>
      </c>
      <c r="I60" s="481">
        <f>IF(compras_mes12[[#This Row],[NETO GRAVADO]]="","",compras_mes12[[#This Row],[NETO GRAVADO]]*0.21)</f>
        <v>85541.4</v>
      </c>
      <c r="J60" s="481"/>
      <c r="K60" s="481"/>
      <c r="L60" s="481"/>
      <c r="M60" s="481"/>
      <c r="N60" s="481"/>
      <c r="O60" s="481"/>
      <c r="P60" s="482">
        <f>SUM(compras_mes12[[#This Row],[NETO GRAVADO]:[Otros / No Grav.]])</f>
        <v>492881.4</v>
      </c>
      <c r="Q60" s="483" t="str">
        <f>IFERROR(IF(compras_mes12[[#This Row],[CUIT]]="","-",VLOOKUP(compras_mes12[[#This Row],[CUIT]],Lista_CUIT[#All],3,0)),"CUIT NO CARGADO")</f>
        <v>Catering</v>
      </c>
      <c r="R60" s="483">
        <f>IFERROR(IF(compras_mes12[[#This Row],[CUIT]]="","-",VLOOKUP(compras_mes12[[#This Row],[CUIT]],Lista_CUIT[#All],4,0)),"CUIT NO CARGADO")</f>
        <v>0</v>
      </c>
    </row>
    <row r="61" spans="2:18" x14ac:dyDescent="0.25">
      <c r="B61" s="498">
        <v>45280</v>
      </c>
      <c r="C61" s="209">
        <v>1</v>
      </c>
      <c r="D61" s="491">
        <v>105</v>
      </c>
      <c r="E61" s="492">
        <v>1398110</v>
      </c>
      <c r="F61" s="493">
        <v>30537882871</v>
      </c>
      <c r="G61" s="494" t="str">
        <f>IFERROR(IF(compras_mes12[[#This Row],[CUIT]]="","-",VLOOKUP(compras_mes12[[#This Row],[CUIT]],Lista_CUIT[#All],2,0)),"CUIT NO CARGADO")</f>
        <v>EL JUMILIANO SA</v>
      </c>
      <c r="H61" s="495">
        <v>4628.1000000000004</v>
      </c>
      <c r="I61" s="496">
        <f>IF(compras_mes12[[#This Row],[NETO GRAVADO]]="","",compras_mes12[[#This Row],[NETO GRAVADO]]*0.21)</f>
        <v>971.90100000000007</v>
      </c>
      <c r="J61" s="496"/>
      <c r="K61" s="496"/>
      <c r="L61" s="496"/>
      <c r="M61" s="496"/>
      <c r="N61" s="496">
        <v>185.12</v>
      </c>
      <c r="O61" s="496"/>
      <c r="P61" s="482">
        <f>SUM(compras_mes12[[#This Row],[NETO GRAVADO]:[Otros / No Grav.]])</f>
        <v>5785.1210000000001</v>
      </c>
      <c r="Q61" s="483" t="str">
        <f>IFERROR(IF(compras_mes12[[#This Row],[CUIT]]="","-",VLOOKUP(compras_mes12[[#This Row],[CUIT]],Lista_CUIT[#All],3,0)),"CUIT NO CARGADO")</f>
        <v>SERVICIOS</v>
      </c>
      <c r="R61" s="483">
        <f>IFERROR(IF(compras_mes12[[#This Row],[CUIT]]="","-",VLOOKUP(compras_mes12[[#This Row],[CUIT]],Lista_CUIT[#All],4,0)),"CUIT NO CARGADO")</f>
        <v>0</v>
      </c>
    </row>
    <row r="62" spans="2:18" x14ac:dyDescent="0.25">
      <c r="B62" s="475">
        <v>45281</v>
      </c>
      <c r="C62" s="489">
        <v>1</v>
      </c>
      <c r="D62" s="476">
        <v>2</v>
      </c>
      <c r="E62" s="477">
        <v>272</v>
      </c>
      <c r="F62" s="478">
        <v>20272865869</v>
      </c>
      <c r="G62" s="479" t="str">
        <f>IFERROR(IF(compras_mes12[[#This Row],[CUIT]]="","-",VLOOKUP(compras_mes12[[#This Row],[CUIT]],Lista_CUIT[#All],2,0)),"CUIT NO CARGADO")</f>
        <v>DI FEO MARTIN EZEQUIEL</v>
      </c>
      <c r="H62" s="480">
        <v>116990</v>
      </c>
      <c r="I62" s="481">
        <f>IF(compras_mes12[[#This Row],[NETO GRAVADO]]="","",compras_mes12[[#This Row],[NETO GRAVADO]]*0.21)</f>
        <v>24567.899999999998</v>
      </c>
      <c r="J62" s="481"/>
      <c r="K62" s="481"/>
      <c r="L62" s="481"/>
      <c r="M62" s="481"/>
      <c r="N62" s="481"/>
      <c r="O62" s="481"/>
      <c r="P62" s="48">
        <f>SUM(compras_mes12[[#This Row],[NETO GRAVADO]:[Otros / No Grav.]])</f>
        <v>141557.9</v>
      </c>
      <c r="Q62" s="49" t="str">
        <f>IFERROR(IF(compras_mes12[[#This Row],[CUIT]]="","-",VLOOKUP(compras_mes12[[#This Row],[CUIT]],Lista_CUIT[#All],3,0)),"CUIT NO CARGADO")</f>
        <v>Productos Ortopedicos</v>
      </c>
      <c r="R62" s="49">
        <f>IFERROR(IF(compras_mes12[[#This Row],[CUIT]]="","-",VLOOKUP(compras_mes12[[#This Row],[CUIT]],Lista_CUIT[#All],4,0)),"CUIT NO CARGADO")</f>
        <v>0</v>
      </c>
    </row>
    <row r="63" spans="2:18" x14ac:dyDescent="0.25">
      <c r="B63" s="475">
        <v>45281</v>
      </c>
      <c r="C63" s="489">
        <v>1</v>
      </c>
      <c r="D63" s="476">
        <v>3</v>
      </c>
      <c r="E63" s="477">
        <v>6446</v>
      </c>
      <c r="F63" s="478">
        <v>33708218699</v>
      </c>
      <c r="G63" s="479" t="str">
        <f>IFERROR(IF(compras_mes12[[#This Row],[CUIT]]="","-",VLOOKUP(compras_mes12[[#This Row],[CUIT]],Lista_CUIT[#All],2,0)),"CUIT NO CARGADO")</f>
        <v>MANGGINI PABLO Y MANGGINI ULISES SOC. DE HECHO.</v>
      </c>
      <c r="H63" s="480">
        <v>6500</v>
      </c>
      <c r="I63" s="481">
        <f>IF(compras_mes12[[#This Row],[NETO GRAVADO]]="","",compras_mes12[[#This Row],[NETO GRAVADO]]*0.21)</f>
        <v>1365</v>
      </c>
      <c r="J63" s="481"/>
      <c r="K63" s="481"/>
      <c r="L63" s="481"/>
      <c r="M63" s="481"/>
      <c r="N63" s="481"/>
      <c r="O63" s="481"/>
      <c r="P63" s="482">
        <f>SUM(compras_mes12[[#This Row],[NETO GRAVADO]:[Otros / No Grav.]])</f>
        <v>7865</v>
      </c>
      <c r="Q63" s="483" t="str">
        <f>IFERROR(IF(compras_mes12[[#This Row],[CUIT]]="","-",VLOOKUP(compras_mes12[[#This Row],[CUIT]],Lista_CUIT[#All],3,0)),"CUIT NO CARGADO")</f>
        <v>Gastos Varios</v>
      </c>
      <c r="R63" s="483">
        <f>IFERROR(IF(compras_mes12[[#This Row],[CUIT]]="","-",VLOOKUP(compras_mes12[[#This Row],[CUIT]],Lista_CUIT[#All],4,0)),"CUIT NO CARGADO")</f>
        <v>0</v>
      </c>
    </row>
    <row r="64" spans="2:18" x14ac:dyDescent="0.25">
      <c r="B64" s="498">
        <v>45281</v>
      </c>
      <c r="C64" s="209">
        <v>1</v>
      </c>
      <c r="D64" s="491">
        <v>700</v>
      </c>
      <c r="E64" s="492">
        <v>1355602</v>
      </c>
      <c r="F64" s="493">
        <v>30715804812</v>
      </c>
      <c r="G64" s="494" t="str">
        <f>IFERROR(IF(compras_mes12[[#This Row],[CUIT]]="","-",VLOOKUP(compras_mes12[[#This Row],[CUIT]],Lista_CUIT[#All],2,0)),"CUIT NO CARGADO")</f>
        <v>CORREDORES VIALES SOCIEDAD ANONIMA</v>
      </c>
      <c r="H64" s="495">
        <v>2727.27</v>
      </c>
      <c r="I64" s="496">
        <f>IF(compras_mes12[[#This Row],[NETO GRAVADO]]="","",compras_mes12[[#This Row],[NETO GRAVADO]]*0.21)</f>
        <v>572.72669999999994</v>
      </c>
      <c r="J64" s="496"/>
      <c r="K64" s="496"/>
      <c r="L64" s="496"/>
      <c r="M64" s="496"/>
      <c r="N64" s="496"/>
      <c r="O64" s="496"/>
      <c r="P64" s="482">
        <f>SUM(compras_mes12[[#This Row],[NETO GRAVADO]:[Otros / No Grav.]])</f>
        <v>3299.9966999999997</v>
      </c>
      <c r="Q64" s="483" t="str">
        <f>IFERROR(IF(compras_mes12[[#This Row],[CUIT]]="","-",VLOOKUP(compras_mes12[[#This Row],[CUIT]],Lista_CUIT[#All],3,0)),"CUIT NO CARGADO")</f>
        <v>Autopista</v>
      </c>
      <c r="R64" s="483">
        <f>IFERROR(IF(compras_mes12[[#This Row],[CUIT]]="","-",VLOOKUP(compras_mes12[[#This Row],[CUIT]],Lista_CUIT[#All],4,0)),"CUIT NO CARGADO")</f>
        <v>0</v>
      </c>
    </row>
    <row r="65" spans="2:18" x14ac:dyDescent="0.25">
      <c r="B65" s="498">
        <v>45281</v>
      </c>
      <c r="C65" s="209">
        <v>1</v>
      </c>
      <c r="D65" s="491">
        <v>700</v>
      </c>
      <c r="E65" s="492">
        <v>1355603</v>
      </c>
      <c r="F65" s="493">
        <v>30715804812</v>
      </c>
      <c r="G65" s="494" t="str">
        <f>IFERROR(IF(compras_mes12[[#This Row],[CUIT]]="","-",VLOOKUP(compras_mes12[[#This Row],[CUIT]],Lista_CUIT[#All],2,0)),"CUIT NO CARGADO")</f>
        <v>CORREDORES VIALES SOCIEDAD ANONIMA</v>
      </c>
      <c r="H65" s="495">
        <v>1157.03</v>
      </c>
      <c r="I65" s="496">
        <f>IF(compras_mes12[[#This Row],[NETO GRAVADO]]="","",compras_mes12[[#This Row],[NETO GRAVADO]]*0.21)</f>
        <v>242.97629999999998</v>
      </c>
      <c r="J65" s="496"/>
      <c r="K65" s="496"/>
      <c r="L65" s="496"/>
      <c r="M65" s="496"/>
      <c r="N65" s="496"/>
      <c r="O65" s="496"/>
      <c r="P65" s="482">
        <f>SUM(compras_mes12[[#This Row],[NETO GRAVADO]:[Otros / No Grav.]])</f>
        <v>1400.0063</v>
      </c>
      <c r="Q65" s="483" t="str">
        <f>IFERROR(IF(compras_mes12[[#This Row],[CUIT]]="","-",VLOOKUP(compras_mes12[[#This Row],[CUIT]],Lista_CUIT[#All],3,0)),"CUIT NO CARGADO")</f>
        <v>Autopista</v>
      </c>
      <c r="R65" s="483">
        <f>IFERROR(IF(compras_mes12[[#This Row],[CUIT]]="","-",VLOOKUP(compras_mes12[[#This Row],[CUIT]],Lista_CUIT[#All],4,0)),"CUIT NO CARGADO")</f>
        <v>0</v>
      </c>
    </row>
    <row r="66" spans="2:18" x14ac:dyDescent="0.25">
      <c r="B66" s="475">
        <v>45282</v>
      </c>
      <c r="C66" s="489">
        <v>1</v>
      </c>
      <c r="D66" s="476">
        <v>2</v>
      </c>
      <c r="E66" s="477">
        <v>276</v>
      </c>
      <c r="F66" s="478">
        <v>20272865869</v>
      </c>
      <c r="G66" s="479" t="str">
        <f>IFERROR(IF(compras_mes12[[#This Row],[CUIT]]="","-",VLOOKUP(compras_mes12[[#This Row],[CUIT]],Lista_CUIT[#All],2,0)),"CUIT NO CARGADO")</f>
        <v>DI FEO MARTIN EZEQUIEL</v>
      </c>
      <c r="H66" s="480">
        <v>19000</v>
      </c>
      <c r="I66" s="481">
        <f>IF(compras_mes12[[#This Row],[NETO GRAVADO]]="","",compras_mes12[[#This Row],[NETO GRAVADO]]*0.21)</f>
        <v>3990</v>
      </c>
      <c r="J66" s="481"/>
      <c r="K66" s="481"/>
      <c r="L66" s="481"/>
      <c r="M66" s="481"/>
      <c r="N66" s="481"/>
      <c r="O66" s="481"/>
      <c r="P66" s="48">
        <f>SUM(compras_mes12[[#This Row],[NETO GRAVADO]:[Otros / No Grav.]])</f>
        <v>22990</v>
      </c>
      <c r="Q66" s="49" t="str">
        <f>IFERROR(IF(compras_mes12[[#This Row],[CUIT]]="","-",VLOOKUP(compras_mes12[[#This Row],[CUIT]],Lista_CUIT[#All],3,0)),"CUIT NO CARGADO")</f>
        <v>Productos Ortopedicos</v>
      </c>
      <c r="R66" s="49">
        <f>IFERROR(IF(compras_mes12[[#This Row],[CUIT]]="","-",VLOOKUP(compras_mes12[[#This Row],[CUIT]],Lista_CUIT[#All],4,0)),"CUIT NO CARGADO")</f>
        <v>0</v>
      </c>
    </row>
    <row r="67" spans="2:18" x14ac:dyDescent="0.25">
      <c r="B67" s="475">
        <v>45282</v>
      </c>
      <c r="C67" s="489">
        <v>1</v>
      </c>
      <c r="D67" s="476">
        <v>9040</v>
      </c>
      <c r="E67" s="477">
        <v>20022</v>
      </c>
      <c r="F67" s="478">
        <v>30678774495</v>
      </c>
      <c r="G67" s="479" t="str">
        <f>IFERROR(IF(compras_mes12[[#This Row],[CUIT]]="","-",VLOOKUP(compras_mes12[[#This Row],[CUIT]],Lista_CUIT[#All],2,0)),"CUIT NO CARGADO")</f>
        <v>OPER. DE EST. DE SERV. SA</v>
      </c>
      <c r="H67" s="480">
        <v>24224.22</v>
      </c>
      <c r="I67" s="481">
        <f>IF(compras_mes12[[#This Row],[NETO GRAVADO]]="","",compras_mes12[[#This Row],[NETO GRAVADO]]*0.21)</f>
        <v>5087.0861999999997</v>
      </c>
      <c r="J67" s="481"/>
      <c r="K67" s="481"/>
      <c r="L67" s="481"/>
      <c r="M67" s="481"/>
      <c r="N67" s="481"/>
      <c r="O67" s="481">
        <v>688.7</v>
      </c>
      <c r="P67" s="482">
        <f>SUM(compras_mes12[[#This Row],[NETO GRAVADO]:[Otros / No Grav.]])</f>
        <v>30000.0062</v>
      </c>
      <c r="Q67" s="483" t="str">
        <f>IFERROR(IF(compras_mes12[[#This Row],[CUIT]]="","-",VLOOKUP(compras_mes12[[#This Row],[CUIT]],Lista_CUIT[#All],3,0)),"CUIT NO CARGADO")</f>
        <v>COMBUSTIBLE</v>
      </c>
      <c r="R67" s="483">
        <f>IFERROR(IF(compras_mes12[[#This Row],[CUIT]]="","-",VLOOKUP(compras_mes12[[#This Row],[CUIT]],Lista_CUIT[#All],4,0)),"CUIT NO CARGADO")</f>
        <v>0</v>
      </c>
    </row>
    <row r="68" spans="2:18" x14ac:dyDescent="0.25">
      <c r="B68" s="475">
        <v>45282</v>
      </c>
      <c r="C68" s="489">
        <v>1</v>
      </c>
      <c r="D68" s="476">
        <v>4</v>
      </c>
      <c r="E68" s="477">
        <v>89</v>
      </c>
      <c r="F68" s="478">
        <v>20317488476</v>
      </c>
      <c r="G68" s="479" t="str">
        <f>IFERROR(IF(compras_mes12[[#This Row],[CUIT]]="","-",VLOOKUP(compras_mes12[[#This Row],[CUIT]],Lista_CUIT[#All],2,0)),"CUIT NO CARGADO")</f>
        <v>MIGUEL ANGEL VILLALBA</v>
      </c>
      <c r="H68" s="480">
        <v>100000</v>
      </c>
      <c r="I68" s="481">
        <f>IF(compras_mes12[[#This Row],[NETO GRAVADO]]="","",compras_mes12[[#This Row],[NETO GRAVADO]]*0.21)</f>
        <v>21000</v>
      </c>
      <c r="J68" s="481"/>
      <c r="K68" s="481"/>
      <c r="L68" s="481"/>
      <c r="M68" s="481"/>
      <c r="N68" s="481"/>
      <c r="O68" s="481"/>
      <c r="P68" s="482">
        <f>SUM(compras_mes12[[#This Row],[NETO GRAVADO]:[Otros / No Grav.]])</f>
        <v>121000</v>
      </c>
      <c r="Q68" s="483" t="str">
        <f>IFERROR(IF(compras_mes12[[#This Row],[CUIT]]="","-",VLOOKUP(compras_mes12[[#This Row],[CUIT]],Lista_CUIT[#All],3,0)),"CUIT NO CARGADO")</f>
        <v>Recupero P. Ortopedicos</v>
      </c>
      <c r="R68" s="483">
        <f>IFERROR(IF(compras_mes12[[#This Row],[CUIT]]="","-",VLOOKUP(compras_mes12[[#This Row],[CUIT]],Lista_CUIT[#All],4,0)),"CUIT NO CARGADO")</f>
        <v>0</v>
      </c>
    </row>
    <row r="69" spans="2:18" x14ac:dyDescent="0.25">
      <c r="B69" s="475">
        <v>45286</v>
      </c>
      <c r="C69" s="489">
        <v>1</v>
      </c>
      <c r="D69" s="476">
        <v>3</v>
      </c>
      <c r="E69" s="477">
        <v>153</v>
      </c>
      <c r="F69" s="478">
        <v>20352752992</v>
      </c>
      <c r="G69" s="479" t="str">
        <f>IFERROR(IF(compras_mes12[[#This Row],[CUIT]]="","-",VLOOKUP(compras_mes12[[#This Row],[CUIT]],Lista_CUIT[#All],2,0)),"CUIT NO CARGADO")</f>
        <v>QUIROZ ALEMAN LUCAS DANIEL</v>
      </c>
      <c r="H69" s="480">
        <v>21074.38</v>
      </c>
      <c r="I69" s="481">
        <f>IF(compras_mes12[[#This Row],[NETO GRAVADO]]="","",compras_mes12[[#This Row],[NETO GRAVADO]]*0.21)</f>
        <v>4425.6198000000004</v>
      </c>
      <c r="J69" s="481"/>
      <c r="K69" s="481"/>
      <c r="L69" s="481"/>
      <c r="M69" s="481"/>
      <c r="N69" s="481"/>
      <c r="O69" s="481"/>
      <c r="P69" s="482">
        <f>SUM(compras_mes12[[#This Row],[NETO GRAVADO]:[Otros / No Grav.]])</f>
        <v>25499.999800000001</v>
      </c>
      <c r="Q69" s="483" t="str">
        <f>IFERROR(IF(compras_mes12[[#This Row],[CUIT]]="","-",VLOOKUP(compras_mes12[[#This Row],[CUIT]],Lista_CUIT[#All],3,0)),"CUIT NO CARGADO")</f>
        <v>Gastos Varios</v>
      </c>
      <c r="R69" s="483">
        <f>IFERROR(IF(compras_mes12[[#This Row],[CUIT]]="","-",VLOOKUP(compras_mes12[[#This Row],[CUIT]],Lista_CUIT[#All],4,0)),"CUIT NO CARGADO")</f>
        <v>0</v>
      </c>
    </row>
    <row r="70" spans="2:18" x14ac:dyDescent="0.25">
      <c r="B70" s="475">
        <v>45286</v>
      </c>
      <c r="C70" s="489">
        <v>1</v>
      </c>
      <c r="D70" s="476">
        <v>3</v>
      </c>
      <c r="E70" s="477">
        <v>123</v>
      </c>
      <c r="F70" s="478">
        <v>20334976433</v>
      </c>
      <c r="G70" s="479" t="str">
        <f>IFERROR(IF(compras_mes12[[#This Row],[CUIT]]="","-",VLOOKUP(compras_mes12[[#This Row],[CUIT]],Lista_CUIT[#All],2,0)),"CUIT NO CARGADO")</f>
        <v>NARDOMARINO EZEQUIEL EDUARDO</v>
      </c>
      <c r="H70" s="480">
        <v>195501.67</v>
      </c>
      <c r="I70" s="481">
        <f>IF(compras_mes12[[#This Row],[NETO GRAVADO]]="","",compras_mes12[[#This Row],[NETO GRAVADO]]*0.21)</f>
        <v>41055.350700000003</v>
      </c>
      <c r="J70" s="481"/>
      <c r="K70" s="481"/>
      <c r="L70" s="481"/>
      <c r="M70" s="481"/>
      <c r="N70" s="481"/>
      <c r="O70" s="481"/>
      <c r="P70" s="48">
        <f>SUM(compras_mes12[[#This Row],[NETO GRAVADO]:[Otros / No Grav.]])</f>
        <v>236557.02070000002</v>
      </c>
      <c r="Q70" s="49" t="str">
        <f>IFERROR(IF(compras_mes12[[#This Row],[CUIT]]="","-",VLOOKUP(compras_mes12[[#This Row],[CUIT]],Lista_CUIT[#All],3,0)),"CUIT NO CARGADO")</f>
        <v>FLETE</v>
      </c>
      <c r="R70" s="49">
        <f>IFERROR(IF(compras_mes12[[#This Row],[CUIT]]="","-",VLOOKUP(compras_mes12[[#This Row],[CUIT]],Lista_CUIT[#All],4,0)),"CUIT NO CARGADO")</f>
        <v>0</v>
      </c>
    </row>
    <row r="71" spans="2:18" x14ac:dyDescent="0.25">
      <c r="B71" s="475">
        <v>45287</v>
      </c>
      <c r="C71" s="489">
        <v>1</v>
      </c>
      <c r="D71" s="476">
        <v>5</v>
      </c>
      <c r="E71" s="477">
        <v>2931934</v>
      </c>
      <c r="F71" s="478">
        <v>30702652975</v>
      </c>
      <c r="G71" s="479" t="str">
        <f>IFERROR(IF(compras_mes12[[#This Row],[CUIT]]="","-",VLOOKUP(compras_mes12[[#This Row],[CUIT]],Lista_CUIT[#All],2,0)),"CUIT NO CARGADO")</f>
        <v>NSS SA</v>
      </c>
      <c r="H71" s="480">
        <v>19748.77</v>
      </c>
      <c r="I71" s="481">
        <f>IF(compras_mes12[[#This Row],[NETO GRAVADO]]="","",compras_mes12[[#This Row],[NETO GRAVADO]]*0.21)</f>
        <v>4147.2416999999996</v>
      </c>
      <c r="J71" s="481"/>
      <c r="K71" s="481"/>
      <c r="L71" s="481"/>
      <c r="M71" s="481"/>
      <c r="N71" s="481">
        <v>789.95</v>
      </c>
      <c r="O71" s="481"/>
      <c r="P71" s="482">
        <f>SUM(compras_mes12[[#This Row],[NETO GRAVADO]:[Otros / No Grav.]])</f>
        <v>24685.9617</v>
      </c>
      <c r="Q71" s="483" t="str">
        <f>IFERROR(IF(compras_mes12[[#This Row],[CUIT]]="","-",VLOOKUP(compras_mes12[[#This Row],[CUIT]],Lista_CUIT[#All],3,0)),"CUIT NO CARGADO")</f>
        <v>TELEFONIA</v>
      </c>
      <c r="R71" s="483">
        <f>IFERROR(IF(compras_mes12[[#This Row],[CUIT]]="","-",VLOOKUP(compras_mes12[[#This Row],[CUIT]],Lista_CUIT[#All],4,0)),"CUIT NO CARGADO")</f>
        <v>0</v>
      </c>
    </row>
    <row r="72" spans="2:18" x14ac:dyDescent="0.25">
      <c r="B72" s="475">
        <v>45287</v>
      </c>
      <c r="C72" s="489">
        <v>1</v>
      </c>
      <c r="D72" s="476">
        <v>7</v>
      </c>
      <c r="E72" s="477">
        <v>17266</v>
      </c>
      <c r="F72" s="478">
        <v>30709214078</v>
      </c>
      <c r="G72" s="479" t="str">
        <f>IFERROR(IF(compras_mes12[[#This Row],[CUIT]]="","-",VLOOKUP(compras_mes12[[#This Row],[CUIT]],Lista_CUIT[#All],2,0)),"CUIT NO CARGADO")</f>
        <v>REHAVITA S.A</v>
      </c>
      <c r="H72" s="480">
        <v>4598000</v>
      </c>
      <c r="I72" s="481">
        <v>865830</v>
      </c>
      <c r="J72" s="481"/>
      <c r="K72" s="481">
        <v>49875</v>
      </c>
      <c r="L72" s="481"/>
      <c r="M72" s="481"/>
      <c r="N72" s="481"/>
      <c r="O72" s="481"/>
      <c r="P72" s="482">
        <f>SUM(compras_mes12[[#This Row],[NETO GRAVADO]:[Otros / No Grav.]])</f>
        <v>5513705</v>
      </c>
      <c r="Q72" s="483" t="str">
        <f>IFERROR(IF(compras_mes12[[#This Row],[CUIT]]="","-",VLOOKUP(compras_mes12[[#This Row],[CUIT]],Lista_CUIT[#All],3,0)),"CUIT NO CARGADO")</f>
        <v>Productos Ortopedicos</v>
      </c>
      <c r="R72" s="483">
        <f>IFERROR(IF(compras_mes12[[#This Row],[CUIT]]="","-",VLOOKUP(compras_mes12[[#This Row],[CUIT]],Lista_CUIT[#All],4,0)),"CUIT NO CARGADO")</f>
        <v>0</v>
      </c>
    </row>
    <row r="73" spans="2:18" x14ac:dyDescent="0.25">
      <c r="B73" s="475">
        <v>45287</v>
      </c>
      <c r="C73" s="489">
        <v>1</v>
      </c>
      <c r="D73" s="476">
        <v>7</v>
      </c>
      <c r="E73" s="477">
        <v>17265</v>
      </c>
      <c r="F73" s="478">
        <v>30709214078</v>
      </c>
      <c r="G73" s="479" t="str">
        <f>IFERROR(IF(compras_mes12[[#This Row],[CUIT]]="","-",VLOOKUP(compras_mes12[[#This Row],[CUIT]],Lista_CUIT[#All],2,0)),"CUIT NO CARGADO")</f>
        <v>REHAVITA S.A</v>
      </c>
      <c r="H73" s="480">
        <v>5021700</v>
      </c>
      <c r="I73" s="481">
        <v>936852</v>
      </c>
      <c r="J73" s="481"/>
      <c r="K73" s="481">
        <v>58852.5</v>
      </c>
      <c r="L73" s="481"/>
      <c r="M73" s="481"/>
      <c r="N73" s="481"/>
      <c r="O73" s="481"/>
      <c r="P73" s="482">
        <f>SUM(compras_mes12[[#This Row],[NETO GRAVADO]:[Otros / No Grav.]])</f>
        <v>6017404.5</v>
      </c>
      <c r="Q73" s="483" t="str">
        <f>IFERROR(IF(compras_mes12[[#This Row],[CUIT]]="","-",VLOOKUP(compras_mes12[[#This Row],[CUIT]],Lista_CUIT[#All],3,0)),"CUIT NO CARGADO")</f>
        <v>Productos Ortopedicos</v>
      </c>
      <c r="R73" s="483">
        <f>IFERROR(IF(compras_mes12[[#This Row],[CUIT]]="","-",VLOOKUP(compras_mes12[[#This Row],[CUIT]],Lista_CUIT[#All],4,0)),"CUIT NO CARGADO")</f>
        <v>0</v>
      </c>
    </row>
    <row r="74" spans="2:18" x14ac:dyDescent="0.25">
      <c r="B74" s="475">
        <v>45287</v>
      </c>
      <c r="C74" s="489">
        <v>1</v>
      </c>
      <c r="D74" s="476">
        <v>7</v>
      </c>
      <c r="E74" s="477">
        <v>28262</v>
      </c>
      <c r="F74" s="478">
        <v>20271532483</v>
      </c>
      <c r="G74" s="479" t="str">
        <f>IFERROR(IF(compras_mes12[[#This Row],[CUIT]]="","-",VLOOKUP(compras_mes12[[#This Row],[CUIT]],Lista_CUIT[#All],2,0)),"CUIT NO CARGADO")</f>
        <v>DIEGO MARTIN RIOS</v>
      </c>
      <c r="H74" s="480">
        <v>5412468.7199999997</v>
      </c>
      <c r="I74" s="481">
        <f>IF(compras_mes12[[#This Row],[NETO GRAVADO]]="","",compras_mes12[[#This Row],[NETO GRAVADO]]*0.21)</f>
        <v>1136618.4312</v>
      </c>
      <c r="J74" s="481"/>
      <c r="K74" s="481"/>
      <c r="L74" s="481"/>
      <c r="M74" s="481"/>
      <c r="N74" s="481"/>
      <c r="O74" s="481">
        <v>216498.75</v>
      </c>
      <c r="P74" s="48">
        <f>SUM(compras_mes12[[#This Row],[NETO GRAVADO]:[Otros / No Grav.]])</f>
        <v>6765585.9012000002</v>
      </c>
      <c r="Q74" s="49" t="str">
        <f>IFERROR(IF(compras_mes12[[#This Row],[CUIT]]="","-",VLOOKUP(compras_mes12[[#This Row],[CUIT]],Lista_CUIT[#All],3,0)),"CUIT NO CARGADO")</f>
        <v>Productos Ortopedicos</v>
      </c>
      <c r="R74" s="49">
        <f>IFERROR(IF(compras_mes12[[#This Row],[CUIT]]="","-",VLOOKUP(compras_mes12[[#This Row],[CUIT]],Lista_CUIT[#All],4,0)),"CUIT NO CARGADO")</f>
        <v>0</v>
      </c>
    </row>
    <row r="75" spans="2:18" x14ac:dyDescent="0.25">
      <c r="B75" s="475">
        <v>45287</v>
      </c>
      <c r="C75" s="489">
        <v>1</v>
      </c>
      <c r="D75" s="476">
        <v>7</v>
      </c>
      <c r="E75" s="477">
        <v>17267</v>
      </c>
      <c r="F75" s="478">
        <v>30709214078</v>
      </c>
      <c r="G75" s="479" t="str">
        <f>IFERROR(IF(compras_mes12[[#This Row],[CUIT]]="","-",VLOOKUP(compras_mes12[[#This Row],[CUIT]],Lista_CUIT[#All],2,0)),"CUIT NO CARGADO")</f>
        <v>REHAVITA S.A</v>
      </c>
      <c r="H75" s="480">
        <v>748600</v>
      </c>
      <c r="I75" s="481">
        <f>IF(compras_mes12[[#This Row],[NETO GRAVADO]]="","",compras_mes12[[#This Row],[NETO GRAVADO]]*0.21)</f>
        <v>157206</v>
      </c>
      <c r="J75" s="481"/>
      <c r="K75" s="481"/>
      <c r="L75" s="481"/>
      <c r="M75" s="481"/>
      <c r="N75" s="481"/>
      <c r="O75" s="481"/>
      <c r="P75" s="482">
        <f>SUM(compras_mes12[[#This Row],[NETO GRAVADO]:[Otros / No Grav.]])</f>
        <v>905806</v>
      </c>
      <c r="Q75" s="483" t="str">
        <f>IFERROR(IF(compras_mes12[[#This Row],[CUIT]]="","-",VLOOKUP(compras_mes12[[#This Row],[CUIT]],Lista_CUIT[#All],3,0)),"CUIT NO CARGADO")</f>
        <v>Productos Ortopedicos</v>
      </c>
      <c r="R75" s="483">
        <f>IFERROR(IF(compras_mes12[[#This Row],[CUIT]]="","-",VLOOKUP(compras_mes12[[#This Row],[CUIT]],Lista_CUIT[#All],4,0)),"CUIT NO CARGADO")</f>
        <v>0</v>
      </c>
    </row>
    <row r="76" spans="2:18" x14ac:dyDescent="0.25">
      <c r="B76" s="475">
        <v>45287</v>
      </c>
      <c r="C76" s="489">
        <v>1</v>
      </c>
      <c r="D76" s="476">
        <v>2</v>
      </c>
      <c r="E76" s="477">
        <v>1742</v>
      </c>
      <c r="F76" s="478">
        <v>30714228060</v>
      </c>
      <c r="G76" s="479" t="str">
        <f>IFERROR(IF(compras_mes12[[#This Row],[CUIT]]="","-",VLOOKUP(compras_mes12[[#This Row],[CUIT]],Lista_CUIT[#All],2,0)),"CUIT NO CARGADO")</f>
        <v>POTA AMOBLAMIENTOS S.R.L.</v>
      </c>
      <c r="H76" s="480">
        <v>1500000</v>
      </c>
      <c r="I76" s="481">
        <f>IF(compras_mes12[[#This Row],[NETO GRAVADO]]="","",compras_mes12[[#This Row],[NETO GRAVADO]]*0.21)</f>
        <v>315000</v>
      </c>
      <c r="J76" s="481"/>
      <c r="K76" s="481"/>
      <c r="L76" s="481"/>
      <c r="M76" s="481"/>
      <c r="N76" s="481"/>
      <c r="O76" s="481"/>
      <c r="P76" s="482">
        <f>SUM(compras_mes12[[#This Row],[NETO GRAVADO]:[Otros / No Grav.]])</f>
        <v>1815000</v>
      </c>
      <c r="Q76" s="483" t="str">
        <f>IFERROR(IF(compras_mes12[[#This Row],[CUIT]]="","-",VLOOKUP(compras_mes12[[#This Row],[CUIT]],Lista_CUIT[#All],3,0)),"CUIT NO CARGADO")</f>
        <v>Gastos Varios</v>
      </c>
      <c r="R76" s="483">
        <f>IFERROR(IF(compras_mes12[[#This Row],[CUIT]]="","-",VLOOKUP(compras_mes12[[#This Row],[CUIT]],Lista_CUIT[#All],4,0)),"CUIT NO CARGADO")</f>
        <v>0</v>
      </c>
    </row>
    <row r="77" spans="2:18" x14ac:dyDescent="0.25">
      <c r="B77" s="475">
        <v>45288</v>
      </c>
      <c r="C77" s="489">
        <v>1</v>
      </c>
      <c r="D77" s="476">
        <v>6</v>
      </c>
      <c r="E77" s="477">
        <v>872</v>
      </c>
      <c r="F77" s="478">
        <v>20247225243</v>
      </c>
      <c r="G77" s="479" t="str">
        <f>IFERROR(IF(compras_mes12[[#This Row],[CUIT]]="","-",VLOOKUP(compras_mes12[[#This Row],[CUIT]],Lista_CUIT[#All],2,0)),"CUIT NO CARGADO")</f>
        <v>VENTO HUGO GABRIEL</v>
      </c>
      <c r="H77" s="480">
        <v>25962</v>
      </c>
      <c r="I77" s="481">
        <f>IF(compras_mes12[[#This Row],[NETO GRAVADO]]="","",compras_mes12[[#This Row],[NETO GRAVADO]]*0.21)</f>
        <v>5452.0199999999995</v>
      </c>
      <c r="J77" s="481"/>
      <c r="K77" s="481"/>
      <c r="L77" s="481"/>
      <c r="M77" s="481"/>
      <c r="N77" s="481"/>
      <c r="O77" s="481"/>
      <c r="P77" s="48">
        <f>SUM(compras_mes12[[#This Row],[NETO GRAVADO]:[Otros / No Grav.]])</f>
        <v>31414.02</v>
      </c>
      <c r="Q77" s="49" t="str">
        <f>IFERROR(IF(compras_mes12[[#This Row],[CUIT]]="","-",VLOOKUP(compras_mes12[[#This Row],[CUIT]],Lista_CUIT[#All],3,0)),"CUIT NO CARGADO")</f>
        <v>Productos Ortopedicos</v>
      </c>
      <c r="R77" s="49">
        <f>IFERROR(IF(compras_mes12[[#This Row],[CUIT]]="","-",VLOOKUP(compras_mes12[[#This Row],[CUIT]],Lista_CUIT[#All],4,0)),"CUIT NO CARGADO")</f>
        <v>0</v>
      </c>
    </row>
    <row r="78" spans="2:18" x14ac:dyDescent="0.25">
      <c r="B78" s="475">
        <v>45288</v>
      </c>
      <c r="C78" s="489">
        <v>1</v>
      </c>
      <c r="D78" s="476">
        <v>2</v>
      </c>
      <c r="E78" s="477">
        <v>286</v>
      </c>
      <c r="F78" s="478">
        <v>20272865869</v>
      </c>
      <c r="G78" s="479" t="str">
        <f>IFERROR(IF(compras_mes12[[#This Row],[CUIT]]="","-",VLOOKUP(compras_mes12[[#This Row],[CUIT]],Lista_CUIT[#All],2,0)),"CUIT NO CARGADO")</f>
        <v>DI FEO MARTIN EZEQUIEL</v>
      </c>
      <c r="H78" s="480">
        <v>92910</v>
      </c>
      <c r="I78" s="481">
        <f>IF(compras_mes12[[#This Row],[NETO GRAVADO]]="","",compras_mes12[[#This Row],[NETO GRAVADO]]*0.21)</f>
        <v>19511.099999999999</v>
      </c>
      <c r="J78" s="481"/>
      <c r="K78" s="481"/>
      <c r="L78" s="481"/>
      <c r="M78" s="481"/>
      <c r="N78" s="481"/>
      <c r="O78" s="481"/>
      <c r="P78" s="48">
        <f>SUM(compras_mes12[[#This Row],[NETO GRAVADO]:[Otros / No Grav.]])</f>
        <v>112421.1</v>
      </c>
      <c r="Q78" s="49" t="str">
        <f>IFERROR(IF(compras_mes12[[#This Row],[CUIT]]="","-",VLOOKUP(compras_mes12[[#This Row],[CUIT]],Lista_CUIT[#All],3,0)),"CUIT NO CARGADO")</f>
        <v>Productos Ortopedicos</v>
      </c>
      <c r="R78" s="49">
        <f>IFERROR(IF(compras_mes12[[#This Row],[CUIT]]="","-",VLOOKUP(compras_mes12[[#This Row],[CUIT]],Lista_CUIT[#All],4,0)),"CUIT NO CARGADO")</f>
        <v>0</v>
      </c>
    </row>
    <row r="79" spans="2:18" x14ac:dyDescent="0.25">
      <c r="B79" s="475">
        <v>45288</v>
      </c>
      <c r="C79" s="489">
        <v>1</v>
      </c>
      <c r="D79" s="476">
        <v>9040</v>
      </c>
      <c r="E79" s="477">
        <v>20209</v>
      </c>
      <c r="F79" s="478">
        <v>30678774495</v>
      </c>
      <c r="G79" s="479" t="str">
        <f>IFERROR(IF(compras_mes12[[#This Row],[CUIT]]="","-",VLOOKUP(compras_mes12[[#This Row],[CUIT]],Lista_CUIT[#All],2,0)),"CUIT NO CARGADO")</f>
        <v>OPER. DE EST. DE SERV. SA</v>
      </c>
      <c r="H79" s="480">
        <v>30862.49</v>
      </c>
      <c r="I79" s="481">
        <f>IF(compras_mes12[[#This Row],[NETO GRAVADO]]="","",compras_mes12[[#This Row],[NETO GRAVADO]]*0.21)</f>
        <v>6481.1229000000003</v>
      </c>
      <c r="J79" s="481"/>
      <c r="K79" s="481"/>
      <c r="L79" s="481"/>
      <c r="M79" s="481"/>
      <c r="N79" s="481"/>
      <c r="O79" s="481">
        <v>877.42</v>
      </c>
      <c r="P79" s="48">
        <f>SUM(compras_mes12[[#This Row],[NETO GRAVADO]:[Otros / No Grav.]])</f>
        <v>38221.032899999998</v>
      </c>
      <c r="Q79" s="483" t="str">
        <f>IFERROR(IF(compras_mes12[[#This Row],[CUIT]]="","-",VLOOKUP(compras_mes12[[#This Row],[CUIT]],Lista_CUIT[#All],3,0)),"CUIT NO CARGADO")</f>
        <v>COMBUSTIBLE</v>
      </c>
      <c r="R79" s="483">
        <f>IFERROR(IF(compras_mes12[[#This Row],[CUIT]]="","-",VLOOKUP(compras_mes12[[#This Row],[CUIT]],Lista_CUIT[#All],4,0)),"CUIT NO CARGADO")</f>
        <v>0</v>
      </c>
    </row>
    <row r="80" spans="2:18" x14ac:dyDescent="0.25">
      <c r="B80" s="475">
        <v>45288</v>
      </c>
      <c r="C80" s="489">
        <v>1</v>
      </c>
      <c r="D80" s="476">
        <v>2</v>
      </c>
      <c r="E80" s="477">
        <v>819</v>
      </c>
      <c r="F80" s="478">
        <v>20140958213</v>
      </c>
      <c r="G80" s="479" t="str">
        <f>IFERROR(IF(compras_mes12[[#This Row],[CUIT]]="","-",VLOOKUP(compras_mes12[[#This Row],[CUIT]],Lista_CUIT[#All],2,0)),"CUIT NO CARGADO")</f>
        <v>ESPAÑA ALEJANDRO JORGE</v>
      </c>
      <c r="H80" s="480">
        <v>380000</v>
      </c>
      <c r="I80" s="481">
        <f>IF(compras_mes12[[#This Row],[NETO GRAVADO]]="","",compras_mes12[[#This Row],[NETO GRAVADO]]*0.21)</f>
        <v>79800</v>
      </c>
      <c r="J80" s="481"/>
      <c r="K80" s="481"/>
      <c r="L80" s="481"/>
      <c r="M80" s="481"/>
      <c r="N80" s="481"/>
      <c r="O80" s="481"/>
      <c r="P80" s="482">
        <f>SUM(compras_mes12[[#This Row],[NETO GRAVADO]:[Otros / No Grav.]])</f>
        <v>459800</v>
      </c>
      <c r="Q80" s="483" t="str">
        <f>IFERROR(IF(compras_mes12[[#This Row],[CUIT]]="","-",VLOOKUP(compras_mes12[[#This Row],[CUIT]],Lista_CUIT[#All],3,0)),"CUIT NO CARGADO")</f>
        <v>Productos Ortopedicos</v>
      </c>
      <c r="R80" s="483">
        <f>IFERROR(IF(compras_mes12[[#This Row],[CUIT]]="","-",VLOOKUP(compras_mes12[[#This Row],[CUIT]],Lista_CUIT[#All],4,0)),"CUIT NO CARGADO")</f>
        <v>0</v>
      </c>
    </row>
    <row r="81" spans="2:18" x14ac:dyDescent="0.25">
      <c r="B81" s="475">
        <v>45289</v>
      </c>
      <c r="C81" s="489">
        <v>1</v>
      </c>
      <c r="D81" s="476">
        <v>5</v>
      </c>
      <c r="E81" s="477">
        <v>1153</v>
      </c>
      <c r="F81" s="478">
        <v>20242126158</v>
      </c>
      <c r="G81" s="479" t="str">
        <f>IFERROR(IF(compras_mes12[[#This Row],[CUIT]]="","-",VLOOKUP(compras_mes12[[#This Row],[CUIT]],Lista_CUIT[#All],2,0)),"CUIT NO CARGADO")</f>
        <v>IALLONARDO SERGIO</v>
      </c>
      <c r="H81" s="480">
        <v>5000</v>
      </c>
      <c r="I81" s="481">
        <f>IF(compras_mes12[[#This Row],[NETO GRAVADO]]="","",compras_mes12[[#This Row],[NETO GRAVADO]]*0.21)</f>
        <v>1050</v>
      </c>
      <c r="J81" s="481"/>
      <c r="K81" s="481"/>
      <c r="L81" s="481"/>
      <c r="M81" s="481"/>
      <c r="N81" s="481"/>
      <c r="O81" s="481"/>
      <c r="P81" s="482">
        <f>SUM(compras_mes12[[#This Row],[NETO GRAVADO]:[Otros / No Grav.]])</f>
        <v>6050</v>
      </c>
      <c r="Q81" s="483" t="str">
        <f>IFERROR(IF(compras_mes12[[#This Row],[CUIT]]="","-",VLOOKUP(compras_mes12[[#This Row],[CUIT]],Lista_CUIT[#All],3,0)),"CUIT NO CARGADO")</f>
        <v>PROD ORTOP P/ALQ</v>
      </c>
      <c r="R81" s="483">
        <f>IFERROR(IF(compras_mes12[[#This Row],[CUIT]]="","-",VLOOKUP(compras_mes12[[#This Row],[CUIT]],Lista_CUIT[#All],4,0)),"CUIT NO CARGADO")</f>
        <v>0</v>
      </c>
    </row>
    <row r="82" spans="2:18" x14ac:dyDescent="0.25">
      <c r="B82" s="475">
        <v>45289</v>
      </c>
      <c r="C82" s="489">
        <v>1</v>
      </c>
      <c r="D82" s="476">
        <v>4</v>
      </c>
      <c r="E82" s="477">
        <v>91</v>
      </c>
      <c r="F82" s="478">
        <v>20317488476</v>
      </c>
      <c r="G82" s="479" t="str">
        <f>IFERROR(IF(compras_mes12[[#This Row],[CUIT]]="","-",VLOOKUP(compras_mes12[[#This Row],[CUIT]],Lista_CUIT[#All],2,0)),"CUIT NO CARGADO")</f>
        <v>MIGUEL ANGEL VILLALBA</v>
      </c>
      <c r="H82" s="480">
        <v>26000</v>
      </c>
      <c r="I82" s="481">
        <f>IF(compras_mes12[[#This Row],[NETO GRAVADO]]="","",compras_mes12[[#This Row],[NETO GRAVADO]]*0.21)</f>
        <v>5460</v>
      </c>
      <c r="J82" s="481"/>
      <c r="K82" s="481"/>
      <c r="L82" s="481"/>
      <c r="M82" s="481"/>
      <c r="N82" s="481"/>
      <c r="O82" s="481"/>
      <c r="P82" s="482">
        <f>SUM(compras_mes12[[#This Row],[NETO GRAVADO]:[Otros / No Grav.]])</f>
        <v>31460</v>
      </c>
      <c r="Q82" s="483" t="str">
        <f>IFERROR(IF(compras_mes12[[#This Row],[CUIT]]="","-",VLOOKUP(compras_mes12[[#This Row],[CUIT]],Lista_CUIT[#All],3,0)),"CUIT NO CARGADO")</f>
        <v>Recupero P. Ortopedicos</v>
      </c>
      <c r="R82" s="483">
        <f>IFERROR(IF(compras_mes12[[#This Row],[CUIT]]="","-",VLOOKUP(compras_mes12[[#This Row],[CUIT]],Lista_CUIT[#All],4,0)),"CUIT NO CARGADO")</f>
        <v>0</v>
      </c>
    </row>
    <row r="83" spans="2:18" x14ac:dyDescent="0.25">
      <c r="B83" s="475">
        <v>45289</v>
      </c>
      <c r="C83" s="489">
        <v>1</v>
      </c>
      <c r="D83" s="476">
        <v>1</v>
      </c>
      <c r="E83" s="477">
        <v>3117</v>
      </c>
      <c r="F83" s="478">
        <v>30717371298</v>
      </c>
      <c r="G83" s="479" t="str">
        <f>IFERROR(IF(compras_mes12[[#This Row],[CUIT]]="","-",VLOOKUP(compras_mes12[[#This Row],[CUIT]],Lista_CUIT[#All],2,0)),"CUIT NO CARGADO")</f>
        <v>MUNDOPEL SRL</v>
      </c>
      <c r="H83" s="480">
        <v>7355.37</v>
      </c>
      <c r="I83" s="481">
        <f>IF(compras_mes12[[#This Row],[NETO GRAVADO]]="","",compras_mes12[[#This Row],[NETO GRAVADO]]*0.21)</f>
        <v>1544.6277</v>
      </c>
      <c r="J83" s="481"/>
      <c r="K83" s="481"/>
      <c r="L83" s="481"/>
      <c r="M83" s="481"/>
      <c r="N83" s="481"/>
      <c r="O83" s="481"/>
      <c r="P83" s="482">
        <f>SUM(compras_mes12[[#This Row],[NETO GRAVADO]:[Otros / No Grav.]])</f>
        <v>8899.9976999999999</v>
      </c>
      <c r="Q83" s="483" t="str">
        <f>IFERROR(IF(compras_mes12[[#This Row],[CUIT]]="","-",VLOOKUP(compras_mes12[[#This Row],[CUIT]],Lista_CUIT[#All],3,0)),"CUIT NO CARGADO")</f>
        <v>Gastos Varios</v>
      </c>
      <c r="R83" s="483">
        <f>IFERROR(IF(compras_mes12[[#This Row],[CUIT]]="","-",VLOOKUP(compras_mes12[[#This Row],[CUIT]],Lista_CUIT[#All],4,0)),"CUIT NO CARGADO")</f>
        <v>0</v>
      </c>
    </row>
    <row r="84" spans="2:18" x14ac:dyDescent="0.25">
      <c r="B84" s="498">
        <v>45289</v>
      </c>
      <c r="C84" s="209">
        <v>1</v>
      </c>
      <c r="D84" s="491">
        <v>5</v>
      </c>
      <c r="E84" s="492">
        <v>1537</v>
      </c>
      <c r="F84" s="493">
        <v>20348485580</v>
      </c>
      <c r="G84" s="494" t="str">
        <f>IFERROR(IF(compras_mes12[[#This Row],[CUIT]]="","-",VLOOKUP(compras_mes12[[#This Row],[CUIT]],Lista_CUIT[#All],2,0)),"CUIT NO CARGADO")</f>
        <v>NOLASCO ALAN MANUEL</v>
      </c>
      <c r="H84" s="495">
        <v>20545.599999999999</v>
      </c>
      <c r="I84" s="496">
        <f>IF(compras_mes12[[#This Row],[NETO GRAVADO]]="","",compras_mes12[[#This Row],[NETO GRAVADO]]*0.21)</f>
        <v>4314.5759999999991</v>
      </c>
      <c r="J84" s="496"/>
      <c r="K84" s="496"/>
      <c r="L84" s="496"/>
      <c r="M84" s="496"/>
      <c r="N84" s="496"/>
      <c r="O84" s="496"/>
      <c r="P84" s="482">
        <f>SUM(compras_mes12[[#This Row],[NETO GRAVADO]:[Otros / No Grav.]])</f>
        <v>24860.175999999999</v>
      </c>
      <c r="Q84" s="483" t="str">
        <f>IFERROR(IF(compras_mes12[[#This Row],[CUIT]]="","-",VLOOKUP(compras_mes12[[#This Row],[CUIT]],Lista_CUIT[#All],3,0)),"CUIT NO CARGADO")</f>
        <v>Gastos Varios</v>
      </c>
      <c r="R84" s="483">
        <f>IFERROR(IF(compras_mes12[[#This Row],[CUIT]]="","-",VLOOKUP(compras_mes12[[#This Row],[CUIT]],Lista_CUIT[#All],4,0)),"CUIT NO CARGADO")</f>
        <v>0</v>
      </c>
    </row>
    <row r="85" spans="2:18" x14ac:dyDescent="0.25">
      <c r="B85" s="498">
        <v>45289</v>
      </c>
      <c r="C85" s="209">
        <v>1</v>
      </c>
      <c r="D85" s="491">
        <v>2</v>
      </c>
      <c r="E85" s="492">
        <v>289</v>
      </c>
      <c r="F85" s="493">
        <v>20272865869</v>
      </c>
      <c r="G85" s="494" t="str">
        <f>IFERROR(IF(compras_mes12[[#This Row],[CUIT]]="","-",VLOOKUP(compras_mes12[[#This Row],[CUIT]],Lista_CUIT[#All],2,0)),"CUIT NO CARGADO")</f>
        <v>DI FEO MARTIN EZEQUIEL</v>
      </c>
      <c r="H85" s="495">
        <v>8600</v>
      </c>
      <c r="I85" s="496">
        <f>IF(compras_mes12[[#This Row],[NETO GRAVADO]]="","",compras_mes12[[#This Row],[NETO GRAVADO]]*0.21)</f>
        <v>1806</v>
      </c>
      <c r="J85" s="496"/>
      <c r="K85" s="496"/>
      <c r="L85" s="496"/>
      <c r="M85" s="496"/>
      <c r="N85" s="496"/>
      <c r="O85" s="496"/>
      <c r="P85" s="482">
        <f>SUM(compras_mes12[[#This Row],[NETO GRAVADO]:[Otros / No Grav.]])</f>
        <v>10406</v>
      </c>
      <c r="Q85" s="483" t="str">
        <f>IFERROR(IF(compras_mes12[[#This Row],[CUIT]]="","-",VLOOKUP(compras_mes12[[#This Row],[CUIT]],Lista_CUIT[#All],3,0)),"CUIT NO CARGADO")</f>
        <v>Productos Ortopedicos</v>
      </c>
      <c r="R85" s="483">
        <f>IFERROR(IF(compras_mes12[[#This Row],[CUIT]]="","-",VLOOKUP(compras_mes12[[#This Row],[CUIT]],Lista_CUIT[#All],4,0)),"CUIT NO CARGADO")</f>
        <v>0</v>
      </c>
    </row>
    <row r="86" spans="2:18" x14ac:dyDescent="0.25">
      <c r="B86" s="498">
        <v>45289</v>
      </c>
      <c r="C86" s="209">
        <v>1</v>
      </c>
      <c r="D86" s="491">
        <v>23</v>
      </c>
      <c r="E86" s="492">
        <v>1954737</v>
      </c>
      <c r="F86" s="493">
        <v>30703088534</v>
      </c>
      <c r="G86" s="494" t="str">
        <f>IFERROR(IF(compras_mes12[[#This Row],[CUIT]]="","-",VLOOKUP(compras_mes12[[#This Row],[CUIT]],Lista_CUIT[#All],2,0)),"CUIT NO CARGADO")</f>
        <v>MERCADO LIBRE SRL</v>
      </c>
      <c r="H86" s="495">
        <v>16339.86</v>
      </c>
      <c r="I86" s="496">
        <f>IF(compras_mes12[[#This Row],[NETO GRAVADO]]="","",compras_mes12[[#This Row],[NETO GRAVADO]]*0.21)</f>
        <v>3431.3706000000002</v>
      </c>
      <c r="J86" s="496"/>
      <c r="K86" s="496"/>
      <c r="L86" s="496"/>
      <c r="M86" s="496"/>
      <c r="N86" s="496"/>
      <c r="O86" s="496">
        <v>1143.79</v>
      </c>
      <c r="P86" s="482">
        <f>SUM(compras_mes12[[#This Row],[NETO GRAVADO]:[Otros / No Grav.]])</f>
        <v>20915.020600000003</v>
      </c>
      <c r="Q86" s="483" t="str">
        <f>IFERROR(IF(compras_mes12[[#This Row],[CUIT]]="","-",VLOOKUP(compras_mes12[[#This Row],[CUIT]],Lista_CUIT[#All],3,0)),"CUIT NO CARGADO")</f>
        <v>GASTOS COMERCIALIZACION</v>
      </c>
      <c r="R86" s="483">
        <f>IFERROR(IF(compras_mes12[[#This Row],[CUIT]]="","-",VLOOKUP(compras_mes12[[#This Row],[CUIT]],Lista_CUIT[#All],4,0)),"CUIT NO CARGADO")</f>
        <v>0</v>
      </c>
    </row>
    <row r="87" spans="2:18" x14ac:dyDescent="0.25">
      <c r="B87" s="475">
        <v>45290</v>
      </c>
      <c r="C87" s="489">
        <v>1</v>
      </c>
      <c r="D87" s="476">
        <v>5</v>
      </c>
      <c r="E87" s="477">
        <v>23</v>
      </c>
      <c r="F87" s="478">
        <v>20929183143</v>
      </c>
      <c r="G87" s="479" t="str">
        <f>IFERROR(IF(compras_mes12[[#This Row],[CUIT]]="","-",VLOOKUP(compras_mes12[[#This Row],[CUIT]],Lista_CUIT[#All],2,0)),"CUIT NO CARGADO")</f>
        <v>MA JUN</v>
      </c>
      <c r="H87" s="480">
        <v>20000</v>
      </c>
      <c r="I87" s="481">
        <f>IF(compras_mes12[[#This Row],[NETO GRAVADO]]="","",compras_mes12[[#This Row],[NETO GRAVADO]]*0.21)</f>
        <v>4200</v>
      </c>
      <c r="J87" s="481"/>
      <c r="K87" s="481"/>
      <c r="L87" s="481"/>
      <c r="M87" s="481"/>
      <c r="N87" s="481"/>
      <c r="O87" s="481"/>
      <c r="P87" s="482">
        <f>SUM(compras_mes12[[#This Row],[NETO GRAVADO]:[Otros / No Grav.]])</f>
        <v>24200</v>
      </c>
      <c r="Q87" s="483" t="str">
        <f>IFERROR(IF(compras_mes12[[#This Row],[CUIT]]="","-",VLOOKUP(compras_mes12[[#This Row],[CUIT]],Lista_CUIT[#All],3,0)),"CUIT NO CARGADO")</f>
        <v>Gastos Varios</v>
      </c>
      <c r="R87" s="483">
        <f>IFERROR(IF(compras_mes12[[#This Row],[CUIT]]="","-",VLOOKUP(compras_mes12[[#This Row],[CUIT]],Lista_CUIT[#All],4,0)),"CUIT NO CARGADO")</f>
        <v>0</v>
      </c>
    </row>
    <row r="88" spans="2:18" x14ac:dyDescent="0.25">
      <c r="B88" s="498">
        <v>45291</v>
      </c>
      <c r="C88" s="209">
        <v>1</v>
      </c>
      <c r="D88" s="491">
        <v>20</v>
      </c>
      <c r="E88" s="492">
        <v>171628</v>
      </c>
      <c r="F88" s="493">
        <v>30696850972</v>
      </c>
      <c r="G88" s="494" t="str">
        <f>IFERROR(IF(compras_mes12[[#This Row],[CUIT]]="","-",VLOOKUP(compras_mes12[[#This Row],[CUIT]],Lista_CUIT[#All],2,0)),"CUIT NO CARGADO")</f>
        <v>CPS COMUNICACIONES SA</v>
      </c>
      <c r="H88" s="495">
        <v>7312.31</v>
      </c>
      <c r="I88" s="496"/>
      <c r="J88" s="496">
        <v>1974.32</v>
      </c>
      <c r="K88" s="496"/>
      <c r="L88" s="496"/>
      <c r="M88" s="496"/>
      <c r="N88" s="496">
        <v>292.49</v>
      </c>
      <c r="O88" s="496"/>
      <c r="P88" s="48">
        <f>SUM(compras_mes12[[#This Row],[NETO GRAVADO]:[Otros / No Grav.]])</f>
        <v>9579.1200000000008</v>
      </c>
      <c r="Q88" s="483" t="str">
        <f>IFERROR(IF(compras_mes12[[#This Row],[CUIT]]="","-",VLOOKUP(compras_mes12[[#This Row],[CUIT]],Lista_CUIT[#All],3,0)),"CUIT NO CARGADO")</f>
        <v>SERVICIO DE TELEFONIA</v>
      </c>
      <c r="R88" s="483">
        <f>IFERROR(IF(compras_mes12[[#This Row],[CUIT]]="","-",VLOOKUP(compras_mes12[[#This Row],[CUIT]],Lista_CUIT[#All],4,0)),"CUIT NO CARGADO")</f>
        <v>0</v>
      </c>
    </row>
    <row r="89" spans="2:18" ht="14.45" customHeight="1" x14ac:dyDescent="0.25">
      <c r="B89" s="498">
        <v>45291</v>
      </c>
      <c r="C89" s="209">
        <v>1</v>
      </c>
      <c r="D89" s="491">
        <v>6</v>
      </c>
      <c r="E89" s="492">
        <v>15302312</v>
      </c>
      <c r="F89" s="493">
        <v>30620177497</v>
      </c>
      <c r="G89" s="494" t="str">
        <f>IFERROR(IF(compras_mes12[[#This Row],[CUIT]]="","-",VLOOKUP(compras_mes12[[#This Row],[CUIT]],Lista_CUIT[#All],2,0)),"CUIT NO CARGADO")</f>
        <v>POSNET SOCIEDAD DE RESPONSABILIDAD LIMITADA</v>
      </c>
      <c r="H89" s="495">
        <v>10063.77</v>
      </c>
      <c r="I89" s="496">
        <f>IF(compras_mes12[[#This Row],[NETO GRAVADO]]="","",compras_mes12[[#This Row],[NETO GRAVADO]]*0.21)</f>
        <v>2113.3917000000001</v>
      </c>
      <c r="J89" s="496"/>
      <c r="K89" s="496"/>
      <c r="L89" s="496"/>
      <c r="M89" s="496"/>
      <c r="N89" s="496">
        <v>704.46</v>
      </c>
      <c r="O89" s="496"/>
      <c r="P89" s="482">
        <f>SUM(compras_mes12[[#This Row],[NETO GRAVADO]:[Otros / No Grav.]])</f>
        <v>12881.6217</v>
      </c>
      <c r="Q89" s="483" t="str">
        <f>IFERROR(IF(compras_mes12[[#This Row],[CUIT]]="","-",VLOOKUP(compras_mes12[[#This Row],[CUIT]],Lista_CUIT[#All],3,0)),"CUIT NO CARGADO")</f>
        <v>GASTOS VARIOS</v>
      </c>
      <c r="R89" s="483">
        <f>IFERROR(IF(compras_mes12[[#This Row],[CUIT]]="","-",VLOOKUP(compras_mes12[[#This Row],[CUIT]],Lista_CUIT[#All],4,0)),"CUIT NO CARGADO")</f>
        <v>0</v>
      </c>
    </row>
    <row r="90" spans="2:18" ht="14.45" customHeight="1" x14ac:dyDescent="0.25">
      <c r="B90" s="498">
        <v>45291</v>
      </c>
      <c r="C90" s="209">
        <v>1</v>
      </c>
      <c r="D90" s="491">
        <v>9044</v>
      </c>
      <c r="E90" s="492">
        <v>23023</v>
      </c>
      <c r="F90" s="493">
        <v>30678774495</v>
      </c>
      <c r="G90" s="494" t="str">
        <f>IFERROR(IF(compras_mes12[[#This Row],[CUIT]]="","-",VLOOKUP(compras_mes12[[#This Row],[CUIT]],Lista_CUIT[#All],2,0)),"CUIT NO CARGADO")</f>
        <v>OPER. DE EST. DE SERV. SA</v>
      </c>
      <c r="H90" s="495">
        <v>21716.29</v>
      </c>
      <c r="I90" s="496">
        <f>IF(compras_mes12[[#This Row],[NETO GRAVADO]]="","",compras_mes12[[#This Row],[NETO GRAVADO]]*0.21)</f>
        <v>4560.4209000000001</v>
      </c>
      <c r="J90" s="496"/>
      <c r="K90" s="496"/>
      <c r="L90" s="496"/>
      <c r="M90" s="496"/>
      <c r="N90" s="496"/>
      <c r="O90" s="496">
        <v>1123.29</v>
      </c>
      <c r="P90" s="482">
        <f>SUM(compras_mes12[[#This Row],[NETO GRAVADO]:[Otros / No Grav.]])</f>
        <v>27400.000900000003</v>
      </c>
      <c r="Q90" s="483" t="str">
        <f>IFERROR(IF(compras_mes12[[#This Row],[CUIT]]="","-",VLOOKUP(compras_mes12[[#This Row],[CUIT]],Lista_CUIT[#All],3,0)),"CUIT NO CARGADO")</f>
        <v>COMBUSTIBLE</v>
      </c>
      <c r="R90" s="483">
        <f>IFERROR(IF(compras_mes12[[#This Row],[CUIT]]="","-",VLOOKUP(compras_mes12[[#This Row],[CUIT]],Lista_CUIT[#All],4,0)),"CUIT NO CARGADO")</f>
        <v>0</v>
      </c>
    </row>
    <row r="91" spans="2:18" ht="15" customHeight="1" x14ac:dyDescent="0.25">
      <c r="B91" s="96" t="s">
        <v>110</v>
      </c>
      <c r="C91" s="96"/>
      <c r="D91" s="96"/>
      <c r="E91" s="96"/>
      <c r="F91" s="96"/>
      <c r="G91" s="97"/>
      <c r="H91" s="98">
        <f>SUBTOTAL(109,compras_mes12[NETO GRAVADO])</f>
        <v>42523193.770000018</v>
      </c>
      <c r="I91" s="98">
        <f>SUBTOTAL(109,compras_mes12[IVA 21 %])</f>
        <v>8438521.8644999973</v>
      </c>
      <c r="J91" s="98">
        <f>SUBTOTAL(109,compras_mes12[IVA 27%])</f>
        <v>16243.93</v>
      </c>
      <c r="K91" s="98">
        <f>SUBTOTAL(109,compras_mes12[IVA 10,5%])</f>
        <v>239137.5</v>
      </c>
      <c r="L91" s="98">
        <f>SUBTOTAL(109,compras_mes12[PERC. IVA])</f>
        <v>1503.17</v>
      </c>
      <c r="M91" s="98">
        <f>SUBTOTAL(109,compras_mes12[PERC IIBB 
BS AS])</f>
        <v>1569.62</v>
      </c>
      <c r="N91" s="98">
        <f>SUBTOTAL(109,compras_mes12[PERC. IIBB CABA])</f>
        <v>170101.03999999995</v>
      </c>
      <c r="O91" s="98">
        <f>SUBTOTAL(109,compras_mes12[Otros / No Grav.])</f>
        <v>328649.90999999997</v>
      </c>
      <c r="P91" s="98">
        <f>SUBTOTAL(109,compras_mes12[TOTAL])</f>
        <v>51718920.804499976</v>
      </c>
      <c r="Q91" s="96"/>
      <c r="R91" s="96"/>
    </row>
    <row r="92" spans="2:18" ht="23.45" customHeight="1" x14ac:dyDescent="0.25">
      <c r="B92" s="40"/>
      <c r="C92" s="41"/>
      <c r="D92" s="42"/>
      <c r="E92" s="43"/>
      <c r="F92" s="44"/>
      <c r="G92" s="45"/>
      <c r="H92" s="46"/>
      <c r="I92" s="47"/>
      <c r="J92" s="47"/>
      <c r="K92" s="47"/>
      <c r="L92" s="47"/>
      <c r="M92" s="47"/>
      <c r="N92" s="47"/>
      <c r="O92" s="47"/>
      <c r="P92" s="48"/>
      <c r="Q92" s="49"/>
      <c r="R92" s="49"/>
    </row>
    <row r="93" spans="2:18" ht="38.450000000000003" customHeight="1" x14ac:dyDescent="0.25">
      <c r="B93" s="40"/>
      <c r="C93" s="41"/>
      <c r="D93" s="42"/>
      <c r="E93" s="43"/>
      <c r="F93" s="44"/>
      <c r="G93" s="45"/>
      <c r="H93" s="46"/>
      <c r="I93" s="47"/>
      <c r="J93" s="47"/>
      <c r="K93" s="47"/>
      <c r="L93" s="47"/>
      <c r="M93" s="47"/>
      <c r="N93" s="47"/>
      <c r="O93" s="47"/>
      <c r="P93" s="48"/>
      <c r="Q93" s="49"/>
      <c r="R93" s="49"/>
    </row>
    <row r="94" spans="2:18" x14ac:dyDescent="0.25">
      <c r="B94" s="40"/>
      <c r="C94" s="41"/>
      <c r="D94" s="42"/>
      <c r="E94" s="43"/>
      <c r="F94" s="44"/>
      <c r="G94" s="45"/>
      <c r="H94" s="46"/>
      <c r="I94" s="47"/>
      <c r="J94" s="47"/>
      <c r="K94" s="47"/>
      <c r="L94" s="47"/>
      <c r="M94" s="47"/>
      <c r="N94" s="47"/>
      <c r="O94" s="47"/>
      <c r="P94" s="48"/>
      <c r="Q94" s="49"/>
      <c r="R94" s="49"/>
    </row>
    <row r="95" spans="2:18" x14ac:dyDescent="0.25">
      <c r="B95" s="40"/>
      <c r="C95" s="41"/>
      <c r="D95" s="42"/>
      <c r="E95" s="43"/>
      <c r="F95" s="44"/>
      <c r="G95" s="45"/>
      <c r="H95" s="46"/>
      <c r="I95" s="47"/>
      <c r="J95" s="47"/>
      <c r="K95" s="47"/>
      <c r="L95" s="47"/>
    </row>
    <row r="96" spans="2:18" ht="21" x14ac:dyDescent="0.25">
      <c r="D96" s="524" t="s">
        <v>15</v>
      </c>
      <c r="E96" s="524"/>
      <c r="F96" s="524"/>
      <c r="G96" s="524"/>
      <c r="H96" s="524"/>
      <c r="I96" s="524"/>
      <c r="J96" s="524"/>
      <c r="K96" s="524"/>
      <c r="L96" s="524"/>
    </row>
    <row r="97" spans="2:18" ht="15.75" x14ac:dyDescent="0.25">
      <c r="D97" s="73" t="s">
        <v>0</v>
      </c>
      <c r="E97" s="74" t="s">
        <v>26</v>
      </c>
      <c r="F97" s="74" t="s">
        <v>16</v>
      </c>
      <c r="G97" s="74" t="s">
        <v>5</v>
      </c>
      <c r="H97" s="74" t="s">
        <v>17</v>
      </c>
      <c r="I97" s="74" t="s">
        <v>7</v>
      </c>
      <c r="J97" s="75" t="s">
        <v>18</v>
      </c>
      <c r="K97" s="75" t="s">
        <v>19</v>
      </c>
      <c r="L97" s="76" t="s">
        <v>20</v>
      </c>
    </row>
    <row r="98" spans="2:18" x14ac:dyDescent="0.25">
      <c r="D98" s="50">
        <v>45289</v>
      </c>
      <c r="E98" s="80">
        <v>23122023</v>
      </c>
      <c r="F98" s="80" t="s">
        <v>2227</v>
      </c>
      <c r="G98" s="81">
        <f>24+155+49+16+150+500+300+4600</f>
        <v>5794</v>
      </c>
      <c r="H98" s="81">
        <f>extracto_banco_mes12[[#This Row],[NETO]]*0.21</f>
        <v>1216.74</v>
      </c>
      <c r="I98" s="81"/>
      <c r="J98" s="459">
        <v>184</v>
      </c>
      <c r="K98" s="459">
        <v>138</v>
      </c>
      <c r="L98" s="81"/>
    </row>
    <row r="99" spans="2:18" s="56" customFormat="1" ht="18.600000000000001" customHeight="1" x14ac:dyDescent="0.25">
      <c r="B99"/>
      <c r="C99"/>
      <c r="D99" s="50">
        <v>45289</v>
      </c>
      <c r="E99" s="80">
        <v>29232012</v>
      </c>
      <c r="F99" s="80" t="s">
        <v>2228</v>
      </c>
      <c r="G99" s="81">
        <f>12000+250+250</f>
        <v>12500</v>
      </c>
      <c r="H99" s="81">
        <f>extracto_banco_mes12[[#This Row],[NETO]]*0.21</f>
        <v>2625</v>
      </c>
      <c r="I99" s="81"/>
      <c r="J99" s="81">
        <v>480</v>
      </c>
      <c r="K99" s="81">
        <v>360</v>
      </c>
      <c r="L99" s="81"/>
      <c r="M99"/>
      <c r="N99"/>
      <c r="O99"/>
      <c r="P99"/>
      <c r="Q99"/>
      <c r="R99"/>
    </row>
    <row r="100" spans="2:18" x14ac:dyDescent="0.25">
      <c r="D100" s="50"/>
      <c r="E100" s="79"/>
      <c r="F100" s="80"/>
      <c r="G100" s="81"/>
      <c r="H100" s="81">
        <f ca="1">extracto_banco_mes12[[#This Row],[IVA 21%]]*0.21</f>
        <v>0</v>
      </c>
      <c r="I100" s="81"/>
      <c r="J100" s="81"/>
      <c r="K100" s="81"/>
      <c r="L100" s="81"/>
    </row>
    <row r="101" spans="2:18" x14ac:dyDescent="0.25">
      <c r="D101" s="82" t="s">
        <v>110</v>
      </c>
      <c r="E101" s="80"/>
      <c r="F101" s="80"/>
      <c r="G101" s="83">
        <f>SUBTOTAL(109,extracto_banco_mes12[NETO])</f>
        <v>18294</v>
      </c>
      <c r="H101" s="83">
        <f ca="1">SUBTOTAL(109,extracto_banco_mes12[IVA 21%])</f>
        <v>3841.74</v>
      </c>
      <c r="I101" s="83">
        <f>SUBTOTAL(109,extracto_banco_mes12[IVA 10,5%])</f>
        <v>0</v>
      </c>
      <c r="J101" s="83">
        <f>SUBTOTAL(109,extracto_banco_mes12[RET IIBB CABA])</f>
        <v>664</v>
      </c>
      <c r="K101" s="83">
        <f>SUBTOTAL(109,extracto_banco_mes12[PERC IVA])</f>
        <v>498</v>
      </c>
      <c r="L101" s="83">
        <f>SUBTOTAL(109,extracto_banco_mes12[PERC IIBB])</f>
        <v>0</v>
      </c>
    </row>
    <row r="105" spans="2:18" ht="21" x14ac:dyDescent="0.25">
      <c r="D105" s="524" t="s">
        <v>25</v>
      </c>
      <c r="E105" s="524"/>
      <c r="F105" s="524"/>
      <c r="G105" s="524"/>
      <c r="H105" s="524"/>
      <c r="I105" s="524"/>
      <c r="J105" s="524"/>
      <c r="K105" s="524"/>
    </row>
    <row r="106" spans="2:18" x14ac:dyDescent="0.25">
      <c r="D106" s="51" t="s">
        <v>0</v>
      </c>
      <c r="E106" s="51" t="s">
        <v>2</v>
      </c>
      <c r="F106" s="51" t="s">
        <v>74</v>
      </c>
      <c r="G106" s="51" t="s">
        <v>3</v>
      </c>
      <c r="H106" s="51" t="s">
        <v>4</v>
      </c>
      <c r="I106" s="52" t="s">
        <v>10</v>
      </c>
      <c r="J106" s="51" t="s">
        <v>13</v>
      </c>
      <c r="K106" s="51" t="s">
        <v>38</v>
      </c>
    </row>
    <row r="107" spans="2:18" x14ac:dyDescent="0.25">
      <c r="D107" s="360">
        <v>45261</v>
      </c>
      <c r="E107" s="220">
        <v>3</v>
      </c>
      <c r="F107" s="517">
        <v>287</v>
      </c>
      <c r="G107" s="518">
        <v>23306035444</v>
      </c>
      <c r="H107" s="519" t="str">
        <f>IFERROR(IF(factura_c_mes12[[#This Row],[CUIT]]="","-",VLOOKUP(factura_c_mes12[[#This Row],[CUIT]],Lista_CUIT[#All],2,0)),"CUIT NO CARGADO")</f>
        <v>NADIA TARANTINO</v>
      </c>
      <c r="I107" s="520">
        <v>38333</v>
      </c>
      <c r="J107" s="521" t="str">
        <f>IFERROR(IF(factura_c_mes12[[#This Row],[CUIT]]="","-",VLOOKUP(factura_c_mes12[[#This Row],[CUIT]],Lista_CUIT[#All],3,0)),"CUIT NO CARGADO")</f>
        <v>GASTOS CONTABLES</v>
      </c>
      <c r="K107" s="521">
        <f>IFERROR(IF(factura_c_mes12[[#This Row],[CUIT]]="","-",VLOOKUP(factura_c_mes12[[#This Row],[CUIT]],Lista_CUIT[#All],4,0)),"CUIT NO CARGADO")</f>
        <v>0</v>
      </c>
    </row>
    <row r="108" spans="2:18" x14ac:dyDescent="0.25">
      <c r="D108" s="360">
        <v>45261</v>
      </c>
      <c r="E108" s="220">
        <v>7</v>
      </c>
      <c r="F108" s="517">
        <v>2379</v>
      </c>
      <c r="G108" s="518">
        <v>33516994849</v>
      </c>
      <c r="H108" s="519" t="str">
        <f>IFERROR(IF(factura_c_mes12[[#This Row],[CUIT]]="","-",VLOOKUP(factura_c_mes12[[#This Row],[CUIT]],Lista_CUIT[#All],2,0)),"CUIT NO CARGADO")</f>
        <v>FEDERACION ARGENTINA DE ENTIDADES EMPRESARIAS DEL AUTOTRANSPORTE DE CARGAS FADEEAC</v>
      </c>
      <c r="I108" s="520">
        <v>9600</v>
      </c>
      <c r="J108" s="521" t="str">
        <f>IFERROR(IF(factura_c_mes12[[#This Row],[CUIT]]="","-",VLOOKUP(factura_c_mes12[[#This Row],[CUIT]],Lista_CUIT[#All],3,0)),"CUIT NO CARGADO")</f>
        <v>GASTOS MANTENIMIENTO</v>
      </c>
      <c r="K108" s="521">
        <f>IFERROR(IF(factura_c_mes12[[#This Row],[CUIT]]="","-",VLOOKUP(factura_c_mes12[[#This Row],[CUIT]],Lista_CUIT[#All],4,0)),"CUIT NO CARGADO")</f>
        <v>0</v>
      </c>
    </row>
    <row r="109" spans="2:18" x14ac:dyDescent="0.25">
      <c r="D109" s="50">
        <v>45264</v>
      </c>
      <c r="E109" s="42">
        <v>2</v>
      </c>
      <c r="F109" s="484">
        <v>234</v>
      </c>
      <c r="G109" s="485">
        <v>27265832178</v>
      </c>
      <c r="H109" s="486" t="str">
        <f>IFERROR(IF(factura_c_mes12[[#This Row],[CUIT]]="","-",VLOOKUP(factura_c_mes12[[#This Row],[CUIT]],Lista_CUIT[#All],2,0)),"CUIT NO CARGADO")</f>
        <v>BLASCO MARIA GUADALUPE</v>
      </c>
      <c r="I109" s="487">
        <v>150000</v>
      </c>
      <c r="J109" s="488" t="str">
        <f>IFERROR(IF(factura_c_mes12[[#This Row],[CUIT]]="","-",VLOOKUP(factura_c_mes12[[#This Row],[CUIT]],Lista_CUIT[#All],3,0)),"CUIT NO CARGADO")</f>
        <v>Gastos Varios</v>
      </c>
      <c r="K109" s="488">
        <f>IFERROR(IF(factura_c_mes12[[#This Row],[CUIT]]="","-",VLOOKUP(factura_c_mes12[[#This Row],[CUIT]],Lista_CUIT[#All],4,0)),"CUIT NO CARGADO")</f>
        <v>0</v>
      </c>
    </row>
    <row r="110" spans="2:18" x14ac:dyDescent="0.25">
      <c r="D110" s="50">
        <v>45264</v>
      </c>
      <c r="E110" s="42">
        <v>3</v>
      </c>
      <c r="F110" s="484">
        <v>795</v>
      </c>
      <c r="G110" s="485">
        <v>20086277523</v>
      </c>
      <c r="H110" s="486" t="str">
        <f>IFERROR(IF(factura_c_mes12[[#This Row],[CUIT]]="","-",VLOOKUP(factura_c_mes12[[#This Row],[CUIT]],Lista_CUIT[#All],2,0)),"CUIT NO CARGADO")</f>
        <v>BOTINDARI JUAN CARLOS</v>
      </c>
      <c r="I110" s="487">
        <v>160000</v>
      </c>
      <c r="J110" s="488" t="str">
        <f>IFERROR(IF(factura_c_mes12[[#This Row],[CUIT]]="","-",VLOOKUP(factura_c_mes12[[#This Row],[CUIT]],Lista_CUIT[#All],3,0)),"CUIT NO CARGADO")</f>
        <v>HONORARIOS CONTABLES</v>
      </c>
      <c r="K110" s="488">
        <f>IFERROR(IF(factura_c_mes12[[#This Row],[CUIT]]="","-",VLOOKUP(factura_c_mes12[[#This Row],[CUIT]],Lista_CUIT[#All],4,0)),"CUIT NO CARGADO")</f>
        <v>0</v>
      </c>
    </row>
    <row r="111" spans="2:18" x14ac:dyDescent="0.25">
      <c r="D111" s="50">
        <v>45264</v>
      </c>
      <c r="E111" s="42">
        <v>1</v>
      </c>
      <c r="F111" s="484">
        <v>51</v>
      </c>
      <c r="G111" s="485">
        <v>20403969886</v>
      </c>
      <c r="H111" s="486" t="str">
        <f>IFERROR(IF(factura_c_mes12[[#This Row],[CUIT]]="","-",VLOOKUP(factura_c_mes12[[#This Row],[CUIT]],Lista_CUIT[#All],2,0)),"CUIT NO CARGADO")</f>
        <v>DEL GESSO FRANCO JESUS</v>
      </c>
      <c r="I111" s="487">
        <v>302980</v>
      </c>
      <c r="J111" s="488" t="str">
        <f>IFERROR(IF(factura_c_mes12[[#This Row],[CUIT]]="","-",VLOOKUP(factura_c_mes12[[#This Row],[CUIT]],Lista_CUIT[#All],3,0)),"CUIT NO CARGADO")</f>
        <v>GASTOS ADMINISTRATIVOS</v>
      </c>
      <c r="K111" s="488">
        <f>IFERROR(IF(factura_c_mes12[[#This Row],[CUIT]]="","-",VLOOKUP(factura_c_mes12[[#This Row],[CUIT]],Lista_CUIT[#All],4,0)),"CUIT NO CARGADO")</f>
        <v>0</v>
      </c>
    </row>
    <row r="112" spans="2:18" x14ac:dyDescent="0.25">
      <c r="D112" s="50">
        <v>45264</v>
      </c>
      <c r="E112" s="42">
        <v>1</v>
      </c>
      <c r="F112" s="484">
        <v>52</v>
      </c>
      <c r="G112" s="485">
        <v>20403969886</v>
      </c>
      <c r="H112" s="486" t="str">
        <f>IFERROR(IF(factura_c_mes12[[#This Row],[CUIT]]="","-",VLOOKUP(factura_c_mes12[[#This Row],[CUIT]],Lista_CUIT[#All],2,0)),"CUIT NO CARGADO")</f>
        <v>DEL GESSO FRANCO JESUS</v>
      </c>
      <c r="I112" s="487">
        <v>350225</v>
      </c>
      <c r="J112" s="488" t="str">
        <f>IFERROR(IF(factura_c_mes12[[#This Row],[CUIT]]="","-",VLOOKUP(factura_c_mes12[[#This Row],[CUIT]],Lista_CUIT[#All],3,0)),"CUIT NO CARGADO")</f>
        <v>GASTOS ADMINISTRATIVOS</v>
      </c>
      <c r="K112" s="488">
        <f>IFERROR(IF(factura_c_mes12[[#This Row],[CUIT]]="","-",VLOOKUP(factura_c_mes12[[#This Row],[CUIT]],Lista_CUIT[#All],4,0)),"CUIT NO CARGADO")</f>
        <v>0</v>
      </c>
    </row>
    <row r="113" spans="4:11" x14ac:dyDescent="0.25">
      <c r="D113" s="50">
        <v>45266</v>
      </c>
      <c r="E113" s="42">
        <v>2</v>
      </c>
      <c r="F113" s="484">
        <v>105</v>
      </c>
      <c r="G113" s="485">
        <v>20220423655</v>
      </c>
      <c r="H113" s="486" t="str">
        <f>IFERROR(IF(factura_c_mes12[[#This Row],[CUIT]]="","-",VLOOKUP(factura_c_mes12[[#This Row],[CUIT]],Lista_CUIT[#All],2,0)),"CUIT NO CARGADO")</f>
        <v>LANDRO FERNANDO GABRIEL</v>
      </c>
      <c r="I113" s="487">
        <v>315075</v>
      </c>
      <c r="J113" s="488" t="str">
        <f>IFERROR(IF(factura_c_mes12[[#This Row],[CUIT]]="","-",VLOOKUP(factura_c_mes12[[#This Row],[CUIT]],Lista_CUIT[#All],3,0)),"CUIT NO CARGADO")</f>
        <v>GESTION COBRANZAS</v>
      </c>
      <c r="K113" s="488">
        <f>IFERROR(IF(factura_c_mes12[[#This Row],[CUIT]]="","-",VLOOKUP(factura_c_mes12[[#This Row],[CUIT]],Lista_CUIT[#All],4,0)),"CUIT NO CARGADO")</f>
        <v>0</v>
      </c>
    </row>
    <row r="114" spans="4:11" x14ac:dyDescent="0.25">
      <c r="D114" s="50">
        <v>45266</v>
      </c>
      <c r="E114" s="42">
        <v>2</v>
      </c>
      <c r="F114" s="484">
        <v>106</v>
      </c>
      <c r="G114" s="485">
        <v>20220423655</v>
      </c>
      <c r="H114" s="486" t="str">
        <f>IFERROR(IF(factura_c_mes12[[#This Row],[CUIT]]="","-",VLOOKUP(factura_c_mes12[[#This Row],[CUIT]],Lista_CUIT[#All],2,0)),"CUIT NO CARGADO")</f>
        <v>LANDRO FERNANDO GABRIEL</v>
      </c>
      <c r="I114" s="487">
        <v>341610</v>
      </c>
      <c r="J114" s="488" t="str">
        <f>IFERROR(IF(factura_c_mes12[[#This Row],[CUIT]]="","-",VLOOKUP(factura_c_mes12[[#This Row],[CUIT]],Lista_CUIT[#All],3,0)),"CUIT NO CARGADO")</f>
        <v>GESTION COBRANZAS</v>
      </c>
      <c r="K114" s="488">
        <f>IFERROR(IF(factura_c_mes12[[#This Row],[CUIT]]="","-",VLOOKUP(factura_c_mes12[[#This Row],[CUIT]],Lista_CUIT[#All],4,0)),"CUIT NO CARGADO")</f>
        <v>0</v>
      </c>
    </row>
    <row r="115" spans="4:11" x14ac:dyDescent="0.25">
      <c r="D115" s="50">
        <v>45267</v>
      </c>
      <c r="E115" s="42">
        <v>3</v>
      </c>
      <c r="F115" s="484">
        <v>825</v>
      </c>
      <c r="G115" s="485">
        <v>20216451679</v>
      </c>
      <c r="H115" s="486" t="str">
        <f>IFERROR(IF(factura_c_mes12[[#This Row],[CUIT]]="","-",VLOOKUP(factura_c_mes12[[#This Row],[CUIT]],Lista_CUIT[#All],2,0)),"CUIT NO CARGADO")</f>
        <v>VAZQUEZ RICARDO OSCAR</v>
      </c>
      <c r="I115" s="487">
        <v>120000</v>
      </c>
      <c r="J115" s="488" t="str">
        <f>IFERROR(IF(factura_c_mes12[[#This Row],[CUIT]]="","-",VLOOKUP(factura_c_mes12[[#This Row],[CUIT]],Lista_CUIT[#All],3,0)),"CUIT NO CARGADO")</f>
        <v>Productos Ortopedicos</v>
      </c>
      <c r="K115" s="488">
        <f>IFERROR(IF(factura_c_mes12[[#This Row],[CUIT]]="","-",VLOOKUP(factura_c_mes12[[#This Row],[CUIT]],Lista_CUIT[#All],4,0)),"CUIT NO CARGADO")</f>
        <v>0</v>
      </c>
    </row>
    <row r="116" spans="4:11" x14ac:dyDescent="0.25">
      <c r="D116" s="50">
        <v>45278</v>
      </c>
      <c r="E116" s="42">
        <v>2</v>
      </c>
      <c r="F116" s="484">
        <v>237</v>
      </c>
      <c r="G116" s="485">
        <v>27265832178</v>
      </c>
      <c r="H116" s="486" t="str">
        <f>IFERROR(IF(factura_c_mes12[[#This Row],[CUIT]]="","-",VLOOKUP(factura_c_mes12[[#This Row],[CUIT]],Lista_CUIT[#All],2,0)),"CUIT NO CARGADO")</f>
        <v>BLASCO MARIA GUADALUPE</v>
      </c>
      <c r="I116" s="487">
        <v>150000</v>
      </c>
      <c r="J116" s="488" t="str">
        <f>IFERROR(IF(factura_c_mes12[[#This Row],[CUIT]]="","-",VLOOKUP(factura_c_mes12[[#This Row],[CUIT]],Lista_CUIT[#All],3,0)),"CUIT NO CARGADO")</f>
        <v>Gastos Varios</v>
      </c>
      <c r="K116" s="488">
        <f>IFERROR(IF(factura_c_mes12[[#This Row],[CUIT]]="","-",VLOOKUP(factura_c_mes12[[#This Row],[CUIT]],Lista_CUIT[#All],4,0)),"CUIT NO CARGADO")</f>
        <v>0</v>
      </c>
    </row>
    <row r="117" spans="4:11" x14ac:dyDescent="0.25">
      <c r="D117" s="50">
        <v>45278</v>
      </c>
      <c r="E117" s="42">
        <v>1</v>
      </c>
      <c r="F117" s="484">
        <v>61</v>
      </c>
      <c r="G117" s="485">
        <v>23281233084</v>
      </c>
      <c r="H117" s="486" t="str">
        <f>IFERROR(IF(factura_c_mes12[[#This Row],[CUIT]]="","-",VLOOKUP(factura_c_mes12[[#This Row],[CUIT]],Lista_CUIT[#All],2,0)),"CUIT NO CARGADO")</f>
        <v>DRUETTA ANDREA MARIEL</v>
      </c>
      <c r="I117" s="487">
        <v>72414</v>
      </c>
      <c r="J117" s="488" t="str">
        <f>IFERROR(IF(factura_c_mes12[[#This Row],[CUIT]]="","-",VLOOKUP(factura_c_mes12[[#This Row],[CUIT]],Lista_CUIT[#All],3,0)),"CUIT NO CARGADO")</f>
        <v>HONORARIOS TECNICOS</v>
      </c>
      <c r="K117" s="488">
        <f>IFERROR(IF(factura_c_mes12[[#This Row],[CUIT]]="","-",VLOOKUP(factura_c_mes12[[#This Row],[CUIT]],Lista_CUIT[#All],4,0)),"CUIT NO CARGADO")</f>
        <v>0</v>
      </c>
    </row>
    <row r="118" spans="4:11" x14ac:dyDescent="0.25">
      <c r="D118" s="50">
        <v>45279</v>
      </c>
      <c r="E118" s="42">
        <v>1</v>
      </c>
      <c r="F118" s="484">
        <v>181</v>
      </c>
      <c r="G118" s="485">
        <v>27217606255</v>
      </c>
      <c r="H118" s="486" t="str">
        <f>IFERROR(IF(factura_c_mes12[[#This Row],[CUIT]]="","-",VLOOKUP(factura_c_mes12[[#This Row],[CUIT]],Lista_CUIT[#All],2,0)),"CUIT NO CARGADO")</f>
        <v>SAPUNA MARIAN KARINA</v>
      </c>
      <c r="I118" s="487">
        <v>192000</v>
      </c>
      <c r="J118" s="488" t="str">
        <f>IFERROR(IF(factura_c_mes12[[#This Row],[CUIT]]="","-",VLOOKUP(factura_c_mes12[[#This Row],[CUIT]],Lista_CUIT[#All],3,0)),"CUIT NO CARGADO")</f>
        <v>GASTOS MANTENIMIENTO</v>
      </c>
      <c r="K118" s="488">
        <f>IFERROR(IF(factura_c_mes12[[#This Row],[CUIT]]="","-",VLOOKUP(factura_c_mes12[[#This Row],[CUIT]],Lista_CUIT[#All],4,0)),"CUIT NO CARGADO")</f>
        <v>0</v>
      </c>
    </row>
    <row r="119" spans="4:11" x14ac:dyDescent="0.25">
      <c r="D119" s="50">
        <v>45279</v>
      </c>
      <c r="E119" s="42">
        <v>1</v>
      </c>
      <c r="F119" s="484">
        <v>182</v>
      </c>
      <c r="G119" s="485">
        <v>27217606255</v>
      </c>
      <c r="H119" s="486" t="str">
        <f>IFERROR(IF(factura_c_mes12[[#This Row],[CUIT]]="","-",VLOOKUP(factura_c_mes12[[#This Row],[CUIT]],Lista_CUIT[#All],2,0)),"CUIT NO CARGADO")</f>
        <v>SAPUNA MARIAN KARINA</v>
      </c>
      <c r="I119" s="487">
        <v>120000</v>
      </c>
      <c r="J119" s="488" t="str">
        <f>IFERROR(IF(factura_c_mes12[[#This Row],[CUIT]]="","-",VLOOKUP(factura_c_mes12[[#This Row],[CUIT]],Lista_CUIT[#All],3,0)),"CUIT NO CARGADO")</f>
        <v>GASTOS MANTENIMIENTO</v>
      </c>
      <c r="K119" s="488">
        <f>IFERROR(IF(factura_c_mes12[[#This Row],[CUIT]]="","-",VLOOKUP(factura_c_mes12[[#This Row],[CUIT]],Lista_CUIT[#All],4,0)),"CUIT NO CARGADO")</f>
        <v>0</v>
      </c>
    </row>
    <row r="120" spans="4:11" x14ac:dyDescent="0.25">
      <c r="D120" s="50">
        <v>45281</v>
      </c>
      <c r="E120" s="42">
        <v>1</v>
      </c>
      <c r="F120" s="484">
        <v>57</v>
      </c>
      <c r="G120" s="485">
        <v>20299835260</v>
      </c>
      <c r="H120" s="486" t="str">
        <f>IFERROR(IF(factura_c_mes12[[#This Row],[CUIT]]="","-",VLOOKUP(factura_c_mes12[[#This Row],[CUIT]],Lista_CUIT[#All],2,0)),"CUIT NO CARGADO")</f>
        <v>MALGAREJO NICOLAS EMILIO</v>
      </c>
      <c r="I120" s="487">
        <v>30000</v>
      </c>
      <c r="J120" s="488" t="str">
        <f>IFERROR(IF(factura_c_mes12[[#This Row],[CUIT]]="","-",VLOOKUP(factura_c_mes12[[#This Row],[CUIT]],Lista_CUIT[#All],3,0)),"CUIT NO CARGADO")</f>
        <v>Productos Ortopedicos</v>
      </c>
      <c r="K120" s="488">
        <f>IFERROR(IF(factura_c_mes12[[#This Row],[CUIT]]="","-",VLOOKUP(factura_c_mes12[[#This Row],[CUIT]],Lista_CUIT[#All],4,0)),"CUIT NO CARGADO")</f>
        <v>0</v>
      </c>
    </row>
    <row r="121" spans="4:11" x14ac:dyDescent="0.25">
      <c r="D121" s="50">
        <v>45281</v>
      </c>
      <c r="E121" s="42">
        <v>1</v>
      </c>
      <c r="F121" s="484">
        <v>58</v>
      </c>
      <c r="G121" s="485">
        <v>20299835260</v>
      </c>
      <c r="H121" s="486" t="str">
        <f>IFERROR(IF(factura_c_mes12[[#This Row],[CUIT]]="","-",VLOOKUP(factura_c_mes12[[#This Row],[CUIT]],Lista_CUIT[#All],2,0)),"CUIT NO CARGADO")</f>
        <v>MALGAREJO NICOLAS EMILIO</v>
      </c>
      <c r="I121" s="487">
        <v>100000</v>
      </c>
      <c r="J121" s="488" t="str">
        <f>IFERROR(IF(factura_c_mes12[[#This Row],[CUIT]]="","-",VLOOKUP(factura_c_mes12[[#This Row],[CUIT]],Lista_CUIT[#All],3,0)),"CUIT NO CARGADO")</f>
        <v>Productos Ortopedicos</v>
      </c>
      <c r="K121" s="488">
        <f>IFERROR(IF(factura_c_mes12[[#This Row],[CUIT]]="","-",VLOOKUP(factura_c_mes12[[#This Row],[CUIT]],Lista_CUIT[#All],4,0)),"CUIT NO CARGADO")</f>
        <v>0</v>
      </c>
    </row>
    <row r="122" spans="4:11" x14ac:dyDescent="0.25">
      <c r="D122" s="50">
        <v>45281</v>
      </c>
      <c r="E122" s="42">
        <v>1</v>
      </c>
      <c r="F122" s="484">
        <v>183</v>
      </c>
      <c r="G122" s="485">
        <v>27217606255</v>
      </c>
      <c r="H122" s="486" t="str">
        <f>IFERROR(IF(factura_c_mes12[[#This Row],[CUIT]]="","-",VLOOKUP(factura_c_mes12[[#This Row],[CUIT]],Lista_CUIT[#All],2,0)),"CUIT NO CARGADO")</f>
        <v>SAPUNA MARIAN KARINA</v>
      </c>
      <c r="I122" s="487">
        <v>85000</v>
      </c>
      <c r="J122" s="488" t="str">
        <f>IFERROR(IF(factura_c_mes12[[#This Row],[CUIT]]="","-",VLOOKUP(factura_c_mes12[[#This Row],[CUIT]],Lista_CUIT[#All],3,0)),"CUIT NO CARGADO")</f>
        <v>GASTOS MANTENIMIENTO</v>
      </c>
      <c r="K122" s="488">
        <f>IFERROR(IF(factura_c_mes12[[#This Row],[CUIT]]="","-",VLOOKUP(factura_c_mes12[[#This Row],[CUIT]],Lista_CUIT[#All],4,0)),"CUIT NO CARGADO")</f>
        <v>0</v>
      </c>
    </row>
    <row r="123" spans="4:11" x14ac:dyDescent="0.25">
      <c r="D123" s="50">
        <v>45281</v>
      </c>
      <c r="E123" s="42">
        <v>1</v>
      </c>
      <c r="F123" s="484">
        <v>184</v>
      </c>
      <c r="G123" s="485">
        <v>27217606255</v>
      </c>
      <c r="H123" s="486" t="str">
        <f>IFERROR(IF(factura_c_mes12[[#This Row],[CUIT]]="","-",VLOOKUP(factura_c_mes12[[#This Row],[CUIT]],Lista_CUIT[#All],2,0)),"CUIT NO CARGADO")</f>
        <v>SAPUNA MARIAN KARINA</v>
      </c>
      <c r="I123" s="487">
        <v>187500</v>
      </c>
      <c r="J123" s="488" t="str">
        <f>IFERROR(IF(factura_c_mes12[[#This Row],[CUIT]]="","-",VLOOKUP(factura_c_mes12[[#This Row],[CUIT]],Lista_CUIT[#All],3,0)),"CUIT NO CARGADO")</f>
        <v>GASTOS MANTENIMIENTO</v>
      </c>
      <c r="K123" s="488">
        <f>IFERROR(IF(factura_c_mes12[[#This Row],[CUIT]]="","-",VLOOKUP(factura_c_mes12[[#This Row],[CUIT]],Lista_CUIT[#All],4,0)),"CUIT NO CARGADO")</f>
        <v>0</v>
      </c>
    </row>
    <row r="124" spans="4:11" x14ac:dyDescent="0.25">
      <c r="D124" s="50">
        <v>45282</v>
      </c>
      <c r="E124" s="42">
        <v>1</v>
      </c>
      <c r="F124" s="484">
        <v>117</v>
      </c>
      <c r="G124" s="485">
        <v>27338342840</v>
      </c>
      <c r="H124" s="486" t="str">
        <f>IFERROR(IF(factura_c_mes12[[#This Row],[CUIT]]="","-",VLOOKUP(factura_c_mes12[[#This Row],[CUIT]],Lista_CUIT[#All],2,0)),"CUIT NO CARGADO")</f>
        <v>CANCINO PAMELA RITA</v>
      </c>
      <c r="I124" s="487">
        <v>358800</v>
      </c>
      <c r="J124" s="488" t="str">
        <f>IFERROR(IF(factura_c_mes12[[#This Row],[CUIT]]="","-",VLOOKUP(factura_c_mes12[[#This Row],[CUIT]],Lista_CUIT[#All],3,0)),"CUIT NO CARGADO")</f>
        <v>Productos Ortopedicos</v>
      </c>
      <c r="K124" s="488">
        <f>IFERROR(IF(factura_c_mes12[[#This Row],[CUIT]]="","-",VLOOKUP(factura_c_mes12[[#This Row],[CUIT]],Lista_CUIT[#All],4,0)),"CUIT NO CARGADO")</f>
        <v>0</v>
      </c>
    </row>
    <row r="125" spans="4:11" x14ac:dyDescent="0.25">
      <c r="D125" s="50">
        <v>45282</v>
      </c>
      <c r="E125" s="42">
        <v>1</v>
      </c>
      <c r="F125" s="484">
        <v>186</v>
      </c>
      <c r="G125" s="485">
        <v>27217606255</v>
      </c>
      <c r="H125" s="486" t="str">
        <f>IFERROR(IF(factura_c_mes12[[#This Row],[CUIT]]="","-",VLOOKUP(factura_c_mes12[[#This Row],[CUIT]],Lista_CUIT[#All],2,0)),"CUIT NO CARGADO")</f>
        <v>SAPUNA MARIAN KARINA</v>
      </c>
      <c r="I125" s="487">
        <v>62800</v>
      </c>
      <c r="J125" s="488" t="str">
        <f>IFERROR(IF(factura_c_mes12[[#This Row],[CUIT]]="","-",VLOOKUP(factura_c_mes12[[#This Row],[CUIT]],Lista_CUIT[#All],3,0)),"CUIT NO CARGADO")</f>
        <v>GASTOS MANTENIMIENTO</v>
      </c>
      <c r="K125" s="488">
        <f>IFERROR(IF(factura_c_mes12[[#This Row],[CUIT]]="","-",VLOOKUP(factura_c_mes12[[#This Row],[CUIT]],Lista_CUIT[#All],4,0)),"CUIT NO CARGADO")</f>
        <v>0</v>
      </c>
    </row>
    <row r="126" spans="4:11" x14ac:dyDescent="0.25">
      <c r="D126" s="50">
        <v>45282</v>
      </c>
      <c r="E126" s="42">
        <v>1</v>
      </c>
      <c r="F126" s="484">
        <v>187</v>
      </c>
      <c r="G126" s="485">
        <v>27217606255</v>
      </c>
      <c r="H126" s="486" t="str">
        <f>IFERROR(IF(factura_c_mes12[[#This Row],[CUIT]]="","-",VLOOKUP(factura_c_mes12[[#This Row],[CUIT]],Lista_CUIT[#All],2,0)),"CUIT NO CARGADO")</f>
        <v>SAPUNA MARIAN KARINA</v>
      </c>
      <c r="I126" s="487">
        <v>52140</v>
      </c>
      <c r="J126" s="488" t="str">
        <f>IFERROR(IF(factura_c_mes12[[#This Row],[CUIT]]="","-",VLOOKUP(factura_c_mes12[[#This Row],[CUIT]],Lista_CUIT[#All],3,0)),"CUIT NO CARGADO")</f>
        <v>GASTOS MANTENIMIENTO</v>
      </c>
      <c r="K126" s="488">
        <f>IFERROR(IF(factura_c_mes12[[#This Row],[CUIT]]="","-",VLOOKUP(factura_c_mes12[[#This Row],[CUIT]],Lista_CUIT[#All],4,0)),"CUIT NO CARGADO")</f>
        <v>0</v>
      </c>
    </row>
    <row r="127" spans="4:11" x14ac:dyDescent="0.25">
      <c r="D127" s="50">
        <v>45282</v>
      </c>
      <c r="E127" s="42">
        <v>1</v>
      </c>
      <c r="F127" s="484">
        <v>185</v>
      </c>
      <c r="G127" s="485">
        <v>27217606255</v>
      </c>
      <c r="H127" s="486" t="str">
        <f>IFERROR(IF(factura_c_mes12[[#This Row],[CUIT]]="","-",VLOOKUP(factura_c_mes12[[#This Row],[CUIT]],Lista_CUIT[#All],2,0)),"CUIT NO CARGADO")</f>
        <v>SAPUNA MARIAN KARINA</v>
      </c>
      <c r="I127" s="487">
        <v>170656</v>
      </c>
      <c r="J127" s="488" t="str">
        <f>IFERROR(IF(factura_c_mes12[[#This Row],[CUIT]]="","-",VLOOKUP(factura_c_mes12[[#This Row],[CUIT]],Lista_CUIT[#All],3,0)),"CUIT NO CARGADO")</f>
        <v>GASTOS MANTENIMIENTO</v>
      </c>
      <c r="K127" s="488">
        <f>IFERROR(IF(factura_c_mes12[[#This Row],[CUIT]]="","-",VLOOKUP(factura_c_mes12[[#This Row],[CUIT]],Lista_CUIT[#All],4,0)),"CUIT NO CARGADO")</f>
        <v>0</v>
      </c>
    </row>
    <row r="128" spans="4:11" x14ac:dyDescent="0.25">
      <c r="D128" s="50">
        <v>45287</v>
      </c>
      <c r="E128" s="42">
        <v>1</v>
      </c>
      <c r="F128" s="43">
        <v>59</v>
      </c>
      <c r="G128" s="44">
        <v>20299835260</v>
      </c>
      <c r="H128" s="53" t="str">
        <f>IFERROR(IF(factura_c_mes12[[#This Row],[CUIT]]="","-",VLOOKUP(factura_c_mes12[[#This Row],[CUIT]],Lista_CUIT[#All],2,0)),"CUIT NO CARGADO")</f>
        <v>MALGAREJO NICOLAS EMILIO</v>
      </c>
      <c r="I128" s="81">
        <v>80000</v>
      </c>
      <c r="J128" s="54" t="str">
        <f>IFERROR(IF(factura_c_mes12[[#This Row],[CUIT]]="","-",VLOOKUP(factura_c_mes12[[#This Row],[CUIT]],Lista_CUIT[#All],3,0)),"CUIT NO CARGADO")</f>
        <v>Productos Ortopedicos</v>
      </c>
      <c r="K128" s="54">
        <f>IFERROR(IF(factura_c_mes12[[#This Row],[CUIT]]="","-",VLOOKUP(factura_c_mes12[[#This Row],[CUIT]],Lista_CUIT[#All],4,0)),"CUIT NO CARGADO")</f>
        <v>0</v>
      </c>
    </row>
    <row r="129" spans="2:18" ht="18" customHeight="1" x14ac:dyDescent="0.25">
      <c r="D129" s="50">
        <v>45288</v>
      </c>
      <c r="E129" s="42">
        <v>3</v>
      </c>
      <c r="F129" s="43">
        <v>842</v>
      </c>
      <c r="G129" s="44">
        <v>20216451679</v>
      </c>
      <c r="H129" s="53" t="str">
        <f>IFERROR(IF(factura_c_mes12[[#This Row],[CUIT]]="","-",VLOOKUP(factura_c_mes12[[#This Row],[CUIT]],Lista_CUIT[#All],2,0)),"CUIT NO CARGADO")</f>
        <v>VAZQUEZ RICARDO OSCAR</v>
      </c>
      <c r="I129" s="81">
        <v>120000</v>
      </c>
      <c r="J129" s="54" t="str">
        <f>IFERROR(IF(factura_c_mes12[[#This Row],[CUIT]]="","-",VLOOKUP(factura_c_mes12[[#This Row],[CUIT]],Lista_CUIT[#All],3,0)),"CUIT NO CARGADO")</f>
        <v>Productos Ortopedicos</v>
      </c>
      <c r="K129" s="54">
        <f>IFERROR(IF(factura_c_mes12[[#This Row],[CUIT]]="","-",VLOOKUP(factura_c_mes12[[#This Row],[CUIT]],Lista_CUIT[#All],4,0)),"CUIT NO CARGADO")</f>
        <v>0</v>
      </c>
    </row>
    <row r="130" spans="2:18" x14ac:dyDescent="0.25">
      <c r="D130" s="50">
        <v>45288</v>
      </c>
      <c r="E130" s="42">
        <v>1</v>
      </c>
      <c r="F130" s="43">
        <v>4</v>
      </c>
      <c r="G130" s="44">
        <v>27443612705</v>
      </c>
      <c r="H130" s="53" t="str">
        <f>IFERROR(IF(factura_c_mes12[[#This Row],[CUIT]]="","-",VLOOKUP(factura_c_mes12[[#This Row],[CUIT]],Lista_CUIT[#All],2,0)),"CUIT NO CARGADO")</f>
        <v>MIGOYA MORIONDO MARIA INES</v>
      </c>
      <c r="I130" s="81">
        <v>150000</v>
      </c>
      <c r="J130" s="54" t="str">
        <f>IFERROR(IF(factura_c_mes12[[#This Row],[CUIT]]="","-",VLOOKUP(factura_c_mes12[[#This Row],[CUIT]],Lista_CUIT[#All],3,0)),"CUIT NO CARGADO")</f>
        <v>ALQUILERES</v>
      </c>
      <c r="K130" s="54">
        <f>IFERROR(IF(factura_c_mes12[[#This Row],[CUIT]]="","-",VLOOKUP(factura_c_mes12[[#This Row],[CUIT]],Lista_CUIT[#All],4,0)),"CUIT NO CARGADO")</f>
        <v>0</v>
      </c>
    </row>
    <row r="131" spans="2:18" x14ac:dyDescent="0.25">
      <c r="D131" s="360">
        <v>45288</v>
      </c>
      <c r="E131" s="220">
        <v>2</v>
      </c>
      <c r="F131" s="221">
        <v>24</v>
      </c>
      <c r="G131" s="222">
        <v>27178792178</v>
      </c>
      <c r="H131" s="362" t="str">
        <f>IFERROR(IF(factura_c_mes12[[#This Row],[CUIT]]="","-",VLOOKUP(factura_c_mes12[[#This Row],[CUIT]],Lista_CUIT[#All],2,0)),"CUIT NO CARGADO")</f>
        <v>SAMPEDRO SILVIA HERMINIA</v>
      </c>
      <c r="I131" s="363">
        <v>800000</v>
      </c>
      <c r="J131" s="364" t="str">
        <f>IFERROR(IF(factura_c_mes12[[#This Row],[CUIT]]="","-",VLOOKUP(factura_c_mes12[[#This Row],[CUIT]],Lista_CUIT[#All],3,0)),"CUIT NO CARGADO")</f>
        <v>GASTOS ADMINISTRATIVOS</v>
      </c>
      <c r="K131" s="364">
        <f>IFERROR(IF(factura_c_mes12[[#This Row],[CUIT]]="","-",VLOOKUP(factura_c_mes12[[#This Row],[CUIT]],Lista_CUIT[#All],4,0)),"CUIT NO CARGADO")</f>
        <v>0</v>
      </c>
    </row>
    <row r="132" spans="2:18" x14ac:dyDescent="0.25">
      <c r="D132" s="360">
        <v>45288</v>
      </c>
      <c r="E132" s="220">
        <v>2</v>
      </c>
      <c r="F132" s="517">
        <v>461</v>
      </c>
      <c r="G132" s="518">
        <v>27178792178</v>
      </c>
      <c r="H132" s="519" t="str">
        <f>IFERROR(IF(factura_c_mes12[[#This Row],[CUIT]]="","-",VLOOKUP(factura_c_mes12[[#This Row],[CUIT]],Lista_CUIT[#All],2,0)),"CUIT NO CARGADO")</f>
        <v>SAMPEDRO SILVIA HERMINIA</v>
      </c>
      <c r="I132" s="520">
        <v>800000</v>
      </c>
      <c r="J132" s="521" t="str">
        <f>IFERROR(IF(factura_c_mes12[[#This Row],[CUIT]]="","-",VLOOKUP(factura_c_mes12[[#This Row],[CUIT]],Lista_CUIT[#All],3,0)),"CUIT NO CARGADO")</f>
        <v>GASTOS ADMINISTRATIVOS</v>
      </c>
      <c r="K132" s="521">
        <f>IFERROR(IF(factura_c_mes12[[#This Row],[CUIT]]="","-",VLOOKUP(factura_c_mes12[[#This Row],[CUIT]],Lista_CUIT[#All],4,0)),"CUIT NO CARGADO")</f>
        <v>0</v>
      </c>
    </row>
    <row r="133" spans="2:18" x14ac:dyDescent="0.25">
      <c r="B133" s="56"/>
      <c r="C133" s="56"/>
      <c r="D133" s="55" t="s">
        <v>110</v>
      </c>
      <c r="E133" s="55"/>
      <c r="F133" s="55"/>
      <c r="G133" s="55"/>
      <c r="H133" s="57"/>
      <c r="I133" s="58">
        <f>SUBTOTAL(109,factura_c_mes12[TOTAL])</f>
        <v>5319133</v>
      </c>
      <c r="J133" s="55"/>
      <c r="K133" s="55"/>
      <c r="L133" s="56"/>
      <c r="M133" s="56"/>
      <c r="N133" s="56"/>
      <c r="O133" s="56"/>
      <c r="P133" s="56"/>
      <c r="Q133" s="56"/>
      <c r="R133" s="56"/>
    </row>
    <row r="138" spans="2:18" ht="26.25" x14ac:dyDescent="0.25">
      <c r="B138" s="532" t="s">
        <v>29</v>
      </c>
      <c r="C138" s="532"/>
      <c r="D138" s="532"/>
      <c r="E138" s="532"/>
      <c r="F138" s="532"/>
      <c r="G138" s="532"/>
      <c r="H138" s="532"/>
      <c r="I138" s="532"/>
      <c r="J138" s="532"/>
      <c r="K138" s="528">
        <f>N1</f>
        <v>45261</v>
      </c>
      <c r="L138" s="528"/>
      <c r="M138" s="528"/>
    </row>
    <row r="139" spans="2:18" ht="25.9" customHeight="1" x14ac:dyDescent="0.25"/>
    <row r="140" spans="2:18" ht="21" x14ac:dyDescent="0.25">
      <c r="B140" s="525" t="s">
        <v>30</v>
      </c>
      <c r="C140" s="525"/>
    </row>
    <row r="141" spans="2:18" ht="17.25" customHeight="1" x14ac:dyDescent="0.25">
      <c r="B141" s="60" t="s">
        <v>0</v>
      </c>
      <c r="C141" s="61" t="s">
        <v>1</v>
      </c>
      <c r="D141" s="61" t="s">
        <v>21</v>
      </c>
      <c r="E141" s="61" t="s">
        <v>22</v>
      </c>
      <c r="F141" s="61" t="s">
        <v>3</v>
      </c>
      <c r="G141" s="61" t="s">
        <v>4</v>
      </c>
      <c r="H141" s="61" t="s">
        <v>23</v>
      </c>
      <c r="I141" s="61" t="s">
        <v>17</v>
      </c>
      <c r="J141" s="61" t="s">
        <v>7</v>
      </c>
      <c r="K141" s="61" t="s">
        <v>24</v>
      </c>
      <c r="L141" s="61" t="s">
        <v>10</v>
      </c>
      <c r="M141" s="62" t="s">
        <v>38</v>
      </c>
    </row>
    <row r="142" spans="2:18" ht="31.5" customHeight="1" x14ac:dyDescent="0.25">
      <c r="B142" s="40"/>
      <c r="C142" s="41"/>
      <c r="D142" s="42"/>
      <c r="E142" s="43"/>
      <c r="F142" s="44"/>
      <c r="G142" s="99" t="str">
        <f>IFERROR(IF(venta_a_mes12[[#This Row],[CUIT]]="","-",VLOOKUP(venta_a_mes12[[#This Row],[CUIT]],Lista_CUIT[#All],2,0)),"CUIT NO CARGADO")</f>
        <v>-</v>
      </c>
      <c r="H142" s="100"/>
      <c r="I142" s="101">
        <f>venta_a_mes12[[#This Row],[IMPORTE NETO]]*0.21</f>
        <v>0</v>
      </c>
      <c r="J142" s="65"/>
      <c r="K142" s="65"/>
      <c r="L142" s="65">
        <f>SUM(venta_a_mes12[[#This Row],[IMPORTE NETO]:[EXENTO]])</f>
        <v>0</v>
      </c>
      <c r="M142" s="59"/>
    </row>
    <row r="143" spans="2:18" x14ac:dyDescent="0.25">
      <c r="B143" s="40"/>
      <c r="C143" s="41"/>
      <c r="D143" s="42"/>
      <c r="E143" s="43"/>
      <c r="F143" s="44"/>
      <c r="G143" s="99" t="str">
        <f>IFERROR(IF(venta_a_mes12[[#This Row],[CUIT]]="","-",VLOOKUP(venta_a_mes12[[#This Row],[CUIT]],Lista_CUIT[#All],2,0)),"CUIT NO CARGADO")</f>
        <v>-</v>
      </c>
      <c r="H143" s="100"/>
      <c r="I143" s="101">
        <f>venta_a_mes12[[#This Row],[IMPORTE NETO]]*0.21</f>
        <v>0</v>
      </c>
      <c r="J143" s="65"/>
      <c r="K143" s="65"/>
      <c r="L143" s="65">
        <f>SUM(venta_a_mes12[[#This Row],[IMPORTE NETO]:[EXENTO]])</f>
        <v>0</v>
      </c>
      <c r="M143" s="59"/>
    </row>
    <row r="144" spans="2:18" x14ac:dyDescent="0.25">
      <c r="B144" s="40"/>
      <c r="C144" s="41"/>
      <c r="D144" s="42"/>
      <c r="E144" s="43"/>
      <c r="F144" s="44"/>
      <c r="G144" s="99" t="str">
        <f>IFERROR(IF(venta_a_mes12[[#This Row],[CUIT]]="","-",VLOOKUP(venta_a_mes12[[#This Row],[CUIT]],Lista_CUIT[#All],2,0)),"CUIT NO CARGADO")</f>
        <v>-</v>
      </c>
      <c r="H144" s="100"/>
      <c r="I144" s="101">
        <f>venta_a_mes12[[#This Row],[IMPORTE NETO]]*0.21</f>
        <v>0</v>
      </c>
      <c r="J144" s="65"/>
      <c r="K144" s="65"/>
      <c r="L144" s="65">
        <f>SUM(venta_a_mes12[[#This Row],[IMPORTE NETO]:[EXENTO]])</f>
        <v>0</v>
      </c>
      <c r="M144" s="59"/>
    </row>
    <row r="145" spans="2:13" x14ac:dyDescent="0.25">
      <c r="B145" s="40"/>
      <c r="C145" s="41"/>
      <c r="D145" s="42"/>
      <c r="E145" s="43"/>
      <c r="F145" s="44"/>
      <c r="G145" s="99" t="str">
        <f>IFERROR(IF(venta_a_mes12[[#This Row],[CUIT]]="","-",VLOOKUP(venta_a_mes12[[#This Row],[CUIT]],Lista_CUIT[#All],2,0)),"CUIT NO CARGADO")</f>
        <v>-</v>
      </c>
      <c r="H145" s="100"/>
      <c r="I145" s="101">
        <f>venta_a_mes12[[#This Row],[IMPORTE NETO]]*0.21</f>
        <v>0</v>
      </c>
      <c r="J145" s="65"/>
      <c r="K145" s="65"/>
      <c r="L145" s="65">
        <f>SUM(venta_a_mes12[[#This Row],[IMPORTE NETO]:[EXENTO]])</f>
        <v>0</v>
      </c>
      <c r="M145" s="59"/>
    </row>
    <row r="146" spans="2:13" x14ac:dyDescent="0.25">
      <c r="B146" s="40"/>
      <c r="C146" s="41"/>
      <c r="D146" s="42"/>
      <c r="E146" s="43"/>
      <c r="F146" s="44"/>
      <c r="G146" s="99" t="str">
        <f>IFERROR(IF(venta_a_mes12[[#This Row],[CUIT]]="","-",VLOOKUP(venta_a_mes12[[#This Row],[CUIT]],Lista_CUIT[#All],2,0)),"CUIT NO CARGADO")</f>
        <v>-</v>
      </c>
      <c r="H146" s="100"/>
      <c r="I146" s="101">
        <f>venta_a_mes12[[#This Row],[IMPORTE NETO]]*0.21</f>
        <v>0</v>
      </c>
      <c r="J146" s="65"/>
      <c r="K146" s="65"/>
      <c r="L146" s="65">
        <f>SUM(venta_a_mes12[[#This Row],[IMPORTE NETO]:[EXENTO]])</f>
        <v>0</v>
      </c>
      <c r="M146" s="59"/>
    </row>
    <row r="147" spans="2:13" x14ac:dyDescent="0.25">
      <c r="B147" s="40"/>
      <c r="C147" s="41"/>
      <c r="D147" s="42"/>
      <c r="E147" s="43"/>
      <c r="F147" s="44"/>
      <c r="G147" s="99" t="str">
        <f>IFERROR(IF(venta_a_mes12[[#This Row],[CUIT]]="","-",VLOOKUP(venta_a_mes12[[#This Row],[CUIT]],Lista_CUIT[#All],2,0)),"CUIT NO CARGADO")</f>
        <v>-</v>
      </c>
      <c r="H147" s="100"/>
      <c r="I147" s="101">
        <f>venta_a_mes12[[#This Row],[IMPORTE NETO]]*0.21</f>
        <v>0</v>
      </c>
      <c r="J147" s="65"/>
      <c r="K147" s="65"/>
      <c r="L147" s="65">
        <f>SUM(venta_a_mes12[[#This Row],[IMPORTE NETO]:[EXENTO]])</f>
        <v>0</v>
      </c>
      <c r="M147" s="59"/>
    </row>
    <row r="148" spans="2:13" x14ac:dyDescent="0.25">
      <c r="B148" s="40"/>
      <c r="C148" s="41"/>
      <c r="D148" s="42"/>
      <c r="E148" s="43"/>
      <c r="F148" s="44"/>
      <c r="G148" s="99" t="str">
        <f>IFERROR(IF(venta_a_mes12[[#This Row],[CUIT]]="","-",VLOOKUP(venta_a_mes12[[#This Row],[CUIT]],Lista_CUIT[#All],2,0)),"CUIT NO CARGADO")</f>
        <v>-</v>
      </c>
      <c r="H148" s="100"/>
      <c r="I148" s="101">
        <f>venta_a_mes12[[#This Row],[IMPORTE NETO]]*0.21</f>
        <v>0</v>
      </c>
      <c r="J148" s="65"/>
      <c r="K148" s="65"/>
      <c r="L148" s="65">
        <f>SUM(venta_a_mes12[[#This Row],[IMPORTE NETO]:[EXENTO]])</f>
        <v>0</v>
      </c>
      <c r="M148" s="63"/>
    </row>
    <row r="149" spans="2:13" x14ac:dyDescent="0.25">
      <c r="B149" s="102"/>
      <c r="C149" s="103"/>
      <c r="D149" s="104"/>
      <c r="E149" s="105"/>
      <c r="F149" s="106"/>
      <c r="G149" s="99" t="str">
        <f>IFERROR(IF(venta_a_mes12[[#This Row],[CUIT]]="","-",VLOOKUP(venta_a_mes12[[#This Row],[CUIT]],Lista_CUIT[#All],2,0)),"CUIT NO CARGADO")</f>
        <v>-</v>
      </c>
      <c r="H149" s="107"/>
      <c r="I149" s="108">
        <f>venta_a_mes12[[#This Row],[IMPORTE NETO]]*0.21</f>
        <v>0</v>
      </c>
      <c r="J149" s="72"/>
      <c r="K149" s="72"/>
      <c r="L149" s="72">
        <f>SUM(venta_a_mes12[[#This Row],[IMPORTE NETO]:[EXENTO]])</f>
        <v>0</v>
      </c>
      <c r="M149" s="63"/>
    </row>
    <row r="150" spans="2:13" x14ac:dyDescent="0.25">
      <c r="B150" s="109"/>
      <c r="C150" s="110"/>
      <c r="D150" s="111"/>
      <c r="E150" s="112"/>
      <c r="F150" s="113"/>
      <c r="G150" s="99" t="str">
        <f>IFERROR(IF(venta_a_mes12[[#This Row],[CUIT]]="","-",VLOOKUP(venta_a_mes12[[#This Row],[CUIT]],Lista_CUIT[#All],2,0)),"CUIT NO CARGADO")</f>
        <v>-</v>
      </c>
      <c r="H150" s="100"/>
      <c r="I150" s="101">
        <f>venta_a_mes12[[#This Row],[IMPORTE NETO]]*0.21</f>
        <v>0</v>
      </c>
      <c r="J150" s="65"/>
      <c r="K150" s="65"/>
      <c r="L150" s="65">
        <f>SUM(venta_a_mes12[[#This Row],[IMPORTE NETO]:[EXENTO]])</f>
        <v>0</v>
      </c>
      <c r="M150" s="59"/>
    </row>
    <row r="151" spans="2:13" x14ac:dyDescent="0.25">
      <c r="B151" s="66" t="s">
        <v>110</v>
      </c>
      <c r="C151" s="67"/>
      <c r="D151" s="67"/>
      <c r="E151" s="67"/>
      <c r="F151" s="67"/>
      <c r="G151" s="67"/>
      <c r="H151" s="69">
        <f>SUBTOTAL(109,venta_a_mes12[IMPORTE NETO])</f>
        <v>0</v>
      </c>
      <c r="I151" s="70">
        <f>SUBTOTAL(109,venta_a_mes12[IVA 21%])</f>
        <v>0</v>
      </c>
      <c r="J151" s="71">
        <f>SUBTOTAL(109,venta_a_mes12[IVA 10,5%])</f>
        <v>0</v>
      </c>
      <c r="K151" s="71">
        <f>SUBTOTAL(109,venta_a_mes12[EXENTO])</f>
        <v>0</v>
      </c>
      <c r="L151" s="71">
        <f>SUBTOTAL(109,venta_a_mes12[TOTAL])</f>
        <v>0</v>
      </c>
      <c r="M151" s="68">
        <f>SUBTOTAL(103,venta_a_mes12[Provincia])</f>
        <v>0</v>
      </c>
    </row>
    <row r="152" spans="2:13" ht="19.149999999999999" customHeight="1" x14ac:dyDescent="0.25"/>
    <row r="153" spans="2:13" ht="28.9" customHeight="1" x14ac:dyDescent="0.25"/>
    <row r="154" spans="2:13" ht="21" x14ac:dyDescent="0.25">
      <c r="B154" s="525" t="s">
        <v>31</v>
      </c>
      <c r="C154" s="525"/>
    </row>
    <row r="155" spans="2:13" ht="15.75" x14ac:dyDescent="0.25">
      <c r="B155" s="60" t="s">
        <v>0</v>
      </c>
      <c r="C155" s="61" t="s">
        <v>1</v>
      </c>
      <c r="D155" s="61" t="s">
        <v>21</v>
      </c>
      <c r="E155" s="61" t="s">
        <v>22</v>
      </c>
      <c r="F155" s="61" t="s">
        <v>3</v>
      </c>
      <c r="G155" s="61" t="s">
        <v>4</v>
      </c>
      <c r="H155" s="61" t="s">
        <v>23</v>
      </c>
      <c r="I155" s="61" t="s">
        <v>17</v>
      </c>
      <c r="J155" s="61" t="s">
        <v>7</v>
      </c>
      <c r="K155" s="61" t="s">
        <v>24</v>
      </c>
      <c r="L155" s="61" t="s">
        <v>10</v>
      </c>
      <c r="M155" s="62" t="s">
        <v>38</v>
      </c>
    </row>
    <row r="156" spans="2:13" x14ac:dyDescent="0.25">
      <c r="B156" s="40"/>
      <c r="C156" s="41"/>
      <c r="D156" s="42"/>
      <c r="E156" s="43"/>
      <c r="F156" s="44"/>
      <c r="G156" s="1" t="str">
        <f>IFERROR(IF(ventas_b_mes12[[#This Row],[CUIT]]="","-",VLOOKUP(ventas_b_mes12[[#This Row],[CUIT]],Lista_CUIT[#All],2,0)),"CUIT NO CARGADO")</f>
        <v>-</v>
      </c>
      <c r="H156" s="64"/>
      <c r="I156" s="64"/>
      <c r="J156" s="64"/>
      <c r="K156" s="64"/>
      <c r="L156" s="64">
        <f>SUM(ventas_b_mes12[[#This Row],[IMPORTE NETO]:[EXENTO]])</f>
        <v>0</v>
      </c>
      <c r="M156" s="59"/>
    </row>
    <row r="157" spans="2:13" x14ac:dyDescent="0.25">
      <c r="B157" s="40"/>
      <c r="C157" s="41"/>
      <c r="D157" s="42"/>
      <c r="E157" s="43"/>
      <c r="F157" s="44"/>
      <c r="G157" s="1"/>
      <c r="H157" s="64"/>
      <c r="I157" s="64"/>
      <c r="J157" s="64"/>
      <c r="K157" s="64"/>
      <c r="L157" s="64">
        <f>SUM(ventas_b_mes12[[#This Row],[IMPORTE NETO]:[EXENTO]])</f>
        <v>0</v>
      </c>
      <c r="M157" s="59"/>
    </row>
    <row r="158" spans="2:13" x14ac:dyDescent="0.25">
      <c r="B158" s="40"/>
      <c r="C158" s="41"/>
      <c r="D158" s="42"/>
      <c r="E158" s="43"/>
      <c r="F158" s="44"/>
      <c r="G158" s="1"/>
      <c r="H158" s="64"/>
      <c r="I158" s="64"/>
      <c r="J158" s="64"/>
      <c r="K158" s="64"/>
      <c r="L158" s="64">
        <f>SUM(ventas_b_mes12[[#This Row],[IMPORTE NETO]:[EXENTO]])</f>
        <v>0</v>
      </c>
      <c r="M158" s="59"/>
    </row>
    <row r="159" spans="2:13" x14ac:dyDescent="0.25">
      <c r="B159" s="40"/>
      <c r="C159" s="41"/>
      <c r="D159" s="42"/>
      <c r="E159" s="43"/>
      <c r="F159" s="44"/>
      <c r="G159" s="1"/>
      <c r="H159" s="64"/>
      <c r="I159" s="64"/>
      <c r="J159" s="64"/>
      <c r="K159" s="64"/>
      <c r="L159" s="64">
        <f>SUM(ventas_b_mes12[[#This Row],[IMPORTE NETO]:[EXENTO]])</f>
        <v>0</v>
      </c>
      <c r="M159" s="59"/>
    </row>
    <row r="160" spans="2:13" x14ac:dyDescent="0.25">
      <c r="B160" s="40"/>
      <c r="C160" s="41"/>
      <c r="D160" s="42"/>
      <c r="E160" s="43"/>
      <c r="F160" s="44"/>
      <c r="G160" s="1"/>
      <c r="H160" s="64"/>
      <c r="I160" s="64"/>
      <c r="J160" s="64"/>
      <c r="K160" s="64"/>
      <c r="L160" s="64">
        <f>SUM(ventas_b_mes12[[#This Row],[IMPORTE NETO]:[EXENTO]])</f>
        <v>0</v>
      </c>
      <c r="M160" s="59"/>
    </row>
    <row r="161" spans="2:13" x14ac:dyDescent="0.25">
      <c r="B161" s="40"/>
      <c r="C161" s="41"/>
      <c r="D161" s="42"/>
      <c r="E161" s="43"/>
      <c r="F161" s="44"/>
      <c r="G161" s="1"/>
      <c r="H161" s="64"/>
      <c r="I161" s="64"/>
      <c r="J161" s="64"/>
      <c r="K161" s="64"/>
      <c r="L161" s="64">
        <f>SUM(ventas_b_mes12[[#This Row],[IMPORTE NETO]:[EXENTO]])</f>
        <v>0</v>
      </c>
      <c r="M161" s="59"/>
    </row>
    <row r="162" spans="2:13" x14ac:dyDescent="0.25">
      <c r="B162" s="66" t="s">
        <v>110</v>
      </c>
      <c r="C162" s="67"/>
      <c r="D162" s="67"/>
      <c r="E162" s="67"/>
      <c r="F162" s="67"/>
      <c r="G162" s="67"/>
      <c r="H162" s="77">
        <f>SUBTOTAL(109,ventas_b_mes12[IMPORTE NETO])</f>
        <v>0</v>
      </c>
      <c r="I162" s="77">
        <f>SUBTOTAL(109,ventas_b_mes12[IVA 21%])</f>
        <v>0</v>
      </c>
      <c r="J162" s="78">
        <f>SUBTOTAL(109,ventas_b_mes12[IVA 10,5%])</f>
        <v>0</v>
      </c>
      <c r="K162" s="78">
        <f>SUBTOTAL(109,ventas_b_mes12[EXENTO])</f>
        <v>0</v>
      </c>
      <c r="L162" s="78">
        <f>SUBTOTAL(109,ventas_b_mes12[TOTAL])</f>
        <v>0</v>
      </c>
      <c r="M162" s="68">
        <f>SUBTOTAL(103,ventas_b_mes12[Provincia])</f>
        <v>0</v>
      </c>
    </row>
    <row r="169" spans="2:13" ht="15.75" thickBot="1" x14ac:dyDescent="0.3"/>
    <row r="170" spans="2:13" ht="15.75" thickTop="1" x14ac:dyDescent="0.25">
      <c r="C170" s="522" t="s">
        <v>66</v>
      </c>
      <c r="D170" s="522"/>
      <c r="E170" s="522"/>
      <c r="F170" s="522"/>
      <c r="G170" s="522"/>
      <c r="H170" s="32"/>
      <c r="I170" s="32"/>
      <c r="J170" s="32"/>
    </row>
    <row r="171" spans="2:13" ht="15.75" x14ac:dyDescent="0.25">
      <c r="C171" s="114" t="s">
        <v>67</v>
      </c>
      <c r="D171" s="115" t="s">
        <v>68</v>
      </c>
      <c r="E171" s="115" t="s">
        <v>112</v>
      </c>
      <c r="F171" s="115" t="s">
        <v>3</v>
      </c>
      <c r="G171" s="115" t="s">
        <v>4</v>
      </c>
      <c r="H171" s="116" t="s">
        <v>69</v>
      </c>
      <c r="I171" s="116" t="s">
        <v>70</v>
      </c>
      <c r="J171" s="116" t="s">
        <v>71</v>
      </c>
      <c r="K171" s="116" t="s">
        <v>72</v>
      </c>
      <c r="L171" s="116" t="s">
        <v>73</v>
      </c>
    </row>
    <row r="172" spans="2:13" x14ac:dyDescent="0.25">
      <c r="C172" s="117"/>
      <c r="D172" s="118"/>
      <c r="E172" s="118"/>
      <c r="F172" s="119"/>
      <c r="G172" s="53" t="str">
        <f>IFERROR(IF(Retenciones_mes12[[#This Row],[CUIT]]="","-",VLOOKUP(Retenciones_mes12[[#This Row],[CUIT]],Lista_CUIT[#All],2,0)),"CUIT NO CARGADO")</f>
        <v>-</v>
      </c>
      <c r="H172" s="120"/>
      <c r="I172" s="120"/>
      <c r="J172" s="120"/>
      <c r="K172" s="120"/>
      <c r="L172" s="120"/>
    </row>
    <row r="173" spans="2:13" x14ac:dyDescent="0.25">
      <c r="C173" s="117"/>
      <c r="D173" s="118"/>
      <c r="E173" s="118"/>
      <c r="F173" s="119"/>
      <c r="G173" s="53" t="str">
        <f>IFERROR(IF(Retenciones_mes12[[#This Row],[CUIT]]="","-",VLOOKUP(Retenciones_mes12[[#This Row],[CUIT]],Lista_CUIT[#All],2,0)),"CUIT NO CARGADO")</f>
        <v>-</v>
      </c>
      <c r="H173" s="120"/>
      <c r="I173" s="120"/>
      <c r="J173" s="120"/>
      <c r="K173" s="120"/>
      <c r="L173" s="120"/>
    </row>
    <row r="174" spans="2:13" x14ac:dyDescent="0.25">
      <c r="C174" s="117"/>
      <c r="D174" s="118"/>
      <c r="E174" s="118"/>
      <c r="F174" s="119"/>
      <c r="G174" s="53" t="str">
        <f>IFERROR(IF(Retenciones_mes12[[#This Row],[CUIT]]="","-",VLOOKUP(Retenciones_mes12[[#This Row],[CUIT]],Lista_CUIT[#All],2,0)),"CUIT NO CARGADO")</f>
        <v>-</v>
      </c>
      <c r="H174" s="120"/>
      <c r="I174" s="120"/>
      <c r="J174" s="120"/>
      <c r="K174" s="120"/>
      <c r="L174" s="120"/>
    </row>
    <row r="175" spans="2:13" x14ac:dyDescent="0.25">
      <c r="C175" s="117"/>
      <c r="D175" s="118"/>
      <c r="E175" s="118"/>
      <c r="F175" s="119"/>
      <c r="G175" s="53" t="str">
        <f>IFERROR(IF(Retenciones_mes12[[#This Row],[CUIT]]="","-",VLOOKUP(Retenciones_mes12[[#This Row],[CUIT]],Lista_CUIT[#All],2,0)),"CUIT NO CARGADO")</f>
        <v>-</v>
      </c>
      <c r="H175" s="120"/>
      <c r="I175" s="120"/>
      <c r="J175" s="120"/>
      <c r="K175" s="120"/>
      <c r="L175" s="120"/>
    </row>
    <row r="176" spans="2:13" x14ac:dyDescent="0.25">
      <c r="D176" s="118"/>
      <c r="E176" s="118"/>
      <c r="G176" s="53" t="str">
        <f>IFERROR(IF(Retenciones_mes12[[#This Row],[CUIT]]="","-",VLOOKUP(Retenciones_mes12[[#This Row],[CUIT]],Lista_CUIT[#All],2,0)),"CUIT NO CARGADO")</f>
        <v>-</v>
      </c>
    </row>
    <row r="177" spans="3:3" x14ac:dyDescent="0.25">
      <c r="C177" s="33"/>
    </row>
  </sheetData>
  <mergeCells count="20">
    <mergeCell ref="C170:G170"/>
    <mergeCell ref="B4:E4"/>
    <mergeCell ref="G4:H4"/>
    <mergeCell ref="J4:K4"/>
    <mergeCell ref="M4:N4"/>
    <mergeCell ref="D105:K105"/>
    <mergeCell ref="B138:J138"/>
    <mergeCell ref="K138:M138"/>
    <mergeCell ref="B140:C140"/>
    <mergeCell ref="B154:C154"/>
    <mergeCell ref="P4:R4"/>
    <mergeCell ref="D96:L96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156:L161" xr:uid="{00000000-0002-0000-0C00-000000000000}">
      <formula1>IF($C156=8,H156&lt;0,H156&gt;=0)</formula1>
    </dataValidation>
    <dataValidation type="custom" allowBlank="1" showInputMessage="1" showErrorMessage="1" sqref="L147:L148" xr:uid="{00000000-0002-0000-0C00-000001000000}">
      <formula1>IF($C91=3,L91&lt;0,L91&gt;=0)</formula1>
    </dataValidation>
    <dataValidation type="custom" allowBlank="1" showInputMessage="1" showErrorMessage="1" sqref="L144:L146" xr:uid="{00000000-0002-0000-0C00-000002000000}">
      <formula1>IF(#REF!=3,#REF!&lt;0,#REF!&gt;=0)</formula1>
    </dataValidation>
    <dataValidation type="custom" allowBlank="1" showInputMessage="1" showErrorMessage="1" sqref="L142:L143" xr:uid="{00000000-0002-0000-0C00-000003000000}">
      <formula1>IF($C9=3,L9&lt;0,L9&gt;=0)</formula1>
    </dataValidation>
    <dataValidation type="whole" allowBlank="1" showInputMessage="1" showErrorMessage="1" sqref="C156:C161" xr:uid="{00000000-0002-0000-0C00-000004000000}">
      <formula1>6</formula1>
      <formula2>8</formula2>
    </dataValidation>
    <dataValidation type="custom" allowBlank="1" showInputMessage="1" showErrorMessage="1" sqref="H142:K142 H144:K144 H146:K146 H148:K148" xr:uid="{00000000-0002-0000-0C00-000005000000}">
      <formula1>IF($C142=3,H142&lt;0,H142&gt;=0)</formula1>
    </dataValidation>
    <dataValidation type="whole" allowBlank="1" showInputMessage="1" showErrorMessage="1" sqref="C92:C95 C142:C150 C9:C90" xr:uid="{00000000-0002-0000-0C00-000006000000}">
      <formula1>1</formula1>
      <formula2>3</formula2>
    </dataValidation>
    <dataValidation type="date" allowBlank="1" showInputMessage="1" showErrorMessage="1" sqref="D98:D100 B142:B150 D107:D132 B92:B95 B156:B161 B9:B90" xr:uid="{00000000-0002-0000-0C00-000008000000}">
      <formula1>40179</formula1>
      <formula2>TODAY()</formula2>
    </dataValidation>
    <dataValidation type="whole" allowBlank="1" showInputMessage="1" showErrorMessage="1" sqref="G107:G132 F142:F150 F156:F161 F9:F90" xr:uid="{00000000-0002-0000-0C00-000009000000}">
      <formula1>20000000000</formula1>
      <formula2>33999999999</formula2>
    </dataValidation>
    <dataValidation type="whole" allowBlank="1" showInputMessage="1" showErrorMessage="1" sqref="F107:F132 E142:E150 E156:E161 E9:E90" xr:uid="{00000000-0002-0000-0C00-00000A000000}">
      <formula1>1</formula1>
      <formula2>99999999</formula2>
    </dataValidation>
    <dataValidation type="whole" allowBlank="1" showInputMessage="1" showErrorMessage="1" sqref="E107:E132 D142:D150 D156:D161 D9:D90" xr:uid="{00000000-0002-0000-0C00-00000B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90" xr:uid="{00000000-0002-0000-0C00-000007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5" x14ac:dyDescent="0.25"/>
  <cols>
    <col min="1" max="1" width="3.42578125" customWidth="1"/>
    <col min="3" max="3" width="20.28515625" bestFit="1" customWidth="1"/>
    <col min="4" max="4" width="12.7109375" bestFit="1" customWidth="1"/>
    <col min="5" max="5" width="14.140625" customWidth="1"/>
    <col min="6" max="6" width="3.42578125" customWidth="1"/>
    <col min="8" max="8" width="20.28515625" bestFit="1" customWidth="1"/>
    <col min="9" max="9" width="12.7109375" bestFit="1" customWidth="1"/>
    <col min="10" max="10" width="13.7109375" customWidth="1"/>
    <col min="11" max="11" width="2.140625" customWidth="1"/>
    <col min="13" max="13" width="17.28515625" customWidth="1"/>
    <col min="14" max="14" width="12.7109375" bestFit="1" customWidth="1"/>
    <col min="15" max="15" width="13.85546875" customWidth="1"/>
    <col min="16" max="16" width="6.7109375" customWidth="1"/>
  </cols>
  <sheetData>
    <row r="2" spans="2:17" ht="31.5" x14ac:dyDescent="0.25">
      <c r="B2" s="545" t="s">
        <v>59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</row>
    <row r="3" spans="2:17" ht="10.9" customHeight="1" thickBot="1" x14ac:dyDescent="0.45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 x14ac:dyDescent="0.3">
      <c r="B4" s="541">
        <f>'Ene-23'!N1</f>
        <v>44927</v>
      </c>
      <c r="C4" s="542"/>
      <c r="D4" s="542"/>
      <c r="E4" s="543"/>
      <c r="F4" s="3"/>
      <c r="G4" s="541">
        <f>EDATE($B$4,1)</f>
        <v>44958</v>
      </c>
      <c r="H4" s="542"/>
      <c r="I4" s="542"/>
      <c r="J4" s="543"/>
      <c r="K4" s="3"/>
      <c r="L4" s="541">
        <f>EDATE($G$4,1)</f>
        <v>44986</v>
      </c>
      <c r="M4" s="542"/>
      <c r="N4" s="542"/>
      <c r="O4" s="543"/>
    </row>
    <row r="5" spans="2:17" x14ac:dyDescent="0.25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25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25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25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25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25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25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25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25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25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25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25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25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25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25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25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25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25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25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25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25">
      <c r="B25" s="11"/>
      <c r="C25" s="14"/>
      <c r="D25" s="121"/>
      <c r="E25" s="18"/>
      <c r="F25" s="3"/>
      <c r="G25" s="11" t="str">
        <f>IF($B$25="","",$B$25)</f>
        <v/>
      </c>
      <c r="H25" s="14" t="str">
        <f>IF($C$25="","",$C$25)</f>
        <v/>
      </c>
      <c r="I25" s="121"/>
      <c r="J25" s="18"/>
      <c r="K25" s="3"/>
      <c r="L25" s="11" t="str">
        <f>IF($B$25="","",$B$25)</f>
        <v/>
      </c>
      <c r="M25" s="14" t="str">
        <f>IF($C$25="","",$C$25)</f>
        <v/>
      </c>
      <c r="N25" s="121"/>
      <c r="O25" s="18"/>
    </row>
    <row r="26" spans="2:17" x14ac:dyDescent="0.25">
      <c r="B26" s="11"/>
      <c r="C26" s="14"/>
      <c r="D26" s="121"/>
      <c r="E26" s="18"/>
      <c r="F26" s="3"/>
      <c r="G26" s="11" t="str">
        <f>IF($B$26="","",$B$26)</f>
        <v/>
      </c>
      <c r="H26" s="14" t="str">
        <f>IF($C$26="","",$C$26)</f>
        <v/>
      </c>
      <c r="I26" s="121"/>
      <c r="J26" s="18"/>
      <c r="K26" s="3"/>
      <c r="L26" s="11" t="str">
        <f>IF($B$26="","",$B$26)</f>
        <v/>
      </c>
      <c r="M26" s="14" t="str">
        <f>IF($C$26="","",$C$26)</f>
        <v/>
      </c>
      <c r="N26" s="121"/>
      <c r="O26" s="18"/>
    </row>
    <row r="27" spans="2:17" x14ac:dyDescent="0.25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25">
      <c r="B28" s="544" t="s">
        <v>54</v>
      </c>
      <c r="C28" s="544"/>
      <c r="D28" s="544"/>
      <c r="E28" s="8">
        <v>0</v>
      </c>
      <c r="F28" s="3"/>
      <c r="G28" s="544" t="s">
        <v>55</v>
      </c>
      <c r="H28" s="544"/>
      <c r="I28" s="544"/>
      <c r="J28" s="8">
        <v>0</v>
      </c>
      <c r="K28" s="3"/>
      <c r="L28" s="544" t="s">
        <v>56</v>
      </c>
      <c r="M28" s="544"/>
      <c r="N28" s="544"/>
      <c r="O28" s="8">
        <v>0</v>
      </c>
    </row>
    <row r="29" spans="2:17" ht="15.75" thickBot="1" x14ac:dyDescent="0.3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 x14ac:dyDescent="0.3">
      <c r="B30" s="541">
        <f>EDATE($L$4,1)</f>
        <v>45017</v>
      </c>
      <c r="C30" s="542"/>
      <c r="D30" s="542"/>
      <c r="E30" s="543"/>
      <c r="F30" s="3"/>
      <c r="G30" s="541">
        <f>EDATE($B$30,1)</f>
        <v>45047</v>
      </c>
      <c r="H30" s="542"/>
      <c r="I30" s="542"/>
      <c r="J30" s="543"/>
      <c r="K30" s="3"/>
      <c r="L30" s="541">
        <f>EDATE($G$30,1)</f>
        <v>45078</v>
      </c>
      <c r="M30" s="542"/>
      <c r="N30" s="542"/>
      <c r="O30" s="543"/>
    </row>
    <row r="31" spans="2:17" x14ac:dyDescent="0.25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25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2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2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2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2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2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2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2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2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2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2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2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2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2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2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2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2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2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2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25">
      <c r="B51" s="11" t="str">
        <f>IF($B$25="","",$B$25)</f>
        <v/>
      </c>
      <c r="C51" s="14" t="str">
        <f>IF($C$25="","",$C$25)</f>
        <v/>
      </c>
      <c r="D51" s="121"/>
      <c r="E51" s="18"/>
      <c r="F51" s="3"/>
      <c r="G51" s="11" t="str">
        <f>IF($B$25="","",$B$25)</f>
        <v/>
      </c>
      <c r="H51" s="14" t="str">
        <f>IF($C$25="","",$C$25)</f>
        <v/>
      </c>
      <c r="I51" s="121"/>
      <c r="J51" s="18"/>
      <c r="K51" s="3"/>
      <c r="L51" s="11" t="str">
        <f>IF($B$25="","",$B$25)</f>
        <v/>
      </c>
      <c r="M51" s="14" t="str">
        <f>IF($C$25="","",$C$25)</f>
        <v/>
      </c>
      <c r="N51" s="121"/>
      <c r="O51" s="18"/>
    </row>
    <row r="52" spans="2:15" x14ac:dyDescent="0.25">
      <c r="B52" s="11" t="str">
        <f>IF($B$26="","",$B$26)</f>
        <v/>
      </c>
      <c r="C52" s="14" t="str">
        <f>IF($C$26="","",$C$26)</f>
        <v/>
      </c>
      <c r="D52" s="121"/>
      <c r="E52" s="18"/>
      <c r="F52" s="3"/>
      <c r="G52" s="11" t="str">
        <f>IF($B$26="","",$B$26)</f>
        <v/>
      </c>
      <c r="H52" s="14" t="str">
        <f>IF($C$26="","",$C$26)</f>
        <v/>
      </c>
      <c r="I52" s="121"/>
      <c r="J52" s="18"/>
      <c r="K52" s="3"/>
      <c r="L52" s="11" t="str">
        <f>IF($B$26="","",$B$26)</f>
        <v/>
      </c>
      <c r="M52" s="14" t="str">
        <f>IF($C$26="","",$C$26)</f>
        <v/>
      </c>
      <c r="N52" s="121"/>
      <c r="O52" s="18"/>
    </row>
    <row r="53" spans="2:15" x14ac:dyDescent="0.2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25">
      <c r="B54" s="544"/>
      <c r="C54" s="544"/>
      <c r="D54" s="544"/>
      <c r="E54" s="8">
        <v>0</v>
      </c>
      <c r="F54" s="3"/>
      <c r="G54" s="544"/>
      <c r="H54" s="544"/>
      <c r="I54" s="544"/>
      <c r="J54" s="8">
        <v>0</v>
      </c>
      <c r="K54" s="3"/>
      <c r="L54" s="544"/>
      <c r="M54" s="544"/>
      <c r="N54" s="544"/>
      <c r="O54" s="8">
        <v>0</v>
      </c>
    </row>
    <row r="55" spans="2:15" ht="15.75" thickBot="1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 x14ac:dyDescent="0.3">
      <c r="B56" s="541">
        <f>EDATE($L$30,1)</f>
        <v>45108</v>
      </c>
      <c r="C56" s="542"/>
      <c r="D56" s="542"/>
      <c r="E56" s="543"/>
      <c r="F56" s="3"/>
      <c r="G56" s="541">
        <f>EDATE($B$56,1)</f>
        <v>45139</v>
      </c>
      <c r="H56" s="542"/>
      <c r="I56" s="542"/>
      <c r="J56" s="543"/>
      <c r="K56" s="3"/>
      <c r="L56" s="541">
        <f>EDATE($G$56,1)</f>
        <v>45170</v>
      </c>
      <c r="M56" s="542"/>
      <c r="N56" s="542"/>
      <c r="O56" s="543"/>
    </row>
    <row r="57" spans="2:15" x14ac:dyDescent="0.2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2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2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2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2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2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2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2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2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2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2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2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2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2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2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2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2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2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2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2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25">
      <c r="B77" s="11" t="str">
        <f>IF($B$25="","",$B$25)</f>
        <v/>
      </c>
      <c r="C77" s="14" t="str">
        <f>IF($C$25="","",$C$25)</f>
        <v/>
      </c>
      <c r="D77" s="121"/>
      <c r="E77" s="18"/>
      <c r="F77" s="3"/>
      <c r="G77" s="11" t="str">
        <f>IF($B$25="","",$B$25)</f>
        <v/>
      </c>
      <c r="H77" s="14" t="str">
        <f>IF($C$25="","",$C$25)</f>
        <v/>
      </c>
      <c r="I77" s="121"/>
      <c r="J77" s="18"/>
      <c r="K77" s="3"/>
      <c r="L77" s="11" t="str">
        <f>IF($B$25="","",$B$25)</f>
        <v/>
      </c>
      <c r="M77" s="14" t="str">
        <f>IF($C$25="","",$C$25)</f>
        <v/>
      </c>
      <c r="N77" s="121"/>
      <c r="O77" s="18"/>
    </row>
    <row r="78" spans="2:15" x14ac:dyDescent="0.25">
      <c r="B78" s="11" t="str">
        <f>IF($B$26="","",$B$26)</f>
        <v/>
      </c>
      <c r="C78" s="14" t="str">
        <f>IF($C$26="","",$C$26)</f>
        <v/>
      </c>
      <c r="D78" s="121"/>
      <c r="E78" s="18"/>
      <c r="F78" s="3"/>
      <c r="G78" s="11" t="str">
        <f>IF($B$26="","",$B$26)</f>
        <v/>
      </c>
      <c r="H78" s="14" t="str">
        <f>IF($C$26="","",$C$26)</f>
        <v/>
      </c>
      <c r="I78" s="121"/>
      <c r="J78" s="18"/>
      <c r="K78" s="3"/>
      <c r="L78" s="11" t="str">
        <f>IF($B$26="","",$B$26)</f>
        <v/>
      </c>
      <c r="M78" s="14" t="str">
        <f>IF($C$26="","",$C$26)</f>
        <v/>
      </c>
      <c r="N78" s="121"/>
      <c r="O78" s="18"/>
    </row>
    <row r="79" spans="2:15" x14ac:dyDescent="0.2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25">
      <c r="B80" s="544"/>
      <c r="C80" s="544"/>
      <c r="D80" s="544"/>
      <c r="E80" s="8">
        <v>0</v>
      </c>
      <c r="F80" s="3"/>
      <c r="G80" s="544"/>
      <c r="H80" s="544"/>
      <c r="I80" s="544"/>
      <c r="J80" s="8">
        <v>0</v>
      </c>
      <c r="K80" s="3"/>
      <c r="L80" s="544"/>
      <c r="M80" s="544"/>
      <c r="N80" s="544"/>
      <c r="O80" s="8">
        <v>0</v>
      </c>
    </row>
    <row r="81" spans="2:15" ht="15.75" thickBot="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 x14ac:dyDescent="0.3">
      <c r="B82" s="541">
        <f>EDATE($L$56,1)</f>
        <v>45200</v>
      </c>
      <c r="C82" s="542"/>
      <c r="D82" s="542"/>
      <c r="E82" s="543"/>
      <c r="F82" s="3"/>
      <c r="G82" s="541">
        <f>EDATE($B$82,1)</f>
        <v>45231</v>
      </c>
      <c r="H82" s="542"/>
      <c r="I82" s="542"/>
      <c r="J82" s="543"/>
      <c r="K82" s="3"/>
      <c r="L82" s="541">
        <f>EDATE($G$82,1)</f>
        <v>45261</v>
      </c>
      <c r="M82" s="542"/>
      <c r="N82" s="542"/>
      <c r="O82" s="543"/>
    </row>
    <row r="83" spans="2:15" x14ac:dyDescent="0.2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2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2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2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2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2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2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2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2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2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2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2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2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2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2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2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2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2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2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2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25">
      <c r="B103" s="11" t="str">
        <f>IF($B$25="","",$B$25)</f>
        <v/>
      </c>
      <c r="C103" s="14" t="str">
        <f>IF($C$25="","",$C$25)</f>
        <v/>
      </c>
      <c r="D103" s="121"/>
      <c r="E103" s="18"/>
      <c r="F103" s="3"/>
      <c r="G103" s="11" t="str">
        <f>IF($B$25="","",$B$25)</f>
        <v/>
      </c>
      <c r="H103" s="14" t="str">
        <f>IF($C$25="","",$C$25)</f>
        <v/>
      </c>
      <c r="I103" s="121"/>
      <c r="J103" s="18"/>
      <c r="K103" s="3"/>
      <c r="L103" s="11" t="str">
        <f>IF($B$25="","",$B$25)</f>
        <v/>
      </c>
      <c r="M103" s="14" t="str">
        <f>IF($C$25="","",$C$25)</f>
        <v/>
      </c>
      <c r="N103" s="121"/>
      <c r="O103" s="18"/>
    </row>
    <row r="104" spans="2:15" x14ac:dyDescent="0.25">
      <c r="B104" s="11" t="str">
        <f>IF($B$26="","",$B$26)</f>
        <v/>
      </c>
      <c r="C104" s="14" t="str">
        <f>IF($C$26="","",$C$26)</f>
        <v/>
      </c>
      <c r="D104" s="121"/>
      <c r="E104" s="18"/>
      <c r="F104" s="3"/>
      <c r="G104" s="11" t="str">
        <f>IF($B$26="","",$B$26)</f>
        <v/>
      </c>
      <c r="H104" s="14" t="str">
        <f>IF($C$26="","",$C$26)</f>
        <v/>
      </c>
      <c r="I104" s="121"/>
      <c r="J104" s="18"/>
      <c r="K104" s="3"/>
      <c r="L104" s="11" t="str">
        <f>IF($B$26="","",$B$26)</f>
        <v/>
      </c>
      <c r="M104" s="14" t="str">
        <f>IF($C$26="","",$C$26)</f>
        <v/>
      </c>
      <c r="N104" s="121"/>
      <c r="O104" s="18"/>
    </row>
    <row r="105" spans="2:15" x14ac:dyDescent="0.2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25">
      <c r="B106" s="544"/>
      <c r="C106" s="544"/>
      <c r="D106" s="544"/>
      <c r="E106" s="8">
        <v>0</v>
      </c>
      <c r="F106" s="3"/>
      <c r="G106" s="544"/>
      <c r="H106" s="544"/>
      <c r="I106" s="544"/>
      <c r="J106" s="8">
        <v>0</v>
      </c>
      <c r="K106" s="3"/>
      <c r="L106" s="544"/>
      <c r="M106" s="544"/>
      <c r="N106" s="544"/>
      <c r="O106" s="8">
        <v>0</v>
      </c>
    </row>
    <row r="107" spans="2:15" x14ac:dyDescent="0.25">
      <c r="B107" s="3"/>
      <c r="C107" s="3"/>
      <c r="D107" s="3"/>
      <c r="E107" s="3"/>
      <c r="L107" s="540"/>
      <c r="M107" s="540"/>
      <c r="N107" s="540"/>
      <c r="O107" s="3"/>
    </row>
    <row r="108" spans="2:15" x14ac:dyDescent="0.2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5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 x14ac:dyDescent="0.25">
      <c r="B2" s="545" t="s">
        <v>60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</row>
    <row r="3" spans="2:15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 x14ac:dyDescent="0.3">
      <c r="B4" s="541">
        <f>'Ene-23'!N1</f>
        <v>44927</v>
      </c>
      <c r="C4" s="542"/>
      <c r="D4" s="542"/>
      <c r="E4" s="543"/>
      <c r="F4" s="3"/>
      <c r="G4" s="541">
        <f>EDATE($B$4,1)</f>
        <v>44958</v>
      </c>
      <c r="H4" s="542"/>
      <c r="I4" s="542"/>
      <c r="J4" s="543"/>
      <c r="K4" s="3"/>
      <c r="L4" s="541">
        <f>EDATE($B$4,2)</f>
        <v>44986</v>
      </c>
      <c r="M4" s="542"/>
      <c r="N4" s="542"/>
      <c r="O4" s="543"/>
    </row>
    <row r="5" spans="2:15" x14ac:dyDescent="0.2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2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2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 x14ac:dyDescent="0.3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2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 x14ac:dyDescent="0.3">
      <c r="B11" s="541">
        <f>EDATE($B$4,3)</f>
        <v>45017</v>
      </c>
      <c r="C11" s="542"/>
      <c r="D11" s="542"/>
      <c r="E11" s="543"/>
      <c r="F11" s="3"/>
      <c r="G11" s="541">
        <f>EDATE($B$4,4)</f>
        <v>45047</v>
      </c>
      <c r="H11" s="542"/>
      <c r="I11" s="542"/>
      <c r="J11" s="543"/>
      <c r="K11" s="3"/>
      <c r="L11" s="541">
        <f>EDATE($B$4,5)</f>
        <v>45078</v>
      </c>
      <c r="M11" s="542"/>
      <c r="N11" s="542"/>
      <c r="O11" s="543"/>
    </row>
    <row r="12" spans="2:15" x14ac:dyDescent="0.2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2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2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 x14ac:dyDescent="0.3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2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 x14ac:dyDescent="0.3">
      <c r="B18" s="541">
        <f>EDATE($B$4,6)</f>
        <v>45108</v>
      </c>
      <c r="C18" s="542"/>
      <c r="D18" s="542"/>
      <c r="E18" s="543"/>
      <c r="F18" s="3"/>
      <c r="G18" s="541">
        <f>EDATE($B$4,7)</f>
        <v>45139</v>
      </c>
      <c r="H18" s="542"/>
      <c r="I18" s="542"/>
      <c r="J18" s="543"/>
      <c r="K18" s="3"/>
      <c r="L18" s="541">
        <f>EDATE($B$4,8)</f>
        <v>45170</v>
      </c>
      <c r="M18" s="542"/>
      <c r="N18" s="542"/>
      <c r="O18" s="543"/>
    </row>
    <row r="19" spans="2:15" x14ac:dyDescent="0.2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2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2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 x14ac:dyDescent="0.3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2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 x14ac:dyDescent="0.3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 x14ac:dyDescent="0.3">
      <c r="B25" s="541">
        <f>EDATE($B$4,9)</f>
        <v>45200</v>
      </c>
      <c r="C25" s="542"/>
      <c r="D25" s="542"/>
      <c r="E25" s="543"/>
      <c r="F25" s="3"/>
      <c r="G25" s="541">
        <f>EDATE($B$4,10)</f>
        <v>45231</v>
      </c>
      <c r="H25" s="542"/>
      <c r="I25" s="542"/>
      <c r="J25" s="543"/>
      <c r="K25" s="3"/>
      <c r="L25" s="541">
        <f>EDATE($B$4,11)</f>
        <v>45261</v>
      </c>
      <c r="M25" s="542"/>
      <c r="N25" s="542"/>
      <c r="O25" s="543"/>
    </row>
    <row r="26" spans="2:15" x14ac:dyDescent="0.2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2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2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 x14ac:dyDescent="0.3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2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Ene-23</vt:lpstr>
      <vt:lpstr>Feb-23</vt:lpstr>
      <vt:lpstr>Mar-23</vt:lpstr>
      <vt:lpstr>Abr-23</vt:lpstr>
      <vt:lpstr>May-23</vt:lpstr>
      <vt:lpstr>Jun-23</vt:lpstr>
      <vt:lpstr>Jul-23</vt:lpstr>
      <vt:lpstr>Ago-23</vt:lpstr>
      <vt:lpstr>Sep-23</vt:lpstr>
      <vt:lpstr>Oct-23</vt:lpstr>
      <vt:lpstr>Nov-23</vt:lpstr>
      <vt:lpstr>Dic-23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Federico Botindari</cp:lastModifiedBy>
  <dcterms:created xsi:type="dcterms:W3CDTF">2006-09-16T00:00:00Z</dcterms:created>
  <dcterms:modified xsi:type="dcterms:W3CDTF">2024-06-11T03:17:35Z</dcterms:modified>
</cp:coreProperties>
</file>