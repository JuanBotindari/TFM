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13_ncr:1_{CC085FDD-4A27-48E5-8929-A6833316B01F}" xr6:coauthVersionLast="47" xr6:coauthVersionMax="47" xr10:uidLastSave="{00000000-0000-0000-0000-000000000000}"/>
  <bookViews>
    <workbookView xWindow="-90" yWindow="0" windowWidth="17865" windowHeight="15585" activeTab="3" xr2:uid="{00000000-000D-0000-FFFF-FFFF00000000}"/>
  </bookViews>
  <sheets>
    <sheet name="Configuracion" sheetId="23" r:id="rId1"/>
    <sheet name="Julio " sheetId="22" r:id="rId2"/>
    <sheet name="Calculo IVA" sheetId="24" r:id="rId3"/>
    <sheet name="Ventas Odoo 07 2023" sheetId="26" r:id="rId4"/>
  </sheets>
  <definedNames>
    <definedName name="_xlnm._FilterDatabase" localSheetId="0" hidden="1">Configuracion!$A$3:$C$519</definedName>
    <definedName name="_xlnm._FilterDatabase" localSheetId="1" hidden="1">'Julio '!$A$7:$P$164</definedName>
    <definedName name="_xlnm._FilterDatabase" localSheetId="3" hidden="1">'Ventas Odoo 07 2023'!$A$4:$N$376</definedName>
    <definedName name="_xlnm.Print_Area" localSheetId="1">'Julio '!$A$1:$N$120</definedName>
    <definedName name="partner_id" localSheetId="0">Configuracion!$B$332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7" i="26" l="1"/>
  <c r="H377" i="26"/>
  <c r="I377" i="26"/>
  <c r="J377" i="26"/>
  <c r="K377" i="26"/>
  <c r="L377" i="26"/>
  <c r="M377" i="26"/>
  <c r="N377" i="26"/>
  <c r="F377" i="26"/>
  <c r="G179" i="22"/>
  <c r="G178" i="22"/>
  <c r="G177" i="22"/>
  <c r="G176" i="22"/>
  <c r="G175" i="22"/>
  <c r="G174" i="22"/>
  <c r="N19" i="22" l="1"/>
  <c r="N18" i="22"/>
  <c r="P44" i="22"/>
  <c r="G44" i="22"/>
  <c r="O44" i="22" s="1"/>
  <c r="E44" i="22"/>
  <c r="P93" i="22" l="1"/>
  <c r="G93" i="22"/>
  <c r="O93" i="22" s="1"/>
  <c r="E93" i="22"/>
  <c r="P45" i="22"/>
  <c r="G45" i="22"/>
  <c r="O45" i="22" s="1"/>
  <c r="E45" i="22"/>
  <c r="P43" i="22"/>
  <c r="G43" i="22"/>
  <c r="O43" i="22" s="1"/>
  <c r="E43" i="22"/>
  <c r="P61" i="22"/>
  <c r="G61" i="22"/>
  <c r="O61" i="22" s="1"/>
  <c r="E61" i="22"/>
  <c r="P15" i="22"/>
  <c r="G15" i="22"/>
  <c r="O15" i="22" s="1"/>
  <c r="E15" i="22"/>
  <c r="P31" i="22"/>
  <c r="G31" i="22"/>
  <c r="O31" i="22" s="1"/>
  <c r="E31" i="22"/>
  <c r="P51" i="22"/>
  <c r="G51" i="22"/>
  <c r="O51" i="22" s="1"/>
  <c r="E51" i="22"/>
  <c r="P60" i="22"/>
  <c r="G60" i="22"/>
  <c r="O60" i="22" s="1"/>
  <c r="E60" i="22"/>
  <c r="P87" i="22"/>
  <c r="G87" i="22"/>
  <c r="O87" i="22" s="1"/>
  <c r="E87" i="22"/>
  <c r="P11" i="22"/>
  <c r="G11" i="22"/>
  <c r="O11" i="22" s="1"/>
  <c r="E11" i="22"/>
  <c r="P22" i="22"/>
  <c r="G22" i="22"/>
  <c r="O22" i="22" s="1"/>
  <c r="E22" i="22"/>
  <c r="P12" i="22"/>
  <c r="G12" i="22"/>
  <c r="O12" i="22" s="1"/>
  <c r="E12" i="22"/>
  <c r="P30" i="22"/>
  <c r="G30" i="22"/>
  <c r="O30" i="22" s="1"/>
  <c r="E30" i="22"/>
  <c r="P70" i="22"/>
  <c r="G70" i="22"/>
  <c r="O70" i="22" s="1"/>
  <c r="E70" i="22"/>
  <c r="P8" i="22"/>
  <c r="G8" i="22"/>
  <c r="O8" i="22" s="1"/>
  <c r="E8" i="22"/>
  <c r="P33" i="22"/>
  <c r="G33" i="22"/>
  <c r="O33" i="22" s="1"/>
  <c r="E33" i="22"/>
  <c r="P67" i="22"/>
  <c r="G67" i="22"/>
  <c r="O67" i="22" s="1"/>
  <c r="E67" i="22"/>
  <c r="P35" i="22"/>
  <c r="G35" i="22"/>
  <c r="O35" i="22" s="1"/>
  <c r="E35" i="22"/>
  <c r="P54" i="22"/>
  <c r="G54" i="22"/>
  <c r="O54" i="22" s="1"/>
  <c r="E54" i="22"/>
  <c r="P13" i="22"/>
  <c r="G13" i="22"/>
  <c r="O13" i="22" s="1"/>
  <c r="E13" i="22"/>
  <c r="P32" i="22"/>
  <c r="G32" i="22"/>
  <c r="O32" i="22" s="1"/>
  <c r="E32" i="22"/>
  <c r="P55" i="22"/>
  <c r="G55" i="22"/>
  <c r="O55" i="22" s="1"/>
  <c r="E55" i="22"/>
  <c r="P66" i="22"/>
  <c r="G66" i="22"/>
  <c r="O66" i="22" s="1"/>
  <c r="E66" i="22"/>
  <c r="P14" i="22"/>
  <c r="G14" i="22"/>
  <c r="O14" i="22" s="1"/>
  <c r="E14" i="22"/>
  <c r="P91" i="22"/>
  <c r="G91" i="22"/>
  <c r="O91" i="22" s="1"/>
  <c r="E91" i="22"/>
  <c r="P86" i="22"/>
  <c r="G86" i="22"/>
  <c r="O86" i="22" s="1"/>
  <c r="E86" i="22"/>
  <c r="P95" i="22"/>
  <c r="G95" i="22"/>
  <c r="O95" i="22" s="1"/>
  <c r="E95" i="22"/>
  <c r="P58" i="22"/>
  <c r="G58" i="22"/>
  <c r="O58" i="22" s="1"/>
  <c r="E58" i="22"/>
  <c r="P29" i="22"/>
  <c r="G29" i="22"/>
  <c r="O29" i="22" s="1"/>
  <c r="E29" i="22"/>
  <c r="P80" i="22"/>
  <c r="G80" i="22"/>
  <c r="O80" i="22" s="1"/>
  <c r="E80" i="22"/>
  <c r="P79" i="22"/>
  <c r="G79" i="22"/>
  <c r="O79" i="22" s="1"/>
  <c r="E79" i="22"/>
  <c r="P83" i="22"/>
  <c r="G83" i="22"/>
  <c r="O83" i="22" s="1"/>
  <c r="E83" i="22"/>
  <c r="P38" i="22"/>
  <c r="G38" i="22"/>
  <c r="O38" i="22" s="1"/>
  <c r="E38" i="22"/>
  <c r="P65" i="22"/>
  <c r="G65" i="22"/>
  <c r="O65" i="22" s="1"/>
  <c r="E65" i="22"/>
  <c r="P50" i="22"/>
  <c r="G50" i="22"/>
  <c r="O50" i="22" s="1"/>
  <c r="E50" i="22"/>
  <c r="P90" i="22"/>
  <c r="G90" i="22"/>
  <c r="O90" i="22" s="1"/>
  <c r="E90" i="22"/>
  <c r="P21" i="22"/>
  <c r="G21" i="22"/>
  <c r="O21" i="22" s="1"/>
  <c r="E21" i="22"/>
  <c r="P81" i="22"/>
  <c r="G81" i="22"/>
  <c r="O81" i="22" s="1"/>
  <c r="E81" i="22"/>
  <c r="P49" i="22"/>
  <c r="G49" i="22"/>
  <c r="O49" i="22" s="1"/>
  <c r="E49" i="22"/>
  <c r="P89" i="22"/>
  <c r="G89" i="22"/>
  <c r="O89" i="22" s="1"/>
  <c r="E89" i="22"/>
  <c r="P84" i="22"/>
  <c r="O84" i="22"/>
  <c r="E84" i="22"/>
  <c r="P69" i="22"/>
  <c r="G69" i="22"/>
  <c r="O69" i="22" s="1"/>
  <c r="E69" i="22"/>
  <c r="P52" i="22"/>
  <c r="G52" i="22"/>
  <c r="O52" i="22" s="1"/>
  <c r="E52" i="22"/>
  <c r="P78" i="22"/>
  <c r="O78" i="22"/>
  <c r="E78" i="22"/>
  <c r="P48" i="22"/>
  <c r="G48" i="22"/>
  <c r="O48" i="22" s="1"/>
  <c r="E48" i="22"/>
  <c r="P85" i="22"/>
  <c r="G85" i="22"/>
  <c r="O85" i="22" s="1"/>
  <c r="E85" i="22"/>
  <c r="P28" i="22"/>
  <c r="G28" i="22"/>
  <c r="O28" i="22" s="1"/>
  <c r="E28" i="22"/>
  <c r="P27" i="22"/>
  <c r="G27" i="22"/>
  <c r="O27" i="22" s="1"/>
  <c r="E27" i="22"/>
  <c r="P57" i="22"/>
  <c r="G57" i="22"/>
  <c r="O57" i="22" s="1"/>
  <c r="E57" i="22"/>
  <c r="P92" i="22"/>
  <c r="O92" i="22"/>
  <c r="E92" i="22"/>
  <c r="P77" i="22"/>
  <c r="O77" i="22"/>
  <c r="E77" i="22"/>
  <c r="P47" i="22"/>
  <c r="G47" i="22"/>
  <c r="O47" i="22" s="1"/>
  <c r="E47" i="22"/>
  <c r="P42" i="22"/>
  <c r="G42" i="22"/>
  <c r="O42" i="22" s="1"/>
  <c r="E42" i="22"/>
  <c r="P41" i="22"/>
  <c r="G41" i="22"/>
  <c r="O41" i="22" s="1"/>
  <c r="E41" i="22"/>
  <c r="P64" i="22"/>
  <c r="G64" i="22"/>
  <c r="O64" i="22" s="1"/>
  <c r="E64" i="22"/>
  <c r="P19" i="22"/>
  <c r="G19" i="22"/>
  <c r="O19" i="22" s="1"/>
  <c r="E19" i="22"/>
  <c r="P72" i="22"/>
  <c r="G72" i="22"/>
  <c r="O72" i="22" s="1"/>
  <c r="E72" i="22"/>
  <c r="P46" i="22"/>
  <c r="G46" i="22"/>
  <c r="O46" i="22" s="1"/>
  <c r="E46" i="22"/>
  <c r="P88" i="22"/>
  <c r="G88" i="22"/>
  <c r="O88" i="22" s="1"/>
  <c r="E88" i="22"/>
  <c r="P20" i="22"/>
  <c r="G20" i="22"/>
  <c r="O20" i="22" s="1"/>
  <c r="E20" i="22"/>
  <c r="P34" i="22"/>
  <c r="G34" i="22"/>
  <c r="O34" i="22" s="1"/>
  <c r="E34" i="22"/>
  <c r="P75" i="22"/>
  <c r="G75" i="22"/>
  <c r="O75" i="22" s="1"/>
  <c r="E75" i="22"/>
  <c r="P74" i="22"/>
  <c r="G74" i="22"/>
  <c r="O74" i="22" s="1"/>
  <c r="E74" i="22"/>
  <c r="P73" i="22"/>
  <c r="G73" i="22"/>
  <c r="O73" i="22" s="1"/>
  <c r="E73" i="22"/>
  <c r="P26" i="22"/>
  <c r="G26" i="22"/>
  <c r="O26" i="22" s="1"/>
  <c r="E26" i="22"/>
  <c r="P25" i="22"/>
  <c r="G25" i="22"/>
  <c r="O25" i="22" s="1"/>
  <c r="E25" i="22"/>
  <c r="P76" i="22"/>
  <c r="O76" i="22"/>
  <c r="E76" i="22"/>
  <c r="P36" i="22"/>
  <c r="G36" i="22"/>
  <c r="O36" i="22" s="1"/>
  <c r="E36" i="22"/>
  <c r="P94" i="22"/>
  <c r="G94" i="22"/>
  <c r="O94" i="22" s="1"/>
  <c r="E94" i="22"/>
  <c r="P56" i="22"/>
  <c r="G56" i="22"/>
  <c r="O56" i="22" s="1"/>
  <c r="E56" i="22"/>
  <c r="P16" i="22"/>
  <c r="G16" i="22"/>
  <c r="O16" i="22" s="1"/>
  <c r="E16" i="22"/>
  <c r="P82" i="22"/>
  <c r="G82" i="22"/>
  <c r="O82" i="22" s="1"/>
  <c r="E82" i="22"/>
  <c r="G154" i="22"/>
  <c r="E154" i="22"/>
  <c r="G153" i="22"/>
  <c r="E153" i="22"/>
  <c r="G152" i="22"/>
  <c r="E152" i="22"/>
  <c r="G151" i="22"/>
  <c r="E151" i="22"/>
  <c r="G142" i="22"/>
  <c r="E142" i="22"/>
  <c r="G150" i="22"/>
  <c r="E150" i="22"/>
  <c r="G148" i="22"/>
  <c r="E148" i="22"/>
  <c r="G147" i="22"/>
  <c r="E147" i="22"/>
  <c r="G141" i="22"/>
  <c r="E141" i="22"/>
  <c r="G125" i="22"/>
  <c r="E125" i="22"/>
  <c r="G134" i="22"/>
  <c r="E134" i="22"/>
  <c r="G140" i="22"/>
  <c r="E140" i="22"/>
  <c r="G139" i="22"/>
  <c r="E139" i="22"/>
  <c r="G129" i="22"/>
  <c r="E129" i="22"/>
  <c r="G138" i="22"/>
  <c r="E138" i="22"/>
  <c r="G137" i="22"/>
  <c r="E137" i="22"/>
  <c r="G136" i="22"/>
  <c r="E136" i="22"/>
  <c r="G122" i="22"/>
  <c r="E122" i="22"/>
  <c r="G135" i="22"/>
  <c r="E135" i="22"/>
  <c r="G128" i="22"/>
  <c r="E128" i="22"/>
  <c r="G146" i="22"/>
  <c r="E146" i="22"/>
  <c r="G145" i="22"/>
  <c r="E145" i="22"/>
  <c r="G144" i="22"/>
  <c r="E144" i="22"/>
  <c r="G143" i="22"/>
  <c r="E143" i="22"/>
  <c r="G127" i="22"/>
  <c r="E127" i="22"/>
  <c r="G149" i="22"/>
  <c r="E149" i="22"/>
  <c r="G123" i="22"/>
  <c r="E123" i="22"/>
  <c r="G121" i="22"/>
  <c r="E121" i="22"/>
  <c r="G132" i="22"/>
  <c r="E132" i="22"/>
  <c r="G126" i="22"/>
  <c r="E126" i="22"/>
  <c r="G133" i="22"/>
  <c r="E133" i="22"/>
  <c r="G131" i="22"/>
  <c r="E131" i="22"/>
  <c r="G130" i="22"/>
  <c r="E130" i="22"/>
  <c r="G124" i="22"/>
  <c r="E124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G189" i="22"/>
  <c r="F164" i="22" l="1"/>
  <c r="C227" i="22" l="1"/>
  <c r="E227" i="22"/>
  <c r="B227" i="22" l="1"/>
  <c r="F189" i="22"/>
  <c r="H189" i="22"/>
  <c r="P99" i="22" l="1"/>
  <c r="G99" i="22"/>
  <c r="O99" i="22" s="1"/>
  <c r="E99" i="22"/>
  <c r="P98" i="22"/>
  <c r="G98" i="22"/>
  <c r="O98" i="22" s="1"/>
  <c r="E98" i="22"/>
  <c r="P97" i="22"/>
  <c r="G97" i="22"/>
  <c r="O97" i="22" s="1"/>
  <c r="E97" i="22"/>
  <c r="P96" i="22"/>
  <c r="G96" i="22"/>
  <c r="O96" i="22" s="1"/>
  <c r="E96" i="22"/>
  <c r="P17" i="22"/>
  <c r="O17" i="22"/>
  <c r="E17" i="22"/>
  <c r="P71" i="22"/>
  <c r="G71" i="22"/>
  <c r="O71" i="22" s="1"/>
  <c r="E71" i="22"/>
  <c r="P10" i="22"/>
  <c r="G10" i="22"/>
  <c r="O10" i="22" s="1"/>
  <c r="E10" i="22"/>
  <c r="P9" i="22"/>
  <c r="G9" i="22"/>
  <c r="O9" i="22" s="1"/>
  <c r="E9" i="22"/>
  <c r="P40" i="22"/>
  <c r="G40" i="22"/>
  <c r="O40" i="22" s="1"/>
  <c r="E40" i="22"/>
  <c r="P24" i="22"/>
  <c r="G24" i="22"/>
  <c r="O24" i="22" s="1"/>
  <c r="E24" i="22"/>
  <c r="P23" i="22"/>
  <c r="G23" i="22"/>
  <c r="O23" i="22" s="1"/>
  <c r="E23" i="22"/>
  <c r="P18" i="22"/>
  <c r="G18" i="22"/>
  <c r="O18" i="22" s="1"/>
  <c r="E18" i="22"/>
  <c r="P59" i="22"/>
  <c r="G59" i="22"/>
  <c r="O59" i="22" s="1"/>
  <c r="E59" i="22"/>
  <c r="P39" i="22"/>
  <c r="G39" i="22"/>
  <c r="O39" i="22" s="1"/>
  <c r="E39" i="22"/>
  <c r="P68" i="22"/>
  <c r="G68" i="22"/>
  <c r="O68" i="22" s="1"/>
  <c r="E68" i="22"/>
  <c r="P63" i="22"/>
  <c r="G63" i="22"/>
  <c r="O63" i="22" s="1"/>
  <c r="E63" i="22"/>
  <c r="P37" i="22"/>
  <c r="G37" i="22"/>
  <c r="O37" i="22" s="1"/>
  <c r="E37" i="22"/>
  <c r="P62" i="22"/>
  <c r="G62" i="22"/>
  <c r="O62" i="22" s="1"/>
  <c r="E62" i="22"/>
  <c r="P53" i="22"/>
  <c r="G53" i="22"/>
  <c r="O53" i="22" s="1"/>
  <c r="E53" i="22"/>
  <c r="G157" i="22"/>
  <c r="E157" i="22"/>
  <c r="G156" i="22"/>
  <c r="E156" i="22"/>
  <c r="G155" i="22"/>
  <c r="E155" i="22"/>
  <c r="I189" i="22" l="1"/>
  <c r="G197" i="22" l="1"/>
  <c r="I197" i="22" s="1"/>
  <c r="E197" i="22"/>
  <c r="E182" i="22"/>
  <c r="E168" i="22"/>
  <c r="I116" i="22"/>
  <c r="H116" i="22"/>
  <c r="G158" i="22" l="1"/>
  <c r="E158" i="22"/>
  <c r="F116" i="22" l="1"/>
  <c r="G199" i="22"/>
  <c r="I199" i="22" s="1"/>
  <c r="E199" i="22"/>
  <c r="G198" i="22"/>
  <c r="I198" i="22" s="1"/>
  <c r="E198" i="22"/>
  <c r="E159" i="22"/>
  <c r="G159" i="22"/>
  <c r="E160" i="22"/>
  <c r="G160" i="22"/>
  <c r="E161" i="22"/>
  <c r="G161" i="22"/>
  <c r="E162" i="22"/>
  <c r="G162" i="22"/>
  <c r="E163" i="22"/>
  <c r="G163" i="22"/>
  <c r="E185" i="22" l="1"/>
  <c r="E184" i="22"/>
  <c r="E183" i="22"/>
  <c r="E187" i="22"/>
  <c r="E186" i="22"/>
  <c r="N116" i="22" l="1"/>
  <c r="M116" i="22"/>
  <c r="L116" i="22"/>
  <c r="K116" i="22"/>
  <c r="J116" i="22"/>
  <c r="B8" i="24" l="1"/>
  <c r="E100" i="22" l="1"/>
  <c r="G100" i="22"/>
  <c r="P100" i="22"/>
  <c r="E101" i="22"/>
  <c r="G101" i="22"/>
  <c r="O101" i="22" s="1"/>
  <c r="P101" i="22"/>
  <c r="E102" i="22"/>
  <c r="G102" i="22"/>
  <c r="O102" i="22" s="1"/>
  <c r="P102" i="22"/>
  <c r="O100" i="22" l="1"/>
  <c r="E103" i="22"/>
  <c r="G103" i="22"/>
  <c r="O103" i="22" s="1"/>
  <c r="P103" i="22"/>
  <c r="E104" i="22"/>
  <c r="G104" i="22"/>
  <c r="O104" i="22" s="1"/>
  <c r="P104" i="22"/>
  <c r="E105" i="22"/>
  <c r="G105" i="22"/>
  <c r="O105" i="22" s="1"/>
  <c r="P105" i="22"/>
  <c r="E106" i="22"/>
  <c r="G106" i="22"/>
  <c r="O106" i="22" s="1"/>
  <c r="P106" i="22"/>
  <c r="E107" i="22"/>
  <c r="G107" i="22"/>
  <c r="O107" i="22" s="1"/>
  <c r="P107" i="22"/>
  <c r="E188" i="22" l="1"/>
  <c r="E208" i="22" l="1"/>
  <c r="E207" i="22"/>
  <c r="G200" i="22"/>
  <c r="I200" i="22" s="1"/>
  <c r="E200" i="22"/>
  <c r="F202" i="22" l="1"/>
  <c r="B6" i="24" s="1"/>
  <c r="E108" i="22" l="1"/>
  <c r="G108" i="22"/>
  <c r="P108" i="22"/>
  <c r="E109" i="22"/>
  <c r="G109" i="22"/>
  <c r="O109" i="22" s="1"/>
  <c r="P109" i="22"/>
  <c r="E110" i="22"/>
  <c r="G110" i="22"/>
  <c r="O110" i="22" s="1"/>
  <c r="P110" i="22"/>
  <c r="E111" i="22"/>
  <c r="G111" i="22"/>
  <c r="O111" i="22" s="1"/>
  <c r="P111" i="22"/>
  <c r="E112" i="22"/>
  <c r="G112" i="22"/>
  <c r="O112" i="22" s="1"/>
  <c r="P112" i="22"/>
  <c r="E113" i="22"/>
  <c r="G113" i="22"/>
  <c r="O113" i="22" s="1"/>
  <c r="P113" i="22"/>
  <c r="E114" i="22"/>
  <c r="G114" i="22"/>
  <c r="O114" i="22" s="1"/>
  <c r="P114" i="22"/>
  <c r="O108" i="22" l="1"/>
  <c r="C8" i="24" l="1"/>
  <c r="D8" i="24" s="1"/>
  <c r="E115" i="22"/>
  <c r="B9" i="24" l="1"/>
  <c r="C36" i="24" l="1"/>
  <c r="G115" i="22" l="1"/>
  <c r="G116" i="22" l="1"/>
  <c r="G117" i="22" s="1"/>
  <c r="O115" i="22"/>
  <c r="O116" i="22" s="1"/>
  <c r="B15" i="24" l="1"/>
  <c r="B17" i="24" s="1"/>
  <c r="P115" i="22" l="1"/>
  <c r="C9" i="24" l="1"/>
  <c r="D9" i="24" s="1"/>
  <c r="E209" i="22" l="1"/>
  <c r="C42" i="24" l="1"/>
  <c r="C56" i="24" s="1"/>
  <c r="C60" i="24" s="1"/>
  <c r="C44" i="24" l="1"/>
  <c r="E210" i="22" l="1"/>
  <c r="E211" i="22"/>
  <c r="E201" i="22"/>
  <c r="G201" i="22"/>
  <c r="C6" i="24" l="1"/>
  <c r="I201" i="22"/>
  <c r="I202" i="22" s="1"/>
  <c r="G202" i="22"/>
  <c r="D6" i="24" l="1"/>
  <c r="C15" i="24"/>
  <c r="C17" i="24" s="1"/>
  <c r="D15" i="24" l="1"/>
  <c r="D17" i="24" s="1"/>
  <c r="F207" i="22" l="1"/>
  <c r="G207" i="22" l="1"/>
  <c r="H212" i="22"/>
  <c r="F211" i="22"/>
  <c r="G211" i="22" s="1"/>
  <c r="F209" i="22"/>
  <c r="G209" i="22" s="1"/>
  <c r="F210" i="22"/>
  <c r="G210" i="22" s="1"/>
  <c r="F208" i="22"/>
  <c r="F212" i="22" l="1"/>
  <c r="B7" i="24" s="1"/>
  <c r="B10" i="24" s="1"/>
  <c r="G208" i="22"/>
  <c r="G212" i="22" s="1"/>
  <c r="C7" i="24" l="1"/>
  <c r="C10" i="24" l="1"/>
  <c r="C48" i="24" s="1"/>
  <c r="D7" i="24"/>
  <c r="D10" i="24" s="1"/>
  <c r="C52" i="24" l="1"/>
  <c r="C63" i="24" s="1"/>
</calcChain>
</file>

<file path=xl/sharedStrings.xml><?xml version="1.0" encoding="utf-8"?>
<sst xmlns="http://schemas.openxmlformats.org/spreadsheetml/2006/main" count="3040" uniqueCount="1122">
  <si>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</si>
  <si>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</si>
  <si>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</si>
  <si>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</si>
  <si>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</si>
  <si>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</si>
  <si>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</si>
  <si>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</si>
  <si>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</si>
  <si>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</si>
  <si>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</si>
  <si>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</si>
  <si>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</si>
  <si>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</si>
  <si>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</si>
  <si>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</si>
  <si>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</si>
  <si>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</si>
  <si>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</si>
  <si>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</si>
  <si>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</si>
  <si>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</si>
  <si>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</si>
  <si>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</si>
  <si>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</si>
  <si>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</si>
  <si>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</si>
  <si>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</si>
  <si>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</si>
  <si>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</si>
  <si>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</si>
  <si>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</si>
  <si>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</si>
  <si>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</si>
  <si>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</si>
  <si>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</si>
  <si>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</si>
  <si>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</si>
  <si>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</si>
  <si>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</si>
  <si>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</si>
  <si>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</si>
  <si>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</si>
  <si>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</si>
  <si>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</si>
  <si>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</si>
  <si>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</si>
  <si>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</si>
  <si>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</si>
  <si>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</si>
  <si>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</si>
  <si>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</si>
  <si>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</si>
  <si>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</si>
  <si>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</si>
  <si>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</si>
  <si>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</si>
  <si>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</si>
  <si>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</si>
  <si>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</si>
  <si>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</si>
  <si>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</si>
  <si>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</si>
  <si>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</si>
  <si>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</si>
  <si>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</si>
  <si>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</si>
  <si>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</si>
  <si>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</si>
  <si>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</si>
  <si>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</si>
  <si>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</si>
  <si>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</si>
  <si>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</si>
  <si>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</si>
  <si>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</si>
  <si>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</si>
  <si>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</si>
  <si>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</si>
  <si>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</si>
  <si>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</si>
  <si>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</si>
  <si>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</si>
  <si>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</si>
  <si>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</si>
  <si>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</si>
  <si>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</si>
  <si>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</si>
  <si>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</si>
  <si>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</si>
  <si>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</si>
  <si>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</si>
  <si>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</si>
  <si>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</si>
  <si>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</si>
  <si>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</si>
  <si>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</si>
  <si>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</si>
  <si>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</si>
  <si>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</si>
  <si>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</si>
  <si>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</si>
  <si>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</si>
  <si>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</si>
  <si>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</si>
  <si>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</si>
  <si>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</si>
  <si>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</si>
  <si>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</si>
  <si>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</si>
  <si>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</si>
  <si>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</si>
  <si>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</si>
  <si>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</si>
  <si>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</si>
  <si>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</si>
  <si>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</si>
  <si>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</si>
  <si>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</si>
  <si>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</si>
  <si>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</si>
  <si>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</si>
  <si>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</si>
  <si>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</si>
  <si>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</si>
  <si>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</si>
  <si>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</si>
  <si>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</si>
  <si>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</si>
  <si>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</si>
  <si>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</si>
  <si>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</si>
  <si>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</si>
  <si>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</si>
  <si>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</si>
  <si>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</si>
  <si>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</si>
  <si>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</si>
  <si>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</si>
  <si>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</si>
  <si>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</si>
  <si>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</si>
  <si>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</si>
  <si>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</si>
  <si>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</si>
  <si>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</si>
  <si>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</si>
  <si>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</si>
  <si>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</si>
  <si>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</si>
  <si>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</si>
  <si>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</si>
  <si>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</si>
  <si>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</si>
  <si>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</si>
  <si>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</si>
  <si>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</si>
  <si>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</si>
  <si>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</si>
  <si>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</si>
  <si>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</si>
  <si>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</si>
  <si>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</si>
  <si>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</si>
  <si>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</si>
  <si>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</si>
  <si>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</si>
  <si>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</si>
  <si>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</si>
  <si>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</si>
  <si>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</si>
  <si>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</si>
  <si>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</si>
  <si>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</si>
  <si>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</si>
  <si>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</si>
  <si>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</si>
  <si>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</si>
  <si>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</si>
  <si>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</si>
  <si>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</si>
  <si>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</si>
  <si>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</si>
  <si>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</si>
  <si>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</si>
  <si>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</si>
  <si>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</si>
  <si>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</si>
  <si>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</si>
  <si>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</si>
  <si>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</si>
  <si>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</si>
  <si>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</si>
  <si>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</si>
  <si>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</si>
  <si>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</si>
  <si>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</si>
  <si>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</si>
  <si>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</si>
  <si>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</si>
  <si>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</si>
  <si>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</si>
  <si>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</si>
  <si>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</si>
  <si>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</si>
  <si>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</si>
  <si>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</si>
  <si>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</si>
  <si>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</si>
  <si>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</si>
  <si>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</si>
  <si>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</si>
  <si>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</si>
  <si>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</si>
  <si>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</si>
  <si>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</si>
  <si>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</si>
  <si>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</si>
  <si>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</si>
  <si>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</si>
  <si>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</si>
  <si>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</si>
  <si>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</si>
  <si>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</si>
  <si>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</si>
  <si>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</si>
  <si>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</si>
  <si>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</si>
  <si>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</si>
  <si>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</si>
  <si>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</si>
  <si>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</si>
  <si>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</si>
  <si>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</si>
  <si>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</si>
  <si>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</si>
  <si>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</si>
  <si>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</si>
  <si>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</si>
  <si>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</si>
  <si>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</si>
  <si>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</si>
  <si>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</si>
  <si>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</si>
  <si>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</si>
  <si>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</si>
  <si>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</si>
  <si>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</si>
  <si>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</si>
  <si>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</si>
  <si>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</si>
  <si>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</si>
  <si>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</si>
  <si>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</si>
  <si>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</si>
  <si>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</si>
  <si>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</si>
  <si>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</si>
  <si>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</si>
  <si>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</si>
  <si>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</si>
  <si>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</si>
  <si>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</si>
  <si>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</si>
  <si>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</si>
  <si>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</si>
  <si>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</si>
  <si>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</si>
  <si>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</si>
  <si>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</si>
  <si>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</si>
  <si>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</si>
  <si>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</si>
  <si>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</si>
  <si>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</si>
  <si>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</si>
  <si>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</si>
  <si>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</si>
  <si>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</si>
  <si>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</si>
  <si>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</si>
  <si>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</si>
  <si>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</si>
  <si>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</si>
  <si>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</si>
  <si>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</si>
  <si>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</si>
  <si>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</si>
  <si>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</si>
  <si>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</si>
  <si>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</si>
  <si>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</si>
  <si>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</si>
  <si>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</si>
  <si>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</si>
  <si>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</si>
  <si>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</si>
  <si>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</si>
  <si>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</si>
  <si>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</si>
  <si>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</si>
  <si>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</si>
  <si>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</si>
  <si>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</si>
  <si>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</si>
  <si>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</si>
  <si>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</si>
  <si>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</si>
  <si>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</si>
  <si>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</si>
  <si>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</si>
  <si>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</si>
  <si>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</si>
  <si>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</si>
  <si>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</si>
  <si>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</si>
  <si>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</si>
  <si>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</si>
  <si>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</si>
  <si>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</si>
  <si>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</si>
  <si>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</si>
  <si>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</si>
  <si>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</si>
  <si>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</si>
  <si>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</si>
  <si>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</si>
  <si>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</si>
  <si>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</si>
  <si>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</si>
  <si>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</si>
  <si>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</si>
  <si>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</si>
  <si>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</si>
  <si>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</si>
  <si>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</si>
  <si>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</si>
  <si>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</si>
  <si>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</si>
  <si>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</si>
  <si>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</si>
  <si>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</si>
  <si>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</si>
  <si>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</si>
  <si>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</si>
  <si>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</si>
  <si>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</si>
  <si>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</si>
  <si>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</si>
  <si>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</si>
  <si>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</si>
  <si>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</si>
  <si>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</si>
  <si>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</si>
  <si>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</si>
  <si>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</si>
  <si>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</si>
  <si>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</si>
  <si>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</si>
  <si>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</si>
  <si>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</si>
  <si>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</si>
  <si>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</si>
  <si>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</si>
  <si>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</si>
  <si>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</si>
  <si>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</si>
  <si>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</si>
  <si>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</si>
  <si>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</si>
  <si>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</si>
  <si>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</si>
  <si>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</si>
  <si>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</si>
  <si>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</si>
  <si>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</si>
  <si>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</si>
  <si>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</si>
  <si>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</si>
  <si>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</si>
  <si>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</si>
  <si>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</si>
  <si>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</si>
  <si>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</si>
  <si>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</si>
  <si>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</si>
  <si>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</si>
  <si>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</si>
  <si>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</si>
  <si>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</si>
  <si>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</si>
  <si>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</si>
  <si>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</si>
  <si>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</si>
  <si>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</si>
  <si>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</si>
  <si>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</si>
  <si>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</si>
  <si>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</si>
  <si>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</si>
  <si>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</si>
  <si>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</si>
  <si>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</si>
  <si>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</si>
  <si>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</si>
  <si>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</si>
  <si>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</si>
  <si>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</si>
  <si>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</si>
  <si>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</si>
  <si>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</si>
  <si>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</si>
  <si>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</si>
  <si>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</si>
  <si>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</si>
  <si>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</si>
  <si>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</si>
  <si>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</si>
  <si>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</si>
  <si>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</si>
  <si>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</si>
  <si>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</si>
  <si>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</si>
  <si>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</si>
  <si>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</si>
  <si>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</si>
  <si>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</si>
  <si>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</si>
  <si>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</si>
  <si>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</si>
  <si>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</si>
  <si>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</si>
  <si>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</si>
  <si>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</si>
  <si>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</si>
  <si>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</si>
  <si>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</si>
  <si>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</si>
  <si>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</si>
  <si>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</si>
  <si>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</si>
  <si>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</si>
  <si>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</si>
  <si>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</si>
  <si>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</si>
  <si>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</si>
  <si>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</si>
  <si>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</si>
  <si>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</si>
  <si>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</si>
  <si>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</si>
  <si>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</si>
  <si>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</si>
  <si>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</si>
  <si>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</si>
  <si>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</si>
  <si>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</si>
  <si>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</si>
  <si>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</si>
  <si>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</si>
  <si>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</si>
  <si>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</si>
  <si>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</si>
  <si>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</si>
  <si>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</si>
  <si>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</si>
  <si>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</si>
  <si>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</si>
  <si>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</si>
  <si>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</si>
  <si>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</si>
  <si>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</si>
  <si>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</si>
  <si>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</si>
  <si>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</si>
  <si>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</si>
  <si>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</si>
  <si>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</si>
  <si>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</si>
  <si>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</si>
  <si>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</si>
  <si>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</si>
  <si>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</si>
  <si>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</si>
  <si>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</si>
  <si>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</si>
  <si>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</si>
  <si>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</si>
  <si>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</si>
  <si>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</si>
  <si>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</si>
  <si>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</si>
  <si>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</si>
  <si>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</si>
  <si>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</si>
  <si>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</si>
  <si>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</si>
  <si>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</si>
  <si>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</si>
  <si>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</si>
  <si>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</si>
  <si>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</si>
  <si>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</si>
  <si>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</si>
  <si>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</si>
  <si>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</si>
  <si>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</si>
  <si>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</si>
  <si>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</si>
  <si>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</si>
  <si>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</si>
  <si>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</si>
  <si>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</si>
  <si>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</si>
  <si>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</si>
  <si>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</si>
  <si>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</si>
  <si>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</si>
  <si>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</si>
  <si>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</si>
  <si>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</si>
  <si>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</si>
  <si>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</si>
  <si>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</si>
  <si>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</si>
  <si>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</si>
  <si>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</si>
  <si>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</si>
  <si>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</si>
  <si>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</si>
  <si>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</si>
  <si>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</si>
  <si>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</si>
  <si>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</si>
  <si>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</si>
  <si>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</si>
  <si>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</si>
  <si>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</si>
  <si>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</si>
  <si>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</si>
  <si>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</si>
  <si>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</si>
  <si>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</si>
  <si>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</si>
  <si>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</si>
  <si>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</si>
  <si>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</si>
  <si>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</si>
  <si>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</si>
  <si>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</si>
  <si>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</si>
  <si>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</si>
  <si>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</si>
  <si>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</si>
  <si>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</si>
  <si>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</si>
  <si>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</si>
  <si>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</si>
  <si>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</si>
  <si>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</si>
  <si>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</si>
  <si>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</si>
  <si>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</si>
  <si>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</si>
  <si>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</si>
  <si>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</si>
  <si>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</si>
  <si>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</si>
  <si>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</si>
  <si>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</si>
  <si>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</si>
  <si>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</si>
  <si>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</si>
  <si>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</si>
  <si>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</si>
  <si>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</si>
  <si>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</si>
  <si>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</si>
  <si>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</si>
  <si>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</si>
  <si>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</si>
  <si>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</si>
  <si>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</si>
  <si>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</si>
  <si>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</si>
  <si>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</si>
  <si>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</si>
  <si>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</si>
  <si>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</si>
  <si>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</si>
  <si>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</si>
  <si>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</si>
  <si>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</si>
  <si>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</si>
  <si>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</si>
  <si>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</si>
  <si>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</si>
  <si>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</si>
  <si>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</si>
  <si>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</si>
  <si>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</si>
  <si>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</si>
  <si>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</si>
  <si>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</si>
  <si>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</si>
  <si>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</si>
  <si>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</si>
  <si>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</si>
  <si>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</si>
  <si>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</si>
  <si>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</si>
  <si>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</si>
  <si>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</si>
  <si>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</si>
  <si>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</si>
  <si>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</si>
  <si>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</si>
  <si>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</si>
  <si>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</si>
  <si>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</si>
  <si>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</si>
  <si>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</si>
  <si>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.CONSUMIDOR FINAL</t>
  </si>
  <si>
    <t>Consumidor Final</t>
  </si>
  <si>
    <t/>
  </si>
  <si>
    <t>Galeno Argentina Sociedad Anonima</t>
  </si>
  <si>
    <t>IVA Responsable Inscripto</t>
  </si>
  <si>
    <t>Hc Homecare Internacion Domiciliaria S.A.</t>
  </si>
  <si>
    <t>Login Door S.A</t>
  </si>
  <si>
    <t>Medicus Sociedad Anonima De Asistencia Medica Y Cientifica</t>
  </si>
  <si>
    <t>JUAN PABLO MINVIELLE</t>
  </si>
  <si>
    <t>SILVIA ROLDAN</t>
  </si>
  <si>
    <t>Ensalud S.A</t>
  </si>
  <si>
    <t>Amparo Salud S.R.L.</t>
  </si>
  <si>
    <t>Zc Diabetes Srl</t>
  </si>
  <si>
    <t>Obra Social Del Personal De Las Telecomunicaciones De La Republica Argentina</t>
  </si>
  <si>
    <t>Obra Social Union Personal De La Union  Del Personal Civil De La Nacion</t>
  </si>
  <si>
    <t>MARIA ELENA RODRIGUEZ</t>
  </si>
  <si>
    <t>ENRIQUETA MARIA DEL SOCORRO MAJO</t>
  </si>
  <si>
    <t>Chiari Maria Enriqueta del Socorro</t>
  </si>
  <si>
    <t>Galeno A.R.T. S.A.</t>
  </si>
  <si>
    <t>IVA Sujeto Exento</t>
  </si>
  <si>
    <t>Medincare Argentina S.A.</t>
  </si>
  <si>
    <t>Herman Patricia</t>
  </si>
  <si>
    <t>Obra Social De Los Trabajadores De La Industria Del Gas</t>
  </si>
  <si>
    <t xml:space="preserve">IZZO, ADRIANA </t>
  </si>
  <si>
    <t>Desalvo Miguel Angel</t>
  </si>
  <si>
    <t>Alexander Fleming S A</t>
  </si>
  <si>
    <t>Centro Medico Amenabar Srl</t>
  </si>
  <si>
    <t>Fundacion Empresaria Maderera</t>
  </si>
  <si>
    <t>Obra Social Del Personal De La Industria Del Plastico</t>
  </si>
  <si>
    <t>MATHOV ENRIQUE JOSE</t>
  </si>
  <si>
    <t>Asociacion Mutual Sancor Salud</t>
  </si>
  <si>
    <t>PEDRO SERGIO TORREGROSA</t>
  </si>
  <si>
    <t>VOLPI, ALBERTO JAVIER</t>
  </si>
  <si>
    <t>CUDERO, SILVINA</t>
  </si>
  <si>
    <t xml:space="preserve">DOMINGUEZ, DANNA ROCIO </t>
  </si>
  <si>
    <t>SANZIO, INMACULADA CONCEPCION</t>
  </si>
  <si>
    <t>SAENZ, MAGDALENA.</t>
  </si>
  <si>
    <t>MINERVINI, MARIA DEL CARMEN LILIANA</t>
  </si>
  <si>
    <t>GLORIA FULLGRAFF</t>
  </si>
  <si>
    <t>PASTOR ROSALES ROSA NOEMI</t>
  </si>
  <si>
    <t>REPETTO LYNCH, BENJAMIN MARIA</t>
  </si>
  <si>
    <t>ZAIDMAN, CESAR JAVIER</t>
  </si>
  <si>
    <t xml:space="preserve">ARANA, MARCELLA OFELIA </t>
  </si>
  <si>
    <t xml:space="preserve">SARA STRASBERG </t>
  </si>
  <si>
    <t>PEDROZO, PAULA GABRIELA</t>
  </si>
  <si>
    <t>SPADONI, ANALIA BEATRIZ</t>
  </si>
  <si>
    <t>EGESAC S.A.</t>
  </si>
  <si>
    <t>Aguirre Diego</t>
  </si>
  <si>
    <t>CORREA, PABLO FERNANDO</t>
  </si>
  <si>
    <t>ANDREOTTI, CECILIA BEATRIZ</t>
  </si>
  <si>
    <t>TISSONE, JOSE ERNESTO</t>
  </si>
  <si>
    <t>VIDAL, ALINE CATIANE</t>
  </si>
  <si>
    <t>CORIGLIANO, LORENA ELISA</t>
  </si>
  <si>
    <t>SCHELGEL, LUIS ALBERTO</t>
  </si>
  <si>
    <t>22/06/2023</t>
  </si>
  <si>
    <t>MONTI, MARIA PAULA</t>
  </si>
  <si>
    <t>ORELLA DEL VALLE RAQUEL</t>
  </si>
  <si>
    <t>MIÑO GUSTAVO SEBASTIAN</t>
  </si>
  <si>
    <t>DEBELIUCH TOMAS IVAN</t>
  </si>
  <si>
    <t>LOGISTICA PATRICIOS SA</t>
  </si>
  <si>
    <t>MERAS HNOS SA</t>
  </si>
  <si>
    <t>OMNICHANNEL SA</t>
  </si>
  <si>
    <t>03/07/2023</t>
  </si>
  <si>
    <t>04/07/2023</t>
  </si>
  <si>
    <t>05/07/2023</t>
  </si>
  <si>
    <t>06/07/2023</t>
  </si>
  <si>
    <t>07/07/2023</t>
  </si>
  <si>
    <t>09/07/2023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</si>
  <si>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</si>
  <si>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</si>
  <si>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</si>
  <si>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</si>
  <si>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</si>
  <si>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</si>
  <si>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</si>
  <si>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</si>
  <si>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</si>
  <si>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</si>
  <si>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</si>
  <si>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</si>
  <si>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</si>
  <si>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</si>
  <si>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31/07/2023</t>
  </si>
  <si>
    <t>Ventas Libro de IVA 01/07/2023 - 31/07/2023</t>
  </si>
  <si>
    <t>FA-B 0005-00008258</t>
  </si>
  <si>
    <t>FA-B 0005-00008259</t>
  </si>
  <si>
    <t>FA-B 0005-00008260</t>
  </si>
  <si>
    <t>FA-B 0005-00008261</t>
  </si>
  <si>
    <t>FA-B 0005-00008262</t>
  </si>
  <si>
    <t>FA-B 0005-00008263</t>
  </si>
  <si>
    <t>FA-B 0005-00008264</t>
  </si>
  <si>
    <t>FA-B 0005-00008265</t>
  </si>
  <si>
    <t>FA-B 0005-00008266</t>
  </si>
  <si>
    <t>FA-A 0006-00000363</t>
  </si>
  <si>
    <t>NC-A 0007-00000095</t>
  </si>
  <si>
    <t>FA-A 0007-00001499</t>
  </si>
  <si>
    <t>FA-A 0007-00001500</t>
  </si>
  <si>
    <t>FA-A 0007-00001501</t>
  </si>
  <si>
    <t>FA-A 0007-00001502</t>
  </si>
  <si>
    <t>FA-A 0007-00001503</t>
  </si>
  <si>
    <t>FA-A 0007-00001504</t>
  </si>
  <si>
    <t>FA-A 0007-00001505</t>
  </si>
  <si>
    <t>FA-A 0007-00001506</t>
  </si>
  <si>
    <t>FA-A 0007-00001507</t>
  </si>
  <si>
    <t>FA-A 0007-00001508</t>
  </si>
  <si>
    <t>FA-A 0007-00001509</t>
  </si>
  <si>
    <t>FA-B 0007-00004469</t>
  </si>
  <si>
    <t>FA-B 0005-00008267</t>
  </si>
  <si>
    <t>FA-B 0005-00008268</t>
  </si>
  <si>
    <t>FA-B 0005-00008269</t>
  </si>
  <si>
    <t>FA-B 0005-00008270</t>
  </si>
  <si>
    <t>FA-B 0005-00008271</t>
  </si>
  <si>
    <t>FA-B 0005-00008272</t>
  </si>
  <si>
    <t>FA-B 0005-00008273</t>
  </si>
  <si>
    <t>FA-B 0005-00008274</t>
  </si>
  <si>
    <t>FA-B 0005-00008275</t>
  </si>
  <si>
    <t>FA-B 0005-00008276</t>
  </si>
  <si>
    <t>FA-A 0006-00000364</t>
  </si>
  <si>
    <t>FA-A 0006-00000365</t>
  </si>
  <si>
    <t>NC-A 0007-00000096</t>
  </si>
  <si>
    <t>FA-A 0007-00001510</t>
  </si>
  <si>
    <t>FA-A 0007-00001511</t>
  </si>
  <si>
    <t>FA-A 0007-00001512</t>
  </si>
  <si>
    <t>FA-A 0007-00001513</t>
  </si>
  <si>
    <t>FA-B 0007-00004470</t>
  </si>
  <si>
    <t>FA-B 0007-00004471</t>
  </si>
  <si>
    <t>FA-B 0007-00004472</t>
  </si>
  <si>
    <t>FA-B 0007-00004473</t>
  </si>
  <si>
    <t>FA-B 0007-00004474</t>
  </si>
  <si>
    <t>LOCOCO, CARMEN</t>
  </si>
  <si>
    <t>FA-B 0007-00004475</t>
  </si>
  <si>
    <t>FA-B 0005-00008277</t>
  </si>
  <si>
    <t>FA-B 0005-00008278</t>
  </si>
  <si>
    <t>FA-B 0005-00008279</t>
  </si>
  <si>
    <t>FA-B 0005-00008280</t>
  </si>
  <si>
    <t>FA-B 0005-00008281</t>
  </si>
  <si>
    <t>DAPEÑA NOELIA</t>
  </si>
  <si>
    <t>FA-B 0005-00008282</t>
  </si>
  <si>
    <t>FA-B 0005-00008283</t>
  </si>
  <si>
    <t>FA-B 0005-00008284</t>
  </si>
  <si>
    <t>FA-B 0005-00008285</t>
  </si>
  <si>
    <t>FA-B 0005-00008286</t>
  </si>
  <si>
    <t>FA-B 0005-00008287</t>
  </si>
  <si>
    <t>MARTINEZ VALENTINA</t>
  </si>
  <si>
    <t>FA-B 0005-00008288</t>
  </si>
  <si>
    <t>NC-A 0006-00000040</t>
  </si>
  <si>
    <t>FA-A 0006-00000366</t>
  </si>
  <si>
    <t>NC-A 0007-00000097</t>
  </si>
  <si>
    <t>FA-A 0007-00001514</t>
  </si>
  <si>
    <t>FA-A 0007-00001515</t>
  </si>
  <si>
    <t>FA-A 0007-00001516</t>
  </si>
  <si>
    <t>FA-A 0007-00001517</t>
  </si>
  <si>
    <t>FA-A 0007-00001518</t>
  </si>
  <si>
    <t>FA-B 0007-00004476</t>
  </si>
  <si>
    <t>FA-B 0007-00004477</t>
  </si>
  <si>
    <t>FA-B 0007-00004478</t>
  </si>
  <si>
    <t>ALEJANDRA SIFFREDI TORRES SANMARCO</t>
  </si>
  <si>
    <t>FA-B 0005-00008289</t>
  </si>
  <si>
    <t>FA-B 0005-00008290</t>
  </si>
  <si>
    <t>LISI LUIS EDUARDO</t>
  </si>
  <si>
    <t>FA-B 0005-00008291</t>
  </si>
  <si>
    <t>FA-B 0005-00008292</t>
  </si>
  <si>
    <t>FA-B 0005-00008293</t>
  </si>
  <si>
    <t>FA-B 0005-00008294</t>
  </si>
  <si>
    <t>FA-B 0005-00008295</t>
  </si>
  <si>
    <t>FA-B 0005-00008296</t>
  </si>
  <si>
    <t>FA-B 0005-00008297</t>
  </si>
  <si>
    <t>FA-B 0005-00008298</t>
  </si>
  <si>
    <t>FA-B 0005-00008299</t>
  </si>
  <si>
    <t>FA-B 0005-00008300</t>
  </si>
  <si>
    <t>FA-B 0005-00008301</t>
  </si>
  <si>
    <t>NC-A 0006-00000041</t>
  </si>
  <si>
    <t>FA-A 0007-00001519</t>
  </si>
  <si>
    <t>FA-B 0005-00008302</t>
  </si>
  <si>
    <t>FA-B 0005-00008303</t>
  </si>
  <si>
    <t>FA-B 0005-00008304</t>
  </si>
  <si>
    <t>FA-B 0005-00008305</t>
  </si>
  <si>
    <t>FA-B 0005-00008306</t>
  </si>
  <si>
    <t>FA-B 0005-00008307</t>
  </si>
  <si>
    <t>FA-B 0005-00008308</t>
  </si>
  <si>
    <t>FA-B 0005-00008309</t>
  </si>
  <si>
    <t>FA-B 0005-00008310</t>
  </si>
  <si>
    <t>FA-A 0006-00000367</t>
  </si>
  <si>
    <t>FA-B 0007-00004479</t>
  </si>
  <si>
    <t>FA-B 0007-00004480</t>
  </si>
  <si>
    <t>FA-B 0007-00004481</t>
  </si>
  <si>
    <t>ROMEO, NELIDA ZULMA</t>
  </si>
  <si>
    <t>FA-B 0007-00004482</t>
  </si>
  <si>
    <t>FA-B 0007-00004483</t>
  </si>
  <si>
    <t>FA-B 0007-00004484</t>
  </si>
  <si>
    <t>FONSECA, GABRIELA FERNANDA</t>
  </si>
  <si>
    <t>FA-B 0007-00004485</t>
  </si>
  <si>
    <t xml:space="preserve">MOREIRAS, MARIA DEL CARMEN </t>
  </si>
  <si>
    <t>FA-B 0005-00008311</t>
  </si>
  <si>
    <t>FA-B 0005-00008312</t>
  </si>
  <si>
    <t>FA-B 0005-00008313</t>
  </si>
  <si>
    <t>FA-B 0005-00008314</t>
  </si>
  <si>
    <t>FA-B 0005-00008315</t>
  </si>
  <si>
    <t>FA-B 0005-00008316</t>
  </si>
  <si>
    <t>FA-A 0006-00000368</t>
  </si>
  <si>
    <t>FA-A 0007-00001520</t>
  </si>
  <si>
    <t>FA-A 0007-00001521</t>
  </si>
  <si>
    <t>ALBAJARI ADRIÁN</t>
  </si>
  <si>
    <t>FA-A 0007-00001522</t>
  </si>
  <si>
    <t>FA-A 0007-00001523</t>
  </si>
  <si>
    <t>FA-B 0007-00004486</t>
  </si>
  <si>
    <t>FA-B 0007-00004487</t>
  </si>
  <si>
    <t>FA-B 0007-00004488</t>
  </si>
  <si>
    <t>FA-B 0007-00004489</t>
  </si>
  <si>
    <t>FA-B 0007-00004490</t>
  </si>
  <si>
    <t>FA-B 0005-00008317</t>
  </si>
  <si>
    <t>FA-B 0005-00008318</t>
  </si>
  <si>
    <t>FA-B 0005-00008319</t>
  </si>
  <si>
    <t>FA-B 0005-00008320</t>
  </si>
  <si>
    <t>FA-B 0005-00008321</t>
  </si>
  <si>
    <t>FA-B 0005-00008322</t>
  </si>
  <si>
    <t>FA-B 0005-00008323</t>
  </si>
  <si>
    <t>FA-B 0005-00008324</t>
  </si>
  <si>
    <t>FA-B 0005-00008325</t>
  </si>
  <si>
    <t>FA-B 0005-00008326</t>
  </si>
  <si>
    <t>FA-B 0005-00008327</t>
  </si>
  <si>
    <t>FA-B 0005-00008328</t>
  </si>
  <si>
    <t>FA-B 0005-00008329</t>
  </si>
  <si>
    <t>FA-B 0005-00008330</t>
  </si>
  <si>
    <t>FA-B 0005-00008331</t>
  </si>
  <si>
    <t>FA-B 0005-00008332</t>
  </si>
  <si>
    <t>FA-B 0005-00008333</t>
  </si>
  <si>
    <t>FA-A 0007-00001524</t>
  </si>
  <si>
    <t>FA-A 0007-00001525</t>
  </si>
  <si>
    <t>FA-A 0007-00001526</t>
  </si>
  <si>
    <t>FA-B 0007-00004491</t>
  </si>
  <si>
    <t>HIDALGO OSCAR ATILIO</t>
  </si>
  <si>
    <t>FA-B 0005-00008334</t>
  </si>
  <si>
    <t>FA-B 0005-00008335</t>
  </si>
  <si>
    <t>FA-B 0005-00008336</t>
  </si>
  <si>
    <t>FA-B 0005-00008337</t>
  </si>
  <si>
    <t>FA-B 0005-00008338</t>
  </si>
  <si>
    <t>FA-B 0005-00008339</t>
  </si>
  <si>
    <t>FA-B 0005-00008340</t>
  </si>
  <si>
    <t>FA-B 0005-00008341</t>
  </si>
  <si>
    <t>FA-A 0007-00001527</t>
  </si>
  <si>
    <t>FA-A 0007-00001528</t>
  </si>
  <si>
    <t>FA-A 0007-00001529</t>
  </si>
  <si>
    <t>FA-B 0007-00004492</t>
  </si>
  <si>
    <t>FA-B 0007-00004493</t>
  </si>
  <si>
    <t>FA-B 0007-00004494</t>
  </si>
  <si>
    <t>BUNCHICOFF, MARIA</t>
  </si>
  <si>
    <t>FA-B 0007-00004495</t>
  </si>
  <si>
    <t>NC-B 0005-00000118</t>
  </si>
  <si>
    <t>FA-B 0005-00008342</t>
  </si>
  <si>
    <t>FA-B 0005-00008343</t>
  </si>
  <si>
    <t>FA-B 0005-00008344</t>
  </si>
  <si>
    <t>FA-B 0005-00008345</t>
  </si>
  <si>
    <t>FA-B 0005-00008346</t>
  </si>
  <si>
    <t>FA-B 0005-00008347</t>
  </si>
  <si>
    <t>FA-A 0007-00001530</t>
  </si>
  <si>
    <t>FA-B 0007-00004496</t>
  </si>
  <si>
    <t>FA-B 0007-00004497</t>
  </si>
  <si>
    <t>KARIVALI DESPINA</t>
  </si>
  <si>
    <t>FA-B 0007-00004498</t>
  </si>
  <si>
    <t>ARAKAKI, TAEMI</t>
  </si>
  <si>
    <t>FA-B 0007-00004499</t>
  </si>
  <si>
    <t>INGRATTA, VANINA ALICIA PAMELA</t>
  </si>
  <si>
    <t>FA-B 0007-00004500</t>
  </si>
  <si>
    <t>FA-B 0005-00008348</t>
  </si>
  <si>
    <t>FA-B 0005-00008349</t>
  </si>
  <si>
    <t>FA-B 0005-00008350</t>
  </si>
  <si>
    <t>FA-B 0005-00008351</t>
  </si>
  <si>
    <t>FA-B 0005-00008352</t>
  </si>
  <si>
    <t>FA-B 0005-00008353</t>
  </si>
  <si>
    <t>FA-B 0005-00008354</t>
  </si>
  <si>
    <t>FA-B 0005-00008355</t>
  </si>
  <si>
    <t>FA-A 0006-00000369</t>
  </si>
  <si>
    <t>FA-A 0006-00000370</t>
  </si>
  <si>
    <t>NC-A 0007-00000098</t>
  </si>
  <si>
    <t>FA-A 0007-00001531</t>
  </si>
  <si>
    <t>FA-A 0007-00001532</t>
  </si>
  <si>
    <t>FA-B 0007-00004501</t>
  </si>
  <si>
    <t>VARELA, RICARDO EXEQUIEL</t>
  </si>
  <si>
    <t>FA-B 0005-00008356</t>
  </si>
  <si>
    <t>FA-B 0005-00008357</t>
  </si>
  <si>
    <t>FA-B 0005-00008358</t>
  </si>
  <si>
    <t>FA-B 0005-00008359</t>
  </si>
  <si>
    <t>FA-B 0005-00008360</t>
  </si>
  <si>
    <t>FA-B 0005-00008361</t>
  </si>
  <si>
    <t>FA-B 0005-00008362</t>
  </si>
  <si>
    <t>FA-B 0005-00008363</t>
  </si>
  <si>
    <t>FA-B 0005-00008364</t>
  </si>
  <si>
    <t>FA-B 0005-00008365</t>
  </si>
  <si>
    <t>FA-B 0005-00008366</t>
  </si>
  <si>
    <t>FA-B 0005-00008367</t>
  </si>
  <si>
    <t>FA-B 0005-00008368</t>
  </si>
  <si>
    <t>FA-B 0005-00008369</t>
  </si>
  <si>
    <t>FA-A 0007-00001533</t>
  </si>
  <si>
    <t>FA-A 0007-00001534</t>
  </si>
  <si>
    <t>FA-B 0005-00008370</t>
  </si>
  <si>
    <t>FA-B 0005-00008371</t>
  </si>
  <si>
    <t>FA-B 0005-00008372</t>
  </si>
  <si>
    <t>FA-B 0005-00008373</t>
  </si>
  <si>
    <t>FA-B 0005-00008374</t>
  </si>
  <si>
    <t>FA-B 0005-00008375</t>
  </si>
  <si>
    <t>FA-B 0005-00008376</t>
  </si>
  <si>
    <t>FA-B 0005-00008377</t>
  </si>
  <si>
    <t>FA-B 0005-00008378</t>
  </si>
  <si>
    <t>FA-B 0005-00008379</t>
  </si>
  <si>
    <t>FA-B 0005-00008380</t>
  </si>
  <si>
    <t>FA-B 0005-00008381</t>
  </si>
  <si>
    <t>FA-A 0007-00001535</t>
  </si>
  <si>
    <t>FA-A 0007-00001536</t>
  </si>
  <si>
    <t>FA-B 0005-00008382</t>
  </si>
  <si>
    <t>FA-B 0005-00008383</t>
  </si>
  <si>
    <t>FA-B 0005-00008384</t>
  </si>
  <si>
    <t>FA-B 0005-00008385</t>
  </si>
  <si>
    <t>FA-B 0005-00008386</t>
  </si>
  <si>
    <t>FA-B 0005-00008387</t>
  </si>
  <si>
    <t>FA-B 0005-00008388</t>
  </si>
  <si>
    <t>FA-B 0005-00008389</t>
  </si>
  <si>
    <t>FA-B 0005-00008390</t>
  </si>
  <si>
    <t>FA-B 0005-00008391</t>
  </si>
  <si>
    <t>FA-B 0005-00008392</t>
  </si>
  <si>
    <t>FA-B 0005-00008393</t>
  </si>
  <si>
    <t>FA-B 0005-00008394</t>
  </si>
  <si>
    <t>FA-B 0005-00008395</t>
  </si>
  <si>
    <t>FA-B 0005-00008396</t>
  </si>
  <si>
    <t>FA-B 0005-00008397</t>
  </si>
  <si>
    <t>FA-B 0005-00008398</t>
  </si>
  <si>
    <t>FA-B 0005-00008399</t>
  </si>
  <si>
    <t>FA-B 0005-00008400</t>
  </si>
  <si>
    <t>FA-B 0005-00008401</t>
  </si>
  <si>
    <t>FA-B 0005-00008402</t>
  </si>
  <si>
    <t>FA-B 0005-00008403</t>
  </si>
  <si>
    <t>FA-A 0007-00001537</t>
  </si>
  <si>
    <t>FA-B 0007-00004502</t>
  </si>
  <si>
    <t>CHAMOSA JOSE MARIA</t>
  </si>
  <si>
    <t>FA-B 0005-00008404</t>
  </si>
  <si>
    <t>FA-B 0005-00008405</t>
  </si>
  <si>
    <t>FA-B 0005-00008406</t>
  </si>
  <si>
    <t>FA-B 0005-00008407</t>
  </si>
  <si>
    <t>FA-B 0005-00008408</t>
  </si>
  <si>
    <t>FA-B 0005-00008409</t>
  </si>
  <si>
    <t>FA-B 0005-00008410</t>
  </si>
  <si>
    <t>FA-B 0005-00008411</t>
  </si>
  <si>
    <t>FA-B 0005-00008412</t>
  </si>
  <si>
    <t>FA-B 0005-00008413</t>
  </si>
  <si>
    <t>FA-B 0005-00008414</t>
  </si>
  <si>
    <t>FA-B 0005-00008415</t>
  </si>
  <si>
    <t>FA-B 0005-00008416</t>
  </si>
  <si>
    <t>FA-B 0005-00008417</t>
  </si>
  <si>
    <t>FA-B 0005-00008418</t>
  </si>
  <si>
    <t>FA-B 0005-00008419</t>
  </si>
  <si>
    <t>FA-B 0005-00008420</t>
  </si>
  <si>
    <t>FA-A 0007-00001538</t>
  </si>
  <si>
    <t>FA-B 0007-00004503</t>
  </si>
  <si>
    <t>MODOLO, CRISTIAN ARIEL</t>
  </si>
  <si>
    <t>FA-B 0007-00004504</t>
  </si>
  <si>
    <t>LEHMANN, BARBARA D.</t>
  </si>
  <si>
    <t>FA-B 0007-00004505</t>
  </si>
  <si>
    <t>MEDA FLORIAN</t>
  </si>
  <si>
    <t>FA-B 0005-00008421</t>
  </si>
  <si>
    <t>FA-B 0005-00008422</t>
  </si>
  <si>
    <t>FA-B 0005-00008423</t>
  </si>
  <si>
    <t>FA-B 0005-00008424</t>
  </si>
  <si>
    <t>FA-B 0005-00008425</t>
  </si>
  <si>
    <t>FA-B 0005-00008426</t>
  </si>
  <si>
    <t>FA-B 0005-00008427</t>
  </si>
  <si>
    <t>FA-B 0005-00008428</t>
  </si>
  <si>
    <t>FA-B 0005-00008429</t>
  </si>
  <si>
    <t>FA-B 0005-00008430</t>
  </si>
  <si>
    <t>FA-B 0005-00008431</t>
  </si>
  <si>
    <t>FA-B 0005-00008432</t>
  </si>
  <si>
    <t>FA-B 0005-00008433</t>
  </si>
  <si>
    <t>FA-B 0005-00008434</t>
  </si>
  <si>
    <t>FA-B 0005-00008435</t>
  </si>
  <si>
    <t>FA-B 0005-00008436</t>
  </si>
  <si>
    <t>FA-B 0005-00008437</t>
  </si>
  <si>
    <t>FA-A 0006-00000371</t>
  </si>
  <si>
    <t>FA-A 0007-00001539</t>
  </si>
  <si>
    <t>Obra Social De La Actividad De Seguros, Reaseguros, Capitalizacion Y Ahorro Y Prestamo  Para La Vivienda</t>
  </si>
  <si>
    <t>FA-A 0007-00001540</t>
  </si>
  <si>
    <t>FA-A 0007-00001541</t>
  </si>
  <si>
    <t>FA-A 0007-00001542</t>
  </si>
  <si>
    <t>FA-B 0007-00004506</t>
  </si>
  <si>
    <t>FA-B 0005-00008438</t>
  </si>
  <si>
    <t>LUQUEZ OMAR ALEJANDRO</t>
  </si>
  <si>
    <t>FA-B 0005-00008439</t>
  </si>
  <si>
    <t>FA-B 0005-00008440</t>
  </si>
  <si>
    <t>FA-B 0005-00008441</t>
  </si>
  <si>
    <t>MARTINEZ RAMIREZ LUDMILA</t>
  </si>
  <si>
    <t>FA-B 0005-00008442</t>
  </si>
  <si>
    <t>FA-B 0005-00008443</t>
  </si>
  <si>
    <t>FA-B 0005-00008444</t>
  </si>
  <si>
    <t>FA-B 0005-00008445</t>
  </si>
  <si>
    <t>FA-B 0005-00008446</t>
  </si>
  <si>
    <t>FA-B 0005-00008447</t>
  </si>
  <si>
    <t>FA-B 0005-00008448</t>
  </si>
  <si>
    <t>FA-B 0005-00008449</t>
  </si>
  <si>
    <t>FA-B 0005-00008450</t>
  </si>
  <si>
    <t>FA-B 0005-00008451</t>
  </si>
  <si>
    <t>FA-B 0005-00008452</t>
  </si>
  <si>
    <t>FA-B 0005-00008453</t>
  </si>
  <si>
    <t>FA-B 0005-00008454</t>
  </si>
  <si>
    <t>FA-B 0005-00008455</t>
  </si>
  <si>
    <t>RICCA CAMILA BELÉN</t>
  </si>
  <si>
    <t>FA-A 0007-00001543</t>
  </si>
  <si>
    <t>FA-A 0007-00001544</t>
  </si>
  <si>
    <t>Piaggio, Paula Andrea</t>
  </si>
  <si>
    <t>FA-B 0007-00004507</t>
  </si>
  <si>
    <t>FA-B 0007-00004508</t>
  </si>
  <si>
    <t>FERRAZIN, CAROLINA ELEONORA INES</t>
  </si>
  <si>
    <t>FA-B 0007-00004509</t>
  </si>
  <si>
    <t>FA-B 0007-00004510</t>
  </si>
  <si>
    <t>FA-B 0007-00004511</t>
  </si>
  <si>
    <t>FA-B 0007-00004512</t>
  </si>
  <si>
    <t>FA-B 0007-00004513</t>
  </si>
  <si>
    <t>CHUANQIANG WU</t>
  </si>
  <si>
    <t>FA-B 0005-00008456</t>
  </si>
  <si>
    <t>FA-B 0005-00008457</t>
  </si>
  <si>
    <t>FA-B 0005-00008458</t>
  </si>
  <si>
    <t>FA-B 0005-00008459</t>
  </si>
  <si>
    <t>FA-B 0005-00008460</t>
  </si>
  <si>
    <t>FA-B 0005-00008461</t>
  </si>
  <si>
    <t>FA-B 0007-00004514</t>
  </si>
  <si>
    <t>FA-B 0007-00004515</t>
  </si>
  <si>
    <t>ARGENTINA EDITH ZARRILLO</t>
  </si>
  <si>
    <t>FA-B 0007-00004516</t>
  </si>
  <si>
    <t>FA-B 0007-00004517</t>
  </si>
  <si>
    <t>FA-B 0005-00008462</t>
  </si>
  <si>
    <t>FA-B 0005-00008463</t>
  </si>
  <si>
    <t>FA-B 0005-00008464</t>
  </si>
  <si>
    <t>FA-B 0005-00008465</t>
  </si>
  <si>
    <t>FA-B 0005-00008466</t>
  </si>
  <si>
    <t>FA-B 0005-00008467</t>
  </si>
  <si>
    <t>FA-B 0005-00008468</t>
  </si>
  <si>
    <t>FA-B 0005-00008469</t>
  </si>
  <si>
    <t>FA-B 0005-00008470</t>
  </si>
  <si>
    <t>FA-B 0007-00004518</t>
  </si>
  <si>
    <t>FA-B 0007-00004519</t>
  </si>
  <si>
    <t>FA-B 0007-00004520</t>
  </si>
  <si>
    <t>28/07/2023</t>
  </si>
  <si>
    <t>FA-B 0005-00008471</t>
  </si>
  <si>
    <t>FA-B 0005-00008472</t>
  </si>
  <si>
    <t>FA-B 0005-00008473</t>
  </si>
  <si>
    <t>FA-B 0005-00008474</t>
  </si>
  <si>
    <t>FA-B 0005-00008475</t>
  </si>
  <si>
    <t>FA-B 0005-00008476</t>
  </si>
  <si>
    <t>FA-B 0005-00008477</t>
  </si>
  <si>
    <t>FA-B 0005-00008478</t>
  </si>
  <si>
    <t>FA-B 0005-00008479</t>
  </si>
  <si>
    <t>FA-B 0005-00008480</t>
  </si>
  <si>
    <t>FA-B 0005-00008481</t>
  </si>
  <si>
    <t>FA-B 0005-00008482</t>
  </si>
  <si>
    <t>FA-B 0005-00008483</t>
  </si>
  <si>
    <t>FA-B 0005-00008484</t>
  </si>
  <si>
    <t>FA-B 0005-00008485</t>
  </si>
  <si>
    <t>FA-A 0007-00001545</t>
  </si>
  <si>
    <t>CECILIA LAMANNA</t>
  </si>
  <si>
    <t>FA-B 0007-00004521</t>
  </si>
  <si>
    <t>FA-B 0007-00004522</t>
  </si>
  <si>
    <t>FA-B 0007-00004523</t>
  </si>
  <si>
    <t>FA-B 0007-00004524</t>
  </si>
  <si>
    <t>FA-B 0007-00004525</t>
  </si>
  <si>
    <t>FA-B 0005-00008486</t>
  </si>
  <si>
    <t>FA-B 0005-00008487</t>
  </si>
  <si>
    <t>FA-B 0005-00008488</t>
  </si>
  <si>
    <t>FA-B 0005-00008489</t>
  </si>
  <si>
    <t>FA-B 0005-00008490</t>
  </si>
  <si>
    <t>FA-B 0005-00008491</t>
  </si>
  <si>
    <t>FA-B 0005-00008492</t>
  </si>
  <si>
    <t>FA-B 0005-00008493</t>
  </si>
  <si>
    <t>FA-B 0005-00008494</t>
  </si>
  <si>
    <t>FA-B 0005-00008495</t>
  </si>
  <si>
    <t>LEGUIZAMÓM MARTA ROSANA</t>
  </si>
  <si>
    <t>FA-B 0005-00008496</t>
  </si>
  <si>
    <t>FA-B 0005-00008497</t>
  </si>
  <si>
    <t>FA-B 0005-00008498</t>
  </si>
  <si>
    <t>FA-B 0005-00008499</t>
  </si>
  <si>
    <t>FA-B 0005-00008500</t>
  </si>
  <si>
    <t>FA-B 0005-00008501</t>
  </si>
  <si>
    <t>FA-B 0005-00008502</t>
  </si>
  <si>
    <t>FA-B 0005-00008503</t>
  </si>
  <si>
    <t>FA-B 0005-00008504</t>
  </si>
  <si>
    <t>FA-B 0007-00004526</t>
  </si>
  <si>
    <t>FA-B 0007-00004527</t>
  </si>
  <si>
    <t>AGOSTINO MIRIAM</t>
  </si>
  <si>
    <t>FA-B 0007-00004528</t>
  </si>
  <si>
    <t>ANALIA LIFSCHITZ</t>
  </si>
  <si>
    <t>FA-B 0007-00004529</t>
  </si>
  <si>
    <t>FA-B 0007-00004530</t>
  </si>
  <si>
    <t>FREUND GABRIELA</t>
  </si>
  <si>
    <t>F &amp; F COLOR SRL</t>
  </si>
  <si>
    <t>ALFONSO BOAVENTURA</t>
  </si>
  <si>
    <t>BELLINI FILIPPINI ALBERTO</t>
  </si>
  <si>
    <t>FRAVEGA SACIEI</t>
  </si>
  <si>
    <t>19/05/2023</t>
  </si>
  <si>
    <t>27/06/2023</t>
  </si>
  <si>
    <t>02/07/2023</t>
  </si>
  <si>
    <t>16/07/2023</t>
  </si>
  <si>
    <t>23/07/2023</t>
  </si>
  <si>
    <t>MAZAFFRE DANIEL ALBERTO</t>
  </si>
  <si>
    <t>EGESAC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</si>
</sst>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€_-;\-* #,##0.00\ _€_-;_-* &quot;-&quot;??\ _€_-;_-@_-"/>
    <numFmt numFmtId="165" formatCode="_-&quot;$&quot;\ * #,##0.00_-;\-&quot;$&quot;\ * #,##0.00_-;_-&quot;$&quot;\ * &quot;-&quot;??_-;_-@_-"/>
    <numFmt numFmtId="166" formatCode="d\-m\-yy;@"/>
    <numFmt numFmtId="167" formatCode="0.00;[Red]0.00"/>
    <numFmt numFmtId="168" formatCode="dd/mm/yy;@"/>
    <numFmt numFmtId="169" formatCode="0000"/>
    <numFmt numFmtId="170" formatCode="00000000"/>
    <numFmt numFmtId="171" formatCode="[$-C0A]mmmm\-yy;@"/>
    <numFmt numFmtId="172" formatCode="00\-00000000\-0"/>
    <numFmt numFmtId="173" formatCode="_-[$$-2C0A]\ * #,##0.00_-;\-[$$-2C0A]\ * #,##0.00_-;_-[$$-2C0A]\ * &quot;-&quot;??_-;_-@_-"/>
  </numFmts>
  <fonts count="6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165" fontId="29" fillId="0" borderId="0" applyFont="0" applyFill="0" applyBorder="0" applyAlignment="0" applyProtection="0"/>
    <xf numFmtId="0" fontId="60" fillId="15" borderId="0" applyNumberFormat="0" applyBorder="0" applyAlignment="0" applyProtection="0"/>
  </cellStyleXfs>
  <cellXfs count="282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7" fontId="10" fillId="0" borderId="0" xfId="8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9"/>
    <xf numFmtId="0" fontId="1" fillId="0" borderId="0" xfId="9" applyAlignment="1">
      <alignment horizontal="center"/>
    </xf>
    <xf numFmtId="0" fontId="5" fillId="0" borderId="0" xfId="9" applyFont="1"/>
    <xf numFmtId="0" fontId="7" fillId="0" borderId="0" xfId="9" applyFont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Alignment="1">
      <alignment horizontal="center"/>
    </xf>
    <xf numFmtId="170" fontId="9" fillId="0" borderId="1" xfId="9" applyNumberFormat="1" applyFont="1" applyBorder="1" applyAlignment="1">
      <alignment horizontal="center"/>
    </xf>
    <xf numFmtId="0" fontId="10" fillId="0" borderId="0" xfId="9" applyFont="1" applyAlignment="1">
      <alignment horizontal="center"/>
    </xf>
    <xf numFmtId="167" fontId="10" fillId="0" borderId="0" xfId="9" applyNumberFormat="1" applyFont="1" applyAlignment="1">
      <alignment horizontal="right"/>
    </xf>
    <xf numFmtId="4" fontId="9" fillId="0" borderId="1" xfId="9" applyNumberFormat="1" applyFont="1" applyBorder="1" applyAlignment="1">
      <alignment horizontal="center"/>
    </xf>
    <xf numFmtId="169" fontId="9" fillId="0" borderId="1" xfId="9" applyNumberFormat="1" applyFont="1" applyBorder="1" applyAlignment="1">
      <alignment horizontal="center"/>
    </xf>
    <xf numFmtId="169" fontId="9" fillId="0" borderId="5" xfId="9" applyNumberFormat="1" applyFont="1" applyBorder="1" applyAlignment="1">
      <alignment horizontal="center"/>
    </xf>
    <xf numFmtId="4" fontId="9" fillId="0" borderId="5" xfId="9" applyNumberFormat="1" applyFont="1" applyBorder="1" applyAlignment="1">
      <alignment horizontal="center"/>
    </xf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9" fontId="9" fillId="0" borderId="2" xfId="9" applyNumberFormat="1" applyFont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170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7" fontId="10" fillId="0" borderId="0" xfId="8" applyNumberFormat="1" applyFont="1" applyAlignment="1">
      <alignment horizontal="center"/>
    </xf>
    <xf numFmtId="168" fontId="9" fillId="0" borderId="0" xfId="9" applyNumberFormat="1" applyFont="1" applyAlignment="1">
      <alignment horizontal="center"/>
    </xf>
    <xf numFmtId="0" fontId="9" fillId="0" borderId="0" xfId="9" applyFont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2" fontId="5" fillId="0" borderId="0" xfId="9" applyNumberFormat="1" applyFont="1"/>
    <xf numFmtId="172" fontId="0" fillId="0" borderId="0" xfId="0" applyNumberFormat="1"/>
    <xf numFmtId="172" fontId="10" fillId="0" borderId="0" xfId="8" applyNumberFormat="1" applyFont="1" applyAlignment="1">
      <alignment horizontal="right"/>
    </xf>
    <xf numFmtId="172" fontId="8" fillId="8" borderId="6" xfId="8" applyNumberFormat="1" applyFont="1" applyFill="1" applyBorder="1" applyAlignment="1">
      <alignment horizontal="center" vertical="center"/>
    </xf>
    <xf numFmtId="172" fontId="9" fillId="0" borderId="1" xfId="9" applyNumberFormat="1" applyFont="1" applyBorder="1" applyAlignment="1">
      <alignment horizontal="center"/>
    </xf>
    <xf numFmtId="172" fontId="8" fillId="8" borderId="7" xfId="9" applyNumberFormat="1" applyFont="1" applyFill="1" applyBorder="1" applyAlignment="1">
      <alignment horizontal="center" vertical="center"/>
    </xf>
    <xf numFmtId="172" fontId="9" fillId="0" borderId="0" xfId="9" applyNumberFormat="1" applyFont="1" applyAlignment="1">
      <alignment horizontal="left"/>
    </xf>
    <xf numFmtId="172" fontId="8" fillId="8" borderId="6" xfId="9" applyNumberFormat="1" applyFont="1" applyFill="1" applyBorder="1" applyAlignment="1">
      <alignment horizontal="center"/>
    </xf>
    <xf numFmtId="172" fontId="9" fillId="0" borderId="8" xfId="9" applyNumberFormat="1" applyFont="1" applyBorder="1" applyAlignment="1">
      <alignment horizontal="center"/>
    </xf>
    <xf numFmtId="172" fontId="10" fillId="0" borderId="0" xfId="9" applyNumberFormat="1" applyFont="1" applyAlignment="1">
      <alignment horizontal="left"/>
    </xf>
    <xf numFmtId="14" fontId="5" fillId="0" borderId="0" xfId="9" applyNumberFormat="1" applyFont="1" applyAlignment="1">
      <alignment horizontal="center"/>
    </xf>
    <xf numFmtId="0" fontId="5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Border="1" applyAlignment="1">
      <alignment horizontal="center"/>
    </xf>
    <xf numFmtId="4" fontId="9" fillId="0" borderId="0" xfId="9" applyNumberFormat="1" applyFont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8" fontId="1" fillId="0" borderId="0" xfId="9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10" fillId="0" borderId="0" xfId="8" applyNumberFormat="1" applyFont="1" applyAlignment="1">
      <alignment horizontal="center"/>
    </xf>
    <xf numFmtId="168" fontId="8" fillId="8" borderId="6" xfId="8" applyNumberFormat="1" applyFont="1" applyFill="1" applyBorder="1" applyAlignment="1">
      <alignment horizontal="center" vertical="center"/>
    </xf>
    <xf numFmtId="168" fontId="8" fillId="8" borderId="7" xfId="9" applyNumberFormat="1" applyFont="1" applyFill="1" applyBorder="1" applyAlignment="1">
      <alignment horizontal="center" vertical="center"/>
    </xf>
    <xf numFmtId="168" fontId="7" fillId="0" borderId="0" xfId="9" applyNumberFormat="1" applyFont="1" applyAlignment="1">
      <alignment horizontal="left" vertical="center"/>
    </xf>
    <xf numFmtId="168" fontId="8" fillId="8" borderId="6" xfId="9" applyNumberFormat="1" applyFont="1" applyFill="1" applyBorder="1" applyAlignment="1">
      <alignment horizontal="center"/>
    </xf>
    <xf numFmtId="168" fontId="9" fillId="0" borderId="3" xfId="9" applyNumberFormat="1" applyFont="1" applyBorder="1" applyAlignment="1">
      <alignment horizontal="center"/>
    </xf>
    <xf numFmtId="168" fontId="9" fillId="0" borderId="14" xfId="9" applyNumberFormat="1" applyFont="1" applyBorder="1" applyAlignment="1">
      <alignment horizontal="center"/>
    </xf>
    <xf numFmtId="168" fontId="8" fillId="8" borderId="13" xfId="9" applyNumberFormat="1" applyFont="1" applyFill="1" applyBorder="1" applyAlignment="1">
      <alignment horizontal="center" vertical="center"/>
    </xf>
    <xf numFmtId="172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8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2" fontId="20" fillId="6" borderId="18" xfId="0" applyNumberFormat="1" applyFont="1" applyFill="1" applyBorder="1" applyAlignment="1">
      <alignment horizontal="center"/>
    </xf>
    <xf numFmtId="172" fontId="22" fillId="0" borderId="1" xfId="0" applyNumberFormat="1" applyFont="1" applyBorder="1" applyAlignment="1">
      <alignment horizontal="center"/>
    </xf>
    <xf numFmtId="172" fontId="24" fillId="7" borderId="1" xfId="0" applyNumberFormat="1" applyFont="1" applyFill="1" applyBorder="1" applyAlignment="1">
      <alignment horizontal="center"/>
    </xf>
    <xf numFmtId="172" fontId="25" fillId="0" borderId="1" xfId="0" applyNumberFormat="1" applyFont="1" applyBorder="1" applyAlignment="1">
      <alignment horizontal="center"/>
    </xf>
    <xf numFmtId="172" fontId="9" fillId="7" borderId="1" xfId="0" applyNumberFormat="1" applyFont="1" applyFill="1" applyBorder="1" applyAlignment="1">
      <alignment horizontal="center"/>
    </xf>
    <xf numFmtId="172" fontId="25" fillId="0" borderId="9" xfId="0" applyNumberFormat="1" applyFont="1" applyBorder="1" applyAlignment="1">
      <alignment horizontal="center"/>
    </xf>
    <xf numFmtId="172" fontId="24" fillId="7" borderId="9" xfId="0" applyNumberFormat="1" applyFont="1" applyFill="1" applyBorder="1" applyAlignment="1">
      <alignment horizontal="center"/>
    </xf>
    <xf numFmtId="172" fontId="9" fillId="7" borderId="9" xfId="0" applyNumberFormat="1" applyFont="1" applyFill="1" applyBorder="1" applyAlignment="1">
      <alignment horizontal="center"/>
    </xf>
    <xf numFmtId="172" fontId="22" fillId="0" borderId="19" xfId="0" applyNumberFormat="1" applyFont="1" applyBorder="1" applyAlignment="1">
      <alignment horizontal="center"/>
    </xf>
    <xf numFmtId="172" fontId="22" fillId="0" borderId="9" xfId="0" applyNumberFormat="1" applyFont="1" applyBorder="1" applyAlignment="1">
      <alignment horizontal="center"/>
    </xf>
    <xf numFmtId="172" fontId="22" fillId="0" borderId="20" xfId="0" applyNumberFormat="1" applyFont="1" applyBorder="1" applyAlignment="1">
      <alignment horizontal="center"/>
    </xf>
    <xf numFmtId="172" fontId="22" fillId="0" borderId="21" xfId="0" applyNumberFormat="1" applyFont="1" applyBorder="1" applyAlignment="1">
      <alignment horizontal="center"/>
    </xf>
    <xf numFmtId="172" fontId="26" fillId="0" borderId="22" xfId="0" applyNumberFormat="1" applyFont="1" applyBorder="1"/>
    <xf numFmtId="172" fontId="7" fillId="0" borderId="0" xfId="9" applyNumberFormat="1" applyFont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/>
    <xf numFmtId="0" fontId="32" fillId="0" borderId="6" xfId="0" applyFont="1" applyBorder="1"/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3" fontId="0" fillId="0" borderId="1" xfId="0" applyNumberFormat="1" applyBorder="1"/>
    <xf numFmtId="4" fontId="0" fillId="0" borderId="9" xfId="0" applyNumberFormat="1" applyBorder="1"/>
    <xf numFmtId="165" fontId="0" fillId="0" borderId="1" xfId="10" applyFont="1" applyBorder="1"/>
    <xf numFmtId="0" fontId="39" fillId="0" borderId="0" xfId="0" applyFont="1"/>
    <xf numFmtId="4" fontId="40" fillId="0" borderId="0" xfId="0" applyNumberFormat="1" applyFont="1"/>
    <xf numFmtId="4" fontId="11" fillId="0" borderId="0" xfId="0" applyNumberFormat="1" applyFont="1"/>
    <xf numFmtId="4" fontId="0" fillId="0" borderId="0" xfId="0" applyNumberFormat="1"/>
    <xf numFmtId="0" fontId="41" fillId="0" borderId="0" xfId="0" applyFont="1"/>
    <xf numFmtId="0" fontId="35" fillId="0" borderId="6" xfId="0" applyFont="1" applyBorder="1"/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4" fontId="43" fillId="0" borderId="5" xfId="0" applyNumberFormat="1" applyFont="1" applyBorder="1"/>
    <xf numFmtId="0" fontId="43" fillId="0" borderId="0" xfId="0" applyFont="1" applyAlignment="1">
      <alignment horizontal="left"/>
    </xf>
    <xf numFmtId="4" fontId="44" fillId="0" borderId="29" xfId="0" applyNumberFormat="1" applyFont="1" applyBorder="1"/>
    <xf numFmtId="4" fontId="44" fillId="0" borderId="30" xfId="0" applyNumberFormat="1" applyFont="1" applyBorder="1"/>
    <xf numFmtId="4" fontId="44" fillId="0" borderId="25" xfId="0" applyNumberFormat="1" applyFont="1" applyBorder="1"/>
    <xf numFmtId="4" fontId="44" fillId="0" borderId="0" xfId="0" applyNumberFormat="1" applyFont="1"/>
    <xf numFmtId="4" fontId="45" fillId="0" borderId="0" xfId="0" applyNumberFormat="1" applyFont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31" xfId="0" applyNumberFormat="1" applyFont="1" applyBorder="1" applyAlignment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" fontId="48" fillId="0" borderId="6" xfId="0" applyNumberFormat="1" applyFont="1" applyBorder="1" applyAlignment="1">
      <alignment horizontal="center"/>
    </xf>
    <xf numFmtId="1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0" fontId="11" fillId="0" borderId="0" xfId="0" applyFont="1" applyAlignment="1">
      <alignment horizontal="center"/>
    </xf>
    <xf numFmtId="4" fontId="12" fillId="0" borderId="0" xfId="0" applyNumberFormat="1" applyFont="1"/>
    <xf numFmtId="0" fontId="11" fillId="0" borderId="33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2" fontId="0" fillId="0" borderId="0" xfId="0" applyNumberFormat="1"/>
    <xf numFmtId="0" fontId="11" fillId="0" borderId="36" xfId="0" applyFont="1" applyBorder="1" applyAlignment="1">
      <alignment horizontal="center"/>
    </xf>
    <xf numFmtId="4" fontId="11" fillId="0" borderId="37" xfId="0" applyNumberFormat="1" applyFont="1" applyBorder="1"/>
    <xf numFmtId="0" fontId="11" fillId="0" borderId="38" xfId="0" applyFont="1" applyBorder="1" applyAlignment="1">
      <alignment horizontal="center"/>
    </xf>
    <xf numFmtId="4" fontId="12" fillId="10" borderId="39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4" fontId="51" fillId="0" borderId="0" xfId="0" applyNumberFormat="1" applyFont="1"/>
    <xf numFmtId="0" fontId="52" fillId="0" borderId="13" xfId="0" applyFont="1" applyBorder="1" applyAlignment="1">
      <alignment horizontal="center"/>
    </xf>
    <xf numFmtId="0" fontId="52" fillId="0" borderId="2" xfId="0" applyFont="1" applyBorder="1" applyAlignment="1">
      <alignment horizontal="center"/>
    </xf>
    <xf numFmtId="4" fontId="11" fillId="0" borderId="15" xfId="0" applyNumberFormat="1" applyFont="1" applyBorder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6" xfId="0" applyBorder="1"/>
    <xf numFmtId="0" fontId="11" fillId="0" borderId="0" xfId="0" applyFont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4" fontId="25" fillId="0" borderId="1" xfId="9" applyNumberFormat="1" applyFont="1" applyBorder="1" applyAlignment="1">
      <alignment horizontal="center"/>
    </xf>
    <xf numFmtId="168" fontId="9" fillId="0" borderId="4" xfId="9" applyNumberFormat="1" applyFont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70" fontId="9" fillId="0" borderId="5" xfId="9" applyNumberFormat="1" applyFont="1" applyBorder="1" applyAlignment="1">
      <alignment horizontal="center"/>
    </xf>
    <xf numFmtId="0" fontId="9" fillId="0" borderId="9" xfId="9" applyFont="1" applyBorder="1" applyAlignment="1">
      <alignment horizontal="left"/>
    </xf>
    <xf numFmtId="172" fontId="27" fillId="0" borderId="1" xfId="9" applyNumberFormat="1" applyFont="1" applyBorder="1" applyAlignment="1">
      <alignment horizontal="center"/>
    </xf>
    <xf numFmtId="4" fontId="9" fillId="0" borderId="10" xfId="9" applyNumberFormat="1" applyFont="1" applyBorder="1" applyAlignment="1">
      <alignment horizontal="right"/>
    </xf>
    <xf numFmtId="0" fontId="9" fillId="0" borderId="5" xfId="9" applyFont="1" applyBorder="1" applyAlignment="1">
      <alignment horizontal="center"/>
    </xf>
    <xf numFmtId="4" fontId="25" fillId="0" borderId="5" xfId="9" applyNumberFormat="1" applyFont="1" applyBorder="1" applyAlignment="1">
      <alignment horizontal="center"/>
    </xf>
    <xf numFmtId="4" fontId="11" fillId="0" borderId="40" xfId="0" applyNumberFormat="1" applyFont="1" applyBorder="1"/>
    <xf numFmtId="4" fontId="26" fillId="0" borderId="40" xfId="0" applyNumberFormat="1" applyFont="1" applyBorder="1"/>
    <xf numFmtId="4" fontId="19" fillId="0" borderId="10" xfId="9" applyNumberFormat="1" applyFont="1" applyBorder="1" applyAlignment="1">
      <alignment horizontal="right"/>
    </xf>
    <xf numFmtId="168" fontId="9" fillId="0" borderId="11" xfId="9" applyNumberFormat="1" applyFont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/>
    <xf numFmtId="0" fontId="0" fillId="0" borderId="1" xfId="0" applyBorder="1"/>
    <xf numFmtId="2" fontId="11" fillId="12" borderId="1" xfId="0" applyNumberFormat="1" applyFont="1" applyFill="1" applyBorder="1" applyAlignment="1">
      <alignment horizontal="right" vertical="center"/>
    </xf>
    <xf numFmtId="0" fontId="56" fillId="0" borderId="0" xfId="0" applyFont="1"/>
    <xf numFmtId="2" fontId="56" fillId="0" borderId="0" xfId="0" applyNumberFormat="1" applyFont="1" applyAlignment="1">
      <alignment horizontal="right" vertical="center"/>
    </xf>
    <xf numFmtId="165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8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4" fontId="23" fillId="0" borderId="9" xfId="0" applyNumberFormat="1" applyFont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Alignment="1">
      <alignment horizontal="left"/>
    </xf>
    <xf numFmtId="172" fontId="27" fillId="0" borderId="0" xfId="9" applyNumberFormat="1" applyFont="1" applyAlignment="1">
      <alignment horizontal="center"/>
    </xf>
    <xf numFmtId="172" fontId="27" fillId="0" borderId="9" xfId="9" applyNumberFormat="1" applyFont="1" applyBorder="1" applyAlignment="1">
      <alignment horizontal="center"/>
    </xf>
    <xf numFmtId="172" fontId="9" fillId="0" borderId="9" xfId="9" applyNumberFormat="1" applyFont="1" applyBorder="1" applyAlignment="1">
      <alignment horizontal="center"/>
    </xf>
    <xf numFmtId="172" fontId="22" fillId="7" borderId="9" xfId="0" applyNumberFormat="1" applyFont="1" applyFill="1" applyBorder="1" applyAlignment="1">
      <alignment horizontal="center"/>
    </xf>
    <xf numFmtId="172" fontId="27" fillId="0" borderId="19" xfId="9" applyNumberFormat="1" applyFont="1" applyBorder="1" applyAlignment="1">
      <alignment horizontal="center"/>
    </xf>
    <xf numFmtId="4" fontId="23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 vertical="center"/>
    </xf>
    <xf numFmtId="0" fontId="61" fillId="15" borderId="0" xfId="11" applyFont="1"/>
    <xf numFmtId="0" fontId="61" fillId="15" borderId="0" xfId="11" applyFont="1" applyAlignment="1">
      <alignment horizontal="left"/>
    </xf>
    <xf numFmtId="2" fontId="11" fillId="0" borderId="0" xfId="0" applyNumberFormat="1" applyFont="1" applyAlignment="1">
      <alignment horizontal="right" vertical="center"/>
    </xf>
    <xf numFmtId="49" fontId="56" fillId="0" borderId="1" xfId="0" applyNumberFormat="1" applyFont="1" applyBorder="1" applyAlignment="1">
      <alignment horizontal="left"/>
    </xf>
    <xf numFmtId="4" fontId="57" fillId="12" borderId="1" xfId="0" applyNumberFormat="1" applyFont="1" applyFill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1" fontId="4" fillId="8" borderId="6" xfId="9" applyNumberFormat="1" applyFont="1" applyFill="1" applyBorder="1" applyAlignment="1">
      <alignment horizontal="center" vertical="center"/>
    </xf>
    <xf numFmtId="167" fontId="6" fillId="8" borderId="23" xfId="8" applyNumberFormat="1" applyFont="1" applyFill="1" applyBorder="1" applyAlignment="1">
      <alignment horizontal="center"/>
    </xf>
    <xf numFmtId="167" fontId="6" fillId="8" borderId="24" xfId="8" applyNumberFormat="1" applyFont="1" applyFill="1" applyBorder="1" applyAlignment="1">
      <alignment horizontal="center"/>
    </xf>
    <xf numFmtId="167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6" fontId="8" fillId="8" borderId="23" xfId="0" applyNumberFormat="1" applyFont="1" applyFill="1" applyBorder="1" applyAlignment="1">
      <alignment horizontal="center"/>
    </xf>
    <xf numFmtId="166" fontId="8" fillId="8" borderId="24" xfId="0" applyNumberFormat="1" applyFont="1" applyFill="1" applyBorder="1" applyAlignment="1">
      <alignment horizontal="center"/>
    </xf>
    <xf numFmtId="166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6" fontId="10" fillId="8" borderId="24" xfId="0" applyNumberFormat="1" applyFont="1" applyFill="1" applyBorder="1" applyAlignment="1">
      <alignment horizontal="center"/>
    </xf>
    <xf numFmtId="166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164" fontId="0" fillId="0" borderId="0" xfId="3" applyFont="1"/>
    <xf numFmtId="164" fontId="55" fillId="0" borderId="0" xfId="3" applyFont="1" applyAlignment="1">
      <alignment horizontal="right"/>
    </xf>
    <xf numFmtId="164" fontId="56" fillId="0" borderId="1" xfId="3" applyFont="1" applyBorder="1" applyAlignment="1">
      <alignment horizontal="right" vertical="center"/>
    </xf>
    <xf numFmtId="164" fontId="56" fillId="0" borderId="1" xfId="3" applyFont="1" applyBorder="1"/>
    <xf numFmtId="0" fontId="56" fillId="0" borderId="32" xfId="0" applyFont="1" applyBorder="1" applyAlignment="1">
      <alignment horizontal="left"/>
    </xf>
    <xf numFmtId="164" fontId="56" fillId="0" borderId="16" xfId="3" applyFont="1" applyBorder="1" applyAlignment="1">
      <alignment horizontal="right" vertical="center"/>
    </xf>
    <xf numFmtId="0" fontId="60" fillId="15" borderId="41" xfId="11" applyBorder="1"/>
    <xf numFmtId="0" fontId="60" fillId="15" borderId="9" xfId="11" applyBorder="1"/>
    <xf numFmtId="164" fontId="60" fillId="15" borderId="9" xfId="3" applyFont="1" applyFill="1" applyBorder="1"/>
    <xf numFmtId="164" fontId="60" fillId="15" borderId="19" xfId="3" applyFont="1" applyFill="1" applyBorder="1"/>
    <xf numFmtId="0" fontId="56" fillId="0" borderId="11" xfId="0" applyFont="1" applyBorder="1" applyAlignment="1">
      <alignment horizontal="left"/>
    </xf>
    <xf numFmtId="49" fontId="56" fillId="0" borderId="5" xfId="0" applyNumberFormat="1" applyFont="1" applyBorder="1" applyAlignment="1">
      <alignment horizontal="left"/>
    </xf>
    <xf numFmtId="0" fontId="56" fillId="0" borderId="5" xfId="0" applyFont="1" applyBorder="1"/>
    <xf numFmtId="164" fontId="56" fillId="0" borderId="5" xfId="3" applyFont="1" applyBorder="1" applyAlignment="1">
      <alignment horizontal="right" vertical="center"/>
    </xf>
    <xf numFmtId="164" fontId="56" fillId="0" borderId="5" xfId="3" applyFont="1" applyBorder="1"/>
    <xf numFmtId="164" fontId="56" fillId="0" borderId="42" xfId="3" applyFont="1" applyBorder="1" applyAlignment="1">
      <alignment horizontal="right" vertical="center"/>
    </xf>
    <xf numFmtId="164" fontId="41" fillId="16" borderId="5" xfId="0" applyNumberFormat="1" applyFont="1" applyFill="1" applyBorder="1" applyAlignment="1">
      <alignment horizontal="right" vertical="center"/>
    </xf>
  </cellXfs>
  <cellStyles count="12">
    <cellStyle name="Bueno" xfId="11" builtinId="26"/>
    <cellStyle name="Error" xfId="1" xr:uid="{00000000-0005-0000-0000-000001000000}"/>
    <cellStyle name="Error 2" xfId="2" xr:uid="{00000000-0005-0000-0000-000002000000}"/>
    <cellStyle name="Millares" xfId="3" builtinId="3"/>
    <cellStyle name="Moneda" xfId="10" builtinId="4"/>
    <cellStyle name="No completar" xfId="4" xr:uid="{00000000-0005-0000-0000-000005000000}"/>
    <cellStyle name="No completar 2" xfId="5" xr:uid="{00000000-0005-0000-0000-000006000000}"/>
    <cellStyle name="Normal" xfId="0" builtinId="0"/>
    <cellStyle name="Normal 2" xfId="6" xr:uid="{00000000-0005-0000-0000-000008000000}"/>
    <cellStyle name="Normal 3" xfId="7" xr:uid="{00000000-0005-0000-0000-000009000000}"/>
    <cellStyle name="Normal 3_Compras-Ventas 2011_Compras y Ventas 2014" xfId="8" xr:uid="{00000000-0005-0000-0000-00000A000000}"/>
    <cellStyle name="Normal 3_Compras-Ventas 2011_Compras y Ventas 2014_Compras-Ventas 2018" xfId="9" xr:uid="{00000000-0005-0000-0000-00000B000000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6" tint="0.5999938962981048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19A7C-A63D-42AB-AD45-CAD09C8EEF09}" name="Tabla1" displayName="Tabla1" ref="A4:N377" totalsRowCount="1" headerRowDxfId="14" dataDxfId="15" headerRowBorderDxfId="31" tableBorderDxfId="32" totalsRowBorderDxfId="30" headerRowCellStyle="Millares" dataCellStyle="Millares">
  <autoFilter ref="A4:N376" xr:uid="{0DC19A7C-A63D-42AB-AD45-CAD09C8EEF09}"/>
  <tableColumns count="14">
    <tableColumn id="1" xr3:uid="{8877D3CA-9649-4F15-BFAC-5106A74C9B1A}" name="Fecha" dataDxfId="29" totalsRowDxfId="13"/>
    <tableColumn id="2" xr3:uid="{6646A898-5DA0-45E1-8215-87713C65BA16}" name="Comprobante" dataDxfId="28" totalsRowDxfId="12"/>
    <tableColumn id="3" xr3:uid="{739263C8-A2B6-4D0A-B6A4-84917F57D9E2}" name="Nombre" dataDxfId="27" totalsRowDxfId="11"/>
    <tableColumn id="4" xr3:uid="{EEC7B02B-7A37-4089-92CB-AD61910D5387}" name="Cond. IVA" dataDxfId="26" totalsRowDxfId="10"/>
    <tableColumn id="5" xr3:uid="{75801421-C2D6-4AD8-9A5F-DC6C9758EFBD}" name="CUIT o Doc." dataDxfId="25" totalsRowDxfId="9"/>
    <tableColumn id="6" xr3:uid="{BC46DAEA-C9EA-4CFA-89A8-CE8883FC37EB}" name="Gravado" totalsRowFunction="sum" dataDxfId="24" totalsRowDxfId="8" dataCellStyle="Millares" totalsRowCellStyle="Millares"/>
    <tableColumn id="7" xr3:uid="{23299C1E-CD49-4CBE-A36E-BCC1C82627DF}" name="No Gravado" totalsRowFunction="sum" dataDxfId="23" totalsRowDxfId="7" dataCellStyle="Millares" totalsRowCellStyle="Millares"/>
    <tableColumn id="8" xr3:uid="{25101413-A492-4297-A4DB-43AF64D8FF50}" name="IVA 2,5%" totalsRowFunction="sum" dataDxfId="22" totalsRowDxfId="6" dataCellStyle="Millares" totalsRowCellStyle="Millares"/>
    <tableColumn id="9" xr3:uid="{46454DB2-EDD1-468A-9965-442476761972}" name="IVA 5%" totalsRowFunction="sum" dataDxfId="21" totalsRowDxfId="5" dataCellStyle="Millares" totalsRowCellStyle="Millares"/>
    <tableColumn id="10" xr3:uid="{AF722ADE-028F-4F72-B9B5-E0FF6214D355}" name="IVA 10.5%" totalsRowFunction="sum" dataDxfId="20" totalsRowDxfId="4" dataCellStyle="Millares" totalsRowCellStyle="Millares"/>
    <tableColumn id="11" xr3:uid="{ECA897AB-1B13-4FC4-8D40-B4F394756760}" name="IVA 21%" totalsRowFunction="sum" dataDxfId="19" totalsRowDxfId="3" dataCellStyle="Millares" totalsRowCellStyle="Millares"/>
    <tableColumn id="12" xr3:uid="{2339A22B-F6CF-41B6-9E35-CB4FE9E69C6C}" name="IVA 27%" totalsRowFunction="sum" dataDxfId="18" totalsRowDxfId="2" dataCellStyle="Millares" totalsRowCellStyle="Millares"/>
    <tableColumn id="13" xr3:uid="{3A770BAA-8184-4EC4-8DEA-33C3FC1514E5}" name="Otros Imp" totalsRowFunction="sum" dataDxfId="17" totalsRowDxfId="1" dataCellStyle="Millares" totalsRowCellStyle="Millares"/>
    <tableColumn id="14" xr3:uid="{38DCF435-B209-40D9-8DBA-C86502866570}" name="Total Compr." totalsRowFunction="sum" dataDxfId="16" totalsRowDxfId="0" dataCellStyle="Millares" totalsRowCellStyle="Millar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8"/>
  <sheetViews>
    <sheetView topLeftCell="A522" zoomScale="150" zoomScaleNormal="150" workbookViewId="0">
      <selection activeCell="D530" sqref="D530"/>
    </sheetView>
  </sheetViews>
  <sheetFormatPr baseColWidth="10" defaultRowHeight="15" x14ac:dyDescent="0.25"/>
  <cols>
    <col min="1" max="1" width="14" style="32" customWidth="1"/>
    <col min="2" max="2" width="34.42578125" customWidth="1"/>
    <col min="3" max="3" width="18.28515625" customWidth="1"/>
    <col min="6" max="6" width="14" style="92" bestFit="1" customWidth="1"/>
    <col min="7" max="7" width="11.42578125" style="92"/>
  </cols>
  <sheetData>
    <row r="1" spans="1:7" x14ac:dyDescent="0.25">
      <c r="F1" s="93" t="s">
        <v>7</v>
      </c>
      <c r="G1" s="92" t="s">
        <v>34</v>
      </c>
    </row>
    <row r="2" spans="1:7" ht="15.75" thickBot="1" x14ac:dyDescent="0.3">
      <c r="F2" s="93" t="s">
        <v>19</v>
      </c>
      <c r="G2" s="92" t="s">
        <v>32</v>
      </c>
    </row>
    <row r="3" spans="1:7" s="6" customFormat="1" ht="15.75" thickBot="1" x14ac:dyDescent="0.3">
      <c r="A3" s="77" t="s">
        <v>7</v>
      </c>
      <c r="B3" s="91" t="s">
        <v>19</v>
      </c>
      <c r="C3" s="70" t="s">
        <v>2</v>
      </c>
      <c r="F3" s="93" t="s">
        <v>2</v>
      </c>
      <c r="G3" s="92" t="s">
        <v>33</v>
      </c>
    </row>
    <row r="4" spans="1:7" x14ac:dyDescent="0.25">
      <c r="A4" s="78">
        <v>30628205090</v>
      </c>
      <c r="B4" s="71" t="s">
        <v>144</v>
      </c>
      <c r="C4" s="72" t="s">
        <v>80</v>
      </c>
    </row>
    <row r="5" spans="1:7" x14ac:dyDescent="0.25">
      <c r="A5" s="222">
        <v>30711678820</v>
      </c>
      <c r="B5" s="73" t="s">
        <v>386</v>
      </c>
      <c r="C5" s="74" t="s">
        <v>41</v>
      </c>
    </row>
    <row r="6" spans="1:7" x14ac:dyDescent="0.25">
      <c r="A6" s="192">
        <v>33716367539</v>
      </c>
      <c r="B6" s="71" t="s">
        <v>347</v>
      </c>
      <c r="C6" s="74" t="s">
        <v>41</v>
      </c>
    </row>
    <row r="7" spans="1:7" x14ac:dyDescent="0.25">
      <c r="A7" s="78">
        <v>30660373108</v>
      </c>
      <c r="B7" s="71" t="s">
        <v>307</v>
      </c>
      <c r="C7" s="74" t="s">
        <v>54</v>
      </c>
    </row>
    <row r="8" spans="1:7" x14ac:dyDescent="0.25">
      <c r="A8" s="78">
        <v>20300210881</v>
      </c>
      <c r="B8" s="71" t="s">
        <v>356</v>
      </c>
      <c r="C8" s="74" t="s">
        <v>41</v>
      </c>
    </row>
    <row r="9" spans="1:7" x14ac:dyDescent="0.25">
      <c r="A9" s="78">
        <v>27229910782</v>
      </c>
      <c r="B9" s="71" t="s">
        <v>560</v>
      </c>
      <c r="C9" s="74" t="s">
        <v>41</v>
      </c>
    </row>
    <row r="10" spans="1:7" x14ac:dyDescent="0.25">
      <c r="A10" s="78">
        <v>20242709897</v>
      </c>
      <c r="B10" s="71" t="s">
        <v>564</v>
      </c>
      <c r="C10" s="74" t="s">
        <v>41</v>
      </c>
    </row>
    <row r="11" spans="1:7" x14ac:dyDescent="0.25">
      <c r="A11" s="78">
        <v>20281669053</v>
      </c>
      <c r="B11" s="71" t="s">
        <v>194</v>
      </c>
      <c r="C11" s="74" t="s">
        <v>36</v>
      </c>
    </row>
    <row r="12" spans="1:7" x14ac:dyDescent="0.25">
      <c r="A12" s="78">
        <v>20174240125</v>
      </c>
      <c r="B12" s="71" t="s">
        <v>216</v>
      </c>
      <c r="C12" s="74" t="s">
        <v>54</v>
      </c>
    </row>
    <row r="13" spans="1:7" x14ac:dyDescent="0.25">
      <c r="A13" s="78">
        <v>30641659106</v>
      </c>
      <c r="B13" s="71" t="s">
        <v>313</v>
      </c>
      <c r="C13" s="74" t="s">
        <v>54</v>
      </c>
    </row>
    <row r="14" spans="1:7" x14ac:dyDescent="0.25">
      <c r="A14" s="78">
        <v>33709914109</v>
      </c>
      <c r="B14" s="71" t="s">
        <v>323</v>
      </c>
      <c r="C14" s="74" t="s">
        <v>54</v>
      </c>
    </row>
    <row r="15" spans="1:7" x14ac:dyDescent="0.25">
      <c r="A15" s="192">
        <v>20267161616</v>
      </c>
      <c r="B15" s="71" t="s">
        <v>423</v>
      </c>
      <c r="C15" s="74" t="s">
        <v>54</v>
      </c>
    </row>
    <row r="16" spans="1:7" x14ac:dyDescent="0.25">
      <c r="A16" s="86">
        <v>20110352108</v>
      </c>
      <c r="B16" s="71" t="s">
        <v>578</v>
      </c>
      <c r="C16" s="74" t="s">
        <v>124</v>
      </c>
    </row>
    <row r="17" spans="1:4" x14ac:dyDescent="0.25">
      <c r="A17" s="79">
        <v>30645337979</v>
      </c>
      <c r="B17" s="75" t="s">
        <v>164</v>
      </c>
      <c r="C17" s="74" t="s">
        <v>80</v>
      </c>
    </row>
    <row r="18" spans="1:4" x14ac:dyDescent="0.25">
      <c r="A18" s="78">
        <v>30656038752</v>
      </c>
      <c r="B18" s="71" t="s">
        <v>247</v>
      </c>
      <c r="C18" s="74" t="s">
        <v>43</v>
      </c>
    </row>
    <row r="19" spans="1:4" x14ac:dyDescent="0.25">
      <c r="A19" s="78">
        <v>30707014756</v>
      </c>
      <c r="B19" s="71" t="s">
        <v>485</v>
      </c>
      <c r="C19" s="74" t="s">
        <v>54</v>
      </c>
    </row>
    <row r="20" spans="1:4" x14ac:dyDescent="0.25">
      <c r="A20" s="80">
        <v>30716375176</v>
      </c>
      <c r="B20" s="71" t="s">
        <v>57</v>
      </c>
      <c r="C20" s="74" t="s">
        <v>41</v>
      </c>
    </row>
    <row r="21" spans="1:4" x14ac:dyDescent="0.25">
      <c r="A21" s="192">
        <v>30710406037</v>
      </c>
      <c r="B21" s="71" t="s">
        <v>460</v>
      </c>
      <c r="C21" s="74" t="s">
        <v>41</v>
      </c>
      <c r="D21" s="94"/>
    </row>
    <row r="22" spans="1:4" x14ac:dyDescent="0.25">
      <c r="A22" s="192">
        <v>30715678310</v>
      </c>
      <c r="B22" s="71" t="s">
        <v>237</v>
      </c>
      <c r="C22" s="74" t="s">
        <v>54</v>
      </c>
      <c r="D22" s="94"/>
    </row>
    <row r="23" spans="1:4" x14ac:dyDescent="0.25">
      <c r="A23" s="86">
        <v>27265533006</v>
      </c>
      <c r="B23" s="71" t="s">
        <v>519</v>
      </c>
      <c r="C23" s="74" t="s">
        <v>41</v>
      </c>
    </row>
    <row r="24" spans="1:4" x14ac:dyDescent="0.25">
      <c r="A24" s="78">
        <v>27133963524</v>
      </c>
      <c r="B24" s="71" t="s">
        <v>401</v>
      </c>
      <c r="C24" s="74" t="s">
        <v>41</v>
      </c>
    </row>
    <row r="25" spans="1:4" x14ac:dyDescent="0.25">
      <c r="A25" s="80">
        <v>27101205733</v>
      </c>
      <c r="B25" s="75" t="s">
        <v>133</v>
      </c>
      <c r="C25" s="74" t="s">
        <v>41</v>
      </c>
    </row>
    <row r="26" spans="1:4" x14ac:dyDescent="0.25">
      <c r="A26" s="80">
        <v>30574816870</v>
      </c>
      <c r="B26" s="71" t="s">
        <v>191</v>
      </c>
      <c r="C26" s="74" t="s">
        <v>192</v>
      </c>
    </row>
    <row r="27" spans="1:4" x14ac:dyDescent="0.25">
      <c r="A27" s="78">
        <v>30710986416</v>
      </c>
      <c r="B27" s="71" t="s">
        <v>273</v>
      </c>
      <c r="C27" s="74" t="s">
        <v>43</v>
      </c>
    </row>
    <row r="28" spans="1:4" x14ac:dyDescent="0.25">
      <c r="A28" s="78">
        <v>30683702060</v>
      </c>
      <c r="B28" s="71" t="s">
        <v>488</v>
      </c>
      <c r="C28" s="74" t="s">
        <v>41</v>
      </c>
    </row>
    <row r="29" spans="1:4" x14ac:dyDescent="0.25">
      <c r="A29" s="78">
        <v>27252316057</v>
      </c>
      <c r="B29" s="71" t="s">
        <v>522</v>
      </c>
      <c r="C29" s="74" t="s">
        <v>38</v>
      </c>
    </row>
    <row r="30" spans="1:4" x14ac:dyDescent="0.25">
      <c r="A30" s="78">
        <v>30711492409</v>
      </c>
      <c r="B30" s="71" t="s">
        <v>410</v>
      </c>
      <c r="C30" s="74" t="s">
        <v>41</v>
      </c>
    </row>
    <row r="31" spans="1:4" x14ac:dyDescent="0.25">
      <c r="A31" s="78">
        <v>30600907553</v>
      </c>
      <c r="B31" s="71" t="s">
        <v>209</v>
      </c>
      <c r="C31" s="74" t="s">
        <v>54</v>
      </c>
    </row>
    <row r="32" spans="1:4" x14ac:dyDescent="0.25">
      <c r="A32" s="192">
        <v>30715290835</v>
      </c>
      <c r="B32" s="73" t="s">
        <v>422</v>
      </c>
      <c r="C32" s="74" t="s">
        <v>54</v>
      </c>
    </row>
    <row r="33" spans="1:7" x14ac:dyDescent="0.25">
      <c r="A33" s="78">
        <v>30708973501</v>
      </c>
      <c r="B33" s="73" t="s">
        <v>63</v>
      </c>
      <c r="C33" s="74" t="s">
        <v>43</v>
      </c>
    </row>
    <row r="34" spans="1:7" x14ac:dyDescent="0.25">
      <c r="A34" s="79">
        <v>30590354798</v>
      </c>
      <c r="B34" s="75" t="s">
        <v>81</v>
      </c>
      <c r="C34" s="74" t="s">
        <v>80</v>
      </c>
    </row>
    <row r="35" spans="1:7" x14ac:dyDescent="0.25">
      <c r="A35" s="35">
        <v>30690973517</v>
      </c>
      <c r="B35" s="73" t="s">
        <v>352</v>
      </c>
      <c r="C35" s="74" t="s">
        <v>80</v>
      </c>
    </row>
    <row r="36" spans="1:7" x14ac:dyDescent="0.25">
      <c r="A36" s="78">
        <v>30714416622</v>
      </c>
      <c r="B36" s="73" t="s">
        <v>257</v>
      </c>
      <c r="C36" s="74" t="s">
        <v>54</v>
      </c>
    </row>
    <row r="37" spans="1:7" x14ac:dyDescent="0.25">
      <c r="A37" s="78">
        <v>30708436506</v>
      </c>
      <c r="B37" s="73" t="s">
        <v>285</v>
      </c>
      <c r="C37" s="74" t="s">
        <v>80</v>
      </c>
    </row>
    <row r="38" spans="1:7" x14ac:dyDescent="0.25">
      <c r="A38" s="78">
        <v>30677237119</v>
      </c>
      <c r="B38" s="73" t="s">
        <v>432</v>
      </c>
      <c r="C38" s="227" t="s">
        <v>374</v>
      </c>
    </row>
    <row r="39" spans="1:7" x14ac:dyDescent="0.25">
      <c r="A39" s="192">
        <v>30574876474</v>
      </c>
      <c r="B39" s="73" t="s">
        <v>373</v>
      </c>
      <c r="C39" s="74" t="s">
        <v>374</v>
      </c>
    </row>
    <row r="40" spans="1:7" x14ac:dyDescent="0.25">
      <c r="A40" s="78">
        <v>20379223185</v>
      </c>
      <c r="B40" s="73" t="s">
        <v>409</v>
      </c>
      <c r="C40" s="74" t="s">
        <v>41</v>
      </c>
    </row>
    <row r="41" spans="1:7" x14ac:dyDescent="0.25">
      <c r="A41" s="78">
        <v>33714662819</v>
      </c>
      <c r="B41" s="73" t="s">
        <v>47</v>
      </c>
      <c r="C41" s="74" t="s">
        <v>41</v>
      </c>
    </row>
    <row r="42" spans="1:7" x14ac:dyDescent="0.25">
      <c r="A42" s="80">
        <v>33716314869</v>
      </c>
      <c r="B42" s="73" t="s">
        <v>58</v>
      </c>
      <c r="C42" s="74" t="s">
        <v>41</v>
      </c>
    </row>
    <row r="43" spans="1:7" x14ac:dyDescent="0.25">
      <c r="A43" s="78">
        <v>30715923374</v>
      </c>
      <c r="B43" s="73" t="s">
        <v>223</v>
      </c>
      <c r="C43" s="74" t="s">
        <v>41</v>
      </c>
    </row>
    <row r="44" spans="1:7" x14ac:dyDescent="0.25">
      <c r="A44" s="78">
        <v>33714642079</v>
      </c>
      <c r="B44" s="71" t="s">
        <v>212</v>
      </c>
      <c r="C44" s="76" t="s">
        <v>54</v>
      </c>
    </row>
    <row r="45" spans="1:7" x14ac:dyDescent="0.25">
      <c r="A45" s="78">
        <v>33711430879</v>
      </c>
      <c r="B45" s="71" t="s">
        <v>280</v>
      </c>
      <c r="C45" s="76" t="s">
        <v>41</v>
      </c>
    </row>
    <row r="46" spans="1:7" x14ac:dyDescent="0.25">
      <c r="A46" s="78">
        <v>33716391049</v>
      </c>
      <c r="B46" s="71" t="s">
        <v>284</v>
      </c>
      <c r="C46" s="76" t="s">
        <v>54</v>
      </c>
    </row>
    <row r="47" spans="1:7" x14ac:dyDescent="0.25">
      <c r="A47" s="78">
        <v>30707267077</v>
      </c>
      <c r="B47" s="71" t="s">
        <v>408</v>
      </c>
      <c r="C47" s="76" t="s">
        <v>41</v>
      </c>
      <c r="F47"/>
      <c r="G47"/>
    </row>
    <row r="48" spans="1:7" x14ac:dyDescent="0.25">
      <c r="A48" s="78">
        <v>20109274268</v>
      </c>
      <c r="B48" s="71" t="s">
        <v>270</v>
      </c>
      <c r="C48" s="76" t="s">
        <v>36</v>
      </c>
      <c r="F48"/>
      <c r="G48"/>
    </row>
    <row r="49" spans="1:7" x14ac:dyDescent="0.25">
      <c r="A49" s="78">
        <v>20172955763</v>
      </c>
      <c r="B49" s="71" t="s">
        <v>415</v>
      </c>
      <c r="C49" s="76" t="s">
        <v>41</v>
      </c>
      <c r="F49"/>
      <c r="G49"/>
    </row>
    <row r="50" spans="1:7" x14ac:dyDescent="0.25">
      <c r="A50" s="78">
        <v>20119743959</v>
      </c>
      <c r="B50" s="71" t="s">
        <v>338</v>
      </c>
      <c r="C50" s="76" t="s">
        <v>41</v>
      </c>
      <c r="F50"/>
      <c r="G50"/>
    </row>
    <row r="51" spans="1:7" x14ac:dyDescent="0.25">
      <c r="A51" s="78">
        <v>30711091552</v>
      </c>
      <c r="B51" s="71" t="s">
        <v>245</v>
      </c>
      <c r="C51" s="76" t="s">
        <v>54</v>
      </c>
      <c r="F51"/>
      <c r="G51"/>
    </row>
    <row r="52" spans="1:7" x14ac:dyDescent="0.25">
      <c r="A52" s="79">
        <v>30715833243</v>
      </c>
      <c r="B52" s="71" t="s">
        <v>152</v>
      </c>
      <c r="C52" s="76" t="s">
        <v>41</v>
      </c>
      <c r="F52"/>
      <c r="G52"/>
    </row>
    <row r="53" spans="1:7" x14ac:dyDescent="0.25">
      <c r="A53" s="80">
        <v>30712230459</v>
      </c>
      <c r="B53" s="71" t="s">
        <v>60</v>
      </c>
      <c r="C53" s="76" t="s">
        <v>41</v>
      </c>
      <c r="F53"/>
      <c r="G53"/>
    </row>
    <row r="54" spans="1:7" x14ac:dyDescent="0.25">
      <c r="A54" s="78">
        <v>27265832178</v>
      </c>
      <c r="B54" s="71" t="s">
        <v>481</v>
      </c>
      <c r="C54" s="76" t="s">
        <v>41</v>
      </c>
      <c r="F54"/>
      <c r="G54"/>
    </row>
    <row r="55" spans="1:7" x14ac:dyDescent="0.25">
      <c r="A55" s="78">
        <v>20043137817</v>
      </c>
      <c r="B55" s="71" t="s">
        <v>535</v>
      </c>
      <c r="C55" s="76" t="s">
        <v>54</v>
      </c>
      <c r="F55"/>
      <c r="G55"/>
    </row>
    <row r="56" spans="1:7" x14ac:dyDescent="0.25">
      <c r="A56" s="78">
        <v>20400104094</v>
      </c>
      <c r="B56" s="71" t="s">
        <v>236</v>
      </c>
      <c r="C56" s="76" t="s">
        <v>38</v>
      </c>
      <c r="F56"/>
      <c r="G56"/>
    </row>
    <row r="57" spans="1:7" x14ac:dyDescent="0.25">
      <c r="A57" s="79">
        <v>20086277523</v>
      </c>
      <c r="B57" s="71" t="s">
        <v>37</v>
      </c>
      <c r="C57" s="76" t="s">
        <v>38</v>
      </c>
      <c r="F57"/>
      <c r="G57"/>
    </row>
    <row r="58" spans="1:7" x14ac:dyDescent="0.25">
      <c r="A58" s="78">
        <v>20389908569</v>
      </c>
      <c r="B58" s="71" t="s">
        <v>281</v>
      </c>
      <c r="C58" s="76" t="s">
        <v>38</v>
      </c>
      <c r="F58"/>
      <c r="G58"/>
    </row>
    <row r="59" spans="1:7" x14ac:dyDescent="0.25">
      <c r="A59" s="86">
        <v>33714174539</v>
      </c>
      <c r="B59" s="71" t="s">
        <v>366</v>
      </c>
      <c r="C59" s="76" t="s">
        <v>41</v>
      </c>
      <c r="F59"/>
      <c r="G59"/>
    </row>
    <row r="60" spans="1:7" x14ac:dyDescent="0.25">
      <c r="A60" s="86">
        <v>20291406212</v>
      </c>
      <c r="B60" s="71" t="s">
        <v>403</v>
      </c>
      <c r="C60" s="76" t="s">
        <v>41</v>
      </c>
      <c r="F60"/>
      <c r="G60"/>
    </row>
    <row r="61" spans="1:7" x14ac:dyDescent="0.25">
      <c r="A61" s="86">
        <v>30716371812</v>
      </c>
      <c r="B61" s="71" t="s">
        <v>549</v>
      </c>
      <c r="C61" s="76" t="s">
        <v>41</v>
      </c>
      <c r="F61"/>
      <c r="G61"/>
    </row>
    <row r="62" spans="1:7" x14ac:dyDescent="0.25">
      <c r="A62" s="78">
        <v>27211511023</v>
      </c>
      <c r="B62" s="71" t="s">
        <v>262</v>
      </c>
      <c r="C62" s="76" t="s">
        <v>41</v>
      </c>
      <c r="F62"/>
      <c r="G62"/>
    </row>
    <row r="63" spans="1:7" x14ac:dyDescent="0.25">
      <c r="A63" s="78">
        <v>30714295957</v>
      </c>
      <c r="B63" s="71" t="s">
        <v>439</v>
      </c>
      <c r="C63" s="76" t="s">
        <v>54</v>
      </c>
      <c r="F63"/>
      <c r="G63"/>
    </row>
    <row r="64" spans="1:7" x14ac:dyDescent="0.25">
      <c r="A64" s="78">
        <v>27289847141</v>
      </c>
      <c r="B64" s="71" t="s">
        <v>290</v>
      </c>
      <c r="C64" s="76" t="s">
        <v>54</v>
      </c>
    </row>
    <row r="65" spans="1:3" x14ac:dyDescent="0.25">
      <c r="A65" s="78">
        <v>23255855204</v>
      </c>
      <c r="B65" s="71" t="s">
        <v>509</v>
      </c>
      <c r="C65" s="76" t="s">
        <v>36</v>
      </c>
    </row>
    <row r="66" spans="1:3" x14ac:dyDescent="0.25">
      <c r="A66" s="78">
        <v>27338342840</v>
      </c>
      <c r="B66" s="71" t="s">
        <v>435</v>
      </c>
      <c r="C66" s="218" t="s">
        <v>41</v>
      </c>
    </row>
    <row r="67" spans="1:3" x14ac:dyDescent="0.25">
      <c r="A67" s="78">
        <v>30709876135</v>
      </c>
      <c r="B67" s="71" t="s">
        <v>150</v>
      </c>
      <c r="C67" s="76" t="s">
        <v>41</v>
      </c>
    </row>
    <row r="68" spans="1:3" x14ac:dyDescent="0.25">
      <c r="A68" s="78">
        <v>30571666037</v>
      </c>
      <c r="B68" s="71" t="s">
        <v>581</v>
      </c>
      <c r="C68" s="76" t="s">
        <v>54</v>
      </c>
    </row>
    <row r="69" spans="1:3" x14ac:dyDescent="0.25">
      <c r="A69" s="78">
        <v>27364044319</v>
      </c>
      <c r="B69" s="71" t="s">
        <v>154</v>
      </c>
      <c r="C69" s="76" t="s">
        <v>41</v>
      </c>
    </row>
    <row r="70" spans="1:3" x14ac:dyDescent="0.25">
      <c r="A70" s="78">
        <v>30715116274</v>
      </c>
      <c r="B70" s="75" t="s">
        <v>136</v>
      </c>
      <c r="C70" s="76" t="s">
        <v>41</v>
      </c>
    </row>
    <row r="71" spans="1:3" x14ac:dyDescent="0.25">
      <c r="A71" s="78">
        <v>27326703384</v>
      </c>
      <c r="B71" s="71" t="s">
        <v>507</v>
      </c>
      <c r="C71" s="76" t="s">
        <v>124</v>
      </c>
    </row>
    <row r="72" spans="1:3" x14ac:dyDescent="0.25">
      <c r="A72" s="78">
        <v>20129871947</v>
      </c>
      <c r="B72" s="71" t="s">
        <v>213</v>
      </c>
      <c r="C72" s="76" t="s">
        <v>41</v>
      </c>
    </row>
    <row r="73" spans="1:3" x14ac:dyDescent="0.25">
      <c r="A73" s="85">
        <v>30648604021</v>
      </c>
      <c r="B73" s="71" t="s">
        <v>495</v>
      </c>
      <c r="C73" s="76" t="s">
        <v>41</v>
      </c>
    </row>
    <row r="74" spans="1:3" x14ac:dyDescent="0.25">
      <c r="A74" s="85">
        <v>20372769808</v>
      </c>
      <c r="B74" s="71" t="s">
        <v>436</v>
      </c>
      <c r="C74" s="76" t="s">
        <v>54</v>
      </c>
    </row>
    <row r="75" spans="1:3" x14ac:dyDescent="0.25">
      <c r="A75" s="86">
        <v>30575818826</v>
      </c>
      <c r="B75" s="71" t="s">
        <v>275</v>
      </c>
      <c r="C75" s="76" t="s">
        <v>54</v>
      </c>
    </row>
    <row r="76" spans="1:3" x14ac:dyDescent="0.25">
      <c r="A76" s="86">
        <v>30575945232</v>
      </c>
      <c r="B76" s="71" t="s">
        <v>211</v>
      </c>
      <c r="C76" s="76" t="s">
        <v>54</v>
      </c>
    </row>
    <row r="77" spans="1:3" x14ac:dyDescent="0.25">
      <c r="A77" s="223">
        <v>33712276539</v>
      </c>
      <c r="B77" s="71" t="s">
        <v>355</v>
      </c>
      <c r="C77" s="76" t="s">
        <v>54</v>
      </c>
    </row>
    <row r="78" spans="1:3" x14ac:dyDescent="0.25">
      <c r="A78" s="86">
        <v>30716174766</v>
      </c>
      <c r="B78" s="71" t="s">
        <v>342</v>
      </c>
      <c r="C78" s="76" t="s">
        <v>41</v>
      </c>
    </row>
    <row r="79" spans="1:3" x14ac:dyDescent="0.25">
      <c r="A79" s="86">
        <v>33715179119</v>
      </c>
      <c r="B79" s="71" t="s">
        <v>361</v>
      </c>
      <c r="C79" s="76" t="s">
        <v>54</v>
      </c>
    </row>
    <row r="80" spans="1:3" x14ac:dyDescent="0.25">
      <c r="A80" s="223">
        <v>30590360763</v>
      </c>
      <c r="B80" s="71" t="s">
        <v>354</v>
      </c>
      <c r="C80" s="76" t="s">
        <v>54</v>
      </c>
    </row>
    <row r="81" spans="1:3" x14ac:dyDescent="0.25">
      <c r="A81" s="86">
        <v>30707612971</v>
      </c>
      <c r="B81" s="71" t="s">
        <v>75</v>
      </c>
      <c r="C81" s="76" t="s">
        <v>80</v>
      </c>
    </row>
    <row r="82" spans="1:3" x14ac:dyDescent="0.25">
      <c r="A82" s="86">
        <v>30714758116</v>
      </c>
      <c r="B82" s="71" t="s">
        <v>561</v>
      </c>
      <c r="C82" s="76" t="s">
        <v>41</v>
      </c>
    </row>
    <row r="83" spans="1:3" x14ac:dyDescent="0.25">
      <c r="A83" s="86">
        <v>27318630157</v>
      </c>
      <c r="B83" s="71" t="s">
        <v>596</v>
      </c>
      <c r="C83" s="76" t="s">
        <v>54</v>
      </c>
    </row>
    <row r="84" spans="1:3" x14ac:dyDescent="0.25">
      <c r="A84" s="224">
        <v>30707535934</v>
      </c>
      <c r="B84" s="71" t="s">
        <v>306</v>
      </c>
      <c r="C84" s="76" t="s">
        <v>54</v>
      </c>
    </row>
    <row r="85" spans="1:3" x14ac:dyDescent="0.25">
      <c r="A85" s="86">
        <v>30696692951</v>
      </c>
      <c r="B85" s="71" t="s">
        <v>577</v>
      </c>
      <c r="C85" s="76" t="s">
        <v>54</v>
      </c>
    </row>
    <row r="86" spans="1:3" x14ac:dyDescent="0.25">
      <c r="A86" s="223">
        <v>30594832783</v>
      </c>
      <c r="B86" s="71" t="s">
        <v>392</v>
      </c>
      <c r="C86" s="76" t="s">
        <v>54</v>
      </c>
    </row>
    <row r="87" spans="1:3" x14ac:dyDescent="0.25">
      <c r="A87" s="86">
        <v>30707986189</v>
      </c>
      <c r="B87" s="75" t="s">
        <v>231</v>
      </c>
      <c r="C87" s="76" t="s">
        <v>41</v>
      </c>
    </row>
    <row r="88" spans="1:3" x14ac:dyDescent="0.25">
      <c r="A88" s="87">
        <v>23334822869</v>
      </c>
      <c r="B88" s="71" t="s">
        <v>483</v>
      </c>
      <c r="C88" s="76" t="s">
        <v>54</v>
      </c>
    </row>
    <row r="89" spans="1:3" x14ac:dyDescent="0.25">
      <c r="A89" s="192">
        <v>23258785479</v>
      </c>
      <c r="B89" s="71" t="s">
        <v>459</v>
      </c>
      <c r="C89" s="76" t="s">
        <v>54</v>
      </c>
    </row>
    <row r="90" spans="1:3" x14ac:dyDescent="0.25">
      <c r="A90" s="78">
        <v>20274215632</v>
      </c>
      <c r="B90" s="71" t="s">
        <v>587</v>
      </c>
      <c r="C90" s="76" t="s">
        <v>54</v>
      </c>
    </row>
    <row r="91" spans="1:3" x14ac:dyDescent="0.25">
      <c r="A91" s="78">
        <v>30688140923</v>
      </c>
      <c r="B91" s="71" t="s">
        <v>196</v>
      </c>
      <c r="C91" s="76" t="s">
        <v>41</v>
      </c>
    </row>
    <row r="92" spans="1:3" x14ac:dyDescent="0.25">
      <c r="A92" s="192">
        <v>30708736186</v>
      </c>
      <c r="B92" s="71" t="s">
        <v>597</v>
      </c>
      <c r="C92" s="76" t="s">
        <v>54</v>
      </c>
    </row>
    <row r="93" spans="1:3" x14ac:dyDescent="0.25">
      <c r="A93" s="78">
        <v>23359537069</v>
      </c>
      <c r="B93" s="71" t="s">
        <v>512</v>
      </c>
      <c r="C93" s="76" t="s">
        <v>41</v>
      </c>
    </row>
    <row r="94" spans="1:3" x14ac:dyDescent="0.25">
      <c r="A94" s="86">
        <v>33710268059</v>
      </c>
      <c r="B94" s="71" t="s">
        <v>215</v>
      </c>
      <c r="C94" s="76" t="s">
        <v>43</v>
      </c>
    </row>
    <row r="95" spans="1:3" x14ac:dyDescent="0.25">
      <c r="A95" s="82">
        <v>30605344352</v>
      </c>
      <c r="B95" s="71" t="s">
        <v>49</v>
      </c>
      <c r="C95" s="76" t="s">
        <v>48</v>
      </c>
    </row>
    <row r="96" spans="1:3" x14ac:dyDescent="0.25">
      <c r="A96" s="86">
        <v>20134281783</v>
      </c>
      <c r="B96" s="71" t="s">
        <v>149</v>
      </c>
      <c r="C96" s="76" t="s">
        <v>41</v>
      </c>
    </row>
    <row r="97" spans="1:3" x14ac:dyDescent="0.25">
      <c r="A97" s="226">
        <v>30682998330</v>
      </c>
      <c r="B97" s="71" t="s">
        <v>365</v>
      </c>
      <c r="C97" s="76" t="s">
        <v>54</v>
      </c>
    </row>
    <row r="98" spans="1:3" x14ac:dyDescent="0.25">
      <c r="A98" s="78">
        <v>20200212143</v>
      </c>
      <c r="B98" s="71" t="s">
        <v>310</v>
      </c>
      <c r="C98" s="76" t="s">
        <v>54</v>
      </c>
    </row>
    <row r="99" spans="1:3" x14ac:dyDescent="0.25">
      <c r="A99" s="223">
        <v>20233248283</v>
      </c>
      <c r="B99" s="71" t="s">
        <v>345</v>
      </c>
      <c r="C99" s="76" t="s">
        <v>41</v>
      </c>
    </row>
    <row r="100" spans="1:3" x14ac:dyDescent="0.25">
      <c r="A100" s="78">
        <v>33699685459</v>
      </c>
      <c r="B100" s="71" t="s">
        <v>335</v>
      </c>
      <c r="C100" s="76" t="s">
        <v>54</v>
      </c>
    </row>
    <row r="101" spans="1:3" x14ac:dyDescent="0.25">
      <c r="A101" s="80">
        <v>30708574836</v>
      </c>
      <c r="B101" s="71" t="s">
        <v>187</v>
      </c>
      <c r="C101" s="76" t="s">
        <v>186</v>
      </c>
    </row>
    <row r="102" spans="1:3" x14ac:dyDescent="0.25">
      <c r="A102" s="78">
        <v>27065000216</v>
      </c>
      <c r="B102" s="71" t="s">
        <v>318</v>
      </c>
      <c r="C102" s="76" t="s">
        <v>41</v>
      </c>
    </row>
    <row r="103" spans="1:3" x14ac:dyDescent="0.25">
      <c r="A103" s="81">
        <v>30548083156</v>
      </c>
      <c r="B103" s="75" t="s">
        <v>126</v>
      </c>
      <c r="C103" s="76" t="s">
        <v>124</v>
      </c>
    </row>
    <row r="104" spans="1:3" x14ac:dyDescent="0.25">
      <c r="A104" s="78">
        <v>30696850972</v>
      </c>
      <c r="B104" s="71" t="s">
        <v>375</v>
      </c>
      <c r="C104" s="76" t="s">
        <v>39</v>
      </c>
    </row>
    <row r="105" spans="1:3" x14ac:dyDescent="0.25">
      <c r="A105" s="78">
        <v>30709175897</v>
      </c>
      <c r="B105" s="71" t="s">
        <v>377</v>
      </c>
      <c r="C105" s="76" t="s">
        <v>54</v>
      </c>
    </row>
    <row r="106" spans="1:3" x14ac:dyDescent="0.25">
      <c r="A106" s="78">
        <v>30707833293</v>
      </c>
      <c r="B106" s="71" t="s">
        <v>437</v>
      </c>
      <c r="C106" s="76" t="s">
        <v>41</v>
      </c>
    </row>
    <row r="107" spans="1:3" x14ac:dyDescent="0.25">
      <c r="A107" s="78">
        <v>33708543409</v>
      </c>
      <c r="B107" s="71" t="s">
        <v>538</v>
      </c>
      <c r="C107" s="76" t="s">
        <v>54</v>
      </c>
    </row>
    <row r="108" spans="1:3" x14ac:dyDescent="0.25">
      <c r="A108" s="78">
        <v>30715242903</v>
      </c>
      <c r="B108" s="75" t="s">
        <v>174</v>
      </c>
      <c r="C108" s="76" t="s">
        <v>41</v>
      </c>
    </row>
    <row r="109" spans="1:3" x14ac:dyDescent="0.25">
      <c r="A109" s="78">
        <v>30711275106</v>
      </c>
      <c r="B109" s="71" t="s">
        <v>334</v>
      </c>
      <c r="C109" s="76" t="s">
        <v>54</v>
      </c>
    </row>
    <row r="110" spans="1:3" x14ac:dyDescent="0.25">
      <c r="A110" s="79">
        <v>30516186670</v>
      </c>
      <c r="B110" s="75" t="s">
        <v>162</v>
      </c>
      <c r="C110" s="76" t="s">
        <v>54</v>
      </c>
    </row>
    <row r="111" spans="1:3" x14ac:dyDescent="0.25">
      <c r="A111" s="192">
        <v>27340766445</v>
      </c>
      <c r="B111" s="71" t="s">
        <v>383</v>
      </c>
      <c r="C111" s="76" t="s">
        <v>54</v>
      </c>
    </row>
    <row r="112" spans="1:3" x14ac:dyDescent="0.25">
      <c r="A112" s="35">
        <v>20403969886</v>
      </c>
      <c r="B112" s="71" t="s">
        <v>398</v>
      </c>
      <c r="C112" s="76" t="s">
        <v>41</v>
      </c>
    </row>
    <row r="113" spans="1:3" x14ac:dyDescent="0.25">
      <c r="A113" s="78">
        <v>20253515512</v>
      </c>
      <c r="B113" s="71" t="s">
        <v>539</v>
      </c>
      <c r="C113" s="76" t="s">
        <v>41</v>
      </c>
    </row>
    <row r="114" spans="1:3" x14ac:dyDescent="0.25">
      <c r="A114" s="78">
        <v>33716792299</v>
      </c>
      <c r="B114" s="71" t="s">
        <v>417</v>
      </c>
      <c r="C114" s="76" t="s">
        <v>54</v>
      </c>
    </row>
    <row r="115" spans="1:3" x14ac:dyDescent="0.25">
      <c r="A115" s="78">
        <v>30708656018</v>
      </c>
      <c r="B115" s="71" t="s">
        <v>558</v>
      </c>
      <c r="C115" s="76" t="s">
        <v>54</v>
      </c>
    </row>
    <row r="116" spans="1:3" x14ac:dyDescent="0.25">
      <c r="A116" s="78">
        <v>20167634436</v>
      </c>
      <c r="B116" s="71" t="s">
        <v>229</v>
      </c>
      <c r="C116" s="76" t="s">
        <v>54</v>
      </c>
    </row>
    <row r="117" spans="1:3" x14ac:dyDescent="0.25">
      <c r="A117" s="86">
        <v>30701307115</v>
      </c>
      <c r="B117" s="71" t="s">
        <v>286</v>
      </c>
      <c r="C117" s="76" t="s">
        <v>36</v>
      </c>
    </row>
    <row r="118" spans="1:3" x14ac:dyDescent="0.25">
      <c r="A118" s="86">
        <v>30708285818</v>
      </c>
      <c r="B118" s="71" t="s">
        <v>514</v>
      </c>
      <c r="C118" s="76" t="s">
        <v>41</v>
      </c>
    </row>
    <row r="119" spans="1:3" x14ac:dyDescent="0.25">
      <c r="A119" s="224">
        <v>20325314983</v>
      </c>
      <c r="B119" s="71" t="s">
        <v>348</v>
      </c>
      <c r="C119" s="76" t="s">
        <v>41</v>
      </c>
    </row>
    <row r="120" spans="1:3" x14ac:dyDescent="0.25">
      <c r="A120" s="88">
        <v>20107037021</v>
      </c>
      <c r="B120" s="71" t="s">
        <v>317</v>
      </c>
      <c r="C120" s="76" t="s">
        <v>41</v>
      </c>
    </row>
    <row r="121" spans="1:3" x14ac:dyDescent="0.25">
      <c r="A121" s="88">
        <v>20045615473</v>
      </c>
      <c r="B121" s="71" t="s">
        <v>42</v>
      </c>
      <c r="C121" s="76" t="s">
        <v>43</v>
      </c>
    </row>
    <row r="122" spans="1:3" x14ac:dyDescent="0.25">
      <c r="A122" s="78">
        <v>30685849751</v>
      </c>
      <c r="B122" s="71" t="s">
        <v>552</v>
      </c>
      <c r="C122" s="76" t="s">
        <v>54</v>
      </c>
    </row>
    <row r="123" spans="1:3" x14ac:dyDescent="0.25">
      <c r="A123" s="86">
        <v>30708155795</v>
      </c>
      <c r="B123" s="71" t="s">
        <v>528</v>
      </c>
      <c r="C123" s="76" t="s">
        <v>41</v>
      </c>
    </row>
    <row r="124" spans="1:3" x14ac:dyDescent="0.25">
      <c r="A124" s="86">
        <v>27948446168</v>
      </c>
      <c r="B124" s="71" t="s">
        <v>282</v>
      </c>
      <c r="C124" s="76" t="s">
        <v>41</v>
      </c>
    </row>
    <row r="125" spans="1:3" x14ac:dyDescent="0.25">
      <c r="A125" s="86">
        <v>20219935464</v>
      </c>
      <c r="B125" s="71" t="s">
        <v>276</v>
      </c>
      <c r="C125" s="76" t="s">
        <v>36</v>
      </c>
    </row>
    <row r="126" spans="1:3" x14ac:dyDescent="0.25">
      <c r="A126" s="80">
        <v>20271532483</v>
      </c>
      <c r="B126" s="71" t="s">
        <v>53</v>
      </c>
      <c r="C126" s="76" t="s">
        <v>41</v>
      </c>
    </row>
    <row r="127" spans="1:3" x14ac:dyDescent="0.25">
      <c r="A127" s="78">
        <v>30541849307</v>
      </c>
      <c r="B127" s="71" t="s">
        <v>287</v>
      </c>
      <c r="C127" s="76" t="s">
        <v>54</v>
      </c>
    </row>
    <row r="128" spans="1:3" x14ac:dyDescent="0.25">
      <c r="A128" s="86">
        <v>20243132852</v>
      </c>
      <c r="B128" s="71" t="s">
        <v>591</v>
      </c>
      <c r="C128" s="76" t="s">
        <v>592</v>
      </c>
    </row>
    <row r="129" spans="1:3" x14ac:dyDescent="0.25">
      <c r="A129" s="223">
        <v>30711510822</v>
      </c>
      <c r="B129" s="71" t="s">
        <v>454</v>
      </c>
      <c r="C129" s="76" t="s">
        <v>54</v>
      </c>
    </row>
    <row r="130" spans="1:3" x14ac:dyDescent="0.25">
      <c r="A130" s="86">
        <v>30694549817</v>
      </c>
      <c r="B130" s="71" t="s">
        <v>251</v>
      </c>
      <c r="C130" s="76" t="s">
        <v>41</v>
      </c>
    </row>
    <row r="131" spans="1:3" x14ac:dyDescent="0.25">
      <c r="A131" s="86">
        <v>30715819461</v>
      </c>
      <c r="B131" s="71" t="s">
        <v>533</v>
      </c>
      <c r="C131" s="76" t="s">
        <v>51</v>
      </c>
    </row>
    <row r="132" spans="1:3" ht="15.75" thickBot="1" x14ac:dyDescent="0.3">
      <c r="A132" s="86">
        <v>30710374801</v>
      </c>
      <c r="B132" s="75" t="s">
        <v>159</v>
      </c>
      <c r="C132" s="76" t="s">
        <v>51</v>
      </c>
    </row>
    <row r="133" spans="1:3" x14ac:dyDescent="0.25">
      <c r="A133" s="86">
        <v>30716884631</v>
      </c>
      <c r="B133" s="71" t="s">
        <v>536</v>
      </c>
      <c r="C133" s="72" t="s">
        <v>54</v>
      </c>
    </row>
    <row r="134" spans="1:3" x14ac:dyDescent="0.25">
      <c r="A134" s="86">
        <v>27206941419</v>
      </c>
      <c r="B134" s="71" t="s">
        <v>520</v>
      </c>
      <c r="C134" s="76" t="s">
        <v>38</v>
      </c>
    </row>
    <row r="135" spans="1:3" x14ac:dyDescent="0.25">
      <c r="A135" s="86">
        <v>30702966066</v>
      </c>
      <c r="B135" s="71" t="s">
        <v>240</v>
      </c>
      <c r="C135" s="76" t="s">
        <v>41</v>
      </c>
    </row>
    <row r="136" spans="1:3" x14ac:dyDescent="0.25">
      <c r="A136" s="82">
        <v>23281233084</v>
      </c>
      <c r="B136" s="71" t="s">
        <v>184</v>
      </c>
      <c r="C136" s="76" t="s">
        <v>185</v>
      </c>
    </row>
    <row r="137" spans="1:3" x14ac:dyDescent="0.25">
      <c r="A137" s="86">
        <v>20211398060</v>
      </c>
      <c r="B137" s="71" t="s">
        <v>387</v>
      </c>
      <c r="C137" s="76" t="s">
        <v>41</v>
      </c>
    </row>
    <row r="138" spans="1:3" x14ac:dyDescent="0.25">
      <c r="A138" s="223">
        <v>30711727236</v>
      </c>
      <c r="B138" s="71" t="s">
        <v>349</v>
      </c>
      <c r="C138" s="76" t="s">
        <v>54</v>
      </c>
    </row>
    <row r="139" spans="1:3" x14ac:dyDescent="0.25">
      <c r="A139" s="86">
        <v>30714318221</v>
      </c>
      <c r="B139" s="71" t="s">
        <v>292</v>
      </c>
      <c r="C139" s="76" t="s">
        <v>54</v>
      </c>
    </row>
    <row r="140" spans="1:3" x14ac:dyDescent="0.25">
      <c r="A140" s="86">
        <v>20083442612</v>
      </c>
      <c r="B140" s="71" t="s">
        <v>442</v>
      </c>
      <c r="C140" s="76" t="s">
        <v>54</v>
      </c>
    </row>
    <row r="141" spans="1:3" x14ac:dyDescent="0.25">
      <c r="A141" s="83">
        <v>30537882871</v>
      </c>
      <c r="B141" s="75" t="s">
        <v>121</v>
      </c>
      <c r="C141" s="76" t="s">
        <v>43</v>
      </c>
    </row>
    <row r="142" spans="1:3" x14ac:dyDescent="0.25">
      <c r="A142" s="86">
        <v>30593630338</v>
      </c>
      <c r="B142" s="71" t="s">
        <v>393</v>
      </c>
      <c r="C142" s="76" t="s">
        <v>54</v>
      </c>
    </row>
    <row r="143" spans="1:3" x14ac:dyDescent="0.25">
      <c r="A143" s="86">
        <v>30696676026</v>
      </c>
      <c r="B143" s="71" t="s">
        <v>541</v>
      </c>
      <c r="C143" s="76" t="s">
        <v>41</v>
      </c>
    </row>
    <row r="144" spans="1:3" x14ac:dyDescent="0.25">
      <c r="A144" s="86">
        <v>30686489325</v>
      </c>
      <c r="B144" s="71" t="s">
        <v>471</v>
      </c>
      <c r="C144" s="76" t="s">
        <v>54</v>
      </c>
    </row>
    <row r="145" spans="1:3" x14ac:dyDescent="0.25">
      <c r="A145" s="86">
        <v>30709131865</v>
      </c>
      <c r="B145" s="71" t="s">
        <v>265</v>
      </c>
      <c r="C145" s="76" t="s">
        <v>54</v>
      </c>
    </row>
    <row r="146" spans="1:3" x14ac:dyDescent="0.25">
      <c r="A146" s="84">
        <v>20259499632</v>
      </c>
      <c r="B146" s="71" t="s">
        <v>182</v>
      </c>
      <c r="C146" s="76" t="s">
        <v>183</v>
      </c>
    </row>
    <row r="147" spans="1:3" x14ac:dyDescent="0.25">
      <c r="A147" s="86">
        <v>30588092468</v>
      </c>
      <c r="B147" s="71" t="s">
        <v>341</v>
      </c>
      <c r="C147" s="76" t="s">
        <v>54</v>
      </c>
    </row>
    <row r="148" spans="1:3" x14ac:dyDescent="0.25">
      <c r="A148" s="86">
        <v>30707118454</v>
      </c>
      <c r="B148" s="71" t="s">
        <v>462</v>
      </c>
      <c r="C148" s="76" t="s">
        <v>80</v>
      </c>
    </row>
    <row r="149" spans="1:3" x14ac:dyDescent="0.25">
      <c r="A149" s="86">
        <v>30709368067</v>
      </c>
      <c r="B149" s="75" t="s">
        <v>160</v>
      </c>
      <c r="C149" s="76" t="s">
        <v>51</v>
      </c>
    </row>
    <row r="150" spans="1:3" x14ac:dyDescent="0.25">
      <c r="A150" s="86">
        <v>20140958213</v>
      </c>
      <c r="B150" s="71" t="s">
        <v>406</v>
      </c>
      <c r="C150" s="76" t="s">
        <v>41</v>
      </c>
    </row>
    <row r="151" spans="1:3" x14ac:dyDescent="0.25">
      <c r="A151" s="86">
        <v>30659276964</v>
      </c>
      <c r="B151" s="71" t="s">
        <v>531</v>
      </c>
      <c r="C151" s="76" t="s">
        <v>532</v>
      </c>
    </row>
    <row r="152" spans="1:3" x14ac:dyDescent="0.25">
      <c r="A152" s="86">
        <v>20145036101</v>
      </c>
      <c r="B152" s="71" t="s">
        <v>289</v>
      </c>
      <c r="C152" s="76" t="s">
        <v>36</v>
      </c>
    </row>
    <row r="153" spans="1:3" x14ac:dyDescent="0.25">
      <c r="A153" s="86">
        <v>30711328498</v>
      </c>
      <c r="B153" s="71" t="s">
        <v>599</v>
      </c>
      <c r="C153" s="76" t="s">
        <v>592</v>
      </c>
    </row>
    <row r="154" spans="1:3" x14ac:dyDescent="0.25">
      <c r="A154" s="86">
        <v>30715537512</v>
      </c>
      <c r="B154" s="71" t="s">
        <v>444</v>
      </c>
      <c r="C154" s="76" t="s">
        <v>54</v>
      </c>
    </row>
    <row r="155" spans="1:3" x14ac:dyDescent="0.25">
      <c r="A155" s="86">
        <v>30537679855</v>
      </c>
      <c r="B155" s="71" t="s">
        <v>411</v>
      </c>
      <c r="C155" s="76" t="s">
        <v>54</v>
      </c>
    </row>
    <row r="156" spans="1:3" x14ac:dyDescent="0.25">
      <c r="A156" s="79" t="s">
        <v>70</v>
      </c>
      <c r="B156" s="95" t="s">
        <v>71</v>
      </c>
      <c r="C156" s="76" t="s">
        <v>36</v>
      </c>
    </row>
    <row r="157" spans="1:3" x14ac:dyDescent="0.25">
      <c r="A157" s="78">
        <v>30708542349</v>
      </c>
      <c r="B157" s="71" t="s">
        <v>563</v>
      </c>
      <c r="C157" s="76" t="s">
        <v>36</v>
      </c>
    </row>
    <row r="158" spans="1:3" x14ac:dyDescent="0.25">
      <c r="A158" s="223">
        <v>30526582884</v>
      </c>
      <c r="B158" s="71" t="s">
        <v>405</v>
      </c>
      <c r="C158" s="76" t="s">
        <v>36</v>
      </c>
    </row>
    <row r="159" spans="1:3" x14ac:dyDescent="0.25">
      <c r="A159" s="86">
        <v>30577744579</v>
      </c>
      <c r="B159" s="71" t="s">
        <v>326</v>
      </c>
      <c r="C159" s="76" t="s">
        <v>36</v>
      </c>
    </row>
    <row r="160" spans="1:3" x14ac:dyDescent="0.25">
      <c r="A160" s="86">
        <v>30715949292</v>
      </c>
      <c r="B160" s="71" t="s">
        <v>511</v>
      </c>
      <c r="C160" s="76" t="s">
        <v>124</v>
      </c>
    </row>
    <row r="161" spans="1:3" x14ac:dyDescent="0.25">
      <c r="A161" s="84">
        <v>30715980807</v>
      </c>
      <c r="B161" s="71" t="s">
        <v>52</v>
      </c>
      <c r="C161" s="76" t="s">
        <v>41</v>
      </c>
    </row>
    <row r="162" spans="1:3" x14ac:dyDescent="0.25">
      <c r="A162" s="78">
        <v>20359718765</v>
      </c>
      <c r="B162" s="71" t="s">
        <v>572</v>
      </c>
      <c r="C162" s="76" t="s">
        <v>54</v>
      </c>
    </row>
    <row r="163" spans="1:3" x14ac:dyDescent="0.25">
      <c r="A163" s="86">
        <v>30643518364</v>
      </c>
      <c r="B163" s="71" t="s">
        <v>562</v>
      </c>
      <c r="C163" s="76" t="s">
        <v>41</v>
      </c>
    </row>
    <row r="164" spans="1:3" x14ac:dyDescent="0.25">
      <c r="A164" s="86">
        <v>30692138747</v>
      </c>
      <c r="B164" s="71" t="s">
        <v>332</v>
      </c>
      <c r="C164" s="76" t="s">
        <v>54</v>
      </c>
    </row>
    <row r="165" spans="1:3" x14ac:dyDescent="0.25">
      <c r="A165" s="223">
        <v>33712234429</v>
      </c>
      <c r="B165" s="71" t="s">
        <v>453</v>
      </c>
      <c r="C165" s="76" t="s">
        <v>54</v>
      </c>
    </row>
    <row r="166" spans="1:3" x14ac:dyDescent="0.25">
      <c r="A166" s="86">
        <v>20353576012</v>
      </c>
      <c r="B166" s="71" t="s">
        <v>234</v>
      </c>
      <c r="C166" s="76" t="s">
        <v>54</v>
      </c>
    </row>
    <row r="167" spans="1:3" x14ac:dyDescent="0.25">
      <c r="A167" s="86">
        <v>20343766441</v>
      </c>
      <c r="B167" s="71" t="s">
        <v>218</v>
      </c>
      <c r="C167" s="76" t="s">
        <v>177</v>
      </c>
    </row>
    <row r="168" spans="1:3" x14ac:dyDescent="0.25">
      <c r="A168" s="83">
        <v>27062343449</v>
      </c>
      <c r="B168" s="75" t="s">
        <v>407</v>
      </c>
      <c r="C168" s="76" t="s">
        <v>36</v>
      </c>
    </row>
    <row r="169" spans="1:3" x14ac:dyDescent="0.25">
      <c r="A169" s="86">
        <v>30676642230</v>
      </c>
      <c r="B169" s="71" t="s">
        <v>463</v>
      </c>
      <c r="C169" s="76" t="s">
        <v>54</v>
      </c>
    </row>
    <row r="170" spans="1:3" x14ac:dyDescent="0.25">
      <c r="A170" s="86">
        <v>30709453293</v>
      </c>
      <c r="B170" s="71" t="s">
        <v>217</v>
      </c>
      <c r="C170" s="76" t="s">
        <v>54</v>
      </c>
    </row>
    <row r="171" spans="1:3" x14ac:dyDescent="0.25">
      <c r="A171" s="223">
        <v>30714690554</v>
      </c>
      <c r="B171" s="71" t="s">
        <v>427</v>
      </c>
      <c r="C171" s="76" t="s">
        <v>54</v>
      </c>
    </row>
    <row r="172" spans="1:3" x14ac:dyDescent="0.25">
      <c r="A172" s="86">
        <v>30716620634</v>
      </c>
      <c r="B172" s="71" t="s">
        <v>566</v>
      </c>
      <c r="C172" s="76" t="s">
        <v>54</v>
      </c>
    </row>
    <row r="173" spans="1:3" x14ac:dyDescent="0.25">
      <c r="A173" s="223">
        <v>30705466021</v>
      </c>
      <c r="B173" s="71" t="s">
        <v>428</v>
      </c>
      <c r="C173" s="76" t="s">
        <v>41</v>
      </c>
    </row>
    <row r="174" spans="1:3" x14ac:dyDescent="0.25">
      <c r="A174" s="86">
        <v>27301358852</v>
      </c>
      <c r="B174" s="71" t="s">
        <v>461</v>
      </c>
      <c r="C174" s="76" t="s">
        <v>36</v>
      </c>
    </row>
    <row r="175" spans="1:3" x14ac:dyDescent="0.25">
      <c r="A175" s="86">
        <v>20314536852</v>
      </c>
      <c r="B175" s="71" t="s">
        <v>546</v>
      </c>
      <c r="C175" s="76" t="s">
        <v>36</v>
      </c>
    </row>
    <row r="176" spans="1:3" x14ac:dyDescent="0.25">
      <c r="A176" s="86">
        <v>30710657250</v>
      </c>
      <c r="B176" s="71" t="s">
        <v>466</v>
      </c>
      <c r="C176" s="76" t="s">
        <v>54</v>
      </c>
    </row>
    <row r="177" spans="1:3" x14ac:dyDescent="0.25">
      <c r="A177" s="83">
        <v>30657418877</v>
      </c>
      <c r="B177" s="75" t="s">
        <v>82</v>
      </c>
      <c r="C177" s="76" t="s">
        <v>80</v>
      </c>
    </row>
    <row r="178" spans="1:3" x14ac:dyDescent="0.25">
      <c r="A178" s="86">
        <v>30708049928</v>
      </c>
      <c r="B178" s="71" t="s">
        <v>449</v>
      </c>
      <c r="C178" s="76" t="s">
        <v>80</v>
      </c>
    </row>
    <row r="179" spans="1:3" x14ac:dyDescent="0.25">
      <c r="A179" s="86">
        <v>20284183534</v>
      </c>
      <c r="B179" s="71" t="s">
        <v>451</v>
      </c>
      <c r="C179" s="76" t="s">
        <v>54</v>
      </c>
    </row>
    <row r="180" spans="1:3" x14ac:dyDescent="0.25">
      <c r="A180" s="84">
        <v>20115545397</v>
      </c>
      <c r="B180" s="75" t="s">
        <v>125</v>
      </c>
      <c r="C180" s="76" t="s">
        <v>51</v>
      </c>
    </row>
    <row r="181" spans="1:3" x14ac:dyDescent="0.25">
      <c r="A181" s="86">
        <v>20211408511</v>
      </c>
      <c r="B181" s="71" t="s">
        <v>487</v>
      </c>
      <c r="C181" s="76" t="s">
        <v>54</v>
      </c>
    </row>
    <row r="182" spans="1:3" x14ac:dyDescent="0.25">
      <c r="A182" s="84">
        <v>27242941301</v>
      </c>
      <c r="B182" s="71" t="s">
        <v>199</v>
      </c>
      <c r="C182" s="76" t="s">
        <v>38</v>
      </c>
    </row>
    <row r="183" spans="1:3" x14ac:dyDescent="0.25">
      <c r="A183" s="86">
        <v>20344800473</v>
      </c>
      <c r="B183" s="71" t="s">
        <v>364</v>
      </c>
      <c r="C183" s="76" t="s">
        <v>41</v>
      </c>
    </row>
    <row r="184" spans="1:3" x14ac:dyDescent="0.25">
      <c r="A184" s="82">
        <v>27204269527</v>
      </c>
      <c r="B184" s="71" t="s">
        <v>50</v>
      </c>
      <c r="C184" s="76" t="s">
        <v>51</v>
      </c>
    </row>
    <row r="185" spans="1:3" x14ac:dyDescent="0.25">
      <c r="A185" s="86">
        <v>30522428163</v>
      </c>
      <c r="B185" s="71" t="s">
        <v>73</v>
      </c>
      <c r="C185" s="76" t="s">
        <v>80</v>
      </c>
    </row>
    <row r="186" spans="1:3" x14ac:dyDescent="0.25">
      <c r="A186" s="86">
        <v>30685228501</v>
      </c>
      <c r="B186" s="75" t="s">
        <v>88</v>
      </c>
      <c r="C186" s="76" t="s">
        <v>80</v>
      </c>
    </row>
    <row r="187" spans="1:3" x14ac:dyDescent="0.25">
      <c r="A187" s="86">
        <v>27061922984</v>
      </c>
      <c r="B187" s="71" t="s">
        <v>224</v>
      </c>
      <c r="C187" s="76" t="s">
        <v>41</v>
      </c>
    </row>
    <row r="188" spans="1:3" x14ac:dyDescent="0.25">
      <c r="A188" s="86">
        <v>27121544917</v>
      </c>
      <c r="B188" s="71" t="s">
        <v>321</v>
      </c>
      <c r="C188" s="76" t="s">
        <v>38</v>
      </c>
    </row>
    <row r="189" spans="1:3" x14ac:dyDescent="0.25">
      <c r="A189" s="86">
        <v>30715567578</v>
      </c>
      <c r="B189" s="71" t="s">
        <v>244</v>
      </c>
      <c r="C189" s="76" t="s">
        <v>54</v>
      </c>
    </row>
    <row r="190" spans="1:3" x14ac:dyDescent="0.25">
      <c r="A190" s="86">
        <v>20186809565</v>
      </c>
      <c r="B190" s="71" t="s">
        <v>214</v>
      </c>
      <c r="C190" s="76" t="s">
        <v>41</v>
      </c>
    </row>
    <row r="191" spans="1:3" x14ac:dyDescent="0.25">
      <c r="A191" s="86">
        <v>23405137119</v>
      </c>
      <c r="B191" s="71" t="s">
        <v>465</v>
      </c>
      <c r="C191" s="76" t="s">
        <v>36</v>
      </c>
    </row>
    <row r="192" spans="1:3" x14ac:dyDescent="0.25">
      <c r="A192" s="86">
        <v>30594549712</v>
      </c>
      <c r="B192" s="71" t="s">
        <v>142</v>
      </c>
      <c r="C192" s="76" t="s">
        <v>54</v>
      </c>
    </row>
    <row r="193" spans="1:3" x14ac:dyDescent="0.25">
      <c r="A193" s="83">
        <v>30708855975</v>
      </c>
      <c r="B193" s="71" t="s">
        <v>40</v>
      </c>
      <c r="C193" s="76" t="s">
        <v>41</v>
      </c>
    </row>
    <row r="194" spans="1:3" x14ac:dyDescent="0.25">
      <c r="A194" s="82">
        <v>30546694263</v>
      </c>
      <c r="B194" s="71" t="s">
        <v>143</v>
      </c>
      <c r="C194" s="76" t="s">
        <v>80</v>
      </c>
    </row>
    <row r="195" spans="1:3" x14ac:dyDescent="0.25">
      <c r="A195" s="86">
        <v>30709737348</v>
      </c>
      <c r="B195" s="71" t="s">
        <v>330</v>
      </c>
      <c r="C195" s="76" t="s">
        <v>41</v>
      </c>
    </row>
    <row r="196" spans="1:3" x14ac:dyDescent="0.25">
      <c r="A196" s="86">
        <v>30690212265</v>
      </c>
      <c r="B196" s="71" t="s">
        <v>584</v>
      </c>
      <c r="C196" s="76" t="s">
        <v>36</v>
      </c>
    </row>
    <row r="197" spans="1:3" x14ac:dyDescent="0.25">
      <c r="A197" s="86">
        <v>27304678165</v>
      </c>
      <c r="B197" s="71" t="s">
        <v>556</v>
      </c>
      <c r="C197" s="76" t="s">
        <v>41</v>
      </c>
    </row>
    <row r="198" spans="1:3" x14ac:dyDescent="0.25">
      <c r="A198" s="84">
        <v>30711950113</v>
      </c>
      <c r="B198" s="71" t="s">
        <v>59</v>
      </c>
      <c r="C198" s="76" t="s">
        <v>41</v>
      </c>
    </row>
    <row r="199" spans="1:3" x14ac:dyDescent="0.25">
      <c r="A199" s="86">
        <v>23076996989</v>
      </c>
      <c r="B199" s="71" t="s">
        <v>235</v>
      </c>
      <c r="C199" s="76" t="s">
        <v>54</v>
      </c>
    </row>
    <row r="200" spans="1:3" x14ac:dyDescent="0.25">
      <c r="A200" s="223">
        <v>33709997489</v>
      </c>
      <c r="B200" s="71" t="s">
        <v>396</v>
      </c>
      <c r="C200" s="76" t="s">
        <v>41</v>
      </c>
    </row>
    <row r="201" spans="1:3" x14ac:dyDescent="0.25">
      <c r="A201" s="86">
        <v>30715621866</v>
      </c>
      <c r="B201" s="71" t="s">
        <v>506</v>
      </c>
      <c r="C201" s="76" t="s">
        <v>124</v>
      </c>
    </row>
    <row r="202" spans="1:3" x14ac:dyDescent="0.25">
      <c r="A202" s="86">
        <v>33710427629</v>
      </c>
      <c r="B202" s="71" t="s">
        <v>585</v>
      </c>
      <c r="C202" s="76" t="s">
        <v>36</v>
      </c>
    </row>
    <row r="203" spans="1:3" x14ac:dyDescent="0.25">
      <c r="A203" s="86">
        <v>20323836427</v>
      </c>
      <c r="B203" s="71" t="s">
        <v>447</v>
      </c>
      <c r="C203" s="76" t="s">
        <v>41</v>
      </c>
    </row>
    <row r="204" spans="1:3" x14ac:dyDescent="0.25">
      <c r="A204" s="84">
        <v>20292887648</v>
      </c>
      <c r="B204" s="71" t="s">
        <v>197</v>
      </c>
      <c r="C204" s="76" t="s">
        <v>41</v>
      </c>
    </row>
    <row r="205" spans="1:3" x14ac:dyDescent="0.25">
      <c r="A205" s="86">
        <v>20077028545</v>
      </c>
      <c r="B205" s="71" t="s">
        <v>414</v>
      </c>
      <c r="C205" s="76" t="s">
        <v>54</v>
      </c>
    </row>
    <row r="206" spans="1:3" x14ac:dyDescent="0.25">
      <c r="A206" s="86">
        <v>20410525888</v>
      </c>
      <c r="B206" s="71" t="s">
        <v>537</v>
      </c>
      <c r="C206" s="76" t="s">
        <v>41</v>
      </c>
    </row>
    <row r="207" spans="1:3" x14ac:dyDescent="0.25">
      <c r="A207" s="86">
        <v>20239531963</v>
      </c>
      <c r="B207" s="71" t="s">
        <v>504</v>
      </c>
      <c r="C207" s="76" t="s">
        <v>41</v>
      </c>
    </row>
    <row r="208" spans="1:3" x14ac:dyDescent="0.25">
      <c r="A208" s="82">
        <v>23920485979</v>
      </c>
      <c r="B208" s="71" t="s">
        <v>64</v>
      </c>
      <c r="C208" s="76" t="s">
        <v>41</v>
      </c>
    </row>
    <row r="209" spans="1:3" x14ac:dyDescent="0.25">
      <c r="A209" s="86">
        <v>30714432865</v>
      </c>
      <c r="B209" s="71" t="s">
        <v>299</v>
      </c>
      <c r="C209" s="76" t="s">
        <v>54</v>
      </c>
    </row>
    <row r="210" spans="1:3" x14ac:dyDescent="0.25">
      <c r="A210" s="86">
        <v>27365928016</v>
      </c>
      <c r="B210" s="71" t="s">
        <v>302</v>
      </c>
      <c r="C210" s="76" t="s">
        <v>177</v>
      </c>
    </row>
    <row r="211" spans="1:3" x14ac:dyDescent="0.25">
      <c r="A211" s="223">
        <v>30712097600</v>
      </c>
      <c r="B211" s="71" t="s">
        <v>343</v>
      </c>
      <c r="C211" s="76" t="s">
        <v>54</v>
      </c>
    </row>
    <row r="212" spans="1:3" x14ac:dyDescent="0.25">
      <c r="A212" s="86">
        <v>30712778403</v>
      </c>
      <c r="B212" s="75" t="s">
        <v>127</v>
      </c>
      <c r="C212" s="76" t="s">
        <v>51</v>
      </c>
    </row>
    <row r="213" spans="1:3" x14ac:dyDescent="0.25">
      <c r="A213" s="223">
        <v>20181426846</v>
      </c>
      <c r="B213" s="71" t="s">
        <v>457</v>
      </c>
      <c r="C213" s="76" t="s">
        <v>54</v>
      </c>
    </row>
    <row r="214" spans="1:3" x14ac:dyDescent="0.25">
      <c r="A214" s="86">
        <v>30663498513</v>
      </c>
      <c r="B214" s="71" t="s">
        <v>433</v>
      </c>
      <c r="C214" s="218" t="s">
        <v>374</v>
      </c>
    </row>
    <row r="215" spans="1:3" x14ac:dyDescent="0.25">
      <c r="A215" s="223">
        <v>30671637689</v>
      </c>
      <c r="B215" s="71" t="s">
        <v>390</v>
      </c>
      <c r="C215" s="76" t="s">
        <v>54</v>
      </c>
    </row>
    <row r="216" spans="1:3" x14ac:dyDescent="0.25">
      <c r="A216" s="86">
        <v>27147827682</v>
      </c>
      <c r="B216" s="75" t="s">
        <v>258</v>
      </c>
      <c r="C216" s="76" t="s">
        <v>38</v>
      </c>
    </row>
    <row r="217" spans="1:3" x14ac:dyDescent="0.25">
      <c r="A217" s="86">
        <v>23175716009</v>
      </c>
      <c r="B217" s="71" t="s">
        <v>473</v>
      </c>
      <c r="C217" s="76" t="s">
        <v>36</v>
      </c>
    </row>
    <row r="218" spans="1:3" x14ac:dyDescent="0.25">
      <c r="A218" s="86">
        <v>30715210904</v>
      </c>
      <c r="B218" s="71" t="s">
        <v>230</v>
      </c>
      <c r="C218" s="76" t="s">
        <v>41</v>
      </c>
    </row>
    <row r="219" spans="1:3" x14ac:dyDescent="0.25">
      <c r="A219" s="86">
        <v>30716770881</v>
      </c>
      <c r="B219" s="71" t="s">
        <v>534</v>
      </c>
      <c r="C219" s="76" t="s">
        <v>54</v>
      </c>
    </row>
    <row r="220" spans="1:3" x14ac:dyDescent="0.25">
      <c r="A220" s="86">
        <v>30710538014</v>
      </c>
      <c r="B220" s="71" t="s">
        <v>372</v>
      </c>
      <c r="C220" s="76" t="s">
        <v>80</v>
      </c>
    </row>
    <row r="221" spans="1:3" x14ac:dyDescent="0.25">
      <c r="A221" s="223">
        <v>20351722585</v>
      </c>
      <c r="B221" s="71" t="s">
        <v>456</v>
      </c>
      <c r="C221" s="76" t="s">
        <v>41</v>
      </c>
    </row>
    <row r="222" spans="1:3" x14ac:dyDescent="0.25">
      <c r="A222" s="223">
        <v>27165813893</v>
      </c>
      <c r="B222" s="71" t="s">
        <v>458</v>
      </c>
      <c r="C222" s="76" t="s">
        <v>41</v>
      </c>
    </row>
    <row r="223" spans="1:3" x14ac:dyDescent="0.25">
      <c r="A223" s="78">
        <v>23219640269</v>
      </c>
      <c r="B223" s="71" t="s">
        <v>241</v>
      </c>
      <c r="C223" s="76" t="s">
        <v>41</v>
      </c>
    </row>
    <row r="224" spans="1:3" x14ac:dyDescent="0.25">
      <c r="A224" s="86">
        <v>30710095171</v>
      </c>
      <c r="B224" s="71" t="s">
        <v>225</v>
      </c>
      <c r="C224" s="76" t="s">
        <v>41</v>
      </c>
    </row>
    <row r="225" spans="1:3" x14ac:dyDescent="0.25">
      <c r="A225" s="86">
        <v>20295867931</v>
      </c>
      <c r="B225" s="71" t="s">
        <v>430</v>
      </c>
      <c r="C225" s="76" t="s">
        <v>54</v>
      </c>
    </row>
    <row r="226" spans="1:3" x14ac:dyDescent="0.25">
      <c r="A226" s="86">
        <v>20361556691</v>
      </c>
      <c r="B226" s="71" t="s">
        <v>337</v>
      </c>
      <c r="C226" s="76" t="s">
        <v>54</v>
      </c>
    </row>
    <row r="227" spans="1:3" x14ac:dyDescent="0.25">
      <c r="A227" s="86">
        <v>20313759246</v>
      </c>
      <c r="B227" s="75" t="s">
        <v>168</v>
      </c>
      <c r="C227" s="76" t="s">
        <v>169</v>
      </c>
    </row>
    <row r="228" spans="1:3" x14ac:dyDescent="0.25">
      <c r="A228" s="86">
        <v>20186310838</v>
      </c>
      <c r="B228" s="71" t="s">
        <v>491</v>
      </c>
      <c r="C228" s="76" t="s">
        <v>41</v>
      </c>
    </row>
    <row r="229" spans="1:3" x14ac:dyDescent="0.25">
      <c r="A229" s="86">
        <v>30576630057</v>
      </c>
      <c r="B229" s="71" t="s">
        <v>331</v>
      </c>
      <c r="C229" s="76" t="s">
        <v>54</v>
      </c>
    </row>
    <row r="230" spans="1:3" x14ac:dyDescent="0.25">
      <c r="A230" s="83">
        <v>30714122718</v>
      </c>
      <c r="B230" s="71" t="s">
        <v>173</v>
      </c>
      <c r="C230" s="76" t="s">
        <v>41</v>
      </c>
    </row>
    <row r="231" spans="1:3" x14ac:dyDescent="0.25">
      <c r="A231" s="82">
        <v>30714696153</v>
      </c>
      <c r="B231" s="71" t="s">
        <v>61</v>
      </c>
      <c r="C231" s="76" t="s">
        <v>41</v>
      </c>
    </row>
    <row r="232" spans="1:3" x14ac:dyDescent="0.25">
      <c r="A232" s="86">
        <v>20242126158</v>
      </c>
      <c r="B232" s="71" t="s">
        <v>357</v>
      </c>
      <c r="C232" s="76" t="s">
        <v>41</v>
      </c>
    </row>
    <row r="233" spans="1:3" x14ac:dyDescent="0.25">
      <c r="A233" s="86">
        <v>20309759444</v>
      </c>
      <c r="B233" s="71" t="s">
        <v>575</v>
      </c>
      <c r="C233" s="76" t="s">
        <v>41</v>
      </c>
    </row>
    <row r="234" spans="1:3" x14ac:dyDescent="0.25">
      <c r="A234" s="86">
        <v>30712289046</v>
      </c>
      <c r="B234" s="71" t="s">
        <v>369</v>
      </c>
      <c r="C234" s="76" t="s">
        <v>54</v>
      </c>
    </row>
    <row r="235" spans="1:3" x14ac:dyDescent="0.25">
      <c r="A235" s="86">
        <v>30687310434</v>
      </c>
      <c r="B235" s="71" t="s">
        <v>153</v>
      </c>
      <c r="C235" s="76" t="s">
        <v>54</v>
      </c>
    </row>
    <row r="236" spans="1:3" x14ac:dyDescent="0.25">
      <c r="A236" s="86">
        <v>30687310434</v>
      </c>
      <c r="B236" s="71" t="s">
        <v>304</v>
      </c>
      <c r="C236" s="76" t="s">
        <v>54</v>
      </c>
    </row>
    <row r="237" spans="1:3" x14ac:dyDescent="0.25">
      <c r="A237" s="86">
        <v>30515800219</v>
      </c>
      <c r="B237" s="71" t="s">
        <v>158</v>
      </c>
      <c r="C237" s="76" t="s">
        <v>54</v>
      </c>
    </row>
    <row r="238" spans="1:3" x14ac:dyDescent="0.25">
      <c r="A238" s="86">
        <v>30651822021</v>
      </c>
      <c r="B238" s="71" t="s">
        <v>263</v>
      </c>
      <c r="C238" s="76" t="s">
        <v>41</v>
      </c>
    </row>
    <row r="239" spans="1:3" x14ac:dyDescent="0.25">
      <c r="A239" s="83">
        <v>30598739540</v>
      </c>
      <c r="B239" s="75" t="s">
        <v>84</v>
      </c>
      <c r="C239" s="76" t="s">
        <v>80</v>
      </c>
    </row>
    <row r="240" spans="1:3" x14ac:dyDescent="0.25">
      <c r="A240" s="223">
        <v>30554807301</v>
      </c>
      <c r="B240" s="71" t="s">
        <v>238</v>
      </c>
      <c r="C240" s="76" t="s">
        <v>54</v>
      </c>
    </row>
    <row r="241" spans="1:3" x14ac:dyDescent="0.25">
      <c r="A241" s="86">
        <v>30697558868</v>
      </c>
      <c r="B241" s="71" t="s">
        <v>76</v>
      </c>
      <c r="C241" s="76" t="s">
        <v>80</v>
      </c>
    </row>
    <row r="242" spans="1:3" x14ac:dyDescent="0.25">
      <c r="A242" s="86">
        <v>33708345399</v>
      </c>
      <c r="B242" s="71" t="s">
        <v>249</v>
      </c>
      <c r="C242" s="76" t="s">
        <v>41</v>
      </c>
    </row>
    <row r="243" spans="1:3" x14ac:dyDescent="0.25">
      <c r="A243" s="86">
        <v>30999077508</v>
      </c>
      <c r="B243" s="75" t="s">
        <v>89</v>
      </c>
      <c r="C243" s="76" t="s">
        <v>80</v>
      </c>
    </row>
    <row r="244" spans="1:3" x14ac:dyDescent="0.25">
      <c r="A244" s="86">
        <v>30708214813</v>
      </c>
      <c r="B244" s="71" t="s">
        <v>294</v>
      </c>
      <c r="C244" s="76" t="s">
        <v>41</v>
      </c>
    </row>
    <row r="245" spans="1:3" x14ac:dyDescent="0.25">
      <c r="A245" s="86">
        <v>23368458449</v>
      </c>
      <c r="B245" s="71" t="s">
        <v>443</v>
      </c>
      <c r="C245" s="76" t="s">
        <v>36</v>
      </c>
    </row>
    <row r="246" spans="1:3" x14ac:dyDescent="0.25">
      <c r="A246" s="86">
        <v>30707758682</v>
      </c>
      <c r="B246" s="71" t="s">
        <v>208</v>
      </c>
      <c r="C246" s="76" t="s">
        <v>80</v>
      </c>
    </row>
    <row r="247" spans="1:3" x14ac:dyDescent="0.25">
      <c r="A247" s="83">
        <v>30712187316</v>
      </c>
      <c r="B247" s="71" t="s">
        <v>68</v>
      </c>
      <c r="C247" s="76" t="s">
        <v>41</v>
      </c>
    </row>
    <row r="248" spans="1:3" x14ac:dyDescent="0.25">
      <c r="A248" s="86">
        <v>30547076679</v>
      </c>
      <c r="B248" s="71" t="s">
        <v>269</v>
      </c>
      <c r="C248" s="76" t="s">
        <v>54</v>
      </c>
    </row>
    <row r="249" spans="1:3" x14ac:dyDescent="0.25">
      <c r="A249" s="86">
        <v>30715123483</v>
      </c>
      <c r="B249" s="71" t="s">
        <v>278</v>
      </c>
      <c r="C249" s="76" t="s">
        <v>36</v>
      </c>
    </row>
    <row r="250" spans="1:3" x14ac:dyDescent="0.25">
      <c r="A250" s="86">
        <v>30708936762</v>
      </c>
      <c r="B250" s="71" t="s">
        <v>267</v>
      </c>
      <c r="C250" s="76" t="s">
        <v>54</v>
      </c>
    </row>
    <row r="251" spans="1:3" x14ac:dyDescent="0.25">
      <c r="A251" s="86">
        <v>30715937006</v>
      </c>
      <c r="B251" s="71" t="s">
        <v>293</v>
      </c>
      <c r="C251" s="76" t="s">
        <v>41</v>
      </c>
    </row>
    <row r="252" spans="1:3" x14ac:dyDescent="0.25">
      <c r="A252" s="86">
        <v>20167226524</v>
      </c>
      <c r="B252" s="71" t="s">
        <v>469</v>
      </c>
      <c r="C252" s="76" t="s">
        <v>54</v>
      </c>
    </row>
    <row r="253" spans="1:3" x14ac:dyDescent="0.25">
      <c r="A253" s="86">
        <v>33707660509</v>
      </c>
      <c r="B253" s="71" t="s">
        <v>503</v>
      </c>
      <c r="C253" s="76" t="s">
        <v>54</v>
      </c>
    </row>
    <row r="254" spans="1:3" x14ac:dyDescent="0.25">
      <c r="A254" s="86">
        <v>20244271740</v>
      </c>
      <c r="B254" s="71" t="s">
        <v>288</v>
      </c>
      <c r="C254" s="76" t="s">
        <v>41</v>
      </c>
    </row>
    <row r="255" spans="1:3" x14ac:dyDescent="0.25">
      <c r="A255" s="86">
        <v>20182999661</v>
      </c>
      <c r="B255" s="75" t="s">
        <v>137</v>
      </c>
      <c r="C255" s="76" t="s">
        <v>54</v>
      </c>
    </row>
    <row r="256" spans="1:3" x14ac:dyDescent="0.25">
      <c r="A256" s="86">
        <v>20924962756</v>
      </c>
      <c r="B256" s="71" t="s">
        <v>232</v>
      </c>
      <c r="C256" s="76" t="s">
        <v>41</v>
      </c>
    </row>
    <row r="257" spans="1:3" x14ac:dyDescent="0.25">
      <c r="A257" s="86">
        <v>23941647804</v>
      </c>
      <c r="B257" s="75" t="s">
        <v>166</v>
      </c>
      <c r="C257" s="76" t="s">
        <v>38</v>
      </c>
    </row>
    <row r="258" spans="1:3" x14ac:dyDescent="0.25">
      <c r="A258" s="78">
        <v>27310367813</v>
      </c>
      <c r="B258" s="71" t="s">
        <v>567</v>
      </c>
      <c r="C258" s="76" t="s">
        <v>41</v>
      </c>
    </row>
    <row r="259" spans="1:3" x14ac:dyDescent="0.25">
      <c r="A259" s="78">
        <v>30709046779</v>
      </c>
      <c r="B259" s="71" t="s">
        <v>296</v>
      </c>
      <c r="C259" s="76" t="s">
        <v>41</v>
      </c>
    </row>
    <row r="260" spans="1:3" x14ac:dyDescent="0.25">
      <c r="A260" s="78">
        <v>30711645884</v>
      </c>
      <c r="B260" s="71" t="s">
        <v>598</v>
      </c>
      <c r="C260" s="76" t="s">
        <v>54</v>
      </c>
    </row>
    <row r="261" spans="1:3" x14ac:dyDescent="0.25">
      <c r="A261" s="79">
        <v>27304914071</v>
      </c>
      <c r="B261" s="75" t="s">
        <v>200</v>
      </c>
      <c r="C261" s="76" t="s">
        <v>43</v>
      </c>
    </row>
    <row r="262" spans="1:3" x14ac:dyDescent="0.25">
      <c r="A262" s="78">
        <v>20220423655</v>
      </c>
      <c r="B262" s="75" t="s">
        <v>175</v>
      </c>
      <c r="C262" s="76" t="s">
        <v>41</v>
      </c>
    </row>
    <row r="263" spans="1:3" x14ac:dyDescent="0.25">
      <c r="A263" s="192">
        <v>20393873583</v>
      </c>
      <c r="B263" s="71" t="s">
        <v>582</v>
      </c>
      <c r="C263" s="76" t="s">
        <v>54</v>
      </c>
    </row>
    <row r="264" spans="1:3" x14ac:dyDescent="0.25">
      <c r="A264" s="78">
        <v>30525468956</v>
      </c>
      <c r="B264" s="71" t="s">
        <v>295</v>
      </c>
      <c r="C264" s="76" t="s">
        <v>41</v>
      </c>
    </row>
    <row r="265" spans="1:3" x14ac:dyDescent="0.25">
      <c r="A265" s="192">
        <v>30701950883</v>
      </c>
      <c r="B265" s="71" t="s">
        <v>353</v>
      </c>
      <c r="C265" s="76" t="s">
        <v>54</v>
      </c>
    </row>
    <row r="266" spans="1:3" x14ac:dyDescent="0.25">
      <c r="A266" s="86">
        <v>30540019297</v>
      </c>
      <c r="B266" s="71" t="s">
        <v>498</v>
      </c>
      <c r="C266" s="76" t="s">
        <v>54</v>
      </c>
    </row>
    <row r="267" spans="1:3" x14ac:dyDescent="0.25">
      <c r="A267" s="78">
        <v>30686525607</v>
      </c>
      <c r="B267" s="71" t="s">
        <v>500</v>
      </c>
      <c r="C267" s="76" t="s">
        <v>54</v>
      </c>
    </row>
    <row r="268" spans="1:3" x14ac:dyDescent="0.25">
      <c r="A268" s="86">
        <v>23945201304</v>
      </c>
      <c r="B268" s="71" t="s">
        <v>368</v>
      </c>
      <c r="C268" s="76" t="s">
        <v>41</v>
      </c>
    </row>
    <row r="269" spans="1:3" x14ac:dyDescent="0.25">
      <c r="A269" s="192">
        <v>30712019359</v>
      </c>
      <c r="B269" s="71" t="s">
        <v>395</v>
      </c>
      <c r="C269" s="76" t="s">
        <v>41</v>
      </c>
    </row>
    <row r="270" spans="1:3" x14ac:dyDescent="0.25">
      <c r="A270" s="78">
        <v>20160503336</v>
      </c>
      <c r="B270" s="71" t="s">
        <v>590</v>
      </c>
      <c r="C270" s="76" t="s">
        <v>54</v>
      </c>
    </row>
    <row r="271" spans="1:3" x14ac:dyDescent="0.25">
      <c r="A271" s="78">
        <v>27129657710</v>
      </c>
      <c r="B271" s="71" t="s">
        <v>579</v>
      </c>
      <c r="C271" s="76" t="s">
        <v>41</v>
      </c>
    </row>
    <row r="272" spans="1:3" x14ac:dyDescent="0.25">
      <c r="A272" s="84">
        <v>30711244383</v>
      </c>
      <c r="B272" s="71" t="s">
        <v>179</v>
      </c>
      <c r="C272" s="76" t="s">
        <v>80</v>
      </c>
    </row>
    <row r="273" spans="1:3" x14ac:dyDescent="0.25">
      <c r="A273" s="86">
        <v>30709879258</v>
      </c>
      <c r="B273" s="71" t="s">
        <v>486</v>
      </c>
      <c r="C273" s="76" t="s">
        <v>36</v>
      </c>
    </row>
    <row r="274" spans="1:3" x14ac:dyDescent="0.25">
      <c r="A274" s="86">
        <v>20180429388</v>
      </c>
      <c r="B274" s="71" t="s">
        <v>448</v>
      </c>
      <c r="C274" s="76" t="s">
        <v>41</v>
      </c>
    </row>
    <row r="275" spans="1:3" x14ac:dyDescent="0.25">
      <c r="A275" s="86">
        <v>30716229552</v>
      </c>
      <c r="B275" s="71" t="s">
        <v>576</v>
      </c>
      <c r="C275" s="76" t="s">
        <v>54</v>
      </c>
    </row>
    <row r="276" spans="1:3" x14ac:dyDescent="0.25">
      <c r="A276" s="86">
        <v>30643700952</v>
      </c>
      <c r="B276" s="71" t="s">
        <v>515</v>
      </c>
      <c r="C276" s="76" t="s">
        <v>41</v>
      </c>
    </row>
    <row r="277" spans="1:3" x14ac:dyDescent="0.25">
      <c r="A277" s="86">
        <v>30712448586</v>
      </c>
      <c r="B277" s="71" t="s">
        <v>441</v>
      </c>
      <c r="C277" s="76" t="s">
        <v>54</v>
      </c>
    </row>
    <row r="278" spans="1:3" x14ac:dyDescent="0.25">
      <c r="A278" s="86">
        <v>20929183143</v>
      </c>
      <c r="B278" s="71" t="s">
        <v>472</v>
      </c>
      <c r="C278" s="76" t="s">
        <v>54</v>
      </c>
    </row>
    <row r="279" spans="1:3" x14ac:dyDescent="0.25">
      <c r="A279" s="82">
        <v>27385671526</v>
      </c>
      <c r="B279" s="71" t="s">
        <v>193</v>
      </c>
      <c r="C279" s="76" t="s">
        <v>41</v>
      </c>
    </row>
    <row r="280" spans="1:3" x14ac:dyDescent="0.25">
      <c r="A280" s="78">
        <v>30657715383</v>
      </c>
      <c r="B280" s="71" t="s">
        <v>594</v>
      </c>
      <c r="C280" s="76" t="s">
        <v>54</v>
      </c>
    </row>
    <row r="281" spans="1:3" x14ac:dyDescent="0.25">
      <c r="A281" s="86">
        <v>30715589032</v>
      </c>
      <c r="B281" s="71" t="s">
        <v>351</v>
      </c>
      <c r="C281" s="76" t="s">
        <v>41</v>
      </c>
    </row>
    <row r="282" spans="1:3" x14ac:dyDescent="0.25">
      <c r="A282" s="86">
        <v>27119876171</v>
      </c>
      <c r="B282" s="71" t="s">
        <v>78</v>
      </c>
      <c r="C282" s="76" t="s">
        <v>80</v>
      </c>
    </row>
    <row r="283" spans="1:3" x14ac:dyDescent="0.25">
      <c r="A283" s="86">
        <v>33708218699</v>
      </c>
      <c r="B283" s="71" t="s">
        <v>529</v>
      </c>
      <c r="C283" s="76" t="s">
        <v>54</v>
      </c>
    </row>
    <row r="284" spans="1:3" x14ac:dyDescent="0.25">
      <c r="A284" s="86">
        <v>27251466756</v>
      </c>
      <c r="B284" s="71" t="s">
        <v>327</v>
      </c>
      <c r="C284" s="76" t="s">
        <v>38</v>
      </c>
    </row>
    <row r="285" spans="1:3" x14ac:dyDescent="0.25">
      <c r="A285" s="86">
        <v>27101420391</v>
      </c>
      <c r="B285" s="71" t="s">
        <v>228</v>
      </c>
      <c r="C285" s="76" t="s">
        <v>41</v>
      </c>
    </row>
    <row r="286" spans="1:3" x14ac:dyDescent="0.25">
      <c r="A286" s="86">
        <v>27228778937</v>
      </c>
      <c r="B286" s="71" t="s">
        <v>138</v>
      </c>
      <c r="C286" s="76" t="s">
        <v>41</v>
      </c>
    </row>
    <row r="287" spans="1:3" x14ac:dyDescent="0.25">
      <c r="A287" s="86">
        <v>20202134700</v>
      </c>
      <c r="B287" s="75" t="s">
        <v>120</v>
      </c>
      <c r="C287" s="76" t="s">
        <v>43</v>
      </c>
    </row>
    <row r="288" spans="1:3" x14ac:dyDescent="0.25">
      <c r="A288" s="78">
        <v>27256001980</v>
      </c>
      <c r="B288" s="71" t="s">
        <v>540</v>
      </c>
      <c r="C288" s="76" t="s">
        <v>38</v>
      </c>
    </row>
    <row r="289" spans="1:3" x14ac:dyDescent="0.25">
      <c r="A289" s="86">
        <v>30678628324</v>
      </c>
      <c r="B289" s="71" t="s">
        <v>328</v>
      </c>
      <c r="C289" s="76" t="s">
        <v>54</v>
      </c>
    </row>
    <row r="290" spans="1:3" x14ac:dyDescent="0.25">
      <c r="A290" s="223">
        <v>27232408737</v>
      </c>
      <c r="B290" s="71" t="s">
        <v>389</v>
      </c>
      <c r="C290" s="76" t="s">
        <v>54</v>
      </c>
    </row>
    <row r="291" spans="1:3" x14ac:dyDescent="0.25">
      <c r="A291" s="86">
        <v>30705740670</v>
      </c>
      <c r="B291" s="71" t="s">
        <v>324</v>
      </c>
      <c r="C291" s="76" t="s">
        <v>54</v>
      </c>
    </row>
    <row r="292" spans="1:3" x14ac:dyDescent="0.25">
      <c r="A292" s="86">
        <v>30710361351</v>
      </c>
      <c r="B292" s="71" t="s">
        <v>490</v>
      </c>
      <c r="C292" s="76" t="s">
        <v>54</v>
      </c>
    </row>
    <row r="293" spans="1:3" x14ac:dyDescent="0.25">
      <c r="A293" s="86">
        <v>30612865333</v>
      </c>
      <c r="B293" s="71" t="s">
        <v>367</v>
      </c>
      <c r="C293" s="76" t="s">
        <v>54</v>
      </c>
    </row>
    <row r="294" spans="1:3" x14ac:dyDescent="0.25">
      <c r="A294" s="86">
        <v>30707042679</v>
      </c>
      <c r="B294" s="71" t="s">
        <v>151</v>
      </c>
      <c r="C294" s="76" t="s">
        <v>41</v>
      </c>
    </row>
    <row r="295" spans="1:3" x14ac:dyDescent="0.25">
      <c r="A295" s="223">
        <v>30710912579</v>
      </c>
      <c r="B295" s="71" t="s">
        <v>394</v>
      </c>
      <c r="C295" s="76" t="s">
        <v>41</v>
      </c>
    </row>
    <row r="296" spans="1:3" x14ac:dyDescent="0.25">
      <c r="A296" s="78">
        <v>30658035033</v>
      </c>
      <c r="B296" s="71" t="s">
        <v>543</v>
      </c>
      <c r="C296" s="76" t="s">
        <v>80</v>
      </c>
    </row>
    <row r="297" spans="1:3" x14ac:dyDescent="0.25">
      <c r="A297" s="78">
        <v>30546771314</v>
      </c>
      <c r="B297" s="71" t="s">
        <v>79</v>
      </c>
      <c r="C297" s="76" t="s">
        <v>80</v>
      </c>
    </row>
    <row r="298" spans="1:3" x14ac:dyDescent="0.25">
      <c r="A298" s="78">
        <v>20299835260</v>
      </c>
      <c r="B298" s="71" t="s">
        <v>526</v>
      </c>
      <c r="C298" s="76" t="s">
        <v>41</v>
      </c>
    </row>
    <row r="299" spans="1:3" x14ac:dyDescent="0.25">
      <c r="A299" s="78">
        <v>30710816049</v>
      </c>
      <c r="B299" s="71" t="s">
        <v>46</v>
      </c>
      <c r="C299" s="76" t="s">
        <v>41</v>
      </c>
    </row>
    <row r="300" spans="1:3" x14ac:dyDescent="0.25">
      <c r="A300" s="78">
        <v>30703088534</v>
      </c>
      <c r="B300" s="71" t="s">
        <v>226</v>
      </c>
      <c r="C300" s="76" t="s">
        <v>41</v>
      </c>
    </row>
    <row r="301" spans="1:3" x14ac:dyDescent="0.25">
      <c r="A301" s="86">
        <v>30711350213</v>
      </c>
      <c r="B301" s="71" t="s">
        <v>255</v>
      </c>
      <c r="C301" s="76" t="s">
        <v>41</v>
      </c>
    </row>
    <row r="302" spans="1:3" x14ac:dyDescent="0.25">
      <c r="A302" s="86">
        <v>30709016012</v>
      </c>
      <c r="B302" s="71" t="s">
        <v>77</v>
      </c>
      <c r="C302" s="76" t="s">
        <v>80</v>
      </c>
    </row>
    <row r="303" spans="1:3" x14ac:dyDescent="0.25">
      <c r="A303" s="78">
        <v>20182095215</v>
      </c>
      <c r="B303" s="71" t="s">
        <v>204</v>
      </c>
      <c r="C303" s="76" t="s">
        <v>205</v>
      </c>
    </row>
    <row r="304" spans="1:3" x14ac:dyDescent="0.25">
      <c r="A304" s="35">
        <v>20265153209</v>
      </c>
      <c r="B304" s="71" t="s">
        <v>397</v>
      </c>
      <c r="C304" s="76" t="s">
        <v>36</v>
      </c>
    </row>
    <row r="305" spans="1:3" x14ac:dyDescent="0.25">
      <c r="A305" s="78">
        <v>30685116657</v>
      </c>
      <c r="B305" s="71" t="s">
        <v>322</v>
      </c>
      <c r="C305" s="76" t="s">
        <v>54</v>
      </c>
    </row>
    <row r="306" spans="1:3" x14ac:dyDescent="0.25">
      <c r="A306" s="78">
        <v>30715224468</v>
      </c>
      <c r="B306" s="71" t="s">
        <v>551</v>
      </c>
      <c r="C306" s="76" t="s">
        <v>41</v>
      </c>
    </row>
    <row r="307" spans="1:3" x14ac:dyDescent="0.25">
      <c r="A307" s="80">
        <v>20291935401</v>
      </c>
      <c r="B307" s="75" t="s">
        <v>132</v>
      </c>
      <c r="C307" s="76" t="s">
        <v>41</v>
      </c>
    </row>
    <row r="308" spans="1:3" x14ac:dyDescent="0.25">
      <c r="A308" s="86">
        <v>27250643182</v>
      </c>
      <c r="B308" s="71" t="s">
        <v>431</v>
      </c>
      <c r="C308" s="76" t="s">
        <v>54</v>
      </c>
    </row>
    <row r="309" spans="1:3" x14ac:dyDescent="0.25">
      <c r="A309" s="78">
        <v>30708150351</v>
      </c>
      <c r="B309" s="71" t="s">
        <v>523</v>
      </c>
      <c r="C309" s="76" t="s">
        <v>54</v>
      </c>
    </row>
    <row r="310" spans="1:3" x14ac:dyDescent="0.25">
      <c r="A310" s="78">
        <v>20127096733</v>
      </c>
      <c r="B310" s="71" t="s">
        <v>440</v>
      </c>
      <c r="C310" s="76" t="s">
        <v>41</v>
      </c>
    </row>
    <row r="311" spans="1:3" x14ac:dyDescent="0.25">
      <c r="A311" s="78">
        <v>27202892936</v>
      </c>
      <c r="B311" s="71" t="s">
        <v>376</v>
      </c>
      <c r="C311" s="76" t="s">
        <v>41</v>
      </c>
    </row>
    <row r="312" spans="1:3" x14ac:dyDescent="0.25">
      <c r="A312" s="78">
        <v>30709242888</v>
      </c>
      <c r="B312" s="71" t="s">
        <v>312</v>
      </c>
      <c r="C312" s="76" t="s">
        <v>41</v>
      </c>
    </row>
    <row r="313" spans="1:3" x14ac:dyDescent="0.25">
      <c r="A313" s="78">
        <v>30708823151</v>
      </c>
      <c r="B313" s="71" t="s">
        <v>518</v>
      </c>
      <c r="C313" s="76" t="s">
        <v>41</v>
      </c>
    </row>
    <row r="314" spans="1:3" x14ac:dyDescent="0.25">
      <c r="A314" s="78">
        <v>20045461611</v>
      </c>
      <c r="B314" s="71" t="s">
        <v>479</v>
      </c>
      <c r="C314" s="76" t="s">
        <v>54</v>
      </c>
    </row>
    <row r="315" spans="1:3" x14ac:dyDescent="0.25">
      <c r="A315" s="224">
        <v>23306035444</v>
      </c>
      <c r="B315" s="71" t="s">
        <v>350</v>
      </c>
      <c r="C315" s="76" t="s">
        <v>41</v>
      </c>
    </row>
    <row r="316" spans="1:3" x14ac:dyDescent="0.25">
      <c r="A316" s="86">
        <v>20174004146</v>
      </c>
      <c r="B316" s="71" t="s">
        <v>399</v>
      </c>
      <c r="C316" s="76" t="s">
        <v>36</v>
      </c>
    </row>
    <row r="317" spans="1:3" x14ac:dyDescent="0.25">
      <c r="A317" s="86">
        <v>20334976433</v>
      </c>
      <c r="B317" s="71" t="s">
        <v>501</v>
      </c>
      <c r="C317" s="76" t="s">
        <v>36</v>
      </c>
    </row>
    <row r="318" spans="1:3" x14ac:dyDescent="0.25">
      <c r="A318" s="78">
        <v>20315107807</v>
      </c>
      <c r="B318" s="71" t="s">
        <v>35</v>
      </c>
      <c r="C318" s="76" t="s">
        <v>36</v>
      </c>
    </row>
    <row r="319" spans="1:3" x14ac:dyDescent="0.25">
      <c r="A319" s="86">
        <v>20363081755</v>
      </c>
      <c r="B319" s="71" t="s">
        <v>325</v>
      </c>
      <c r="C319" s="76" t="s">
        <v>36</v>
      </c>
    </row>
    <row r="320" spans="1:3" x14ac:dyDescent="0.25">
      <c r="A320" s="82">
        <v>20232991527</v>
      </c>
      <c r="B320" s="71" t="s">
        <v>56</v>
      </c>
      <c r="C320" s="76" t="s">
        <v>41</v>
      </c>
    </row>
    <row r="321" spans="1:3" x14ac:dyDescent="0.25">
      <c r="A321" s="86">
        <v>30715515012</v>
      </c>
      <c r="B321" s="71" t="s">
        <v>548</v>
      </c>
      <c r="C321" s="76" t="s">
        <v>124</v>
      </c>
    </row>
    <row r="322" spans="1:3" x14ac:dyDescent="0.25">
      <c r="A322" s="86">
        <v>30714773255</v>
      </c>
      <c r="B322" s="71" t="s">
        <v>253</v>
      </c>
      <c r="C322" s="76" t="s">
        <v>54</v>
      </c>
    </row>
    <row r="323" spans="1:3" x14ac:dyDescent="0.25">
      <c r="A323" s="84">
        <v>30715284142</v>
      </c>
      <c r="B323" s="71" t="s">
        <v>198</v>
      </c>
      <c r="C323" s="76" t="s">
        <v>54</v>
      </c>
    </row>
    <row r="324" spans="1:3" x14ac:dyDescent="0.25">
      <c r="A324" s="86">
        <v>30717179389</v>
      </c>
      <c r="B324" s="71" t="s">
        <v>586</v>
      </c>
      <c r="C324" s="76" t="s">
        <v>54</v>
      </c>
    </row>
    <row r="325" spans="1:3" x14ac:dyDescent="0.25">
      <c r="A325" s="86">
        <v>20171082464</v>
      </c>
      <c r="B325" s="71" t="s">
        <v>464</v>
      </c>
      <c r="C325" s="76" t="s">
        <v>54</v>
      </c>
    </row>
    <row r="326" spans="1:3" x14ac:dyDescent="0.25">
      <c r="A326" s="78">
        <v>30709318965</v>
      </c>
      <c r="B326" s="71" t="s">
        <v>445</v>
      </c>
      <c r="C326" s="76" t="s">
        <v>41</v>
      </c>
    </row>
    <row r="327" spans="1:3" x14ac:dyDescent="0.25">
      <c r="A327" s="86">
        <v>30702652975</v>
      </c>
      <c r="B327" s="71" t="s">
        <v>303</v>
      </c>
      <c r="C327" s="76" t="s">
        <v>39</v>
      </c>
    </row>
    <row r="328" spans="1:3" x14ac:dyDescent="0.25">
      <c r="A328" s="82">
        <v>30715399519</v>
      </c>
      <c r="B328" s="75" t="s">
        <v>130</v>
      </c>
      <c r="C328" s="76" t="s">
        <v>131</v>
      </c>
    </row>
    <row r="329" spans="1:3" x14ac:dyDescent="0.25">
      <c r="A329" s="86">
        <v>20222347719</v>
      </c>
      <c r="B329" s="71" t="s">
        <v>565</v>
      </c>
      <c r="C329" s="76" t="s">
        <v>54</v>
      </c>
    </row>
    <row r="330" spans="1:3" x14ac:dyDescent="0.25">
      <c r="A330" s="86">
        <v>30536259194</v>
      </c>
      <c r="B330" s="75" t="s">
        <v>129</v>
      </c>
      <c r="C330" s="76" t="s">
        <v>36</v>
      </c>
    </row>
    <row r="331" spans="1:3" x14ac:dyDescent="0.25">
      <c r="A331" s="224">
        <v>27209647252</v>
      </c>
      <c r="B331" s="71" t="s">
        <v>413</v>
      </c>
      <c r="C331" s="76" t="s">
        <v>41</v>
      </c>
    </row>
    <row r="332" spans="1:3" x14ac:dyDescent="0.25">
      <c r="A332" s="86">
        <v>30646217977</v>
      </c>
      <c r="B332" s="71" t="s">
        <v>482</v>
      </c>
      <c r="C332" s="76" t="s">
        <v>80</v>
      </c>
    </row>
    <row r="333" spans="1:3" x14ac:dyDescent="0.25">
      <c r="A333" s="86">
        <v>30500053522</v>
      </c>
      <c r="B333" s="71" t="s">
        <v>72</v>
      </c>
      <c r="C333" s="76" t="s">
        <v>80</v>
      </c>
    </row>
    <row r="334" spans="1:3" x14ac:dyDescent="0.25">
      <c r="A334" s="86">
        <v>30546846217</v>
      </c>
      <c r="B334" s="75" t="s">
        <v>254</v>
      </c>
      <c r="C334" s="76" t="s">
        <v>80</v>
      </c>
    </row>
    <row r="335" spans="1:3" x14ac:dyDescent="0.25">
      <c r="A335" s="78">
        <v>30717024393</v>
      </c>
      <c r="B335" s="71" t="s">
        <v>542</v>
      </c>
      <c r="C335" s="76" t="s">
        <v>54</v>
      </c>
    </row>
    <row r="336" spans="1:3" x14ac:dyDescent="0.25">
      <c r="A336" s="78">
        <v>27405786066</v>
      </c>
      <c r="B336" s="71" t="s">
        <v>300</v>
      </c>
      <c r="C336" s="76" t="s">
        <v>54</v>
      </c>
    </row>
    <row r="337" spans="1:3" x14ac:dyDescent="0.25">
      <c r="A337" s="78">
        <v>23383224829</v>
      </c>
      <c r="B337" s="71" t="s">
        <v>502</v>
      </c>
      <c r="C337" s="76" t="s">
        <v>38</v>
      </c>
    </row>
    <row r="338" spans="1:3" x14ac:dyDescent="0.25">
      <c r="A338" s="78">
        <v>23411502619</v>
      </c>
      <c r="B338" s="71" t="s">
        <v>493</v>
      </c>
      <c r="C338" s="76" t="s">
        <v>38</v>
      </c>
    </row>
    <row r="339" spans="1:3" x14ac:dyDescent="0.25">
      <c r="A339" s="78">
        <v>30711377944</v>
      </c>
      <c r="B339" s="71" t="s">
        <v>274</v>
      </c>
      <c r="C339" s="76" t="s">
        <v>54</v>
      </c>
    </row>
    <row r="340" spans="1:3" x14ac:dyDescent="0.25">
      <c r="A340" s="78">
        <v>30678774495</v>
      </c>
      <c r="B340" s="71" t="s">
        <v>277</v>
      </c>
      <c r="C340" s="76" t="s">
        <v>54</v>
      </c>
    </row>
    <row r="341" spans="1:3" x14ac:dyDescent="0.25">
      <c r="A341" s="78">
        <v>20238751560</v>
      </c>
      <c r="B341" s="71" t="s">
        <v>172</v>
      </c>
      <c r="C341" s="76" t="s">
        <v>54</v>
      </c>
    </row>
    <row r="342" spans="1:3" x14ac:dyDescent="0.25">
      <c r="A342" s="86">
        <v>30661143610</v>
      </c>
      <c r="B342" s="71" t="s">
        <v>555</v>
      </c>
      <c r="C342" s="76" t="s">
        <v>41</v>
      </c>
    </row>
    <row r="343" spans="1:3" x14ac:dyDescent="0.25">
      <c r="A343" s="86">
        <v>30714331082</v>
      </c>
      <c r="B343" s="71" t="s">
        <v>148</v>
      </c>
      <c r="C343" s="76" t="s">
        <v>41</v>
      </c>
    </row>
    <row r="344" spans="1:3" x14ac:dyDescent="0.25">
      <c r="A344" s="86">
        <v>33707920349</v>
      </c>
      <c r="B344" s="71" t="s">
        <v>242</v>
      </c>
      <c r="C344" s="76" t="s">
        <v>41</v>
      </c>
    </row>
    <row r="345" spans="1:3" x14ac:dyDescent="0.25">
      <c r="A345" s="223">
        <v>30661498575</v>
      </c>
      <c r="B345" s="75" t="s">
        <v>203</v>
      </c>
      <c r="C345" s="76" t="s">
        <v>41</v>
      </c>
    </row>
    <row r="346" spans="1:3" x14ac:dyDescent="0.25">
      <c r="A346" s="223">
        <v>33716711469</v>
      </c>
      <c r="B346" s="71" t="s">
        <v>568</v>
      </c>
      <c r="C346" s="76" t="s">
        <v>41</v>
      </c>
    </row>
    <row r="347" spans="1:3" x14ac:dyDescent="0.25">
      <c r="A347" s="80">
        <v>33709738459</v>
      </c>
      <c r="B347" s="71" t="s">
        <v>62</v>
      </c>
      <c r="C347" s="76" t="s">
        <v>41</v>
      </c>
    </row>
    <row r="348" spans="1:3" x14ac:dyDescent="0.25">
      <c r="A348" s="86">
        <v>30696246234</v>
      </c>
      <c r="B348" s="75" t="s">
        <v>161</v>
      </c>
      <c r="C348" s="76" t="s">
        <v>41</v>
      </c>
    </row>
    <row r="349" spans="1:3" x14ac:dyDescent="0.25">
      <c r="A349" s="86">
        <v>30565786306</v>
      </c>
      <c r="B349" s="71" t="s">
        <v>574</v>
      </c>
      <c r="C349" s="76" t="s">
        <v>80</v>
      </c>
    </row>
    <row r="350" spans="1:3" x14ac:dyDescent="0.25">
      <c r="A350" s="86">
        <v>30683032227</v>
      </c>
      <c r="B350" s="71" t="s">
        <v>544</v>
      </c>
      <c r="C350" s="76" t="s">
        <v>80</v>
      </c>
    </row>
    <row r="351" spans="1:3" x14ac:dyDescent="0.25">
      <c r="A351" s="86">
        <v>30585412453</v>
      </c>
      <c r="B351" s="71" t="s">
        <v>248</v>
      </c>
      <c r="C351" s="76" t="s">
        <v>80</v>
      </c>
    </row>
    <row r="352" spans="1:3" x14ac:dyDescent="0.25">
      <c r="A352" s="86">
        <v>30590412631</v>
      </c>
      <c r="B352" s="71" t="s">
        <v>83</v>
      </c>
      <c r="C352" s="76" t="s">
        <v>80</v>
      </c>
    </row>
    <row r="353" spans="1:3" x14ac:dyDescent="0.25">
      <c r="A353" s="86">
        <v>30546666189</v>
      </c>
      <c r="B353" s="75" t="s">
        <v>85</v>
      </c>
      <c r="C353" s="76" t="s">
        <v>80</v>
      </c>
    </row>
    <row r="354" spans="1:3" x14ac:dyDescent="0.25">
      <c r="A354" s="84">
        <v>30608716390</v>
      </c>
      <c r="B354" s="75" t="s">
        <v>128</v>
      </c>
      <c r="C354" s="76" t="s">
        <v>80</v>
      </c>
    </row>
    <row r="355" spans="1:3" x14ac:dyDescent="0.25">
      <c r="A355" s="86">
        <v>30658137642</v>
      </c>
      <c r="B355" s="75" t="s">
        <v>87</v>
      </c>
      <c r="C355" s="76" t="s">
        <v>80</v>
      </c>
    </row>
    <row r="356" spans="1:3" x14ac:dyDescent="0.25">
      <c r="A356" s="86">
        <v>30707080198</v>
      </c>
      <c r="B356" s="71" t="s">
        <v>66</v>
      </c>
      <c r="C356" s="76" t="s">
        <v>41</v>
      </c>
    </row>
    <row r="357" spans="1:3" x14ac:dyDescent="0.25">
      <c r="A357" s="83">
        <v>30643862928</v>
      </c>
      <c r="B357" s="75" t="s">
        <v>170</v>
      </c>
      <c r="C357" s="76" t="s">
        <v>41</v>
      </c>
    </row>
    <row r="358" spans="1:3" x14ac:dyDescent="0.25">
      <c r="A358" s="86">
        <v>20330614014</v>
      </c>
      <c r="B358" s="71" t="s">
        <v>370</v>
      </c>
      <c r="C358" s="76" t="s">
        <v>41</v>
      </c>
    </row>
    <row r="359" spans="1:3" x14ac:dyDescent="0.25">
      <c r="A359" s="86">
        <v>20277164192</v>
      </c>
      <c r="B359" s="75" t="s">
        <v>122</v>
      </c>
      <c r="C359" s="76" t="s">
        <v>43</v>
      </c>
    </row>
    <row r="360" spans="1:3" x14ac:dyDescent="0.25">
      <c r="A360" s="86">
        <v>20043911369</v>
      </c>
      <c r="B360" s="71" t="s">
        <v>210</v>
      </c>
      <c r="C360" s="76" t="s">
        <v>41</v>
      </c>
    </row>
    <row r="361" spans="1:3" x14ac:dyDescent="0.25">
      <c r="A361" s="86">
        <v>20275351254</v>
      </c>
      <c r="B361" s="71" t="s">
        <v>446</v>
      </c>
      <c r="C361" s="76" t="s">
        <v>41</v>
      </c>
    </row>
    <row r="362" spans="1:3" x14ac:dyDescent="0.25">
      <c r="A362" s="86">
        <v>30695542476</v>
      </c>
      <c r="B362" s="71" t="s">
        <v>291</v>
      </c>
      <c r="C362" s="76" t="s">
        <v>43</v>
      </c>
    </row>
    <row r="363" spans="1:3" x14ac:dyDescent="0.25">
      <c r="A363" s="86">
        <v>30587197215</v>
      </c>
      <c r="B363" s="71" t="s">
        <v>496</v>
      </c>
      <c r="C363" s="76" t="s">
        <v>54</v>
      </c>
    </row>
    <row r="364" spans="1:3" x14ac:dyDescent="0.25">
      <c r="A364" s="86">
        <v>30591633984</v>
      </c>
      <c r="B364" s="71" t="s">
        <v>119</v>
      </c>
      <c r="C364" s="76" t="s">
        <v>41</v>
      </c>
    </row>
    <row r="365" spans="1:3" x14ac:dyDescent="0.25">
      <c r="A365" s="86">
        <v>30716815710</v>
      </c>
      <c r="B365" s="71" t="s">
        <v>360</v>
      </c>
      <c r="C365" s="76" t="s">
        <v>51</v>
      </c>
    </row>
    <row r="366" spans="1:3" x14ac:dyDescent="0.25">
      <c r="A366" s="78">
        <v>30605041287</v>
      </c>
      <c r="B366" s="71" t="s">
        <v>272</v>
      </c>
      <c r="C366" s="76" t="s">
        <v>54</v>
      </c>
    </row>
    <row r="367" spans="1:3" x14ac:dyDescent="0.25">
      <c r="A367" s="78">
        <v>27218733803</v>
      </c>
      <c r="B367" s="71" t="s">
        <v>329</v>
      </c>
      <c r="C367" s="76" t="s">
        <v>51</v>
      </c>
    </row>
    <row r="368" spans="1:3" x14ac:dyDescent="0.25">
      <c r="A368" s="192">
        <v>33693786369</v>
      </c>
      <c r="B368" s="71" t="s">
        <v>424</v>
      </c>
      <c r="C368" s="76" t="s">
        <v>54</v>
      </c>
    </row>
    <row r="369" spans="1:3" x14ac:dyDescent="0.25">
      <c r="A369" s="78">
        <v>30627583873</v>
      </c>
      <c r="B369" s="71" t="s">
        <v>260</v>
      </c>
      <c r="C369" s="76" t="s">
        <v>54</v>
      </c>
    </row>
    <row r="370" spans="1:3" x14ac:dyDescent="0.25">
      <c r="A370" s="78">
        <v>30715413678</v>
      </c>
      <c r="B370" s="71" t="s">
        <v>380</v>
      </c>
      <c r="C370" s="76" t="s">
        <v>54</v>
      </c>
    </row>
    <row r="371" spans="1:3" x14ac:dyDescent="0.25">
      <c r="A371" s="78">
        <v>20108555417</v>
      </c>
      <c r="B371" s="71" t="s">
        <v>468</v>
      </c>
      <c r="C371" s="76" t="s">
        <v>41</v>
      </c>
    </row>
    <row r="372" spans="1:3" x14ac:dyDescent="0.25">
      <c r="A372" s="78">
        <v>20280154602</v>
      </c>
      <c r="B372" s="71" t="s">
        <v>320</v>
      </c>
      <c r="C372" s="76" t="s">
        <v>36</v>
      </c>
    </row>
    <row r="373" spans="1:3" x14ac:dyDescent="0.25">
      <c r="A373" s="35">
        <v>23282830299</v>
      </c>
      <c r="B373" s="71" t="s">
        <v>434</v>
      </c>
      <c r="C373" s="218" t="s">
        <v>41</v>
      </c>
    </row>
    <row r="374" spans="1:3" x14ac:dyDescent="0.25">
      <c r="A374" s="86">
        <v>27316249154</v>
      </c>
      <c r="B374" s="71" t="s">
        <v>513</v>
      </c>
      <c r="C374" s="76" t="s">
        <v>41</v>
      </c>
    </row>
    <row r="375" spans="1:3" x14ac:dyDescent="0.25">
      <c r="A375" s="86">
        <v>20274327678</v>
      </c>
      <c r="B375" s="71" t="s">
        <v>429</v>
      </c>
      <c r="C375" s="76" t="s">
        <v>36</v>
      </c>
    </row>
    <row r="376" spans="1:3" x14ac:dyDescent="0.25">
      <c r="A376" s="86">
        <v>27182477368</v>
      </c>
      <c r="B376" s="71" t="s">
        <v>74</v>
      </c>
      <c r="C376" s="76" t="s">
        <v>80</v>
      </c>
    </row>
    <row r="377" spans="1:3" x14ac:dyDescent="0.25">
      <c r="A377" s="86">
        <v>20307462207</v>
      </c>
      <c r="B377" s="71" t="s">
        <v>271</v>
      </c>
      <c r="C377" s="76" t="s">
        <v>54</v>
      </c>
    </row>
    <row r="378" spans="1:3" x14ac:dyDescent="0.25">
      <c r="A378" s="86">
        <v>20113613646</v>
      </c>
      <c r="B378" s="71" t="s">
        <v>418</v>
      </c>
      <c r="C378" s="76" t="s">
        <v>54</v>
      </c>
    </row>
    <row r="379" spans="1:3" x14ac:dyDescent="0.25">
      <c r="A379" s="86">
        <v>30601502085</v>
      </c>
      <c r="B379" s="71" t="s">
        <v>478</v>
      </c>
      <c r="C379" s="76" t="s">
        <v>54</v>
      </c>
    </row>
    <row r="380" spans="1:3" x14ac:dyDescent="0.25">
      <c r="A380" s="86">
        <v>20184015820</v>
      </c>
      <c r="B380" s="71" t="s">
        <v>492</v>
      </c>
      <c r="C380" s="76" t="s">
        <v>54</v>
      </c>
    </row>
    <row r="381" spans="1:3" x14ac:dyDescent="0.25">
      <c r="A381" s="86">
        <v>30646512952</v>
      </c>
      <c r="B381" s="71" t="s">
        <v>477</v>
      </c>
      <c r="C381" s="76" t="s">
        <v>54</v>
      </c>
    </row>
    <row r="382" spans="1:3" x14ac:dyDescent="0.25">
      <c r="A382" s="86">
        <v>27279386715</v>
      </c>
      <c r="B382" s="71" t="s">
        <v>261</v>
      </c>
      <c r="C382" s="76" t="s">
        <v>54</v>
      </c>
    </row>
    <row r="383" spans="1:3" x14ac:dyDescent="0.25">
      <c r="A383" s="86">
        <v>27370346742</v>
      </c>
      <c r="B383" s="71" t="s">
        <v>189</v>
      </c>
      <c r="C383" s="76" t="s">
        <v>177</v>
      </c>
    </row>
    <row r="384" spans="1:3" x14ac:dyDescent="0.25">
      <c r="A384" s="86">
        <v>20046086806</v>
      </c>
      <c r="B384" s="71" t="s">
        <v>489</v>
      </c>
      <c r="C384" s="76" t="s">
        <v>54</v>
      </c>
    </row>
    <row r="385" spans="1:3" x14ac:dyDescent="0.25">
      <c r="A385" s="82">
        <v>27265302225</v>
      </c>
      <c r="B385" s="75" t="s">
        <v>165</v>
      </c>
      <c r="C385" s="76" t="s">
        <v>41</v>
      </c>
    </row>
    <row r="386" spans="1:3" x14ac:dyDescent="0.25">
      <c r="A386" s="86">
        <v>20264653313</v>
      </c>
      <c r="B386" s="71" t="s">
        <v>494</v>
      </c>
      <c r="C386" s="76" t="s">
        <v>36</v>
      </c>
    </row>
    <row r="387" spans="1:3" x14ac:dyDescent="0.25">
      <c r="A387" s="86">
        <v>30577428618</v>
      </c>
      <c r="B387" s="71" t="s">
        <v>571</v>
      </c>
      <c r="C387" s="76" t="s">
        <v>54</v>
      </c>
    </row>
    <row r="388" spans="1:3" x14ac:dyDescent="0.25">
      <c r="A388" s="86">
        <v>30715740806</v>
      </c>
      <c r="B388" s="71" t="s">
        <v>266</v>
      </c>
      <c r="C388" s="76" t="s">
        <v>54</v>
      </c>
    </row>
    <row r="389" spans="1:3" x14ac:dyDescent="0.25">
      <c r="A389" s="86">
        <v>20362272441</v>
      </c>
      <c r="B389" s="71" t="s">
        <v>521</v>
      </c>
      <c r="C389" s="76" t="s">
        <v>41</v>
      </c>
    </row>
    <row r="390" spans="1:3" x14ac:dyDescent="0.25">
      <c r="A390" s="86">
        <v>20253804336</v>
      </c>
      <c r="B390" s="71" t="s">
        <v>419</v>
      </c>
      <c r="C390" s="76" t="s">
        <v>41</v>
      </c>
    </row>
    <row r="391" spans="1:3" x14ac:dyDescent="0.25">
      <c r="A391" s="86">
        <v>30707970010</v>
      </c>
      <c r="B391" s="71" t="s">
        <v>250</v>
      </c>
      <c r="C391" s="76" t="s">
        <v>41</v>
      </c>
    </row>
    <row r="392" spans="1:3" x14ac:dyDescent="0.25">
      <c r="A392" s="86">
        <v>27368203829</v>
      </c>
      <c r="B392" s="71" t="s">
        <v>412</v>
      </c>
      <c r="C392" s="76" t="s">
        <v>41</v>
      </c>
    </row>
    <row r="393" spans="1:3" x14ac:dyDescent="0.25">
      <c r="A393" s="86">
        <v>30709776564</v>
      </c>
      <c r="B393" s="71" t="s">
        <v>134</v>
      </c>
      <c r="C393" s="76" t="s">
        <v>135</v>
      </c>
    </row>
    <row r="394" spans="1:3" x14ac:dyDescent="0.25">
      <c r="A394" s="223">
        <v>20285597405</v>
      </c>
      <c r="B394" s="71" t="s">
        <v>385</v>
      </c>
      <c r="C394" s="76" t="s">
        <v>54</v>
      </c>
    </row>
    <row r="395" spans="1:3" x14ac:dyDescent="0.25">
      <c r="A395" s="223">
        <v>30716821478</v>
      </c>
      <c r="B395" s="71" t="s">
        <v>425</v>
      </c>
      <c r="C395" s="76" t="s">
        <v>41</v>
      </c>
    </row>
    <row r="396" spans="1:3" x14ac:dyDescent="0.25">
      <c r="A396" s="83">
        <v>20182721787</v>
      </c>
      <c r="B396" s="75" t="s">
        <v>171</v>
      </c>
      <c r="C396" s="76" t="s">
        <v>41</v>
      </c>
    </row>
    <row r="397" spans="1:3" x14ac:dyDescent="0.25">
      <c r="A397" s="86">
        <v>20289111329</v>
      </c>
      <c r="B397" s="71" t="s">
        <v>470</v>
      </c>
      <c r="C397" s="76" t="s">
        <v>41</v>
      </c>
    </row>
    <row r="398" spans="1:3" x14ac:dyDescent="0.25">
      <c r="A398" s="86">
        <v>27233748205</v>
      </c>
      <c r="B398" s="71" t="s">
        <v>301</v>
      </c>
      <c r="C398" s="76" t="s">
        <v>41</v>
      </c>
    </row>
    <row r="399" spans="1:3" x14ac:dyDescent="0.25">
      <c r="A399" s="86">
        <v>30707370552</v>
      </c>
      <c r="B399" s="71" t="s">
        <v>297</v>
      </c>
      <c r="C399" s="76" t="s">
        <v>41</v>
      </c>
    </row>
    <row r="400" spans="1:3" x14ac:dyDescent="0.25">
      <c r="A400" s="86">
        <v>20142643384</v>
      </c>
      <c r="B400" s="71" t="s">
        <v>583</v>
      </c>
      <c r="C400" s="76" t="s">
        <v>41</v>
      </c>
    </row>
    <row r="401" spans="1:3" x14ac:dyDescent="0.25">
      <c r="A401" s="86">
        <v>20202500138</v>
      </c>
      <c r="B401" s="75" t="s">
        <v>123</v>
      </c>
      <c r="C401" s="76" t="s">
        <v>124</v>
      </c>
    </row>
    <row r="402" spans="1:3" x14ac:dyDescent="0.25">
      <c r="A402" s="86">
        <v>27181965709</v>
      </c>
      <c r="B402" s="71" t="s">
        <v>508</v>
      </c>
      <c r="C402" s="76" t="s">
        <v>36</v>
      </c>
    </row>
    <row r="403" spans="1:3" x14ac:dyDescent="0.25">
      <c r="A403" s="86">
        <v>30715141201</v>
      </c>
      <c r="B403" s="71" t="s">
        <v>147</v>
      </c>
      <c r="C403" s="76" t="s">
        <v>41</v>
      </c>
    </row>
    <row r="404" spans="1:3" x14ac:dyDescent="0.25">
      <c r="A404" s="86">
        <v>30709214078</v>
      </c>
      <c r="B404" s="71" t="s">
        <v>44</v>
      </c>
      <c r="C404" s="76" t="s">
        <v>41</v>
      </c>
    </row>
    <row r="405" spans="1:3" x14ac:dyDescent="0.25">
      <c r="A405" s="83">
        <v>30711764921</v>
      </c>
      <c r="B405" s="71" t="s">
        <v>157</v>
      </c>
      <c r="C405" s="76" t="s">
        <v>41</v>
      </c>
    </row>
    <row r="406" spans="1:3" x14ac:dyDescent="0.25">
      <c r="A406" s="86">
        <v>30710473990</v>
      </c>
      <c r="B406" s="71" t="s">
        <v>69</v>
      </c>
      <c r="C406" s="76" t="s">
        <v>54</v>
      </c>
    </row>
    <row r="407" spans="1:3" x14ac:dyDescent="0.25">
      <c r="A407" s="86">
        <v>30711013969</v>
      </c>
      <c r="B407" s="71" t="s">
        <v>589</v>
      </c>
      <c r="C407" s="76" t="s">
        <v>36</v>
      </c>
    </row>
    <row r="408" spans="1:3" x14ac:dyDescent="0.25">
      <c r="A408" s="86">
        <v>20319885812</v>
      </c>
      <c r="B408" s="71" t="s">
        <v>319</v>
      </c>
      <c r="C408" s="76" t="s">
        <v>41</v>
      </c>
    </row>
    <row r="409" spans="1:3" x14ac:dyDescent="0.25">
      <c r="A409" s="86">
        <v>23106878269</v>
      </c>
      <c r="B409" s="71" t="s">
        <v>516</v>
      </c>
      <c r="C409" s="76" t="s">
        <v>41</v>
      </c>
    </row>
    <row r="410" spans="1:3" x14ac:dyDescent="0.25">
      <c r="A410" s="86">
        <v>20133694146</v>
      </c>
      <c r="B410" s="71" t="s">
        <v>346</v>
      </c>
      <c r="C410" s="76" t="s">
        <v>54</v>
      </c>
    </row>
    <row r="411" spans="1:3" x14ac:dyDescent="0.25">
      <c r="A411" s="86">
        <v>20117741398</v>
      </c>
      <c r="B411" s="71" t="s">
        <v>388</v>
      </c>
      <c r="C411" s="76" t="s">
        <v>54</v>
      </c>
    </row>
    <row r="412" spans="1:3" x14ac:dyDescent="0.25">
      <c r="A412" s="86">
        <v>33716449829</v>
      </c>
      <c r="B412" s="71" t="s">
        <v>279</v>
      </c>
      <c r="C412" s="76" t="s">
        <v>36</v>
      </c>
    </row>
    <row r="413" spans="1:3" x14ac:dyDescent="0.25">
      <c r="A413" s="223">
        <v>30642659312</v>
      </c>
      <c r="B413" s="71" t="s">
        <v>344</v>
      </c>
      <c r="C413" s="76" t="s">
        <v>41</v>
      </c>
    </row>
    <row r="414" spans="1:3" x14ac:dyDescent="0.25">
      <c r="A414" s="83">
        <v>23233422029</v>
      </c>
      <c r="B414" s="75" t="s">
        <v>176</v>
      </c>
      <c r="C414" s="76" t="s">
        <v>41</v>
      </c>
    </row>
    <row r="415" spans="1:3" x14ac:dyDescent="0.25">
      <c r="A415" s="86">
        <v>20183700805</v>
      </c>
      <c r="B415" s="71" t="s">
        <v>371</v>
      </c>
      <c r="C415" s="76" t="s">
        <v>38</v>
      </c>
    </row>
    <row r="416" spans="1:3" x14ac:dyDescent="0.25">
      <c r="A416" s="86">
        <v>27313805293</v>
      </c>
      <c r="B416" s="71" t="s">
        <v>382</v>
      </c>
      <c r="C416" s="76" t="s">
        <v>54</v>
      </c>
    </row>
    <row r="417" spans="1:3" x14ac:dyDescent="0.25">
      <c r="A417" s="86">
        <v>30708552808</v>
      </c>
      <c r="B417" s="71" t="s">
        <v>379</v>
      </c>
      <c r="C417" s="76" t="s">
        <v>54</v>
      </c>
    </row>
    <row r="418" spans="1:3" x14ac:dyDescent="0.25">
      <c r="A418" s="82">
        <v>30715048066</v>
      </c>
      <c r="B418" s="71" t="s">
        <v>55</v>
      </c>
      <c r="C418" s="76" t="s">
        <v>54</v>
      </c>
    </row>
    <row r="419" spans="1:3" x14ac:dyDescent="0.25">
      <c r="A419" s="86">
        <v>23122329119</v>
      </c>
      <c r="B419" s="71" t="s">
        <v>476</v>
      </c>
      <c r="C419" s="76" t="s">
        <v>54</v>
      </c>
    </row>
    <row r="420" spans="1:3" x14ac:dyDescent="0.25">
      <c r="A420" s="86">
        <v>30710638973</v>
      </c>
      <c r="B420" s="71" t="s">
        <v>525</v>
      </c>
      <c r="C420" s="76" t="s">
        <v>54</v>
      </c>
    </row>
    <row r="421" spans="1:3" x14ac:dyDescent="0.25">
      <c r="A421" s="83">
        <v>30595553535</v>
      </c>
      <c r="B421" s="75" t="s">
        <v>207</v>
      </c>
      <c r="C421" s="76" t="s">
        <v>181</v>
      </c>
    </row>
    <row r="422" spans="1:3" x14ac:dyDescent="0.25">
      <c r="A422" s="86">
        <v>20044272009</v>
      </c>
      <c r="B422" s="71" t="s">
        <v>359</v>
      </c>
      <c r="C422" s="76" t="s">
        <v>51</v>
      </c>
    </row>
    <row r="423" spans="1:3" x14ac:dyDescent="0.25">
      <c r="A423" s="86">
        <v>20254412490</v>
      </c>
      <c r="B423" s="71" t="s">
        <v>305</v>
      </c>
      <c r="C423" s="76" t="s">
        <v>54</v>
      </c>
    </row>
    <row r="424" spans="1:3" x14ac:dyDescent="0.25">
      <c r="A424" s="84">
        <v>23111810184</v>
      </c>
      <c r="B424" s="71" t="s">
        <v>190</v>
      </c>
      <c r="C424" s="76" t="s">
        <v>80</v>
      </c>
    </row>
    <row r="425" spans="1:3" x14ac:dyDescent="0.25">
      <c r="A425" s="86">
        <v>20394693864</v>
      </c>
      <c r="B425" s="71" t="s">
        <v>553</v>
      </c>
      <c r="C425" s="76" t="s">
        <v>54</v>
      </c>
    </row>
    <row r="426" spans="1:3" x14ac:dyDescent="0.25">
      <c r="A426" s="86">
        <v>30711553564</v>
      </c>
      <c r="B426" s="71" t="s">
        <v>239</v>
      </c>
      <c r="C426" s="76" t="s">
        <v>41</v>
      </c>
    </row>
    <row r="427" spans="1:3" x14ac:dyDescent="0.25">
      <c r="A427" s="86">
        <v>30588919826</v>
      </c>
      <c r="B427" s="71" t="s">
        <v>475</v>
      </c>
      <c r="C427" s="76" t="s">
        <v>54</v>
      </c>
    </row>
    <row r="428" spans="1:3" x14ac:dyDescent="0.25">
      <c r="A428" s="86">
        <v>30586172308</v>
      </c>
      <c r="B428" s="71" t="s">
        <v>252</v>
      </c>
      <c r="C428" s="76" t="s">
        <v>51</v>
      </c>
    </row>
    <row r="429" spans="1:3" x14ac:dyDescent="0.25">
      <c r="A429" s="86">
        <v>27217606255</v>
      </c>
      <c r="B429" s="71" t="s">
        <v>362</v>
      </c>
      <c r="C429" s="76" t="s">
        <v>41</v>
      </c>
    </row>
    <row r="430" spans="1:3" x14ac:dyDescent="0.25">
      <c r="A430" s="86">
        <v>23255491784</v>
      </c>
      <c r="B430" s="71" t="s">
        <v>358</v>
      </c>
      <c r="C430" s="76" t="s">
        <v>41</v>
      </c>
    </row>
    <row r="431" spans="1:3" x14ac:dyDescent="0.25">
      <c r="A431" s="86">
        <v>33693506099</v>
      </c>
      <c r="B431" s="71" t="s">
        <v>336</v>
      </c>
      <c r="C431" s="76" t="s">
        <v>54</v>
      </c>
    </row>
    <row r="432" spans="1:3" x14ac:dyDescent="0.25">
      <c r="A432" s="86">
        <v>20268417762</v>
      </c>
      <c r="B432" s="71" t="s">
        <v>595</v>
      </c>
      <c r="C432" s="76" t="s">
        <v>54</v>
      </c>
    </row>
    <row r="433" spans="1:3" x14ac:dyDescent="0.25">
      <c r="A433" s="86">
        <v>33710130189</v>
      </c>
      <c r="B433" s="71" t="s">
        <v>550</v>
      </c>
      <c r="C433" s="76" t="s">
        <v>41</v>
      </c>
    </row>
    <row r="434" spans="1:3" x14ac:dyDescent="0.25">
      <c r="A434" s="86">
        <v>30690142860</v>
      </c>
      <c r="B434" s="71" t="s">
        <v>233</v>
      </c>
      <c r="C434" s="76" t="s">
        <v>36</v>
      </c>
    </row>
    <row r="435" spans="1:3" x14ac:dyDescent="0.25">
      <c r="A435" s="86">
        <v>30710276273</v>
      </c>
      <c r="B435" s="71" t="s">
        <v>484</v>
      </c>
      <c r="C435" s="76" t="s">
        <v>36</v>
      </c>
    </row>
    <row r="436" spans="1:3" x14ac:dyDescent="0.25">
      <c r="A436" s="86">
        <v>30709570664</v>
      </c>
      <c r="B436" s="71" t="s">
        <v>517</v>
      </c>
      <c r="C436" s="76" t="s">
        <v>41</v>
      </c>
    </row>
    <row r="437" spans="1:3" x14ac:dyDescent="0.25">
      <c r="A437" s="86">
        <v>30638340689</v>
      </c>
      <c r="B437" s="71" t="s">
        <v>340</v>
      </c>
      <c r="C437" s="76" t="s">
        <v>41</v>
      </c>
    </row>
    <row r="438" spans="1:3" x14ac:dyDescent="0.25">
      <c r="A438" s="86">
        <v>30709525839</v>
      </c>
      <c r="B438" s="71" t="s">
        <v>545</v>
      </c>
      <c r="C438" s="76" t="s">
        <v>41</v>
      </c>
    </row>
    <row r="439" spans="1:3" x14ac:dyDescent="0.25">
      <c r="A439" s="223">
        <v>30710682026</v>
      </c>
      <c r="B439" s="71" t="s">
        <v>391</v>
      </c>
      <c r="C439" s="76" t="s">
        <v>54</v>
      </c>
    </row>
    <row r="440" spans="1:3" x14ac:dyDescent="0.25">
      <c r="A440" s="86">
        <v>33709619719</v>
      </c>
      <c r="B440" s="71" t="s">
        <v>530</v>
      </c>
      <c r="C440" s="76" t="s">
        <v>54</v>
      </c>
    </row>
    <row r="441" spans="1:3" x14ac:dyDescent="0.25">
      <c r="A441" s="86">
        <v>30645722554</v>
      </c>
      <c r="B441" s="71" t="s">
        <v>378</v>
      </c>
      <c r="C441" s="76" t="s">
        <v>54</v>
      </c>
    </row>
    <row r="442" spans="1:3" x14ac:dyDescent="0.25">
      <c r="A442" s="86">
        <v>30715753541</v>
      </c>
      <c r="B442" s="71" t="s">
        <v>497</v>
      </c>
      <c r="C442" s="76" t="s">
        <v>54</v>
      </c>
    </row>
    <row r="443" spans="1:3" x14ac:dyDescent="0.25">
      <c r="A443" s="86">
        <v>30598960093</v>
      </c>
      <c r="B443" s="71" t="s">
        <v>67</v>
      </c>
      <c r="C443" s="76" t="s">
        <v>41</v>
      </c>
    </row>
    <row r="444" spans="1:3" x14ac:dyDescent="0.25">
      <c r="A444" s="86">
        <v>20351173913</v>
      </c>
      <c r="B444" s="71" t="s">
        <v>227</v>
      </c>
      <c r="C444" s="76" t="s">
        <v>41</v>
      </c>
    </row>
    <row r="445" spans="1:3" x14ac:dyDescent="0.25">
      <c r="A445" s="86">
        <v>30702071506</v>
      </c>
      <c r="B445" s="71" t="s">
        <v>309</v>
      </c>
      <c r="C445" s="76" t="s">
        <v>54</v>
      </c>
    </row>
    <row r="446" spans="1:3" x14ac:dyDescent="0.25">
      <c r="A446" s="86">
        <v>30711842809</v>
      </c>
      <c r="B446" s="71" t="s">
        <v>381</v>
      </c>
      <c r="C446" s="76" t="s">
        <v>54</v>
      </c>
    </row>
    <row r="447" spans="1:3" x14ac:dyDescent="0.25">
      <c r="A447" s="86">
        <v>30654118767</v>
      </c>
      <c r="B447" s="71" t="s">
        <v>268</v>
      </c>
      <c r="C447" s="76" t="s">
        <v>41</v>
      </c>
    </row>
    <row r="448" spans="1:3" x14ac:dyDescent="0.25">
      <c r="A448" s="225">
        <v>30716393360</v>
      </c>
      <c r="B448" s="71" t="s">
        <v>195</v>
      </c>
      <c r="C448" s="76" t="s">
        <v>41</v>
      </c>
    </row>
    <row r="449" spans="1:3" x14ac:dyDescent="0.25">
      <c r="A449" s="86">
        <v>33715594949</v>
      </c>
      <c r="B449" s="71" t="s">
        <v>569</v>
      </c>
      <c r="C449" s="76" t="s">
        <v>124</v>
      </c>
    </row>
    <row r="450" spans="1:3" x14ac:dyDescent="0.25">
      <c r="A450" s="84">
        <v>27066622997</v>
      </c>
      <c r="B450" s="71" t="s">
        <v>180</v>
      </c>
      <c r="C450" s="76" t="s">
        <v>181</v>
      </c>
    </row>
    <row r="451" spans="1:3" x14ac:dyDescent="0.25">
      <c r="A451" s="86">
        <v>27283627573</v>
      </c>
      <c r="B451" s="71" t="s">
        <v>570</v>
      </c>
      <c r="C451" s="76" t="s">
        <v>124</v>
      </c>
    </row>
    <row r="452" spans="1:3" x14ac:dyDescent="0.25">
      <c r="A452" s="223">
        <v>20300821872</v>
      </c>
      <c r="B452" s="71" t="s">
        <v>455</v>
      </c>
      <c r="C452" s="76" t="s">
        <v>54</v>
      </c>
    </row>
    <row r="453" spans="1:3" x14ac:dyDescent="0.25">
      <c r="A453" s="86">
        <v>30715668994</v>
      </c>
      <c r="B453" s="71" t="s">
        <v>593</v>
      </c>
      <c r="C453" s="76" t="s">
        <v>41</v>
      </c>
    </row>
    <row r="454" spans="1:3" x14ac:dyDescent="0.25">
      <c r="A454" s="86">
        <v>30577797281</v>
      </c>
      <c r="B454" s="71" t="s">
        <v>145</v>
      </c>
      <c r="C454" s="76" t="s">
        <v>80</v>
      </c>
    </row>
    <row r="455" spans="1:3" x14ac:dyDescent="0.25">
      <c r="A455" s="86">
        <v>23250955529</v>
      </c>
      <c r="B455" s="71" t="s">
        <v>246</v>
      </c>
      <c r="C455" s="76" t="s">
        <v>54</v>
      </c>
    </row>
    <row r="456" spans="1:3" x14ac:dyDescent="0.25">
      <c r="A456" s="86">
        <v>20314785593</v>
      </c>
      <c r="B456" s="71" t="s">
        <v>155</v>
      </c>
      <c r="C456" s="76" t="s">
        <v>41</v>
      </c>
    </row>
    <row r="457" spans="1:3" x14ac:dyDescent="0.25">
      <c r="A457" s="86">
        <v>30715458744</v>
      </c>
      <c r="B457" s="71" t="s">
        <v>308</v>
      </c>
      <c r="C457" s="76" t="s">
        <v>54</v>
      </c>
    </row>
    <row r="458" spans="1:3" x14ac:dyDescent="0.25">
      <c r="A458" s="224">
        <v>27267575997</v>
      </c>
      <c r="B458" s="71" t="s">
        <v>363</v>
      </c>
      <c r="C458" s="76" t="s">
        <v>36</v>
      </c>
    </row>
    <row r="459" spans="1:3" x14ac:dyDescent="0.25">
      <c r="A459" s="86">
        <v>20310122212</v>
      </c>
      <c r="B459" s="71" t="s">
        <v>363</v>
      </c>
      <c r="C459" s="76" t="s">
        <v>41</v>
      </c>
    </row>
    <row r="460" spans="1:3" x14ac:dyDescent="0.25">
      <c r="A460" s="86">
        <v>20229905199</v>
      </c>
      <c r="B460" s="71" t="s">
        <v>600</v>
      </c>
      <c r="C460" s="76" t="s">
        <v>54</v>
      </c>
    </row>
    <row r="461" spans="1:3" x14ac:dyDescent="0.25">
      <c r="A461" s="86">
        <v>30505459179</v>
      </c>
      <c r="B461" s="71" t="s">
        <v>283</v>
      </c>
      <c r="C461" s="76" t="s">
        <v>41</v>
      </c>
    </row>
    <row r="462" spans="1:3" x14ac:dyDescent="0.25">
      <c r="A462" s="86">
        <v>23145783224</v>
      </c>
      <c r="B462" s="71" t="s">
        <v>65</v>
      </c>
      <c r="C462" s="76" t="s">
        <v>41</v>
      </c>
    </row>
    <row r="463" spans="1:3" x14ac:dyDescent="0.25">
      <c r="A463" s="86">
        <v>30710114176</v>
      </c>
      <c r="B463" s="71" t="s">
        <v>438</v>
      </c>
      <c r="C463" s="76" t="s">
        <v>54</v>
      </c>
    </row>
    <row r="464" spans="1:3" x14ac:dyDescent="0.25">
      <c r="A464" s="86">
        <v>30700939797</v>
      </c>
      <c r="B464" s="71" t="s">
        <v>559</v>
      </c>
      <c r="C464" s="76" t="s">
        <v>41</v>
      </c>
    </row>
    <row r="465" spans="1:3" x14ac:dyDescent="0.25">
      <c r="A465" s="86">
        <v>30710177658</v>
      </c>
      <c r="B465" s="71" t="s">
        <v>118</v>
      </c>
      <c r="C465" s="76" t="s">
        <v>41</v>
      </c>
    </row>
    <row r="466" spans="1:3" x14ac:dyDescent="0.25">
      <c r="A466" s="86">
        <v>30687489221</v>
      </c>
      <c r="B466" s="71" t="s">
        <v>499</v>
      </c>
      <c r="C466" s="76" t="s">
        <v>36</v>
      </c>
    </row>
    <row r="467" spans="1:3" x14ac:dyDescent="0.25">
      <c r="A467" s="223">
        <v>20283639941</v>
      </c>
      <c r="B467" s="71" t="s">
        <v>384</v>
      </c>
      <c r="C467" s="76" t="s">
        <v>54</v>
      </c>
    </row>
    <row r="468" spans="1:3" x14ac:dyDescent="0.25">
      <c r="A468" s="83">
        <v>30708960736</v>
      </c>
      <c r="B468" s="75" t="s">
        <v>163</v>
      </c>
      <c r="C468" s="76" t="s">
        <v>41</v>
      </c>
    </row>
    <row r="469" spans="1:3" x14ac:dyDescent="0.25">
      <c r="A469" s="86">
        <v>33716532769</v>
      </c>
      <c r="B469" s="71" t="s">
        <v>311</v>
      </c>
      <c r="C469" s="76" t="s">
        <v>41</v>
      </c>
    </row>
    <row r="470" spans="1:3" x14ac:dyDescent="0.25">
      <c r="A470" s="86">
        <v>30639453738</v>
      </c>
      <c r="B470" s="71" t="s">
        <v>140</v>
      </c>
      <c r="C470" s="76" t="s">
        <v>39</v>
      </c>
    </row>
    <row r="471" spans="1:3" x14ac:dyDescent="0.25">
      <c r="A471" s="86">
        <v>30639453975</v>
      </c>
      <c r="B471" s="71" t="s">
        <v>139</v>
      </c>
      <c r="C471" s="76" t="s">
        <v>39</v>
      </c>
    </row>
    <row r="472" spans="1:3" x14ac:dyDescent="0.25">
      <c r="A472" s="86">
        <v>30678814357</v>
      </c>
      <c r="B472" s="71" t="s">
        <v>117</v>
      </c>
      <c r="C472" s="76" t="s">
        <v>39</v>
      </c>
    </row>
    <row r="473" spans="1:3" x14ac:dyDescent="0.25">
      <c r="A473" s="86">
        <v>30712450408</v>
      </c>
      <c r="B473" s="71" t="s">
        <v>404</v>
      </c>
      <c r="C473" s="76" t="s">
        <v>54</v>
      </c>
    </row>
    <row r="474" spans="1:3" x14ac:dyDescent="0.25">
      <c r="A474" s="86">
        <v>30716018373</v>
      </c>
      <c r="B474" s="71" t="s">
        <v>298</v>
      </c>
      <c r="C474" s="76" t="s">
        <v>36</v>
      </c>
    </row>
    <row r="475" spans="1:3" x14ac:dyDescent="0.25">
      <c r="A475" s="86">
        <v>30616031143</v>
      </c>
      <c r="B475" s="71" t="s">
        <v>141</v>
      </c>
      <c r="C475" s="76" t="s">
        <v>54</v>
      </c>
    </row>
    <row r="476" spans="1:3" x14ac:dyDescent="0.25">
      <c r="A476" s="86">
        <v>30683612916</v>
      </c>
      <c r="B476" s="71" t="s">
        <v>580</v>
      </c>
      <c r="C476" s="76" t="s">
        <v>36</v>
      </c>
    </row>
    <row r="477" spans="1:3" x14ac:dyDescent="0.25">
      <c r="A477" s="86">
        <v>30711188416</v>
      </c>
      <c r="B477" s="71" t="s">
        <v>421</v>
      </c>
      <c r="C477" s="76" t="s">
        <v>36</v>
      </c>
    </row>
    <row r="478" spans="1:3" x14ac:dyDescent="0.25">
      <c r="A478" s="86">
        <v>30711811253</v>
      </c>
      <c r="B478" s="71" t="s">
        <v>416</v>
      </c>
      <c r="C478" s="76" t="s">
        <v>41</v>
      </c>
    </row>
    <row r="479" spans="1:3" x14ac:dyDescent="0.25">
      <c r="A479" s="83">
        <v>30712305513</v>
      </c>
      <c r="B479" s="75" t="s">
        <v>167</v>
      </c>
      <c r="C479" s="76" t="s">
        <v>41</v>
      </c>
    </row>
    <row r="480" spans="1:3" x14ac:dyDescent="0.25">
      <c r="A480" s="86">
        <v>20131067446</v>
      </c>
      <c r="B480" s="71" t="s">
        <v>420</v>
      </c>
      <c r="C480" s="76" t="s">
        <v>41</v>
      </c>
    </row>
    <row r="481" spans="1:3" x14ac:dyDescent="0.25">
      <c r="A481" s="86">
        <v>30646150406</v>
      </c>
      <c r="B481" s="71" t="s">
        <v>146</v>
      </c>
      <c r="C481" s="76" t="s">
        <v>41</v>
      </c>
    </row>
    <row r="482" spans="1:3" x14ac:dyDescent="0.25">
      <c r="A482" s="86">
        <v>27299725761</v>
      </c>
      <c r="B482" s="71" t="s">
        <v>524</v>
      </c>
      <c r="C482" s="76" t="s">
        <v>41</v>
      </c>
    </row>
    <row r="483" spans="1:3" x14ac:dyDescent="0.25">
      <c r="A483" s="86">
        <v>30531602273</v>
      </c>
      <c r="B483" s="75" t="s">
        <v>86</v>
      </c>
      <c r="C483" s="76" t="s">
        <v>80</v>
      </c>
    </row>
    <row r="484" spans="1:3" x14ac:dyDescent="0.25">
      <c r="A484" s="224">
        <v>30556565798</v>
      </c>
      <c r="B484" s="71" t="s">
        <v>243</v>
      </c>
      <c r="C484" s="76" t="s">
        <v>36</v>
      </c>
    </row>
    <row r="485" spans="1:3" x14ac:dyDescent="0.25">
      <c r="A485" s="82">
        <v>20257137326</v>
      </c>
      <c r="B485" s="71" t="s">
        <v>178</v>
      </c>
      <c r="C485" s="76" t="s">
        <v>41</v>
      </c>
    </row>
    <row r="486" spans="1:3" x14ac:dyDescent="0.25">
      <c r="A486" s="86">
        <v>20216451679</v>
      </c>
      <c r="B486" s="71" t="s">
        <v>480</v>
      </c>
      <c r="C486" s="76" t="s">
        <v>41</v>
      </c>
    </row>
    <row r="487" spans="1:3" x14ac:dyDescent="0.25">
      <c r="A487" s="223">
        <v>27415594742</v>
      </c>
      <c r="B487" s="71" t="s">
        <v>426</v>
      </c>
      <c r="C487" s="76" t="s">
        <v>41</v>
      </c>
    </row>
    <row r="488" spans="1:3" x14ac:dyDescent="0.25">
      <c r="A488" s="83">
        <v>20247225243</v>
      </c>
      <c r="B488" s="71" t="s">
        <v>45</v>
      </c>
      <c r="C488" s="76" t="s">
        <v>41</v>
      </c>
    </row>
    <row r="489" spans="1:3" x14ac:dyDescent="0.25">
      <c r="A489" s="86">
        <v>30561769644</v>
      </c>
      <c r="B489" s="71" t="s">
        <v>450</v>
      </c>
      <c r="C489" s="76" t="s">
        <v>54</v>
      </c>
    </row>
    <row r="490" spans="1:3" x14ac:dyDescent="0.25">
      <c r="A490" s="86">
        <v>27247019370</v>
      </c>
      <c r="B490" s="71" t="s">
        <v>474</v>
      </c>
      <c r="C490" s="76" t="s">
        <v>41</v>
      </c>
    </row>
    <row r="491" spans="1:3" x14ac:dyDescent="0.25">
      <c r="A491" s="86">
        <v>30707977120</v>
      </c>
      <c r="B491" s="71" t="s">
        <v>573</v>
      </c>
      <c r="C491" s="76" t="s">
        <v>54</v>
      </c>
    </row>
    <row r="492" spans="1:3" x14ac:dyDescent="0.25">
      <c r="A492" s="82">
        <v>27211421202</v>
      </c>
      <c r="B492" s="71" t="s">
        <v>188</v>
      </c>
      <c r="C492" s="76" t="s">
        <v>41</v>
      </c>
    </row>
    <row r="493" spans="1:3" x14ac:dyDescent="0.25">
      <c r="A493" s="86">
        <v>30540059078</v>
      </c>
      <c r="B493" s="71" t="s">
        <v>527</v>
      </c>
      <c r="C493" s="76" t="s">
        <v>54</v>
      </c>
    </row>
    <row r="494" spans="1:3" x14ac:dyDescent="0.25">
      <c r="A494" s="86">
        <v>30714950750</v>
      </c>
      <c r="B494" s="71" t="s">
        <v>339</v>
      </c>
      <c r="C494" s="76" t="s">
        <v>41</v>
      </c>
    </row>
    <row r="495" spans="1:3" x14ac:dyDescent="0.25">
      <c r="A495" s="86">
        <v>20317488476</v>
      </c>
      <c r="B495" s="71" t="s">
        <v>259</v>
      </c>
      <c r="C495" s="76" t="s">
        <v>41</v>
      </c>
    </row>
    <row r="496" spans="1:3" x14ac:dyDescent="0.25">
      <c r="A496" s="86">
        <v>27256759646</v>
      </c>
      <c r="B496" s="71" t="s">
        <v>505</v>
      </c>
      <c r="C496" s="76" t="s">
        <v>41</v>
      </c>
    </row>
    <row r="497" spans="1:3" x14ac:dyDescent="0.25">
      <c r="A497" s="224">
        <v>20321447997</v>
      </c>
      <c r="B497" s="71" t="s">
        <v>400</v>
      </c>
      <c r="C497" s="76" t="s">
        <v>54</v>
      </c>
    </row>
    <row r="498" spans="1:3" x14ac:dyDescent="0.25">
      <c r="A498" s="86">
        <v>27237719145</v>
      </c>
      <c r="B498" s="71" t="s">
        <v>547</v>
      </c>
      <c r="C498" s="76" t="s">
        <v>41</v>
      </c>
    </row>
    <row r="499" spans="1:3" x14ac:dyDescent="0.25">
      <c r="A499" s="86">
        <v>27169596439</v>
      </c>
      <c r="B499" s="71" t="s">
        <v>467</v>
      </c>
      <c r="C499" s="76" t="s">
        <v>54</v>
      </c>
    </row>
    <row r="500" spans="1:3" x14ac:dyDescent="0.25">
      <c r="A500" s="83">
        <v>23929701364</v>
      </c>
      <c r="B500" s="75" t="s">
        <v>206</v>
      </c>
      <c r="C500" s="76" t="s">
        <v>36</v>
      </c>
    </row>
    <row r="501" spans="1:3" x14ac:dyDescent="0.25">
      <c r="A501" s="86">
        <v>30714867349</v>
      </c>
      <c r="B501" s="71" t="s">
        <v>264</v>
      </c>
      <c r="C501" s="76" t="s">
        <v>54</v>
      </c>
    </row>
    <row r="502" spans="1:3" x14ac:dyDescent="0.25">
      <c r="A502" s="86">
        <v>30708534907</v>
      </c>
      <c r="B502" s="71" t="s">
        <v>510</v>
      </c>
      <c r="C502" s="76" t="s">
        <v>41</v>
      </c>
    </row>
    <row r="503" spans="1:3" x14ac:dyDescent="0.25">
      <c r="A503" s="86">
        <v>20231247239</v>
      </c>
      <c r="B503" s="71" t="s">
        <v>156</v>
      </c>
      <c r="C503" s="76" t="s">
        <v>41</v>
      </c>
    </row>
    <row r="504" spans="1:3" x14ac:dyDescent="0.25">
      <c r="A504" s="86">
        <v>30717172651</v>
      </c>
      <c r="B504" s="71" t="s">
        <v>554</v>
      </c>
      <c r="C504" s="76" t="s">
        <v>41</v>
      </c>
    </row>
    <row r="505" spans="1:3" x14ac:dyDescent="0.25">
      <c r="A505" s="78">
        <v>20332986636</v>
      </c>
      <c r="B505" s="71" t="s">
        <v>452</v>
      </c>
      <c r="C505" s="76" t="s">
        <v>36</v>
      </c>
    </row>
    <row r="506" spans="1:3" x14ac:dyDescent="0.25">
      <c r="A506" s="86">
        <v>20167787372</v>
      </c>
      <c r="B506" s="71" t="s">
        <v>588</v>
      </c>
      <c r="C506" s="76" t="s">
        <v>36</v>
      </c>
    </row>
    <row r="507" spans="1:3" x14ac:dyDescent="0.25">
      <c r="A507" s="86">
        <v>20921994908</v>
      </c>
      <c r="B507" s="71" t="s">
        <v>557</v>
      </c>
      <c r="C507" s="76" t="s">
        <v>54</v>
      </c>
    </row>
    <row r="508" spans="1:3" x14ac:dyDescent="0.25">
      <c r="A508" s="86">
        <v>20168475803</v>
      </c>
      <c r="B508" s="71" t="s">
        <v>314</v>
      </c>
      <c r="C508" s="76" t="s">
        <v>54</v>
      </c>
    </row>
    <row r="509" spans="1:3" x14ac:dyDescent="0.25">
      <c r="A509" s="86">
        <v>27944827345</v>
      </c>
      <c r="B509" s="71" t="s">
        <v>601</v>
      </c>
      <c r="C509" s="76" t="s">
        <v>54</v>
      </c>
    </row>
    <row r="510" spans="1:3" x14ac:dyDescent="0.25">
      <c r="A510" s="86">
        <v>30708375582</v>
      </c>
      <c r="B510" s="71" t="s">
        <v>602</v>
      </c>
      <c r="C510" s="76" t="s">
        <v>36</v>
      </c>
    </row>
    <row r="511" spans="1:3" x14ac:dyDescent="0.25">
      <c r="A511" s="86">
        <v>23936845509</v>
      </c>
      <c r="B511" s="71" t="s">
        <v>603</v>
      </c>
      <c r="C511" s="76" t="s">
        <v>54</v>
      </c>
    </row>
    <row r="512" spans="1:3" x14ac:dyDescent="0.25">
      <c r="A512" s="86">
        <v>30707927409</v>
      </c>
      <c r="B512" s="71" t="s">
        <v>604</v>
      </c>
      <c r="C512" s="76" t="s">
        <v>36</v>
      </c>
    </row>
    <row r="513" spans="1:3" x14ac:dyDescent="0.25">
      <c r="A513" s="86">
        <v>30626009618</v>
      </c>
      <c r="B513" s="71" t="s">
        <v>605</v>
      </c>
      <c r="C513" s="76" t="s">
        <v>36</v>
      </c>
    </row>
    <row r="514" spans="1:3" x14ac:dyDescent="0.25">
      <c r="A514" s="86">
        <v>30709904872</v>
      </c>
      <c r="B514" s="71" t="s">
        <v>606</v>
      </c>
      <c r="C514" s="76" t="s">
        <v>36</v>
      </c>
    </row>
    <row r="515" spans="1:3" x14ac:dyDescent="0.25">
      <c r="A515" s="86">
        <v>30643922157</v>
      </c>
      <c r="B515" s="71" t="s">
        <v>607</v>
      </c>
      <c r="C515" s="76" t="s">
        <v>36</v>
      </c>
    </row>
    <row r="516" spans="1:3" x14ac:dyDescent="0.25">
      <c r="A516" s="86">
        <v>33717383139</v>
      </c>
      <c r="B516" s="71" t="s">
        <v>608</v>
      </c>
      <c r="C516" s="76" t="s">
        <v>54</v>
      </c>
    </row>
    <row r="517" spans="1:3" x14ac:dyDescent="0.25">
      <c r="A517" s="86">
        <v>30708847247</v>
      </c>
      <c r="B517" s="71" t="s">
        <v>609</v>
      </c>
      <c r="C517" s="76" t="s">
        <v>36</v>
      </c>
    </row>
    <row r="518" spans="1:3" x14ac:dyDescent="0.25">
      <c r="A518" s="86">
        <v>33710271149</v>
      </c>
      <c r="B518" s="71" t="s">
        <v>610</v>
      </c>
      <c r="C518" s="76" t="s">
        <v>54</v>
      </c>
    </row>
    <row r="519" spans="1:3" x14ac:dyDescent="0.25">
      <c r="A519" s="86">
        <v>20396584809</v>
      </c>
      <c r="B519" s="71" t="s">
        <v>680</v>
      </c>
      <c r="C519" s="76" t="s">
        <v>41</v>
      </c>
    </row>
    <row r="520" spans="1:3" x14ac:dyDescent="0.25">
      <c r="A520" s="86">
        <v>30709879258</v>
      </c>
      <c r="B520" s="71" t="s">
        <v>681</v>
      </c>
      <c r="C520" s="76" t="s">
        <v>36</v>
      </c>
    </row>
    <row r="521" spans="1:3" x14ac:dyDescent="0.25">
      <c r="A521" s="86">
        <v>30711296987</v>
      </c>
      <c r="B521" s="71" t="s">
        <v>682</v>
      </c>
      <c r="C521" s="76" t="s">
        <v>54</v>
      </c>
    </row>
    <row r="522" spans="1:3" x14ac:dyDescent="0.25">
      <c r="A522" s="86">
        <v>20392730444</v>
      </c>
      <c r="B522" s="71" t="s">
        <v>679</v>
      </c>
      <c r="C522" s="76" t="s">
        <v>36</v>
      </c>
    </row>
    <row r="523" spans="1:3" x14ac:dyDescent="0.25">
      <c r="A523" s="86">
        <v>30715393251</v>
      </c>
      <c r="B523" s="71" t="s">
        <v>683</v>
      </c>
      <c r="C523" s="76" t="s">
        <v>54</v>
      </c>
    </row>
    <row r="524" spans="1:3" x14ac:dyDescent="0.25">
      <c r="A524" s="86">
        <v>27119878468</v>
      </c>
      <c r="B524" s="71" t="s">
        <v>1110</v>
      </c>
      <c r="C524" s="76" t="s">
        <v>41</v>
      </c>
    </row>
    <row r="525" spans="1:3" x14ac:dyDescent="0.25">
      <c r="A525" s="86">
        <v>30715869663</v>
      </c>
      <c r="B525" s="71" t="s">
        <v>1111</v>
      </c>
      <c r="C525" s="76" t="s">
        <v>54</v>
      </c>
    </row>
    <row r="526" spans="1:3" x14ac:dyDescent="0.25">
      <c r="A526" s="86">
        <v>20224819049</v>
      </c>
      <c r="B526" s="71" t="s">
        <v>1112</v>
      </c>
      <c r="C526" s="76" t="s">
        <v>54</v>
      </c>
    </row>
    <row r="527" spans="1:3" x14ac:dyDescent="0.25">
      <c r="A527" s="86">
        <v>20920321292</v>
      </c>
      <c r="B527" s="71" t="s">
        <v>1113</v>
      </c>
      <c r="C527" s="76" t="s">
        <v>54</v>
      </c>
    </row>
    <row r="528" spans="1:3" x14ac:dyDescent="0.25">
      <c r="A528" s="86">
        <v>30526874249</v>
      </c>
      <c r="B528" s="71" t="s">
        <v>1114</v>
      </c>
      <c r="C528" s="76" t="s">
        <v>54</v>
      </c>
    </row>
    <row r="529" spans="1:3" x14ac:dyDescent="0.25">
      <c r="A529" s="86">
        <v>20181517957</v>
      </c>
      <c r="B529" s="71" t="s">
        <v>1120</v>
      </c>
      <c r="C529" s="76" t="s">
        <v>41</v>
      </c>
    </row>
    <row r="530" spans="1:3" x14ac:dyDescent="0.25">
      <c r="A530" s="86">
        <v>30606274161</v>
      </c>
      <c r="B530" s="71" t="s">
        <v>1121</v>
      </c>
      <c r="C530" s="76" t="s">
        <v>80</v>
      </c>
    </row>
    <row r="531" spans="1:3" x14ac:dyDescent="0.25">
      <c r="A531" s="86"/>
      <c r="B531" s="71"/>
      <c r="C531" s="76"/>
    </row>
    <row r="532" spans="1:3" x14ac:dyDescent="0.25">
      <c r="A532" s="86"/>
      <c r="B532" s="71"/>
      <c r="C532" s="76"/>
    </row>
    <row r="533" spans="1:3" x14ac:dyDescent="0.25">
      <c r="A533" s="86"/>
      <c r="B533" s="71"/>
      <c r="C533" s="76"/>
    </row>
    <row r="534" spans="1:3" x14ac:dyDescent="0.25">
      <c r="A534" s="86"/>
      <c r="B534" s="71"/>
      <c r="C534" s="76"/>
    </row>
    <row r="535" spans="1:3" x14ac:dyDescent="0.25">
      <c r="A535" s="86"/>
      <c r="B535" s="71"/>
      <c r="C535" s="76"/>
    </row>
    <row r="536" spans="1:3" x14ac:dyDescent="0.25">
      <c r="A536" s="86"/>
      <c r="B536" s="71"/>
      <c r="C536" s="76"/>
    </row>
    <row r="537" spans="1:3" x14ac:dyDescent="0.25">
      <c r="A537" s="86"/>
      <c r="B537" s="71"/>
      <c r="C537" s="76"/>
    </row>
    <row r="538" spans="1:3" x14ac:dyDescent="0.25">
      <c r="A538" s="86"/>
      <c r="B538" s="71"/>
      <c r="C538" s="76"/>
    </row>
    <row r="539" spans="1:3" x14ac:dyDescent="0.25">
      <c r="A539" s="86"/>
      <c r="B539" s="71"/>
      <c r="C539" s="76"/>
    </row>
    <row r="540" spans="1:3" x14ac:dyDescent="0.25">
      <c r="A540" s="86"/>
      <c r="B540" s="71"/>
      <c r="C540" s="76"/>
    </row>
    <row r="541" spans="1:3" x14ac:dyDescent="0.25">
      <c r="A541" s="86"/>
      <c r="B541" s="71"/>
      <c r="C541" s="76"/>
    </row>
    <row r="542" spans="1:3" x14ac:dyDescent="0.25">
      <c r="A542" s="86"/>
      <c r="B542" s="71"/>
      <c r="C542" s="76"/>
    </row>
    <row r="543" spans="1:3" x14ac:dyDescent="0.25">
      <c r="A543" s="86"/>
      <c r="B543" s="71"/>
      <c r="C543" s="76"/>
    </row>
    <row r="544" spans="1:3" x14ac:dyDescent="0.25">
      <c r="A544" s="86"/>
      <c r="B544" s="71"/>
      <c r="C544" s="76"/>
    </row>
    <row r="545" spans="1:3" x14ac:dyDescent="0.25">
      <c r="A545" s="86"/>
      <c r="B545" s="71"/>
      <c r="C545" s="76"/>
    </row>
    <row r="546" spans="1:3" x14ac:dyDescent="0.25">
      <c r="A546" s="86"/>
      <c r="B546" s="71"/>
      <c r="C546" s="76"/>
    </row>
    <row r="547" spans="1:3" x14ac:dyDescent="0.25">
      <c r="A547" s="86"/>
      <c r="B547" s="71"/>
      <c r="C547" s="76"/>
    </row>
    <row r="548" spans="1:3" x14ac:dyDescent="0.25">
      <c r="A548" s="86"/>
      <c r="B548" s="71"/>
      <c r="C548" s="76"/>
    </row>
    <row r="549" spans="1:3" x14ac:dyDescent="0.25">
      <c r="A549" s="86"/>
      <c r="B549" s="71"/>
      <c r="C549" s="76"/>
    </row>
    <row r="550" spans="1:3" x14ac:dyDescent="0.25">
      <c r="A550" s="86"/>
      <c r="B550" s="71"/>
      <c r="C550" s="76"/>
    </row>
    <row r="551" spans="1:3" x14ac:dyDescent="0.25">
      <c r="A551" s="86"/>
      <c r="B551" s="71"/>
      <c r="C551" s="76"/>
    </row>
    <row r="552" spans="1:3" x14ac:dyDescent="0.25">
      <c r="A552" s="86"/>
      <c r="B552" s="71"/>
      <c r="C552" s="76"/>
    </row>
    <row r="553" spans="1:3" x14ac:dyDescent="0.25">
      <c r="A553" s="86"/>
      <c r="B553" s="71"/>
      <c r="C553" s="76"/>
    </row>
    <row r="554" spans="1:3" x14ac:dyDescent="0.25">
      <c r="A554" s="86"/>
      <c r="B554" s="71"/>
      <c r="C554" s="76"/>
    </row>
    <row r="555" spans="1:3" x14ac:dyDescent="0.25">
      <c r="A555" s="86"/>
      <c r="B555" s="71"/>
      <c r="C555" s="76"/>
    </row>
    <row r="556" spans="1:3" x14ac:dyDescent="0.25">
      <c r="A556" s="86"/>
      <c r="B556" s="71"/>
      <c r="C556" s="76"/>
    </row>
    <row r="557" spans="1:3" x14ac:dyDescent="0.25">
      <c r="A557" s="86"/>
      <c r="B557" s="71"/>
      <c r="C557" s="76"/>
    </row>
    <row r="558" spans="1:3" x14ac:dyDescent="0.25">
      <c r="A558" s="86"/>
      <c r="B558" s="71"/>
      <c r="C558" s="76"/>
    </row>
    <row r="559" spans="1:3" x14ac:dyDescent="0.25">
      <c r="A559" s="86"/>
      <c r="B559" s="71"/>
      <c r="C559" s="76"/>
    </row>
    <row r="560" spans="1:3" x14ac:dyDescent="0.25">
      <c r="A560" s="86"/>
      <c r="B560" s="71"/>
      <c r="C560" s="76"/>
    </row>
    <row r="561" spans="1:3" x14ac:dyDescent="0.25">
      <c r="A561" s="86"/>
      <c r="B561" s="71"/>
      <c r="C561" s="76"/>
    </row>
    <row r="562" spans="1:3" x14ac:dyDescent="0.25">
      <c r="A562" s="86"/>
      <c r="B562" s="71"/>
      <c r="C562" s="76"/>
    </row>
    <row r="563" spans="1:3" x14ac:dyDescent="0.25">
      <c r="A563" s="86"/>
      <c r="B563" s="71"/>
      <c r="C563" s="76"/>
    </row>
    <row r="564" spans="1:3" x14ac:dyDescent="0.25">
      <c r="A564" s="86"/>
      <c r="B564" s="71"/>
      <c r="C564" s="76"/>
    </row>
    <row r="565" spans="1:3" x14ac:dyDescent="0.25">
      <c r="A565" s="86"/>
      <c r="B565" s="71"/>
      <c r="C565" s="76"/>
    </row>
    <row r="566" spans="1:3" x14ac:dyDescent="0.25">
      <c r="A566" s="86"/>
      <c r="B566" s="71"/>
      <c r="C566" s="76"/>
    </row>
    <row r="567" spans="1:3" x14ac:dyDescent="0.25">
      <c r="A567" s="86"/>
      <c r="B567" s="71"/>
      <c r="C567" s="76"/>
    </row>
    <row r="568" spans="1:3" x14ac:dyDescent="0.25">
      <c r="A568" s="86"/>
      <c r="B568" s="71"/>
      <c r="C568" s="76"/>
    </row>
    <row r="569" spans="1:3" x14ac:dyDescent="0.25">
      <c r="A569" s="86"/>
      <c r="B569" s="71"/>
      <c r="C569" s="76"/>
    </row>
    <row r="570" spans="1:3" x14ac:dyDescent="0.25">
      <c r="A570" s="86"/>
      <c r="B570" s="71"/>
      <c r="C570" s="76"/>
    </row>
    <row r="571" spans="1:3" x14ac:dyDescent="0.25">
      <c r="A571" s="86"/>
      <c r="B571" s="71"/>
      <c r="C571" s="76"/>
    </row>
    <row r="572" spans="1:3" x14ac:dyDescent="0.25">
      <c r="A572" s="86"/>
      <c r="B572" s="71"/>
      <c r="C572" s="76"/>
    </row>
    <row r="573" spans="1:3" x14ac:dyDescent="0.25">
      <c r="A573" s="86"/>
      <c r="B573" s="71"/>
      <c r="C573" s="76"/>
    </row>
    <row r="574" spans="1:3" x14ac:dyDescent="0.25">
      <c r="A574" s="86"/>
      <c r="B574" s="71"/>
      <c r="C574" s="76"/>
    </row>
    <row r="575" spans="1:3" x14ac:dyDescent="0.25">
      <c r="A575" s="86"/>
      <c r="B575" s="71"/>
      <c r="C575" s="76"/>
    </row>
    <row r="576" spans="1:3" x14ac:dyDescent="0.25">
      <c r="A576" s="86"/>
      <c r="B576" s="71"/>
      <c r="C576" s="76"/>
    </row>
    <row r="577" spans="1:3" x14ac:dyDescent="0.25">
      <c r="A577" s="86"/>
      <c r="B577" s="71"/>
      <c r="C577" s="76"/>
    </row>
    <row r="578" spans="1:3" x14ac:dyDescent="0.25">
      <c r="A578" s="86"/>
      <c r="B578" s="71"/>
      <c r="C578" s="76"/>
    </row>
    <row r="579" spans="1:3" x14ac:dyDescent="0.25">
      <c r="A579" s="86"/>
      <c r="B579" s="71"/>
      <c r="C579" s="76"/>
    </row>
    <row r="580" spans="1:3" x14ac:dyDescent="0.25">
      <c r="A580" s="86"/>
      <c r="B580" s="71"/>
      <c r="C580" s="76"/>
    </row>
    <row r="581" spans="1:3" x14ac:dyDescent="0.25">
      <c r="A581" s="86"/>
      <c r="B581" s="71"/>
      <c r="C581" s="76"/>
    </row>
    <row r="582" spans="1:3" x14ac:dyDescent="0.25">
      <c r="A582" s="86"/>
      <c r="B582" s="71"/>
      <c r="C582" s="76"/>
    </row>
    <row r="583" spans="1:3" x14ac:dyDescent="0.25">
      <c r="A583" s="86"/>
      <c r="B583" s="71"/>
      <c r="C583" s="76"/>
    </row>
    <row r="584" spans="1:3" x14ac:dyDescent="0.25">
      <c r="A584" s="86"/>
      <c r="B584" s="71"/>
      <c r="C584" s="76"/>
    </row>
    <row r="585" spans="1:3" x14ac:dyDescent="0.25">
      <c r="A585" s="86"/>
      <c r="B585" s="71"/>
      <c r="C585" s="76"/>
    </row>
    <row r="586" spans="1:3" x14ac:dyDescent="0.25">
      <c r="A586" s="86"/>
      <c r="B586" s="71"/>
      <c r="C586" s="76"/>
    </row>
    <row r="587" spans="1:3" x14ac:dyDescent="0.25">
      <c r="A587" s="86"/>
      <c r="B587" s="71"/>
      <c r="C587" s="76"/>
    </row>
    <row r="588" spans="1:3" x14ac:dyDescent="0.25">
      <c r="A588" s="86"/>
      <c r="B588" s="71"/>
      <c r="C588" s="76"/>
    </row>
    <row r="589" spans="1:3" x14ac:dyDescent="0.25">
      <c r="A589" s="86"/>
      <c r="B589" s="71"/>
      <c r="C589" s="76"/>
    </row>
    <row r="590" spans="1:3" x14ac:dyDescent="0.25">
      <c r="A590" s="86"/>
      <c r="B590" s="71"/>
      <c r="C590" s="76"/>
    </row>
    <row r="591" spans="1:3" x14ac:dyDescent="0.25">
      <c r="A591" s="86"/>
      <c r="B591" s="71"/>
      <c r="C591" s="76"/>
    </row>
    <row r="592" spans="1:3" x14ac:dyDescent="0.25">
      <c r="A592" s="86"/>
      <c r="B592" s="71"/>
      <c r="C592" s="76"/>
    </row>
    <row r="593" spans="1:3" x14ac:dyDescent="0.25">
      <c r="A593" s="86"/>
      <c r="B593" s="71"/>
      <c r="C593" s="76"/>
    </row>
    <row r="594" spans="1:3" x14ac:dyDescent="0.25">
      <c r="A594" s="86"/>
      <c r="B594" s="71"/>
      <c r="C594" s="76"/>
    </row>
    <row r="595" spans="1:3" x14ac:dyDescent="0.25">
      <c r="A595" s="86"/>
      <c r="B595" s="71"/>
      <c r="C595" s="76"/>
    </row>
    <row r="596" spans="1:3" x14ac:dyDescent="0.25">
      <c r="A596" s="86"/>
      <c r="B596" s="71"/>
      <c r="C596" s="76"/>
    </row>
    <row r="597" spans="1:3" x14ac:dyDescent="0.25">
      <c r="A597" s="86"/>
      <c r="B597" s="71"/>
      <c r="C597" s="76"/>
    </row>
    <row r="598" spans="1:3" x14ac:dyDescent="0.25">
      <c r="A598" s="86"/>
      <c r="B598" s="71"/>
      <c r="C598" s="76"/>
    </row>
    <row r="599" spans="1:3" x14ac:dyDescent="0.25">
      <c r="A599" s="86"/>
      <c r="B599" s="71"/>
      <c r="C599" s="76"/>
    </row>
    <row r="600" spans="1:3" x14ac:dyDescent="0.25">
      <c r="A600" s="86"/>
      <c r="B600" s="71"/>
      <c r="C600" s="76"/>
    </row>
    <row r="601" spans="1:3" x14ac:dyDescent="0.25">
      <c r="A601" s="86"/>
      <c r="B601" s="71"/>
      <c r="C601" s="76"/>
    </row>
    <row r="602" spans="1:3" x14ac:dyDescent="0.25">
      <c r="A602" s="86"/>
      <c r="B602" s="71"/>
      <c r="C602" s="76"/>
    </row>
    <row r="603" spans="1:3" x14ac:dyDescent="0.25">
      <c r="A603" s="86"/>
      <c r="B603" s="71"/>
      <c r="C603" s="76"/>
    </row>
    <row r="604" spans="1:3" x14ac:dyDescent="0.25">
      <c r="A604" s="86"/>
      <c r="B604" s="71"/>
      <c r="C604" s="76"/>
    </row>
    <row r="605" spans="1:3" x14ac:dyDescent="0.25">
      <c r="A605" s="86"/>
      <c r="B605" s="71"/>
      <c r="C605" s="76"/>
    </row>
    <row r="606" spans="1:3" x14ac:dyDescent="0.25">
      <c r="A606" s="86"/>
      <c r="B606" s="71"/>
      <c r="C606" s="76"/>
    </row>
    <row r="607" spans="1:3" x14ac:dyDescent="0.25">
      <c r="A607" s="86"/>
      <c r="B607" s="71"/>
      <c r="C607" s="76"/>
    </row>
    <row r="608" spans="1:3" x14ac:dyDescent="0.25">
      <c r="A608" s="86"/>
      <c r="B608" s="71"/>
      <c r="C608" s="76"/>
    </row>
    <row r="609" spans="1:3" x14ac:dyDescent="0.25">
      <c r="A609" s="86"/>
      <c r="B609" s="71"/>
      <c r="C609" s="76"/>
    </row>
    <row r="610" spans="1:3" x14ac:dyDescent="0.25">
      <c r="A610" s="86"/>
      <c r="B610" s="71"/>
      <c r="C610" s="76"/>
    </row>
    <row r="611" spans="1:3" x14ac:dyDescent="0.25">
      <c r="A611" s="86"/>
      <c r="B611" s="71"/>
      <c r="C611" s="76"/>
    </row>
    <row r="612" spans="1:3" x14ac:dyDescent="0.25">
      <c r="A612" s="86"/>
      <c r="B612" s="71"/>
      <c r="C612" s="76"/>
    </row>
    <row r="613" spans="1:3" x14ac:dyDescent="0.25">
      <c r="A613" s="86"/>
      <c r="B613" s="71"/>
      <c r="C613" s="76"/>
    </row>
    <row r="614" spans="1:3" x14ac:dyDescent="0.25">
      <c r="A614" s="86"/>
      <c r="B614" s="71"/>
      <c r="C614" s="76"/>
    </row>
    <row r="615" spans="1:3" x14ac:dyDescent="0.25">
      <c r="A615" s="86"/>
      <c r="B615" s="71"/>
      <c r="C615" s="76"/>
    </row>
    <row r="616" spans="1:3" x14ac:dyDescent="0.25">
      <c r="A616" s="86"/>
      <c r="B616" s="71"/>
      <c r="C616" s="76"/>
    </row>
    <row r="617" spans="1:3" x14ac:dyDescent="0.25">
      <c r="A617" s="86"/>
      <c r="B617" s="71"/>
      <c r="C617" s="76"/>
    </row>
    <row r="618" spans="1:3" x14ac:dyDescent="0.25">
      <c r="A618" s="86"/>
      <c r="B618" s="71"/>
      <c r="C618" s="76"/>
    </row>
    <row r="619" spans="1:3" x14ac:dyDescent="0.25">
      <c r="A619" s="86"/>
      <c r="B619" s="71"/>
      <c r="C619" s="76"/>
    </row>
    <row r="620" spans="1:3" x14ac:dyDescent="0.25">
      <c r="A620" s="86"/>
      <c r="B620" s="71"/>
      <c r="C620" s="76"/>
    </row>
    <row r="621" spans="1:3" x14ac:dyDescent="0.25">
      <c r="A621" s="86"/>
      <c r="B621" s="71"/>
      <c r="C621" s="76"/>
    </row>
    <row r="622" spans="1:3" x14ac:dyDescent="0.25">
      <c r="A622" s="86"/>
      <c r="B622" s="71"/>
      <c r="C622" s="76"/>
    </row>
    <row r="623" spans="1:3" x14ac:dyDescent="0.25">
      <c r="A623" s="86"/>
      <c r="B623" s="71"/>
      <c r="C623" s="76"/>
    </row>
    <row r="624" spans="1:3" x14ac:dyDescent="0.25">
      <c r="A624" s="86"/>
      <c r="B624" s="71"/>
      <c r="C624" s="76"/>
    </row>
    <row r="625" spans="1:3" x14ac:dyDescent="0.25">
      <c r="A625" s="86"/>
      <c r="B625" s="71"/>
      <c r="C625" s="76"/>
    </row>
    <row r="626" spans="1:3" x14ac:dyDescent="0.25">
      <c r="A626" s="86"/>
      <c r="B626" s="71"/>
      <c r="C626" s="76"/>
    </row>
    <row r="627" spans="1:3" x14ac:dyDescent="0.25">
      <c r="A627" s="86"/>
      <c r="B627" s="71"/>
      <c r="C627" s="76"/>
    </row>
    <row r="628" spans="1:3" x14ac:dyDescent="0.25">
      <c r="A628" s="86"/>
      <c r="B628" s="71"/>
      <c r="C628" s="76"/>
    </row>
    <row r="629" spans="1:3" x14ac:dyDescent="0.25">
      <c r="A629" s="86"/>
      <c r="B629" s="71"/>
      <c r="C629" s="76"/>
    </row>
    <row r="630" spans="1:3" x14ac:dyDescent="0.25">
      <c r="A630" s="86"/>
      <c r="B630" s="71"/>
      <c r="C630" s="76"/>
    </row>
    <row r="631" spans="1:3" x14ac:dyDescent="0.25">
      <c r="A631" s="86"/>
      <c r="B631" s="71"/>
      <c r="C631" s="76"/>
    </row>
    <row r="632" spans="1:3" x14ac:dyDescent="0.25">
      <c r="A632" s="86"/>
      <c r="B632" s="71"/>
      <c r="C632" s="76"/>
    </row>
    <row r="633" spans="1:3" x14ac:dyDescent="0.25">
      <c r="A633" s="86"/>
      <c r="B633" s="71"/>
      <c r="C633" s="76"/>
    </row>
    <row r="634" spans="1:3" x14ac:dyDescent="0.25">
      <c r="A634" s="86"/>
      <c r="B634" s="71"/>
      <c r="C634" s="76"/>
    </row>
    <row r="635" spans="1:3" x14ac:dyDescent="0.25">
      <c r="A635" s="86"/>
      <c r="B635" s="71"/>
      <c r="C635" s="76"/>
    </row>
    <row r="636" spans="1:3" x14ac:dyDescent="0.25">
      <c r="A636" s="86"/>
      <c r="B636" s="71"/>
      <c r="C636" s="76"/>
    </row>
    <row r="637" spans="1:3" x14ac:dyDescent="0.25">
      <c r="A637" s="86"/>
      <c r="B637" s="71"/>
      <c r="C637" s="76"/>
    </row>
    <row r="638" spans="1:3" x14ac:dyDescent="0.25">
      <c r="A638" s="86"/>
      <c r="B638" s="71"/>
      <c r="C638" s="76"/>
    </row>
    <row r="639" spans="1:3" x14ac:dyDescent="0.25">
      <c r="A639" s="86"/>
      <c r="B639" s="71"/>
      <c r="C639" s="76"/>
    </row>
    <row r="640" spans="1:3" x14ac:dyDescent="0.25">
      <c r="A640" s="86"/>
      <c r="B640" s="71"/>
      <c r="C640" s="76"/>
    </row>
    <row r="641" spans="1:3" x14ac:dyDescent="0.25">
      <c r="A641" s="86"/>
      <c r="B641" s="71"/>
      <c r="C641" s="76"/>
    </row>
    <row r="642" spans="1:3" x14ac:dyDescent="0.25">
      <c r="A642" s="86"/>
      <c r="B642" s="71"/>
      <c r="C642" s="76"/>
    </row>
    <row r="643" spans="1:3" x14ac:dyDescent="0.25">
      <c r="A643" s="86"/>
      <c r="B643" s="71"/>
      <c r="C643" s="76"/>
    </row>
    <row r="644" spans="1:3" x14ac:dyDescent="0.25">
      <c r="A644" s="86"/>
      <c r="B644" s="71"/>
      <c r="C644" s="76"/>
    </row>
    <row r="645" spans="1:3" x14ac:dyDescent="0.25">
      <c r="A645" s="86"/>
      <c r="B645" s="71"/>
      <c r="C645" s="76"/>
    </row>
    <row r="646" spans="1:3" x14ac:dyDescent="0.25">
      <c r="A646" s="86"/>
      <c r="B646" s="71"/>
      <c r="C646" s="76"/>
    </row>
    <row r="647" spans="1:3" x14ac:dyDescent="0.25">
      <c r="A647" s="86"/>
      <c r="B647" s="71"/>
      <c r="C647" s="76"/>
    </row>
    <row r="648" spans="1:3" x14ac:dyDescent="0.25">
      <c r="A648" s="86"/>
      <c r="B648" s="71"/>
      <c r="C648" s="76"/>
    </row>
    <row r="649" spans="1:3" x14ac:dyDescent="0.25">
      <c r="A649" s="86"/>
      <c r="B649" s="71"/>
      <c r="C649" s="76"/>
    </row>
    <row r="650" spans="1:3" x14ac:dyDescent="0.25">
      <c r="A650" s="86"/>
      <c r="B650" s="71"/>
      <c r="C650" s="76"/>
    </row>
    <row r="651" spans="1:3" x14ac:dyDescent="0.25">
      <c r="A651" s="86"/>
      <c r="B651" s="71"/>
      <c r="C651" s="76"/>
    </row>
    <row r="652" spans="1:3" x14ac:dyDescent="0.25">
      <c r="A652" s="86"/>
      <c r="B652" s="71"/>
      <c r="C652" s="76"/>
    </row>
    <row r="653" spans="1:3" x14ac:dyDescent="0.25">
      <c r="A653" s="86"/>
      <c r="B653" s="71"/>
      <c r="C653" s="76"/>
    </row>
    <row r="654" spans="1:3" x14ac:dyDescent="0.25">
      <c r="A654" s="86"/>
      <c r="B654" s="71"/>
      <c r="C654" s="76"/>
    </row>
    <row r="655" spans="1:3" x14ac:dyDescent="0.25">
      <c r="A655" s="86"/>
      <c r="B655" s="71"/>
      <c r="C655" s="76"/>
    </row>
    <row r="656" spans="1:3" x14ac:dyDescent="0.25">
      <c r="A656" s="86"/>
      <c r="B656" s="71"/>
      <c r="C656" s="76"/>
    </row>
    <row r="657" spans="1:3" x14ac:dyDescent="0.25">
      <c r="A657" s="86"/>
      <c r="B657" s="71"/>
      <c r="C657" s="76"/>
    </row>
    <row r="658" spans="1:3" x14ac:dyDescent="0.25">
      <c r="A658" s="86"/>
      <c r="B658" s="71"/>
      <c r="C658" s="76"/>
    </row>
    <row r="659" spans="1:3" x14ac:dyDescent="0.25">
      <c r="A659" s="86"/>
      <c r="B659" s="71"/>
      <c r="C659" s="76"/>
    </row>
    <row r="660" spans="1:3" x14ac:dyDescent="0.25">
      <c r="A660" s="86"/>
      <c r="B660" s="71"/>
      <c r="C660" s="76"/>
    </row>
    <row r="661" spans="1:3" x14ac:dyDescent="0.25">
      <c r="A661" s="86"/>
      <c r="B661" s="71"/>
      <c r="C661" s="76"/>
    </row>
    <row r="662" spans="1:3" x14ac:dyDescent="0.25">
      <c r="A662" s="86"/>
      <c r="B662" s="71"/>
      <c r="C662" s="76"/>
    </row>
    <row r="663" spans="1:3" x14ac:dyDescent="0.25">
      <c r="A663" s="86"/>
      <c r="B663" s="71"/>
      <c r="C663" s="76"/>
    </row>
    <row r="664" spans="1:3" x14ac:dyDescent="0.25">
      <c r="A664" s="86"/>
      <c r="B664" s="71"/>
      <c r="C664" s="76"/>
    </row>
    <row r="665" spans="1:3" x14ac:dyDescent="0.25">
      <c r="A665" s="86"/>
      <c r="B665" s="71"/>
      <c r="C665" s="76"/>
    </row>
    <row r="666" spans="1:3" x14ac:dyDescent="0.25">
      <c r="A666" s="86"/>
      <c r="B666" s="71"/>
      <c r="C666" s="76"/>
    </row>
    <row r="667" spans="1:3" x14ac:dyDescent="0.25">
      <c r="A667" s="86"/>
      <c r="B667" s="71"/>
      <c r="C667" s="76"/>
    </row>
    <row r="668" spans="1:3" x14ac:dyDescent="0.25">
      <c r="A668" s="86"/>
      <c r="B668" s="71"/>
      <c r="C668" s="76"/>
    </row>
    <row r="669" spans="1:3" x14ac:dyDescent="0.25">
      <c r="A669" s="86"/>
      <c r="B669" s="71"/>
      <c r="C669" s="76"/>
    </row>
    <row r="670" spans="1:3" x14ac:dyDescent="0.25">
      <c r="A670" s="86"/>
      <c r="B670" s="71"/>
      <c r="C670" s="76"/>
    </row>
    <row r="671" spans="1:3" x14ac:dyDescent="0.25">
      <c r="A671" s="86"/>
      <c r="B671" s="71"/>
      <c r="C671" s="76"/>
    </row>
    <row r="672" spans="1:3" x14ac:dyDescent="0.25">
      <c r="A672" s="86"/>
      <c r="B672" s="71"/>
      <c r="C672" s="76"/>
    </row>
    <row r="673" spans="1:3" x14ac:dyDescent="0.25">
      <c r="A673" s="86"/>
      <c r="B673" s="71"/>
      <c r="C673" s="76"/>
    </row>
    <row r="674" spans="1:3" x14ac:dyDescent="0.25">
      <c r="A674" s="86"/>
      <c r="B674" s="71"/>
      <c r="C674" s="76"/>
    </row>
    <row r="675" spans="1:3" x14ac:dyDescent="0.25">
      <c r="A675" s="86"/>
      <c r="B675" s="71"/>
      <c r="C675" s="76"/>
    </row>
    <row r="676" spans="1:3" x14ac:dyDescent="0.25">
      <c r="A676" s="86"/>
      <c r="B676" s="71"/>
      <c r="C676" s="76"/>
    </row>
    <row r="677" spans="1:3" x14ac:dyDescent="0.25">
      <c r="A677" s="86"/>
      <c r="B677" s="71"/>
      <c r="C677" s="76"/>
    </row>
    <row r="678" spans="1:3" x14ac:dyDescent="0.25">
      <c r="A678" s="86"/>
      <c r="B678" s="71"/>
      <c r="C678" s="76"/>
    </row>
    <row r="679" spans="1:3" x14ac:dyDescent="0.25">
      <c r="A679" s="86"/>
      <c r="B679" s="71"/>
      <c r="C679" s="76"/>
    </row>
    <row r="680" spans="1:3" x14ac:dyDescent="0.25">
      <c r="A680" s="86"/>
      <c r="B680" s="71"/>
      <c r="C680" s="76"/>
    </row>
    <row r="681" spans="1:3" x14ac:dyDescent="0.25">
      <c r="A681" s="86"/>
      <c r="B681" s="71"/>
      <c r="C681" s="76"/>
    </row>
    <row r="682" spans="1:3" x14ac:dyDescent="0.25">
      <c r="A682" s="86"/>
      <c r="B682" s="71"/>
      <c r="C682" s="76"/>
    </row>
    <row r="683" spans="1:3" x14ac:dyDescent="0.25">
      <c r="A683" s="86"/>
      <c r="B683" s="71"/>
      <c r="C683" s="76"/>
    </row>
    <row r="684" spans="1:3" x14ac:dyDescent="0.25">
      <c r="A684" s="86"/>
      <c r="B684" s="71"/>
      <c r="C684" s="76"/>
    </row>
    <row r="685" spans="1:3" x14ac:dyDescent="0.25">
      <c r="A685" s="86"/>
      <c r="B685" s="71"/>
      <c r="C685" s="76"/>
    </row>
    <row r="686" spans="1:3" x14ac:dyDescent="0.25">
      <c r="A686" s="86"/>
      <c r="B686" s="71"/>
      <c r="C686" s="76"/>
    </row>
    <row r="687" spans="1:3" x14ac:dyDescent="0.25">
      <c r="A687" s="86"/>
      <c r="B687" s="71"/>
      <c r="C687" s="76"/>
    </row>
    <row r="688" spans="1:3" x14ac:dyDescent="0.25">
      <c r="A688" s="86"/>
      <c r="B688" s="71"/>
      <c r="C688" s="76"/>
    </row>
    <row r="689" spans="1:3" x14ac:dyDescent="0.25">
      <c r="A689" s="86"/>
      <c r="B689" s="71"/>
      <c r="C689" s="76"/>
    </row>
    <row r="690" spans="1:3" x14ac:dyDescent="0.25">
      <c r="A690" s="86"/>
      <c r="B690" s="71"/>
      <c r="C690" s="76"/>
    </row>
    <row r="691" spans="1:3" x14ac:dyDescent="0.25">
      <c r="A691" s="86"/>
      <c r="B691" s="71"/>
      <c r="C691" s="76"/>
    </row>
    <row r="692" spans="1:3" x14ac:dyDescent="0.25">
      <c r="A692" s="86"/>
      <c r="B692" s="71"/>
      <c r="C692" s="76"/>
    </row>
    <row r="693" spans="1:3" x14ac:dyDescent="0.25">
      <c r="A693" s="86"/>
      <c r="B693" s="71"/>
      <c r="C693" s="76"/>
    </row>
    <row r="694" spans="1:3" x14ac:dyDescent="0.25">
      <c r="A694" s="86"/>
      <c r="B694" s="71"/>
      <c r="C694" s="76"/>
    </row>
    <row r="695" spans="1:3" x14ac:dyDescent="0.25">
      <c r="A695" s="86"/>
      <c r="B695" s="71"/>
      <c r="C695" s="76"/>
    </row>
    <row r="696" spans="1:3" x14ac:dyDescent="0.25">
      <c r="A696" s="86"/>
      <c r="B696" s="71"/>
      <c r="C696" s="76"/>
    </row>
    <row r="697" spans="1:3" x14ac:dyDescent="0.25">
      <c r="A697" s="86"/>
      <c r="B697" s="71"/>
      <c r="C697" s="76"/>
    </row>
    <row r="698" spans="1:3" x14ac:dyDescent="0.25">
      <c r="A698" s="86"/>
      <c r="B698" s="71"/>
      <c r="C698" s="76"/>
    </row>
    <row r="699" spans="1:3" x14ac:dyDescent="0.25">
      <c r="A699" s="86"/>
      <c r="B699" s="71"/>
      <c r="C699" s="76"/>
    </row>
    <row r="700" spans="1:3" x14ac:dyDescent="0.25">
      <c r="A700" s="86"/>
      <c r="B700" s="71"/>
      <c r="C700" s="76"/>
    </row>
    <row r="701" spans="1:3" x14ac:dyDescent="0.25">
      <c r="A701" s="86"/>
      <c r="B701" s="71"/>
      <c r="C701" s="76"/>
    </row>
    <row r="702" spans="1:3" x14ac:dyDescent="0.25">
      <c r="A702" s="86"/>
      <c r="B702" s="71"/>
      <c r="C702" s="76"/>
    </row>
    <row r="703" spans="1:3" x14ac:dyDescent="0.25">
      <c r="A703" s="86"/>
      <c r="B703" s="71"/>
      <c r="C703" s="76"/>
    </row>
    <row r="704" spans="1:3" x14ac:dyDescent="0.25">
      <c r="A704" s="86"/>
      <c r="B704" s="71"/>
      <c r="C704" s="76"/>
    </row>
    <row r="705" spans="1:3" x14ac:dyDescent="0.25">
      <c r="A705" s="86"/>
      <c r="B705" s="71"/>
      <c r="C705" s="76"/>
    </row>
    <row r="706" spans="1:3" x14ac:dyDescent="0.25">
      <c r="A706" s="86"/>
      <c r="B706" s="71"/>
      <c r="C706" s="76"/>
    </row>
    <row r="707" spans="1:3" x14ac:dyDescent="0.25">
      <c r="A707" s="86"/>
      <c r="B707" s="71"/>
      <c r="C707" s="76"/>
    </row>
    <row r="708" spans="1:3" x14ac:dyDescent="0.25">
      <c r="A708" s="86"/>
      <c r="B708" s="71"/>
      <c r="C708" s="76"/>
    </row>
    <row r="709" spans="1:3" x14ac:dyDescent="0.25">
      <c r="A709" s="86"/>
      <c r="B709" s="71"/>
      <c r="C709" s="76"/>
    </row>
    <row r="710" spans="1:3" x14ac:dyDescent="0.25">
      <c r="A710" s="86"/>
      <c r="B710" s="71"/>
      <c r="C710" s="76"/>
    </row>
    <row r="711" spans="1:3" x14ac:dyDescent="0.25">
      <c r="A711" s="86"/>
      <c r="B711" s="71"/>
      <c r="C711" s="76"/>
    </row>
    <row r="712" spans="1:3" x14ac:dyDescent="0.25">
      <c r="A712" s="86"/>
      <c r="B712" s="71"/>
      <c r="C712" s="76"/>
    </row>
    <row r="713" spans="1:3" x14ac:dyDescent="0.25">
      <c r="A713" s="86"/>
      <c r="B713" s="71"/>
      <c r="C713" s="76"/>
    </row>
    <row r="714" spans="1:3" x14ac:dyDescent="0.25">
      <c r="A714" s="86"/>
      <c r="B714" s="71"/>
      <c r="C714" s="76"/>
    </row>
    <row r="715" spans="1:3" x14ac:dyDescent="0.25">
      <c r="A715" s="86"/>
      <c r="B715" s="71"/>
      <c r="C715" s="76"/>
    </row>
    <row r="716" spans="1:3" x14ac:dyDescent="0.25">
      <c r="A716" s="86"/>
      <c r="B716" s="71"/>
      <c r="C716" s="76"/>
    </row>
    <row r="717" spans="1:3" x14ac:dyDescent="0.25">
      <c r="A717" s="86"/>
      <c r="B717" s="71"/>
      <c r="C717" s="76"/>
    </row>
    <row r="718" spans="1:3" x14ac:dyDescent="0.25">
      <c r="A718" s="86"/>
      <c r="B718" s="71"/>
      <c r="C718" s="76"/>
    </row>
    <row r="719" spans="1:3" x14ac:dyDescent="0.25">
      <c r="A719" s="86"/>
      <c r="B719" s="71"/>
      <c r="C719" s="76"/>
    </row>
    <row r="720" spans="1:3" x14ac:dyDescent="0.25">
      <c r="A720" s="86"/>
      <c r="B720" s="71"/>
      <c r="C720" s="76"/>
    </row>
    <row r="721" spans="1:3" x14ac:dyDescent="0.25">
      <c r="A721" s="86"/>
      <c r="B721" s="71"/>
      <c r="C721" s="76"/>
    </row>
    <row r="722" spans="1:3" x14ac:dyDescent="0.25">
      <c r="A722" s="86"/>
      <c r="B722" s="71"/>
      <c r="C722" s="76"/>
    </row>
    <row r="723" spans="1:3" x14ac:dyDescent="0.25">
      <c r="A723" s="86"/>
      <c r="B723" s="71"/>
      <c r="C723" s="76"/>
    </row>
    <row r="724" spans="1:3" x14ac:dyDescent="0.25">
      <c r="A724" s="86"/>
      <c r="B724" s="71"/>
      <c r="C724" s="76"/>
    </row>
    <row r="725" spans="1:3" x14ac:dyDescent="0.25">
      <c r="A725" s="86"/>
      <c r="B725" s="71"/>
      <c r="C725" s="76"/>
    </row>
    <row r="726" spans="1:3" x14ac:dyDescent="0.25">
      <c r="A726" s="86"/>
      <c r="B726" s="71"/>
      <c r="C726" s="76"/>
    </row>
    <row r="727" spans="1:3" x14ac:dyDescent="0.25">
      <c r="A727" s="86"/>
      <c r="B727" s="71"/>
      <c r="C727" s="76"/>
    </row>
    <row r="728" spans="1:3" x14ac:dyDescent="0.25">
      <c r="A728" s="86"/>
      <c r="B728" s="71"/>
      <c r="C728" s="76"/>
    </row>
    <row r="729" spans="1:3" x14ac:dyDescent="0.25">
      <c r="A729" s="86"/>
      <c r="B729" s="71"/>
      <c r="C729" s="76"/>
    </row>
    <row r="730" spans="1:3" x14ac:dyDescent="0.25">
      <c r="A730" s="86"/>
      <c r="B730" s="71"/>
      <c r="C730" s="76"/>
    </row>
    <row r="731" spans="1:3" x14ac:dyDescent="0.25">
      <c r="A731" s="86"/>
      <c r="B731" s="71"/>
      <c r="C731" s="76"/>
    </row>
    <row r="732" spans="1:3" x14ac:dyDescent="0.25">
      <c r="A732" s="86"/>
      <c r="B732" s="71"/>
      <c r="C732" s="76"/>
    </row>
    <row r="733" spans="1:3" x14ac:dyDescent="0.25">
      <c r="A733" s="86"/>
      <c r="B733" s="71"/>
      <c r="C733" s="76"/>
    </row>
    <row r="734" spans="1:3" x14ac:dyDescent="0.25">
      <c r="A734" s="86"/>
      <c r="B734" s="71"/>
      <c r="C734" s="76"/>
    </row>
    <row r="735" spans="1:3" x14ac:dyDescent="0.25">
      <c r="A735" s="86"/>
      <c r="B735" s="71"/>
      <c r="C735" s="76"/>
    </row>
    <row r="736" spans="1:3" x14ac:dyDescent="0.25">
      <c r="A736" s="86"/>
      <c r="B736" s="71"/>
      <c r="C736" s="76"/>
    </row>
    <row r="737" spans="1:3" x14ac:dyDescent="0.25">
      <c r="A737" s="86"/>
      <c r="B737" s="71"/>
      <c r="C737" s="76"/>
    </row>
    <row r="738" spans="1:3" x14ac:dyDescent="0.25">
      <c r="A738" s="86"/>
      <c r="B738" s="71"/>
      <c r="C738" s="76"/>
    </row>
    <row r="739" spans="1:3" x14ac:dyDescent="0.25">
      <c r="A739" s="86"/>
      <c r="B739" s="71"/>
      <c r="C739" s="76"/>
    </row>
    <row r="740" spans="1:3" x14ac:dyDescent="0.25">
      <c r="A740" s="86"/>
      <c r="B740" s="71"/>
      <c r="C740" s="76"/>
    </row>
    <row r="741" spans="1:3" x14ac:dyDescent="0.25">
      <c r="A741" s="86"/>
      <c r="B741" s="71"/>
      <c r="C741" s="76"/>
    </row>
    <row r="742" spans="1:3" x14ac:dyDescent="0.25">
      <c r="A742" s="86"/>
      <c r="B742" s="71"/>
      <c r="C742" s="76"/>
    </row>
    <row r="743" spans="1:3" x14ac:dyDescent="0.25">
      <c r="A743" s="86"/>
      <c r="B743" s="71"/>
      <c r="C743" s="76"/>
    </row>
    <row r="744" spans="1:3" x14ac:dyDescent="0.25">
      <c r="A744" s="86"/>
      <c r="B744" s="71"/>
      <c r="C744" s="76"/>
    </row>
    <row r="745" spans="1:3" x14ac:dyDescent="0.25">
      <c r="A745" s="86"/>
      <c r="B745" s="71"/>
      <c r="C745" s="76"/>
    </row>
    <row r="746" spans="1:3" x14ac:dyDescent="0.25">
      <c r="A746" s="86"/>
      <c r="B746" s="71"/>
      <c r="C746" s="76"/>
    </row>
    <row r="747" spans="1:3" x14ac:dyDescent="0.25">
      <c r="A747" s="86"/>
      <c r="B747" s="71"/>
      <c r="C747" s="76"/>
    </row>
    <row r="748" spans="1:3" x14ac:dyDescent="0.25">
      <c r="A748" s="86"/>
      <c r="B748" s="71"/>
      <c r="C748" s="76"/>
    </row>
    <row r="749" spans="1:3" x14ac:dyDescent="0.25">
      <c r="A749" s="86"/>
      <c r="B749" s="71"/>
      <c r="C749" s="76"/>
    </row>
    <row r="750" spans="1:3" x14ac:dyDescent="0.25">
      <c r="A750" s="86"/>
      <c r="B750" s="71"/>
      <c r="C750" s="76"/>
    </row>
    <row r="751" spans="1:3" x14ac:dyDescent="0.25">
      <c r="A751" s="86"/>
      <c r="B751" s="71"/>
      <c r="C751" s="76"/>
    </row>
    <row r="752" spans="1:3" x14ac:dyDescent="0.25">
      <c r="A752" s="86"/>
      <c r="B752" s="71"/>
      <c r="C752" s="76"/>
    </row>
    <row r="753" spans="1:3" x14ac:dyDescent="0.25">
      <c r="A753" s="86"/>
      <c r="B753" s="71"/>
      <c r="C753" s="76"/>
    </row>
    <row r="754" spans="1:3" x14ac:dyDescent="0.25">
      <c r="A754" s="86"/>
      <c r="B754" s="71"/>
      <c r="C754" s="76"/>
    </row>
    <row r="755" spans="1:3" x14ac:dyDescent="0.25">
      <c r="A755" s="86"/>
      <c r="B755" s="71"/>
      <c r="C755" s="76"/>
    </row>
    <row r="756" spans="1:3" x14ac:dyDescent="0.25">
      <c r="A756" s="86"/>
      <c r="B756" s="71"/>
      <c r="C756" s="76"/>
    </row>
    <row r="757" spans="1:3" x14ac:dyDescent="0.25">
      <c r="A757" s="86"/>
      <c r="B757" s="71"/>
      <c r="C757" s="76"/>
    </row>
    <row r="758" spans="1:3" x14ac:dyDescent="0.25">
      <c r="A758" s="86"/>
      <c r="B758" s="71"/>
      <c r="C758" s="76"/>
    </row>
    <row r="759" spans="1:3" x14ac:dyDescent="0.25">
      <c r="A759" s="86"/>
      <c r="B759" s="71"/>
      <c r="C759" s="76"/>
    </row>
    <row r="760" spans="1:3" x14ac:dyDescent="0.25">
      <c r="A760" s="86"/>
      <c r="B760" s="71"/>
      <c r="C760" s="76"/>
    </row>
    <row r="761" spans="1:3" x14ac:dyDescent="0.25">
      <c r="A761" s="86"/>
      <c r="B761" s="71"/>
      <c r="C761" s="76"/>
    </row>
    <row r="762" spans="1:3" x14ac:dyDescent="0.25">
      <c r="A762" s="86"/>
      <c r="B762" s="71"/>
      <c r="C762" s="76"/>
    </row>
    <row r="763" spans="1:3" x14ac:dyDescent="0.25">
      <c r="A763" s="86"/>
      <c r="B763" s="71"/>
      <c r="C763" s="76"/>
    </row>
    <row r="764" spans="1:3" x14ac:dyDescent="0.25">
      <c r="A764" s="86"/>
      <c r="B764" s="71"/>
      <c r="C764" s="76"/>
    </row>
    <row r="765" spans="1:3" x14ac:dyDescent="0.25">
      <c r="A765" s="86"/>
      <c r="B765" s="71"/>
      <c r="C765" s="76"/>
    </row>
    <row r="766" spans="1:3" x14ac:dyDescent="0.25">
      <c r="A766" s="86"/>
      <c r="B766" s="71"/>
      <c r="C766" s="76"/>
    </row>
    <row r="767" spans="1:3" x14ac:dyDescent="0.25">
      <c r="A767" s="86"/>
      <c r="B767" s="71"/>
      <c r="C767" s="76"/>
    </row>
    <row r="768" spans="1:3" x14ac:dyDescent="0.25">
      <c r="A768" s="86"/>
      <c r="B768" s="71"/>
      <c r="C768" s="76"/>
    </row>
    <row r="769" spans="1:3" x14ac:dyDescent="0.25">
      <c r="A769" s="86"/>
      <c r="B769" s="71"/>
      <c r="C769" s="76"/>
    </row>
    <row r="770" spans="1:3" x14ac:dyDescent="0.25">
      <c r="A770" s="86"/>
      <c r="B770" s="71"/>
      <c r="C770" s="76"/>
    </row>
    <row r="771" spans="1:3" x14ac:dyDescent="0.25">
      <c r="A771" s="86"/>
      <c r="B771" s="71"/>
      <c r="C771" s="76"/>
    </row>
    <row r="772" spans="1:3" x14ac:dyDescent="0.25">
      <c r="A772" s="86"/>
      <c r="B772" s="71"/>
      <c r="C772" s="76"/>
    </row>
    <row r="773" spans="1:3" x14ac:dyDescent="0.25">
      <c r="A773" s="86"/>
      <c r="B773" s="71"/>
      <c r="C773" s="76"/>
    </row>
    <row r="774" spans="1:3" x14ac:dyDescent="0.25">
      <c r="A774" s="86"/>
      <c r="B774" s="71"/>
      <c r="C774" s="76"/>
    </row>
    <row r="775" spans="1:3" x14ac:dyDescent="0.25">
      <c r="A775" s="86"/>
      <c r="B775" s="71"/>
      <c r="C775" s="76"/>
    </row>
    <row r="776" spans="1:3" x14ac:dyDescent="0.25">
      <c r="A776" s="86"/>
      <c r="B776" s="71"/>
      <c r="C776" s="76"/>
    </row>
    <row r="777" spans="1:3" x14ac:dyDescent="0.25">
      <c r="A777" s="86"/>
      <c r="B777" s="71"/>
      <c r="C777" s="76"/>
    </row>
    <row r="778" spans="1:3" x14ac:dyDescent="0.25">
      <c r="A778" s="86"/>
      <c r="B778" s="71"/>
      <c r="C778" s="76"/>
    </row>
    <row r="779" spans="1:3" x14ac:dyDescent="0.25">
      <c r="A779" s="86"/>
      <c r="B779" s="71"/>
      <c r="C779" s="76"/>
    </row>
    <row r="780" spans="1:3" x14ac:dyDescent="0.25">
      <c r="A780" s="86"/>
      <c r="B780" s="71"/>
      <c r="C780" s="76"/>
    </row>
    <row r="781" spans="1:3" x14ac:dyDescent="0.25">
      <c r="A781" s="86"/>
      <c r="B781" s="71"/>
      <c r="C781" s="76"/>
    </row>
    <row r="782" spans="1:3" x14ac:dyDescent="0.25">
      <c r="A782" s="86"/>
      <c r="B782" s="71"/>
      <c r="C782" s="76"/>
    </row>
    <row r="783" spans="1:3" x14ac:dyDescent="0.25">
      <c r="A783" s="86"/>
      <c r="B783" s="71"/>
      <c r="C783" s="76"/>
    </row>
    <row r="784" spans="1:3" x14ac:dyDescent="0.25">
      <c r="A784" s="86"/>
      <c r="B784" s="71"/>
      <c r="C784" s="76"/>
    </row>
    <row r="785" spans="1:3" x14ac:dyDescent="0.25">
      <c r="A785" s="86"/>
      <c r="B785" s="71"/>
      <c r="C785" s="76"/>
    </row>
    <row r="786" spans="1:3" x14ac:dyDescent="0.25">
      <c r="A786" s="86"/>
      <c r="B786" s="71"/>
      <c r="C786" s="76"/>
    </row>
    <row r="787" spans="1:3" x14ac:dyDescent="0.25">
      <c r="A787" s="86"/>
      <c r="B787" s="71"/>
      <c r="C787" s="76"/>
    </row>
    <row r="788" spans="1:3" x14ac:dyDescent="0.25">
      <c r="A788" s="86"/>
      <c r="B788" s="71"/>
      <c r="C788" s="76"/>
    </row>
    <row r="789" spans="1:3" x14ac:dyDescent="0.25">
      <c r="A789" s="86"/>
      <c r="B789" s="71"/>
      <c r="C789" s="76"/>
    </row>
    <row r="790" spans="1:3" x14ac:dyDescent="0.25">
      <c r="A790" s="86"/>
      <c r="B790" s="71"/>
      <c r="C790" s="76"/>
    </row>
    <row r="791" spans="1:3" x14ac:dyDescent="0.25">
      <c r="A791" s="86"/>
      <c r="B791" s="71"/>
      <c r="C791" s="76"/>
    </row>
    <row r="792" spans="1:3" x14ac:dyDescent="0.25">
      <c r="A792" s="86"/>
      <c r="B792" s="71"/>
      <c r="C792" s="76"/>
    </row>
    <row r="793" spans="1:3" x14ac:dyDescent="0.25">
      <c r="A793" s="86"/>
      <c r="B793" s="71"/>
      <c r="C793" s="76"/>
    </row>
    <row r="794" spans="1:3" x14ac:dyDescent="0.25">
      <c r="A794" s="86"/>
      <c r="B794" s="71"/>
      <c r="C794" s="76"/>
    </row>
    <row r="795" spans="1:3" x14ac:dyDescent="0.25">
      <c r="A795" s="86"/>
      <c r="B795" s="71"/>
      <c r="C795" s="76"/>
    </row>
    <row r="796" spans="1:3" x14ac:dyDescent="0.25">
      <c r="A796" s="86"/>
      <c r="B796" s="71"/>
      <c r="C796" s="76"/>
    </row>
    <row r="797" spans="1:3" x14ac:dyDescent="0.25">
      <c r="A797" s="86"/>
      <c r="B797" s="71"/>
      <c r="C797" s="76"/>
    </row>
    <row r="798" spans="1:3" x14ac:dyDescent="0.25">
      <c r="A798" s="86"/>
      <c r="B798" s="71"/>
      <c r="C798" s="76"/>
    </row>
  </sheetData>
  <autoFilter ref="A3:C519" xr:uid="{00000000-0009-0000-0000-000000000000}"/>
  <sortState xmlns:xlrd2="http://schemas.microsoft.com/office/spreadsheetml/2017/richdata2" ref="A5:C508">
    <sortCondition ref="B5:B508"/>
  </sortState>
  <conditionalFormatting sqref="A10">
    <cfRule type="expression" dxfId="52" priority="83" stopIfTrue="1">
      <formula>AB10="ERROR CUIT"</formula>
    </cfRule>
  </conditionalFormatting>
  <conditionalFormatting sqref="A12:A13">
    <cfRule type="expression" dxfId="51" priority="55" stopIfTrue="1">
      <formula>AC12="ERROR CUIT"</formula>
    </cfRule>
  </conditionalFormatting>
  <conditionalFormatting sqref="A15">
    <cfRule type="expression" dxfId="50" priority="50" stopIfTrue="1">
      <formula>AG26="ERROR CUIT"</formula>
    </cfRule>
  </conditionalFormatting>
  <conditionalFormatting sqref="A16:A19">
    <cfRule type="expression" dxfId="49" priority="46" stopIfTrue="1">
      <formula>AC16="ERROR CUIT"</formula>
    </cfRule>
  </conditionalFormatting>
  <conditionalFormatting sqref="A21:A24">
    <cfRule type="expression" dxfId="48" priority="51" stopIfTrue="1">
      <formula>AC21="ERROR CUIT"</formula>
    </cfRule>
  </conditionalFormatting>
  <conditionalFormatting sqref="A27">
    <cfRule type="expression" dxfId="47" priority="25" stopIfTrue="1">
      <formula>AC27="ERROR CUIT"</formula>
    </cfRule>
  </conditionalFormatting>
  <conditionalFormatting sqref="A55 A62">
    <cfRule type="expression" dxfId="46" priority="82" stopIfTrue="1">
      <formula>Y55="ERROR CUIT"</formula>
    </cfRule>
  </conditionalFormatting>
  <conditionalFormatting sqref="A57:A58">
    <cfRule type="expression" dxfId="45" priority="80" stopIfTrue="1">
      <formula>Y57="ERROR CUIT"</formula>
    </cfRule>
  </conditionalFormatting>
  <conditionalFormatting sqref="A59:A61">
    <cfRule type="expression" dxfId="44" priority="6" stopIfTrue="1">
      <formula>Z59="ERROR CUIT"</formula>
    </cfRule>
  </conditionalFormatting>
  <conditionalFormatting sqref="A63">
    <cfRule type="expression" dxfId="43" priority="5" stopIfTrue="1">
      <formula>Z63="ERROR CUIT"</formula>
    </cfRule>
  </conditionalFormatting>
  <conditionalFormatting sqref="A64:A65">
    <cfRule type="expression" dxfId="42" priority="3" stopIfTrue="1">
      <formula>AC64="ERROR CUIT"</formula>
    </cfRule>
  </conditionalFormatting>
  <conditionalFormatting sqref="A75">
    <cfRule type="expression" dxfId="41" priority="24" stopIfTrue="1">
      <formula>AC75="ERROR CUIT"</formula>
    </cfRule>
  </conditionalFormatting>
  <conditionalFormatting sqref="A76:A77">
    <cfRule type="expression" dxfId="40" priority="74" stopIfTrue="1">
      <formula>AB76="ERROR CUIT"</formula>
    </cfRule>
  </conditionalFormatting>
  <conditionalFormatting sqref="A79">
    <cfRule type="expression" dxfId="39" priority="73" stopIfTrue="1">
      <formula>AB79="ERROR CUIT"</formula>
    </cfRule>
  </conditionalFormatting>
  <conditionalFormatting sqref="A80">
    <cfRule type="expression" dxfId="38" priority="57" stopIfTrue="1">
      <formula>AC80="ERROR CUIT"</formula>
    </cfRule>
  </conditionalFormatting>
  <conditionalFormatting sqref="A81:A89">
    <cfRule type="expression" dxfId="37" priority="64" stopIfTrue="1">
      <formula>AB81="ERROR CUIT"</formula>
    </cfRule>
  </conditionalFormatting>
  <conditionalFormatting sqref="A92:A95">
    <cfRule type="expression" dxfId="36" priority="76" stopIfTrue="1">
      <formula>AB92="ERROR CUIT"</formula>
    </cfRule>
  </conditionalFormatting>
  <conditionalFormatting sqref="A107">
    <cfRule type="expression" dxfId="35" priority="63" stopIfTrue="1">
      <formula>AB107="ERROR CUIT"</formula>
    </cfRule>
  </conditionalFormatting>
  <conditionalFormatting sqref="A110:A121">
    <cfRule type="expression" dxfId="34" priority="1" stopIfTrue="1">
      <formula>AC110="ERROR CUIT"</formula>
    </cfRule>
  </conditionalFormatting>
  <conditionalFormatting sqref="A123:A125">
    <cfRule type="expression" dxfId="33" priority="37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 xr:uid="{00000000-0002-0000-0000-000000000000}">
      <formula1>11</formula1>
    </dataValidation>
    <dataValidation type="textLength" allowBlank="1" showInputMessage="1" showErrorMessage="1" sqref="B1:B48 B54:B1048576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28"/>
  <sheetViews>
    <sheetView zoomScaleNormal="100" workbookViewId="0">
      <selection activeCell="A180" sqref="A180:XFD180"/>
    </sheetView>
  </sheetViews>
  <sheetFormatPr baseColWidth="10" defaultColWidth="9.140625" defaultRowHeight="15" x14ac:dyDescent="0.25"/>
  <cols>
    <col min="1" max="1" width="12.5703125" style="53" customWidth="1"/>
    <col min="2" max="2" width="15.42578125" style="6" customWidth="1"/>
    <col min="3" max="3" width="14.28515625" style="6" customWidth="1"/>
    <col min="4" max="4" width="14" style="32" customWidth="1"/>
    <col min="5" max="5" width="27.85546875" customWidth="1"/>
    <col min="6" max="6" width="13.7109375" style="6" customWidth="1"/>
    <col min="7" max="7" width="12.85546875" style="6" customWidth="1"/>
    <col min="8" max="8" width="12.28515625" style="6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 x14ac:dyDescent="0.3">
      <c r="A1" s="236" t="s">
        <v>28</v>
      </c>
      <c r="B1" s="236"/>
      <c r="C1" s="236"/>
      <c r="D1" s="236"/>
      <c r="E1" s="236"/>
      <c r="F1" s="236"/>
      <c r="G1" s="236"/>
      <c r="H1" s="236"/>
      <c r="I1" s="236"/>
      <c r="J1" s="237">
        <v>45108</v>
      </c>
      <c r="K1" s="237"/>
      <c r="L1" s="237"/>
      <c r="M1" s="237"/>
      <c r="N1" s="237"/>
    </row>
    <row r="2" spans="1:16" ht="18.75" x14ac:dyDescent="0.3">
      <c r="A2" s="52"/>
      <c r="B2" s="8"/>
      <c r="C2" s="8"/>
      <c r="D2" s="31"/>
      <c r="E2" s="202"/>
      <c r="F2" s="41"/>
      <c r="G2" s="42"/>
      <c r="H2" s="42"/>
      <c r="I2" s="9"/>
      <c r="J2" s="9"/>
      <c r="K2" s="7"/>
      <c r="L2" s="7"/>
    </row>
    <row r="3" spans="1:16" ht="15.75" thickBot="1" x14ac:dyDescent="0.3">
      <c r="F3" s="8"/>
      <c r="G3" s="43"/>
      <c r="H3" s="44"/>
      <c r="I3" s="15"/>
      <c r="J3" s="7"/>
      <c r="K3" s="7"/>
    </row>
    <row r="4" spans="1:16" ht="16.5" thickBot="1" x14ac:dyDescent="0.3">
      <c r="A4" s="241" t="s">
        <v>6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3"/>
    </row>
    <row r="5" spans="1:16" ht="15.75" thickBot="1" x14ac:dyDescent="0.3">
      <c r="A5" s="54"/>
      <c r="B5" s="3"/>
      <c r="C5" s="3"/>
      <c r="D5" s="33"/>
      <c r="E5" s="3"/>
      <c r="F5" s="27"/>
      <c r="G5" s="27"/>
      <c r="H5" s="27"/>
      <c r="I5" s="3"/>
      <c r="J5" s="1"/>
      <c r="K5" s="1"/>
    </row>
    <row r="6" spans="1:16" ht="16.5" thickBot="1" x14ac:dyDescent="0.3">
      <c r="A6" s="238" t="s">
        <v>20</v>
      </c>
      <c r="B6" s="239"/>
      <c r="C6" s="240"/>
      <c r="D6" s="33"/>
      <c r="E6" s="3"/>
      <c r="F6" s="27"/>
      <c r="G6" s="27"/>
      <c r="H6" s="27"/>
      <c r="I6" s="3"/>
      <c r="J6" s="1"/>
      <c r="K6" s="1"/>
    </row>
    <row r="7" spans="1:16" ht="15.75" thickBot="1" x14ac:dyDescent="0.3">
      <c r="A7" s="55" t="s">
        <v>1</v>
      </c>
      <c r="B7" s="26" t="s">
        <v>17</v>
      </c>
      <c r="C7" s="26" t="s">
        <v>5</v>
      </c>
      <c r="D7" s="34" t="s">
        <v>7</v>
      </c>
      <c r="E7" s="20" t="s">
        <v>19</v>
      </c>
      <c r="F7" s="26" t="s">
        <v>8</v>
      </c>
      <c r="G7" s="26" t="s">
        <v>9</v>
      </c>
      <c r="H7" s="26" t="s">
        <v>10</v>
      </c>
      <c r="I7" s="26" t="s">
        <v>11</v>
      </c>
      <c r="J7" s="26" t="s">
        <v>12</v>
      </c>
      <c r="K7" s="26" t="s">
        <v>13</v>
      </c>
      <c r="L7" s="26" t="s">
        <v>14</v>
      </c>
      <c r="M7" s="26" t="s">
        <v>30</v>
      </c>
      <c r="N7" s="26" t="s">
        <v>15</v>
      </c>
      <c r="O7" s="26" t="s">
        <v>4</v>
      </c>
      <c r="P7" s="26" t="s">
        <v>2</v>
      </c>
    </row>
    <row r="8" spans="1:16" ht="15" customHeight="1" x14ac:dyDescent="0.25">
      <c r="A8" s="188" t="s">
        <v>697</v>
      </c>
      <c r="B8" s="18">
        <v>4</v>
      </c>
      <c r="C8" s="190">
        <v>1241</v>
      </c>
      <c r="D8" s="192">
        <v>20224819049</v>
      </c>
      <c r="E8" s="191" t="str">
        <f>VLOOKUP(D8,Configuracion!$A$4:$C$591,2,FALSE)</f>
        <v>ALFONSO BOAVENTURA</v>
      </c>
      <c r="F8" s="195">
        <v>29008.27</v>
      </c>
      <c r="G8" s="45">
        <f t="shared" ref="G8:G16" si="0">F8*21%</f>
        <v>6091.7366999999995</v>
      </c>
      <c r="H8" s="45"/>
      <c r="I8" s="45"/>
      <c r="J8" s="45"/>
      <c r="K8" s="211"/>
      <c r="L8" s="45"/>
      <c r="M8" s="217"/>
      <c r="N8" s="45"/>
      <c r="O8" s="193">
        <f t="shared" ref="O8:O39" si="1">SUM(F8:N8)</f>
        <v>35100.006699999998</v>
      </c>
      <c r="P8" s="198" t="str">
        <f>VLOOKUP(D8,Configuracion!$A$4:$C$591,3,FALSE)</f>
        <v>VARIOS</v>
      </c>
    </row>
    <row r="9" spans="1:16" ht="15" customHeight="1" x14ac:dyDescent="0.25">
      <c r="A9" s="188" t="s">
        <v>704</v>
      </c>
      <c r="B9" s="18">
        <v>8</v>
      </c>
      <c r="C9" s="190">
        <v>1493</v>
      </c>
      <c r="D9" s="192">
        <v>30708973501</v>
      </c>
      <c r="E9" s="191" t="str">
        <f>VLOOKUP(D9,Configuracion!$A$4:$C$591,2,FALSE)</f>
        <v>ASIAL SRL</v>
      </c>
      <c r="F9" s="195">
        <v>290825</v>
      </c>
      <c r="G9" s="45">
        <f t="shared" si="0"/>
        <v>61073.25</v>
      </c>
      <c r="H9" s="45"/>
      <c r="I9" s="45"/>
      <c r="J9" s="45"/>
      <c r="K9" s="211"/>
      <c r="L9" s="45"/>
      <c r="M9" s="217"/>
      <c r="N9" s="45"/>
      <c r="O9" s="193">
        <f t="shared" si="1"/>
        <v>351898.25</v>
      </c>
      <c r="P9" s="198" t="str">
        <f>VLOOKUP(D9,Configuracion!$A$4:$C$591,3,FALSE)</f>
        <v>INSUMOS</v>
      </c>
    </row>
    <row r="10" spans="1:16" ht="15" customHeight="1" x14ac:dyDescent="0.25">
      <c r="A10" s="188" t="s">
        <v>704</v>
      </c>
      <c r="B10" s="18">
        <v>8</v>
      </c>
      <c r="C10" s="190">
        <v>1494</v>
      </c>
      <c r="D10" s="192">
        <v>30708973501</v>
      </c>
      <c r="E10" s="191" t="str">
        <f>VLOOKUP(D10,Configuracion!$A$4:$C$591,2,FALSE)</f>
        <v>ASIAL SRL</v>
      </c>
      <c r="F10" s="195">
        <v>94600</v>
      </c>
      <c r="G10" s="45">
        <f t="shared" si="0"/>
        <v>19866</v>
      </c>
      <c r="H10" s="45"/>
      <c r="I10" s="45"/>
      <c r="J10" s="45"/>
      <c r="K10" s="211"/>
      <c r="L10" s="45"/>
      <c r="M10" s="217"/>
      <c r="N10" s="45"/>
      <c r="O10" s="193">
        <f t="shared" si="1"/>
        <v>114466</v>
      </c>
      <c r="P10" s="198" t="str">
        <f>VLOOKUP(D10,Configuracion!$A$4:$C$591,3,FALSE)</f>
        <v>INSUMOS</v>
      </c>
    </row>
    <row r="11" spans="1:16" ht="15" customHeight="1" x14ac:dyDescent="0.25">
      <c r="A11" s="188" t="s">
        <v>698</v>
      </c>
      <c r="B11" s="18">
        <v>4</v>
      </c>
      <c r="C11" s="190">
        <v>411</v>
      </c>
      <c r="D11" s="192">
        <v>20379223185</v>
      </c>
      <c r="E11" s="191" t="str">
        <f>VLOOKUP(D11,Configuracion!$A$4:$C$591,2,FALSE)</f>
        <v>AYALA MAURICIO JUAN JOSE</v>
      </c>
      <c r="F11" s="195">
        <v>74720</v>
      </c>
      <c r="G11" s="45">
        <f t="shared" si="0"/>
        <v>15691.199999999999</v>
      </c>
      <c r="H11" s="45"/>
      <c r="I11" s="45"/>
      <c r="J11" s="45"/>
      <c r="K11" s="211"/>
      <c r="L11" s="45"/>
      <c r="M11" s="217"/>
      <c r="N11" s="45"/>
      <c r="O11" s="193">
        <f t="shared" si="1"/>
        <v>90411.199999999997</v>
      </c>
      <c r="P11" s="198" t="str">
        <f>VLOOKUP(D11,Configuracion!$A$4:$C$591,3,FALSE)</f>
        <v>PROVEEDOR</v>
      </c>
    </row>
    <row r="12" spans="1:16" ht="15" customHeight="1" x14ac:dyDescent="0.25">
      <c r="A12" s="188" t="s">
        <v>697</v>
      </c>
      <c r="B12" s="18">
        <v>11</v>
      </c>
      <c r="C12" s="190">
        <v>985</v>
      </c>
      <c r="D12" s="192">
        <v>20920321292</v>
      </c>
      <c r="E12" s="191" t="str">
        <f>VLOOKUP(D12,Configuracion!$A$4:$C$591,2,FALSE)</f>
        <v>BELLINI FILIPPINI ALBERTO</v>
      </c>
      <c r="F12" s="195">
        <v>77008.350000000006</v>
      </c>
      <c r="G12" s="45">
        <f t="shared" si="0"/>
        <v>16171.753500000001</v>
      </c>
      <c r="H12" s="45"/>
      <c r="I12" s="45"/>
      <c r="J12" s="45"/>
      <c r="K12" s="211"/>
      <c r="L12" s="45"/>
      <c r="M12" s="217"/>
      <c r="N12" s="45"/>
      <c r="O12" s="193">
        <f t="shared" si="1"/>
        <v>93180.103500000012</v>
      </c>
      <c r="P12" s="198" t="str">
        <f>VLOOKUP(D12,Configuracion!$A$4:$C$591,3,FALSE)</f>
        <v>VARIOS</v>
      </c>
    </row>
    <row r="13" spans="1:16" ht="15" customHeight="1" x14ac:dyDescent="0.25">
      <c r="A13" s="188" t="s">
        <v>696</v>
      </c>
      <c r="B13" s="18">
        <v>4</v>
      </c>
      <c r="C13" s="190">
        <v>4062</v>
      </c>
      <c r="D13" s="192">
        <v>20129871947</v>
      </c>
      <c r="E13" s="191" t="str">
        <f>VLOOKUP(D13,Configuracion!$A$4:$C$591,2,FALSE)</f>
        <v>CARLOS RODOLFO FERNANDEZ</v>
      </c>
      <c r="F13" s="195">
        <v>23310.01</v>
      </c>
      <c r="G13" s="45">
        <f t="shared" si="0"/>
        <v>4895.1020999999992</v>
      </c>
      <c r="H13" s="45"/>
      <c r="I13" s="45"/>
      <c r="J13" s="45"/>
      <c r="K13" s="211"/>
      <c r="L13" s="45"/>
      <c r="M13" s="217"/>
      <c r="N13" s="45"/>
      <c r="O13" s="193">
        <f t="shared" si="1"/>
        <v>28205.112099999998</v>
      </c>
      <c r="P13" s="198" t="str">
        <f>VLOOKUP(D13,Configuracion!$A$4:$C$591,3,FALSE)</f>
        <v>PROVEEDOR</v>
      </c>
    </row>
    <row r="14" spans="1:16" ht="15" customHeight="1" x14ac:dyDescent="0.25">
      <c r="A14" s="188" t="s">
        <v>695</v>
      </c>
      <c r="B14" s="18">
        <v>27</v>
      </c>
      <c r="C14" s="190">
        <v>5383</v>
      </c>
      <c r="D14" s="192">
        <v>33712276539</v>
      </c>
      <c r="E14" s="191" t="str">
        <f>VLOOKUP(D14,Configuracion!$A$4:$C$591,2,FALSE)</f>
        <v>CASTAÑO AUTOVOX SRL</v>
      </c>
      <c r="F14" s="195">
        <v>12929.87</v>
      </c>
      <c r="G14" s="45">
        <f t="shared" si="0"/>
        <v>2715.2727</v>
      </c>
      <c r="H14" s="45"/>
      <c r="I14" s="45"/>
      <c r="J14" s="45"/>
      <c r="K14" s="211">
        <v>452.55</v>
      </c>
      <c r="L14" s="45"/>
      <c r="M14" s="217"/>
      <c r="N14" s="45">
        <v>855.21</v>
      </c>
      <c r="O14" s="193">
        <f t="shared" si="1"/>
        <v>16952.902699999999</v>
      </c>
      <c r="P14" s="198" t="str">
        <f>VLOOKUP(D14,Configuracion!$A$4:$C$591,3,FALSE)</f>
        <v>VARIOS</v>
      </c>
    </row>
    <row r="15" spans="1:16" ht="15" customHeight="1" x14ac:dyDescent="0.25">
      <c r="A15" s="188" t="s">
        <v>699</v>
      </c>
      <c r="B15" s="18">
        <v>34</v>
      </c>
      <c r="C15" s="190">
        <v>46</v>
      </c>
      <c r="D15" s="192">
        <v>33712276539</v>
      </c>
      <c r="E15" s="191" t="str">
        <f>VLOOKUP(D15,Configuracion!$A$4:$C$591,2,FALSE)</f>
        <v>CASTAÑO AUTOVOX SRL</v>
      </c>
      <c r="F15" s="195">
        <v>7836.04</v>
      </c>
      <c r="G15" s="45">
        <f t="shared" si="0"/>
        <v>1645.5683999999999</v>
      </c>
      <c r="H15" s="45"/>
      <c r="I15" s="45"/>
      <c r="J15" s="45"/>
      <c r="K15" s="211">
        <v>274.26</v>
      </c>
      <c r="L15" s="45"/>
      <c r="M15" s="217"/>
      <c r="N15" s="45">
        <v>518.29</v>
      </c>
      <c r="O15" s="193">
        <f t="shared" si="1"/>
        <v>10274.1584</v>
      </c>
      <c r="P15" s="198" t="str">
        <f>VLOOKUP(D15,Configuracion!$A$4:$C$591,3,FALSE)</f>
        <v>VARIOS</v>
      </c>
    </row>
    <row r="16" spans="1:16" ht="15" customHeight="1" x14ac:dyDescent="0.25">
      <c r="A16" s="188" t="s">
        <v>684</v>
      </c>
      <c r="B16" s="18">
        <v>2</v>
      </c>
      <c r="C16" s="190">
        <v>188</v>
      </c>
      <c r="D16" s="192">
        <v>30605344352</v>
      </c>
      <c r="E16" s="191" t="str">
        <f>VLOOKUP(D16,Configuracion!$A$4:$C$591,2,FALSE)</f>
        <v>CONSORCIO BARTOLME MITRE 2466</v>
      </c>
      <c r="F16" s="195">
        <v>230000</v>
      </c>
      <c r="G16" s="45">
        <f t="shared" si="0"/>
        <v>48300</v>
      </c>
      <c r="H16" s="45"/>
      <c r="I16" s="45"/>
      <c r="J16" s="45"/>
      <c r="K16" s="211"/>
      <c r="L16" s="45"/>
      <c r="M16" s="217"/>
      <c r="N16" s="45"/>
      <c r="O16" s="193">
        <f t="shared" si="1"/>
        <v>278300</v>
      </c>
      <c r="P16" s="198" t="str">
        <f>VLOOKUP(D16,Configuracion!$A$4:$C$591,3,FALSE)</f>
        <v>CONSORCIO</v>
      </c>
    </row>
    <row r="17" spans="1:16" ht="15" customHeight="1" x14ac:dyDescent="0.25">
      <c r="A17" s="188">
        <v>45107</v>
      </c>
      <c r="B17" s="18">
        <v>20</v>
      </c>
      <c r="C17" s="190">
        <v>153063</v>
      </c>
      <c r="D17" s="192">
        <v>30696850972</v>
      </c>
      <c r="E17" s="191" t="str">
        <f>VLOOKUP(D17,Configuracion!$A$4:$C$591,2,FALSE)</f>
        <v>CPS COMUNICACIONES SA</v>
      </c>
      <c r="F17" s="195">
        <v>4125.01</v>
      </c>
      <c r="G17" s="45"/>
      <c r="H17" s="45">
        <v>1113.75</v>
      </c>
      <c r="I17" s="45"/>
      <c r="J17" s="45"/>
      <c r="K17" s="211">
        <v>144.37</v>
      </c>
      <c r="L17" s="45"/>
      <c r="M17" s="217"/>
      <c r="N17" s="45"/>
      <c r="O17" s="193">
        <f t="shared" si="1"/>
        <v>5383.13</v>
      </c>
      <c r="P17" s="198" t="str">
        <f>VLOOKUP(D17,Configuracion!$A$4:$C$591,3,FALSE)</f>
        <v>SERVICIO</v>
      </c>
    </row>
    <row r="18" spans="1:16" ht="15" customHeight="1" x14ac:dyDescent="0.25">
      <c r="A18" s="188" t="s">
        <v>702</v>
      </c>
      <c r="B18" s="18">
        <v>2016</v>
      </c>
      <c r="C18" s="190">
        <v>45392</v>
      </c>
      <c r="D18" s="192">
        <v>30516186670</v>
      </c>
      <c r="E18" s="191" t="str">
        <f>VLOOKUP(D18,Configuracion!$A$4:$C$591,2,FALSE)</f>
        <v>DEHEZA SAICFeI</v>
      </c>
      <c r="F18" s="195">
        <v>14541.31</v>
      </c>
      <c r="G18" s="45">
        <f t="shared" ref="G18:G49" si="2">F18*21%</f>
        <v>3053.6750999999999</v>
      </c>
      <c r="H18" s="45"/>
      <c r="I18" s="45"/>
      <c r="J18" s="45">
        <v>436.24</v>
      </c>
      <c r="K18" s="211">
        <v>543.89</v>
      </c>
      <c r="L18" s="45"/>
      <c r="M18" s="217"/>
      <c r="N18" s="45">
        <f>102.19+896.12</f>
        <v>998.31</v>
      </c>
      <c r="O18" s="193">
        <f t="shared" si="1"/>
        <v>19573.4251</v>
      </c>
      <c r="P18" s="198" t="str">
        <f>VLOOKUP(D18,Configuracion!$A$4:$C$591,3,FALSE)</f>
        <v>VARIOS</v>
      </c>
    </row>
    <row r="19" spans="1:16" ht="15" customHeight="1" x14ac:dyDescent="0.25">
      <c r="A19" s="188" t="s">
        <v>687</v>
      </c>
      <c r="B19" s="18">
        <v>2019</v>
      </c>
      <c r="C19" s="190">
        <v>144251</v>
      </c>
      <c r="D19" s="192">
        <v>30516186670</v>
      </c>
      <c r="E19" s="191" t="str">
        <f>VLOOKUP(D19,Configuracion!$A$4:$C$591,2,FALSE)</f>
        <v>DEHEZA SAICFeI</v>
      </c>
      <c r="F19" s="195">
        <v>7341.38</v>
      </c>
      <c r="G19" s="45">
        <f t="shared" si="2"/>
        <v>1541.6897999999999</v>
      </c>
      <c r="H19" s="45"/>
      <c r="I19" s="45"/>
      <c r="J19" s="45">
        <v>220.24</v>
      </c>
      <c r="K19" s="211">
        <v>296.7</v>
      </c>
      <c r="L19" s="45"/>
      <c r="M19" s="217"/>
      <c r="N19" s="45">
        <f>1070.32+65.58</f>
        <v>1135.8999999999999</v>
      </c>
      <c r="O19" s="193">
        <f t="shared" si="1"/>
        <v>10535.909799999999</v>
      </c>
      <c r="P19" s="198" t="str">
        <f>VLOOKUP(D19,Configuracion!$A$4:$C$591,3,FALSE)</f>
        <v>VARIOS</v>
      </c>
    </row>
    <row r="20" spans="1:16" ht="15" customHeight="1" x14ac:dyDescent="0.25">
      <c r="A20" s="188" t="s">
        <v>687</v>
      </c>
      <c r="B20" s="18">
        <v>3</v>
      </c>
      <c r="C20" s="190">
        <v>7899</v>
      </c>
      <c r="D20" s="192">
        <v>20045615473</v>
      </c>
      <c r="E20" s="191" t="str">
        <f>VLOOKUP(D20,Configuracion!$A$4:$C$591,2,FALSE)</f>
        <v>DI FEO HUGO PASCUAL GUILLERMO</v>
      </c>
      <c r="F20" s="195">
        <v>35930</v>
      </c>
      <c r="G20" s="45">
        <f t="shared" si="2"/>
        <v>7545.2999999999993</v>
      </c>
      <c r="H20" s="45"/>
      <c r="I20" s="45"/>
      <c r="J20" s="45"/>
      <c r="K20" s="211"/>
      <c r="L20" s="45"/>
      <c r="M20" s="217"/>
      <c r="N20" s="45"/>
      <c r="O20" s="193">
        <f t="shared" si="1"/>
        <v>43475.3</v>
      </c>
      <c r="P20" s="198" t="str">
        <f>VLOOKUP(D20,Configuracion!$A$4:$C$591,3,FALSE)</f>
        <v>INSUMOS</v>
      </c>
    </row>
    <row r="21" spans="1:16" ht="15" customHeight="1" x14ac:dyDescent="0.25">
      <c r="A21" s="188" t="s">
        <v>693</v>
      </c>
      <c r="B21" s="18">
        <v>3</v>
      </c>
      <c r="C21" s="190">
        <v>7909</v>
      </c>
      <c r="D21" s="192">
        <v>20045615473</v>
      </c>
      <c r="E21" s="191" t="str">
        <f>VLOOKUP(D21,Configuracion!$A$4:$C$591,2,FALSE)</f>
        <v>DI FEO HUGO PASCUAL GUILLERMO</v>
      </c>
      <c r="F21" s="195">
        <v>33340</v>
      </c>
      <c r="G21" s="45">
        <f t="shared" si="2"/>
        <v>7001.4</v>
      </c>
      <c r="H21" s="45"/>
      <c r="I21" s="45"/>
      <c r="J21" s="45"/>
      <c r="K21" s="211"/>
      <c r="L21" s="45"/>
      <c r="M21" s="217"/>
      <c r="N21" s="45"/>
      <c r="O21" s="193">
        <f t="shared" si="1"/>
        <v>40341.4</v>
      </c>
      <c r="P21" s="198" t="str">
        <f>VLOOKUP(D21,Configuracion!$A$4:$C$591,3,FALSE)</f>
        <v>INSUMOS</v>
      </c>
    </row>
    <row r="22" spans="1:16" ht="15" customHeight="1" x14ac:dyDescent="0.25">
      <c r="A22" s="188" t="s">
        <v>698</v>
      </c>
      <c r="B22" s="18">
        <v>3</v>
      </c>
      <c r="C22" s="190">
        <v>7927</v>
      </c>
      <c r="D22" s="192">
        <v>20045615473</v>
      </c>
      <c r="E22" s="191" t="str">
        <f>VLOOKUP(D22,Configuracion!$A$4:$C$591,2,FALSE)</f>
        <v>DI FEO HUGO PASCUAL GUILLERMO</v>
      </c>
      <c r="F22" s="195">
        <v>34710</v>
      </c>
      <c r="G22" s="45">
        <f t="shared" si="2"/>
        <v>7289.0999999999995</v>
      </c>
      <c r="H22" s="45"/>
      <c r="I22" s="45"/>
      <c r="J22" s="45"/>
      <c r="K22" s="211"/>
      <c r="L22" s="45"/>
      <c r="M22" s="217"/>
      <c r="N22" s="45"/>
      <c r="O22" s="193">
        <f t="shared" si="1"/>
        <v>41999.1</v>
      </c>
      <c r="P22" s="198" t="str">
        <f>VLOOKUP(D22,Configuracion!$A$4:$C$591,3,FALSE)</f>
        <v>INSUMOS</v>
      </c>
    </row>
    <row r="23" spans="1:16" ht="15" customHeight="1" x14ac:dyDescent="0.25">
      <c r="A23" s="188" t="s">
        <v>703</v>
      </c>
      <c r="B23" s="18">
        <v>3</v>
      </c>
      <c r="C23" s="190">
        <v>7942</v>
      </c>
      <c r="D23" s="192">
        <v>20045615473</v>
      </c>
      <c r="E23" s="191" t="str">
        <f>VLOOKUP(D23,Configuracion!$A$4:$C$591,2,FALSE)</f>
        <v>DI FEO HUGO PASCUAL GUILLERMO</v>
      </c>
      <c r="F23" s="195">
        <v>88020</v>
      </c>
      <c r="G23" s="45">
        <f t="shared" si="2"/>
        <v>18484.2</v>
      </c>
      <c r="H23" s="45"/>
      <c r="I23" s="45"/>
      <c r="J23" s="45"/>
      <c r="K23" s="211"/>
      <c r="L23" s="45"/>
      <c r="M23" s="217"/>
      <c r="N23" s="45"/>
      <c r="O23" s="193">
        <f t="shared" si="1"/>
        <v>106504.2</v>
      </c>
      <c r="P23" s="198" t="str">
        <f>VLOOKUP(D23,Configuracion!$A$4:$C$591,3,FALSE)</f>
        <v>INSUMOS</v>
      </c>
    </row>
    <row r="24" spans="1:16" ht="15" customHeight="1" x14ac:dyDescent="0.25">
      <c r="A24" s="188" t="s">
        <v>703</v>
      </c>
      <c r="B24" s="18">
        <v>3</v>
      </c>
      <c r="C24" s="190">
        <v>7943</v>
      </c>
      <c r="D24" s="192">
        <v>20045615473</v>
      </c>
      <c r="E24" s="191" t="str">
        <f>VLOOKUP(D24,Configuracion!$A$4:$C$591,2,FALSE)</f>
        <v>DI FEO HUGO PASCUAL GUILLERMO</v>
      </c>
      <c r="F24" s="195">
        <v>3680</v>
      </c>
      <c r="G24" s="45">
        <f t="shared" si="2"/>
        <v>772.8</v>
      </c>
      <c r="H24" s="45"/>
      <c r="I24" s="45"/>
      <c r="J24" s="45"/>
      <c r="K24" s="211"/>
      <c r="L24" s="45"/>
      <c r="M24" s="217"/>
      <c r="N24" s="45"/>
      <c r="O24" s="193">
        <f t="shared" si="1"/>
        <v>4452.8</v>
      </c>
      <c r="P24" s="198" t="str">
        <f>VLOOKUP(D24,Configuracion!$A$4:$C$591,3,FALSE)</f>
        <v>INSUMOS</v>
      </c>
    </row>
    <row r="25" spans="1:16" ht="15" customHeight="1" x14ac:dyDescent="0.25">
      <c r="A25" s="188" t="s">
        <v>686</v>
      </c>
      <c r="B25" s="18">
        <v>7</v>
      </c>
      <c r="C25" s="190">
        <v>27447</v>
      </c>
      <c r="D25" s="192">
        <v>20271532483</v>
      </c>
      <c r="E25" s="191" t="str">
        <f>VLOOKUP(D25,Configuracion!$A$4:$C$591,2,FALSE)</f>
        <v>DIEGO MARTIN RIOS</v>
      </c>
      <c r="F25" s="195">
        <v>1283367.3900000001</v>
      </c>
      <c r="G25" s="45">
        <f t="shared" si="2"/>
        <v>269507.1519</v>
      </c>
      <c r="H25" s="45"/>
      <c r="I25" s="45"/>
      <c r="J25" s="45"/>
      <c r="K25" s="211">
        <v>44917.86</v>
      </c>
      <c r="L25" s="45"/>
      <c r="M25" s="217"/>
      <c r="N25" s="45"/>
      <c r="O25" s="193">
        <f t="shared" si="1"/>
        <v>1597792.4019000002</v>
      </c>
      <c r="P25" s="198" t="str">
        <f>VLOOKUP(D25,Configuracion!$A$4:$C$591,3,FALSE)</f>
        <v>PROVEEDOR</v>
      </c>
    </row>
    <row r="26" spans="1:16" x14ac:dyDescent="0.25">
      <c r="A26" s="188" t="s">
        <v>686</v>
      </c>
      <c r="B26" s="18">
        <v>7</v>
      </c>
      <c r="C26" s="190">
        <v>27449</v>
      </c>
      <c r="D26" s="192">
        <v>20271532483</v>
      </c>
      <c r="E26" s="191" t="str">
        <f>VLOOKUP(D26,Configuracion!$A$4:$C$591,2,FALSE)</f>
        <v>DIEGO MARTIN RIOS</v>
      </c>
      <c r="F26" s="195">
        <v>2069487.72</v>
      </c>
      <c r="G26" s="45">
        <f t="shared" si="2"/>
        <v>434592.42119999998</v>
      </c>
      <c r="H26" s="45"/>
      <c r="I26" s="45"/>
      <c r="J26" s="45"/>
      <c r="K26" s="211">
        <v>72432.070000000007</v>
      </c>
      <c r="L26" s="45"/>
      <c r="M26" s="217"/>
      <c r="N26" s="45"/>
      <c r="O26" s="193">
        <f t="shared" si="1"/>
        <v>2576512.2111999998</v>
      </c>
      <c r="P26" s="198" t="str">
        <f>VLOOKUP(D26,Configuracion!$A$4:$C$591,3,FALSE)</f>
        <v>PROVEEDOR</v>
      </c>
    </row>
    <row r="27" spans="1:16" ht="15" customHeight="1" x14ac:dyDescent="0.25">
      <c r="A27" s="188" t="s">
        <v>690</v>
      </c>
      <c r="B27" s="18">
        <v>7</v>
      </c>
      <c r="C27" s="190">
        <v>27491</v>
      </c>
      <c r="D27" s="192">
        <v>20271532483</v>
      </c>
      <c r="E27" s="191" t="str">
        <f>VLOOKUP(D27,Configuracion!$A$4:$C$591,2,FALSE)</f>
        <v>DIEGO MARTIN RIOS</v>
      </c>
      <c r="F27" s="195">
        <v>2169893.83</v>
      </c>
      <c r="G27" s="45">
        <f t="shared" si="2"/>
        <v>455677.70429999998</v>
      </c>
      <c r="H27" s="45"/>
      <c r="I27" s="45"/>
      <c r="J27" s="45"/>
      <c r="K27" s="211">
        <v>75946.28</v>
      </c>
      <c r="L27" s="45"/>
      <c r="M27" s="217"/>
      <c r="N27" s="45"/>
      <c r="O27" s="193">
        <f t="shared" si="1"/>
        <v>2701517.8142999997</v>
      </c>
      <c r="P27" s="198" t="str">
        <f>VLOOKUP(D27,Configuracion!$A$4:$C$591,3,FALSE)</f>
        <v>PROVEEDOR</v>
      </c>
    </row>
    <row r="28" spans="1:16" ht="15" customHeight="1" x14ac:dyDescent="0.25">
      <c r="A28" s="188" t="s">
        <v>690</v>
      </c>
      <c r="B28" s="18">
        <v>7</v>
      </c>
      <c r="C28" s="190">
        <v>27501</v>
      </c>
      <c r="D28" s="192">
        <v>20271532483</v>
      </c>
      <c r="E28" s="191" t="str">
        <f>VLOOKUP(D28,Configuracion!$A$4:$C$591,2,FALSE)</f>
        <v>DIEGO MARTIN RIOS</v>
      </c>
      <c r="F28" s="195">
        <v>1343840.57</v>
      </c>
      <c r="G28" s="45">
        <f t="shared" si="2"/>
        <v>282206.5197</v>
      </c>
      <c r="H28" s="45"/>
      <c r="I28" s="45"/>
      <c r="J28" s="45"/>
      <c r="K28" s="211">
        <v>47034.42</v>
      </c>
      <c r="L28" s="45"/>
      <c r="M28" s="217"/>
      <c r="N28" s="45"/>
      <c r="O28" s="193">
        <f t="shared" si="1"/>
        <v>1673081.5097000001</v>
      </c>
      <c r="P28" s="198" t="str">
        <f>VLOOKUP(D28,Configuracion!$A$4:$C$591,3,FALSE)</f>
        <v>PROVEEDOR</v>
      </c>
    </row>
    <row r="29" spans="1:16" ht="15" customHeight="1" x14ac:dyDescent="0.25">
      <c r="A29" s="188" t="s">
        <v>694</v>
      </c>
      <c r="B29" s="18">
        <v>7</v>
      </c>
      <c r="C29" s="190">
        <v>27571</v>
      </c>
      <c r="D29" s="192">
        <v>20271532483</v>
      </c>
      <c r="E29" s="191" t="str">
        <f>VLOOKUP(D29,Configuracion!$A$4:$C$591,2,FALSE)</f>
        <v>DIEGO MARTIN RIOS</v>
      </c>
      <c r="F29" s="195">
        <v>892899.98</v>
      </c>
      <c r="G29" s="45">
        <f t="shared" si="2"/>
        <v>187508.99579999998</v>
      </c>
      <c r="H29" s="45"/>
      <c r="I29" s="45"/>
      <c r="J29" s="45"/>
      <c r="K29" s="211">
        <v>31251.5</v>
      </c>
      <c r="L29" s="45"/>
      <c r="M29" s="217"/>
      <c r="N29" s="45"/>
      <c r="O29" s="193">
        <f t="shared" si="1"/>
        <v>1111660.4757999999</v>
      </c>
      <c r="P29" s="198" t="str">
        <f>VLOOKUP(D29,Configuracion!$A$4:$C$591,3,FALSE)</f>
        <v>PROVEEDOR</v>
      </c>
    </row>
    <row r="30" spans="1:16" ht="15" customHeight="1" x14ac:dyDescent="0.25">
      <c r="A30" s="188" t="s">
        <v>697</v>
      </c>
      <c r="B30" s="18">
        <v>7</v>
      </c>
      <c r="C30" s="190">
        <v>925</v>
      </c>
      <c r="D30" s="192">
        <v>20271532483</v>
      </c>
      <c r="E30" s="191" t="str">
        <f>VLOOKUP(D30,Configuracion!$A$4:$C$591,2,FALSE)</f>
        <v>DIEGO MARTIN RIOS</v>
      </c>
      <c r="F30" s="195">
        <v>-764001.73</v>
      </c>
      <c r="G30" s="45">
        <f t="shared" si="2"/>
        <v>-160440.3633</v>
      </c>
      <c r="H30" s="45"/>
      <c r="I30" s="45"/>
      <c r="J30" s="45"/>
      <c r="K30" s="211">
        <v>-26740.06</v>
      </c>
      <c r="L30" s="45"/>
      <c r="M30" s="217"/>
      <c r="N30" s="45"/>
      <c r="O30" s="193">
        <f t="shared" si="1"/>
        <v>-951182.15330000001</v>
      </c>
      <c r="P30" s="198" t="str">
        <f>VLOOKUP(D30,Configuracion!$A$4:$C$591,3,FALSE)</f>
        <v>PROVEEDOR</v>
      </c>
    </row>
    <row r="31" spans="1:16" ht="15" customHeight="1" x14ac:dyDescent="0.25">
      <c r="A31" s="188" t="s">
        <v>699</v>
      </c>
      <c r="B31" s="18">
        <v>18</v>
      </c>
      <c r="C31" s="190">
        <v>1090</v>
      </c>
      <c r="D31" s="192">
        <v>30711727236</v>
      </c>
      <c r="E31" s="191" t="str">
        <f>VLOOKUP(D31,Configuracion!$A$4:$C$591,2,FALSE)</f>
        <v>DULCE ESTILO SA</v>
      </c>
      <c r="F31" s="195">
        <v>22092.27</v>
      </c>
      <c r="G31" s="45">
        <f t="shared" si="2"/>
        <v>4639.3766999999998</v>
      </c>
      <c r="H31" s="45"/>
      <c r="I31" s="45"/>
      <c r="J31" s="45"/>
      <c r="K31" s="211"/>
      <c r="L31" s="45"/>
      <c r="M31" s="217"/>
      <c r="N31" s="45"/>
      <c r="O31" s="193">
        <f t="shared" si="1"/>
        <v>26731.646700000001</v>
      </c>
      <c r="P31" s="198" t="str">
        <f>VLOOKUP(D31,Configuracion!$A$4:$C$591,3,FALSE)</f>
        <v>VARIOS</v>
      </c>
    </row>
    <row r="32" spans="1:16" ht="15" customHeight="1" x14ac:dyDescent="0.25">
      <c r="A32" s="188" t="s">
        <v>696</v>
      </c>
      <c r="B32" s="18">
        <v>3</v>
      </c>
      <c r="C32" s="190">
        <v>47573</v>
      </c>
      <c r="D32" s="192">
        <v>30577744579</v>
      </c>
      <c r="E32" s="191" t="str">
        <f>VLOOKUP(D32,Configuracion!$A$4:$C$591,2,FALSE)</f>
        <v>EXPRESO TROLE SRL</v>
      </c>
      <c r="F32" s="195">
        <v>10495.87</v>
      </c>
      <c r="G32" s="45">
        <f t="shared" si="2"/>
        <v>2204.1327000000001</v>
      </c>
      <c r="H32" s="45"/>
      <c r="I32" s="45"/>
      <c r="J32" s="45"/>
      <c r="K32" s="211"/>
      <c r="L32" s="45"/>
      <c r="M32" s="217"/>
      <c r="N32" s="45"/>
      <c r="O32" s="193">
        <f t="shared" si="1"/>
        <v>12700.002700000001</v>
      </c>
      <c r="P32" s="198" t="str">
        <f>VLOOKUP(D32,Configuracion!$A$4:$C$591,3,FALSE)</f>
        <v>FLETE</v>
      </c>
    </row>
    <row r="33" spans="1:16" ht="15" customHeight="1" x14ac:dyDescent="0.25">
      <c r="A33" s="188" t="s">
        <v>697</v>
      </c>
      <c r="B33" s="18">
        <v>3</v>
      </c>
      <c r="C33" s="190">
        <v>784</v>
      </c>
      <c r="D33" s="192">
        <v>30715869663</v>
      </c>
      <c r="E33" s="191" t="str">
        <f>VLOOKUP(D33,Configuracion!$A$4:$C$591,2,FALSE)</f>
        <v>F &amp; F COLOR SRL</v>
      </c>
      <c r="F33" s="195">
        <v>24109.01</v>
      </c>
      <c r="G33" s="45">
        <f t="shared" si="2"/>
        <v>5062.8920999999991</v>
      </c>
      <c r="H33" s="45"/>
      <c r="I33" s="45"/>
      <c r="J33" s="45"/>
      <c r="K33" s="211"/>
      <c r="L33" s="45"/>
      <c r="M33" s="217"/>
      <c r="N33" s="45"/>
      <c r="O33" s="193">
        <f t="shared" si="1"/>
        <v>29171.902099999999</v>
      </c>
      <c r="P33" s="198" t="str">
        <f>VLOOKUP(D33,Configuracion!$A$4:$C$591,3,FALSE)</f>
        <v>VARIOS</v>
      </c>
    </row>
    <row r="34" spans="1:16" ht="15" customHeight="1" x14ac:dyDescent="0.25">
      <c r="A34" s="188" t="s">
        <v>687</v>
      </c>
      <c r="B34" s="18">
        <v>3</v>
      </c>
      <c r="C34" s="190">
        <v>1180</v>
      </c>
      <c r="D34" s="192">
        <v>30715980807</v>
      </c>
      <c r="E34" s="191" t="str">
        <f>VLOOKUP(D34,Configuracion!$A$4:$C$591,2,FALSE)</f>
        <v>FABORT SRL</v>
      </c>
      <c r="F34" s="195">
        <v>180800</v>
      </c>
      <c r="G34" s="45">
        <f t="shared" si="2"/>
        <v>37968</v>
      </c>
      <c r="H34" s="45"/>
      <c r="I34" s="45"/>
      <c r="J34" s="45"/>
      <c r="K34" s="211"/>
      <c r="L34" s="45"/>
      <c r="M34" s="217"/>
      <c r="N34" s="45"/>
      <c r="O34" s="193">
        <f t="shared" si="1"/>
        <v>218768</v>
      </c>
      <c r="P34" s="198" t="str">
        <f>VLOOKUP(D34,Configuracion!$A$4:$C$591,3,FALSE)</f>
        <v>PROVEEDOR</v>
      </c>
    </row>
    <row r="35" spans="1:16" ht="15" customHeight="1" x14ac:dyDescent="0.25">
      <c r="A35" s="188" t="s">
        <v>696</v>
      </c>
      <c r="B35" s="18">
        <v>3648</v>
      </c>
      <c r="C35" s="190">
        <v>513</v>
      </c>
      <c r="D35" s="192">
        <v>30526874249</v>
      </c>
      <c r="E35" s="191" t="str">
        <f>VLOOKUP(D35,Configuracion!$A$4:$C$591,2,FALSE)</f>
        <v>FRAVEGA SACIEI</v>
      </c>
      <c r="F35" s="195">
        <v>190081.82</v>
      </c>
      <c r="G35" s="45">
        <f t="shared" si="2"/>
        <v>39917.182200000003</v>
      </c>
      <c r="H35" s="45"/>
      <c r="I35" s="45"/>
      <c r="J35" s="45"/>
      <c r="K35" s="211"/>
      <c r="L35" s="45"/>
      <c r="M35" s="217"/>
      <c r="N35" s="45"/>
      <c r="O35" s="193">
        <f t="shared" si="1"/>
        <v>229999.00220000002</v>
      </c>
      <c r="P35" s="198" t="str">
        <f>VLOOKUP(D35,Configuracion!$A$4:$C$591,3,FALSE)</f>
        <v>VARIOS</v>
      </c>
    </row>
    <row r="36" spans="1:16" ht="15" customHeight="1" x14ac:dyDescent="0.25">
      <c r="A36" s="188" t="s">
        <v>685</v>
      </c>
      <c r="B36" s="18">
        <v>5</v>
      </c>
      <c r="C36" s="190">
        <v>2807</v>
      </c>
      <c r="D36" s="192">
        <v>27119878468</v>
      </c>
      <c r="E36" s="191" t="str">
        <f>VLOOKUP(D36,Configuracion!$A$4:$C$591,2,FALSE)</f>
        <v>FREUND GABRIELA</v>
      </c>
      <c r="F36" s="195">
        <v>126446.28</v>
      </c>
      <c r="G36" s="45">
        <f t="shared" si="2"/>
        <v>26553.718799999999</v>
      </c>
      <c r="H36" s="45"/>
      <c r="I36" s="45"/>
      <c r="J36" s="45"/>
      <c r="K36" s="211"/>
      <c r="L36" s="45"/>
      <c r="M36" s="217"/>
      <c r="N36" s="45"/>
      <c r="O36" s="193">
        <f t="shared" si="1"/>
        <v>152999.9988</v>
      </c>
      <c r="P36" s="198" t="str">
        <f>VLOOKUP(D36,Configuracion!$A$4:$C$591,3,FALSE)</f>
        <v>PROVEEDOR</v>
      </c>
    </row>
    <row r="37" spans="1:16" ht="15" customHeight="1" x14ac:dyDescent="0.25">
      <c r="A37" s="188" t="s">
        <v>701</v>
      </c>
      <c r="B37" s="18">
        <v>7</v>
      </c>
      <c r="C37" s="190">
        <v>2026</v>
      </c>
      <c r="D37" s="192">
        <v>20284183534</v>
      </c>
      <c r="E37" s="191" t="str">
        <f>VLOOKUP(D37,Configuracion!$A$4:$C$591,2,FALSE)</f>
        <v>FURLANETTO MARTIN</v>
      </c>
      <c r="F37" s="195">
        <v>2471.0700000000002</v>
      </c>
      <c r="G37" s="45">
        <f t="shared" si="2"/>
        <v>518.92470000000003</v>
      </c>
      <c r="H37" s="45"/>
      <c r="I37" s="45"/>
      <c r="J37" s="45"/>
      <c r="K37" s="211"/>
      <c r="L37" s="45"/>
      <c r="M37" s="217"/>
      <c r="N37" s="45"/>
      <c r="O37" s="193">
        <f t="shared" si="1"/>
        <v>2989.9947000000002</v>
      </c>
      <c r="P37" s="198" t="str">
        <f>VLOOKUP(D37,Configuracion!$A$4:$C$591,3,FALSE)</f>
        <v>VARIOS</v>
      </c>
    </row>
    <row r="38" spans="1:16" ht="15" customHeight="1" x14ac:dyDescent="0.25">
      <c r="A38" s="188" t="s">
        <v>694</v>
      </c>
      <c r="B38" s="18">
        <v>2</v>
      </c>
      <c r="C38" s="190">
        <v>26557</v>
      </c>
      <c r="D38" s="192">
        <v>30714696153</v>
      </c>
      <c r="E38" s="191" t="str">
        <f>VLOOKUP(D38,Configuracion!$A$4:$C$591,2,FALSE)</f>
        <v>HOSPIMED SA</v>
      </c>
      <c r="F38" s="195">
        <v>62155.1</v>
      </c>
      <c r="G38" s="45">
        <f t="shared" si="2"/>
        <v>13052.571</v>
      </c>
      <c r="H38" s="45"/>
      <c r="I38" s="45"/>
      <c r="J38" s="45"/>
      <c r="K38" s="211"/>
      <c r="L38" s="45"/>
      <c r="M38" s="217"/>
      <c r="N38" s="45"/>
      <c r="O38" s="193">
        <f t="shared" si="1"/>
        <v>75207.671000000002</v>
      </c>
      <c r="P38" s="198" t="str">
        <f>VLOOKUP(D38,Configuracion!$A$4:$C$591,3,FALSE)</f>
        <v>PROVEEDOR</v>
      </c>
    </row>
    <row r="39" spans="1:16" ht="15" customHeight="1" x14ac:dyDescent="0.25">
      <c r="A39" s="188" t="s">
        <v>702</v>
      </c>
      <c r="B39" s="18">
        <v>2</v>
      </c>
      <c r="C39" s="190">
        <v>26697</v>
      </c>
      <c r="D39" s="192">
        <v>30714696153</v>
      </c>
      <c r="E39" s="191" t="str">
        <f>VLOOKUP(D39,Configuracion!$A$4:$C$591,2,FALSE)</f>
        <v>HOSPIMED SA</v>
      </c>
      <c r="F39" s="195">
        <v>20592</v>
      </c>
      <c r="G39" s="45">
        <f t="shared" si="2"/>
        <v>4324.32</v>
      </c>
      <c r="H39" s="45"/>
      <c r="I39" s="45"/>
      <c r="J39" s="45"/>
      <c r="K39" s="211"/>
      <c r="L39" s="45"/>
      <c r="M39" s="217"/>
      <c r="N39" s="45"/>
      <c r="O39" s="193">
        <f t="shared" si="1"/>
        <v>24916.32</v>
      </c>
      <c r="P39" s="198" t="str">
        <f>VLOOKUP(D39,Configuracion!$A$4:$C$591,3,FALSE)</f>
        <v>PROVEEDOR</v>
      </c>
    </row>
    <row r="40" spans="1:16" ht="15" customHeight="1" x14ac:dyDescent="0.25">
      <c r="A40" s="188" t="s">
        <v>704</v>
      </c>
      <c r="B40" s="18">
        <v>5</v>
      </c>
      <c r="C40" s="190">
        <v>771</v>
      </c>
      <c r="D40" s="192">
        <v>20242126158</v>
      </c>
      <c r="E40" s="191" t="str">
        <f>VLOOKUP(D40,Configuracion!$A$4:$C$591,2,FALSE)</f>
        <v>IALLONARDO SERGIO</v>
      </c>
      <c r="F40" s="195">
        <v>141483</v>
      </c>
      <c r="G40" s="45">
        <f t="shared" si="2"/>
        <v>29711.43</v>
      </c>
      <c r="H40" s="45"/>
      <c r="I40" s="45"/>
      <c r="J40" s="45"/>
      <c r="K40" s="211"/>
      <c r="L40" s="45"/>
      <c r="M40" s="217"/>
      <c r="N40" s="45"/>
      <c r="O40" s="193">
        <f t="shared" ref="O40:O71" si="3">SUM(F40:N40)</f>
        <v>171194.43</v>
      </c>
      <c r="P40" s="198" t="str">
        <f>VLOOKUP(D40,Configuracion!$A$4:$C$591,3,FALSE)</f>
        <v>PROVEEDOR</v>
      </c>
    </row>
    <row r="41" spans="1:16" ht="15" customHeight="1" x14ac:dyDescent="0.25">
      <c r="A41" s="188" t="s">
        <v>688</v>
      </c>
      <c r="B41" s="18">
        <v>5</v>
      </c>
      <c r="C41" s="190">
        <v>1305</v>
      </c>
      <c r="D41" s="192">
        <v>30712187316</v>
      </c>
      <c r="E41" s="191" t="str">
        <f>VLOOKUP(D41,Configuracion!$A$4:$C$591,2,FALSE)</f>
        <v>ITALOMED PRODUCTOS SRL</v>
      </c>
      <c r="F41" s="195">
        <v>84321.97</v>
      </c>
      <c r="G41" s="45">
        <f t="shared" si="2"/>
        <v>17707.613699999998</v>
      </c>
      <c r="H41" s="45"/>
      <c r="I41" s="45"/>
      <c r="J41" s="45"/>
      <c r="K41" s="211"/>
      <c r="L41" s="45"/>
      <c r="M41" s="217"/>
      <c r="N41" s="45"/>
      <c r="O41" s="193">
        <f t="shared" si="3"/>
        <v>102029.5837</v>
      </c>
      <c r="P41" s="198" t="str">
        <f>VLOOKUP(D41,Configuracion!$A$4:$C$591,3,FALSE)</f>
        <v>PROVEEDOR</v>
      </c>
    </row>
    <row r="42" spans="1:16" ht="15" customHeight="1" x14ac:dyDescent="0.25">
      <c r="A42" s="188" t="s">
        <v>688</v>
      </c>
      <c r="B42" s="18">
        <v>5</v>
      </c>
      <c r="C42" s="190">
        <v>1306</v>
      </c>
      <c r="D42" s="192">
        <v>30712187316</v>
      </c>
      <c r="E42" s="191" t="str">
        <f>VLOOKUP(D42,Configuracion!$A$4:$C$591,2,FALSE)</f>
        <v>ITALOMED PRODUCTOS SRL</v>
      </c>
      <c r="F42" s="195">
        <v>84321.97</v>
      </c>
      <c r="G42" s="45">
        <f t="shared" si="2"/>
        <v>17707.613699999998</v>
      </c>
      <c r="H42" s="45"/>
      <c r="I42" s="45"/>
      <c r="J42" s="45"/>
      <c r="K42" s="211"/>
      <c r="L42" s="45"/>
      <c r="M42" s="217"/>
      <c r="N42" s="45"/>
      <c r="O42" s="193">
        <f t="shared" si="3"/>
        <v>102029.5837</v>
      </c>
      <c r="P42" s="198" t="str">
        <f>VLOOKUP(D42,Configuracion!$A$4:$C$591,3,FALSE)</f>
        <v>PROVEEDOR</v>
      </c>
    </row>
    <row r="43" spans="1:16" ht="15" customHeight="1" x14ac:dyDescent="0.25">
      <c r="A43" s="188" t="s">
        <v>700</v>
      </c>
      <c r="B43" s="18">
        <v>5</v>
      </c>
      <c r="C43" s="190">
        <v>1330</v>
      </c>
      <c r="D43" s="192">
        <v>30712187316</v>
      </c>
      <c r="E43" s="191" t="str">
        <f>VLOOKUP(D43,Configuracion!$A$4:$C$591,2,FALSE)</f>
        <v>ITALOMED PRODUCTOS SRL</v>
      </c>
      <c r="F43" s="195">
        <v>86801.3</v>
      </c>
      <c r="G43" s="45">
        <f t="shared" si="2"/>
        <v>18228.273000000001</v>
      </c>
      <c r="H43" s="45"/>
      <c r="I43" s="45"/>
      <c r="J43" s="45"/>
      <c r="K43" s="211"/>
      <c r="L43" s="45"/>
      <c r="M43" s="217"/>
      <c r="N43" s="45"/>
      <c r="O43" s="193">
        <f t="shared" si="3"/>
        <v>105029.573</v>
      </c>
      <c r="P43" s="198" t="str">
        <f>VLOOKUP(D43,Configuracion!$A$4:$C$591,3,FALSE)</f>
        <v>PROVEEDOR</v>
      </c>
    </row>
    <row r="44" spans="1:16" ht="15" customHeight="1" x14ac:dyDescent="0.25">
      <c r="A44" s="188">
        <v>45043</v>
      </c>
      <c r="B44" s="18">
        <v>7</v>
      </c>
      <c r="C44" s="190">
        <v>806</v>
      </c>
      <c r="D44" s="192">
        <v>30712187316</v>
      </c>
      <c r="E44" s="191" t="str">
        <f>VLOOKUP(D44,Configuracion!$A$4:$C$591,2,FALSE)</f>
        <v>ITALOMED PRODUCTOS SRL</v>
      </c>
      <c r="F44" s="195">
        <v>42758.53</v>
      </c>
      <c r="G44" s="45">
        <f t="shared" si="2"/>
        <v>8979.291299999999</v>
      </c>
      <c r="H44" s="45"/>
      <c r="I44" s="45"/>
      <c r="J44" s="45"/>
      <c r="K44" s="211"/>
      <c r="L44" s="45"/>
      <c r="M44" s="217"/>
      <c r="N44" s="45"/>
      <c r="O44" s="193">
        <f t="shared" si="3"/>
        <v>51737.821299999996</v>
      </c>
      <c r="P44" s="198" t="str">
        <f>VLOOKUP(D44,Configuracion!$A$4:$C$591,3,FALSE)</f>
        <v>PROVEEDOR</v>
      </c>
    </row>
    <row r="45" spans="1:16" ht="15" customHeight="1" x14ac:dyDescent="0.25">
      <c r="A45" s="188" t="s">
        <v>700</v>
      </c>
      <c r="B45" s="18">
        <v>5</v>
      </c>
      <c r="C45" s="190">
        <v>1332</v>
      </c>
      <c r="D45" s="192">
        <v>30712187316</v>
      </c>
      <c r="E45" s="191" t="str">
        <f>VLOOKUP(D45,Configuracion!$A$4:$C$591,2,FALSE)</f>
        <v>ITALOMED PRODUCTOS SRL</v>
      </c>
      <c r="F45" s="195">
        <v>92417.3</v>
      </c>
      <c r="G45" s="45">
        <f t="shared" si="2"/>
        <v>19407.633000000002</v>
      </c>
      <c r="H45" s="45"/>
      <c r="I45" s="45"/>
      <c r="J45" s="45"/>
      <c r="K45" s="211"/>
      <c r="L45" s="45"/>
      <c r="M45" s="217"/>
      <c r="N45" s="45"/>
      <c r="O45" s="193">
        <f t="shared" si="3"/>
        <v>111824.933</v>
      </c>
      <c r="P45" s="198" t="str">
        <f>VLOOKUP(D45,Configuracion!$A$4:$C$591,3,FALSE)</f>
        <v>PROVEEDOR</v>
      </c>
    </row>
    <row r="46" spans="1:16" ht="15" customHeight="1" x14ac:dyDescent="0.25">
      <c r="A46" s="188" t="s">
        <v>687</v>
      </c>
      <c r="B46" s="18">
        <v>7</v>
      </c>
      <c r="C46" s="190">
        <v>874</v>
      </c>
      <c r="D46" s="192">
        <v>30712187316</v>
      </c>
      <c r="E46" s="191" t="str">
        <f>VLOOKUP(D46,Configuracion!$A$4:$C$591,2,FALSE)</f>
        <v>ITALOMED PRODUCTOS SRL</v>
      </c>
      <c r="F46" s="195">
        <v>53415.53</v>
      </c>
      <c r="G46" s="45">
        <f t="shared" si="2"/>
        <v>11217.2613</v>
      </c>
      <c r="H46" s="45"/>
      <c r="I46" s="45"/>
      <c r="J46" s="45"/>
      <c r="K46" s="211"/>
      <c r="L46" s="45"/>
      <c r="M46" s="217"/>
      <c r="N46" s="45"/>
      <c r="O46" s="193">
        <f t="shared" si="3"/>
        <v>64632.791299999997</v>
      </c>
      <c r="P46" s="198" t="str">
        <f>VLOOKUP(D46,Configuracion!$A$4:$C$591,3,FALSE)</f>
        <v>PROVEEDOR</v>
      </c>
    </row>
    <row r="47" spans="1:16" ht="15" customHeight="1" x14ac:dyDescent="0.25">
      <c r="A47" s="188" t="s">
        <v>688</v>
      </c>
      <c r="B47" s="18">
        <v>7</v>
      </c>
      <c r="C47" s="190">
        <v>881</v>
      </c>
      <c r="D47" s="192">
        <v>30712187316</v>
      </c>
      <c r="E47" s="191" t="str">
        <f>VLOOKUP(D47,Configuracion!$A$4:$C$591,2,FALSE)</f>
        <v>ITALOMED PRODUCTOS SRL</v>
      </c>
      <c r="F47" s="195">
        <v>95298.09</v>
      </c>
      <c r="G47" s="45">
        <f t="shared" si="2"/>
        <v>20012.598899999997</v>
      </c>
      <c r="H47" s="45"/>
      <c r="I47" s="45"/>
      <c r="J47" s="45"/>
      <c r="K47" s="211"/>
      <c r="L47" s="45"/>
      <c r="M47" s="217"/>
      <c r="N47" s="45"/>
      <c r="O47" s="193">
        <f t="shared" si="3"/>
        <v>115310.68889999999</v>
      </c>
      <c r="P47" s="198" t="str">
        <f>VLOOKUP(D47,Configuracion!$A$4:$C$591,3,FALSE)</f>
        <v>PROVEEDOR</v>
      </c>
    </row>
    <row r="48" spans="1:16" ht="15" customHeight="1" x14ac:dyDescent="0.25">
      <c r="A48" s="188" t="s">
        <v>691</v>
      </c>
      <c r="B48" s="18">
        <v>7</v>
      </c>
      <c r="C48" s="190">
        <v>883</v>
      </c>
      <c r="D48" s="192">
        <v>30712187316</v>
      </c>
      <c r="E48" s="191" t="str">
        <f>VLOOKUP(D48,Configuracion!$A$4:$C$591,2,FALSE)</f>
        <v>ITALOMED PRODUCTOS SRL</v>
      </c>
      <c r="F48" s="195">
        <v>56028.36</v>
      </c>
      <c r="G48" s="45">
        <f t="shared" si="2"/>
        <v>11765.955599999999</v>
      </c>
      <c r="H48" s="45"/>
      <c r="I48" s="45"/>
      <c r="J48" s="45"/>
      <c r="K48" s="211"/>
      <c r="L48" s="45"/>
      <c r="M48" s="217"/>
      <c r="N48" s="45"/>
      <c r="O48" s="193">
        <f t="shared" si="3"/>
        <v>67794.315600000002</v>
      </c>
      <c r="P48" s="198" t="str">
        <f>VLOOKUP(D48,Configuracion!$A$4:$C$591,3,FALSE)</f>
        <v>PROVEEDOR</v>
      </c>
    </row>
    <row r="49" spans="1:16" ht="15" customHeight="1" x14ac:dyDescent="0.25">
      <c r="A49" s="188" t="s">
        <v>692</v>
      </c>
      <c r="B49" s="18">
        <v>7</v>
      </c>
      <c r="C49" s="190">
        <v>885</v>
      </c>
      <c r="D49" s="192">
        <v>30712187316</v>
      </c>
      <c r="E49" s="191" t="str">
        <f>VLOOKUP(D49,Configuracion!$A$4:$C$591,2,FALSE)</f>
        <v>ITALOMED PRODUCTOS SRL</v>
      </c>
      <c r="F49" s="195">
        <v>56028.36</v>
      </c>
      <c r="G49" s="45">
        <f t="shared" si="2"/>
        <v>11765.955599999999</v>
      </c>
      <c r="H49" s="45"/>
      <c r="I49" s="45"/>
      <c r="J49" s="45"/>
      <c r="K49" s="211"/>
      <c r="L49" s="45"/>
      <c r="M49" s="217"/>
      <c r="N49" s="45"/>
      <c r="O49" s="193">
        <f t="shared" si="3"/>
        <v>67794.315600000002</v>
      </c>
      <c r="P49" s="198" t="str">
        <f>VLOOKUP(D49,Configuracion!$A$4:$C$591,3,FALSE)</f>
        <v>PROVEEDOR</v>
      </c>
    </row>
    <row r="50" spans="1:16" ht="15" customHeight="1" x14ac:dyDescent="0.25">
      <c r="A50" s="188" t="s">
        <v>693</v>
      </c>
      <c r="B50" s="18">
        <v>7</v>
      </c>
      <c r="C50" s="190">
        <v>889</v>
      </c>
      <c r="D50" s="192">
        <v>30712187316</v>
      </c>
      <c r="E50" s="191" t="str">
        <f>VLOOKUP(D50,Configuracion!$A$4:$C$591,2,FALSE)</f>
        <v>ITALOMED PRODUCTOS SRL</v>
      </c>
      <c r="F50" s="195">
        <v>56028.36</v>
      </c>
      <c r="G50" s="45">
        <f t="shared" ref="G50:G81" si="4">F50*21%</f>
        <v>11765.955599999999</v>
      </c>
      <c r="H50" s="45"/>
      <c r="I50" s="45"/>
      <c r="J50" s="45"/>
      <c r="K50" s="211"/>
      <c r="L50" s="45"/>
      <c r="M50" s="217"/>
      <c r="N50" s="45"/>
      <c r="O50" s="193">
        <f t="shared" si="3"/>
        <v>67794.315600000002</v>
      </c>
      <c r="P50" s="198" t="str">
        <f>VLOOKUP(D50,Configuracion!$A$4:$C$591,3,FALSE)</f>
        <v>PROVEEDOR</v>
      </c>
    </row>
    <row r="51" spans="1:16" ht="15" customHeight="1" x14ac:dyDescent="0.25">
      <c r="A51" s="188" t="s">
        <v>699</v>
      </c>
      <c r="B51" s="18">
        <v>7</v>
      </c>
      <c r="C51" s="190">
        <v>2</v>
      </c>
      <c r="D51" s="192">
        <v>30712187316</v>
      </c>
      <c r="E51" s="191" t="str">
        <f>VLOOKUP(D51,Configuracion!$A$4:$C$591,2,FALSE)</f>
        <v>ITALOMED PRODUCTOS SRL</v>
      </c>
      <c r="F51" s="195">
        <v>8209</v>
      </c>
      <c r="G51" s="45">
        <f t="shared" si="4"/>
        <v>1723.8899999999999</v>
      </c>
      <c r="H51" s="45"/>
      <c r="I51" s="45"/>
      <c r="J51" s="45"/>
      <c r="K51" s="211"/>
      <c r="L51" s="45"/>
      <c r="M51" s="217"/>
      <c r="N51" s="45"/>
      <c r="O51" s="193">
        <f t="shared" si="3"/>
        <v>9932.89</v>
      </c>
      <c r="P51" s="198" t="str">
        <f>VLOOKUP(D51,Configuracion!$A$4:$C$591,3,FALSE)</f>
        <v>PROVEEDOR</v>
      </c>
    </row>
    <row r="52" spans="1:16" ht="15" customHeight="1" x14ac:dyDescent="0.25">
      <c r="A52" s="188" t="s">
        <v>692</v>
      </c>
      <c r="B52" s="18">
        <v>4</v>
      </c>
      <c r="C52" s="190">
        <v>919</v>
      </c>
      <c r="D52" s="192">
        <v>30711645884</v>
      </c>
      <c r="E52" s="191" t="str">
        <f>VLOOKUP(D52,Configuracion!$A$4:$C$591,2,FALSE)</f>
        <v>LABORATORIOS SLR</v>
      </c>
      <c r="F52" s="195">
        <v>43223.14</v>
      </c>
      <c r="G52" s="45">
        <f t="shared" si="4"/>
        <v>9076.8593999999994</v>
      </c>
      <c r="H52" s="45"/>
      <c r="I52" s="45"/>
      <c r="J52" s="45"/>
      <c r="K52" s="211"/>
      <c r="L52" s="45"/>
      <c r="M52" s="217"/>
      <c r="N52" s="45"/>
      <c r="O52" s="193">
        <f t="shared" si="3"/>
        <v>52299.999400000001</v>
      </c>
      <c r="P52" s="198" t="str">
        <f>VLOOKUP(D52,Configuracion!$A$4:$C$591,3,FALSE)</f>
        <v>VARIOS</v>
      </c>
    </row>
    <row r="53" spans="1:16" ht="15" customHeight="1" x14ac:dyDescent="0.25">
      <c r="A53" s="188" t="s">
        <v>700</v>
      </c>
      <c r="B53" s="18">
        <v>10</v>
      </c>
      <c r="C53" s="190">
        <v>338</v>
      </c>
      <c r="D53" s="192">
        <v>30716229552</v>
      </c>
      <c r="E53" s="191" t="str">
        <f>VLOOKUP(D53,Configuracion!$A$4:$C$591,2,FALSE)</f>
        <v>LUBRICANTES RUTA DE P e H SRL</v>
      </c>
      <c r="F53" s="195">
        <v>2462.81</v>
      </c>
      <c r="G53" s="45">
        <f t="shared" si="4"/>
        <v>517.19009999999992</v>
      </c>
      <c r="H53" s="45"/>
      <c r="I53" s="45"/>
      <c r="J53" s="45"/>
      <c r="K53" s="211"/>
      <c r="L53" s="45"/>
      <c r="M53" s="217"/>
      <c r="N53" s="45"/>
      <c r="O53" s="193">
        <f t="shared" si="3"/>
        <v>2980.0000999999997</v>
      </c>
      <c r="P53" s="198" t="str">
        <f>VLOOKUP(D53,Configuracion!$A$4:$C$591,3,FALSE)</f>
        <v>VARIOS</v>
      </c>
    </row>
    <row r="54" spans="1:16" ht="15" customHeight="1" x14ac:dyDescent="0.25">
      <c r="A54" s="188" t="s">
        <v>696</v>
      </c>
      <c r="B54" s="18">
        <v>5</v>
      </c>
      <c r="C54" s="190">
        <v>18</v>
      </c>
      <c r="D54" s="192">
        <v>20929183143</v>
      </c>
      <c r="E54" s="191" t="str">
        <f>VLOOKUP(D54,Configuracion!$A$4:$C$591,2,FALSE)</f>
        <v>MA JUN</v>
      </c>
      <c r="F54" s="195">
        <v>12000</v>
      </c>
      <c r="G54" s="45">
        <f t="shared" si="4"/>
        <v>2520</v>
      </c>
      <c r="H54" s="45"/>
      <c r="I54" s="45"/>
      <c r="J54" s="45"/>
      <c r="K54" s="211"/>
      <c r="L54" s="45"/>
      <c r="M54" s="217"/>
      <c r="N54" s="45"/>
      <c r="O54" s="193">
        <f t="shared" si="3"/>
        <v>14520</v>
      </c>
      <c r="P54" s="198" t="str">
        <f>VLOOKUP(D54,Configuracion!$A$4:$C$591,3,FALSE)</f>
        <v>VARIOS</v>
      </c>
    </row>
    <row r="55" spans="1:16" ht="15" customHeight="1" x14ac:dyDescent="0.25">
      <c r="A55" s="188" t="s">
        <v>696</v>
      </c>
      <c r="B55" s="18">
        <v>3</v>
      </c>
      <c r="C55" s="190">
        <v>5871</v>
      </c>
      <c r="D55" s="192">
        <v>33708218699</v>
      </c>
      <c r="E55" s="191" t="str">
        <f>VLOOKUP(D55,Configuracion!$A$4:$C$591,2,FALSE)</f>
        <v>MANGGINI PABLO Y M ULISES SH</v>
      </c>
      <c r="F55" s="195">
        <v>3500</v>
      </c>
      <c r="G55" s="45">
        <f t="shared" si="4"/>
        <v>735</v>
      </c>
      <c r="H55" s="45"/>
      <c r="I55" s="45"/>
      <c r="J55" s="45"/>
      <c r="K55" s="211"/>
      <c r="L55" s="45"/>
      <c r="M55" s="217"/>
      <c r="N55" s="45"/>
      <c r="O55" s="193">
        <f t="shared" si="3"/>
        <v>4235</v>
      </c>
      <c r="P55" s="198" t="str">
        <f>VLOOKUP(D55,Configuracion!$A$4:$C$591,3,FALSE)</f>
        <v>VARIOS</v>
      </c>
    </row>
    <row r="56" spans="1:16" ht="15" customHeight="1" x14ac:dyDescent="0.25">
      <c r="A56" s="188" t="s">
        <v>684</v>
      </c>
      <c r="B56" s="18">
        <v>3</v>
      </c>
      <c r="C56" s="190">
        <v>84</v>
      </c>
      <c r="D56" s="192">
        <v>20334976433</v>
      </c>
      <c r="E56" s="191" t="str">
        <f>VLOOKUP(D56,Configuracion!$A$4:$C$591,2,FALSE)</f>
        <v>NARDOMARINO EZEQUIEL EDUARDO</v>
      </c>
      <c r="F56" s="195">
        <v>128543.8</v>
      </c>
      <c r="G56" s="45">
        <f t="shared" si="4"/>
        <v>26994.198</v>
      </c>
      <c r="H56" s="45"/>
      <c r="I56" s="45"/>
      <c r="J56" s="45"/>
      <c r="K56" s="211"/>
      <c r="L56" s="45"/>
      <c r="M56" s="217"/>
      <c r="N56" s="45"/>
      <c r="O56" s="193">
        <f t="shared" si="3"/>
        <v>155537.99799999999</v>
      </c>
      <c r="P56" s="198" t="str">
        <f>VLOOKUP(D56,Configuracion!$A$4:$C$591,3,FALSE)</f>
        <v>FLETE</v>
      </c>
    </row>
    <row r="57" spans="1:16" ht="15" customHeight="1" x14ac:dyDescent="0.25">
      <c r="A57" s="188" t="s">
        <v>690</v>
      </c>
      <c r="B57" s="18">
        <v>3</v>
      </c>
      <c r="C57" s="190">
        <v>85</v>
      </c>
      <c r="D57" s="192">
        <v>20334976433</v>
      </c>
      <c r="E57" s="191" t="str">
        <f>VLOOKUP(D57,Configuracion!$A$4:$C$591,2,FALSE)</f>
        <v>NARDOMARINO EZEQUIEL EDUARDO</v>
      </c>
      <c r="F57" s="195">
        <v>118644.63</v>
      </c>
      <c r="G57" s="45">
        <f t="shared" si="4"/>
        <v>24915.372299999999</v>
      </c>
      <c r="H57" s="45"/>
      <c r="I57" s="45"/>
      <c r="J57" s="45"/>
      <c r="K57" s="211"/>
      <c r="L57" s="45"/>
      <c r="M57" s="217"/>
      <c r="N57" s="45"/>
      <c r="O57" s="193">
        <f t="shared" si="3"/>
        <v>143560.00229999999</v>
      </c>
      <c r="P57" s="198" t="str">
        <f>VLOOKUP(D57,Configuracion!$A$4:$C$591,3,FALSE)</f>
        <v>FLETE</v>
      </c>
    </row>
    <row r="58" spans="1:16" ht="15" customHeight="1" x14ac:dyDescent="0.25">
      <c r="A58" s="188" t="s">
        <v>695</v>
      </c>
      <c r="B58" s="18">
        <v>3</v>
      </c>
      <c r="C58" s="190">
        <v>87</v>
      </c>
      <c r="D58" s="192">
        <v>20334976433</v>
      </c>
      <c r="E58" s="191" t="str">
        <f>VLOOKUP(D58,Configuracion!$A$4:$C$591,2,FALSE)</f>
        <v>NARDOMARINO EZEQUIEL EDUARDO</v>
      </c>
      <c r="F58" s="195">
        <v>108524.79</v>
      </c>
      <c r="G58" s="45">
        <f t="shared" si="4"/>
        <v>22790.205899999997</v>
      </c>
      <c r="H58" s="45"/>
      <c r="I58" s="45"/>
      <c r="J58" s="45"/>
      <c r="K58" s="211"/>
      <c r="L58" s="45"/>
      <c r="M58" s="217"/>
      <c r="N58" s="45"/>
      <c r="O58" s="193">
        <f t="shared" si="3"/>
        <v>131314.99589999998</v>
      </c>
      <c r="P58" s="198" t="str">
        <f>VLOOKUP(D58,Configuracion!$A$4:$C$591,3,FALSE)</f>
        <v>FLETE</v>
      </c>
    </row>
    <row r="59" spans="1:16" ht="15" customHeight="1" x14ac:dyDescent="0.25">
      <c r="A59" s="188" t="s">
        <v>702</v>
      </c>
      <c r="B59" s="18">
        <v>3</v>
      </c>
      <c r="C59" s="190">
        <v>88</v>
      </c>
      <c r="D59" s="192">
        <v>20334976433</v>
      </c>
      <c r="E59" s="191" t="str">
        <f>VLOOKUP(D59,Configuracion!$A$4:$C$591,2,FALSE)</f>
        <v>NARDOMARINO EZEQUIEL EDUARDO</v>
      </c>
      <c r="F59" s="195">
        <v>106578.51</v>
      </c>
      <c r="G59" s="45">
        <f t="shared" si="4"/>
        <v>22381.487099999998</v>
      </c>
      <c r="H59" s="45"/>
      <c r="I59" s="45"/>
      <c r="J59" s="45"/>
      <c r="K59" s="211"/>
      <c r="L59" s="45"/>
      <c r="M59" s="217"/>
      <c r="N59" s="45"/>
      <c r="O59" s="193">
        <f t="shared" si="3"/>
        <v>128959.99709999999</v>
      </c>
      <c r="P59" s="198" t="str">
        <f>VLOOKUP(D59,Configuracion!$A$4:$C$591,3,FALSE)</f>
        <v>FLETE</v>
      </c>
    </row>
    <row r="60" spans="1:16" ht="15" customHeight="1" x14ac:dyDescent="0.25">
      <c r="A60" s="188" t="s">
        <v>699</v>
      </c>
      <c r="B60" s="18">
        <v>5</v>
      </c>
      <c r="C60" s="190">
        <v>2821947</v>
      </c>
      <c r="D60" s="192">
        <v>30702652975</v>
      </c>
      <c r="E60" s="191" t="str">
        <f>VLOOKUP(D60,Configuracion!$A$4:$C$591,2,FALSE)</f>
        <v>NSS SA - IPLAN</v>
      </c>
      <c r="F60" s="195">
        <v>8185.37</v>
      </c>
      <c r="G60" s="45">
        <f t="shared" si="4"/>
        <v>1718.9277</v>
      </c>
      <c r="H60" s="45"/>
      <c r="I60" s="45"/>
      <c r="J60" s="45"/>
      <c r="K60" s="211">
        <v>286.49</v>
      </c>
      <c r="L60" s="45"/>
      <c r="M60" s="217"/>
      <c r="N60" s="45"/>
      <c r="O60" s="193">
        <f t="shared" si="3"/>
        <v>10190.787699999999</v>
      </c>
      <c r="P60" s="198" t="str">
        <f>VLOOKUP(D60,Configuracion!$A$4:$C$591,3,FALSE)</f>
        <v>SERVICIO</v>
      </c>
    </row>
    <row r="61" spans="1:16" ht="15" customHeight="1" x14ac:dyDescent="0.25">
      <c r="A61" s="188" t="s">
        <v>699</v>
      </c>
      <c r="B61" s="18">
        <v>1001</v>
      </c>
      <c r="C61" s="190">
        <v>15234</v>
      </c>
      <c r="D61" s="192">
        <v>30715393251</v>
      </c>
      <c r="E61" s="191" t="str">
        <f>VLOOKUP(D61,Configuracion!$A$4:$C$591,2,FALSE)</f>
        <v>OMNICHANNEL SA</v>
      </c>
      <c r="F61" s="195">
        <v>8284.2999999999993</v>
      </c>
      <c r="G61" s="45">
        <f t="shared" si="4"/>
        <v>1739.7029999999997</v>
      </c>
      <c r="H61" s="45"/>
      <c r="I61" s="45"/>
      <c r="J61" s="45"/>
      <c r="K61" s="211"/>
      <c r="L61" s="45"/>
      <c r="M61" s="217"/>
      <c r="N61" s="45"/>
      <c r="O61" s="193">
        <f t="shared" si="3"/>
        <v>10024.002999999999</v>
      </c>
      <c r="P61" s="198" t="str">
        <f>VLOOKUP(D61,Configuracion!$A$4:$C$591,3,FALSE)</f>
        <v>VARIOS</v>
      </c>
    </row>
    <row r="62" spans="1:16" ht="15" customHeight="1" x14ac:dyDescent="0.25">
      <c r="A62" s="188" t="s">
        <v>700</v>
      </c>
      <c r="B62" s="18">
        <v>1001</v>
      </c>
      <c r="C62" s="190">
        <v>15285</v>
      </c>
      <c r="D62" s="192">
        <v>30715393251</v>
      </c>
      <c r="E62" s="191" t="str">
        <f>VLOOKUP(D62,Configuracion!$A$4:$C$591,2,FALSE)</f>
        <v>OMNICHANNEL SA</v>
      </c>
      <c r="F62" s="195">
        <v>17023.14</v>
      </c>
      <c r="G62" s="45">
        <f t="shared" si="4"/>
        <v>3574.8593999999998</v>
      </c>
      <c r="H62" s="45"/>
      <c r="I62" s="45"/>
      <c r="J62" s="45"/>
      <c r="K62" s="211"/>
      <c r="L62" s="45"/>
      <c r="M62" s="217"/>
      <c r="N62" s="45"/>
      <c r="O62" s="193">
        <f t="shared" si="3"/>
        <v>20597.999400000001</v>
      </c>
      <c r="P62" s="198" t="str">
        <f>VLOOKUP(D62,Configuracion!$A$4:$C$591,3,FALSE)</f>
        <v>VARIOS</v>
      </c>
    </row>
    <row r="63" spans="1:16" ht="15" customHeight="1" x14ac:dyDescent="0.25">
      <c r="A63" s="188" t="s">
        <v>701</v>
      </c>
      <c r="B63" s="18">
        <v>1001</v>
      </c>
      <c r="C63" s="190">
        <v>15410</v>
      </c>
      <c r="D63" s="192">
        <v>30715393251</v>
      </c>
      <c r="E63" s="191" t="str">
        <f>VLOOKUP(D63,Configuracion!$A$4:$C$591,2,FALSE)</f>
        <v>OMNICHANNEL SA</v>
      </c>
      <c r="F63" s="195">
        <v>9999.17</v>
      </c>
      <c r="G63" s="45">
        <f t="shared" si="4"/>
        <v>2099.8256999999999</v>
      </c>
      <c r="H63" s="45"/>
      <c r="I63" s="45"/>
      <c r="J63" s="45"/>
      <c r="K63" s="211"/>
      <c r="L63" s="45"/>
      <c r="M63" s="217"/>
      <c r="N63" s="45"/>
      <c r="O63" s="193">
        <f t="shared" si="3"/>
        <v>12098.995699999999</v>
      </c>
      <c r="P63" s="198" t="str">
        <f>VLOOKUP(D63,Configuracion!$A$4:$C$591,3,FALSE)</f>
        <v>VARIOS</v>
      </c>
    </row>
    <row r="64" spans="1:16" ht="15" customHeight="1" x14ac:dyDescent="0.25">
      <c r="A64" s="188" t="s">
        <v>688</v>
      </c>
      <c r="B64" s="18">
        <v>2</v>
      </c>
      <c r="C64" s="190">
        <v>8774</v>
      </c>
      <c r="D64" s="192">
        <v>30714331082</v>
      </c>
      <c r="E64" s="191" t="str">
        <f>VLOOKUP(D64,Configuracion!$A$4:$C$591,2,FALSE)</f>
        <v>ORTOPEDIA CASA ESCALADA SRL</v>
      </c>
      <c r="F64" s="195">
        <v>406198.69</v>
      </c>
      <c r="G64" s="45">
        <f t="shared" si="4"/>
        <v>85301.724900000001</v>
      </c>
      <c r="H64" s="45"/>
      <c r="I64" s="45"/>
      <c r="J64" s="45"/>
      <c r="K64" s="211"/>
      <c r="L64" s="45"/>
      <c r="M64" s="217"/>
      <c r="N64" s="45"/>
      <c r="O64" s="193">
        <f t="shared" si="3"/>
        <v>491500.41489999997</v>
      </c>
      <c r="P64" s="198" t="str">
        <f>VLOOKUP(D64,Configuracion!$A$4:$C$591,3,FALSE)</f>
        <v>PROVEEDOR</v>
      </c>
    </row>
    <row r="65" spans="1:16" ht="15" customHeight="1" x14ac:dyDescent="0.25">
      <c r="A65" s="188" t="s">
        <v>694</v>
      </c>
      <c r="B65" s="18">
        <v>2</v>
      </c>
      <c r="C65" s="190">
        <v>8818</v>
      </c>
      <c r="D65" s="192">
        <v>30714331082</v>
      </c>
      <c r="E65" s="191" t="str">
        <f>VLOOKUP(D65,Configuracion!$A$4:$C$591,2,FALSE)</f>
        <v>ORTOPEDIA CASA ESCALADA SRL</v>
      </c>
      <c r="F65" s="195">
        <v>87848</v>
      </c>
      <c r="G65" s="45">
        <f t="shared" si="4"/>
        <v>18448.079999999998</v>
      </c>
      <c r="H65" s="45"/>
      <c r="I65" s="45"/>
      <c r="J65" s="45"/>
      <c r="K65" s="211"/>
      <c r="L65" s="45"/>
      <c r="M65" s="217"/>
      <c r="N65" s="45"/>
      <c r="O65" s="193">
        <f t="shared" si="3"/>
        <v>106296.08</v>
      </c>
      <c r="P65" s="198" t="str">
        <f>VLOOKUP(D65,Configuracion!$A$4:$C$591,3,FALSE)</f>
        <v>PROVEEDOR</v>
      </c>
    </row>
    <row r="66" spans="1:16" ht="15" customHeight="1" x14ac:dyDescent="0.25">
      <c r="A66" s="188" t="s">
        <v>696</v>
      </c>
      <c r="B66" s="18">
        <v>2</v>
      </c>
      <c r="C66" s="190">
        <v>8827</v>
      </c>
      <c r="D66" s="192">
        <v>30714331082</v>
      </c>
      <c r="E66" s="191" t="str">
        <f>VLOOKUP(D66,Configuracion!$A$4:$C$591,2,FALSE)</f>
        <v>ORTOPEDIA CASA ESCALADA SRL</v>
      </c>
      <c r="F66" s="195">
        <v>140925.9</v>
      </c>
      <c r="G66" s="45">
        <f t="shared" si="4"/>
        <v>29594.438999999998</v>
      </c>
      <c r="H66" s="45"/>
      <c r="I66" s="45"/>
      <c r="J66" s="45"/>
      <c r="K66" s="211"/>
      <c r="L66" s="45"/>
      <c r="M66" s="217"/>
      <c r="N66" s="45"/>
      <c r="O66" s="193">
        <f t="shared" si="3"/>
        <v>170520.33899999998</v>
      </c>
      <c r="P66" s="198" t="str">
        <f>VLOOKUP(D66,Configuracion!$A$4:$C$591,3,FALSE)</f>
        <v>PROVEEDOR</v>
      </c>
    </row>
    <row r="67" spans="1:16" ht="15" customHeight="1" x14ac:dyDescent="0.25">
      <c r="A67" s="188" t="s">
        <v>697</v>
      </c>
      <c r="B67" s="18">
        <v>2</v>
      </c>
      <c r="C67" s="190">
        <v>8837</v>
      </c>
      <c r="D67" s="192">
        <v>30714331082</v>
      </c>
      <c r="E67" s="191" t="str">
        <f>VLOOKUP(D67,Configuracion!$A$4:$C$591,2,FALSE)</f>
        <v>ORTOPEDIA CASA ESCALADA SRL</v>
      </c>
      <c r="F67" s="195">
        <v>384292.95</v>
      </c>
      <c r="G67" s="45">
        <f t="shared" si="4"/>
        <v>80701.519499999995</v>
      </c>
      <c r="H67" s="45"/>
      <c r="I67" s="45"/>
      <c r="J67" s="45"/>
      <c r="K67" s="211"/>
      <c r="L67" s="45"/>
      <c r="M67" s="217"/>
      <c r="N67" s="45"/>
      <c r="O67" s="193">
        <f t="shared" si="3"/>
        <v>464994.46950000001</v>
      </c>
      <c r="P67" s="198" t="str">
        <f>VLOOKUP(D67,Configuracion!$A$4:$C$591,3,FALSE)</f>
        <v>PROVEEDOR</v>
      </c>
    </row>
    <row r="68" spans="1:16" ht="15" customHeight="1" x14ac:dyDescent="0.25">
      <c r="A68" s="188" t="s">
        <v>702</v>
      </c>
      <c r="B68" s="18">
        <v>2</v>
      </c>
      <c r="C68" s="190">
        <v>8859</v>
      </c>
      <c r="D68" s="192">
        <v>30714331082</v>
      </c>
      <c r="E68" s="191" t="str">
        <f>VLOOKUP(D68,Configuracion!$A$4:$C$591,2,FALSE)</f>
        <v>ORTOPEDIA CASA ESCALADA SRL</v>
      </c>
      <c r="F68" s="195">
        <v>301992.64</v>
      </c>
      <c r="G68" s="45">
        <f t="shared" si="4"/>
        <v>63418.454400000002</v>
      </c>
      <c r="H68" s="45"/>
      <c r="I68" s="45"/>
      <c r="J68" s="45"/>
      <c r="K68" s="211"/>
      <c r="L68" s="45"/>
      <c r="M68" s="217"/>
      <c r="N68" s="45"/>
      <c r="O68" s="193">
        <f t="shared" si="3"/>
        <v>365411.0944</v>
      </c>
      <c r="P68" s="198" t="str">
        <f>VLOOKUP(D68,Configuracion!$A$4:$C$591,3,FALSE)</f>
        <v>PROVEEDOR</v>
      </c>
    </row>
    <row r="69" spans="1:16" ht="15" customHeight="1" x14ac:dyDescent="0.25">
      <c r="A69" s="188" t="s">
        <v>692</v>
      </c>
      <c r="B69" s="18">
        <v>4</v>
      </c>
      <c r="C69" s="190">
        <v>65113</v>
      </c>
      <c r="D69" s="192">
        <v>33709738459</v>
      </c>
      <c r="E69" s="191" t="str">
        <f>VLOOKUP(D69,Configuracion!$A$4:$C$591,2,FALSE)</f>
        <v>ORTOPEDICOS ALFOLATEX SA</v>
      </c>
      <c r="F69" s="195">
        <v>123774.94</v>
      </c>
      <c r="G69" s="45">
        <f t="shared" si="4"/>
        <v>25992.737399999998</v>
      </c>
      <c r="H69" s="45"/>
      <c r="I69" s="45"/>
      <c r="J69" s="45"/>
      <c r="K69" s="211"/>
      <c r="L69" s="45"/>
      <c r="M69" s="217"/>
      <c r="N69" s="45"/>
      <c r="O69" s="193">
        <f t="shared" si="3"/>
        <v>149767.67739999999</v>
      </c>
      <c r="P69" s="198" t="str">
        <f>VLOOKUP(D69,Configuracion!$A$4:$C$591,3,FALSE)</f>
        <v>PROVEEDOR</v>
      </c>
    </row>
    <row r="70" spans="1:16" ht="15" customHeight="1" x14ac:dyDescent="0.25">
      <c r="A70" s="188" t="s">
        <v>697</v>
      </c>
      <c r="B70" s="18">
        <v>4</v>
      </c>
      <c r="C70" s="190">
        <v>65240</v>
      </c>
      <c r="D70" s="192">
        <v>33709738459</v>
      </c>
      <c r="E70" s="191" t="str">
        <f>VLOOKUP(D70,Configuracion!$A$4:$C$591,2,FALSE)</f>
        <v>ORTOPEDICOS ALFOLATEX SA</v>
      </c>
      <c r="F70" s="195">
        <v>170802.85</v>
      </c>
      <c r="G70" s="45">
        <f t="shared" si="4"/>
        <v>35868.5985</v>
      </c>
      <c r="H70" s="45"/>
      <c r="I70" s="45"/>
      <c r="J70" s="45"/>
      <c r="K70" s="211"/>
      <c r="L70" s="45"/>
      <c r="M70" s="217"/>
      <c r="N70" s="45"/>
      <c r="O70" s="193">
        <f t="shared" si="3"/>
        <v>206671.4485</v>
      </c>
      <c r="P70" s="198" t="str">
        <f>VLOOKUP(D70,Configuracion!$A$4:$C$591,3,FALSE)</f>
        <v>PROVEEDOR</v>
      </c>
    </row>
    <row r="71" spans="1:16" ht="15" customHeight="1" x14ac:dyDescent="0.25">
      <c r="A71" s="188" t="s">
        <v>704</v>
      </c>
      <c r="B71" s="18">
        <v>120</v>
      </c>
      <c r="C71" s="190">
        <v>3043</v>
      </c>
      <c r="D71" s="192">
        <v>30587197215</v>
      </c>
      <c r="E71" s="191" t="str">
        <f>VLOOKUP(D71,Configuracion!$A$4:$C$591,2,FALSE)</f>
        <v>PANATEL SOCIEDAD ANONIMA</v>
      </c>
      <c r="F71" s="195">
        <v>16528.93</v>
      </c>
      <c r="G71" s="45">
        <f t="shared" si="4"/>
        <v>3471.0753</v>
      </c>
      <c r="H71" s="45"/>
      <c r="I71" s="45"/>
      <c r="J71" s="45"/>
      <c r="K71" s="211"/>
      <c r="L71" s="45"/>
      <c r="M71" s="217"/>
      <c r="N71" s="45"/>
      <c r="O71" s="193">
        <f t="shared" si="3"/>
        <v>20000.005300000001</v>
      </c>
      <c r="P71" s="198" t="str">
        <f>VLOOKUP(D71,Configuracion!$A$4:$C$591,3,FALSE)</f>
        <v>VARIOS</v>
      </c>
    </row>
    <row r="72" spans="1:16" ht="15" customHeight="1" x14ac:dyDescent="0.25">
      <c r="A72" s="188" t="s">
        <v>687</v>
      </c>
      <c r="B72" s="18">
        <v>12</v>
      </c>
      <c r="C72" s="190">
        <v>1625536</v>
      </c>
      <c r="D72" s="192">
        <v>30709776564</v>
      </c>
      <c r="E72" s="191" t="str">
        <f>VLOOKUP(D72,Configuracion!$A$4:$C$591,2,FALSE)</f>
        <v>PROSEGUR ACTIVA ARG SA</v>
      </c>
      <c r="F72" s="195">
        <v>21032.5</v>
      </c>
      <c r="G72" s="45">
        <f t="shared" si="4"/>
        <v>4416.8249999999998</v>
      </c>
      <c r="H72" s="45"/>
      <c r="I72" s="45"/>
      <c r="J72" s="45"/>
      <c r="K72" s="211">
        <v>736.14</v>
      </c>
      <c r="L72" s="45"/>
      <c r="M72" s="217"/>
      <c r="N72" s="45"/>
      <c r="O72" s="193">
        <f t="shared" ref="O72:O103" si="5">SUM(F72:N72)</f>
        <v>26185.465</v>
      </c>
      <c r="P72" s="198" t="str">
        <f>VLOOKUP(D72,Configuracion!$A$4:$C$591,3,FALSE)</f>
        <v>SEGUROS</v>
      </c>
    </row>
    <row r="73" spans="1:16" ht="15" customHeight="1" x14ac:dyDescent="0.25">
      <c r="A73" s="188" t="s">
        <v>686</v>
      </c>
      <c r="B73" s="18">
        <v>1001</v>
      </c>
      <c r="C73" s="190">
        <v>263</v>
      </c>
      <c r="D73" s="192">
        <v>30707370552</v>
      </c>
      <c r="E73" s="191" t="str">
        <f>VLOOKUP(D73,Configuracion!$A$4:$C$591,2,FALSE)</f>
        <v>RAKE SA</v>
      </c>
      <c r="F73" s="195">
        <v>82231.400000000009</v>
      </c>
      <c r="G73" s="45">
        <f t="shared" si="4"/>
        <v>17268.594000000001</v>
      </c>
      <c r="H73" s="45"/>
      <c r="I73" s="45"/>
      <c r="J73" s="45"/>
      <c r="K73" s="211"/>
      <c r="L73" s="45"/>
      <c r="M73" s="217"/>
      <c r="N73" s="45"/>
      <c r="O73" s="193">
        <f t="shared" si="5"/>
        <v>99499.994000000006</v>
      </c>
      <c r="P73" s="198" t="str">
        <f>VLOOKUP(D73,Configuracion!$A$4:$C$591,3,FALSE)</f>
        <v>PROVEEDOR</v>
      </c>
    </row>
    <row r="74" spans="1:16" ht="15" customHeight="1" x14ac:dyDescent="0.25">
      <c r="A74" s="188" t="s">
        <v>686</v>
      </c>
      <c r="B74" s="18">
        <v>1001</v>
      </c>
      <c r="C74" s="190">
        <v>264</v>
      </c>
      <c r="D74" s="192">
        <v>30707370552</v>
      </c>
      <c r="E74" s="191" t="str">
        <f>VLOOKUP(D74,Configuracion!$A$4:$C$591,2,FALSE)</f>
        <v>RAKE SA</v>
      </c>
      <c r="F74" s="195">
        <v>114876.03</v>
      </c>
      <c r="G74" s="45">
        <f t="shared" si="4"/>
        <v>24123.9663</v>
      </c>
      <c r="H74" s="45"/>
      <c r="I74" s="45"/>
      <c r="J74" s="45"/>
      <c r="K74" s="211"/>
      <c r="L74" s="45"/>
      <c r="M74" s="217"/>
      <c r="N74" s="45"/>
      <c r="O74" s="193">
        <f t="shared" si="5"/>
        <v>138999.9963</v>
      </c>
      <c r="P74" s="198" t="str">
        <f>VLOOKUP(D74,Configuracion!$A$4:$C$591,3,FALSE)</f>
        <v>PROVEEDOR</v>
      </c>
    </row>
    <row r="75" spans="1:16" ht="15" customHeight="1" x14ac:dyDescent="0.25">
      <c r="A75" s="188" t="s">
        <v>686</v>
      </c>
      <c r="B75" s="18">
        <v>1001</v>
      </c>
      <c r="C75" s="190">
        <v>265</v>
      </c>
      <c r="D75" s="192">
        <v>30707370552</v>
      </c>
      <c r="E75" s="191" t="str">
        <f>VLOOKUP(D75,Configuracion!$A$4:$C$591,2,FALSE)</f>
        <v>RAKE SA</v>
      </c>
      <c r="F75" s="195">
        <v>262330.58</v>
      </c>
      <c r="G75" s="45">
        <f t="shared" si="4"/>
        <v>55089.421800000004</v>
      </c>
      <c r="H75" s="45"/>
      <c r="I75" s="45"/>
      <c r="J75" s="45"/>
      <c r="K75" s="211"/>
      <c r="L75" s="45"/>
      <c r="M75" s="217"/>
      <c r="N75" s="45"/>
      <c r="O75" s="193">
        <f t="shared" si="5"/>
        <v>317420.00180000003</v>
      </c>
      <c r="P75" s="198" t="str">
        <f>VLOOKUP(D75,Configuracion!$A$4:$C$591,3,FALSE)</f>
        <v>PROVEEDOR</v>
      </c>
    </row>
    <row r="76" spans="1:16" x14ac:dyDescent="0.25">
      <c r="A76" s="188" t="s">
        <v>686</v>
      </c>
      <c r="B76" s="18">
        <v>7</v>
      </c>
      <c r="C76" s="190">
        <v>15878</v>
      </c>
      <c r="D76" s="192">
        <v>30709214078</v>
      </c>
      <c r="E76" s="191" t="str">
        <f>VLOOKUP(D76,Configuracion!$A$4:$C$591,2,FALSE)</f>
        <v>REHAVITA SA</v>
      </c>
      <c r="F76" s="195">
        <v>1228948</v>
      </c>
      <c r="G76" s="45">
        <v>237770.19</v>
      </c>
      <c r="H76" s="45"/>
      <c r="I76" s="45">
        <v>10154.450000000001</v>
      </c>
      <c r="J76" s="45"/>
      <c r="K76" s="211"/>
      <c r="L76" s="45"/>
      <c r="M76" s="217"/>
      <c r="N76" s="45"/>
      <c r="O76" s="193">
        <f t="shared" si="5"/>
        <v>1476872.64</v>
      </c>
      <c r="P76" s="198" t="str">
        <f>VLOOKUP(D76,Configuracion!$A$4:$C$591,3,FALSE)</f>
        <v>PROVEEDOR</v>
      </c>
    </row>
    <row r="77" spans="1:16" x14ac:dyDescent="0.25">
      <c r="A77" s="188" t="s">
        <v>688</v>
      </c>
      <c r="B77" s="18">
        <v>7</v>
      </c>
      <c r="C77" s="190">
        <v>15944</v>
      </c>
      <c r="D77" s="192">
        <v>30709214078</v>
      </c>
      <c r="E77" s="191" t="str">
        <f>VLOOKUP(D77,Configuracion!$A$4:$C$591,2,FALSE)</f>
        <v>REHAVITA SA</v>
      </c>
      <c r="F77" s="195">
        <v>106144</v>
      </c>
      <c r="G77" s="45"/>
      <c r="H77" s="45"/>
      <c r="I77" s="45">
        <v>11145.12</v>
      </c>
      <c r="J77" s="45"/>
      <c r="K77" s="211"/>
      <c r="L77" s="45"/>
      <c r="M77" s="217"/>
      <c r="N77" s="45"/>
      <c r="O77" s="193">
        <f t="shared" si="5"/>
        <v>117289.12</v>
      </c>
      <c r="P77" s="198" t="str">
        <f>VLOOKUP(D77,Configuracion!$A$4:$C$591,3,FALSE)</f>
        <v>PROVEEDOR</v>
      </c>
    </row>
    <row r="78" spans="1:16" x14ac:dyDescent="0.25">
      <c r="A78" s="188" t="s">
        <v>691</v>
      </c>
      <c r="B78" s="18">
        <v>7</v>
      </c>
      <c r="C78" s="190">
        <v>1072</v>
      </c>
      <c r="D78" s="192">
        <v>30709214078</v>
      </c>
      <c r="E78" s="191" t="str">
        <f>VLOOKUP(D78,Configuracion!$A$4:$C$591,2,FALSE)</f>
        <v>REHAVITA SA</v>
      </c>
      <c r="F78" s="195">
        <v>-106144</v>
      </c>
      <c r="G78" s="45"/>
      <c r="H78" s="45"/>
      <c r="I78" s="45">
        <v>-11145.12</v>
      </c>
      <c r="J78" s="45"/>
      <c r="K78" s="211"/>
      <c r="L78" s="45"/>
      <c r="M78" s="217"/>
      <c r="N78" s="45"/>
      <c r="O78" s="193">
        <f t="shared" si="5"/>
        <v>-117289.12</v>
      </c>
      <c r="P78" s="198" t="str">
        <f>VLOOKUP(D78,Configuracion!$A$4:$C$591,3,FALSE)</f>
        <v>PROVEEDOR</v>
      </c>
    </row>
    <row r="79" spans="1:16" ht="15" customHeight="1" x14ac:dyDescent="0.25">
      <c r="A79" s="188" t="s">
        <v>694</v>
      </c>
      <c r="B79" s="18">
        <v>7</v>
      </c>
      <c r="C79" s="190">
        <v>15999</v>
      </c>
      <c r="D79" s="192">
        <v>30709214078</v>
      </c>
      <c r="E79" s="191" t="str">
        <f>VLOOKUP(D79,Configuracion!$A$4:$C$591,2,FALSE)</f>
        <v>REHAVITA SA</v>
      </c>
      <c r="F79" s="195">
        <v>808392.46</v>
      </c>
      <c r="G79" s="45">
        <f>F79*21%</f>
        <v>169762.4166</v>
      </c>
      <c r="H79" s="45"/>
      <c r="I79" s="45"/>
      <c r="J79" s="45"/>
      <c r="K79" s="211"/>
      <c r="L79" s="45"/>
      <c r="M79" s="217"/>
      <c r="N79" s="45"/>
      <c r="O79" s="193">
        <f t="shared" si="5"/>
        <v>978154.87659999996</v>
      </c>
      <c r="P79" s="198" t="str">
        <f>VLOOKUP(D79,Configuracion!$A$4:$C$591,3,FALSE)</f>
        <v>PROVEEDOR</v>
      </c>
    </row>
    <row r="80" spans="1:16" ht="15" customHeight="1" x14ac:dyDescent="0.25">
      <c r="A80" s="188" t="s">
        <v>694</v>
      </c>
      <c r="B80" s="18">
        <v>7</v>
      </c>
      <c r="C80" s="190">
        <v>16000</v>
      </c>
      <c r="D80" s="192">
        <v>30709214078</v>
      </c>
      <c r="E80" s="191" t="str">
        <f>VLOOKUP(D80,Configuracion!$A$4:$C$591,2,FALSE)</f>
        <v>REHAVITA SA</v>
      </c>
      <c r="F80" s="195">
        <v>1515333.46</v>
      </c>
      <c r="G80" s="45">
        <f>F80*21%</f>
        <v>318220.02659999998</v>
      </c>
      <c r="H80" s="45"/>
      <c r="I80" s="45"/>
      <c r="J80" s="45"/>
      <c r="K80" s="211"/>
      <c r="L80" s="45"/>
      <c r="M80" s="217"/>
      <c r="N80" s="45"/>
      <c r="O80" s="193">
        <f t="shared" si="5"/>
        <v>1833553.4865999999</v>
      </c>
      <c r="P80" s="198" t="str">
        <f>VLOOKUP(D80,Configuracion!$A$4:$C$591,3,FALSE)</f>
        <v>PROVEEDOR</v>
      </c>
    </row>
    <row r="81" spans="1:16" ht="15" customHeight="1" x14ac:dyDescent="0.25">
      <c r="A81" s="188" t="s">
        <v>692</v>
      </c>
      <c r="B81" s="18">
        <v>17</v>
      </c>
      <c r="C81" s="190">
        <v>1137</v>
      </c>
      <c r="D81" s="192">
        <v>30711764921</v>
      </c>
      <c r="E81" s="191" t="str">
        <f>VLOOKUP(D81,Configuracion!$A$4:$C$591,2,FALSE)</f>
        <v>RELIEF CENTER SRL</v>
      </c>
      <c r="F81" s="195">
        <v>26481</v>
      </c>
      <c r="G81" s="45">
        <f>F81*21%</f>
        <v>5561.01</v>
      </c>
      <c r="H81" s="45"/>
      <c r="I81" s="45"/>
      <c r="J81" s="45"/>
      <c r="K81" s="211"/>
      <c r="L81" s="45"/>
      <c r="M81" s="217"/>
      <c r="N81" s="45"/>
      <c r="O81" s="193">
        <f t="shared" si="5"/>
        <v>32042.010000000002</v>
      </c>
      <c r="P81" s="198" t="str">
        <f>VLOOKUP(D81,Configuracion!$A$4:$C$591,3,FALSE)</f>
        <v>PROVEEDOR</v>
      </c>
    </row>
    <row r="82" spans="1:16" ht="15" customHeight="1" x14ac:dyDescent="0.25">
      <c r="A82" s="188" t="s">
        <v>676</v>
      </c>
      <c r="B82" s="18">
        <v>1</v>
      </c>
      <c r="C82" s="190">
        <v>622</v>
      </c>
      <c r="D82" s="192">
        <v>30715048066</v>
      </c>
      <c r="E82" s="191" t="str">
        <f>VLOOKUP(D82,Configuracion!$A$4:$C$591,2,FALSE)</f>
        <v>ROLLS Y EMPANADAS SA</v>
      </c>
      <c r="F82" s="195">
        <v>288240</v>
      </c>
      <c r="G82" s="45">
        <f>F82*21%</f>
        <v>60530.399999999994</v>
      </c>
      <c r="H82" s="45"/>
      <c r="I82" s="45"/>
      <c r="J82" s="45"/>
      <c r="K82" s="211"/>
      <c r="L82" s="45"/>
      <c r="M82" s="217"/>
      <c r="N82" s="45"/>
      <c r="O82" s="193">
        <f t="shared" si="5"/>
        <v>348770.4</v>
      </c>
      <c r="P82" s="198" t="str">
        <f>VLOOKUP(D82,Configuracion!$A$4:$C$591,3,FALSE)</f>
        <v>VARIOS</v>
      </c>
    </row>
    <row r="83" spans="1:16" ht="15" customHeight="1" x14ac:dyDescent="0.25">
      <c r="A83" s="188" t="s">
        <v>694</v>
      </c>
      <c r="B83" s="18">
        <v>6</v>
      </c>
      <c r="C83" s="190">
        <v>75063</v>
      </c>
      <c r="D83" s="192">
        <v>30711553564</v>
      </c>
      <c r="E83" s="191" t="str">
        <f>VLOOKUP(D83,Configuracion!$A$4:$C$591,2,FALSE)</f>
        <v>SALUDTEX SA</v>
      </c>
      <c r="F83" s="195">
        <v>260716</v>
      </c>
      <c r="G83" s="45">
        <f>F83*21%</f>
        <v>54750.36</v>
      </c>
      <c r="H83" s="45"/>
      <c r="I83" s="45"/>
      <c r="J83" s="45"/>
      <c r="K83" s="211"/>
      <c r="L83" s="45"/>
      <c r="M83" s="217"/>
      <c r="N83" s="45"/>
      <c r="O83" s="193">
        <f t="shared" si="5"/>
        <v>315466.36</v>
      </c>
      <c r="P83" s="198" t="str">
        <f>VLOOKUP(D83,Configuracion!$A$4:$C$591,3,FALSE)</f>
        <v>PROVEEDOR</v>
      </c>
    </row>
    <row r="84" spans="1:16" ht="15" customHeight="1" x14ac:dyDescent="0.25">
      <c r="A84" s="188" t="s">
        <v>692</v>
      </c>
      <c r="B84" s="18">
        <v>5</v>
      </c>
      <c r="C84" s="190">
        <v>2878</v>
      </c>
      <c r="D84" s="192">
        <v>33693506099</v>
      </c>
      <c r="E84" s="191" t="str">
        <f>VLOOKUP(D84,Configuracion!$A$4:$C$591,2,FALSE)</f>
        <v>SCALISE A. FALANGA C SH</v>
      </c>
      <c r="F84" s="195">
        <v>1680.03</v>
      </c>
      <c r="G84" s="45"/>
      <c r="H84" s="45"/>
      <c r="I84" s="45">
        <v>176.4</v>
      </c>
      <c r="J84" s="45"/>
      <c r="K84" s="211"/>
      <c r="L84" s="45"/>
      <c r="M84" s="217"/>
      <c r="N84" s="45"/>
      <c r="O84" s="193">
        <f t="shared" si="5"/>
        <v>1856.43</v>
      </c>
      <c r="P84" s="198" t="str">
        <f>VLOOKUP(D84,Configuracion!$A$4:$C$591,3,FALSE)</f>
        <v>VARIOS</v>
      </c>
    </row>
    <row r="85" spans="1:16" ht="15" customHeight="1" x14ac:dyDescent="0.25">
      <c r="A85" s="188" t="s">
        <v>691</v>
      </c>
      <c r="B85" s="18">
        <v>5</v>
      </c>
      <c r="C85" s="190">
        <v>145403</v>
      </c>
      <c r="D85" s="192">
        <v>30598960093</v>
      </c>
      <c r="E85" s="191" t="str">
        <f>VLOOKUP(D85,Configuracion!$A$4:$C$591,2,FALSE)</f>
        <v>SILVESTRIN FABRIS SRL</v>
      </c>
      <c r="F85" s="195">
        <v>641866.20000000007</v>
      </c>
      <c r="G85" s="45">
        <f t="shared" ref="G85:G91" si="6">F85*21%</f>
        <v>134791.902</v>
      </c>
      <c r="H85" s="45"/>
      <c r="I85" s="45"/>
      <c r="J85" s="45"/>
      <c r="K85" s="211">
        <v>22465.32</v>
      </c>
      <c r="L85" s="45"/>
      <c r="M85" s="217"/>
      <c r="N85" s="45"/>
      <c r="O85" s="193">
        <f t="shared" si="5"/>
        <v>799123.42200000002</v>
      </c>
      <c r="P85" s="198" t="str">
        <f>VLOOKUP(D85,Configuracion!$A$4:$C$591,3,FALSE)</f>
        <v>PROVEEDOR</v>
      </c>
    </row>
    <row r="86" spans="1:16" ht="15" customHeight="1" x14ac:dyDescent="0.25">
      <c r="A86" s="188" t="s">
        <v>695</v>
      </c>
      <c r="B86" s="18">
        <v>5</v>
      </c>
      <c r="C86" s="190">
        <v>145686</v>
      </c>
      <c r="D86" s="192">
        <v>30598960093</v>
      </c>
      <c r="E86" s="191" t="str">
        <f>VLOOKUP(D86,Configuracion!$A$4:$C$591,2,FALSE)</f>
        <v>SILVESTRIN FABRIS SRL</v>
      </c>
      <c r="F86" s="195">
        <v>192725.1</v>
      </c>
      <c r="G86" s="45">
        <f t="shared" si="6"/>
        <v>40472.271000000001</v>
      </c>
      <c r="H86" s="45"/>
      <c r="I86" s="45"/>
      <c r="J86" s="45"/>
      <c r="K86" s="211">
        <v>6745.38</v>
      </c>
      <c r="L86" s="45"/>
      <c r="M86" s="217"/>
      <c r="N86" s="45"/>
      <c r="O86" s="193">
        <f t="shared" si="5"/>
        <v>239942.75100000002</v>
      </c>
      <c r="P86" s="198" t="str">
        <f>VLOOKUP(D86,Configuracion!$A$4:$C$591,3,FALSE)</f>
        <v>PROVEEDOR</v>
      </c>
    </row>
    <row r="87" spans="1:16" ht="15" customHeight="1" x14ac:dyDescent="0.25">
      <c r="A87" s="188" t="s">
        <v>699</v>
      </c>
      <c r="B87" s="18">
        <v>5</v>
      </c>
      <c r="C87" s="190">
        <v>145889</v>
      </c>
      <c r="D87" s="192">
        <v>30598960093</v>
      </c>
      <c r="E87" s="191" t="str">
        <f>VLOOKUP(D87,Configuracion!$A$4:$C$591,2,FALSE)</f>
        <v>SILVESTRIN FABRIS SRL</v>
      </c>
      <c r="F87" s="195">
        <v>153941.80000000002</v>
      </c>
      <c r="G87" s="45">
        <f t="shared" si="6"/>
        <v>32327.778000000002</v>
      </c>
      <c r="H87" s="45"/>
      <c r="I87" s="45"/>
      <c r="J87" s="45"/>
      <c r="K87" s="211">
        <v>5387.96</v>
      </c>
      <c r="L87" s="45"/>
      <c r="M87" s="217"/>
      <c r="N87" s="45"/>
      <c r="O87" s="193">
        <f t="shared" si="5"/>
        <v>191657.538</v>
      </c>
      <c r="P87" s="198" t="str">
        <f>VLOOKUP(D87,Configuracion!$A$4:$C$591,3,FALSE)</f>
        <v>PROVEEDOR</v>
      </c>
    </row>
    <row r="88" spans="1:16" ht="15" customHeight="1" x14ac:dyDescent="0.25">
      <c r="A88" s="188" t="s">
        <v>687</v>
      </c>
      <c r="B88" s="18">
        <v>6</v>
      </c>
      <c r="C88" s="190">
        <v>49061</v>
      </c>
      <c r="D88" s="192">
        <v>30710177658</v>
      </c>
      <c r="E88" s="191" t="str">
        <f>VLOOKUP(D88,Configuracion!$A$4:$C$591,2,FALSE)</f>
        <v>TARGET MEDICAL SA</v>
      </c>
      <c r="F88" s="195">
        <v>171247.68</v>
      </c>
      <c r="G88" s="45">
        <f t="shared" si="6"/>
        <v>35962.012799999997</v>
      </c>
      <c r="H88" s="45"/>
      <c r="I88" s="45"/>
      <c r="J88" s="45"/>
      <c r="K88" s="211"/>
      <c r="L88" s="45"/>
      <c r="M88" s="217"/>
      <c r="N88" s="45"/>
      <c r="O88" s="193">
        <f t="shared" si="5"/>
        <v>207209.69279999999</v>
      </c>
      <c r="P88" s="198" t="str">
        <f>VLOOKUP(D88,Configuracion!$A$4:$C$591,3,FALSE)</f>
        <v>PROVEEDOR</v>
      </c>
    </row>
    <row r="89" spans="1:16" ht="15" customHeight="1" x14ac:dyDescent="0.25">
      <c r="A89" s="188" t="s">
        <v>692</v>
      </c>
      <c r="B89" s="18">
        <v>6</v>
      </c>
      <c r="C89" s="190">
        <v>49128</v>
      </c>
      <c r="D89" s="192">
        <v>30710177658</v>
      </c>
      <c r="E89" s="191" t="str">
        <f>VLOOKUP(D89,Configuracion!$A$4:$C$591,2,FALSE)</f>
        <v>TARGET MEDICAL SA</v>
      </c>
      <c r="F89" s="195">
        <v>115274.8</v>
      </c>
      <c r="G89" s="45">
        <f t="shared" si="6"/>
        <v>24207.707999999999</v>
      </c>
      <c r="H89" s="45"/>
      <c r="I89" s="45"/>
      <c r="J89" s="45"/>
      <c r="K89" s="211"/>
      <c r="L89" s="45"/>
      <c r="M89" s="217"/>
      <c r="N89" s="45"/>
      <c r="O89" s="193">
        <f t="shared" si="5"/>
        <v>139482.508</v>
      </c>
      <c r="P89" s="198" t="str">
        <f>VLOOKUP(D89,Configuracion!$A$4:$C$591,3,FALSE)</f>
        <v>PROVEEDOR</v>
      </c>
    </row>
    <row r="90" spans="1:16" ht="15" customHeight="1" x14ac:dyDescent="0.25">
      <c r="A90" s="188" t="s">
        <v>693</v>
      </c>
      <c r="B90" s="18">
        <v>6</v>
      </c>
      <c r="C90" s="190">
        <v>49150</v>
      </c>
      <c r="D90" s="192">
        <v>30710177658</v>
      </c>
      <c r="E90" s="191" t="str">
        <f>VLOOKUP(D90,Configuracion!$A$4:$C$591,2,FALSE)</f>
        <v>TARGET MEDICAL SA</v>
      </c>
      <c r="F90" s="195">
        <v>22580</v>
      </c>
      <c r="G90" s="45">
        <f t="shared" si="6"/>
        <v>4741.8</v>
      </c>
      <c r="H90" s="45"/>
      <c r="I90" s="45"/>
      <c r="J90" s="45"/>
      <c r="K90" s="211"/>
      <c r="L90" s="45"/>
      <c r="M90" s="217"/>
      <c r="N90" s="45"/>
      <c r="O90" s="193">
        <f t="shared" si="5"/>
        <v>27321.8</v>
      </c>
      <c r="P90" s="198" t="str">
        <f>VLOOKUP(D90,Configuracion!$A$4:$C$591,3,FALSE)</f>
        <v>PROVEEDOR</v>
      </c>
    </row>
    <row r="91" spans="1:16" ht="15" customHeight="1" x14ac:dyDescent="0.25">
      <c r="A91" s="188" t="s">
        <v>695</v>
      </c>
      <c r="B91" s="18">
        <v>6</v>
      </c>
      <c r="C91" s="190">
        <v>49191</v>
      </c>
      <c r="D91" s="192">
        <v>30710177658</v>
      </c>
      <c r="E91" s="191" t="str">
        <f>VLOOKUP(D91,Configuracion!$A$4:$C$591,2,FALSE)</f>
        <v>TARGET MEDICAL SA</v>
      </c>
      <c r="F91" s="195">
        <v>111800</v>
      </c>
      <c r="G91" s="45">
        <f t="shared" si="6"/>
        <v>23478</v>
      </c>
      <c r="H91" s="45"/>
      <c r="I91" s="45"/>
      <c r="J91" s="45"/>
      <c r="K91" s="211"/>
      <c r="L91" s="45"/>
      <c r="M91" s="217"/>
      <c r="N91" s="45"/>
      <c r="O91" s="193">
        <f t="shared" si="5"/>
        <v>135278</v>
      </c>
      <c r="P91" s="198" t="str">
        <f>VLOOKUP(D91,Configuracion!$A$4:$C$591,3,FALSE)</f>
        <v>PROVEEDOR</v>
      </c>
    </row>
    <row r="92" spans="1:16" ht="15" customHeight="1" x14ac:dyDescent="0.25">
      <c r="A92" s="188" t="s">
        <v>689</v>
      </c>
      <c r="B92" s="18">
        <v>948</v>
      </c>
      <c r="C92" s="190">
        <v>1010874</v>
      </c>
      <c r="D92" s="192">
        <v>30639453975</v>
      </c>
      <c r="E92" s="191" t="str">
        <f>VLOOKUP(D92,Configuracion!$A$4:$C$591,2,FALSE)</f>
        <v>TELEFONICA ARG SA</v>
      </c>
      <c r="F92" s="195">
        <v>13098</v>
      </c>
      <c r="G92" s="45"/>
      <c r="H92" s="45">
        <v>3536.46</v>
      </c>
      <c r="I92" s="45"/>
      <c r="J92" s="45">
        <v>392.94</v>
      </c>
      <c r="K92" s="211">
        <v>458.43</v>
      </c>
      <c r="L92" s="45"/>
      <c r="M92" s="217"/>
      <c r="N92" s="45"/>
      <c r="O92" s="193">
        <f t="shared" si="5"/>
        <v>17485.829999999998</v>
      </c>
      <c r="P92" s="198" t="str">
        <f>VLOOKUP(D92,Configuracion!$A$4:$C$591,3,FALSE)</f>
        <v>SERVICIO</v>
      </c>
    </row>
    <row r="93" spans="1:16" ht="15" customHeight="1" x14ac:dyDescent="0.25">
      <c r="A93" s="188" t="s">
        <v>700</v>
      </c>
      <c r="B93" s="18">
        <v>6</v>
      </c>
      <c r="C93" s="190">
        <v>653</v>
      </c>
      <c r="D93" s="192">
        <v>20247225243</v>
      </c>
      <c r="E93" s="191" t="str">
        <f>VLOOKUP(D93,Configuracion!$A$4:$C$591,2,FALSE)</f>
        <v>VENTO HUGO GABRIEL</v>
      </c>
      <c r="F93" s="195">
        <v>10409</v>
      </c>
      <c r="G93" s="45">
        <f t="shared" ref="G93:G115" si="7">F93*21%</f>
        <v>2185.89</v>
      </c>
      <c r="H93" s="45"/>
      <c r="I93" s="45"/>
      <c r="J93" s="45"/>
      <c r="K93" s="211"/>
      <c r="L93" s="45"/>
      <c r="M93" s="217"/>
      <c r="N93" s="45"/>
      <c r="O93" s="193">
        <f t="shared" si="5"/>
        <v>12594.89</v>
      </c>
      <c r="P93" s="198" t="str">
        <f>VLOOKUP(D93,Configuracion!$A$4:$C$591,3,FALSE)</f>
        <v>PROVEEDOR</v>
      </c>
    </row>
    <row r="94" spans="1:16" ht="15" customHeight="1" x14ac:dyDescent="0.25">
      <c r="A94" s="188" t="s">
        <v>685</v>
      </c>
      <c r="B94" s="18">
        <v>4</v>
      </c>
      <c r="C94" s="190">
        <v>50</v>
      </c>
      <c r="D94" s="192">
        <v>20317488476</v>
      </c>
      <c r="E94" s="191" t="str">
        <f>VLOOKUP(D94,Configuracion!$A$4:$C$591,2,FALSE)</f>
        <v>VILLALBA MIGUEL ANGEL</v>
      </c>
      <c r="F94" s="195">
        <v>256856</v>
      </c>
      <c r="G94" s="45">
        <f t="shared" si="7"/>
        <v>53939.759999999995</v>
      </c>
      <c r="H94" s="45"/>
      <c r="I94" s="45"/>
      <c r="J94" s="45"/>
      <c r="K94" s="211"/>
      <c r="L94" s="45"/>
      <c r="M94" s="217"/>
      <c r="N94" s="45"/>
      <c r="O94" s="193">
        <f t="shared" si="5"/>
        <v>310795.76</v>
      </c>
      <c r="P94" s="198" t="str">
        <f>VLOOKUP(D94,Configuracion!$A$4:$C$591,3,FALSE)</f>
        <v>PROVEEDOR</v>
      </c>
    </row>
    <row r="95" spans="1:16" ht="15" customHeight="1" x14ac:dyDescent="0.25">
      <c r="A95" s="188" t="s">
        <v>695</v>
      </c>
      <c r="B95" s="18">
        <v>4</v>
      </c>
      <c r="C95" s="190">
        <v>54</v>
      </c>
      <c r="D95" s="192">
        <v>20317488476</v>
      </c>
      <c r="E95" s="191" t="str">
        <f>VLOOKUP(D95,Configuracion!$A$4:$C$591,2,FALSE)</f>
        <v>VILLALBA MIGUEL ANGEL</v>
      </c>
      <c r="F95" s="195">
        <v>228864</v>
      </c>
      <c r="G95" s="45">
        <f t="shared" si="7"/>
        <v>48061.439999999995</v>
      </c>
      <c r="H95" s="45"/>
      <c r="I95" s="45"/>
      <c r="J95" s="45"/>
      <c r="K95" s="211"/>
      <c r="L95" s="45"/>
      <c r="M95" s="217"/>
      <c r="N95" s="45"/>
      <c r="O95" s="193">
        <f t="shared" si="5"/>
        <v>276925.44</v>
      </c>
      <c r="P95" s="198" t="str">
        <f>VLOOKUP(D95,Configuracion!$A$4:$C$591,3,FALSE)</f>
        <v>PROVEEDOR</v>
      </c>
    </row>
    <row r="96" spans="1:16" ht="15" customHeight="1" x14ac:dyDescent="0.25">
      <c r="A96" s="188"/>
      <c r="B96" s="18"/>
      <c r="C96" s="190"/>
      <c r="D96" s="192"/>
      <c r="E96" s="191" t="e">
        <f>VLOOKUP(D96,Configuracion!$A$4:$C$591,2,FALSE)</f>
        <v>#N/A</v>
      </c>
      <c r="F96" s="195"/>
      <c r="G96" s="45">
        <f t="shared" si="7"/>
        <v>0</v>
      </c>
      <c r="H96" s="45"/>
      <c r="I96" s="45"/>
      <c r="J96" s="45"/>
      <c r="K96" s="211"/>
      <c r="L96" s="45"/>
      <c r="M96" s="217"/>
      <c r="N96" s="45"/>
      <c r="O96" s="193">
        <f t="shared" si="5"/>
        <v>0</v>
      </c>
      <c r="P96" s="198" t="e">
        <f>VLOOKUP(D96,Configuracion!$A$4:$C$591,3,FALSE)</f>
        <v>#N/A</v>
      </c>
    </row>
    <row r="97" spans="1:16" ht="15" customHeight="1" x14ac:dyDescent="0.25">
      <c r="A97" s="188"/>
      <c r="B97" s="18"/>
      <c r="C97" s="190"/>
      <c r="D97" s="192"/>
      <c r="E97" s="191" t="e">
        <f>VLOOKUP(D97,Configuracion!$A$4:$C$591,2,FALSE)</f>
        <v>#N/A</v>
      </c>
      <c r="F97" s="195"/>
      <c r="G97" s="45">
        <f t="shared" si="7"/>
        <v>0</v>
      </c>
      <c r="H97" s="45"/>
      <c r="I97" s="45"/>
      <c r="J97" s="45"/>
      <c r="K97" s="211"/>
      <c r="L97" s="45"/>
      <c r="M97" s="217"/>
      <c r="N97" s="45"/>
      <c r="O97" s="193">
        <f t="shared" si="5"/>
        <v>0</v>
      </c>
      <c r="P97" s="198" t="e">
        <f>VLOOKUP(D97,Configuracion!$A$4:$C$591,3,FALSE)</f>
        <v>#N/A</v>
      </c>
    </row>
    <row r="98" spans="1:16" ht="15" customHeight="1" x14ac:dyDescent="0.25">
      <c r="A98" s="188"/>
      <c r="B98" s="18"/>
      <c r="C98" s="190"/>
      <c r="D98" s="192"/>
      <c r="E98" s="191" t="e">
        <f>VLOOKUP(D98,Configuracion!$A$4:$C$591,2,FALSE)</f>
        <v>#N/A</v>
      </c>
      <c r="F98" s="195"/>
      <c r="G98" s="45">
        <f t="shared" si="7"/>
        <v>0</v>
      </c>
      <c r="H98" s="45"/>
      <c r="I98" s="45"/>
      <c r="J98" s="45"/>
      <c r="K98" s="211"/>
      <c r="L98" s="45"/>
      <c r="M98" s="217"/>
      <c r="N98" s="45"/>
      <c r="O98" s="193">
        <f t="shared" si="5"/>
        <v>0</v>
      </c>
      <c r="P98" s="198" t="e">
        <f>VLOOKUP(D98,Configuracion!$A$4:$C$591,3,FALSE)</f>
        <v>#N/A</v>
      </c>
    </row>
    <row r="99" spans="1:16" ht="15" customHeight="1" x14ac:dyDescent="0.25">
      <c r="A99" s="188"/>
      <c r="B99" s="18"/>
      <c r="C99" s="190"/>
      <c r="D99" s="192"/>
      <c r="E99" s="191" t="e">
        <f>VLOOKUP(D99,Configuracion!$A$4:$C$591,2,FALSE)</f>
        <v>#N/A</v>
      </c>
      <c r="F99" s="195"/>
      <c r="G99" s="45">
        <f t="shared" si="7"/>
        <v>0</v>
      </c>
      <c r="H99" s="45"/>
      <c r="I99" s="45"/>
      <c r="J99" s="45"/>
      <c r="K99" s="211"/>
      <c r="L99" s="45"/>
      <c r="M99" s="217"/>
      <c r="N99" s="45"/>
      <c r="O99" s="193">
        <f t="shared" si="5"/>
        <v>0</v>
      </c>
      <c r="P99" s="198" t="e">
        <f>VLOOKUP(D99,Configuracion!$A$4:$C$591,3,FALSE)</f>
        <v>#N/A</v>
      </c>
    </row>
    <row r="100" spans="1:16" ht="15" customHeight="1" x14ac:dyDescent="0.25">
      <c r="A100" s="188"/>
      <c r="B100" s="18"/>
      <c r="C100" s="190"/>
      <c r="D100" s="192"/>
      <c r="E100" s="191" t="e">
        <f>VLOOKUP(D100,Configuracion!$A$4:$C$591,2,FALSE)</f>
        <v>#N/A</v>
      </c>
      <c r="F100" s="195"/>
      <c r="G100" s="45">
        <f t="shared" si="7"/>
        <v>0</v>
      </c>
      <c r="H100" s="45"/>
      <c r="I100" s="45"/>
      <c r="J100" s="45"/>
      <c r="K100" s="211"/>
      <c r="L100" s="45"/>
      <c r="M100" s="217"/>
      <c r="N100" s="45"/>
      <c r="O100" s="193">
        <f t="shared" si="5"/>
        <v>0</v>
      </c>
      <c r="P100" s="198" t="e">
        <f>VLOOKUP(D100,Configuracion!$A$4:$C$591,3,FALSE)</f>
        <v>#N/A</v>
      </c>
    </row>
    <row r="101" spans="1:16" ht="15" customHeight="1" x14ac:dyDescent="0.25">
      <c r="A101" s="188"/>
      <c r="B101" s="18"/>
      <c r="C101" s="190"/>
      <c r="D101" s="192"/>
      <c r="E101" s="191" t="e">
        <f>VLOOKUP(D101,Configuracion!$A$4:$C$591,2,FALSE)</f>
        <v>#N/A</v>
      </c>
      <c r="F101" s="195"/>
      <c r="G101" s="45">
        <f t="shared" si="7"/>
        <v>0</v>
      </c>
      <c r="H101" s="45"/>
      <c r="I101" s="45"/>
      <c r="J101" s="45"/>
      <c r="K101" s="211"/>
      <c r="L101" s="45"/>
      <c r="M101" s="217"/>
      <c r="N101" s="45"/>
      <c r="O101" s="193">
        <f t="shared" si="5"/>
        <v>0</v>
      </c>
      <c r="P101" s="198" t="e">
        <f>VLOOKUP(D101,Configuracion!$A$4:$C$591,3,FALSE)</f>
        <v>#N/A</v>
      </c>
    </row>
    <row r="102" spans="1:16" ht="15" customHeight="1" x14ac:dyDescent="0.25">
      <c r="A102" s="188"/>
      <c r="B102" s="18"/>
      <c r="C102" s="190"/>
      <c r="D102" s="192"/>
      <c r="E102" s="191" t="e">
        <f>VLOOKUP(D102,Configuracion!$A$4:$C$591,2,FALSE)</f>
        <v>#N/A</v>
      </c>
      <c r="F102" s="195"/>
      <c r="G102" s="45">
        <f t="shared" si="7"/>
        <v>0</v>
      </c>
      <c r="H102" s="45"/>
      <c r="I102" s="45"/>
      <c r="J102" s="45"/>
      <c r="K102" s="211"/>
      <c r="L102" s="45"/>
      <c r="M102" s="217"/>
      <c r="N102" s="45"/>
      <c r="O102" s="193">
        <f t="shared" si="5"/>
        <v>0</v>
      </c>
      <c r="P102" s="198" t="e">
        <f>VLOOKUP(D102,Configuracion!$A$4:$C$591,3,FALSE)</f>
        <v>#N/A</v>
      </c>
    </row>
    <row r="103" spans="1:16" ht="15" customHeight="1" x14ac:dyDescent="0.25">
      <c r="A103" s="188"/>
      <c r="B103" s="18"/>
      <c r="C103" s="190"/>
      <c r="D103" s="192"/>
      <c r="E103" s="191" t="e">
        <f>VLOOKUP(D103,Configuracion!$A$4:$C$591,2,FALSE)</f>
        <v>#N/A</v>
      </c>
      <c r="F103" s="195"/>
      <c r="G103" s="45">
        <f t="shared" si="7"/>
        <v>0</v>
      </c>
      <c r="H103" s="45"/>
      <c r="I103" s="45"/>
      <c r="J103" s="45"/>
      <c r="K103" s="211"/>
      <c r="L103" s="45"/>
      <c r="M103" s="217"/>
      <c r="N103" s="45"/>
      <c r="O103" s="193">
        <f t="shared" si="5"/>
        <v>0</v>
      </c>
      <c r="P103" s="198" t="e">
        <f>VLOOKUP(D103,Configuracion!$A$4:$C$591,3,FALSE)</f>
        <v>#N/A</v>
      </c>
    </row>
    <row r="104" spans="1:16" ht="15" customHeight="1" x14ac:dyDescent="0.25">
      <c r="A104" s="188"/>
      <c r="B104" s="18"/>
      <c r="C104" s="190"/>
      <c r="D104" s="192"/>
      <c r="E104" s="191" t="e">
        <f>VLOOKUP(D104,Configuracion!$A$4:$C$591,2,FALSE)</f>
        <v>#N/A</v>
      </c>
      <c r="F104" s="195"/>
      <c r="G104" s="45">
        <f t="shared" si="7"/>
        <v>0</v>
      </c>
      <c r="H104" s="45"/>
      <c r="I104" s="45"/>
      <c r="J104" s="45"/>
      <c r="K104" s="211"/>
      <c r="L104" s="45"/>
      <c r="M104" s="217"/>
      <c r="N104" s="45"/>
      <c r="O104" s="193">
        <f t="shared" ref="O104:O135" si="8">SUM(F104:N104)</f>
        <v>0</v>
      </c>
      <c r="P104" s="198" t="e">
        <f>VLOOKUP(D104,Configuracion!$A$4:$C$591,3,FALSE)</f>
        <v>#N/A</v>
      </c>
    </row>
    <row r="105" spans="1:16" ht="15" customHeight="1" x14ac:dyDescent="0.25">
      <c r="A105" s="188"/>
      <c r="B105" s="18"/>
      <c r="C105" s="190"/>
      <c r="D105" s="192"/>
      <c r="E105" s="191" t="e">
        <f>VLOOKUP(D105,Configuracion!$A$4:$C$591,2,FALSE)</f>
        <v>#N/A</v>
      </c>
      <c r="F105" s="195"/>
      <c r="G105" s="45">
        <f t="shared" si="7"/>
        <v>0</v>
      </c>
      <c r="H105" s="45"/>
      <c r="I105" s="45"/>
      <c r="J105" s="45"/>
      <c r="K105" s="211"/>
      <c r="L105" s="45"/>
      <c r="M105" s="217"/>
      <c r="N105" s="45"/>
      <c r="O105" s="193">
        <f t="shared" si="8"/>
        <v>0</v>
      </c>
      <c r="P105" s="198" t="e">
        <f>VLOOKUP(D105,Configuracion!$A$4:$C$591,3,FALSE)</f>
        <v>#N/A</v>
      </c>
    </row>
    <row r="106" spans="1:16" ht="15" customHeight="1" x14ac:dyDescent="0.25">
      <c r="A106" s="188"/>
      <c r="B106" s="18"/>
      <c r="C106" s="190"/>
      <c r="D106" s="192"/>
      <c r="E106" s="191" t="e">
        <f>VLOOKUP(D106,Configuracion!$A$4:$C$591,2,FALSE)</f>
        <v>#N/A</v>
      </c>
      <c r="F106" s="195"/>
      <c r="G106" s="45">
        <f t="shared" si="7"/>
        <v>0</v>
      </c>
      <c r="H106" s="45"/>
      <c r="I106" s="45"/>
      <c r="J106" s="45"/>
      <c r="K106" s="211"/>
      <c r="L106" s="45"/>
      <c r="M106" s="217"/>
      <c r="N106" s="45"/>
      <c r="O106" s="193">
        <f t="shared" si="8"/>
        <v>0</v>
      </c>
      <c r="P106" s="198" t="e">
        <f>VLOOKUP(D106,Configuracion!$A$4:$C$591,3,FALSE)</f>
        <v>#N/A</v>
      </c>
    </row>
    <row r="107" spans="1:16" ht="15" customHeight="1" x14ac:dyDescent="0.25">
      <c r="A107" s="188"/>
      <c r="B107" s="18"/>
      <c r="C107" s="190"/>
      <c r="D107" s="192"/>
      <c r="E107" s="191" t="e">
        <f>VLOOKUP(D107,Configuracion!$A$4:$C$591,2,FALSE)</f>
        <v>#N/A</v>
      </c>
      <c r="F107" s="195"/>
      <c r="G107" s="45">
        <f t="shared" si="7"/>
        <v>0</v>
      </c>
      <c r="H107" s="45"/>
      <c r="I107" s="45"/>
      <c r="J107" s="45"/>
      <c r="K107" s="211"/>
      <c r="L107" s="45"/>
      <c r="M107" s="217"/>
      <c r="N107" s="45"/>
      <c r="O107" s="193">
        <f t="shared" si="8"/>
        <v>0</v>
      </c>
      <c r="P107" s="198" t="e">
        <f>VLOOKUP(D107,Configuracion!$A$4:$C$591,3,FALSE)</f>
        <v>#N/A</v>
      </c>
    </row>
    <row r="108" spans="1:16" ht="15" customHeight="1" x14ac:dyDescent="0.25">
      <c r="A108" s="188"/>
      <c r="B108" s="18"/>
      <c r="C108" s="190"/>
      <c r="D108" s="192"/>
      <c r="E108" s="191" t="e">
        <f>VLOOKUP(D108,Configuracion!$A$4:$C$591,2,FALSE)</f>
        <v>#N/A</v>
      </c>
      <c r="F108" s="195"/>
      <c r="G108" s="45">
        <f t="shared" si="7"/>
        <v>0</v>
      </c>
      <c r="H108" s="45"/>
      <c r="I108" s="45"/>
      <c r="J108" s="45"/>
      <c r="K108" s="211"/>
      <c r="L108" s="45"/>
      <c r="M108" s="217"/>
      <c r="N108" s="45"/>
      <c r="O108" s="193">
        <f t="shared" si="8"/>
        <v>0</v>
      </c>
      <c r="P108" s="198" t="e">
        <f>VLOOKUP(D108,Configuracion!$A$4:$C$591,3,FALSE)</f>
        <v>#N/A</v>
      </c>
    </row>
    <row r="109" spans="1:16" ht="15" customHeight="1" x14ac:dyDescent="0.25">
      <c r="A109" s="188"/>
      <c r="B109" s="18"/>
      <c r="C109" s="190"/>
      <c r="D109" s="192"/>
      <c r="E109" s="191" t="e">
        <f>VLOOKUP(D109,Configuracion!$A$4:$C$591,2,FALSE)</f>
        <v>#N/A</v>
      </c>
      <c r="F109" s="195"/>
      <c r="G109" s="45">
        <f t="shared" si="7"/>
        <v>0</v>
      </c>
      <c r="H109" s="45"/>
      <c r="I109" s="45"/>
      <c r="J109" s="45"/>
      <c r="K109" s="211"/>
      <c r="L109" s="45"/>
      <c r="M109" s="217"/>
      <c r="N109" s="45"/>
      <c r="O109" s="193">
        <f t="shared" si="8"/>
        <v>0</v>
      </c>
      <c r="P109" s="198" t="e">
        <f>VLOOKUP(D109,Configuracion!$A$4:$C$591,3,FALSE)</f>
        <v>#N/A</v>
      </c>
    </row>
    <row r="110" spans="1:16" ht="15" customHeight="1" x14ac:dyDescent="0.25">
      <c r="A110" s="188"/>
      <c r="B110" s="18"/>
      <c r="C110" s="190"/>
      <c r="D110" s="192"/>
      <c r="E110" s="191" t="e">
        <f>VLOOKUP(D110,Configuracion!$A$4:$C$591,2,FALSE)</f>
        <v>#N/A</v>
      </c>
      <c r="F110" s="195"/>
      <c r="G110" s="45">
        <f t="shared" si="7"/>
        <v>0</v>
      </c>
      <c r="H110" s="45"/>
      <c r="I110" s="45"/>
      <c r="J110" s="45"/>
      <c r="K110" s="211"/>
      <c r="L110" s="45"/>
      <c r="M110" s="217"/>
      <c r="N110" s="45"/>
      <c r="O110" s="193">
        <f t="shared" si="8"/>
        <v>0</v>
      </c>
      <c r="P110" s="198" t="e">
        <f>VLOOKUP(D110,Configuracion!$A$4:$C$591,3,FALSE)</f>
        <v>#N/A</v>
      </c>
    </row>
    <row r="111" spans="1:16" ht="15" customHeight="1" x14ac:dyDescent="0.25">
      <c r="A111" s="188"/>
      <c r="B111" s="18"/>
      <c r="C111" s="190"/>
      <c r="D111" s="192"/>
      <c r="E111" s="191" t="e">
        <f>VLOOKUP(D111,Configuracion!$A$4:$C$591,2,FALSE)</f>
        <v>#N/A</v>
      </c>
      <c r="F111" s="195"/>
      <c r="G111" s="45">
        <f t="shared" si="7"/>
        <v>0</v>
      </c>
      <c r="H111" s="45"/>
      <c r="I111" s="45"/>
      <c r="J111" s="45"/>
      <c r="K111" s="211"/>
      <c r="L111" s="45"/>
      <c r="M111" s="217"/>
      <c r="N111" s="45"/>
      <c r="O111" s="193">
        <f t="shared" si="8"/>
        <v>0</v>
      </c>
      <c r="P111" s="198" t="e">
        <f>VLOOKUP(D111,Configuracion!$A$4:$C$591,3,FALSE)</f>
        <v>#N/A</v>
      </c>
    </row>
    <row r="112" spans="1:16" ht="15" customHeight="1" x14ac:dyDescent="0.25">
      <c r="A112" s="188"/>
      <c r="B112" s="18"/>
      <c r="C112" s="190"/>
      <c r="D112" s="192"/>
      <c r="E112" s="191" t="e">
        <f>VLOOKUP(D112,Configuracion!$A$4:$C$591,2,FALSE)</f>
        <v>#N/A</v>
      </c>
      <c r="F112" s="195"/>
      <c r="G112" s="45">
        <f t="shared" si="7"/>
        <v>0</v>
      </c>
      <c r="H112" s="45"/>
      <c r="I112" s="45"/>
      <c r="J112" s="45"/>
      <c r="K112" s="211"/>
      <c r="L112" s="45"/>
      <c r="M112" s="217"/>
      <c r="N112" s="45"/>
      <c r="O112" s="193">
        <f t="shared" si="8"/>
        <v>0</v>
      </c>
      <c r="P112" s="198" t="e">
        <f>VLOOKUP(D112,Configuracion!$A$4:$C$591,3,FALSE)</f>
        <v>#N/A</v>
      </c>
    </row>
    <row r="113" spans="1:16" ht="15" customHeight="1" x14ac:dyDescent="0.25">
      <c r="A113" s="188"/>
      <c r="B113" s="18"/>
      <c r="C113" s="190"/>
      <c r="D113" s="192"/>
      <c r="E113" s="191" t="e">
        <f>VLOOKUP(D113,Configuracion!$A$4:$C$591,2,FALSE)</f>
        <v>#N/A</v>
      </c>
      <c r="F113" s="195"/>
      <c r="G113" s="45">
        <f t="shared" si="7"/>
        <v>0</v>
      </c>
      <c r="H113" s="45"/>
      <c r="I113" s="45"/>
      <c r="J113" s="45"/>
      <c r="K113" s="211"/>
      <c r="L113" s="45"/>
      <c r="M113" s="217"/>
      <c r="N113" s="45"/>
      <c r="O113" s="193">
        <f t="shared" si="8"/>
        <v>0</v>
      </c>
      <c r="P113" s="198" t="e">
        <f>VLOOKUP(D113,Configuracion!$A$4:$C$591,3,FALSE)</f>
        <v>#N/A</v>
      </c>
    </row>
    <row r="114" spans="1:16" ht="15" customHeight="1" x14ac:dyDescent="0.25">
      <c r="A114" s="188"/>
      <c r="B114" s="18"/>
      <c r="C114" s="190"/>
      <c r="D114" s="192"/>
      <c r="E114" s="191" t="e">
        <f>VLOOKUP(D114,Configuracion!$A$4:$C$591,2,FALSE)</f>
        <v>#N/A</v>
      </c>
      <c r="F114" s="195"/>
      <c r="G114" s="45">
        <f t="shared" si="7"/>
        <v>0</v>
      </c>
      <c r="H114" s="45"/>
      <c r="I114" s="45"/>
      <c r="J114" s="45"/>
      <c r="K114" s="211"/>
      <c r="L114" s="45"/>
      <c r="M114" s="217"/>
      <c r="N114" s="45"/>
      <c r="O114" s="193">
        <f t="shared" si="8"/>
        <v>0</v>
      </c>
      <c r="P114" s="198" t="e">
        <f>VLOOKUP(D114,Configuracion!$A$4:$C$591,3,FALSE)</f>
        <v>#N/A</v>
      </c>
    </row>
    <row r="115" spans="1:16" ht="15" customHeight="1" thickBot="1" x14ac:dyDescent="0.3">
      <c r="A115" s="188"/>
      <c r="B115" s="18"/>
      <c r="C115" s="190"/>
      <c r="D115" s="192"/>
      <c r="E115" s="191" t="e">
        <f>VLOOKUP(D115,Configuracion!$A$4:$C$591,2,FALSE)</f>
        <v>#N/A</v>
      </c>
      <c r="F115" s="195"/>
      <c r="G115" s="45">
        <f t="shared" si="7"/>
        <v>0</v>
      </c>
      <c r="H115" s="45"/>
      <c r="I115" s="45"/>
      <c r="J115" s="45"/>
      <c r="K115" s="211"/>
      <c r="L115" s="45"/>
      <c r="M115" s="217"/>
      <c r="N115" s="45"/>
      <c r="O115" s="193">
        <f t="shared" si="8"/>
        <v>0</v>
      </c>
      <c r="P115" s="198" t="e">
        <f>VLOOKUP(D115,Configuracion!$A$4:$C$591,3,FALSE)</f>
        <v>#N/A</v>
      </c>
    </row>
    <row r="116" spans="1:16" ht="15.75" customHeight="1" thickBot="1" x14ac:dyDescent="0.3">
      <c r="A116" s="247" t="s">
        <v>4</v>
      </c>
      <c r="B116" s="248"/>
      <c r="C116" s="248"/>
      <c r="D116" s="248"/>
      <c r="E116" s="249"/>
      <c r="F116" s="30">
        <f>SUM(F8:F115)</f>
        <v>18282026.790000003</v>
      </c>
      <c r="G116" s="30">
        <f>SUM(G8:G115)</f>
        <v>3814947.0974999988</v>
      </c>
      <c r="H116" s="30">
        <f>SUM(H8:H115)</f>
        <v>4650.21</v>
      </c>
      <c r="I116" s="30">
        <f>SUM(I8:I115)</f>
        <v>10330.849999999999</v>
      </c>
      <c r="J116" s="30">
        <f t="shared" ref="J116:O116" si="9">SUM(J8:J115)</f>
        <v>1049.42</v>
      </c>
      <c r="K116" s="30">
        <f t="shared" si="9"/>
        <v>282633.56000000006</v>
      </c>
      <c r="L116" s="30">
        <f t="shared" si="9"/>
        <v>0</v>
      </c>
      <c r="M116" s="30">
        <f t="shared" si="9"/>
        <v>0</v>
      </c>
      <c r="N116" s="30">
        <f t="shared" si="9"/>
        <v>3507.71</v>
      </c>
      <c r="O116" s="30">
        <f t="shared" si="9"/>
        <v>22399145.637499999</v>
      </c>
    </row>
    <row r="117" spans="1:16" ht="15.75" customHeight="1" thickBot="1" x14ac:dyDescent="0.3">
      <c r="F117" s="21" t="s">
        <v>3</v>
      </c>
      <c r="G117" s="250">
        <f>G116+H116+I116</f>
        <v>3829928.1574999988</v>
      </c>
      <c r="H117" s="251"/>
      <c r="I117" s="252"/>
    </row>
    <row r="118" spans="1:16" ht="15.75" thickBot="1" x14ac:dyDescent="0.3">
      <c r="K118" t="s">
        <v>104</v>
      </c>
    </row>
    <row r="119" spans="1:16" ht="16.5" thickBot="1" x14ac:dyDescent="0.3">
      <c r="A119" s="238" t="s">
        <v>29</v>
      </c>
      <c r="B119" s="239"/>
      <c r="C119" s="240"/>
      <c r="F119" s="4"/>
      <c r="G119" s="5"/>
      <c r="H119" s="5"/>
      <c r="I119" s="5"/>
    </row>
    <row r="120" spans="1:16" ht="15.75" thickBot="1" x14ac:dyDescent="0.3">
      <c r="A120" s="56" t="s">
        <v>1</v>
      </c>
      <c r="B120" s="22" t="s">
        <v>17</v>
      </c>
      <c r="C120" s="22" t="s">
        <v>16</v>
      </c>
      <c r="D120" s="36" t="s">
        <v>7</v>
      </c>
      <c r="E120" s="22" t="s">
        <v>19</v>
      </c>
      <c r="F120" s="22" t="s">
        <v>4</v>
      </c>
      <c r="G120" s="26" t="s">
        <v>2</v>
      </c>
      <c r="H120" s="5"/>
      <c r="I120" s="5"/>
    </row>
    <row r="121" spans="1:16" x14ac:dyDescent="0.25">
      <c r="A121" s="199" t="s">
        <v>684</v>
      </c>
      <c r="B121" s="17">
        <v>2</v>
      </c>
      <c r="C121" s="194">
        <v>196</v>
      </c>
      <c r="D121" s="35">
        <v>27265832178</v>
      </c>
      <c r="E121" s="35" t="str">
        <f>VLOOKUP(D121,Configuracion!$A$4:$C$591,2,FALSE)</f>
        <v>BLASCO MARIA GUADALUPE</v>
      </c>
      <c r="F121" s="19">
        <v>150000</v>
      </c>
      <c r="G121" s="198" t="str">
        <f>VLOOKUP(D121,Configuracion!$A$4:$C$591,3,FALSE)</f>
        <v>PROVEEDOR</v>
      </c>
      <c r="H121" s="221"/>
    </row>
    <row r="122" spans="1:16" x14ac:dyDescent="0.25">
      <c r="A122" s="199" t="s">
        <v>695</v>
      </c>
      <c r="B122" s="17">
        <v>2</v>
      </c>
      <c r="C122" s="194">
        <v>199</v>
      </c>
      <c r="D122" s="35">
        <v>27265832178</v>
      </c>
      <c r="E122" s="35" t="str">
        <f>VLOOKUP(D122,Configuracion!$A$4:$C$591,2,FALSE)</f>
        <v>BLASCO MARIA GUADALUPE</v>
      </c>
      <c r="F122" s="19">
        <v>150000</v>
      </c>
      <c r="G122" s="198" t="str">
        <f>VLOOKUP(D122,Configuracion!$A$4:$C$591,3,FALSE)</f>
        <v>PROVEEDOR</v>
      </c>
      <c r="H122" s="221"/>
    </row>
    <row r="123" spans="1:16" x14ac:dyDescent="0.25">
      <c r="A123" s="199" t="s">
        <v>684</v>
      </c>
      <c r="B123" s="17">
        <v>3</v>
      </c>
      <c r="C123" s="194">
        <v>749</v>
      </c>
      <c r="D123" s="35">
        <v>20086277523</v>
      </c>
      <c r="E123" s="35" t="str">
        <f>VLOOKUP(D123,Configuracion!$A$4:$C$591,2,FALSE)</f>
        <v>BOTINDARI JUAN CARLOS</v>
      </c>
      <c r="F123" s="19">
        <v>118200</v>
      </c>
      <c r="G123" s="198" t="str">
        <f>VLOOKUP(D123,Configuracion!$A$4:$C$591,3,FALSE)</f>
        <v>HONORARIOS</v>
      </c>
      <c r="H123" s="221"/>
    </row>
    <row r="124" spans="1:16" x14ac:dyDescent="0.25">
      <c r="A124" s="199" t="s">
        <v>1115</v>
      </c>
      <c r="B124" s="17">
        <v>1</v>
      </c>
      <c r="C124" s="194">
        <v>36</v>
      </c>
      <c r="D124" s="35">
        <v>20403969886</v>
      </c>
      <c r="E124" s="35" t="str">
        <f>VLOOKUP(D124,Configuracion!$A$4:$C$591,2,FALSE)</f>
        <v>DEL GESSO FRANCO JESUS</v>
      </c>
      <c r="F124" s="19">
        <v>249070</v>
      </c>
      <c r="G124" s="198" t="str">
        <f>VLOOKUP(D124,Configuracion!$A$4:$C$591,3,FALSE)</f>
        <v>PROVEEDOR</v>
      </c>
      <c r="H124" s="221"/>
    </row>
    <row r="125" spans="1:16" x14ac:dyDescent="0.25">
      <c r="A125" s="199" t="s">
        <v>701</v>
      </c>
      <c r="B125" s="17">
        <v>1</v>
      </c>
      <c r="C125" s="194">
        <v>56</v>
      </c>
      <c r="D125" s="35">
        <v>23281233084</v>
      </c>
      <c r="E125" s="35" t="str">
        <f>VLOOKUP(D125,Configuracion!$A$4:$C$591,2,FALSE)</f>
        <v>DRUETTA ANDREA MARIEL</v>
      </c>
      <c r="F125" s="19">
        <v>52967</v>
      </c>
      <c r="G125" s="198" t="str">
        <f>VLOOKUP(D125,Configuracion!$A$4:$C$591,3,FALSE)</f>
        <v>TECNICO</v>
      </c>
      <c r="H125" s="221"/>
    </row>
    <row r="126" spans="1:16" x14ac:dyDescent="0.25">
      <c r="A126" s="199" t="s">
        <v>1117</v>
      </c>
      <c r="B126" s="17">
        <v>2</v>
      </c>
      <c r="C126" s="194">
        <v>54</v>
      </c>
      <c r="D126" s="35">
        <v>20314536852</v>
      </c>
      <c r="E126" s="35" t="str">
        <f>VLOOKUP(D126,Configuracion!$A$4:$C$591,2,FALSE)</f>
        <v>FRANCESE GONZALO ROMAN</v>
      </c>
      <c r="F126" s="19">
        <v>54800</v>
      </c>
      <c r="G126" s="198" t="str">
        <f>VLOOKUP(D126,Configuracion!$A$4:$C$591,3,FALSE)</f>
        <v>FLETE</v>
      </c>
      <c r="H126" s="221"/>
    </row>
    <row r="127" spans="1:16" x14ac:dyDescent="0.25">
      <c r="A127" s="199" t="s">
        <v>690</v>
      </c>
      <c r="B127" s="17">
        <v>2</v>
      </c>
      <c r="C127" s="194">
        <v>56</v>
      </c>
      <c r="D127" s="35">
        <v>20314536852</v>
      </c>
      <c r="E127" s="35" t="str">
        <f>VLOOKUP(D127,Configuracion!$A$4:$C$591,2,FALSE)</f>
        <v>FRANCESE GONZALO ROMAN</v>
      </c>
      <c r="F127" s="19">
        <v>89750</v>
      </c>
      <c r="G127" s="198" t="str">
        <f>VLOOKUP(D127,Configuracion!$A$4:$C$591,3,FALSE)</f>
        <v>FLETE</v>
      </c>
      <c r="H127" s="221"/>
    </row>
    <row r="128" spans="1:16" x14ac:dyDescent="0.25">
      <c r="A128" s="199" t="s">
        <v>1118</v>
      </c>
      <c r="B128" s="17">
        <v>2</v>
      </c>
      <c r="C128" s="194">
        <v>57</v>
      </c>
      <c r="D128" s="35">
        <v>20314536852</v>
      </c>
      <c r="E128" s="35" t="str">
        <f>VLOOKUP(D128,Configuracion!$A$4:$C$591,2,FALSE)</f>
        <v>FRANCESE GONZALO ROMAN</v>
      </c>
      <c r="F128" s="19">
        <v>63500</v>
      </c>
      <c r="G128" s="198" t="str">
        <f>VLOOKUP(D128,Configuracion!$A$4:$C$591,3,FALSE)</f>
        <v>FLETE</v>
      </c>
      <c r="H128" s="221"/>
    </row>
    <row r="129" spans="1:8" x14ac:dyDescent="0.25">
      <c r="A129" s="199" t="s">
        <v>1119</v>
      </c>
      <c r="B129" s="17">
        <v>2</v>
      </c>
      <c r="C129" s="194">
        <v>59</v>
      </c>
      <c r="D129" s="35">
        <v>20314536852</v>
      </c>
      <c r="E129" s="35" t="str">
        <f>VLOOKUP(D129,Configuracion!$A$4:$C$591,2,FALSE)</f>
        <v>FRANCESE GONZALO ROMAN</v>
      </c>
      <c r="F129" s="19">
        <v>79750</v>
      </c>
      <c r="G129" s="198" t="str">
        <f>VLOOKUP(D129,Configuracion!$A$4:$C$591,3,FALSE)</f>
        <v>FLETE</v>
      </c>
      <c r="H129" s="221"/>
    </row>
    <row r="130" spans="1:8" x14ac:dyDescent="0.25">
      <c r="A130" s="199" t="s">
        <v>1116</v>
      </c>
      <c r="B130" s="17">
        <v>2</v>
      </c>
      <c r="C130" s="194">
        <v>93</v>
      </c>
      <c r="D130" s="35">
        <v>20220423655</v>
      </c>
      <c r="E130" s="35" t="str">
        <f>VLOOKUP(D130,Configuracion!$A$4:$C$591,2,FALSE)</f>
        <v>LANDRO FERNANDO GABRIEL</v>
      </c>
      <c r="F130" s="19">
        <v>211475</v>
      </c>
      <c r="G130" s="198" t="str">
        <f>VLOOKUP(D130,Configuracion!$A$4:$C$591,3,FALSE)</f>
        <v>PROVEEDOR</v>
      </c>
      <c r="H130" s="221"/>
    </row>
    <row r="131" spans="1:8" x14ac:dyDescent="0.25">
      <c r="A131" s="199" t="s">
        <v>1116</v>
      </c>
      <c r="B131" s="17">
        <v>2</v>
      </c>
      <c r="C131" s="194">
        <v>94</v>
      </c>
      <c r="D131" s="35">
        <v>20220423655</v>
      </c>
      <c r="E131" s="35" t="str">
        <f>VLOOKUP(D131,Configuracion!$A$4:$C$591,2,FALSE)</f>
        <v>LANDRO FERNANDO GABRIEL</v>
      </c>
      <c r="F131" s="19">
        <v>202310</v>
      </c>
      <c r="G131" s="198" t="str">
        <f>VLOOKUP(D131,Configuracion!$A$4:$C$591,3,FALSE)</f>
        <v>PROVEEDOR</v>
      </c>
      <c r="H131" s="221"/>
    </row>
    <row r="132" spans="1:8" x14ac:dyDescent="0.25">
      <c r="A132" s="199" t="s">
        <v>684</v>
      </c>
      <c r="B132" s="17">
        <v>1</v>
      </c>
      <c r="C132" s="194">
        <v>163</v>
      </c>
      <c r="D132" s="35">
        <v>20181517957</v>
      </c>
      <c r="E132" s="35" t="str">
        <f>VLOOKUP(D132,Configuracion!$A$4:$C$591,2,FALSE)</f>
        <v>MAZAFFRE DANIEL ALBERTO</v>
      </c>
      <c r="F132" s="19">
        <v>37240</v>
      </c>
      <c r="G132" s="198" t="str">
        <f>VLOOKUP(D132,Configuracion!$A$4:$C$591,3,FALSE)</f>
        <v>PROVEEDOR</v>
      </c>
      <c r="H132" s="221"/>
    </row>
    <row r="133" spans="1:8" x14ac:dyDescent="0.25">
      <c r="A133" s="199" t="s">
        <v>1117</v>
      </c>
      <c r="B133" s="17">
        <v>1</v>
      </c>
      <c r="C133" s="194">
        <v>13</v>
      </c>
      <c r="D133" s="35">
        <v>20392730444</v>
      </c>
      <c r="E133" s="35" t="str">
        <f>VLOOKUP(D133,Configuracion!$A$4:$C$591,2,FALSE)</f>
        <v>MIÑO GUSTAVO SEBASTIAN</v>
      </c>
      <c r="F133" s="19">
        <v>83700</v>
      </c>
      <c r="G133" s="198" t="str">
        <f>VLOOKUP(D133,Configuracion!$A$4:$C$591,3,FALSE)</f>
        <v>FLETE</v>
      </c>
      <c r="H133" s="221"/>
    </row>
    <row r="134" spans="1:8" x14ac:dyDescent="0.25">
      <c r="A134" s="199" t="s">
        <v>700</v>
      </c>
      <c r="B134" s="17">
        <v>2019</v>
      </c>
      <c r="C134" s="194">
        <v>2528</v>
      </c>
      <c r="D134" s="35">
        <v>20277164192</v>
      </c>
      <c r="E134" s="35" t="str">
        <f>VLOOKUP(D134,Configuracion!$A$4:$C$591,2,FALSE)</f>
        <v>PABLO ROBERTO MURUA POU</v>
      </c>
      <c r="F134" s="19">
        <v>1400</v>
      </c>
      <c r="G134" s="198" t="str">
        <f>VLOOKUP(D134,Configuracion!$A$4:$C$591,3,FALSE)</f>
        <v>INSUMOS</v>
      </c>
      <c r="H134" s="221"/>
    </row>
    <row r="135" spans="1:8" x14ac:dyDescent="0.25">
      <c r="A135" s="199" t="s">
        <v>695</v>
      </c>
      <c r="B135" s="17">
        <v>1</v>
      </c>
      <c r="C135" s="194">
        <v>149</v>
      </c>
      <c r="D135" s="35">
        <v>27217606255</v>
      </c>
      <c r="E135" s="35" t="str">
        <f>VLOOKUP(D135,Configuracion!$A$4:$C$591,2,FALSE)</f>
        <v>SAPUNA MIRIAN KARINA</v>
      </c>
      <c r="F135" s="19">
        <v>74000</v>
      </c>
      <c r="G135" s="198" t="str">
        <f>VLOOKUP(D135,Configuracion!$A$4:$C$591,3,FALSE)</f>
        <v>PROVEEDOR</v>
      </c>
      <c r="H135" s="221"/>
    </row>
    <row r="136" spans="1:8" x14ac:dyDescent="0.25">
      <c r="A136" s="199" t="s">
        <v>696</v>
      </c>
      <c r="B136" s="17">
        <v>1</v>
      </c>
      <c r="C136" s="194">
        <v>150</v>
      </c>
      <c r="D136" s="35">
        <v>27217606255</v>
      </c>
      <c r="E136" s="35" t="str">
        <f>VLOOKUP(D136,Configuracion!$A$4:$C$591,2,FALSE)</f>
        <v>SAPUNA MIRIAN KARINA</v>
      </c>
      <c r="F136" s="19">
        <v>64800</v>
      </c>
      <c r="G136" s="198" t="str">
        <f>VLOOKUP(D136,Configuracion!$A$4:$C$591,3,FALSE)</f>
        <v>PROVEEDOR</v>
      </c>
      <c r="H136" s="221"/>
    </row>
    <row r="137" spans="1:8" x14ac:dyDescent="0.25">
      <c r="A137" s="199" t="s">
        <v>696</v>
      </c>
      <c r="B137" s="17">
        <v>1</v>
      </c>
      <c r="C137" s="194">
        <v>151</v>
      </c>
      <c r="D137" s="35">
        <v>27217606255</v>
      </c>
      <c r="E137" s="35" t="str">
        <f>VLOOKUP(D137,Configuracion!$A$4:$C$591,2,FALSE)</f>
        <v>SAPUNA MIRIAN KARINA</v>
      </c>
      <c r="F137" s="19">
        <v>52360</v>
      </c>
      <c r="G137" s="198" t="str">
        <f>VLOOKUP(D137,Configuracion!$A$4:$C$591,3,FALSE)</f>
        <v>PROVEEDOR</v>
      </c>
      <c r="H137" s="221"/>
    </row>
    <row r="138" spans="1:8" x14ac:dyDescent="0.25">
      <c r="A138" s="199" t="s">
        <v>698</v>
      </c>
      <c r="B138" s="17">
        <v>1</v>
      </c>
      <c r="C138" s="194">
        <v>152</v>
      </c>
      <c r="D138" s="35">
        <v>27217606255</v>
      </c>
      <c r="E138" s="35" t="str">
        <f>VLOOKUP(D138,Configuracion!$A$4:$C$591,2,FALSE)</f>
        <v>SAPUNA MIRIAN KARINA</v>
      </c>
      <c r="F138" s="19">
        <v>92500</v>
      </c>
      <c r="G138" s="198" t="str">
        <f>VLOOKUP(D138,Configuracion!$A$4:$C$591,3,FALSE)</f>
        <v>PROVEEDOR</v>
      </c>
      <c r="H138" s="5"/>
    </row>
    <row r="139" spans="1:8" x14ac:dyDescent="0.25">
      <c r="A139" s="199" t="s">
        <v>700</v>
      </c>
      <c r="B139" s="17">
        <v>1</v>
      </c>
      <c r="C139" s="194">
        <v>153</v>
      </c>
      <c r="D139" s="35">
        <v>27217606255</v>
      </c>
      <c r="E139" s="35" t="str">
        <f>VLOOKUP(D139,Configuracion!$A$4:$C$591,2,FALSE)</f>
        <v>SAPUNA MIRIAN KARINA</v>
      </c>
      <c r="F139" s="19">
        <v>81900</v>
      </c>
      <c r="G139" s="198" t="str">
        <f>VLOOKUP(D139,Configuracion!$A$4:$C$591,3,FALSE)</f>
        <v>PROVEEDOR</v>
      </c>
      <c r="H139" s="5"/>
    </row>
    <row r="140" spans="1:8" x14ac:dyDescent="0.25">
      <c r="A140" s="199" t="s">
        <v>700</v>
      </c>
      <c r="B140" s="17">
        <v>1</v>
      </c>
      <c r="C140" s="194">
        <v>154</v>
      </c>
      <c r="D140" s="35">
        <v>27217606255</v>
      </c>
      <c r="E140" s="35" t="str">
        <f>VLOOKUP(D140,Configuracion!$A$4:$C$591,2,FALSE)</f>
        <v>SAPUNA MIRIAN KARINA</v>
      </c>
      <c r="F140" s="19">
        <v>70000</v>
      </c>
      <c r="G140" s="198" t="str">
        <f>VLOOKUP(D140,Configuracion!$A$4:$C$591,3,FALSE)</f>
        <v>PROVEEDOR</v>
      </c>
      <c r="H140" s="5"/>
    </row>
    <row r="141" spans="1:8" x14ac:dyDescent="0.25">
      <c r="A141" s="199" t="s">
        <v>701</v>
      </c>
      <c r="B141" s="17">
        <v>1</v>
      </c>
      <c r="C141" s="194">
        <v>155</v>
      </c>
      <c r="D141" s="35">
        <v>27217606255</v>
      </c>
      <c r="E141" s="35" t="str">
        <f>VLOOKUP(D141,Configuracion!$A$4:$C$591,2,FALSE)</f>
        <v>SAPUNA MIRIAN KARINA</v>
      </c>
      <c r="F141" s="19">
        <v>62700</v>
      </c>
      <c r="G141" s="198" t="str">
        <f>VLOOKUP(D141,Configuracion!$A$4:$C$591,3,FALSE)</f>
        <v>PROVEEDOR</v>
      </c>
      <c r="H141" s="5"/>
    </row>
    <row r="142" spans="1:8" x14ac:dyDescent="0.25">
      <c r="A142" s="199">
        <v>45100</v>
      </c>
      <c r="B142" s="17">
        <v>1</v>
      </c>
      <c r="C142" s="194">
        <v>148</v>
      </c>
      <c r="D142" s="35">
        <v>27217606255</v>
      </c>
      <c r="E142" s="35" t="str">
        <f>VLOOKUP(D142,Configuracion!$A$4:$C$591,2,FALSE)</f>
        <v>SAPUNA MIRIAN KARINA</v>
      </c>
      <c r="F142" s="19">
        <v>17600</v>
      </c>
      <c r="G142" s="198" t="str">
        <f>VLOOKUP(D142,Configuracion!$A$4:$C$591,3,FALSE)</f>
        <v>PROVEEDOR</v>
      </c>
      <c r="H142" s="5"/>
    </row>
    <row r="143" spans="1:8" x14ac:dyDescent="0.25">
      <c r="A143" s="199" t="s">
        <v>691</v>
      </c>
      <c r="B143" s="17">
        <v>2</v>
      </c>
      <c r="C143" s="194">
        <v>473</v>
      </c>
      <c r="D143" s="35">
        <v>27299725761</v>
      </c>
      <c r="E143" s="35" t="str">
        <f>VLOOKUP(D143,Configuracion!$A$4:$C$591,2,FALSE)</f>
        <v>TURSARKISIAN MISISIAN VERONICA</v>
      </c>
      <c r="F143" s="19">
        <v>65000</v>
      </c>
      <c r="G143" s="198" t="str">
        <f>VLOOKUP(D143,Configuracion!$A$4:$C$591,3,FALSE)</f>
        <v>PROVEEDOR</v>
      </c>
      <c r="H143" s="5"/>
    </row>
    <row r="144" spans="1:8" x14ac:dyDescent="0.25">
      <c r="A144" s="199" t="s">
        <v>691</v>
      </c>
      <c r="B144" s="17">
        <v>2</v>
      </c>
      <c r="C144" s="194">
        <v>474</v>
      </c>
      <c r="D144" s="35">
        <v>27299725761</v>
      </c>
      <c r="E144" s="35" t="str">
        <f>VLOOKUP(D144,Configuracion!$A$4:$C$591,2,FALSE)</f>
        <v>TURSARKISIAN MISISIAN VERONICA</v>
      </c>
      <c r="F144" s="19">
        <v>76000</v>
      </c>
      <c r="G144" s="198" t="str">
        <f>VLOOKUP(D144,Configuracion!$A$4:$C$591,3,FALSE)</f>
        <v>PROVEEDOR</v>
      </c>
      <c r="H144" s="5"/>
    </row>
    <row r="145" spans="1:9" x14ac:dyDescent="0.25">
      <c r="A145" s="199" t="s">
        <v>691</v>
      </c>
      <c r="B145" s="17">
        <v>2</v>
      </c>
      <c r="C145" s="194">
        <v>475</v>
      </c>
      <c r="D145" s="35">
        <v>27299725761</v>
      </c>
      <c r="E145" s="35" t="str">
        <f>VLOOKUP(D145,Configuracion!$A$4:$C$591,2,FALSE)</f>
        <v>TURSARKISIAN MISISIAN VERONICA</v>
      </c>
      <c r="F145" s="19">
        <v>20000</v>
      </c>
      <c r="G145" s="198" t="str">
        <f>VLOOKUP(D145,Configuracion!$A$4:$C$591,3,FALSE)</f>
        <v>PROVEEDOR</v>
      </c>
      <c r="H145" s="5"/>
    </row>
    <row r="146" spans="1:9" x14ac:dyDescent="0.25">
      <c r="A146" s="199" t="s">
        <v>691</v>
      </c>
      <c r="B146" s="17">
        <v>2</v>
      </c>
      <c r="C146" s="194">
        <v>476</v>
      </c>
      <c r="D146" s="35">
        <v>27299725761</v>
      </c>
      <c r="E146" s="35" t="str">
        <f>VLOOKUP(D146,Configuracion!$A$4:$C$591,2,FALSE)</f>
        <v>TURSARKISIAN MISISIAN VERONICA</v>
      </c>
      <c r="F146" s="19">
        <v>81000</v>
      </c>
      <c r="G146" s="198" t="str">
        <f>VLOOKUP(D146,Configuracion!$A$4:$C$591,3,FALSE)</f>
        <v>PROVEEDOR</v>
      </c>
      <c r="H146" s="5"/>
    </row>
    <row r="147" spans="1:9" x14ac:dyDescent="0.25">
      <c r="A147" s="199" t="s">
        <v>701</v>
      </c>
      <c r="B147" s="17">
        <v>2</v>
      </c>
      <c r="C147" s="194">
        <v>477</v>
      </c>
      <c r="D147" s="35">
        <v>27299725761</v>
      </c>
      <c r="E147" s="35" t="str">
        <f>VLOOKUP(D147,Configuracion!$A$4:$C$591,2,FALSE)</f>
        <v>TURSARKISIAN MISISIAN VERONICA</v>
      </c>
      <c r="F147" s="19">
        <v>73000</v>
      </c>
      <c r="G147" s="198" t="str">
        <f>VLOOKUP(D147,Configuracion!$A$4:$C$591,3,FALSE)</f>
        <v>PROVEEDOR</v>
      </c>
      <c r="H147" s="5"/>
    </row>
    <row r="148" spans="1:9" x14ac:dyDescent="0.25">
      <c r="A148" s="199" t="s">
        <v>701</v>
      </c>
      <c r="B148" s="17">
        <v>2</v>
      </c>
      <c r="C148" s="194">
        <v>478</v>
      </c>
      <c r="D148" s="35">
        <v>27299725761</v>
      </c>
      <c r="E148" s="35" t="str">
        <f>VLOOKUP(D148,Configuracion!$A$4:$C$591,2,FALSE)</f>
        <v>TURSARKISIAN MISISIAN VERONICA</v>
      </c>
      <c r="F148" s="19">
        <v>85000</v>
      </c>
      <c r="G148" s="198" t="str">
        <f>VLOOKUP(D148,Configuracion!$A$4:$C$591,3,FALSE)</f>
        <v>PROVEEDOR</v>
      </c>
      <c r="H148" s="5"/>
      <c r="I148" s="5"/>
    </row>
    <row r="149" spans="1:9" x14ac:dyDescent="0.25">
      <c r="A149" s="199" t="s">
        <v>688</v>
      </c>
      <c r="B149" s="17">
        <v>3</v>
      </c>
      <c r="C149" s="194">
        <v>710</v>
      </c>
      <c r="D149" s="35">
        <v>20216451679</v>
      </c>
      <c r="E149" s="35" t="str">
        <f>VLOOKUP(D149,Configuracion!$A$4:$C$591,2,FALSE)</f>
        <v>VAZQUEZ RICARDO OSCAR</v>
      </c>
      <c r="F149" s="19">
        <v>95000</v>
      </c>
      <c r="G149" s="198" t="str">
        <f>VLOOKUP(D149,Configuracion!$A$4:$C$591,3,FALSE)</f>
        <v>PROVEEDOR</v>
      </c>
      <c r="H149" s="5"/>
      <c r="I149" s="5"/>
    </row>
    <row r="150" spans="1:9" x14ac:dyDescent="0.25">
      <c r="A150" s="199" t="s">
        <v>701</v>
      </c>
      <c r="B150" s="17">
        <v>3</v>
      </c>
      <c r="C150" s="194">
        <v>717</v>
      </c>
      <c r="D150" s="35">
        <v>20216451679</v>
      </c>
      <c r="E150" s="35" t="str">
        <f>VLOOKUP(D150,Configuracion!$A$4:$C$591,2,FALSE)</f>
        <v>VAZQUEZ RICARDO OSCAR</v>
      </c>
      <c r="F150" s="19">
        <v>36000</v>
      </c>
      <c r="G150" s="198" t="str">
        <f>VLOOKUP(D150,Configuracion!$A$4:$C$591,3,FALSE)</f>
        <v>PROVEEDOR</v>
      </c>
      <c r="H150" s="5"/>
      <c r="I150" s="5"/>
    </row>
    <row r="151" spans="1:9" x14ac:dyDescent="0.25">
      <c r="A151" s="199"/>
      <c r="B151" s="17"/>
      <c r="C151" s="194"/>
      <c r="D151" s="35"/>
      <c r="E151" s="35" t="e">
        <f>VLOOKUP(D151,Configuracion!$A$4:$C$591,2,FALSE)</f>
        <v>#N/A</v>
      </c>
      <c r="F151" s="19"/>
      <c r="G151" s="198" t="e">
        <f>VLOOKUP(D151,Configuracion!$A$4:$C$591,3,FALSE)</f>
        <v>#N/A</v>
      </c>
      <c r="H151" s="5"/>
      <c r="I151" s="5"/>
    </row>
    <row r="152" spans="1:9" x14ac:dyDescent="0.25">
      <c r="A152" s="199"/>
      <c r="B152" s="17"/>
      <c r="C152" s="194"/>
      <c r="D152" s="35"/>
      <c r="E152" s="35" t="e">
        <f>VLOOKUP(D152,Configuracion!$A$4:$C$591,2,FALSE)</f>
        <v>#N/A</v>
      </c>
      <c r="F152" s="19"/>
      <c r="G152" s="198" t="e">
        <f>VLOOKUP(D152,Configuracion!$A$4:$C$591,3,FALSE)</f>
        <v>#N/A</v>
      </c>
      <c r="H152" s="5"/>
      <c r="I152" s="5"/>
    </row>
    <row r="153" spans="1:9" x14ac:dyDescent="0.25">
      <c r="A153" s="199"/>
      <c r="B153" s="17"/>
      <c r="C153" s="194"/>
      <c r="D153" s="35"/>
      <c r="E153" s="35" t="e">
        <f>VLOOKUP(D153,Configuracion!$A$4:$C$591,2,FALSE)</f>
        <v>#N/A</v>
      </c>
      <c r="F153" s="19"/>
      <c r="G153" s="198" t="e">
        <f>VLOOKUP(D153,Configuracion!$A$4:$C$591,3,FALSE)</f>
        <v>#N/A</v>
      </c>
      <c r="H153" s="5"/>
      <c r="I153" s="5"/>
    </row>
    <row r="154" spans="1:9" x14ac:dyDescent="0.25">
      <c r="A154" s="199"/>
      <c r="B154" s="17"/>
      <c r="C154" s="194"/>
      <c r="D154" s="35"/>
      <c r="E154" s="35" t="e">
        <f>VLOOKUP(D154,Configuracion!$A$4:$C$591,2,FALSE)</f>
        <v>#N/A</v>
      </c>
      <c r="F154" s="19"/>
      <c r="G154" s="198" t="e">
        <f>VLOOKUP(D154,Configuracion!$A$4:$C$591,3,FALSE)</f>
        <v>#N/A</v>
      </c>
      <c r="H154" s="5"/>
      <c r="I154" s="5"/>
    </row>
    <row r="155" spans="1:9" x14ac:dyDescent="0.25">
      <c r="A155" s="199"/>
      <c r="B155" s="17"/>
      <c r="C155" s="194"/>
      <c r="D155" s="35"/>
      <c r="E155" s="35" t="e">
        <f>VLOOKUP(D155,Configuracion!$A$4:$C$591,2,FALSE)</f>
        <v>#N/A</v>
      </c>
      <c r="F155" s="19"/>
      <c r="G155" s="198" t="e">
        <f>VLOOKUP(D155,Configuracion!$A$4:$C$591,3,FALSE)</f>
        <v>#N/A</v>
      </c>
      <c r="H155" s="5"/>
      <c r="I155" s="5"/>
    </row>
    <row r="156" spans="1:9" x14ac:dyDescent="0.25">
      <c r="A156" s="199"/>
      <c r="B156" s="17"/>
      <c r="C156" s="194"/>
      <c r="D156" s="35"/>
      <c r="E156" s="35" t="e">
        <f>VLOOKUP(D156,Configuracion!$A$4:$C$591,2,FALSE)</f>
        <v>#N/A</v>
      </c>
      <c r="F156" s="19"/>
      <c r="G156" s="198" t="e">
        <f>VLOOKUP(D156,Configuracion!$A$4:$C$591,3,FALSE)</f>
        <v>#N/A</v>
      </c>
      <c r="H156" s="5"/>
      <c r="I156" s="5"/>
    </row>
    <row r="157" spans="1:9" x14ac:dyDescent="0.25">
      <c r="A157" s="199"/>
      <c r="B157" s="17"/>
      <c r="C157" s="194"/>
      <c r="D157" s="35"/>
      <c r="E157" s="35" t="e">
        <f>VLOOKUP(D157,Configuracion!$A$4:$C$591,2,FALSE)</f>
        <v>#N/A</v>
      </c>
      <c r="F157" s="19"/>
      <c r="G157" s="198" t="e">
        <f>VLOOKUP(D157,Configuracion!$A$4:$C$591,3,FALSE)</f>
        <v>#N/A</v>
      </c>
      <c r="H157" s="5"/>
      <c r="I157" s="5"/>
    </row>
    <row r="158" spans="1:9" x14ac:dyDescent="0.25">
      <c r="A158" s="199"/>
      <c r="B158" s="17"/>
      <c r="C158" s="194"/>
      <c r="D158" s="35"/>
      <c r="E158" s="35" t="e">
        <f>VLOOKUP(D158,Configuracion!$A$4:$C$591,2,FALSE)</f>
        <v>#N/A</v>
      </c>
      <c r="F158" s="19"/>
      <c r="G158" s="198" t="e">
        <f>VLOOKUP(D158,Configuracion!$A$4:$C$591,3,FALSE)</f>
        <v>#N/A</v>
      </c>
      <c r="H158" s="5"/>
      <c r="I158" s="5"/>
    </row>
    <row r="159" spans="1:9" x14ac:dyDescent="0.25">
      <c r="A159" s="199"/>
      <c r="B159" s="17"/>
      <c r="C159" s="194"/>
      <c r="D159" s="35"/>
      <c r="E159" s="35" t="e">
        <f>VLOOKUP(D159,Configuracion!$A$4:$C$591,2,FALSE)</f>
        <v>#N/A</v>
      </c>
      <c r="F159" s="19"/>
      <c r="G159" s="198" t="e">
        <f>VLOOKUP(D159,Configuracion!$A$4:$C$591,3,FALSE)</f>
        <v>#N/A</v>
      </c>
      <c r="H159" s="5"/>
      <c r="I159" s="5"/>
    </row>
    <row r="160" spans="1:9" x14ac:dyDescent="0.25">
      <c r="A160" s="199"/>
      <c r="B160" s="17"/>
      <c r="C160" s="194"/>
      <c r="D160" s="35"/>
      <c r="E160" s="35" t="e">
        <f>VLOOKUP(D160,Configuracion!$A$4:$C$591,2,FALSE)</f>
        <v>#N/A</v>
      </c>
      <c r="F160" s="19"/>
      <c r="G160" s="198" t="e">
        <f>VLOOKUP(D160,Configuracion!$A$4:$C$591,3,FALSE)</f>
        <v>#N/A</v>
      </c>
      <c r="H160" s="5"/>
      <c r="I160" s="5"/>
    </row>
    <row r="161" spans="1:15" x14ac:dyDescent="0.25">
      <c r="A161" s="199"/>
      <c r="B161" s="17"/>
      <c r="C161" s="194"/>
      <c r="D161" s="35"/>
      <c r="E161" s="35" t="e">
        <f>VLOOKUP(D161,Configuracion!$A$4:$C$591,2,FALSE)</f>
        <v>#N/A</v>
      </c>
      <c r="F161" s="19"/>
      <c r="G161" s="198" t="e">
        <f>VLOOKUP(D161,Configuracion!$A$4:$C$591,3,FALSE)</f>
        <v>#N/A</v>
      </c>
      <c r="H161" s="5"/>
      <c r="I161" s="5"/>
    </row>
    <row r="162" spans="1:15" x14ac:dyDescent="0.25">
      <c r="A162" s="199"/>
      <c r="B162" s="17"/>
      <c r="C162" s="194"/>
      <c r="D162" s="35"/>
      <c r="E162" s="35" t="e">
        <f>VLOOKUP(D162,Configuracion!$A$4:$C$591,2,FALSE)</f>
        <v>#N/A</v>
      </c>
      <c r="F162" s="19"/>
      <c r="G162" s="198" t="e">
        <f>VLOOKUP(D162,Configuracion!$A$4:$C$591,3,FALSE)</f>
        <v>#N/A</v>
      </c>
      <c r="H162" s="5"/>
      <c r="I162" s="5"/>
    </row>
    <row r="163" spans="1:15" x14ac:dyDescent="0.25">
      <c r="A163" s="199"/>
      <c r="B163" s="17"/>
      <c r="C163" s="194"/>
      <c r="D163" s="35"/>
      <c r="E163" s="35" t="e">
        <f>VLOOKUP(D163,Configuracion!$A$4:$C$591,2,FALSE)</f>
        <v>#N/A</v>
      </c>
      <c r="F163" s="19"/>
      <c r="G163" s="198" t="e">
        <f>VLOOKUP(D163,Configuracion!$A$4:$C$591,3,FALSE)</f>
        <v>#N/A</v>
      </c>
      <c r="H163" s="5"/>
      <c r="I163" s="5"/>
    </row>
    <row r="164" spans="1:15" ht="15.75" thickBot="1" x14ac:dyDescent="0.3">
      <c r="A164" s="244" t="s">
        <v>4</v>
      </c>
      <c r="B164" s="245"/>
      <c r="C164" s="245"/>
      <c r="D164" s="245"/>
      <c r="E164" s="246"/>
      <c r="F164" s="30">
        <f>SUM(F121:F163)</f>
        <v>2591022</v>
      </c>
      <c r="G164" s="5"/>
      <c r="H164" s="5"/>
      <c r="I164" s="5"/>
    </row>
    <row r="165" spans="1:15" ht="15.75" thickBot="1" x14ac:dyDescent="0.3">
      <c r="A165" s="28"/>
      <c r="B165" s="28"/>
      <c r="D165" s="37"/>
      <c r="E165" s="29"/>
      <c r="F165" s="46"/>
      <c r="G165" s="5"/>
      <c r="H165" s="5"/>
      <c r="I165" s="5"/>
    </row>
    <row r="166" spans="1:15" ht="16.5" thickBot="1" x14ac:dyDescent="0.3">
      <c r="A166" s="238" t="s">
        <v>22</v>
      </c>
      <c r="B166" s="239"/>
      <c r="C166" s="240"/>
      <c r="D166" s="89"/>
      <c r="E166" s="51"/>
      <c r="F166" s="50"/>
      <c r="G166" s="5"/>
      <c r="H166" s="5"/>
      <c r="I166" s="5"/>
    </row>
    <row r="167" spans="1:15" x14ac:dyDescent="0.25">
      <c r="A167" s="61" t="s">
        <v>1</v>
      </c>
      <c r="B167" s="235" t="s">
        <v>24</v>
      </c>
      <c r="C167" s="235"/>
      <c r="D167" s="62" t="s">
        <v>7</v>
      </c>
      <c r="E167" s="63" t="s">
        <v>19</v>
      </c>
      <c r="F167" s="63" t="s">
        <v>25</v>
      </c>
      <c r="G167" s="63" t="s">
        <v>3</v>
      </c>
      <c r="H167" s="63" t="s">
        <v>21</v>
      </c>
      <c r="I167" s="64" t="s">
        <v>23</v>
      </c>
      <c r="O167" s="116"/>
    </row>
    <row r="168" spans="1:15" ht="15.75" x14ac:dyDescent="0.25">
      <c r="A168" s="210">
        <v>45091</v>
      </c>
      <c r="B168" s="234">
        <v>251665</v>
      </c>
      <c r="C168" s="234"/>
      <c r="D168" s="35">
        <v>30546771314</v>
      </c>
      <c r="E168" s="35" t="str">
        <f>VLOOKUP(D168,Configuracion!$A$4:$C$591,2,FALSE)</f>
        <v>MEDICUS SA</v>
      </c>
      <c r="F168" s="208"/>
      <c r="G168" s="208">
        <v>884.57</v>
      </c>
      <c r="H168" s="208">
        <v>368.57</v>
      </c>
      <c r="I168" s="209"/>
      <c r="J168" s="10"/>
      <c r="K168" s="10"/>
      <c r="L168" s="11"/>
      <c r="M168" s="2"/>
      <c r="N168" s="2"/>
    </row>
    <row r="169" spans="1:15" ht="15.75" x14ac:dyDescent="0.25">
      <c r="A169" s="210">
        <v>45111</v>
      </c>
      <c r="B169" s="234">
        <v>49306</v>
      </c>
      <c r="C169" s="234"/>
      <c r="D169" s="35">
        <v>30585412453</v>
      </c>
      <c r="E169" s="35" t="str">
        <f>VLOOKUP(D169,Configuracion!$A$4:$C$591,2,FALSE)</f>
        <v>OSDOP</v>
      </c>
      <c r="F169" s="208"/>
      <c r="G169" s="208"/>
      <c r="H169" s="208">
        <v>108</v>
      </c>
      <c r="I169" s="209"/>
      <c r="J169" s="10"/>
      <c r="K169" s="10"/>
      <c r="L169" s="11"/>
      <c r="M169" s="2"/>
      <c r="N169" s="2"/>
    </row>
    <row r="170" spans="1:15" ht="15.75" x14ac:dyDescent="0.25">
      <c r="A170" s="210">
        <v>45119</v>
      </c>
      <c r="B170" s="234">
        <v>4657</v>
      </c>
      <c r="C170" s="234"/>
      <c r="D170" s="35">
        <v>30606274161</v>
      </c>
      <c r="E170" s="35" t="str">
        <f>VLOOKUP(D170,Configuracion!$A$4:$C$591,2,FALSE)</f>
        <v>EGESAC SA</v>
      </c>
      <c r="F170" s="208"/>
      <c r="G170" s="208"/>
      <c r="H170" s="208">
        <v>211.13</v>
      </c>
      <c r="I170" s="209"/>
      <c r="J170" s="10"/>
      <c r="K170" s="10"/>
      <c r="L170" s="11"/>
      <c r="M170" s="2"/>
      <c r="N170" s="2"/>
    </row>
    <row r="171" spans="1:15" ht="15.75" x14ac:dyDescent="0.25">
      <c r="A171" s="210">
        <v>45126</v>
      </c>
      <c r="B171" s="234">
        <v>2415</v>
      </c>
      <c r="C171" s="234"/>
      <c r="D171" s="35">
        <v>30683032227</v>
      </c>
      <c r="E171" s="35" t="str">
        <f>VLOOKUP(D171,Configuracion!$A$4:$C$591,2,FALSE)</f>
        <v>OS UNION PERSONAL</v>
      </c>
      <c r="F171" s="208"/>
      <c r="G171" s="208"/>
      <c r="H171" s="208">
        <v>37574.379999999997</v>
      </c>
      <c r="I171" s="209"/>
      <c r="J171" s="10"/>
      <c r="K171" s="10"/>
      <c r="L171" s="11"/>
      <c r="M171" s="2"/>
      <c r="N171" s="2"/>
    </row>
    <row r="172" spans="1:15" ht="15.75" x14ac:dyDescent="0.25">
      <c r="A172" s="210">
        <v>45114</v>
      </c>
      <c r="B172" s="234">
        <v>2404</v>
      </c>
      <c r="C172" s="234"/>
      <c r="D172" s="35">
        <v>30683032227</v>
      </c>
      <c r="E172" s="35" t="str">
        <f>VLOOKUP(D172,Configuracion!$A$4:$C$591,2,FALSE)</f>
        <v>OS UNION PERSONAL</v>
      </c>
      <c r="F172" s="208"/>
      <c r="G172" s="208"/>
      <c r="H172" s="208">
        <v>17495.8</v>
      </c>
      <c r="I172" s="209"/>
      <c r="J172" s="10"/>
      <c r="K172" s="10"/>
      <c r="L172" s="11"/>
      <c r="M172" s="2"/>
      <c r="N172" s="2"/>
    </row>
    <row r="173" spans="1:15" ht="15.75" x14ac:dyDescent="0.25">
      <c r="A173" s="210">
        <v>45131</v>
      </c>
      <c r="B173" s="234">
        <v>83777</v>
      </c>
      <c r="C173" s="234"/>
      <c r="D173" s="35">
        <v>30590354798</v>
      </c>
      <c r="E173" s="35" t="str">
        <f>VLOOKUP(D173,Configuracion!$A$4:$C$591,2,FALSE)</f>
        <v>ASOCIACION MUTUAL SANCOR SALUD</v>
      </c>
      <c r="F173" s="208">
        <v>6847.34</v>
      </c>
      <c r="G173" s="208"/>
      <c r="H173" s="208">
        <v>9911.42</v>
      </c>
      <c r="I173" s="209"/>
      <c r="J173" s="10"/>
      <c r="K173" s="10"/>
      <c r="L173" s="11"/>
      <c r="M173" s="2"/>
      <c r="N173" s="2"/>
    </row>
    <row r="174" spans="1:15" ht="15.75" x14ac:dyDescent="0.25">
      <c r="A174" s="210">
        <v>45105</v>
      </c>
      <c r="B174" s="234">
        <v>47913</v>
      </c>
      <c r="C174" s="234"/>
      <c r="D174" s="35">
        <v>30522428163</v>
      </c>
      <c r="E174" s="35" t="str">
        <f>VLOOKUP(D174,Configuracion!$A$4:$C$591,2,FALSE)</f>
        <v>GALENO ARGENTINA SA</v>
      </c>
      <c r="F174" s="208">
        <v>59502.48</v>
      </c>
      <c r="G174" s="233">
        <f>312388.02*0</f>
        <v>0</v>
      </c>
      <c r="H174" s="208">
        <v>29751.24</v>
      </c>
      <c r="I174" s="209">
        <v>29751.24</v>
      </c>
      <c r="J174" s="10"/>
      <c r="K174" s="10"/>
      <c r="L174" s="11"/>
      <c r="M174" s="2"/>
      <c r="N174" s="2"/>
    </row>
    <row r="175" spans="1:15" ht="15.75" x14ac:dyDescent="0.25">
      <c r="A175" s="210">
        <v>45124</v>
      </c>
      <c r="B175" s="234">
        <v>52941</v>
      </c>
      <c r="C175" s="234"/>
      <c r="D175" s="35">
        <v>30522428163</v>
      </c>
      <c r="E175" s="35" t="str">
        <f>VLOOKUP(D175,Configuracion!$A$4:$C$591,2,FALSE)</f>
        <v>GALENO ARGENTINA SA</v>
      </c>
      <c r="F175" s="208">
        <v>103207.01</v>
      </c>
      <c r="G175" s="233">
        <f>878223.47*0</f>
        <v>0</v>
      </c>
      <c r="H175" s="208">
        <v>0</v>
      </c>
      <c r="I175" s="209">
        <v>52275.21</v>
      </c>
      <c r="J175" s="10"/>
      <c r="K175" s="10"/>
      <c r="L175" s="11"/>
      <c r="M175" s="2"/>
      <c r="N175" s="2"/>
    </row>
    <row r="176" spans="1:15" ht="15.75" x14ac:dyDescent="0.25">
      <c r="A176" s="210">
        <v>45119</v>
      </c>
      <c r="B176" s="234">
        <v>52113</v>
      </c>
      <c r="C176" s="234"/>
      <c r="D176" s="35">
        <v>30522428163</v>
      </c>
      <c r="E176" s="35" t="str">
        <f>VLOOKUP(D176,Configuracion!$A$4:$C$591,2,FALSE)</f>
        <v>GALENO ARGENTINA SA</v>
      </c>
      <c r="F176" s="208">
        <v>93652.89</v>
      </c>
      <c r="G176" s="233">
        <f>491677.69*0</f>
        <v>0</v>
      </c>
      <c r="H176" s="208">
        <v>46826.45</v>
      </c>
      <c r="I176" s="209">
        <v>46826.45</v>
      </c>
      <c r="J176" s="10"/>
      <c r="K176" s="10"/>
      <c r="L176" s="11"/>
      <c r="M176" s="2"/>
      <c r="N176" s="2"/>
    </row>
    <row r="177" spans="1:14" ht="15.75" x14ac:dyDescent="0.25">
      <c r="A177" s="210">
        <v>45125</v>
      </c>
      <c r="B177" s="234">
        <v>53131</v>
      </c>
      <c r="C177" s="234"/>
      <c r="D177" s="35">
        <v>30522428163</v>
      </c>
      <c r="E177" s="35" t="str">
        <f>VLOOKUP(D177,Configuracion!$A$4:$C$591,2,FALSE)</f>
        <v>GALENO ARGENTINA SA</v>
      </c>
      <c r="F177" s="208">
        <v>184748.74</v>
      </c>
      <c r="G177" s="233">
        <f>1239112.81*0</f>
        <v>0</v>
      </c>
      <c r="H177" s="208">
        <v>49647.11</v>
      </c>
      <c r="I177" s="209">
        <v>92374.38</v>
      </c>
      <c r="J177" s="10"/>
      <c r="K177" s="10"/>
      <c r="L177" s="11"/>
      <c r="M177" s="2"/>
      <c r="N177" s="2"/>
    </row>
    <row r="178" spans="1:14" ht="15.75" x14ac:dyDescent="0.25">
      <c r="A178" s="210">
        <v>45124</v>
      </c>
      <c r="B178" s="234">
        <v>52483</v>
      </c>
      <c r="C178" s="234"/>
      <c r="D178" s="35">
        <v>30522428163</v>
      </c>
      <c r="E178" s="35" t="str">
        <f>VLOOKUP(D178,Configuracion!$A$4:$C$591,2,FALSE)</f>
        <v>GALENO ARGENTINA SA</v>
      </c>
      <c r="F178" s="208">
        <v>9293.58</v>
      </c>
      <c r="G178" s="233">
        <f>48791.3*0</f>
        <v>0</v>
      </c>
      <c r="H178" s="208">
        <v>4646.79</v>
      </c>
      <c r="I178" s="209">
        <v>4646.79</v>
      </c>
      <c r="J178" s="10"/>
      <c r="K178" s="10"/>
      <c r="L178" s="11"/>
      <c r="M178" s="2"/>
      <c r="N178" s="2"/>
    </row>
    <row r="179" spans="1:14" ht="15.75" x14ac:dyDescent="0.25">
      <c r="A179" s="210">
        <v>45125</v>
      </c>
      <c r="B179" s="234">
        <v>53127</v>
      </c>
      <c r="C179" s="234"/>
      <c r="D179" s="35">
        <v>30522428163</v>
      </c>
      <c r="E179" s="35" t="str">
        <f>VLOOKUP(D179,Configuracion!$A$4:$C$591,2,FALSE)</f>
        <v>GALENO ARGENTINA SA</v>
      </c>
      <c r="F179" s="208">
        <v>5368.31</v>
      </c>
      <c r="G179" s="233">
        <f>31578.36*0</f>
        <v>0</v>
      </c>
      <c r="H179" s="208">
        <v>2684.15</v>
      </c>
      <c r="I179" s="209">
        <v>3007.46</v>
      </c>
      <c r="J179" s="10"/>
      <c r="K179" s="10"/>
      <c r="L179" s="11"/>
      <c r="M179" s="2"/>
      <c r="N179" s="2"/>
    </row>
    <row r="180" spans="1:14" ht="15.75" x14ac:dyDescent="0.25">
      <c r="A180" s="210"/>
      <c r="B180" s="234"/>
      <c r="C180" s="234"/>
      <c r="D180" s="35"/>
      <c r="E180" s="35" t="e">
        <f>VLOOKUP(D180,Configuracion!$A$4:$C$591,2,FALSE)</f>
        <v>#N/A</v>
      </c>
      <c r="F180" s="208"/>
      <c r="G180" s="208"/>
      <c r="H180" s="208"/>
      <c r="I180" s="209"/>
      <c r="J180" s="10"/>
      <c r="K180" s="10"/>
      <c r="L180" s="11"/>
      <c r="M180" s="2"/>
      <c r="N180" s="2"/>
    </row>
    <row r="181" spans="1:14" ht="15.75" x14ac:dyDescent="0.25">
      <c r="A181" s="210"/>
      <c r="B181" s="234"/>
      <c r="C181" s="234"/>
      <c r="D181" s="35"/>
      <c r="E181" s="35" t="e">
        <f>VLOOKUP(D181,Configuracion!$A$4:$C$591,2,FALSE)</f>
        <v>#N/A</v>
      </c>
      <c r="F181" s="208"/>
      <c r="G181" s="208"/>
      <c r="H181" s="208"/>
      <c r="I181" s="209"/>
      <c r="J181" s="10"/>
      <c r="K181" s="10"/>
      <c r="L181" s="11"/>
      <c r="M181" s="2"/>
      <c r="N181" s="2"/>
    </row>
    <row r="182" spans="1:14" ht="15.75" x14ac:dyDescent="0.25">
      <c r="A182" s="210"/>
      <c r="B182" s="234"/>
      <c r="C182" s="234"/>
      <c r="D182" s="35"/>
      <c r="E182" s="35" t="e">
        <f>VLOOKUP(D182,Configuracion!$A$4:$C$591,2,FALSE)</f>
        <v>#N/A</v>
      </c>
      <c r="F182" s="208"/>
      <c r="G182" s="208"/>
      <c r="H182" s="208"/>
      <c r="I182" s="209"/>
      <c r="J182" s="10"/>
      <c r="K182" s="10"/>
      <c r="L182" s="11"/>
      <c r="M182" s="2"/>
      <c r="N182" s="2"/>
    </row>
    <row r="183" spans="1:14" ht="15.75" x14ac:dyDescent="0.25">
      <c r="A183" s="210"/>
      <c r="B183" s="234"/>
      <c r="C183" s="234"/>
      <c r="D183" s="35"/>
      <c r="E183" s="35" t="e">
        <f>VLOOKUP(D183,Configuracion!$A$4:$C$591,2,FALSE)</f>
        <v>#N/A</v>
      </c>
      <c r="F183" s="208"/>
      <c r="G183" s="208"/>
      <c r="H183" s="208"/>
      <c r="I183" s="209"/>
      <c r="J183" s="10"/>
      <c r="K183" s="10"/>
      <c r="L183" s="11"/>
      <c r="M183" s="2"/>
      <c r="N183" s="2"/>
    </row>
    <row r="184" spans="1:14" ht="15.75" x14ac:dyDescent="0.25">
      <c r="A184" s="210"/>
      <c r="B184" s="234"/>
      <c r="C184" s="234"/>
      <c r="D184" s="35"/>
      <c r="E184" s="35" t="e">
        <f>VLOOKUP(D184,Configuracion!$A$4:$C$591,2,FALSE)</f>
        <v>#N/A</v>
      </c>
      <c r="F184" s="208"/>
      <c r="G184" s="208"/>
      <c r="H184" s="208"/>
      <c r="I184" s="209"/>
      <c r="J184" s="10"/>
      <c r="K184" s="10"/>
      <c r="L184" s="11"/>
      <c r="M184" s="2"/>
      <c r="N184" s="2"/>
    </row>
    <row r="185" spans="1:14" ht="15.75" x14ac:dyDescent="0.25">
      <c r="A185" s="210"/>
      <c r="B185" s="234"/>
      <c r="C185" s="234"/>
      <c r="D185" s="35"/>
      <c r="E185" s="35" t="e">
        <f>VLOOKUP(D185,Configuracion!$A$4:$C$591,2,FALSE)</f>
        <v>#N/A</v>
      </c>
      <c r="F185" s="208"/>
      <c r="G185" s="208"/>
      <c r="H185" s="208"/>
      <c r="I185" s="209"/>
      <c r="J185" s="10"/>
      <c r="K185" s="10"/>
      <c r="L185" s="11"/>
      <c r="M185" s="2"/>
      <c r="N185" s="2"/>
    </row>
    <row r="186" spans="1:14" ht="15.75" x14ac:dyDescent="0.25">
      <c r="A186" s="210"/>
      <c r="B186" s="234"/>
      <c r="C186" s="234"/>
      <c r="D186" s="35"/>
      <c r="E186" s="35" t="e">
        <f>VLOOKUP(D186,Configuracion!$A$4:$C$591,2,FALSE)</f>
        <v>#N/A</v>
      </c>
      <c r="F186" s="208"/>
      <c r="G186" s="208"/>
      <c r="H186" s="208"/>
      <c r="I186" s="209"/>
      <c r="J186" s="10"/>
      <c r="K186" s="10"/>
      <c r="L186" s="11"/>
      <c r="M186" s="2"/>
      <c r="N186" s="2"/>
    </row>
    <row r="187" spans="1:14" ht="15.75" x14ac:dyDescent="0.25">
      <c r="A187" s="210"/>
      <c r="B187" s="234"/>
      <c r="C187" s="234"/>
      <c r="D187" s="35"/>
      <c r="E187" s="35" t="e">
        <f>VLOOKUP(D187,Configuracion!$A$4:$C$591,2,FALSE)</f>
        <v>#N/A</v>
      </c>
      <c r="F187" s="208"/>
      <c r="G187" s="208"/>
      <c r="H187" s="208"/>
      <c r="I187" s="209"/>
      <c r="J187" s="10"/>
      <c r="K187" s="10"/>
      <c r="L187" s="11"/>
      <c r="M187" s="2"/>
      <c r="N187" s="2"/>
    </row>
    <row r="188" spans="1:14" ht="15.75" x14ac:dyDescent="0.25">
      <c r="A188" s="210"/>
      <c r="B188" s="234"/>
      <c r="C188" s="234"/>
      <c r="D188" s="35"/>
      <c r="E188" s="35" t="e">
        <f>VLOOKUP(D188,Configuracion!$A$4:$C$591,2,FALSE)</f>
        <v>#N/A</v>
      </c>
      <c r="F188" s="208"/>
      <c r="G188" s="208"/>
      <c r="H188" s="208"/>
      <c r="I188" s="209"/>
      <c r="J188" s="10"/>
      <c r="K188" s="10"/>
      <c r="L188" s="11"/>
      <c r="M188" s="2"/>
      <c r="N188" s="2"/>
    </row>
    <row r="189" spans="1:14" ht="16.5" thickBot="1" x14ac:dyDescent="0.3">
      <c r="A189" s="259" t="s">
        <v>4</v>
      </c>
      <c r="B189" s="260"/>
      <c r="C189" s="260"/>
      <c r="D189" s="260"/>
      <c r="E189" s="261"/>
      <c r="F189" s="68">
        <f>SUM(F168:F188)</f>
        <v>462620.35000000003</v>
      </c>
      <c r="G189" s="68">
        <f>SUM(G168:G188)</f>
        <v>884.57</v>
      </c>
      <c r="H189" s="68">
        <f>SUM(H168:H188)</f>
        <v>199225.03999999998</v>
      </c>
      <c r="I189" s="68">
        <f>SUM(I168:I188)</f>
        <v>228881.53</v>
      </c>
      <c r="J189" s="10"/>
      <c r="K189" s="10"/>
      <c r="L189" s="11"/>
      <c r="M189" s="2"/>
      <c r="N189" s="2"/>
    </row>
    <row r="190" spans="1:14" x14ac:dyDescent="0.25">
      <c r="A190" s="28"/>
      <c r="B190" s="28"/>
      <c r="D190" s="37"/>
      <c r="E190" s="29"/>
      <c r="F190" s="46"/>
      <c r="G190" s="5"/>
      <c r="H190" s="5"/>
      <c r="I190" s="5"/>
      <c r="J190" s="12"/>
      <c r="K190" s="7"/>
      <c r="L190" s="7"/>
    </row>
    <row r="191" spans="1:14" x14ac:dyDescent="0.25">
      <c r="A191" s="28"/>
      <c r="B191" s="28"/>
      <c r="D191" s="37"/>
      <c r="E191" s="29"/>
      <c r="F191" s="46"/>
      <c r="G191" s="5"/>
      <c r="H191" s="5"/>
      <c r="I191" s="5"/>
      <c r="J191" s="12"/>
      <c r="K191" s="7"/>
      <c r="L191" s="7"/>
    </row>
    <row r="192" spans="1:14" ht="15.75" thickBot="1" x14ac:dyDescent="0.3">
      <c r="J192" s="12"/>
      <c r="K192" s="7"/>
      <c r="L192" s="7"/>
    </row>
    <row r="193" spans="1:12" ht="16.5" thickBot="1" x14ac:dyDescent="0.3">
      <c r="A193" s="256" t="s">
        <v>0</v>
      </c>
      <c r="B193" s="257"/>
      <c r="C193" s="257"/>
      <c r="D193" s="257"/>
      <c r="E193" s="257"/>
      <c r="F193" s="257"/>
      <c r="G193" s="257"/>
      <c r="H193" s="257"/>
      <c r="I193" s="258"/>
      <c r="J193" s="12"/>
      <c r="K193" s="7"/>
      <c r="L193" s="7"/>
    </row>
    <row r="194" spans="1:12" ht="16.5" thickBot="1" x14ac:dyDescent="0.3">
      <c r="A194" s="57"/>
      <c r="B194" s="10"/>
      <c r="C194" s="10"/>
      <c r="D194" s="90"/>
      <c r="E194" s="10"/>
      <c r="F194" s="10"/>
      <c r="G194" s="10"/>
      <c r="H194" s="10"/>
      <c r="I194" s="10"/>
      <c r="J194" s="12"/>
      <c r="K194" s="7"/>
      <c r="L194" s="7"/>
    </row>
    <row r="195" spans="1:12" ht="16.5" thickBot="1" x14ac:dyDescent="0.3">
      <c r="A195" s="238" t="s">
        <v>26</v>
      </c>
      <c r="B195" s="239"/>
      <c r="C195" s="240"/>
      <c r="D195" s="90"/>
      <c r="E195" s="10"/>
      <c r="F195" s="10"/>
      <c r="G195" s="10"/>
      <c r="H195" s="10"/>
      <c r="I195" s="10"/>
      <c r="J195" s="12"/>
      <c r="K195" s="7"/>
      <c r="L195" s="7"/>
    </row>
    <row r="196" spans="1:12" ht="15.75" thickBot="1" x14ac:dyDescent="0.3">
      <c r="A196" s="58" t="s">
        <v>1</v>
      </c>
      <c r="B196" s="20" t="s">
        <v>17</v>
      </c>
      <c r="C196" s="20" t="s">
        <v>18</v>
      </c>
      <c r="D196" s="38" t="s">
        <v>7</v>
      </c>
      <c r="E196" s="20" t="s">
        <v>19</v>
      </c>
      <c r="F196" s="20" t="s">
        <v>8</v>
      </c>
      <c r="G196" s="20" t="s">
        <v>3</v>
      </c>
      <c r="H196" s="20" t="s">
        <v>31</v>
      </c>
      <c r="I196" s="20" t="s">
        <v>4</v>
      </c>
      <c r="J196" s="12"/>
      <c r="K196" s="7"/>
      <c r="L196" s="7"/>
    </row>
    <row r="197" spans="1:12" ht="15.75" thickBot="1" x14ac:dyDescent="0.3">
      <c r="A197" s="59"/>
      <c r="B197" s="23"/>
      <c r="C197" s="13"/>
      <c r="D197" s="35"/>
      <c r="E197" s="35" t="e">
        <f>VLOOKUP(D197,Configuracion!$A$4:$C$591,2,FALSE)</f>
        <v>#N/A</v>
      </c>
      <c r="F197" s="187"/>
      <c r="G197" s="16">
        <f t="shared" ref="G197" si="10">F197*0.21</f>
        <v>0</v>
      </c>
      <c r="H197" s="69"/>
      <c r="I197" s="49">
        <f t="shared" ref="I197" si="11">SUM(F197:H197)</f>
        <v>0</v>
      </c>
      <c r="J197" s="12"/>
      <c r="K197" s="7"/>
      <c r="L197" s="7"/>
    </row>
    <row r="198" spans="1:12" ht="15.75" thickBot="1" x14ac:dyDescent="0.3">
      <c r="A198" s="59"/>
      <c r="B198" s="23"/>
      <c r="C198" s="13"/>
      <c r="D198" s="35"/>
      <c r="E198" s="35" t="e">
        <f>VLOOKUP(D198,Configuracion!$A$4:$C$591,2,FALSE)</f>
        <v>#N/A</v>
      </c>
      <c r="F198" s="187"/>
      <c r="G198" s="16">
        <f t="shared" ref="G198:G199" si="12">F198*0.21</f>
        <v>0</v>
      </c>
      <c r="H198" s="69"/>
      <c r="I198" s="49">
        <f t="shared" ref="I198:I199" si="13">SUM(F198:H198)</f>
        <v>0</v>
      </c>
      <c r="J198" s="12"/>
      <c r="K198" s="7"/>
      <c r="L198" s="7"/>
    </row>
    <row r="199" spans="1:12" ht="15.75" thickBot="1" x14ac:dyDescent="0.3">
      <c r="A199" s="59"/>
      <c r="B199" s="23"/>
      <c r="C199" s="13"/>
      <c r="D199" s="35"/>
      <c r="E199" s="35" t="e">
        <f>VLOOKUP(D199,Configuracion!$A$4:$C$591,2,FALSE)</f>
        <v>#N/A</v>
      </c>
      <c r="F199" s="187"/>
      <c r="G199" s="16">
        <f t="shared" si="12"/>
        <v>0</v>
      </c>
      <c r="H199" s="69"/>
      <c r="I199" s="49">
        <f t="shared" si="13"/>
        <v>0</v>
      </c>
      <c r="J199" s="12"/>
      <c r="K199" s="7"/>
      <c r="L199" s="7"/>
    </row>
    <row r="200" spans="1:12" ht="15.75" thickBot="1" x14ac:dyDescent="0.3">
      <c r="A200" s="59"/>
      <c r="B200" s="23"/>
      <c r="C200" s="13"/>
      <c r="D200" s="35"/>
      <c r="E200" s="35" t="e">
        <f>VLOOKUP(D200,Configuracion!$A$4:$C$591,2,FALSE)</f>
        <v>#N/A</v>
      </c>
      <c r="F200" s="187"/>
      <c r="G200" s="16">
        <f t="shared" ref="G200" si="14">F200*0.21</f>
        <v>0</v>
      </c>
      <c r="H200" s="69"/>
      <c r="I200" s="49">
        <f t="shared" ref="I200" si="15">SUM(F200:H200)</f>
        <v>0</v>
      </c>
      <c r="J200" s="12"/>
      <c r="K200" s="7"/>
      <c r="L200" s="7"/>
    </row>
    <row r="201" spans="1:12" ht="15.75" thickBot="1" x14ac:dyDescent="0.3">
      <c r="A201" s="59"/>
      <c r="B201" s="23"/>
      <c r="C201" s="13"/>
      <c r="D201" s="35"/>
      <c r="E201" s="35" t="e">
        <f>VLOOKUP(D201,Configuracion!$A$4:$C$591,2,FALSE)</f>
        <v>#N/A</v>
      </c>
      <c r="F201" s="187"/>
      <c r="G201" s="16">
        <f t="shared" ref="G201" si="16">F201*0.21</f>
        <v>0</v>
      </c>
      <c r="H201" s="69"/>
      <c r="I201" s="49">
        <f t="shared" ref="I201" si="17">SUM(F201:H201)</f>
        <v>0</v>
      </c>
      <c r="J201" s="12"/>
      <c r="K201" s="7"/>
      <c r="L201" s="7"/>
    </row>
    <row r="202" spans="1:12" ht="15.75" thickBot="1" x14ac:dyDescent="0.3">
      <c r="A202" s="247" t="s">
        <v>4</v>
      </c>
      <c r="B202" s="248"/>
      <c r="C202" s="254"/>
      <c r="D202" s="254"/>
      <c r="E202" s="255"/>
      <c r="F202" s="47">
        <f>SUM(F197:F201)</f>
        <v>0</v>
      </c>
      <c r="G202" s="47">
        <f>SUM(G197:G201)</f>
        <v>0</v>
      </c>
      <c r="H202" s="47"/>
      <c r="I202" s="47">
        <f>SUM(I197:I201)</f>
        <v>0</v>
      </c>
    </row>
    <row r="203" spans="1:12" x14ac:dyDescent="0.25">
      <c r="C203" s="14"/>
      <c r="D203" s="40"/>
      <c r="E203" s="14"/>
      <c r="F203" s="48"/>
      <c r="G203" s="48"/>
      <c r="H203" s="48"/>
      <c r="I203" s="7"/>
    </row>
    <row r="204" spans="1:12" ht="15.75" thickBot="1" x14ac:dyDescent="0.3"/>
    <row r="205" spans="1:12" ht="16.5" thickBot="1" x14ac:dyDescent="0.3">
      <c r="A205" s="238" t="s">
        <v>27</v>
      </c>
      <c r="B205" s="239"/>
      <c r="C205" s="240"/>
      <c r="D205" s="90"/>
      <c r="E205" s="10"/>
      <c r="F205" s="10"/>
      <c r="G205" s="10"/>
      <c r="H205" s="10"/>
    </row>
    <row r="206" spans="1:12" ht="15.75" thickBot="1" x14ac:dyDescent="0.3">
      <c r="A206" s="58" t="s">
        <v>1</v>
      </c>
      <c r="B206" s="20" t="s">
        <v>17</v>
      </c>
      <c r="C206" s="20" t="s">
        <v>18</v>
      </c>
      <c r="D206" s="38" t="s">
        <v>7</v>
      </c>
      <c r="E206" s="20" t="s">
        <v>19</v>
      </c>
      <c r="F206" s="20" t="s">
        <v>8</v>
      </c>
      <c r="G206" s="20" t="s">
        <v>3</v>
      </c>
      <c r="H206" s="20" t="s">
        <v>4</v>
      </c>
    </row>
    <row r="207" spans="1:12" x14ac:dyDescent="0.25">
      <c r="A207" s="59"/>
      <c r="B207" s="17"/>
      <c r="C207" s="13"/>
      <c r="D207" s="35"/>
      <c r="E207" s="35" t="e">
        <f>VLOOKUP(D207,Configuracion!$A$4:$C$591,2,FALSE)</f>
        <v>#N/A</v>
      </c>
      <c r="F207" s="16">
        <f t="shared" ref="F207:F208" si="18">H207/1.21</f>
        <v>0</v>
      </c>
      <c r="G207" s="16">
        <f t="shared" ref="G207:G208" si="19">F207*0.21</f>
        <v>0</v>
      </c>
      <c r="H207" s="189"/>
    </row>
    <row r="208" spans="1:12" x14ac:dyDescent="0.25">
      <c r="A208" s="59"/>
      <c r="B208" s="17"/>
      <c r="C208" s="13"/>
      <c r="D208" s="35"/>
      <c r="E208" s="35" t="e">
        <f>VLOOKUP(D208,Configuracion!$A$4:$C$591,2,FALSE)</f>
        <v>#N/A</v>
      </c>
      <c r="F208" s="16">
        <f t="shared" si="18"/>
        <v>0</v>
      </c>
      <c r="G208" s="16">
        <f t="shared" si="19"/>
        <v>0</v>
      </c>
      <c r="H208" s="189"/>
    </row>
    <row r="209" spans="1:8" x14ac:dyDescent="0.25">
      <c r="A209" s="59"/>
      <c r="B209" s="17"/>
      <c r="C209" s="13"/>
      <c r="D209" s="35"/>
      <c r="E209" s="35" t="e">
        <f>VLOOKUP(D209,Configuracion!$A$4:$C$591,2,FALSE)</f>
        <v>#N/A</v>
      </c>
      <c r="F209" s="16">
        <f t="shared" ref="F209:F211" si="20">H209/1.21</f>
        <v>0</v>
      </c>
      <c r="G209" s="16">
        <f t="shared" ref="G209:G211" si="21">F209*0.21</f>
        <v>0</v>
      </c>
      <c r="H209" s="189"/>
    </row>
    <row r="210" spans="1:8" x14ac:dyDescent="0.25">
      <c r="A210" s="59"/>
      <c r="B210" s="17"/>
      <c r="C210" s="13"/>
      <c r="D210" s="35"/>
      <c r="E210" s="35" t="e">
        <f>VLOOKUP(D210,Configuracion!$A$4:$C$591,2,FALSE)</f>
        <v>#N/A</v>
      </c>
      <c r="F210" s="16">
        <f t="shared" si="20"/>
        <v>0</v>
      </c>
      <c r="G210" s="16">
        <f t="shared" si="21"/>
        <v>0</v>
      </c>
      <c r="H210" s="189"/>
    </row>
    <row r="211" spans="1:8" ht="15.75" thickBot="1" x14ac:dyDescent="0.3">
      <c r="A211" s="60"/>
      <c r="B211" s="24"/>
      <c r="C211" s="25"/>
      <c r="D211" s="39"/>
      <c r="E211" s="35" t="e">
        <f>VLOOKUP(D211,Configuracion!$A$4:$C$591,2,FALSE)</f>
        <v>#N/A</v>
      </c>
      <c r="F211" s="16">
        <f t="shared" si="20"/>
        <v>0</v>
      </c>
      <c r="G211" s="16">
        <f t="shared" si="21"/>
        <v>0</v>
      </c>
      <c r="H211" s="189"/>
    </row>
    <row r="212" spans="1:8" ht="15.75" thickBot="1" x14ac:dyDescent="0.3">
      <c r="A212" s="247" t="s">
        <v>4</v>
      </c>
      <c r="B212" s="248"/>
      <c r="C212" s="254"/>
      <c r="D212" s="254"/>
      <c r="E212" s="255"/>
      <c r="F212" s="47">
        <f>SUM(F207:F211)</f>
        <v>0</v>
      </c>
      <c r="G212" s="47">
        <f>SUM(G207:G211)</f>
        <v>0</v>
      </c>
      <c r="H212" s="47">
        <f>SUM(H207:H211)</f>
        <v>0</v>
      </c>
    </row>
    <row r="219" spans="1:8" ht="15.75" x14ac:dyDescent="0.25">
      <c r="A219" s="253" t="s">
        <v>222</v>
      </c>
      <c r="B219" s="253"/>
      <c r="C219" s="253"/>
      <c r="D219" s="253"/>
      <c r="E219" s="253"/>
    </row>
    <row r="220" spans="1:8" x14ac:dyDescent="0.25">
      <c r="A220" s="200"/>
      <c r="B220" s="201" t="s">
        <v>219</v>
      </c>
      <c r="C220" s="201" t="s">
        <v>3</v>
      </c>
      <c r="D220" s="201" t="s">
        <v>220</v>
      </c>
      <c r="E220" s="201" t="s">
        <v>221</v>
      </c>
      <c r="F220" s="219"/>
    </row>
    <row r="221" spans="1:8" x14ac:dyDescent="0.25">
      <c r="A221" s="214" t="s">
        <v>333</v>
      </c>
      <c r="B221" s="228">
        <v>52111537.969999999</v>
      </c>
      <c r="C221" s="228">
        <v>10943422.960000001</v>
      </c>
      <c r="D221" s="228">
        <v>0</v>
      </c>
      <c r="E221" s="228">
        <v>63054960.930000007</v>
      </c>
    </row>
    <row r="222" spans="1:8" x14ac:dyDescent="0.25">
      <c r="A222" s="214" t="s">
        <v>402</v>
      </c>
      <c r="B222" s="228">
        <v>-881940.29</v>
      </c>
      <c r="C222" s="228">
        <v>-185207.46000000002</v>
      </c>
      <c r="D222" s="228">
        <v>0</v>
      </c>
      <c r="E222" s="228">
        <v>-1067147.75</v>
      </c>
      <c r="F222" s="206"/>
    </row>
    <row r="223" spans="1:8" x14ac:dyDescent="0.25">
      <c r="A223" s="214" t="s">
        <v>20</v>
      </c>
      <c r="B223" s="228">
        <v>2601812.5399999986</v>
      </c>
      <c r="C223" s="228">
        <v>546380.64</v>
      </c>
      <c r="D223" s="228">
        <v>0</v>
      </c>
      <c r="E223" s="228">
        <v>3148193.1800000006</v>
      </c>
    </row>
    <row r="224" spans="1:8" x14ac:dyDescent="0.25">
      <c r="A224" s="214" t="s">
        <v>316</v>
      </c>
      <c r="B224" s="228">
        <v>-4884528.3000000007</v>
      </c>
      <c r="C224" s="228">
        <v>-1025750.94</v>
      </c>
      <c r="D224" s="228">
        <v>0</v>
      </c>
      <c r="E224" s="228">
        <v>-5910279.2400000002</v>
      </c>
    </row>
    <row r="225" spans="1:6" x14ac:dyDescent="0.25">
      <c r="A225" s="215" t="s">
        <v>256</v>
      </c>
      <c r="B225" s="228">
        <v>3580113.780000004</v>
      </c>
      <c r="C225" s="228">
        <v>751823.88999999978</v>
      </c>
      <c r="D225" s="228">
        <v>0</v>
      </c>
      <c r="E225" s="228">
        <v>4331937.67</v>
      </c>
    </row>
    <row r="226" spans="1:6" x14ac:dyDescent="0.25">
      <c r="A226" s="215" t="s">
        <v>315</v>
      </c>
      <c r="B226" s="228">
        <v>-12066.12</v>
      </c>
      <c r="C226" s="228">
        <v>-2533.88</v>
      </c>
      <c r="D226" s="228">
        <v>0</v>
      </c>
      <c r="E226" s="228">
        <v>-14600</v>
      </c>
    </row>
    <row r="227" spans="1:6" x14ac:dyDescent="0.25">
      <c r="A227" s="203"/>
      <c r="B227" s="204">
        <f>SUM(B221:B226)</f>
        <v>52514929.580000006</v>
      </c>
      <c r="C227" s="204">
        <f>SUM(C221:C226)</f>
        <v>11028135.210000001</v>
      </c>
      <c r="D227" s="204">
        <v>0</v>
      </c>
      <c r="E227" s="204">
        <f>SUM(E221:E226)</f>
        <v>63543064.790000007</v>
      </c>
      <c r="F227" s="231"/>
    </row>
    <row r="228" spans="1:6" x14ac:dyDescent="0.25">
      <c r="A228" s="205"/>
      <c r="B228" s="206"/>
      <c r="C228" s="206"/>
      <c r="D228" s="206"/>
      <c r="E228" s="206"/>
    </row>
  </sheetData>
  <sortState xmlns:xlrd2="http://schemas.microsoft.com/office/spreadsheetml/2017/richdata2" ref="A121:G150">
    <sortCondition ref="E121:E150"/>
  </sortState>
  <mergeCells count="38">
    <mergeCell ref="A219:E219"/>
    <mergeCell ref="A202:E202"/>
    <mergeCell ref="A193:I193"/>
    <mergeCell ref="A189:E189"/>
    <mergeCell ref="A195:C195"/>
    <mergeCell ref="A205:C205"/>
    <mergeCell ref="A212:E212"/>
    <mergeCell ref="B167:C167"/>
    <mergeCell ref="A1:I1"/>
    <mergeCell ref="J1:N1"/>
    <mergeCell ref="A6:C6"/>
    <mergeCell ref="A119:C119"/>
    <mergeCell ref="A166:C166"/>
    <mergeCell ref="A4:N4"/>
    <mergeCell ref="A164:E164"/>
    <mergeCell ref="A116:E116"/>
    <mergeCell ref="G117:I117"/>
    <mergeCell ref="B176:C176"/>
    <mergeCell ref="B173:C173"/>
    <mergeCell ref="B174:C174"/>
    <mergeCell ref="B178:C178"/>
    <mergeCell ref="B179:C179"/>
    <mergeCell ref="B182:C182"/>
    <mergeCell ref="B168:C168"/>
    <mergeCell ref="B180:C180"/>
    <mergeCell ref="B181:C181"/>
    <mergeCell ref="B188:C188"/>
    <mergeCell ref="B183:C183"/>
    <mergeCell ref="B184:C184"/>
    <mergeCell ref="B185:C185"/>
    <mergeCell ref="B186:C186"/>
    <mergeCell ref="B187:C187"/>
    <mergeCell ref="B170:C170"/>
    <mergeCell ref="B169:C169"/>
    <mergeCell ref="B171:C171"/>
    <mergeCell ref="B172:C172"/>
    <mergeCell ref="B177:C177"/>
    <mergeCell ref="B175:C175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"/>
  <sheetViews>
    <sheetView topLeftCell="A38" workbookViewId="0">
      <selection activeCell="D3" sqref="D3"/>
    </sheetView>
  </sheetViews>
  <sheetFormatPr baseColWidth="10" defaultRowHeight="15" x14ac:dyDescent="0.2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 x14ac:dyDescent="0.3">
      <c r="A1" s="96"/>
      <c r="B1" s="262" t="s">
        <v>90</v>
      </c>
      <c r="C1" s="263"/>
      <c r="D1" s="264"/>
      <c r="E1" s="97"/>
    </row>
    <row r="2" spans="1:8" ht="18.75" thickBot="1" x14ac:dyDescent="0.3">
      <c r="A2" s="98" t="s">
        <v>91</v>
      </c>
      <c r="B2" s="97"/>
      <c r="C2" s="96"/>
      <c r="D2" s="212">
        <v>45108</v>
      </c>
      <c r="E2" s="99"/>
    </row>
    <row r="3" spans="1:8" ht="18.75" thickBot="1" x14ac:dyDescent="0.3">
      <c r="A3" s="96"/>
      <c r="B3" s="100"/>
      <c r="C3" s="96"/>
      <c r="D3" s="96"/>
      <c r="E3" s="101"/>
    </row>
    <row r="4" spans="1:8" ht="15.75" thickBot="1" x14ac:dyDescent="0.3">
      <c r="A4" s="102"/>
      <c r="B4" s="103" t="s">
        <v>92</v>
      </c>
      <c r="C4" s="216"/>
      <c r="D4" s="104"/>
      <c r="E4" s="105"/>
    </row>
    <row r="5" spans="1:8" ht="15.75" thickBot="1" x14ac:dyDescent="0.3">
      <c r="A5" s="106"/>
      <c r="B5" s="107" t="s">
        <v>93</v>
      </c>
      <c r="C5" s="107" t="s">
        <v>94</v>
      </c>
      <c r="D5" s="108" t="s">
        <v>95</v>
      </c>
      <c r="E5" s="105"/>
    </row>
    <row r="6" spans="1:8" x14ac:dyDescent="0.25">
      <c r="A6" s="109" t="s">
        <v>96</v>
      </c>
      <c r="B6" s="110">
        <f>+'Julio '!F202</f>
        <v>0</v>
      </c>
      <c r="C6" s="111">
        <f>(B6*0.21)</f>
        <v>0</v>
      </c>
      <c r="D6" s="111">
        <f>(B6+C6)</f>
        <v>0</v>
      </c>
      <c r="E6" s="207"/>
    </row>
    <row r="7" spans="1:8" x14ac:dyDescent="0.25">
      <c r="A7" s="109" t="s">
        <v>97</v>
      </c>
      <c r="B7" s="110">
        <f>+'Julio '!F212</f>
        <v>0</v>
      </c>
      <c r="C7" s="111">
        <f>(B7*0.21)</f>
        <v>0</v>
      </c>
      <c r="D7" s="111">
        <f t="shared" ref="D7" si="0">(B7+C7)</f>
        <v>0</v>
      </c>
      <c r="E7" s="6"/>
    </row>
    <row r="8" spans="1:8" x14ac:dyDescent="0.25">
      <c r="A8" s="109" t="s">
        <v>201</v>
      </c>
      <c r="B8" s="112">
        <f>+'Julio '!B221+'Julio '!B223+'Julio '!B224+'Julio '!B222</f>
        <v>48946881.919999994</v>
      </c>
      <c r="C8" s="111">
        <f>+B8*0.21</f>
        <v>10278845.203199998</v>
      </c>
      <c r="D8" s="111">
        <f>(B8+C8)</f>
        <v>59225727.123199992</v>
      </c>
      <c r="E8" s="6"/>
    </row>
    <row r="9" spans="1:8" x14ac:dyDescent="0.25">
      <c r="A9" s="109" t="s">
        <v>202</v>
      </c>
      <c r="B9" s="112">
        <f>+'Julio '!B225+'Julio '!B226</f>
        <v>3568047.6600000039</v>
      </c>
      <c r="C9" s="111">
        <f t="shared" ref="C9" si="1">+B9*0.21</f>
        <v>749290.00860000076</v>
      </c>
      <c r="D9" s="111">
        <f>(B9+C9)</f>
        <v>4317337.6686000042</v>
      </c>
      <c r="E9" s="6"/>
    </row>
    <row r="10" spans="1:8" ht="15.75" thickBot="1" x14ac:dyDescent="0.3">
      <c r="A10" s="113"/>
      <c r="B10" s="196">
        <f>SUM(B6:B9)</f>
        <v>52514929.579999998</v>
      </c>
      <c r="C10" s="196">
        <f>SUM(C6:C9)</f>
        <v>11028135.211799998</v>
      </c>
      <c r="D10" s="197">
        <f>SUM(D6:D9)</f>
        <v>63543064.791799992</v>
      </c>
      <c r="E10" s="213"/>
      <c r="H10" s="160"/>
    </row>
    <row r="11" spans="1:8" x14ac:dyDescent="0.25">
      <c r="A11" s="113"/>
      <c r="B11" s="114"/>
      <c r="C11" s="114"/>
      <c r="D11" s="114"/>
      <c r="E11" s="6"/>
    </row>
    <row r="12" spans="1:8" ht="15.75" thickBot="1" x14ac:dyDescent="0.3">
      <c r="A12" s="113"/>
      <c r="B12" s="115"/>
      <c r="C12" s="115"/>
      <c r="D12" s="116"/>
      <c r="E12" s="6"/>
    </row>
    <row r="13" spans="1:8" ht="15.75" thickBot="1" x14ac:dyDescent="0.3">
      <c r="A13" s="117"/>
      <c r="B13" s="118" t="s">
        <v>98</v>
      </c>
      <c r="C13" s="104"/>
      <c r="D13" s="104"/>
      <c r="E13" s="6"/>
    </row>
    <row r="14" spans="1:8" ht="15.75" thickBot="1" x14ac:dyDescent="0.3">
      <c r="A14" s="117"/>
      <c r="B14" s="107" t="s">
        <v>93</v>
      </c>
      <c r="C14" s="107" t="s">
        <v>94</v>
      </c>
      <c r="D14" s="108" t="s">
        <v>95</v>
      </c>
      <c r="E14" s="6"/>
    </row>
    <row r="15" spans="1:8" x14ac:dyDescent="0.25">
      <c r="A15" s="113"/>
      <c r="B15" s="111">
        <f>+'Julio '!F116</f>
        <v>18282026.790000003</v>
      </c>
      <c r="C15" s="111">
        <f>+'Julio '!G116+'Julio '!H116+'Julio '!I116</f>
        <v>3829928.1574999988</v>
      </c>
      <c r="D15" s="111">
        <f t="shared" ref="D15" si="2">(B15+C15)</f>
        <v>22111954.947500002</v>
      </c>
      <c r="E15" s="119"/>
    </row>
    <row r="16" spans="1:8" ht="15.75" thickBot="1" x14ac:dyDescent="0.3">
      <c r="A16" s="113"/>
      <c r="B16" s="120"/>
      <c r="C16" s="121"/>
      <c r="D16" s="111"/>
      <c r="E16" s="122"/>
    </row>
    <row r="17" spans="1:5" ht="15.75" thickBot="1" x14ac:dyDescent="0.3">
      <c r="A17" s="113"/>
      <c r="B17" s="123">
        <f>SUM(B15:B16)</f>
        <v>18282026.790000003</v>
      </c>
      <c r="C17" s="124">
        <f>SUM(C15:C16)</f>
        <v>3829928.1574999988</v>
      </c>
      <c r="D17" s="125">
        <f>SUM(D15:D16)</f>
        <v>22111954.947500002</v>
      </c>
      <c r="E17" s="6"/>
    </row>
    <row r="18" spans="1:5" x14ac:dyDescent="0.25">
      <c r="A18" s="113"/>
      <c r="B18" s="126"/>
      <c r="C18" s="126"/>
      <c r="D18" s="126"/>
      <c r="E18" s="6"/>
    </row>
    <row r="19" spans="1:5" ht="15.75" thickBot="1" x14ac:dyDescent="0.3">
      <c r="A19" s="113"/>
      <c r="C19" s="127"/>
      <c r="D19" s="127"/>
      <c r="E19" s="128"/>
    </row>
    <row r="20" spans="1:5" ht="15.75" thickBot="1" x14ac:dyDescent="0.3">
      <c r="A20" s="118" t="s">
        <v>22</v>
      </c>
      <c r="B20" s="129" t="s">
        <v>99</v>
      </c>
      <c r="C20" s="129" t="s">
        <v>100</v>
      </c>
      <c r="D20" s="129" t="s">
        <v>101</v>
      </c>
      <c r="E20" s="129" t="s">
        <v>102</v>
      </c>
    </row>
    <row r="21" spans="1:5" x14ac:dyDescent="0.25">
      <c r="A21" s="130" t="s">
        <v>103</v>
      </c>
      <c r="B21" s="131"/>
      <c r="C21" s="132"/>
      <c r="D21" s="133"/>
      <c r="E21" s="134"/>
    </row>
    <row r="22" spans="1:5" x14ac:dyDescent="0.25">
      <c r="A22" s="130"/>
      <c r="B22" s="135"/>
      <c r="C22" s="66"/>
      <c r="D22" s="133"/>
      <c r="E22" s="65"/>
    </row>
    <row r="23" spans="1:5" x14ac:dyDescent="0.25">
      <c r="A23" s="130"/>
      <c r="B23" s="135"/>
      <c r="C23" s="66"/>
      <c r="D23" s="133"/>
      <c r="E23" s="65"/>
    </row>
    <row r="24" spans="1:5" x14ac:dyDescent="0.25">
      <c r="A24" s="130"/>
      <c r="B24" s="135"/>
      <c r="C24" s="66"/>
      <c r="D24" s="133"/>
      <c r="E24" s="65"/>
    </row>
    <row r="25" spans="1:5" x14ac:dyDescent="0.25">
      <c r="A25" s="130"/>
      <c r="B25" s="135"/>
      <c r="C25" s="132"/>
      <c r="D25" s="133"/>
      <c r="E25" s="134"/>
    </row>
    <row r="26" spans="1:5" x14ac:dyDescent="0.25">
      <c r="A26" s="130"/>
      <c r="B26" s="135"/>
      <c r="C26" s="132"/>
      <c r="D26" s="133"/>
      <c r="E26" s="134"/>
    </row>
    <row r="27" spans="1:5" x14ac:dyDescent="0.25">
      <c r="A27" s="130"/>
      <c r="B27" s="135"/>
      <c r="C27" s="132"/>
      <c r="D27" s="133"/>
      <c r="E27" s="134"/>
    </row>
    <row r="28" spans="1:5" x14ac:dyDescent="0.25">
      <c r="A28" s="130"/>
      <c r="B28" s="135"/>
      <c r="C28" s="132"/>
      <c r="D28" s="133"/>
      <c r="E28" s="134"/>
    </row>
    <row r="29" spans="1:5" x14ac:dyDescent="0.25">
      <c r="A29" s="130"/>
      <c r="B29" s="135"/>
      <c r="C29" s="132"/>
      <c r="D29" s="133"/>
      <c r="E29" s="134"/>
    </row>
    <row r="30" spans="1:5" x14ac:dyDescent="0.25">
      <c r="A30" s="130"/>
      <c r="B30" s="135"/>
      <c r="C30" s="132"/>
      <c r="D30" s="133"/>
      <c r="E30" s="134"/>
    </row>
    <row r="31" spans="1:5" x14ac:dyDescent="0.25">
      <c r="A31" s="130"/>
      <c r="B31" s="135"/>
      <c r="C31" s="132"/>
      <c r="D31" s="133"/>
      <c r="E31" s="134"/>
    </row>
    <row r="32" spans="1:5" x14ac:dyDescent="0.25">
      <c r="A32" s="130"/>
      <c r="B32" s="135"/>
      <c r="C32" s="132"/>
      <c r="D32" s="133"/>
      <c r="E32" s="134"/>
    </row>
    <row r="33" spans="1:6" x14ac:dyDescent="0.25">
      <c r="A33" s="130"/>
      <c r="B33" s="135"/>
      <c r="C33" s="132"/>
      <c r="D33" s="133"/>
      <c r="E33" s="134"/>
    </row>
    <row r="34" spans="1:6" x14ac:dyDescent="0.25">
      <c r="A34" s="130"/>
      <c r="B34" s="135"/>
      <c r="C34" s="132"/>
      <c r="D34" s="133"/>
      <c r="E34" s="134"/>
    </row>
    <row r="35" spans="1:6" ht="15.75" thickBot="1" x14ac:dyDescent="0.3">
      <c r="A35" s="130"/>
      <c r="B35" s="135"/>
      <c r="C35" s="136"/>
      <c r="D35" s="137"/>
      <c r="E35" s="134"/>
      <c r="F35" t="s">
        <v>104</v>
      </c>
    </row>
    <row r="36" spans="1:6" ht="15.75" thickBot="1" x14ac:dyDescent="0.3">
      <c r="B36" s="6"/>
      <c r="C36" s="138">
        <f>+'Julio '!G189</f>
        <v>884.57</v>
      </c>
      <c r="D36" s="6"/>
      <c r="E36" s="139"/>
    </row>
    <row r="37" spans="1:6" ht="15.75" thickBot="1" x14ac:dyDescent="0.3">
      <c r="B37" s="6"/>
      <c r="C37" s="116"/>
      <c r="D37" s="6"/>
    </row>
    <row r="38" spans="1:6" x14ac:dyDescent="0.25">
      <c r="A38" s="140" t="s">
        <v>105</v>
      </c>
      <c r="B38" s="141" t="s">
        <v>99</v>
      </c>
      <c r="C38" s="142" t="s">
        <v>100</v>
      </c>
      <c r="D38" s="141" t="s">
        <v>101</v>
      </c>
      <c r="E38" s="141" t="s">
        <v>102</v>
      </c>
    </row>
    <row r="39" spans="1:6" x14ac:dyDescent="0.25">
      <c r="A39" s="143"/>
      <c r="B39" s="144"/>
      <c r="C39" s="145"/>
      <c r="D39" s="136"/>
      <c r="E39" s="134"/>
    </row>
    <row r="40" spans="1:6" x14ac:dyDescent="0.25">
      <c r="A40" s="130"/>
      <c r="B40" s="146"/>
      <c r="C40" s="136"/>
      <c r="D40" s="136"/>
      <c r="E40" s="134"/>
    </row>
    <row r="41" spans="1:6" ht="15.75" thickBot="1" x14ac:dyDescent="0.3">
      <c r="A41" s="147"/>
      <c r="B41" s="148"/>
      <c r="C41" s="149"/>
      <c r="D41" s="150"/>
      <c r="E41" s="151"/>
    </row>
    <row r="42" spans="1:6" ht="15.75" thickBot="1" x14ac:dyDescent="0.3">
      <c r="B42" s="115"/>
      <c r="C42" s="152">
        <f>SUM(C39:C41)</f>
        <v>0</v>
      </c>
      <c r="D42" s="6"/>
      <c r="E42" s="139"/>
    </row>
    <row r="43" spans="1:6" x14ac:dyDescent="0.25">
      <c r="C43" s="116"/>
      <c r="E43" s="6"/>
    </row>
    <row r="44" spans="1:6" x14ac:dyDescent="0.25">
      <c r="A44" s="153" t="s">
        <v>106</v>
      </c>
      <c r="B44" s="154"/>
      <c r="C44" s="67">
        <f>+C42+C36</f>
        <v>884.57</v>
      </c>
      <c r="E44" s="6"/>
    </row>
    <row r="45" spans="1:6" x14ac:dyDescent="0.25">
      <c r="A45" s="155"/>
      <c r="B45" s="155"/>
      <c r="C45" s="116"/>
      <c r="E45" s="6"/>
    </row>
    <row r="46" spans="1:6" x14ac:dyDescent="0.25">
      <c r="A46" s="155"/>
      <c r="B46" s="155"/>
      <c r="C46" s="116"/>
      <c r="E46" s="6"/>
    </row>
    <row r="47" spans="1:6" ht="15.75" thickBot="1" x14ac:dyDescent="0.3">
      <c r="C47" s="156" t="s">
        <v>107</v>
      </c>
      <c r="E47" s="6"/>
    </row>
    <row r="48" spans="1:6" x14ac:dyDescent="0.25">
      <c r="A48" s="157" t="s">
        <v>108</v>
      </c>
      <c r="B48" s="158"/>
      <c r="C48" s="159">
        <f>+C10-C17</f>
        <v>7198207.054299999</v>
      </c>
      <c r="D48" s="160"/>
      <c r="E48" s="6"/>
    </row>
    <row r="49" spans="1:5" x14ac:dyDescent="0.25">
      <c r="A49" s="161"/>
      <c r="B49" s="155"/>
      <c r="C49" s="162"/>
      <c r="D49" s="160"/>
      <c r="E49" s="6"/>
    </row>
    <row r="50" spans="1:5" x14ac:dyDescent="0.25">
      <c r="A50" s="163" t="s">
        <v>109</v>
      </c>
      <c r="B50" s="154"/>
      <c r="C50" s="164"/>
      <c r="D50" s="165" t="s">
        <v>110</v>
      </c>
      <c r="E50" s="6"/>
    </row>
    <row r="51" spans="1:5" ht="15.75" thickBot="1" x14ac:dyDescent="0.3">
      <c r="A51" s="161"/>
      <c r="B51" s="155"/>
      <c r="C51" s="162"/>
      <c r="D51" s="160"/>
      <c r="E51" s="6"/>
    </row>
    <row r="52" spans="1:5" ht="15.75" thickBot="1" x14ac:dyDescent="0.3">
      <c r="A52" s="166" t="s">
        <v>111</v>
      </c>
      <c r="B52" s="167"/>
      <c r="C52" s="168">
        <f>+C48-C50</f>
        <v>7198207.054299999</v>
      </c>
      <c r="D52" s="169"/>
      <c r="E52" s="170"/>
    </row>
    <row r="53" spans="1:5" x14ac:dyDescent="0.25">
      <c r="A53" s="171"/>
      <c r="B53" s="171"/>
      <c r="C53" s="172"/>
      <c r="D53" s="169"/>
      <c r="E53" s="170"/>
    </row>
    <row r="54" spans="1:5" x14ac:dyDescent="0.25">
      <c r="A54" s="171"/>
      <c r="B54" s="171"/>
      <c r="C54" s="172"/>
      <c r="D54" s="169"/>
      <c r="E54" s="170"/>
    </row>
    <row r="55" spans="1:5" ht="15.75" thickBot="1" x14ac:dyDescent="0.3">
      <c r="A55" s="171"/>
      <c r="B55" s="171"/>
      <c r="C55" s="172"/>
      <c r="D55" s="169"/>
      <c r="E55" s="170"/>
    </row>
    <row r="56" spans="1:5" x14ac:dyDescent="0.25">
      <c r="A56" s="173" t="s">
        <v>112</v>
      </c>
      <c r="B56" s="174"/>
      <c r="C56" s="175">
        <f>+C42+C36</f>
        <v>884.57</v>
      </c>
      <c r="D56" s="160"/>
      <c r="E56" s="6"/>
    </row>
    <row r="57" spans="1:5" x14ac:dyDescent="0.25">
      <c r="A57" s="161"/>
      <c r="B57" s="155"/>
      <c r="C57" s="162"/>
      <c r="D57" s="160"/>
      <c r="E57" s="6"/>
    </row>
    <row r="58" spans="1:5" x14ac:dyDescent="0.25">
      <c r="A58" s="176" t="s">
        <v>113</v>
      </c>
      <c r="B58" s="177"/>
      <c r="C58" s="220"/>
      <c r="D58" s="6"/>
    </row>
    <row r="59" spans="1:5" ht="15.75" thickBot="1" x14ac:dyDescent="0.3">
      <c r="A59" s="178"/>
      <c r="B59" s="179"/>
      <c r="C59" s="162"/>
      <c r="D59" s="160"/>
      <c r="E59" s="6"/>
    </row>
    <row r="60" spans="1:5" ht="15.75" thickBot="1" x14ac:dyDescent="0.3">
      <c r="A60" s="166" t="s">
        <v>114</v>
      </c>
      <c r="B60" s="167"/>
      <c r="C60" s="168">
        <f>+C56+C58</f>
        <v>884.57</v>
      </c>
      <c r="D60" s="160"/>
      <c r="E60" s="6"/>
    </row>
    <row r="61" spans="1:5" x14ac:dyDescent="0.25">
      <c r="A61" s="180"/>
      <c r="B61" s="113"/>
      <c r="C61" s="115"/>
      <c r="D61" s="160"/>
      <c r="E61" s="6"/>
    </row>
    <row r="62" spans="1:5" ht="15.75" thickBot="1" x14ac:dyDescent="0.3">
      <c r="A62" s="102"/>
      <c r="B62" s="113"/>
      <c r="C62" s="116"/>
      <c r="D62" s="160"/>
      <c r="E62" s="6"/>
    </row>
    <row r="63" spans="1:5" ht="18.75" thickBot="1" x14ac:dyDescent="0.3">
      <c r="A63" s="181" t="s">
        <v>115</v>
      </c>
      <c r="B63" s="182"/>
      <c r="C63" s="183">
        <f>+C52-C60</f>
        <v>7197322.4842999987</v>
      </c>
      <c r="D63" s="184"/>
      <c r="E63" s="185"/>
    </row>
    <row r="64" spans="1:5" ht="18" x14ac:dyDescent="0.25">
      <c r="A64" s="186" t="s">
        <v>116</v>
      </c>
    </row>
    <row r="68" spans="3:3" x14ac:dyDescent="0.25">
      <c r="C68" s="116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7"/>
  <sheetViews>
    <sheetView tabSelected="1" topLeftCell="A332" zoomScale="70" zoomScaleNormal="70" workbookViewId="0">
      <selection activeCell="G336" sqref="G336"/>
    </sheetView>
  </sheetViews>
  <sheetFormatPr baseColWidth="10" defaultRowHeight="15" x14ac:dyDescent="0.2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21.7109375" style="265" bestFit="1" customWidth="1"/>
    <col min="7" max="7" width="16.5703125" style="265" customWidth="1"/>
    <col min="8" max="8" width="13.85546875" style="265" customWidth="1"/>
    <col min="9" max="9" width="12" style="265" customWidth="1"/>
    <col min="10" max="10" width="14.7109375" style="265" customWidth="1"/>
    <col min="11" max="11" width="21.42578125" style="265" bestFit="1" customWidth="1"/>
    <col min="12" max="12" width="13.28515625" style="265" customWidth="1"/>
    <col min="13" max="13" width="14.140625" style="265" customWidth="1"/>
    <col min="14" max="14" width="22.140625" style="265" bestFit="1" customWidth="1"/>
  </cols>
  <sheetData>
    <row r="1" spans="1:14" ht="18.75" x14ac:dyDescent="0.3">
      <c r="A1" s="229" t="s">
        <v>705</v>
      </c>
      <c r="B1" s="229"/>
      <c r="C1" s="229"/>
    </row>
    <row r="2" spans="1:14" ht="18.75" x14ac:dyDescent="0.3">
      <c r="A2" s="230" t="s">
        <v>611</v>
      </c>
      <c r="B2" s="229"/>
      <c r="C2" s="229"/>
      <c r="L2" s="266"/>
    </row>
    <row r="4" spans="1:14" x14ac:dyDescent="0.25">
      <c r="A4" s="271" t="s">
        <v>102</v>
      </c>
      <c r="B4" s="272" t="s">
        <v>612</v>
      </c>
      <c r="C4" s="272" t="s">
        <v>613</v>
      </c>
      <c r="D4" s="272" t="s">
        <v>614</v>
      </c>
      <c r="E4" s="272" t="s">
        <v>615</v>
      </c>
      <c r="F4" s="273" t="s">
        <v>616</v>
      </c>
      <c r="G4" s="273" t="s">
        <v>617</v>
      </c>
      <c r="H4" s="273" t="s">
        <v>618</v>
      </c>
      <c r="I4" s="273" t="s">
        <v>619</v>
      </c>
      <c r="J4" s="273" t="s">
        <v>620</v>
      </c>
      <c r="K4" s="273" t="s">
        <v>9</v>
      </c>
      <c r="L4" s="273" t="s">
        <v>10</v>
      </c>
      <c r="M4" s="273" t="s">
        <v>621</v>
      </c>
      <c r="N4" s="274" t="s">
        <v>221</v>
      </c>
    </row>
    <row r="5" spans="1:14" x14ac:dyDescent="0.25">
      <c r="A5" s="269" t="s">
        <v>684</v>
      </c>
      <c r="B5" s="232" t="s">
        <v>706</v>
      </c>
      <c r="C5" s="215" t="s">
        <v>622</v>
      </c>
      <c r="D5" s="215" t="s">
        <v>623</v>
      </c>
      <c r="E5" s="215" t="s">
        <v>624</v>
      </c>
      <c r="F5" s="267">
        <v>12066.12</v>
      </c>
      <c r="G5" s="267">
        <v>0</v>
      </c>
      <c r="H5" s="268">
        <v>0</v>
      </c>
      <c r="I5" s="268">
        <v>0</v>
      </c>
      <c r="J5" s="268">
        <v>0</v>
      </c>
      <c r="K5" s="268">
        <v>2533.88</v>
      </c>
      <c r="L5" s="268">
        <v>0</v>
      </c>
      <c r="M5" s="267">
        <v>0</v>
      </c>
      <c r="N5" s="270">
        <v>14600</v>
      </c>
    </row>
    <row r="6" spans="1:14" x14ac:dyDescent="0.25">
      <c r="A6" s="269" t="s">
        <v>684</v>
      </c>
      <c r="B6" s="232" t="s">
        <v>707</v>
      </c>
      <c r="C6" s="215" t="s">
        <v>622</v>
      </c>
      <c r="D6" s="215" t="s">
        <v>623</v>
      </c>
      <c r="E6" s="215" t="s">
        <v>624</v>
      </c>
      <c r="F6" s="267">
        <v>6776.86</v>
      </c>
      <c r="G6" s="267">
        <v>0</v>
      </c>
      <c r="H6" s="268">
        <v>0</v>
      </c>
      <c r="I6" s="268">
        <v>0</v>
      </c>
      <c r="J6" s="268">
        <v>0</v>
      </c>
      <c r="K6" s="268">
        <v>1423.14</v>
      </c>
      <c r="L6" s="268">
        <v>0</v>
      </c>
      <c r="M6" s="267">
        <v>0</v>
      </c>
      <c r="N6" s="270">
        <v>8200</v>
      </c>
    </row>
    <row r="7" spans="1:14" x14ac:dyDescent="0.25">
      <c r="A7" s="269" t="s">
        <v>684</v>
      </c>
      <c r="B7" s="232" t="s">
        <v>708</v>
      </c>
      <c r="C7" s="215" t="s">
        <v>622</v>
      </c>
      <c r="D7" s="215" t="s">
        <v>623</v>
      </c>
      <c r="E7" s="215" t="s">
        <v>624</v>
      </c>
      <c r="F7" s="267">
        <v>13388.43</v>
      </c>
      <c r="G7" s="267">
        <v>0</v>
      </c>
      <c r="H7" s="268">
        <v>0</v>
      </c>
      <c r="I7" s="268">
        <v>0</v>
      </c>
      <c r="J7" s="268">
        <v>0</v>
      </c>
      <c r="K7" s="268">
        <v>2811.57</v>
      </c>
      <c r="L7" s="268">
        <v>0</v>
      </c>
      <c r="M7" s="267">
        <v>0</v>
      </c>
      <c r="N7" s="270">
        <v>16200</v>
      </c>
    </row>
    <row r="8" spans="1:14" x14ac:dyDescent="0.25">
      <c r="A8" s="269" t="s">
        <v>684</v>
      </c>
      <c r="B8" s="232" t="s">
        <v>709</v>
      </c>
      <c r="C8" s="215" t="s">
        <v>622</v>
      </c>
      <c r="D8" s="215" t="s">
        <v>623</v>
      </c>
      <c r="E8" s="215" t="s">
        <v>624</v>
      </c>
      <c r="F8" s="267">
        <v>3966.94</v>
      </c>
      <c r="G8" s="267">
        <v>0</v>
      </c>
      <c r="H8" s="268">
        <v>0</v>
      </c>
      <c r="I8" s="268">
        <v>0</v>
      </c>
      <c r="J8" s="268">
        <v>0</v>
      </c>
      <c r="K8" s="268">
        <v>833.06</v>
      </c>
      <c r="L8" s="268">
        <v>0</v>
      </c>
      <c r="M8" s="267">
        <v>0</v>
      </c>
      <c r="N8" s="270">
        <v>4800</v>
      </c>
    </row>
    <row r="9" spans="1:14" x14ac:dyDescent="0.25">
      <c r="A9" s="269" t="s">
        <v>684</v>
      </c>
      <c r="B9" s="232" t="s">
        <v>710</v>
      </c>
      <c r="C9" s="215" t="s">
        <v>622</v>
      </c>
      <c r="D9" s="215" t="s">
        <v>623</v>
      </c>
      <c r="E9" s="215" t="s">
        <v>624</v>
      </c>
      <c r="F9" s="267">
        <v>7024.79</v>
      </c>
      <c r="G9" s="267">
        <v>0</v>
      </c>
      <c r="H9" s="268">
        <v>0</v>
      </c>
      <c r="I9" s="268">
        <v>0</v>
      </c>
      <c r="J9" s="268">
        <v>0</v>
      </c>
      <c r="K9" s="268">
        <v>1475.21</v>
      </c>
      <c r="L9" s="268">
        <v>0</v>
      </c>
      <c r="M9" s="267">
        <v>0</v>
      </c>
      <c r="N9" s="270">
        <v>8500</v>
      </c>
    </row>
    <row r="10" spans="1:14" x14ac:dyDescent="0.25">
      <c r="A10" s="269" t="s">
        <v>684</v>
      </c>
      <c r="B10" s="232" t="s">
        <v>711</v>
      </c>
      <c r="C10" s="215" t="s">
        <v>622</v>
      </c>
      <c r="D10" s="215" t="s">
        <v>623</v>
      </c>
      <c r="E10" s="215" t="s">
        <v>624</v>
      </c>
      <c r="F10" s="267">
        <v>2727.27</v>
      </c>
      <c r="G10" s="267">
        <v>0</v>
      </c>
      <c r="H10" s="268">
        <v>0</v>
      </c>
      <c r="I10" s="268">
        <v>0</v>
      </c>
      <c r="J10" s="268">
        <v>0</v>
      </c>
      <c r="K10" s="268">
        <v>572.73</v>
      </c>
      <c r="L10" s="268">
        <v>0</v>
      </c>
      <c r="M10" s="267">
        <v>0</v>
      </c>
      <c r="N10" s="270">
        <v>3300</v>
      </c>
    </row>
    <row r="11" spans="1:14" x14ac:dyDescent="0.25">
      <c r="A11" s="269" t="s">
        <v>684</v>
      </c>
      <c r="B11" s="232" t="s">
        <v>712</v>
      </c>
      <c r="C11" s="215" t="s">
        <v>622</v>
      </c>
      <c r="D11" s="215" t="s">
        <v>623</v>
      </c>
      <c r="E11" s="215" t="s">
        <v>624</v>
      </c>
      <c r="F11" s="267">
        <v>7024.79</v>
      </c>
      <c r="G11" s="267">
        <v>0</v>
      </c>
      <c r="H11" s="268">
        <v>0</v>
      </c>
      <c r="I11" s="268">
        <v>0</v>
      </c>
      <c r="J11" s="268">
        <v>0</v>
      </c>
      <c r="K11" s="268">
        <v>1475.21</v>
      </c>
      <c r="L11" s="268">
        <v>0</v>
      </c>
      <c r="M11" s="267">
        <v>0</v>
      </c>
      <c r="N11" s="270">
        <v>8500</v>
      </c>
    </row>
    <row r="12" spans="1:14" x14ac:dyDescent="0.25">
      <c r="A12" s="269" t="s">
        <v>684</v>
      </c>
      <c r="B12" s="232" t="s">
        <v>713</v>
      </c>
      <c r="C12" s="215" t="s">
        <v>622</v>
      </c>
      <c r="D12" s="215" t="s">
        <v>623</v>
      </c>
      <c r="E12" s="215" t="s">
        <v>624</v>
      </c>
      <c r="F12" s="267">
        <v>4462.8100000000004</v>
      </c>
      <c r="G12" s="267">
        <v>0</v>
      </c>
      <c r="H12" s="268">
        <v>0</v>
      </c>
      <c r="I12" s="268">
        <v>0</v>
      </c>
      <c r="J12" s="268">
        <v>0</v>
      </c>
      <c r="K12" s="268">
        <v>937.19</v>
      </c>
      <c r="L12" s="268">
        <v>0</v>
      </c>
      <c r="M12" s="267">
        <v>0</v>
      </c>
      <c r="N12" s="270">
        <v>5400</v>
      </c>
    </row>
    <row r="13" spans="1:14" x14ac:dyDescent="0.25">
      <c r="A13" s="269" t="s">
        <v>684</v>
      </c>
      <c r="B13" s="232" t="s">
        <v>714</v>
      </c>
      <c r="C13" s="215" t="s">
        <v>622</v>
      </c>
      <c r="D13" s="215" t="s">
        <v>623</v>
      </c>
      <c r="E13" s="215" t="s">
        <v>624</v>
      </c>
      <c r="F13" s="267">
        <v>3347.11</v>
      </c>
      <c r="G13" s="267">
        <v>0</v>
      </c>
      <c r="H13" s="268">
        <v>0</v>
      </c>
      <c r="I13" s="268">
        <v>0</v>
      </c>
      <c r="J13" s="268">
        <v>0</v>
      </c>
      <c r="K13" s="268">
        <v>702.89</v>
      </c>
      <c r="L13" s="268">
        <v>0</v>
      </c>
      <c r="M13" s="267">
        <v>0</v>
      </c>
      <c r="N13" s="270">
        <v>4050</v>
      </c>
    </row>
    <row r="14" spans="1:14" x14ac:dyDescent="0.25">
      <c r="A14" s="269" t="s">
        <v>684</v>
      </c>
      <c r="B14" s="232" t="s">
        <v>715</v>
      </c>
      <c r="C14" s="215" t="s">
        <v>625</v>
      </c>
      <c r="D14" s="215" t="s">
        <v>626</v>
      </c>
      <c r="E14" s="215">
        <v>30522428163</v>
      </c>
      <c r="F14" s="267">
        <v>4682644.62</v>
      </c>
      <c r="G14" s="267">
        <v>0</v>
      </c>
      <c r="H14" s="268">
        <v>0</v>
      </c>
      <c r="I14" s="268">
        <v>0</v>
      </c>
      <c r="J14" s="268">
        <v>0</v>
      </c>
      <c r="K14" s="268">
        <v>983355.36</v>
      </c>
      <c r="L14" s="268">
        <v>0</v>
      </c>
      <c r="M14" s="267">
        <v>0</v>
      </c>
      <c r="N14" s="270">
        <v>5665999.9800000004</v>
      </c>
    </row>
    <row r="15" spans="1:14" x14ac:dyDescent="0.25">
      <c r="A15" s="269" t="s">
        <v>684</v>
      </c>
      <c r="B15" s="232" t="s">
        <v>716</v>
      </c>
      <c r="C15" s="215" t="s">
        <v>647</v>
      </c>
      <c r="D15" s="215" t="s">
        <v>626</v>
      </c>
      <c r="E15" s="215">
        <v>30645337979</v>
      </c>
      <c r="F15" s="267">
        <v>-12167.57</v>
      </c>
      <c r="G15" s="267">
        <v>0</v>
      </c>
      <c r="H15" s="268">
        <v>0</v>
      </c>
      <c r="I15" s="268">
        <v>0</v>
      </c>
      <c r="J15" s="268">
        <v>0</v>
      </c>
      <c r="K15" s="268">
        <v>-2555.19</v>
      </c>
      <c r="L15" s="268">
        <v>0</v>
      </c>
      <c r="M15" s="267">
        <v>0</v>
      </c>
      <c r="N15" s="270">
        <v>-14722.76</v>
      </c>
    </row>
    <row r="16" spans="1:14" x14ac:dyDescent="0.25">
      <c r="A16" s="269" t="s">
        <v>684</v>
      </c>
      <c r="B16" s="232" t="s">
        <v>717</v>
      </c>
      <c r="C16" s="215" t="s">
        <v>627</v>
      </c>
      <c r="D16" s="215" t="s">
        <v>626</v>
      </c>
      <c r="E16" s="215">
        <v>30710538014</v>
      </c>
      <c r="F16" s="267">
        <v>18800</v>
      </c>
      <c r="G16" s="267">
        <v>0</v>
      </c>
      <c r="H16" s="268">
        <v>0</v>
      </c>
      <c r="I16" s="268">
        <v>0</v>
      </c>
      <c r="J16" s="268">
        <v>0</v>
      </c>
      <c r="K16" s="268">
        <v>3948</v>
      </c>
      <c r="L16" s="268">
        <v>0</v>
      </c>
      <c r="M16" s="267">
        <v>0</v>
      </c>
      <c r="N16" s="270">
        <v>22748</v>
      </c>
    </row>
    <row r="17" spans="1:14" x14ac:dyDescent="0.25">
      <c r="A17" s="269" t="s">
        <v>684</v>
      </c>
      <c r="B17" s="232" t="s">
        <v>718</v>
      </c>
      <c r="C17" s="215" t="s">
        <v>633</v>
      </c>
      <c r="D17" s="215" t="s">
        <v>626</v>
      </c>
      <c r="E17" s="215">
        <v>30715186655</v>
      </c>
      <c r="F17" s="267">
        <v>73448.759999999995</v>
      </c>
      <c r="G17" s="267">
        <v>0</v>
      </c>
      <c r="H17" s="268">
        <v>0</v>
      </c>
      <c r="I17" s="268">
        <v>0</v>
      </c>
      <c r="J17" s="268">
        <v>0</v>
      </c>
      <c r="K17" s="268">
        <v>15424.24</v>
      </c>
      <c r="L17" s="268">
        <v>0</v>
      </c>
      <c r="M17" s="267">
        <v>0</v>
      </c>
      <c r="N17" s="270">
        <v>88873</v>
      </c>
    </row>
    <row r="18" spans="1:14" x14ac:dyDescent="0.25">
      <c r="A18" s="269" t="s">
        <v>684</v>
      </c>
      <c r="B18" s="232" t="s">
        <v>719</v>
      </c>
      <c r="C18" s="215" t="s">
        <v>634</v>
      </c>
      <c r="D18" s="215" t="s">
        <v>626</v>
      </c>
      <c r="E18" s="215">
        <v>30710961790</v>
      </c>
      <c r="F18" s="267">
        <v>43133.88</v>
      </c>
      <c r="G18" s="267">
        <v>0</v>
      </c>
      <c r="H18" s="268">
        <v>0</v>
      </c>
      <c r="I18" s="268">
        <v>0</v>
      </c>
      <c r="J18" s="268">
        <v>0</v>
      </c>
      <c r="K18" s="268">
        <v>9058.11</v>
      </c>
      <c r="L18" s="268">
        <v>0</v>
      </c>
      <c r="M18" s="267">
        <v>0</v>
      </c>
      <c r="N18" s="270">
        <v>52191.99</v>
      </c>
    </row>
    <row r="19" spans="1:14" x14ac:dyDescent="0.25">
      <c r="A19" s="269" t="s">
        <v>684</v>
      </c>
      <c r="B19" s="232" t="s">
        <v>720</v>
      </c>
      <c r="C19" s="215" t="s">
        <v>628</v>
      </c>
      <c r="D19" s="215" t="s">
        <v>626</v>
      </c>
      <c r="E19" s="215">
        <v>30711244383</v>
      </c>
      <c r="F19" s="267">
        <v>6375.37</v>
      </c>
      <c r="G19" s="267">
        <v>0</v>
      </c>
      <c r="H19" s="268">
        <v>0</v>
      </c>
      <c r="I19" s="268">
        <v>0</v>
      </c>
      <c r="J19" s="268">
        <v>0</v>
      </c>
      <c r="K19" s="268">
        <v>1338.83</v>
      </c>
      <c r="L19" s="268">
        <v>0</v>
      </c>
      <c r="M19" s="267">
        <v>0</v>
      </c>
      <c r="N19" s="270">
        <v>7714.2</v>
      </c>
    </row>
    <row r="20" spans="1:14" x14ac:dyDescent="0.25">
      <c r="A20" s="269" t="s">
        <v>684</v>
      </c>
      <c r="B20" s="232" t="s">
        <v>721</v>
      </c>
      <c r="C20" s="215" t="s">
        <v>647</v>
      </c>
      <c r="D20" s="215" t="s">
        <v>626</v>
      </c>
      <c r="E20" s="215">
        <v>30645337979</v>
      </c>
      <c r="F20" s="267">
        <v>12167.57</v>
      </c>
      <c r="G20" s="267">
        <v>0</v>
      </c>
      <c r="H20" s="268">
        <v>0</v>
      </c>
      <c r="I20" s="268">
        <v>0</v>
      </c>
      <c r="J20" s="268">
        <v>0</v>
      </c>
      <c r="K20" s="268">
        <v>2555.19</v>
      </c>
      <c r="L20" s="268">
        <v>0</v>
      </c>
      <c r="M20" s="267">
        <v>0</v>
      </c>
      <c r="N20" s="270">
        <v>14722.76</v>
      </c>
    </row>
    <row r="21" spans="1:14" x14ac:dyDescent="0.25">
      <c r="A21" s="269" t="s">
        <v>684</v>
      </c>
      <c r="B21" s="232" t="s">
        <v>722</v>
      </c>
      <c r="C21" s="215" t="s">
        <v>647</v>
      </c>
      <c r="D21" s="215" t="s">
        <v>626</v>
      </c>
      <c r="E21" s="215">
        <v>30645337979</v>
      </c>
      <c r="F21" s="267">
        <v>12167.57</v>
      </c>
      <c r="G21" s="267">
        <v>0</v>
      </c>
      <c r="H21" s="268">
        <v>0</v>
      </c>
      <c r="I21" s="268">
        <v>0</v>
      </c>
      <c r="J21" s="268">
        <v>0</v>
      </c>
      <c r="K21" s="268">
        <v>2555.19</v>
      </c>
      <c r="L21" s="268">
        <v>0</v>
      </c>
      <c r="M21" s="267">
        <v>0</v>
      </c>
      <c r="N21" s="270">
        <v>14722.76</v>
      </c>
    </row>
    <row r="22" spans="1:14" x14ac:dyDescent="0.25">
      <c r="A22" s="269" t="s">
        <v>684</v>
      </c>
      <c r="B22" s="232" t="s">
        <v>723</v>
      </c>
      <c r="C22" s="215" t="s">
        <v>629</v>
      </c>
      <c r="D22" s="215" t="s">
        <v>626</v>
      </c>
      <c r="E22" s="215">
        <v>30546771314</v>
      </c>
      <c r="F22" s="267">
        <v>10880.99</v>
      </c>
      <c r="G22" s="267">
        <v>0</v>
      </c>
      <c r="H22" s="268">
        <v>0</v>
      </c>
      <c r="I22" s="268">
        <v>0</v>
      </c>
      <c r="J22" s="268">
        <v>0</v>
      </c>
      <c r="K22" s="268">
        <v>2285.0100000000002</v>
      </c>
      <c r="L22" s="268">
        <v>0</v>
      </c>
      <c r="M22" s="267">
        <v>0</v>
      </c>
      <c r="N22" s="270">
        <v>13166</v>
      </c>
    </row>
    <row r="23" spans="1:14" x14ac:dyDescent="0.25">
      <c r="A23" s="269" t="s">
        <v>684</v>
      </c>
      <c r="B23" s="232" t="s">
        <v>724</v>
      </c>
      <c r="C23" s="215" t="s">
        <v>642</v>
      </c>
      <c r="D23" s="215" t="s">
        <v>626</v>
      </c>
      <c r="E23" s="215">
        <v>30713669004</v>
      </c>
      <c r="F23" s="267">
        <v>9404.9600000000009</v>
      </c>
      <c r="G23" s="267">
        <v>0</v>
      </c>
      <c r="H23" s="268">
        <v>0</v>
      </c>
      <c r="I23" s="268">
        <v>0</v>
      </c>
      <c r="J23" s="268">
        <v>0</v>
      </c>
      <c r="K23" s="268">
        <v>1975.04</v>
      </c>
      <c r="L23" s="268">
        <v>0</v>
      </c>
      <c r="M23" s="267">
        <v>0</v>
      </c>
      <c r="N23" s="270">
        <v>11380</v>
      </c>
    </row>
    <row r="24" spans="1:14" x14ac:dyDescent="0.25">
      <c r="A24" s="269" t="s">
        <v>684</v>
      </c>
      <c r="B24" s="232" t="s">
        <v>725</v>
      </c>
      <c r="C24" s="215" t="s">
        <v>648</v>
      </c>
      <c r="D24" s="215" t="s">
        <v>626</v>
      </c>
      <c r="E24" s="215">
        <v>30707612971</v>
      </c>
      <c r="F24" s="267">
        <v>15487.6</v>
      </c>
      <c r="G24" s="267">
        <v>0</v>
      </c>
      <c r="H24" s="268">
        <v>0</v>
      </c>
      <c r="I24" s="268">
        <v>0</v>
      </c>
      <c r="J24" s="268">
        <v>0</v>
      </c>
      <c r="K24" s="268">
        <v>3252.4</v>
      </c>
      <c r="L24" s="268">
        <v>0</v>
      </c>
      <c r="M24" s="267">
        <v>0</v>
      </c>
      <c r="N24" s="270">
        <v>18740</v>
      </c>
    </row>
    <row r="25" spans="1:14" x14ac:dyDescent="0.25">
      <c r="A25" s="269" t="s">
        <v>684</v>
      </c>
      <c r="B25" s="232" t="s">
        <v>726</v>
      </c>
      <c r="C25" s="215" t="s">
        <v>649</v>
      </c>
      <c r="D25" s="215" t="s">
        <v>626</v>
      </c>
      <c r="E25" s="215">
        <v>30657418877</v>
      </c>
      <c r="F25" s="267">
        <v>3325.53</v>
      </c>
      <c r="G25" s="267">
        <v>0</v>
      </c>
      <c r="H25" s="268">
        <v>0</v>
      </c>
      <c r="I25" s="268">
        <v>0</v>
      </c>
      <c r="J25" s="268">
        <v>0</v>
      </c>
      <c r="K25" s="268">
        <v>698.36</v>
      </c>
      <c r="L25" s="268">
        <v>0</v>
      </c>
      <c r="M25" s="267">
        <v>0</v>
      </c>
      <c r="N25" s="270">
        <v>4023.89</v>
      </c>
    </row>
    <row r="26" spans="1:14" x14ac:dyDescent="0.25">
      <c r="A26" s="269" t="s">
        <v>684</v>
      </c>
      <c r="B26" s="232" t="s">
        <v>727</v>
      </c>
      <c r="C26" s="215" t="s">
        <v>632</v>
      </c>
      <c r="D26" s="215" t="s">
        <v>626</v>
      </c>
      <c r="E26" s="215">
        <v>30707118454</v>
      </c>
      <c r="F26" s="267">
        <v>4643.8</v>
      </c>
      <c r="G26" s="267">
        <v>0</v>
      </c>
      <c r="H26" s="268">
        <v>0</v>
      </c>
      <c r="I26" s="268">
        <v>0</v>
      </c>
      <c r="J26" s="268">
        <v>0</v>
      </c>
      <c r="K26" s="268">
        <v>975.19</v>
      </c>
      <c r="L26" s="268">
        <v>0</v>
      </c>
      <c r="M26" s="267">
        <v>0</v>
      </c>
      <c r="N26" s="270">
        <v>5618.99</v>
      </c>
    </row>
    <row r="27" spans="1:14" x14ac:dyDescent="0.25">
      <c r="A27" s="269" t="s">
        <v>684</v>
      </c>
      <c r="B27" s="232" t="s">
        <v>728</v>
      </c>
      <c r="C27" s="215" t="s">
        <v>644</v>
      </c>
      <c r="D27" s="215" t="s">
        <v>641</v>
      </c>
      <c r="E27" s="215">
        <v>30658137642</v>
      </c>
      <c r="F27" s="267">
        <v>55438.84</v>
      </c>
      <c r="G27" s="267">
        <v>0</v>
      </c>
      <c r="H27" s="268">
        <v>0</v>
      </c>
      <c r="I27" s="268">
        <v>0</v>
      </c>
      <c r="J27" s="268">
        <v>0</v>
      </c>
      <c r="K27" s="268">
        <v>11642.16</v>
      </c>
      <c r="L27" s="268">
        <v>0</v>
      </c>
      <c r="M27" s="267">
        <v>0</v>
      </c>
      <c r="N27" s="270">
        <v>67081</v>
      </c>
    </row>
    <row r="28" spans="1:14" x14ac:dyDescent="0.25">
      <c r="A28" s="269" t="s">
        <v>685</v>
      </c>
      <c r="B28" s="232" t="s">
        <v>729</v>
      </c>
      <c r="C28" s="215" t="s">
        <v>622</v>
      </c>
      <c r="D28" s="215" t="s">
        <v>623</v>
      </c>
      <c r="E28" s="215" t="s">
        <v>624</v>
      </c>
      <c r="F28" s="267">
        <v>3636.36</v>
      </c>
      <c r="G28" s="267">
        <v>0</v>
      </c>
      <c r="H28" s="268">
        <v>0</v>
      </c>
      <c r="I28" s="268">
        <v>0</v>
      </c>
      <c r="J28" s="268">
        <v>0</v>
      </c>
      <c r="K28" s="268">
        <v>763.64</v>
      </c>
      <c r="L28" s="268">
        <v>0</v>
      </c>
      <c r="M28" s="267">
        <v>0</v>
      </c>
      <c r="N28" s="270">
        <v>4400</v>
      </c>
    </row>
    <row r="29" spans="1:14" x14ac:dyDescent="0.25">
      <c r="A29" s="269" t="s">
        <v>685</v>
      </c>
      <c r="B29" s="232" t="s">
        <v>730</v>
      </c>
      <c r="C29" s="215" t="s">
        <v>622</v>
      </c>
      <c r="D29" s="215" t="s">
        <v>623</v>
      </c>
      <c r="E29" s="215" t="s">
        <v>624</v>
      </c>
      <c r="F29" s="267">
        <v>3305.79</v>
      </c>
      <c r="G29" s="267">
        <v>0</v>
      </c>
      <c r="H29" s="268">
        <v>0</v>
      </c>
      <c r="I29" s="268">
        <v>0</v>
      </c>
      <c r="J29" s="268">
        <v>0</v>
      </c>
      <c r="K29" s="268">
        <v>694.21</v>
      </c>
      <c r="L29" s="268">
        <v>0</v>
      </c>
      <c r="M29" s="267">
        <v>0</v>
      </c>
      <c r="N29" s="270">
        <v>4000</v>
      </c>
    </row>
    <row r="30" spans="1:14" x14ac:dyDescent="0.25">
      <c r="A30" s="269" t="s">
        <v>685</v>
      </c>
      <c r="B30" s="232" t="s">
        <v>731</v>
      </c>
      <c r="C30" s="215" t="s">
        <v>622</v>
      </c>
      <c r="D30" s="215" t="s">
        <v>623</v>
      </c>
      <c r="E30" s="215" t="s">
        <v>624</v>
      </c>
      <c r="F30" s="267">
        <v>3388.43</v>
      </c>
      <c r="G30" s="267">
        <v>0</v>
      </c>
      <c r="H30" s="268">
        <v>0</v>
      </c>
      <c r="I30" s="268">
        <v>0</v>
      </c>
      <c r="J30" s="268">
        <v>0</v>
      </c>
      <c r="K30" s="268">
        <v>711.57</v>
      </c>
      <c r="L30" s="268">
        <v>0</v>
      </c>
      <c r="M30" s="267">
        <v>0</v>
      </c>
      <c r="N30" s="270">
        <v>4100</v>
      </c>
    </row>
    <row r="31" spans="1:14" x14ac:dyDescent="0.25">
      <c r="A31" s="269" t="s">
        <v>685</v>
      </c>
      <c r="B31" s="232" t="s">
        <v>732</v>
      </c>
      <c r="C31" s="215" t="s">
        <v>622</v>
      </c>
      <c r="D31" s="215" t="s">
        <v>623</v>
      </c>
      <c r="E31" s="215" t="s">
        <v>624</v>
      </c>
      <c r="F31" s="267">
        <v>12066.12</v>
      </c>
      <c r="G31" s="267">
        <v>0</v>
      </c>
      <c r="H31" s="268">
        <v>0</v>
      </c>
      <c r="I31" s="268">
        <v>0</v>
      </c>
      <c r="J31" s="268">
        <v>0</v>
      </c>
      <c r="K31" s="268">
        <v>2533.88</v>
      </c>
      <c r="L31" s="268">
        <v>0</v>
      </c>
      <c r="M31" s="267">
        <v>0</v>
      </c>
      <c r="N31" s="270">
        <v>14600</v>
      </c>
    </row>
    <row r="32" spans="1:14" x14ac:dyDescent="0.25">
      <c r="A32" s="269" t="s">
        <v>685</v>
      </c>
      <c r="B32" s="232" t="s">
        <v>733</v>
      </c>
      <c r="C32" s="215" t="s">
        <v>622</v>
      </c>
      <c r="D32" s="215" t="s">
        <v>623</v>
      </c>
      <c r="E32" s="215" t="s">
        <v>624</v>
      </c>
      <c r="F32" s="267">
        <v>2644.63</v>
      </c>
      <c r="G32" s="267">
        <v>0</v>
      </c>
      <c r="H32" s="268">
        <v>0</v>
      </c>
      <c r="I32" s="268">
        <v>0</v>
      </c>
      <c r="J32" s="268">
        <v>0</v>
      </c>
      <c r="K32" s="268">
        <v>555.37</v>
      </c>
      <c r="L32" s="268">
        <v>0</v>
      </c>
      <c r="M32" s="267">
        <v>0</v>
      </c>
      <c r="N32" s="270">
        <v>3200</v>
      </c>
    </row>
    <row r="33" spans="1:14" x14ac:dyDescent="0.25">
      <c r="A33" s="269" t="s">
        <v>685</v>
      </c>
      <c r="B33" s="232" t="s">
        <v>734</v>
      </c>
      <c r="C33" s="215" t="s">
        <v>622</v>
      </c>
      <c r="D33" s="215" t="s">
        <v>623</v>
      </c>
      <c r="E33" s="215" t="s">
        <v>624</v>
      </c>
      <c r="F33" s="267">
        <v>11570.25</v>
      </c>
      <c r="G33" s="267">
        <v>0</v>
      </c>
      <c r="H33" s="268">
        <v>0</v>
      </c>
      <c r="I33" s="268">
        <v>0</v>
      </c>
      <c r="J33" s="268">
        <v>0</v>
      </c>
      <c r="K33" s="268">
        <v>2429.75</v>
      </c>
      <c r="L33" s="268">
        <v>0</v>
      </c>
      <c r="M33" s="267">
        <v>0</v>
      </c>
      <c r="N33" s="270">
        <v>14000</v>
      </c>
    </row>
    <row r="34" spans="1:14" x14ac:dyDescent="0.25">
      <c r="A34" s="269" t="s">
        <v>685</v>
      </c>
      <c r="B34" s="232" t="s">
        <v>735</v>
      </c>
      <c r="C34" s="215" t="s">
        <v>622</v>
      </c>
      <c r="D34" s="215" t="s">
        <v>623</v>
      </c>
      <c r="E34" s="215" t="s">
        <v>624</v>
      </c>
      <c r="F34" s="267">
        <v>5785.12</v>
      </c>
      <c r="G34" s="267">
        <v>0</v>
      </c>
      <c r="H34" s="268">
        <v>0</v>
      </c>
      <c r="I34" s="268">
        <v>0</v>
      </c>
      <c r="J34" s="268">
        <v>0</v>
      </c>
      <c r="K34" s="268">
        <v>1214.8800000000001</v>
      </c>
      <c r="L34" s="268">
        <v>0</v>
      </c>
      <c r="M34" s="267">
        <v>0</v>
      </c>
      <c r="N34" s="270">
        <v>7000</v>
      </c>
    </row>
    <row r="35" spans="1:14" x14ac:dyDescent="0.25">
      <c r="A35" s="269" t="s">
        <v>685</v>
      </c>
      <c r="B35" s="232" t="s">
        <v>736</v>
      </c>
      <c r="C35" s="215" t="s">
        <v>622</v>
      </c>
      <c r="D35" s="215" t="s">
        <v>623</v>
      </c>
      <c r="E35" s="215" t="s">
        <v>624</v>
      </c>
      <c r="F35" s="267">
        <v>2809.92</v>
      </c>
      <c r="G35" s="267">
        <v>0</v>
      </c>
      <c r="H35" s="268">
        <v>0</v>
      </c>
      <c r="I35" s="268">
        <v>0</v>
      </c>
      <c r="J35" s="268">
        <v>0</v>
      </c>
      <c r="K35" s="268">
        <v>590.08000000000004</v>
      </c>
      <c r="L35" s="268">
        <v>0</v>
      </c>
      <c r="M35" s="267">
        <v>0</v>
      </c>
      <c r="N35" s="270">
        <v>3400</v>
      </c>
    </row>
    <row r="36" spans="1:14" x14ac:dyDescent="0.25">
      <c r="A36" s="269" t="s">
        <v>685</v>
      </c>
      <c r="B36" s="232" t="s">
        <v>737</v>
      </c>
      <c r="C36" s="215" t="s">
        <v>622</v>
      </c>
      <c r="D36" s="215" t="s">
        <v>623</v>
      </c>
      <c r="E36" s="215" t="s">
        <v>624</v>
      </c>
      <c r="F36" s="267">
        <v>9090.91</v>
      </c>
      <c r="G36" s="267">
        <v>0</v>
      </c>
      <c r="H36" s="268">
        <v>0</v>
      </c>
      <c r="I36" s="268">
        <v>0</v>
      </c>
      <c r="J36" s="268">
        <v>0</v>
      </c>
      <c r="K36" s="268">
        <v>1909.09</v>
      </c>
      <c r="L36" s="268">
        <v>0</v>
      </c>
      <c r="M36" s="267">
        <v>0</v>
      </c>
      <c r="N36" s="270">
        <v>11000</v>
      </c>
    </row>
    <row r="37" spans="1:14" x14ac:dyDescent="0.25">
      <c r="A37" s="269" t="s">
        <v>685</v>
      </c>
      <c r="B37" s="232" t="s">
        <v>738</v>
      </c>
      <c r="C37" s="215" t="s">
        <v>622</v>
      </c>
      <c r="D37" s="215" t="s">
        <v>623</v>
      </c>
      <c r="E37" s="215" t="s">
        <v>624</v>
      </c>
      <c r="F37" s="267">
        <v>2727.27</v>
      </c>
      <c r="G37" s="267">
        <v>0</v>
      </c>
      <c r="H37" s="268">
        <v>0</v>
      </c>
      <c r="I37" s="268">
        <v>0</v>
      </c>
      <c r="J37" s="268">
        <v>0</v>
      </c>
      <c r="K37" s="268">
        <v>572.73</v>
      </c>
      <c r="L37" s="268">
        <v>0</v>
      </c>
      <c r="M37" s="267">
        <v>0</v>
      </c>
      <c r="N37" s="270">
        <v>3300</v>
      </c>
    </row>
    <row r="38" spans="1:14" x14ac:dyDescent="0.25">
      <c r="A38" s="269" t="s">
        <v>685</v>
      </c>
      <c r="B38" s="232" t="s">
        <v>739</v>
      </c>
      <c r="C38" s="215" t="s">
        <v>625</v>
      </c>
      <c r="D38" s="215" t="s">
        <v>626</v>
      </c>
      <c r="E38" s="215">
        <v>30522428163</v>
      </c>
      <c r="F38" s="267">
        <v>19008264.460000001</v>
      </c>
      <c r="G38" s="267">
        <v>0</v>
      </c>
      <c r="H38" s="268">
        <v>0</v>
      </c>
      <c r="I38" s="268">
        <v>0</v>
      </c>
      <c r="J38" s="268">
        <v>0</v>
      </c>
      <c r="K38" s="268">
        <v>3991735.54</v>
      </c>
      <c r="L38" s="268">
        <v>0</v>
      </c>
      <c r="M38" s="267">
        <v>0</v>
      </c>
      <c r="N38" s="270">
        <v>23000000</v>
      </c>
    </row>
    <row r="39" spans="1:14" x14ac:dyDescent="0.25">
      <c r="A39" s="269" t="s">
        <v>685</v>
      </c>
      <c r="B39" s="232" t="s">
        <v>740</v>
      </c>
      <c r="C39" s="215" t="s">
        <v>625</v>
      </c>
      <c r="D39" s="215" t="s">
        <v>626</v>
      </c>
      <c r="E39" s="215">
        <v>30522428163</v>
      </c>
      <c r="F39" s="267">
        <v>5227520.66</v>
      </c>
      <c r="G39" s="267">
        <v>0</v>
      </c>
      <c r="H39" s="268">
        <v>0</v>
      </c>
      <c r="I39" s="268">
        <v>0</v>
      </c>
      <c r="J39" s="268">
        <v>0</v>
      </c>
      <c r="K39" s="268">
        <v>1097779.32</v>
      </c>
      <c r="L39" s="268">
        <v>0</v>
      </c>
      <c r="M39" s="267">
        <v>0</v>
      </c>
      <c r="N39" s="270">
        <v>6325299.9800000004</v>
      </c>
    </row>
    <row r="40" spans="1:14" x14ac:dyDescent="0.25">
      <c r="A40" s="269" t="s">
        <v>685</v>
      </c>
      <c r="B40" s="232" t="s">
        <v>741</v>
      </c>
      <c r="C40" s="215" t="s">
        <v>625</v>
      </c>
      <c r="D40" s="215" t="s">
        <v>626</v>
      </c>
      <c r="E40" s="215">
        <v>30522428163</v>
      </c>
      <c r="F40" s="267">
        <v>-4682644.62</v>
      </c>
      <c r="G40" s="267">
        <v>0</v>
      </c>
      <c r="H40" s="268">
        <v>0</v>
      </c>
      <c r="I40" s="268">
        <v>0</v>
      </c>
      <c r="J40" s="268">
        <v>0</v>
      </c>
      <c r="K40" s="268">
        <v>-983355.36</v>
      </c>
      <c r="L40" s="268">
        <v>0</v>
      </c>
      <c r="M40" s="267">
        <v>0</v>
      </c>
      <c r="N40" s="270">
        <v>-5665999.9800000004</v>
      </c>
    </row>
    <row r="41" spans="1:14" x14ac:dyDescent="0.25">
      <c r="A41" s="269" t="s">
        <v>685</v>
      </c>
      <c r="B41" s="232" t="s">
        <v>742</v>
      </c>
      <c r="C41" s="215" t="s">
        <v>635</v>
      </c>
      <c r="D41" s="215" t="s">
        <v>626</v>
      </c>
      <c r="E41" s="215">
        <v>30608716390</v>
      </c>
      <c r="F41" s="267">
        <v>14545.46</v>
      </c>
      <c r="G41" s="267">
        <v>0</v>
      </c>
      <c r="H41" s="268">
        <v>0</v>
      </c>
      <c r="I41" s="268">
        <v>0</v>
      </c>
      <c r="J41" s="268">
        <v>0</v>
      </c>
      <c r="K41" s="268">
        <v>3054.55</v>
      </c>
      <c r="L41" s="268">
        <v>0</v>
      </c>
      <c r="M41" s="267">
        <v>0</v>
      </c>
      <c r="N41" s="270">
        <v>17600.010000000002</v>
      </c>
    </row>
    <row r="42" spans="1:14" x14ac:dyDescent="0.25">
      <c r="A42" s="269" t="s">
        <v>685</v>
      </c>
      <c r="B42" s="232" t="s">
        <v>743</v>
      </c>
      <c r="C42" s="215" t="s">
        <v>635</v>
      </c>
      <c r="D42" s="215" t="s">
        <v>626</v>
      </c>
      <c r="E42" s="215">
        <v>30608716390</v>
      </c>
      <c r="F42" s="267">
        <v>16727.260000000002</v>
      </c>
      <c r="G42" s="267">
        <v>0</v>
      </c>
      <c r="H42" s="268">
        <v>0</v>
      </c>
      <c r="I42" s="268">
        <v>0</v>
      </c>
      <c r="J42" s="268">
        <v>0</v>
      </c>
      <c r="K42" s="268">
        <v>3512.72</v>
      </c>
      <c r="L42" s="268">
        <v>0</v>
      </c>
      <c r="M42" s="267">
        <v>0</v>
      </c>
      <c r="N42" s="270">
        <v>20239.98</v>
      </c>
    </row>
    <row r="43" spans="1:14" x14ac:dyDescent="0.25">
      <c r="A43" s="269" t="s">
        <v>685</v>
      </c>
      <c r="B43" s="232" t="s">
        <v>744</v>
      </c>
      <c r="C43" s="215" t="s">
        <v>77</v>
      </c>
      <c r="D43" s="215" t="s">
        <v>626</v>
      </c>
      <c r="E43" s="215">
        <v>30709016012</v>
      </c>
      <c r="F43" s="267">
        <v>68619.8</v>
      </c>
      <c r="G43" s="267">
        <v>0</v>
      </c>
      <c r="H43" s="268">
        <v>0</v>
      </c>
      <c r="I43" s="268">
        <v>0</v>
      </c>
      <c r="J43" s="268">
        <v>0</v>
      </c>
      <c r="K43" s="268">
        <v>14410.15</v>
      </c>
      <c r="L43" s="268">
        <v>0</v>
      </c>
      <c r="M43" s="267">
        <v>0</v>
      </c>
      <c r="N43" s="270">
        <v>83029.95</v>
      </c>
    </row>
    <row r="44" spans="1:14" x14ac:dyDescent="0.25">
      <c r="A44" s="269" t="s">
        <v>685</v>
      </c>
      <c r="B44" s="232" t="s">
        <v>745</v>
      </c>
      <c r="C44" s="215" t="s">
        <v>77</v>
      </c>
      <c r="D44" s="215" t="s">
        <v>626</v>
      </c>
      <c r="E44" s="215">
        <v>30709016012</v>
      </c>
      <c r="F44" s="267">
        <v>10041.32</v>
      </c>
      <c r="G44" s="267">
        <v>0</v>
      </c>
      <c r="H44" s="268">
        <v>0</v>
      </c>
      <c r="I44" s="268">
        <v>0</v>
      </c>
      <c r="J44" s="268">
        <v>0</v>
      </c>
      <c r="K44" s="268">
        <v>2108.6799999999998</v>
      </c>
      <c r="L44" s="268">
        <v>0</v>
      </c>
      <c r="M44" s="267">
        <v>0</v>
      </c>
      <c r="N44" s="270">
        <v>12150</v>
      </c>
    </row>
    <row r="45" spans="1:14" x14ac:dyDescent="0.25">
      <c r="A45" s="269" t="s">
        <v>685</v>
      </c>
      <c r="B45" s="232" t="s">
        <v>746</v>
      </c>
      <c r="C45" s="215" t="s">
        <v>638</v>
      </c>
      <c r="D45" s="215" t="s">
        <v>623</v>
      </c>
      <c r="E45" s="215">
        <v>3192296</v>
      </c>
      <c r="F45" s="267">
        <v>3719.01</v>
      </c>
      <c r="G45" s="267">
        <v>0</v>
      </c>
      <c r="H45" s="268">
        <v>0</v>
      </c>
      <c r="I45" s="268">
        <v>0</v>
      </c>
      <c r="J45" s="268">
        <v>0</v>
      </c>
      <c r="K45" s="268">
        <v>780.99</v>
      </c>
      <c r="L45" s="268">
        <v>0</v>
      </c>
      <c r="M45" s="267">
        <v>0</v>
      </c>
      <c r="N45" s="270">
        <v>4500</v>
      </c>
    </row>
    <row r="46" spans="1:14" x14ac:dyDescent="0.25">
      <c r="A46" s="269" t="s">
        <v>685</v>
      </c>
      <c r="B46" s="232" t="s">
        <v>747</v>
      </c>
      <c r="C46" s="215" t="s">
        <v>639</v>
      </c>
      <c r="D46" s="215" t="s">
        <v>623</v>
      </c>
      <c r="E46" s="215">
        <v>13211322</v>
      </c>
      <c r="F46" s="267">
        <v>3719.01</v>
      </c>
      <c r="G46" s="267">
        <v>0</v>
      </c>
      <c r="H46" s="268">
        <v>0</v>
      </c>
      <c r="I46" s="268">
        <v>0</v>
      </c>
      <c r="J46" s="268">
        <v>0</v>
      </c>
      <c r="K46" s="268">
        <v>780.99</v>
      </c>
      <c r="L46" s="268">
        <v>0</v>
      </c>
      <c r="M46" s="267">
        <v>0</v>
      </c>
      <c r="N46" s="270">
        <v>4500</v>
      </c>
    </row>
    <row r="47" spans="1:14" x14ac:dyDescent="0.25">
      <c r="A47" s="269" t="s">
        <v>685</v>
      </c>
      <c r="B47" s="232" t="s">
        <v>748</v>
      </c>
      <c r="C47" s="215" t="s">
        <v>643</v>
      </c>
      <c r="D47" s="215" t="s">
        <v>623</v>
      </c>
      <c r="E47" s="215">
        <v>21645724</v>
      </c>
      <c r="F47" s="267">
        <v>8677.68</v>
      </c>
      <c r="G47" s="267">
        <v>0</v>
      </c>
      <c r="H47" s="268">
        <v>0</v>
      </c>
      <c r="I47" s="268">
        <v>0</v>
      </c>
      <c r="J47" s="268">
        <v>0</v>
      </c>
      <c r="K47" s="268">
        <v>1822.32</v>
      </c>
      <c r="L47" s="268">
        <v>0</v>
      </c>
      <c r="M47" s="267">
        <v>0</v>
      </c>
      <c r="N47" s="270">
        <v>10500</v>
      </c>
    </row>
    <row r="48" spans="1:14" x14ac:dyDescent="0.25">
      <c r="A48" s="269" t="s">
        <v>685</v>
      </c>
      <c r="B48" s="232" t="s">
        <v>749</v>
      </c>
      <c r="C48" s="215" t="s">
        <v>637</v>
      </c>
      <c r="D48" s="215" t="s">
        <v>623</v>
      </c>
      <c r="E48" s="215">
        <v>382591</v>
      </c>
      <c r="F48" s="267">
        <v>5619.83</v>
      </c>
      <c r="G48" s="267">
        <v>0</v>
      </c>
      <c r="H48" s="268">
        <v>0</v>
      </c>
      <c r="I48" s="268">
        <v>0</v>
      </c>
      <c r="J48" s="268">
        <v>0</v>
      </c>
      <c r="K48" s="268">
        <v>1180.17</v>
      </c>
      <c r="L48" s="268">
        <v>0</v>
      </c>
      <c r="M48" s="267">
        <v>0</v>
      </c>
      <c r="N48" s="270">
        <v>6800</v>
      </c>
    </row>
    <row r="49" spans="1:14" x14ac:dyDescent="0.25">
      <c r="A49" s="269" t="s">
        <v>685</v>
      </c>
      <c r="B49" s="232" t="s">
        <v>750</v>
      </c>
      <c r="C49" s="215" t="s">
        <v>751</v>
      </c>
      <c r="D49" s="215" t="s">
        <v>623</v>
      </c>
      <c r="E49" s="215">
        <v>17198648</v>
      </c>
      <c r="F49" s="267">
        <v>22809.91</v>
      </c>
      <c r="G49" s="267">
        <v>0</v>
      </c>
      <c r="H49" s="268">
        <v>0</v>
      </c>
      <c r="I49" s="268">
        <v>0</v>
      </c>
      <c r="J49" s="268">
        <v>0</v>
      </c>
      <c r="K49" s="268">
        <v>4790.09</v>
      </c>
      <c r="L49" s="268">
        <v>0</v>
      </c>
      <c r="M49" s="267">
        <v>0</v>
      </c>
      <c r="N49" s="270">
        <v>27600</v>
      </c>
    </row>
    <row r="50" spans="1:14" x14ac:dyDescent="0.25">
      <c r="A50" s="269" t="s">
        <v>685</v>
      </c>
      <c r="B50" s="232" t="s">
        <v>752</v>
      </c>
      <c r="C50" s="215" t="s">
        <v>645</v>
      </c>
      <c r="D50" s="215" t="s">
        <v>623</v>
      </c>
      <c r="E50" s="215">
        <v>14547747</v>
      </c>
      <c r="F50" s="267">
        <v>7438.02</v>
      </c>
      <c r="G50" s="267">
        <v>0</v>
      </c>
      <c r="H50" s="268">
        <v>0</v>
      </c>
      <c r="I50" s="268">
        <v>0</v>
      </c>
      <c r="J50" s="268">
        <v>0</v>
      </c>
      <c r="K50" s="268">
        <v>1561.98</v>
      </c>
      <c r="L50" s="268">
        <v>0</v>
      </c>
      <c r="M50" s="267">
        <v>0</v>
      </c>
      <c r="N50" s="270">
        <v>9000</v>
      </c>
    </row>
    <row r="51" spans="1:14" x14ac:dyDescent="0.25">
      <c r="A51" s="269" t="s">
        <v>686</v>
      </c>
      <c r="B51" s="232" t="s">
        <v>753</v>
      </c>
      <c r="C51" s="215" t="s">
        <v>622</v>
      </c>
      <c r="D51" s="215" t="s">
        <v>623</v>
      </c>
      <c r="E51" s="215" t="s">
        <v>624</v>
      </c>
      <c r="F51" s="267">
        <v>13429.75</v>
      </c>
      <c r="G51" s="267">
        <v>0</v>
      </c>
      <c r="H51" s="268">
        <v>0</v>
      </c>
      <c r="I51" s="268">
        <v>0</v>
      </c>
      <c r="J51" s="268">
        <v>0</v>
      </c>
      <c r="K51" s="268">
        <v>2820.25</v>
      </c>
      <c r="L51" s="268">
        <v>0</v>
      </c>
      <c r="M51" s="267">
        <v>0</v>
      </c>
      <c r="N51" s="270">
        <v>16250</v>
      </c>
    </row>
    <row r="52" spans="1:14" x14ac:dyDescent="0.25">
      <c r="A52" s="269" t="s">
        <v>686</v>
      </c>
      <c r="B52" s="232" t="s">
        <v>754</v>
      </c>
      <c r="C52" s="215" t="s">
        <v>622</v>
      </c>
      <c r="D52" s="215" t="s">
        <v>623</v>
      </c>
      <c r="E52" s="215" t="s">
        <v>624</v>
      </c>
      <c r="F52" s="267">
        <v>13553.72</v>
      </c>
      <c r="G52" s="267">
        <v>0</v>
      </c>
      <c r="H52" s="268">
        <v>0</v>
      </c>
      <c r="I52" s="268">
        <v>0</v>
      </c>
      <c r="J52" s="268">
        <v>0</v>
      </c>
      <c r="K52" s="268">
        <v>2846.28</v>
      </c>
      <c r="L52" s="268">
        <v>0</v>
      </c>
      <c r="M52" s="267">
        <v>0</v>
      </c>
      <c r="N52" s="270">
        <v>16400</v>
      </c>
    </row>
    <row r="53" spans="1:14" x14ac:dyDescent="0.25">
      <c r="A53" s="269" t="s">
        <v>686</v>
      </c>
      <c r="B53" s="232" t="s">
        <v>755</v>
      </c>
      <c r="C53" s="215" t="s">
        <v>622</v>
      </c>
      <c r="D53" s="215" t="s">
        <v>623</v>
      </c>
      <c r="E53" s="215" t="s">
        <v>624</v>
      </c>
      <c r="F53" s="267">
        <v>11363.64</v>
      </c>
      <c r="G53" s="267">
        <v>0</v>
      </c>
      <c r="H53" s="268">
        <v>0</v>
      </c>
      <c r="I53" s="268">
        <v>0</v>
      </c>
      <c r="J53" s="268">
        <v>0</v>
      </c>
      <c r="K53" s="268">
        <v>2386.36</v>
      </c>
      <c r="L53" s="268">
        <v>0</v>
      </c>
      <c r="M53" s="267">
        <v>0</v>
      </c>
      <c r="N53" s="270">
        <v>13750</v>
      </c>
    </row>
    <row r="54" spans="1:14" x14ac:dyDescent="0.25">
      <c r="A54" s="269" t="s">
        <v>686</v>
      </c>
      <c r="B54" s="232" t="s">
        <v>756</v>
      </c>
      <c r="C54" s="215" t="s">
        <v>622</v>
      </c>
      <c r="D54" s="215" t="s">
        <v>623</v>
      </c>
      <c r="E54" s="215" t="s">
        <v>624</v>
      </c>
      <c r="F54" s="267">
        <v>3388.43</v>
      </c>
      <c r="G54" s="267">
        <v>0</v>
      </c>
      <c r="H54" s="268">
        <v>0</v>
      </c>
      <c r="I54" s="268">
        <v>0</v>
      </c>
      <c r="J54" s="268">
        <v>0</v>
      </c>
      <c r="K54" s="268">
        <v>711.57</v>
      </c>
      <c r="L54" s="268">
        <v>0</v>
      </c>
      <c r="M54" s="267">
        <v>0</v>
      </c>
      <c r="N54" s="270">
        <v>4100</v>
      </c>
    </row>
    <row r="55" spans="1:14" x14ac:dyDescent="0.25">
      <c r="A55" s="269" t="s">
        <v>686</v>
      </c>
      <c r="B55" s="232" t="s">
        <v>757</v>
      </c>
      <c r="C55" s="215" t="s">
        <v>758</v>
      </c>
      <c r="D55" s="215" t="s">
        <v>623</v>
      </c>
      <c r="E55" s="215">
        <v>33111382</v>
      </c>
      <c r="F55" s="267">
        <v>6776.86</v>
      </c>
      <c r="G55" s="267">
        <v>0</v>
      </c>
      <c r="H55" s="268">
        <v>0</v>
      </c>
      <c r="I55" s="268">
        <v>0</v>
      </c>
      <c r="J55" s="268">
        <v>0</v>
      </c>
      <c r="K55" s="268">
        <v>1423.14</v>
      </c>
      <c r="L55" s="268">
        <v>0</v>
      </c>
      <c r="M55" s="267">
        <v>0</v>
      </c>
      <c r="N55" s="270">
        <v>8200</v>
      </c>
    </row>
    <row r="56" spans="1:14" x14ac:dyDescent="0.25">
      <c r="A56" s="269" t="s">
        <v>686</v>
      </c>
      <c r="B56" s="232" t="s">
        <v>759</v>
      </c>
      <c r="C56" s="215" t="s">
        <v>622</v>
      </c>
      <c r="D56" s="215" t="s">
        <v>623</v>
      </c>
      <c r="E56" s="215" t="s">
        <v>624</v>
      </c>
      <c r="F56" s="267">
        <v>8677.69</v>
      </c>
      <c r="G56" s="267">
        <v>0</v>
      </c>
      <c r="H56" s="268">
        <v>0</v>
      </c>
      <c r="I56" s="268">
        <v>0</v>
      </c>
      <c r="J56" s="268">
        <v>0</v>
      </c>
      <c r="K56" s="268">
        <v>1822.31</v>
      </c>
      <c r="L56" s="268">
        <v>0</v>
      </c>
      <c r="M56" s="267">
        <v>0</v>
      </c>
      <c r="N56" s="270">
        <v>10500</v>
      </c>
    </row>
    <row r="57" spans="1:14" x14ac:dyDescent="0.25">
      <c r="A57" s="269" t="s">
        <v>686</v>
      </c>
      <c r="B57" s="232" t="s">
        <v>760</v>
      </c>
      <c r="C57" s="215" t="s">
        <v>622</v>
      </c>
      <c r="D57" s="215" t="s">
        <v>623</v>
      </c>
      <c r="E57" s="215" t="s">
        <v>624</v>
      </c>
      <c r="F57" s="267">
        <v>3140.5</v>
      </c>
      <c r="G57" s="267">
        <v>0</v>
      </c>
      <c r="H57" s="268">
        <v>0</v>
      </c>
      <c r="I57" s="268">
        <v>0</v>
      </c>
      <c r="J57" s="268">
        <v>0</v>
      </c>
      <c r="K57" s="268">
        <v>659.5</v>
      </c>
      <c r="L57" s="268">
        <v>0</v>
      </c>
      <c r="M57" s="267">
        <v>0</v>
      </c>
      <c r="N57" s="270">
        <v>3800</v>
      </c>
    </row>
    <row r="58" spans="1:14" x14ac:dyDescent="0.25">
      <c r="A58" s="269" t="s">
        <v>686</v>
      </c>
      <c r="B58" s="232" t="s">
        <v>761</v>
      </c>
      <c r="C58" s="215" t="s">
        <v>622</v>
      </c>
      <c r="D58" s="215" t="s">
        <v>623</v>
      </c>
      <c r="E58" s="215" t="s">
        <v>624</v>
      </c>
      <c r="F58" s="267">
        <v>2892.56</v>
      </c>
      <c r="G58" s="267">
        <v>0</v>
      </c>
      <c r="H58" s="268">
        <v>0</v>
      </c>
      <c r="I58" s="268">
        <v>0</v>
      </c>
      <c r="J58" s="268">
        <v>0</v>
      </c>
      <c r="K58" s="268">
        <v>607.44000000000005</v>
      </c>
      <c r="L58" s="268">
        <v>0</v>
      </c>
      <c r="M58" s="267">
        <v>0</v>
      </c>
      <c r="N58" s="270">
        <v>3500</v>
      </c>
    </row>
    <row r="59" spans="1:14" x14ac:dyDescent="0.25">
      <c r="A59" s="269" t="s">
        <v>686</v>
      </c>
      <c r="B59" s="232" t="s">
        <v>762</v>
      </c>
      <c r="C59" s="215" t="s">
        <v>622</v>
      </c>
      <c r="D59" s="215" t="s">
        <v>623</v>
      </c>
      <c r="E59" s="215" t="s">
        <v>624</v>
      </c>
      <c r="F59" s="267">
        <v>19297.52</v>
      </c>
      <c r="G59" s="267">
        <v>0</v>
      </c>
      <c r="H59" s="268">
        <v>0</v>
      </c>
      <c r="I59" s="268">
        <v>0</v>
      </c>
      <c r="J59" s="268">
        <v>0</v>
      </c>
      <c r="K59" s="268">
        <v>4052.48</v>
      </c>
      <c r="L59" s="268">
        <v>0</v>
      </c>
      <c r="M59" s="267">
        <v>0</v>
      </c>
      <c r="N59" s="270">
        <v>23350</v>
      </c>
    </row>
    <row r="60" spans="1:14" x14ac:dyDescent="0.25">
      <c r="A60" s="269" t="s">
        <v>686</v>
      </c>
      <c r="B60" s="232" t="s">
        <v>763</v>
      </c>
      <c r="C60" s="215" t="s">
        <v>622</v>
      </c>
      <c r="D60" s="215" t="s">
        <v>623</v>
      </c>
      <c r="E60" s="215" t="s">
        <v>624</v>
      </c>
      <c r="F60" s="267">
        <v>6033.06</v>
      </c>
      <c r="G60" s="267">
        <v>0</v>
      </c>
      <c r="H60" s="268">
        <v>0</v>
      </c>
      <c r="I60" s="268">
        <v>0</v>
      </c>
      <c r="J60" s="268">
        <v>0</v>
      </c>
      <c r="K60" s="268">
        <v>1266.94</v>
      </c>
      <c r="L60" s="268">
        <v>0</v>
      </c>
      <c r="M60" s="267">
        <v>0</v>
      </c>
      <c r="N60" s="270">
        <v>7300</v>
      </c>
    </row>
    <row r="61" spans="1:14" x14ac:dyDescent="0.25">
      <c r="A61" s="269" t="s">
        <v>686</v>
      </c>
      <c r="B61" s="232" t="s">
        <v>764</v>
      </c>
      <c r="C61" s="215" t="s">
        <v>765</v>
      </c>
      <c r="D61" s="215" t="s">
        <v>623</v>
      </c>
      <c r="E61" s="215">
        <v>46274672</v>
      </c>
      <c r="F61" s="267">
        <v>12066.12</v>
      </c>
      <c r="G61" s="267">
        <v>0</v>
      </c>
      <c r="H61" s="268">
        <v>0</v>
      </c>
      <c r="I61" s="268">
        <v>0</v>
      </c>
      <c r="J61" s="268">
        <v>0</v>
      </c>
      <c r="K61" s="268">
        <v>2533.88</v>
      </c>
      <c r="L61" s="268">
        <v>0</v>
      </c>
      <c r="M61" s="267">
        <v>0</v>
      </c>
      <c r="N61" s="270">
        <v>14600</v>
      </c>
    </row>
    <row r="62" spans="1:14" x14ac:dyDescent="0.25">
      <c r="A62" s="269" t="s">
        <v>686</v>
      </c>
      <c r="B62" s="232" t="s">
        <v>766</v>
      </c>
      <c r="C62" s="215" t="s">
        <v>622</v>
      </c>
      <c r="D62" s="215" t="s">
        <v>623</v>
      </c>
      <c r="E62" s="215" t="s">
        <v>624</v>
      </c>
      <c r="F62" s="267">
        <v>35041.32</v>
      </c>
      <c r="G62" s="267">
        <v>0</v>
      </c>
      <c r="H62" s="268">
        <v>0</v>
      </c>
      <c r="I62" s="268">
        <v>0</v>
      </c>
      <c r="J62" s="268">
        <v>0</v>
      </c>
      <c r="K62" s="268">
        <v>7358.68</v>
      </c>
      <c r="L62" s="268">
        <v>0</v>
      </c>
      <c r="M62" s="267">
        <v>0</v>
      </c>
      <c r="N62" s="270">
        <v>42400</v>
      </c>
    </row>
    <row r="63" spans="1:14" x14ac:dyDescent="0.25">
      <c r="A63" s="269" t="s">
        <v>686</v>
      </c>
      <c r="B63" s="232" t="s">
        <v>767</v>
      </c>
      <c r="C63" s="215" t="s">
        <v>625</v>
      </c>
      <c r="D63" s="215" t="s">
        <v>626</v>
      </c>
      <c r="E63" s="215">
        <v>30522428163</v>
      </c>
      <c r="F63" s="267">
        <v>-358677.69</v>
      </c>
      <c r="G63" s="267">
        <v>0</v>
      </c>
      <c r="H63" s="268">
        <v>0</v>
      </c>
      <c r="I63" s="268">
        <v>0</v>
      </c>
      <c r="J63" s="268">
        <v>0</v>
      </c>
      <c r="K63" s="268">
        <v>-75322.31</v>
      </c>
      <c r="L63" s="268">
        <v>0</v>
      </c>
      <c r="M63" s="267">
        <v>0</v>
      </c>
      <c r="N63" s="270">
        <v>-434000</v>
      </c>
    </row>
    <row r="64" spans="1:14" x14ac:dyDescent="0.25">
      <c r="A64" s="269" t="s">
        <v>686</v>
      </c>
      <c r="B64" s="232" t="s">
        <v>768</v>
      </c>
      <c r="C64" s="215" t="s">
        <v>625</v>
      </c>
      <c r="D64" s="215" t="s">
        <v>626</v>
      </c>
      <c r="E64" s="215">
        <v>30522428163</v>
      </c>
      <c r="F64" s="267">
        <v>2549182.59</v>
      </c>
      <c r="G64" s="267">
        <v>0</v>
      </c>
      <c r="H64" s="268">
        <v>0</v>
      </c>
      <c r="I64" s="268">
        <v>0</v>
      </c>
      <c r="J64" s="268">
        <v>0</v>
      </c>
      <c r="K64" s="268">
        <v>535328.34</v>
      </c>
      <c r="L64" s="268">
        <v>0</v>
      </c>
      <c r="M64" s="267">
        <v>0</v>
      </c>
      <c r="N64" s="270">
        <v>3084510.93</v>
      </c>
    </row>
    <row r="65" spans="1:14" x14ac:dyDescent="0.25">
      <c r="A65" s="269" t="s">
        <v>686</v>
      </c>
      <c r="B65" s="232" t="s">
        <v>769</v>
      </c>
      <c r="C65" s="215" t="s">
        <v>625</v>
      </c>
      <c r="D65" s="215" t="s">
        <v>626</v>
      </c>
      <c r="E65" s="215">
        <v>30522428163</v>
      </c>
      <c r="F65" s="267">
        <v>-153930.99</v>
      </c>
      <c r="G65" s="267">
        <v>0</v>
      </c>
      <c r="H65" s="268">
        <v>0</v>
      </c>
      <c r="I65" s="268">
        <v>0</v>
      </c>
      <c r="J65" s="268">
        <v>0</v>
      </c>
      <c r="K65" s="268">
        <v>-32325.51</v>
      </c>
      <c r="L65" s="268">
        <v>0</v>
      </c>
      <c r="M65" s="267">
        <v>0</v>
      </c>
      <c r="N65" s="270">
        <v>-186256.5</v>
      </c>
    </row>
    <row r="66" spans="1:14" x14ac:dyDescent="0.25">
      <c r="A66" s="269" t="s">
        <v>686</v>
      </c>
      <c r="B66" s="232" t="s">
        <v>770</v>
      </c>
      <c r="C66" s="215" t="s">
        <v>625</v>
      </c>
      <c r="D66" s="215" t="s">
        <v>626</v>
      </c>
      <c r="E66" s="215">
        <v>30522428163</v>
      </c>
      <c r="F66" s="267">
        <v>242682</v>
      </c>
      <c r="G66" s="267">
        <v>0</v>
      </c>
      <c r="H66" s="268">
        <v>0</v>
      </c>
      <c r="I66" s="268">
        <v>0</v>
      </c>
      <c r="J66" s="268">
        <v>0</v>
      </c>
      <c r="K66" s="268">
        <v>50963.22</v>
      </c>
      <c r="L66" s="268">
        <v>0</v>
      </c>
      <c r="M66" s="267">
        <v>0</v>
      </c>
      <c r="N66" s="270">
        <v>293645.22000000003</v>
      </c>
    </row>
    <row r="67" spans="1:14" x14ac:dyDescent="0.25">
      <c r="A67" s="269" t="s">
        <v>686</v>
      </c>
      <c r="B67" s="232" t="s">
        <v>771</v>
      </c>
      <c r="C67" s="215" t="s">
        <v>625</v>
      </c>
      <c r="D67" s="215" t="s">
        <v>626</v>
      </c>
      <c r="E67" s="215">
        <v>30522428163</v>
      </c>
      <c r="F67" s="267">
        <v>20089.03</v>
      </c>
      <c r="G67" s="267">
        <v>0</v>
      </c>
      <c r="H67" s="268">
        <v>0</v>
      </c>
      <c r="I67" s="268">
        <v>0</v>
      </c>
      <c r="J67" s="268">
        <v>0</v>
      </c>
      <c r="K67" s="268">
        <v>4218.7</v>
      </c>
      <c r="L67" s="268">
        <v>0</v>
      </c>
      <c r="M67" s="267">
        <v>0</v>
      </c>
      <c r="N67" s="270">
        <v>24307.73</v>
      </c>
    </row>
    <row r="68" spans="1:14" x14ac:dyDescent="0.25">
      <c r="A68" s="269" t="s">
        <v>686</v>
      </c>
      <c r="B68" s="232" t="s">
        <v>772</v>
      </c>
      <c r="C68" s="215" t="s">
        <v>625</v>
      </c>
      <c r="D68" s="215" t="s">
        <v>626</v>
      </c>
      <c r="E68" s="215">
        <v>30522428163</v>
      </c>
      <c r="F68" s="267">
        <v>366991.4</v>
      </c>
      <c r="G68" s="267">
        <v>0</v>
      </c>
      <c r="H68" s="268">
        <v>0</v>
      </c>
      <c r="I68" s="268">
        <v>0</v>
      </c>
      <c r="J68" s="268">
        <v>0</v>
      </c>
      <c r="K68" s="268">
        <v>77068.19</v>
      </c>
      <c r="L68" s="268">
        <v>0</v>
      </c>
      <c r="M68" s="267">
        <v>0</v>
      </c>
      <c r="N68" s="270">
        <v>444059.59</v>
      </c>
    </row>
    <row r="69" spans="1:14" x14ac:dyDescent="0.25">
      <c r="A69" s="269" t="s">
        <v>686</v>
      </c>
      <c r="B69" s="232" t="s">
        <v>773</v>
      </c>
      <c r="C69" s="215" t="s">
        <v>625</v>
      </c>
      <c r="D69" s="215" t="s">
        <v>626</v>
      </c>
      <c r="E69" s="215">
        <v>30522428163</v>
      </c>
      <c r="F69" s="267">
        <v>237629.19</v>
      </c>
      <c r="G69" s="267">
        <v>0</v>
      </c>
      <c r="H69" s="268">
        <v>0</v>
      </c>
      <c r="I69" s="268">
        <v>0</v>
      </c>
      <c r="J69" s="268">
        <v>0</v>
      </c>
      <c r="K69" s="268">
        <v>49902.13</v>
      </c>
      <c r="L69" s="268">
        <v>0</v>
      </c>
      <c r="M69" s="267">
        <v>0</v>
      </c>
      <c r="N69" s="270">
        <v>287531.32</v>
      </c>
    </row>
    <row r="70" spans="1:14" x14ac:dyDescent="0.25">
      <c r="A70" s="269" t="s">
        <v>686</v>
      </c>
      <c r="B70" s="232" t="s">
        <v>774</v>
      </c>
      <c r="C70" s="215" t="s">
        <v>625</v>
      </c>
      <c r="D70" s="215" t="s">
        <v>626</v>
      </c>
      <c r="E70" s="215">
        <v>30522428163</v>
      </c>
      <c r="F70" s="267">
        <v>172466.7</v>
      </c>
      <c r="G70" s="267">
        <v>0</v>
      </c>
      <c r="H70" s="268">
        <v>0</v>
      </c>
      <c r="I70" s="268">
        <v>0</v>
      </c>
      <c r="J70" s="268">
        <v>0</v>
      </c>
      <c r="K70" s="268">
        <v>36218.01</v>
      </c>
      <c r="L70" s="268">
        <v>0</v>
      </c>
      <c r="M70" s="267">
        <v>0</v>
      </c>
      <c r="N70" s="270">
        <v>208684.71</v>
      </c>
    </row>
    <row r="71" spans="1:14" x14ac:dyDescent="0.25">
      <c r="A71" s="269" t="s">
        <v>686</v>
      </c>
      <c r="B71" s="232" t="s">
        <v>775</v>
      </c>
      <c r="C71" s="215" t="s">
        <v>652</v>
      </c>
      <c r="D71" s="215" t="s">
        <v>641</v>
      </c>
      <c r="E71" s="215">
        <v>30590354798</v>
      </c>
      <c r="F71" s="267">
        <v>501517.08</v>
      </c>
      <c r="G71" s="267">
        <v>0</v>
      </c>
      <c r="H71" s="268">
        <v>0</v>
      </c>
      <c r="I71" s="268">
        <v>0</v>
      </c>
      <c r="J71" s="268">
        <v>0</v>
      </c>
      <c r="K71" s="268">
        <v>105318.59</v>
      </c>
      <c r="L71" s="268">
        <v>0</v>
      </c>
      <c r="M71" s="267">
        <v>0</v>
      </c>
      <c r="N71" s="270">
        <v>606835.67000000004</v>
      </c>
    </row>
    <row r="72" spans="1:14" x14ac:dyDescent="0.25">
      <c r="A72" s="269" t="s">
        <v>686</v>
      </c>
      <c r="B72" s="232" t="s">
        <v>776</v>
      </c>
      <c r="C72" s="215" t="s">
        <v>654</v>
      </c>
      <c r="D72" s="215" t="s">
        <v>623</v>
      </c>
      <c r="E72" s="215">
        <v>21363216</v>
      </c>
      <c r="F72" s="267">
        <v>5785.12</v>
      </c>
      <c r="G72" s="267">
        <v>0</v>
      </c>
      <c r="H72" s="268">
        <v>0</v>
      </c>
      <c r="I72" s="268">
        <v>0</v>
      </c>
      <c r="J72" s="268">
        <v>0</v>
      </c>
      <c r="K72" s="268">
        <v>1214.8800000000001</v>
      </c>
      <c r="L72" s="268">
        <v>0</v>
      </c>
      <c r="M72" s="267">
        <v>0</v>
      </c>
      <c r="N72" s="270">
        <v>7000</v>
      </c>
    </row>
    <row r="73" spans="1:14" x14ac:dyDescent="0.25">
      <c r="A73" s="269" t="s">
        <v>686</v>
      </c>
      <c r="B73" s="232" t="s">
        <v>777</v>
      </c>
      <c r="C73" s="215" t="s">
        <v>778</v>
      </c>
      <c r="D73" s="215" t="s">
        <v>623</v>
      </c>
      <c r="E73" s="215">
        <v>5804480</v>
      </c>
      <c r="F73" s="267">
        <v>9917.36</v>
      </c>
      <c r="G73" s="267">
        <v>0</v>
      </c>
      <c r="H73" s="268">
        <v>0</v>
      </c>
      <c r="I73" s="268">
        <v>0</v>
      </c>
      <c r="J73" s="268">
        <v>0</v>
      </c>
      <c r="K73" s="268">
        <v>2082.64</v>
      </c>
      <c r="L73" s="268">
        <v>0</v>
      </c>
      <c r="M73" s="267">
        <v>0</v>
      </c>
      <c r="N73" s="270">
        <v>12000</v>
      </c>
    </row>
    <row r="74" spans="1:14" x14ac:dyDescent="0.25">
      <c r="A74" s="269" t="s">
        <v>687</v>
      </c>
      <c r="B74" s="232" t="s">
        <v>779</v>
      </c>
      <c r="C74" s="215" t="s">
        <v>622</v>
      </c>
      <c r="D74" s="215" t="s">
        <v>623</v>
      </c>
      <c r="E74" s="215" t="s">
        <v>624</v>
      </c>
      <c r="F74" s="267">
        <v>2727.27</v>
      </c>
      <c r="G74" s="267">
        <v>0</v>
      </c>
      <c r="H74" s="268">
        <v>0</v>
      </c>
      <c r="I74" s="268">
        <v>0</v>
      </c>
      <c r="J74" s="268">
        <v>0</v>
      </c>
      <c r="K74" s="268">
        <v>572.73</v>
      </c>
      <c r="L74" s="268">
        <v>0</v>
      </c>
      <c r="M74" s="267">
        <v>0</v>
      </c>
      <c r="N74" s="270">
        <v>3300</v>
      </c>
    </row>
    <row r="75" spans="1:14" x14ac:dyDescent="0.25">
      <c r="A75" s="269" t="s">
        <v>687</v>
      </c>
      <c r="B75" s="232" t="s">
        <v>780</v>
      </c>
      <c r="C75" s="215" t="s">
        <v>781</v>
      </c>
      <c r="D75" s="215" t="s">
        <v>623</v>
      </c>
      <c r="E75" s="215">
        <v>8573316</v>
      </c>
      <c r="F75" s="267">
        <v>4545.45</v>
      </c>
      <c r="G75" s="267">
        <v>0</v>
      </c>
      <c r="H75" s="268">
        <v>0</v>
      </c>
      <c r="I75" s="268">
        <v>0</v>
      </c>
      <c r="J75" s="268">
        <v>0</v>
      </c>
      <c r="K75" s="268">
        <v>954.55</v>
      </c>
      <c r="L75" s="268">
        <v>0</v>
      </c>
      <c r="M75" s="267">
        <v>0</v>
      </c>
      <c r="N75" s="270">
        <v>5500</v>
      </c>
    </row>
    <row r="76" spans="1:14" x14ac:dyDescent="0.25">
      <c r="A76" s="269" t="s">
        <v>687</v>
      </c>
      <c r="B76" s="232" t="s">
        <v>782</v>
      </c>
      <c r="C76" s="215" t="s">
        <v>622</v>
      </c>
      <c r="D76" s="215" t="s">
        <v>623</v>
      </c>
      <c r="E76" s="215" t="s">
        <v>624</v>
      </c>
      <c r="F76" s="267">
        <v>7851.24</v>
      </c>
      <c r="G76" s="267">
        <v>0</v>
      </c>
      <c r="H76" s="268">
        <v>0</v>
      </c>
      <c r="I76" s="268">
        <v>0</v>
      </c>
      <c r="J76" s="268">
        <v>0</v>
      </c>
      <c r="K76" s="268">
        <v>1648.76</v>
      </c>
      <c r="L76" s="268">
        <v>0</v>
      </c>
      <c r="M76" s="267">
        <v>0</v>
      </c>
      <c r="N76" s="270">
        <v>9500</v>
      </c>
    </row>
    <row r="77" spans="1:14" x14ac:dyDescent="0.25">
      <c r="A77" s="269" t="s">
        <v>687</v>
      </c>
      <c r="B77" s="232" t="s">
        <v>783</v>
      </c>
      <c r="C77" s="215" t="s">
        <v>622</v>
      </c>
      <c r="D77" s="215" t="s">
        <v>623</v>
      </c>
      <c r="E77" s="215" t="s">
        <v>624</v>
      </c>
      <c r="F77" s="267">
        <v>7892.56</v>
      </c>
      <c r="G77" s="267">
        <v>0</v>
      </c>
      <c r="H77" s="268">
        <v>0</v>
      </c>
      <c r="I77" s="268">
        <v>0</v>
      </c>
      <c r="J77" s="268">
        <v>0</v>
      </c>
      <c r="K77" s="268">
        <v>1657.44</v>
      </c>
      <c r="L77" s="268">
        <v>0</v>
      </c>
      <c r="M77" s="267">
        <v>0</v>
      </c>
      <c r="N77" s="270">
        <v>9550</v>
      </c>
    </row>
    <row r="78" spans="1:14" x14ac:dyDescent="0.25">
      <c r="A78" s="269" t="s">
        <v>687</v>
      </c>
      <c r="B78" s="232" t="s">
        <v>784</v>
      </c>
      <c r="C78" s="215" t="s">
        <v>622</v>
      </c>
      <c r="D78" s="215" t="s">
        <v>623</v>
      </c>
      <c r="E78" s="215" t="s">
        <v>624</v>
      </c>
      <c r="F78" s="267">
        <v>4132.2300000000005</v>
      </c>
      <c r="G78" s="267">
        <v>0</v>
      </c>
      <c r="H78" s="268">
        <v>0</v>
      </c>
      <c r="I78" s="268">
        <v>0</v>
      </c>
      <c r="J78" s="268">
        <v>0</v>
      </c>
      <c r="K78" s="268">
        <v>867.77</v>
      </c>
      <c r="L78" s="268">
        <v>0</v>
      </c>
      <c r="M78" s="267">
        <v>0</v>
      </c>
      <c r="N78" s="270">
        <v>5000</v>
      </c>
    </row>
    <row r="79" spans="1:14" x14ac:dyDescent="0.25">
      <c r="A79" s="269" t="s">
        <v>687</v>
      </c>
      <c r="B79" s="232" t="s">
        <v>785</v>
      </c>
      <c r="C79" s="215" t="s">
        <v>622</v>
      </c>
      <c r="D79" s="215" t="s">
        <v>623</v>
      </c>
      <c r="E79" s="215" t="s">
        <v>624</v>
      </c>
      <c r="F79" s="267">
        <v>12618.18</v>
      </c>
      <c r="G79" s="267">
        <v>0</v>
      </c>
      <c r="H79" s="268">
        <v>0</v>
      </c>
      <c r="I79" s="268">
        <v>0</v>
      </c>
      <c r="J79" s="268">
        <v>0</v>
      </c>
      <c r="K79" s="268">
        <v>2649.82</v>
      </c>
      <c r="L79" s="268">
        <v>0</v>
      </c>
      <c r="M79" s="267">
        <v>0</v>
      </c>
      <c r="N79" s="270">
        <v>15268</v>
      </c>
    </row>
    <row r="80" spans="1:14" x14ac:dyDescent="0.25">
      <c r="A80" s="269" t="s">
        <v>687</v>
      </c>
      <c r="B80" s="232" t="s">
        <v>786</v>
      </c>
      <c r="C80" s="215" t="s">
        <v>622</v>
      </c>
      <c r="D80" s="215" t="s">
        <v>623</v>
      </c>
      <c r="E80" s="215" t="s">
        <v>624</v>
      </c>
      <c r="F80" s="267">
        <v>6776.86</v>
      </c>
      <c r="G80" s="267">
        <v>0</v>
      </c>
      <c r="H80" s="268">
        <v>0</v>
      </c>
      <c r="I80" s="268">
        <v>0</v>
      </c>
      <c r="J80" s="268">
        <v>0</v>
      </c>
      <c r="K80" s="268">
        <v>1423.14</v>
      </c>
      <c r="L80" s="268">
        <v>0</v>
      </c>
      <c r="M80" s="267">
        <v>0</v>
      </c>
      <c r="N80" s="270">
        <v>8200</v>
      </c>
    </row>
    <row r="81" spans="1:14" x14ac:dyDescent="0.25">
      <c r="A81" s="269" t="s">
        <v>687</v>
      </c>
      <c r="B81" s="232" t="s">
        <v>787</v>
      </c>
      <c r="C81" s="215" t="s">
        <v>622</v>
      </c>
      <c r="D81" s="215" t="s">
        <v>623</v>
      </c>
      <c r="E81" s="215" t="s">
        <v>624</v>
      </c>
      <c r="F81" s="267">
        <v>4545.45</v>
      </c>
      <c r="G81" s="267">
        <v>0</v>
      </c>
      <c r="H81" s="268">
        <v>0</v>
      </c>
      <c r="I81" s="268">
        <v>0</v>
      </c>
      <c r="J81" s="268">
        <v>0</v>
      </c>
      <c r="K81" s="268">
        <v>954.55</v>
      </c>
      <c r="L81" s="268">
        <v>0</v>
      </c>
      <c r="M81" s="267">
        <v>0</v>
      </c>
      <c r="N81" s="270">
        <v>5500</v>
      </c>
    </row>
    <row r="82" spans="1:14" x14ac:dyDescent="0.25">
      <c r="A82" s="269" t="s">
        <v>687</v>
      </c>
      <c r="B82" s="232" t="s">
        <v>788</v>
      </c>
      <c r="C82" s="215" t="s">
        <v>622</v>
      </c>
      <c r="D82" s="215" t="s">
        <v>623</v>
      </c>
      <c r="E82" s="215" t="s">
        <v>624</v>
      </c>
      <c r="F82" s="267">
        <v>9504.130000000001</v>
      </c>
      <c r="G82" s="267">
        <v>0</v>
      </c>
      <c r="H82" s="268">
        <v>0</v>
      </c>
      <c r="I82" s="268">
        <v>0</v>
      </c>
      <c r="J82" s="268">
        <v>0</v>
      </c>
      <c r="K82" s="268">
        <v>1995.87</v>
      </c>
      <c r="L82" s="268">
        <v>0</v>
      </c>
      <c r="M82" s="267">
        <v>0</v>
      </c>
      <c r="N82" s="270">
        <v>11500</v>
      </c>
    </row>
    <row r="83" spans="1:14" x14ac:dyDescent="0.25">
      <c r="A83" s="269" t="s">
        <v>687</v>
      </c>
      <c r="B83" s="232" t="s">
        <v>789</v>
      </c>
      <c r="C83" s="215" t="s">
        <v>622</v>
      </c>
      <c r="D83" s="215" t="s">
        <v>623</v>
      </c>
      <c r="E83" s="215" t="s">
        <v>624</v>
      </c>
      <c r="F83" s="267">
        <v>4958.68</v>
      </c>
      <c r="G83" s="267">
        <v>0</v>
      </c>
      <c r="H83" s="268">
        <v>0</v>
      </c>
      <c r="I83" s="268">
        <v>0</v>
      </c>
      <c r="J83" s="268">
        <v>0</v>
      </c>
      <c r="K83" s="268">
        <v>1041.32</v>
      </c>
      <c r="L83" s="268">
        <v>0</v>
      </c>
      <c r="M83" s="267">
        <v>0</v>
      </c>
      <c r="N83" s="270">
        <v>6000</v>
      </c>
    </row>
    <row r="84" spans="1:14" x14ac:dyDescent="0.25">
      <c r="A84" s="269" t="s">
        <v>687</v>
      </c>
      <c r="B84" s="232" t="s">
        <v>790</v>
      </c>
      <c r="C84" s="215" t="s">
        <v>622</v>
      </c>
      <c r="D84" s="215" t="s">
        <v>623</v>
      </c>
      <c r="E84" s="215" t="s">
        <v>624</v>
      </c>
      <c r="F84" s="267">
        <v>10578.51</v>
      </c>
      <c r="G84" s="267">
        <v>0</v>
      </c>
      <c r="H84" s="268">
        <v>0</v>
      </c>
      <c r="I84" s="268">
        <v>0</v>
      </c>
      <c r="J84" s="268">
        <v>0</v>
      </c>
      <c r="K84" s="268">
        <v>2221.4900000000002</v>
      </c>
      <c r="L84" s="268">
        <v>0</v>
      </c>
      <c r="M84" s="267">
        <v>0</v>
      </c>
      <c r="N84" s="270">
        <v>12800</v>
      </c>
    </row>
    <row r="85" spans="1:14" x14ac:dyDescent="0.25">
      <c r="A85" s="269" t="s">
        <v>687</v>
      </c>
      <c r="B85" s="232" t="s">
        <v>791</v>
      </c>
      <c r="C85" s="215" t="s">
        <v>622</v>
      </c>
      <c r="D85" s="215" t="s">
        <v>623</v>
      </c>
      <c r="E85" s="215" t="s">
        <v>624</v>
      </c>
      <c r="F85" s="267">
        <v>4958.68</v>
      </c>
      <c r="G85" s="267">
        <v>0</v>
      </c>
      <c r="H85" s="268">
        <v>0</v>
      </c>
      <c r="I85" s="268">
        <v>0</v>
      </c>
      <c r="J85" s="268">
        <v>0</v>
      </c>
      <c r="K85" s="268">
        <v>1041.32</v>
      </c>
      <c r="L85" s="268">
        <v>0</v>
      </c>
      <c r="M85" s="267">
        <v>0</v>
      </c>
      <c r="N85" s="270">
        <v>6000</v>
      </c>
    </row>
    <row r="86" spans="1:14" x14ac:dyDescent="0.25">
      <c r="A86" s="269" t="s">
        <v>687</v>
      </c>
      <c r="B86" s="232" t="s">
        <v>792</v>
      </c>
      <c r="C86" s="215" t="s">
        <v>622</v>
      </c>
      <c r="D86" s="215" t="s">
        <v>623</v>
      </c>
      <c r="E86" s="215" t="s">
        <v>624</v>
      </c>
      <c r="F86" s="267">
        <v>4545.45</v>
      </c>
      <c r="G86" s="267">
        <v>0</v>
      </c>
      <c r="H86" s="268">
        <v>0</v>
      </c>
      <c r="I86" s="268">
        <v>0</v>
      </c>
      <c r="J86" s="268">
        <v>0</v>
      </c>
      <c r="K86" s="268">
        <v>954.55</v>
      </c>
      <c r="L86" s="268">
        <v>0</v>
      </c>
      <c r="M86" s="267">
        <v>0</v>
      </c>
      <c r="N86" s="270">
        <v>5500</v>
      </c>
    </row>
    <row r="87" spans="1:14" x14ac:dyDescent="0.25">
      <c r="A87" s="269" t="s">
        <v>687</v>
      </c>
      <c r="B87" s="232" t="s">
        <v>793</v>
      </c>
      <c r="C87" s="215" t="s">
        <v>625</v>
      </c>
      <c r="D87" s="215" t="s">
        <v>626</v>
      </c>
      <c r="E87" s="215">
        <v>30522428163</v>
      </c>
      <c r="F87" s="267">
        <v>-523262.6</v>
      </c>
      <c r="G87" s="267">
        <v>0</v>
      </c>
      <c r="H87" s="268">
        <v>0</v>
      </c>
      <c r="I87" s="268">
        <v>0</v>
      </c>
      <c r="J87" s="268">
        <v>0</v>
      </c>
      <c r="K87" s="268">
        <v>-109885.15</v>
      </c>
      <c r="L87" s="268">
        <v>0</v>
      </c>
      <c r="M87" s="267">
        <v>0</v>
      </c>
      <c r="N87" s="270">
        <v>-633147.75</v>
      </c>
    </row>
    <row r="88" spans="1:14" x14ac:dyDescent="0.25">
      <c r="A88" s="269" t="s">
        <v>687</v>
      </c>
      <c r="B88" s="232" t="s">
        <v>794</v>
      </c>
      <c r="C88" s="215" t="s">
        <v>625</v>
      </c>
      <c r="D88" s="215" t="s">
        <v>626</v>
      </c>
      <c r="E88" s="215">
        <v>30522428163</v>
      </c>
      <c r="F88" s="267">
        <v>237212.36</v>
      </c>
      <c r="G88" s="267">
        <v>0</v>
      </c>
      <c r="H88" s="268">
        <v>0</v>
      </c>
      <c r="I88" s="268">
        <v>0</v>
      </c>
      <c r="J88" s="268">
        <v>0</v>
      </c>
      <c r="K88" s="268">
        <v>49814.6</v>
      </c>
      <c r="L88" s="268">
        <v>0</v>
      </c>
      <c r="M88" s="267">
        <v>0</v>
      </c>
      <c r="N88" s="270">
        <v>287026.96000000002</v>
      </c>
    </row>
    <row r="89" spans="1:14" x14ac:dyDescent="0.25">
      <c r="A89" s="269" t="s">
        <v>688</v>
      </c>
      <c r="B89" s="232" t="s">
        <v>795</v>
      </c>
      <c r="C89" s="215" t="s">
        <v>622</v>
      </c>
      <c r="D89" s="215" t="s">
        <v>623</v>
      </c>
      <c r="E89" s="215" t="s">
        <v>624</v>
      </c>
      <c r="F89" s="267">
        <v>5537.19</v>
      </c>
      <c r="G89" s="267">
        <v>0</v>
      </c>
      <c r="H89" s="268">
        <v>0</v>
      </c>
      <c r="I89" s="268">
        <v>0</v>
      </c>
      <c r="J89" s="268">
        <v>0</v>
      </c>
      <c r="K89" s="268">
        <v>1162.81</v>
      </c>
      <c r="L89" s="268">
        <v>0</v>
      </c>
      <c r="M89" s="267">
        <v>0</v>
      </c>
      <c r="N89" s="270">
        <v>6700</v>
      </c>
    </row>
    <row r="90" spans="1:14" x14ac:dyDescent="0.25">
      <c r="A90" s="269" t="s">
        <v>688</v>
      </c>
      <c r="B90" s="232" t="s">
        <v>796</v>
      </c>
      <c r="C90" s="215" t="s">
        <v>622</v>
      </c>
      <c r="D90" s="215" t="s">
        <v>623</v>
      </c>
      <c r="E90" s="215" t="s">
        <v>624</v>
      </c>
      <c r="F90" s="267">
        <v>9504.130000000001</v>
      </c>
      <c r="G90" s="267">
        <v>0</v>
      </c>
      <c r="H90" s="268">
        <v>0</v>
      </c>
      <c r="I90" s="268">
        <v>0</v>
      </c>
      <c r="J90" s="268">
        <v>0</v>
      </c>
      <c r="K90" s="268">
        <v>1995.87</v>
      </c>
      <c r="L90" s="268">
        <v>0</v>
      </c>
      <c r="M90" s="267">
        <v>0</v>
      </c>
      <c r="N90" s="270">
        <v>11500</v>
      </c>
    </row>
    <row r="91" spans="1:14" x14ac:dyDescent="0.25">
      <c r="A91" s="269" t="s">
        <v>688</v>
      </c>
      <c r="B91" s="232" t="s">
        <v>797</v>
      </c>
      <c r="C91" s="215" t="s">
        <v>622</v>
      </c>
      <c r="D91" s="215" t="s">
        <v>623</v>
      </c>
      <c r="E91" s="215" t="s">
        <v>624</v>
      </c>
      <c r="F91" s="267">
        <v>6776.86</v>
      </c>
      <c r="G91" s="267">
        <v>0</v>
      </c>
      <c r="H91" s="268">
        <v>0</v>
      </c>
      <c r="I91" s="268">
        <v>0</v>
      </c>
      <c r="J91" s="268">
        <v>0</v>
      </c>
      <c r="K91" s="268">
        <v>1423.14</v>
      </c>
      <c r="L91" s="268">
        <v>0</v>
      </c>
      <c r="M91" s="267">
        <v>0</v>
      </c>
      <c r="N91" s="270">
        <v>8200</v>
      </c>
    </row>
    <row r="92" spans="1:14" x14ac:dyDescent="0.25">
      <c r="A92" s="269" t="s">
        <v>688</v>
      </c>
      <c r="B92" s="232" t="s">
        <v>798</v>
      </c>
      <c r="C92" s="215" t="s">
        <v>622</v>
      </c>
      <c r="D92" s="215" t="s">
        <v>623</v>
      </c>
      <c r="E92" s="215" t="s">
        <v>624</v>
      </c>
      <c r="F92" s="267">
        <v>1818.18</v>
      </c>
      <c r="G92" s="267">
        <v>0</v>
      </c>
      <c r="H92" s="268">
        <v>0</v>
      </c>
      <c r="I92" s="268">
        <v>0</v>
      </c>
      <c r="J92" s="268">
        <v>0</v>
      </c>
      <c r="K92" s="268">
        <v>381.82</v>
      </c>
      <c r="L92" s="268">
        <v>0</v>
      </c>
      <c r="M92" s="267">
        <v>0</v>
      </c>
      <c r="N92" s="270">
        <v>2200</v>
      </c>
    </row>
    <row r="93" spans="1:14" x14ac:dyDescent="0.25">
      <c r="A93" s="269" t="s">
        <v>688</v>
      </c>
      <c r="B93" s="232" t="s">
        <v>799</v>
      </c>
      <c r="C93" s="215" t="s">
        <v>622</v>
      </c>
      <c r="D93" s="215" t="s">
        <v>623</v>
      </c>
      <c r="E93" s="215" t="s">
        <v>624</v>
      </c>
      <c r="F93" s="267">
        <v>2809.92</v>
      </c>
      <c r="G93" s="267">
        <v>0</v>
      </c>
      <c r="H93" s="268">
        <v>0</v>
      </c>
      <c r="I93" s="268">
        <v>0</v>
      </c>
      <c r="J93" s="268">
        <v>0</v>
      </c>
      <c r="K93" s="268">
        <v>590.08000000000004</v>
      </c>
      <c r="L93" s="268">
        <v>0</v>
      </c>
      <c r="M93" s="267">
        <v>0</v>
      </c>
      <c r="N93" s="270">
        <v>3400</v>
      </c>
    </row>
    <row r="94" spans="1:14" x14ac:dyDescent="0.25">
      <c r="A94" s="269" t="s">
        <v>688</v>
      </c>
      <c r="B94" s="232" t="s">
        <v>800</v>
      </c>
      <c r="C94" s="215" t="s">
        <v>622</v>
      </c>
      <c r="D94" s="215" t="s">
        <v>623</v>
      </c>
      <c r="E94" s="215" t="s">
        <v>624</v>
      </c>
      <c r="F94" s="267">
        <v>10000</v>
      </c>
      <c r="G94" s="267">
        <v>0</v>
      </c>
      <c r="H94" s="268">
        <v>0</v>
      </c>
      <c r="I94" s="268">
        <v>0</v>
      </c>
      <c r="J94" s="268">
        <v>0</v>
      </c>
      <c r="K94" s="268">
        <v>2100</v>
      </c>
      <c r="L94" s="268">
        <v>0</v>
      </c>
      <c r="M94" s="267">
        <v>0</v>
      </c>
      <c r="N94" s="270">
        <v>12100</v>
      </c>
    </row>
    <row r="95" spans="1:14" x14ac:dyDescent="0.25">
      <c r="A95" s="269" t="s">
        <v>688</v>
      </c>
      <c r="B95" s="232" t="s">
        <v>801</v>
      </c>
      <c r="C95" s="215" t="s">
        <v>622</v>
      </c>
      <c r="D95" s="215" t="s">
        <v>623</v>
      </c>
      <c r="E95" s="215" t="s">
        <v>624</v>
      </c>
      <c r="F95" s="267">
        <v>5785.12</v>
      </c>
      <c r="G95" s="267">
        <v>0</v>
      </c>
      <c r="H95" s="268">
        <v>0</v>
      </c>
      <c r="I95" s="268">
        <v>0</v>
      </c>
      <c r="J95" s="268">
        <v>0</v>
      </c>
      <c r="K95" s="268">
        <v>1214.8800000000001</v>
      </c>
      <c r="L95" s="268">
        <v>0</v>
      </c>
      <c r="M95" s="267">
        <v>0</v>
      </c>
      <c r="N95" s="270">
        <v>7000</v>
      </c>
    </row>
    <row r="96" spans="1:14" x14ac:dyDescent="0.25">
      <c r="A96" s="269" t="s">
        <v>688</v>
      </c>
      <c r="B96" s="232" t="s">
        <v>802</v>
      </c>
      <c r="C96" s="215" t="s">
        <v>622</v>
      </c>
      <c r="D96" s="215" t="s">
        <v>623</v>
      </c>
      <c r="E96" s="215" t="s">
        <v>624</v>
      </c>
      <c r="F96" s="267">
        <v>2727.27</v>
      </c>
      <c r="G96" s="267">
        <v>0</v>
      </c>
      <c r="H96" s="268">
        <v>0</v>
      </c>
      <c r="I96" s="268">
        <v>0</v>
      </c>
      <c r="J96" s="268">
        <v>0</v>
      </c>
      <c r="K96" s="268">
        <v>572.73</v>
      </c>
      <c r="L96" s="268">
        <v>0</v>
      </c>
      <c r="M96" s="267">
        <v>0</v>
      </c>
      <c r="N96" s="270">
        <v>3300</v>
      </c>
    </row>
    <row r="97" spans="1:14" x14ac:dyDescent="0.25">
      <c r="A97" s="269" t="s">
        <v>688</v>
      </c>
      <c r="B97" s="232" t="s">
        <v>803</v>
      </c>
      <c r="C97" s="215" t="s">
        <v>622</v>
      </c>
      <c r="D97" s="215" t="s">
        <v>623</v>
      </c>
      <c r="E97" s="215" t="s">
        <v>624</v>
      </c>
      <c r="F97" s="267">
        <v>7851.24</v>
      </c>
      <c r="G97" s="267">
        <v>0</v>
      </c>
      <c r="H97" s="268">
        <v>0</v>
      </c>
      <c r="I97" s="268">
        <v>0</v>
      </c>
      <c r="J97" s="268">
        <v>0</v>
      </c>
      <c r="K97" s="268">
        <v>1648.76</v>
      </c>
      <c r="L97" s="268">
        <v>0</v>
      </c>
      <c r="M97" s="267">
        <v>0</v>
      </c>
      <c r="N97" s="270">
        <v>9500</v>
      </c>
    </row>
    <row r="98" spans="1:14" x14ac:dyDescent="0.25">
      <c r="A98" s="269" t="s">
        <v>688</v>
      </c>
      <c r="B98" s="232" t="s">
        <v>804</v>
      </c>
      <c r="C98" s="215" t="s">
        <v>625</v>
      </c>
      <c r="D98" s="215" t="s">
        <v>626</v>
      </c>
      <c r="E98" s="215">
        <v>30522428163</v>
      </c>
      <c r="F98" s="267">
        <v>4272727.28</v>
      </c>
      <c r="G98" s="267">
        <v>0</v>
      </c>
      <c r="H98" s="268">
        <v>0</v>
      </c>
      <c r="I98" s="268">
        <v>0</v>
      </c>
      <c r="J98" s="268">
        <v>0</v>
      </c>
      <c r="K98" s="268">
        <v>897272.73</v>
      </c>
      <c r="L98" s="268">
        <v>0</v>
      </c>
      <c r="M98" s="267">
        <v>0</v>
      </c>
      <c r="N98" s="270">
        <v>5170000.01</v>
      </c>
    </row>
    <row r="99" spans="1:14" x14ac:dyDescent="0.25">
      <c r="A99" s="269" t="s">
        <v>688</v>
      </c>
      <c r="B99" s="232" t="s">
        <v>805</v>
      </c>
      <c r="C99" s="215" t="s">
        <v>630</v>
      </c>
      <c r="D99" s="215" t="s">
        <v>623</v>
      </c>
      <c r="E99" s="215">
        <v>36622635</v>
      </c>
      <c r="F99" s="267">
        <v>12892.56</v>
      </c>
      <c r="G99" s="267">
        <v>0</v>
      </c>
      <c r="H99" s="268">
        <v>0</v>
      </c>
      <c r="I99" s="268">
        <v>0</v>
      </c>
      <c r="J99" s="268">
        <v>0</v>
      </c>
      <c r="K99" s="268">
        <v>2707.44</v>
      </c>
      <c r="L99" s="268">
        <v>0</v>
      </c>
      <c r="M99" s="267">
        <v>0</v>
      </c>
      <c r="N99" s="270">
        <v>15600</v>
      </c>
    </row>
    <row r="100" spans="1:14" x14ac:dyDescent="0.25">
      <c r="A100" s="269" t="s">
        <v>688</v>
      </c>
      <c r="B100" s="232" t="s">
        <v>806</v>
      </c>
      <c r="C100" s="215" t="s">
        <v>660</v>
      </c>
      <c r="D100" s="215" t="s">
        <v>623</v>
      </c>
      <c r="E100" s="215">
        <v>92316435</v>
      </c>
      <c r="F100" s="267">
        <v>6611.57</v>
      </c>
      <c r="G100" s="267">
        <v>0</v>
      </c>
      <c r="H100" s="268">
        <v>0</v>
      </c>
      <c r="I100" s="268">
        <v>0</v>
      </c>
      <c r="J100" s="268">
        <v>0</v>
      </c>
      <c r="K100" s="268">
        <v>1388.43</v>
      </c>
      <c r="L100" s="268">
        <v>0</v>
      </c>
      <c r="M100" s="267">
        <v>0</v>
      </c>
      <c r="N100" s="270">
        <v>8000</v>
      </c>
    </row>
    <row r="101" spans="1:14" x14ac:dyDescent="0.25">
      <c r="A101" s="269" t="s">
        <v>688</v>
      </c>
      <c r="B101" s="232" t="s">
        <v>807</v>
      </c>
      <c r="C101" s="215" t="s">
        <v>808</v>
      </c>
      <c r="D101" s="215" t="s">
        <v>623</v>
      </c>
      <c r="E101" s="215">
        <v>2925288</v>
      </c>
      <c r="F101" s="267">
        <v>14049.59</v>
      </c>
      <c r="G101" s="267">
        <v>0</v>
      </c>
      <c r="H101" s="268">
        <v>0</v>
      </c>
      <c r="I101" s="268">
        <v>0</v>
      </c>
      <c r="J101" s="268">
        <v>0</v>
      </c>
      <c r="K101" s="268">
        <v>2950.41</v>
      </c>
      <c r="L101" s="268">
        <v>0</v>
      </c>
      <c r="M101" s="267">
        <v>0</v>
      </c>
      <c r="N101" s="270">
        <v>17000</v>
      </c>
    </row>
    <row r="102" spans="1:14" x14ac:dyDescent="0.25">
      <c r="A102" s="269" t="s">
        <v>688</v>
      </c>
      <c r="B102" s="232" t="s">
        <v>809</v>
      </c>
      <c r="C102" s="215" t="s">
        <v>651</v>
      </c>
      <c r="D102" s="215" t="s">
        <v>623</v>
      </c>
      <c r="E102" s="215">
        <v>5274861</v>
      </c>
      <c r="F102" s="267">
        <v>8677.68</v>
      </c>
      <c r="G102" s="267">
        <v>0</v>
      </c>
      <c r="H102" s="268">
        <v>0</v>
      </c>
      <c r="I102" s="268">
        <v>0</v>
      </c>
      <c r="J102" s="268">
        <v>0</v>
      </c>
      <c r="K102" s="268">
        <v>1822.32</v>
      </c>
      <c r="L102" s="268">
        <v>0</v>
      </c>
      <c r="M102" s="267">
        <v>0</v>
      </c>
      <c r="N102" s="270">
        <v>10500</v>
      </c>
    </row>
    <row r="103" spans="1:14" x14ac:dyDescent="0.25">
      <c r="A103" s="269" t="s">
        <v>688</v>
      </c>
      <c r="B103" s="232" t="s">
        <v>810</v>
      </c>
      <c r="C103" s="215" t="s">
        <v>666</v>
      </c>
      <c r="D103" s="215" t="s">
        <v>623</v>
      </c>
      <c r="E103" s="215">
        <v>29654556</v>
      </c>
      <c r="F103" s="267">
        <v>4958.68</v>
      </c>
      <c r="G103" s="267">
        <v>0</v>
      </c>
      <c r="H103" s="268">
        <v>0</v>
      </c>
      <c r="I103" s="268">
        <v>0</v>
      </c>
      <c r="J103" s="268">
        <v>0</v>
      </c>
      <c r="K103" s="268">
        <v>1041.32</v>
      </c>
      <c r="L103" s="268">
        <v>0</v>
      </c>
      <c r="M103" s="267">
        <v>0</v>
      </c>
      <c r="N103" s="270">
        <v>6000</v>
      </c>
    </row>
    <row r="104" spans="1:14" x14ac:dyDescent="0.25">
      <c r="A104" s="269" t="s">
        <v>688</v>
      </c>
      <c r="B104" s="232" t="s">
        <v>811</v>
      </c>
      <c r="C104" s="215" t="s">
        <v>812</v>
      </c>
      <c r="D104" s="215" t="s">
        <v>623</v>
      </c>
      <c r="E104" s="215">
        <v>23229835</v>
      </c>
      <c r="F104" s="267">
        <v>4462.8100000000004</v>
      </c>
      <c r="G104" s="267">
        <v>0</v>
      </c>
      <c r="H104" s="268">
        <v>0</v>
      </c>
      <c r="I104" s="268">
        <v>0</v>
      </c>
      <c r="J104" s="268">
        <v>0</v>
      </c>
      <c r="K104" s="268">
        <v>937.19</v>
      </c>
      <c r="L104" s="268">
        <v>0</v>
      </c>
      <c r="M104" s="267">
        <v>0</v>
      </c>
      <c r="N104" s="270">
        <v>5400</v>
      </c>
    </row>
    <row r="105" spans="1:14" x14ac:dyDescent="0.25">
      <c r="A105" s="269" t="s">
        <v>688</v>
      </c>
      <c r="B105" s="232" t="s">
        <v>813</v>
      </c>
      <c r="C105" s="215" t="s">
        <v>814</v>
      </c>
      <c r="D105" s="215" t="s">
        <v>623</v>
      </c>
      <c r="E105" s="215">
        <v>17036140</v>
      </c>
      <c r="F105" s="267">
        <v>4297.5200000000004</v>
      </c>
      <c r="G105" s="267">
        <v>0</v>
      </c>
      <c r="H105" s="268">
        <v>0</v>
      </c>
      <c r="I105" s="268">
        <v>0</v>
      </c>
      <c r="J105" s="268">
        <v>0</v>
      </c>
      <c r="K105" s="268">
        <v>902.48</v>
      </c>
      <c r="L105" s="268">
        <v>0</v>
      </c>
      <c r="M105" s="267">
        <v>0</v>
      </c>
      <c r="N105" s="270">
        <v>5200</v>
      </c>
    </row>
    <row r="106" spans="1:14" x14ac:dyDescent="0.25">
      <c r="A106" s="269" t="s">
        <v>690</v>
      </c>
      <c r="B106" s="232" t="s">
        <v>815</v>
      </c>
      <c r="C106" s="215" t="s">
        <v>622</v>
      </c>
      <c r="D106" s="215" t="s">
        <v>623</v>
      </c>
      <c r="E106" s="215" t="s">
        <v>624</v>
      </c>
      <c r="F106" s="267">
        <v>1404.96</v>
      </c>
      <c r="G106" s="267">
        <v>0</v>
      </c>
      <c r="H106" s="268">
        <v>0</v>
      </c>
      <c r="I106" s="268">
        <v>0</v>
      </c>
      <c r="J106" s="268">
        <v>0</v>
      </c>
      <c r="K106" s="268">
        <v>295.04000000000002</v>
      </c>
      <c r="L106" s="268">
        <v>0</v>
      </c>
      <c r="M106" s="267">
        <v>0</v>
      </c>
      <c r="N106" s="270">
        <v>1700</v>
      </c>
    </row>
    <row r="107" spans="1:14" x14ac:dyDescent="0.25">
      <c r="A107" s="269" t="s">
        <v>690</v>
      </c>
      <c r="B107" s="232" t="s">
        <v>816</v>
      </c>
      <c r="C107" s="215" t="s">
        <v>622</v>
      </c>
      <c r="D107" s="215" t="s">
        <v>623</v>
      </c>
      <c r="E107" s="215" t="s">
        <v>624</v>
      </c>
      <c r="F107" s="267">
        <v>7975.21</v>
      </c>
      <c r="G107" s="267">
        <v>0</v>
      </c>
      <c r="H107" s="268">
        <v>0</v>
      </c>
      <c r="I107" s="268">
        <v>0</v>
      </c>
      <c r="J107" s="268">
        <v>0</v>
      </c>
      <c r="K107" s="268">
        <v>1674.79</v>
      </c>
      <c r="L107" s="268">
        <v>0</v>
      </c>
      <c r="M107" s="267">
        <v>0</v>
      </c>
      <c r="N107" s="270">
        <v>9650</v>
      </c>
    </row>
    <row r="108" spans="1:14" x14ac:dyDescent="0.25">
      <c r="A108" s="269" t="s">
        <v>690</v>
      </c>
      <c r="B108" s="232" t="s">
        <v>817</v>
      </c>
      <c r="C108" s="215" t="s">
        <v>622</v>
      </c>
      <c r="D108" s="215" t="s">
        <v>623</v>
      </c>
      <c r="E108" s="215" t="s">
        <v>624</v>
      </c>
      <c r="F108" s="267">
        <v>2727.27</v>
      </c>
      <c r="G108" s="267">
        <v>0</v>
      </c>
      <c r="H108" s="268">
        <v>0</v>
      </c>
      <c r="I108" s="268">
        <v>0</v>
      </c>
      <c r="J108" s="268">
        <v>0</v>
      </c>
      <c r="K108" s="268">
        <v>572.73</v>
      </c>
      <c r="L108" s="268">
        <v>0</v>
      </c>
      <c r="M108" s="267">
        <v>0</v>
      </c>
      <c r="N108" s="270">
        <v>3300</v>
      </c>
    </row>
    <row r="109" spans="1:14" x14ac:dyDescent="0.25">
      <c r="A109" s="269" t="s">
        <v>690</v>
      </c>
      <c r="B109" s="232" t="s">
        <v>818</v>
      </c>
      <c r="C109" s="215" t="s">
        <v>622</v>
      </c>
      <c r="D109" s="215" t="s">
        <v>623</v>
      </c>
      <c r="E109" s="215" t="s">
        <v>624</v>
      </c>
      <c r="F109" s="267">
        <v>10743.8</v>
      </c>
      <c r="G109" s="267">
        <v>0</v>
      </c>
      <c r="H109" s="268">
        <v>0</v>
      </c>
      <c r="I109" s="268">
        <v>0</v>
      </c>
      <c r="J109" s="268">
        <v>0</v>
      </c>
      <c r="K109" s="268">
        <v>2256.2000000000003</v>
      </c>
      <c r="L109" s="268">
        <v>0</v>
      </c>
      <c r="M109" s="267">
        <v>0</v>
      </c>
      <c r="N109" s="270">
        <v>13000</v>
      </c>
    </row>
    <row r="110" spans="1:14" x14ac:dyDescent="0.25">
      <c r="A110" s="269" t="s">
        <v>690</v>
      </c>
      <c r="B110" s="232" t="s">
        <v>819</v>
      </c>
      <c r="C110" s="215" t="s">
        <v>622</v>
      </c>
      <c r="D110" s="215" t="s">
        <v>623</v>
      </c>
      <c r="E110" s="215" t="s">
        <v>624</v>
      </c>
      <c r="F110" s="267">
        <v>8760.33</v>
      </c>
      <c r="G110" s="267">
        <v>0</v>
      </c>
      <c r="H110" s="268">
        <v>0</v>
      </c>
      <c r="I110" s="268">
        <v>0</v>
      </c>
      <c r="J110" s="268">
        <v>0</v>
      </c>
      <c r="K110" s="268">
        <v>1839.67</v>
      </c>
      <c r="L110" s="268">
        <v>0</v>
      </c>
      <c r="M110" s="267">
        <v>0</v>
      </c>
      <c r="N110" s="270">
        <v>10600</v>
      </c>
    </row>
    <row r="111" spans="1:14" x14ac:dyDescent="0.25">
      <c r="A111" s="269" t="s">
        <v>690</v>
      </c>
      <c r="B111" s="232" t="s">
        <v>820</v>
      </c>
      <c r="C111" s="215" t="s">
        <v>622</v>
      </c>
      <c r="D111" s="215" t="s">
        <v>623</v>
      </c>
      <c r="E111" s="215" t="s">
        <v>624</v>
      </c>
      <c r="F111" s="267">
        <v>9917.36</v>
      </c>
      <c r="G111" s="267">
        <v>0</v>
      </c>
      <c r="H111" s="268">
        <v>0</v>
      </c>
      <c r="I111" s="268">
        <v>0</v>
      </c>
      <c r="J111" s="268">
        <v>0</v>
      </c>
      <c r="K111" s="268">
        <v>2082.64</v>
      </c>
      <c r="L111" s="268">
        <v>0</v>
      </c>
      <c r="M111" s="267">
        <v>0</v>
      </c>
      <c r="N111" s="270">
        <v>12000</v>
      </c>
    </row>
    <row r="112" spans="1:14" x14ac:dyDescent="0.25">
      <c r="A112" s="269" t="s">
        <v>690</v>
      </c>
      <c r="B112" s="232" t="s">
        <v>821</v>
      </c>
      <c r="C112" s="215" t="s">
        <v>625</v>
      </c>
      <c r="D112" s="215" t="s">
        <v>626</v>
      </c>
      <c r="E112" s="215">
        <v>30522428163</v>
      </c>
      <c r="F112" s="267">
        <v>4964710.74</v>
      </c>
      <c r="G112" s="267">
        <v>0</v>
      </c>
      <c r="H112" s="268">
        <v>0</v>
      </c>
      <c r="I112" s="268">
        <v>0</v>
      </c>
      <c r="J112" s="268">
        <v>0</v>
      </c>
      <c r="K112" s="268">
        <v>1042589.26</v>
      </c>
      <c r="L112" s="268">
        <v>0</v>
      </c>
      <c r="M112" s="267">
        <v>0</v>
      </c>
      <c r="N112" s="270">
        <v>6007300</v>
      </c>
    </row>
    <row r="113" spans="1:14" x14ac:dyDescent="0.25">
      <c r="A113" s="269" t="s">
        <v>690</v>
      </c>
      <c r="B113" s="232" t="s">
        <v>822</v>
      </c>
      <c r="C113" s="215" t="s">
        <v>636</v>
      </c>
      <c r="D113" s="215" t="s">
        <v>626</v>
      </c>
      <c r="E113" s="215">
        <v>30683032227</v>
      </c>
      <c r="F113" s="267">
        <v>15454.54</v>
      </c>
      <c r="G113" s="267">
        <v>0</v>
      </c>
      <c r="H113" s="268">
        <v>0</v>
      </c>
      <c r="I113" s="268">
        <v>0</v>
      </c>
      <c r="J113" s="268">
        <v>0</v>
      </c>
      <c r="K113" s="268">
        <v>3245.46</v>
      </c>
      <c r="L113" s="268">
        <v>0</v>
      </c>
      <c r="M113" s="267">
        <v>0</v>
      </c>
      <c r="N113" s="270">
        <v>18700</v>
      </c>
    </row>
    <row r="114" spans="1:14" x14ac:dyDescent="0.25">
      <c r="A114" s="269" t="s">
        <v>690</v>
      </c>
      <c r="B114" s="232" t="s">
        <v>823</v>
      </c>
      <c r="C114" s="215" t="s">
        <v>824</v>
      </c>
      <c r="D114" s="215" t="s">
        <v>626</v>
      </c>
      <c r="E114" s="215">
        <v>20224251387</v>
      </c>
      <c r="F114" s="267">
        <v>6776.86</v>
      </c>
      <c r="G114" s="267">
        <v>0</v>
      </c>
      <c r="H114" s="268">
        <v>0</v>
      </c>
      <c r="I114" s="268">
        <v>0</v>
      </c>
      <c r="J114" s="268">
        <v>0</v>
      </c>
      <c r="K114" s="268">
        <v>1423.14</v>
      </c>
      <c r="L114" s="268">
        <v>0</v>
      </c>
      <c r="M114" s="267">
        <v>0</v>
      </c>
      <c r="N114" s="270">
        <v>8200</v>
      </c>
    </row>
    <row r="115" spans="1:14" x14ac:dyDescent="0.25">
      <c r="A115" s="269" t="s">
        <v>690</v>
      </c>
      <c r="B115" s="232" t="s">
        <v>825</v>
      </c>
      <c r="C115" s="215" t="s">
        <v>636</v>
      </c>
      <c r="D115" s="215" t="s">
        <v>626</v>
      </c>
      <c r="E115" s="215">
        <v>30683032227</v>
      </c>
      <c r="F115" s="267">
        <v>309584.55</v>
      </c>
      <c r="G115" s="267">
        <v>0</v>
      </c>
      <c r="H115" s="268">
        <v>0</v>
      </c>
      <c r="I115" s="268">
        <v>0</v>
      </c>
      <c r="J115" s="268">
        <v>0</v>
      </c>
      <c r="K115" s="268">
        <v>65012.76</v>
      </c>
      <c r="L115" s="268">
        <v>0</v>
      </c>
      <c r="M115" s="267">
        <v>0</v>
      </c>
      <c r="N115" s="270">
        <v>374597.31</v>
      </c>
    </row>
    <row r="116" spans="1:14" x14ac:dyDescent="0.25">
      <c r="A116" s="269" t="s">
        <v>690</v>
      </c>
      <c r="B116" s="232" t="s">
        <v>826</v>
      </c>
      <c r="C116" s="215" t="s">
        <v>636</v>
      </c>
      <c r="D116" s="215" t="s">
        <v>626</v>
      </c>
      <c r="E116" s="215">
        <v>30683032227</v>
      </c>
      <c r="F116" s="267">
        <v>46186.47</v>
      </c>
      <c r="G116" s="267">
        <v>0</v>
      </c>
      <c r="H116" s="268">
        <v>0</v>
      </c>
      <c r="I116" s="268">
        <v>0</v>
      </c>
      <c r="J116" s="268">
        <v>0</v>
      </c>
      <c r="K116" s="268">
        <v>9699.16</v>
      </c>
      <c r="L116" s="268">
        <v>0</v>
      </c>
      <c r="M116" s="267">
        <v>0</v>
      </c>
      <c r="N116" s="270">
        <v>55885.63</v>
      </c>
    </row>
    <row r="117" spans="1:14" x14ac:dyDescent="0.25">
      <c r="A117" s="269" t="s">
        <v>690</v>
      </c>
      <c r="B117" s="232" t="s">
        <v>827</v>
      </c>
      <c r="C117" s="215" t="s">
        <v>658</v>
      </c>
      <c r="D117" s="215" t="s">
        <v>623</v>
      </c>
      <c r="E117" s="215">
        <v>56980</v>
      </c>
      <c r="F117" s="267">
        <v>4132.2300000000005</v>
      </c>
      <c r="G117" s="267">
        <v>0</v>
      </c>
      <c r="H117" s="268">
        <v>0</v>
      </c>
      <c r="I117" s="268">
        <v>0</v>
      </c>
      <c r="J117" s="268">
        <v>0</v>
      </c>
      <c r="K117" s="268">
        <v>867.77</v>
      </c>
      <c r="L117" s="268">
        <v>0</v>
      </c>
      <c r="M117" s="267">
        <v>0</v>
      </c>
      <c r="N117" s="270">
        <v>5000</v>
      </c>
    </row>
    <row r="118" spans="1:14" x14ac:dyDescent="0.25">
      <c r="A118" s="269" t="s">
        <v>690</v>
      </c>
      <c r="B118" s="232" t="s">
        <v>828</v>
      </c>
      <c r="C118" s="215" t="s">
        <v>655</v>
      </c>
      <c r="D118" s="215" t="s">
        <v>623</v>
      </c>
      <c r="E118" s="215">
        <v>20404430</v>
      </c>
      <c r="F118" s="267">
        <v>7438.02</v>
      </c>
      <c r="G118" s="267">
        <v>0</v>
      </c>
      <c r="H118" s="268">
        <v>0</v>
      </c>
      <c r="I118" s="268">
        <v>0</v>
      </c>
      <c r="J118" s="268">
        <v>0</v>
      </c>
      <c r="K118" s="268">
        <v>1561.98</v>
      </c>
      <c r="L118" s="268">
        <v>0</v>
      </c>
      <c r="M118" s="267">
        <v>0</v>
      </c>
      <c r="N118" s="270">
        <v>9000</v>
      </c>
    </row>
    <row r="119" spans="1:14" x14ac:dyDescent="0.25">
      <c r="A119" s="269" t="s">
        <v>690</v>
      </c>
      <c r="B119" s="232" t="s">
        <v>829</v>
      </c>
      <c r="C119" s="215" t="s">
        <v>657</v>
      </c>
      <c r="D119" s="215" t="s">
        <v>623</v>
      </c>
      <c r="E119" s="215">
        <v>93195134</v>
      </c>
      <c r="F119" s="267">
        <v>3636.36</v>
      </c>
      <c r="G119" s="267">
        <v>0</v>
      </c>
      <c r="H119" s="268">
        <v>0</v>
      </c>
      <c r="I119" s="268">
        <v>0</v>
      </c>
      <c r="J119" s="268">
        <v>0</v>
      </c>
      <c r="K119" s="268">
        <v>763.64</v>
      </c>
      <c r="L119" s="268">
        <v>0</v>
      </c>
      <c r="M119" s="267">
        <v>0</v>
      </c>
      <c r="N119" s="270">
        <v>4400</v>
      </c>
    </row>
    <row r="120" spans="1:14" x14ac:dyDescent="0.25">
      <c r="A120" s="269" t="s">
        <v>690</v>
      </c>
      <c r="B120" s="232" t="s">
        <v>830</v>
      </c>
      <c r="C120" s="215" t="s">
        <v>665</v>
      </c>
      <c r="D120" s="215" t="s">
        <v>623</v>
      </c>
      <c r="E120" s="215">
        <v>902191</v>
      </c>
      <c r="F120" s="267">
        <v>4958.68</v>
      </c>
      <c r="G120" s="267">
        <v>0</v>
      </c>
      <c r="H120" s="268">
        <v>0</v>
      </c>
      <c r="I120" s="268">
        <v>0</v>
      </c>
      <c r="J120" s="268">
        <v>0</v>
      </c>
      <c r="K120" s="268">
        <v>1041.32</v>
      </c>
      <c r="L120" s="268">
        <v>0</v>
      </c>
      <c r="M120" s="267">
        <v>0</v>
      </c>
      <c r="N120" s="270">
        <v>6000</v>
      </c>
    </row>
    <row r="121" spans="1:14" x14ac:dyDescent="0.25">
      <c r="A121" s="269" t="s">
        <v>690</v>
      </c>
      <c r="B121" s="232" t="s">
        <v>831</v>
      </c>
      <c r="C121" s="215" t="s">
        <v>653</v>
      </c>
      <c r="D121" s="215" t="s">
        <v>623</v>
      </c>
      <c r="E121" s="215" t="s">
        <v>624</v>
      </c>
      <c r="F121" s="267">
        <v>16115.7</v>
      </c>
      <c r="G121" s="267">
        <v>0</v>
      </c>
      <c r="H121" s="268">
        <v>0</v>
      </c>
      <c r="I121" s="268">
        <v>0</v>
      </c>
      <c r="J121" s="268">
        <v>0</v>
      </c>
      <c r="K121" s="268">
        <v>3384.3</v>
      </c>
      <c r="L121" s="268">
        <v>0</v>
      </c>
      <c r="M121" s="267">
        <v>0</v>
      </c>
      <c r="N121" s="270">
        <v>19500</v>
      </c>
    </row>
    <row r="122" spans="1:14" x14ac:dyDescent="0.25">
      <c r="A122" s="269" t="s">
        <v>691</v>
      </c>
      <c r="B122" s="232" t="s">
        <v>832</v>
      </c>
      <c r="C122" s="215" t="s">
        <v>622</v>
      </c>
      <c r="D122" s="215" t="s">
        <v>623</v>
      </c>
      <c r="E122" s="215" t="s">
        <v>624</v>
      </c>
      <c r="F122" s="267">
        <v>3471.07</v>
      </c>
      <c r="G122" s="267">
        <v>0</v>
      </c>
      <c r="H122" s="268">
        <v>0</v>
      </c>
      <c r="I122" s="268">
        <v>0</v>
      </c>
      <c r="J122" s="268">
        <v>0</v>
      </c>
      <c r="K122" s="268">
        <v>728.93</v>
      </c>
      <c r="L122" s="268">
        <v>0</v>
      </c>
      <c r="M122" s="267">
        <v>0</v>
      </c>
      <c r="N122" s="270">
        <v>4200</v>
      </c>
    </row>
    <row r="123" spans="1:14" x14ac:dyDescent="0.25">
      <c r="A123" s="269" t="s">
        <v>691</v>
      </c>
      <c r="B123" s="232" t="s">
        <v>833</v>
      </c>
      <c r="C123" s="215" t="s">
        <v>622</v>
      </c>
      <c r="D123" s="215" t="s">
        <v>623</v>
      </c>
      <c r="E123" s="215" t="s">
        <v>624</v>
      </c>
      <c r="F123" s="267">
        <v>2066.12</v>
      </c>
      <c r="G123" s="267">
        <v>0</v>
      </c>
      <c r="H123" s="268">
        <v>0</v>
      </c>
      <c r="I123" s="268">
        <v>0</v>
      </c>
      <c r="J123" s="268">
        <v>0</v>
      </c>
      <c r="K123" s="268">
        <v>433.88</v>
      </c>
      <c r="L123" s="268">
        <v>0</v>
      </c>
      <c r="M123" s="267">
        <v>0</v>
      </c>
      <c r="N123" s="270">
        <v>2500</v>
      </c>
    </row>
    <row r="124" spans="1:14" x14ac:dyDescent="0.25">
      <c r="A124" s="269" t="s">
        <v>691</v>
      </c>
      <c r="B124" s="232" t="s">
        <v>834</v>
      </c>
      <c r="C124" s="215" t="s">
        <v>622</v>
      </c>
      <c r="D124" s="215" t="s">
        <v>623</v>
      </c>
      <c r="E124" s="215" t="s">
        <v>624</v>
      </c>
      <c r="F124" s="267">
        <v>6033.06</v>
      </c>
      <c r="G124" s="267">
        <v>0</v>
      </c>
      <c r="H124" s="268">
        <v>0</v>
      </c>
      <c r="I124" s="268">
        <v>0</v>
      </c>
      <c r="J124" s="268">
        <v>0</v>
      </c>
      <c r="K124" s="268">
        <v>1266.94</v>
      </c>
      <c r="L124" s="268">
        <v>0</v>
      </c>
      <c r="M124" s="267">
        <v>0</v>
      </c>
      <c r="N124" s="270">
        <v>7300</v>
      </c>
    </row>
    <row r="125" spans="1:14" x14ac:dyDescent="0.25">
      <c r="A125" s="269" t="s">
        <v>691</v>
      </c>
      <c r="B125" s="232" t="s">
        <v>835</v>
      </c>
      <c r="C125" s="215" t="s">
        <v>622</v>
      </c>
      <c r="D125" s="215" t="s">
        <v>623</v>
      </c>
      <c r="E125" s="215" t="s">
        <v>624</v>
      </c>
      <c r="F125" s="267">
        <v>3388.43</v>
      </c>
      <c r="G125" s="267">
        <v>0</v>
      </c>
      <c r="H125" s="268">
        <v>0</v>
      </c>
      <c r="I125" s="268">
        <v>0</v>
      </c>
      <c r="J125" s="268">
        <v>0</v>
      </c>
      <c r="K125" s="268">
        <v>711.57</v>
      </c>
      <c r="L125" s="268">
        <v>0</v>
      </c>
      <c r="M125" s="267">
        <v>0</v>
      </c>
      <c r="N125" s="270">
        <v>4100</v>
      </c>
    </row>
    <row r="126" spans="1:14" x14ac:dyDescent="0.25">
      <c r="A126" s="269" t="s">
        <v>691</v>
      </c>
      <c r="B126" s="232" t="s">
        <v>836</v>
      </c>
      <c r="C126" s="215" t="s">
        <v>622</v>
      </c>
      <c r="D126" s="215" t="s">
        <v>623</v>
      </c>
      <c r="E126" s="215" t="s">
        <v>624</v>
      </c>
      <c r="F126" s="267">
        <v>2892.56</v>
      </c>
      <c r="G126" s="267">
        <v>0</v>
      </c>
      <c r="H126" s="268">
        <v>0</v>
      </c>
      <c r="I126" s="268">
        <v>0</v>
      </c>
      <c r="J126" s="268">
        <v>0</v>
      </c>
      <c r="K126" s="268">
        <v>607.44000000000005</v>
      </c>
      <c r="L126" s="268">
        <v>0</v>
      </c>
      <c r="M126" s="267">
        <v>0</v>
      </c>
      <c r="N126" s="270">
        <v>3500</v>
      </c>
    </row>
    <row r="127" spans="1:14" x14ac:dyDescent="0.25">
      <c r="A127" s="269" t="s">
        <v>691</v>
      </c>
      <c r="B127" s="232" t="s">
        <v>837</v>
      </c>
      <c r="C127" s="215" t="s">
        <v>622</v>
      </c>
      <c r="D127" s="215" t="s">
        <v>623</v>
      </c>
      <c r="E127" s="215" t="s">
        <v>624</v>
      </c>
      <c r="F127" s="267">
        <v>18181.82</v>
      </c>
      <c r="G127" s="267">
        <v>0</v>
      </c>
      <c r="H127" s="268">
        <v>0</v>
      </c>
      <c r="I127" s="268">
        <v>0</v>
      </c>
      <c r="J127" s="268">
        <v>0</v>
      </c>
      <c r="K127" s="268">
        <v>3818.18</v>
      </c>
      <c r="L127" s="268">
        <v>0</v>
      </c>
      <c r="M127" s="267">
        <v>0</v>
      </c>
      <c r="N127" s="270">
        <v>22000</v>
      </c>
    </row>
    <row r="128" spans="1:14" x14ac:dyDescent="0.25">
      <c r="A128" s="269" t="s">
        <v>691</v>
      </c>
      <c r="B128" s="232" t="s">
        <v>838</v>
      </c>
      <c r="C128" s="215" t="s">
        <v>622</v>
      </c>
      <c r="D128" s="215" t="s">
        <v>623</v>
      </c>
      <c r="E128" s="215" t="s">
        <v>624</v>
      </c>
      <c r="F128" s="267">
        <v>6776.86</v>
      </c>
      <c r="G128" s="267">
        <v>0</v>
      </c>
      <c r="H128" s="268">
        <v>0</v>
      </c>
      <c r="I128" s="268">
        <v>0</v>
      </c>
      <c r="J128" s="268">
        <v>0</v>
      </c>
      <c r="K128" s="268">
        <v>1423.14</v>
      </c>
      <c r="L128" s="268">
        <v>0</v>
      </c>
      <c r="M128" s="267">
        <v>0</v>
      </c>
      <c r="N128" s="270">
        <v>8200</v>
      </c>
    </row>
    <row r="129" spans="1:14" x14ac:dyDescent="0.25">
      <c r="A129" s="269" t="s">
        <v>691</v>
      </c>
      <c r="B129" s="232" t="s">
        <v>839</v>
      </c>
      <c r="C129" s="215" t="s">
        <v>622</v>
      </c>
      <c r="D129" s="215" t="s">
        <v>623</v>
      </c>
      <c r="E129" s="215" t="s">
        <v>624</v>
      </c>
      <c r="F129" s="267">
        <v>2644.63</v>
      </c>
      <c r="G129" s="267">
        <v>0</v>
      </c>
      <c r="H129" s="268">
        <v>0</v>
      </c>
      <c r="I129" s="268">
        <v>0</v>
      </c>
      <c r="J129" s="268">
        <v>0</v>
      </c>
      <c r="K129" s="268">
        <v>555.37</v>
      </c>
      <c r="L129" s="268">
        <v>0</v>
      </c>
      <c r="M129" s="267">
        <v>0</v>
      </c>
      <c r="N129" s="270">
        <v>3200</v>
      </c>
    </row>
    <row r="130" spans="1:14" x14ac:dyDescent="0.25">
      <c r="A130" s="269" t="s">
        <v>691</v>
      </c>
      <c r="B130" s="232" t="s">
        <v>840</v>
      </c>
      <c r="C130" s="215" t="s">
        <v>622</v>
      </c>
      <c r="D130" s="215" t="s">
        <v>623</v>
      </c>
      <c r="E130" s="215" t="s">
        <v>624</v>
      </c>
      <c r="F130" s="267">
        <v>2851.24</v>
      </c>
      <c r="G130" s="267">
        <v>0</v>
      </c>
      <c r="H130" s="268">
        <v>0</v>
      </c>
      <c r="I130" s="268">
        <v>0</v>
      </c>
      <c r="J130" s="268">
        <v>0</v>
      </c>
      <c r="K130" s="268">
        <v>598.76</v>
      </c>
      <c r="L130" s="268">
        <v>0</v>
      </c>
      <c r="M130" s="267">
        <v>0</v>
      </c>
      <c r="N130" s="270">
        <v>3450</v>
      </c>
    </row>
    <row r="131" spans="1:14" x14ac:dyDescent="0.25">
      <c r="A131" s="269" t="s">
        <v>691</v>
      </c>
      <c r="B131" s="232" t="s">
        <v>841</v>
      </c>
      <c r="C131" s="215" t="s">
        <v>622</v>
      </c>
      <c r="D131" s="215" t="s">
        <v>623</v>
      </c>
      <c r="E131" s="215" t="s">
        <v>624</v>
      </c>
      <c r="F131" s="267">
        <v>2851.24</v>
      </c>
      <c r="G131" s="267">
        <v>0</v>
      </c>
      <c r="H131" s="268">
        <v>0</v>
      </c>
      <c r="I131" s="268">
        <v>0</v>
      </c>
      <c r="J131" s="268">
        <v>0</v>
      </c>
      <c r="K131" s="268">
        <v>598.76</v>
      </c>
      <c r="L131" s="268">
        <v>0</v>
      </c>
      <c r="M131" s="267">
        <v>0</v>
      </c>
      <c r="N131" s="270">
        <v>3450</v>
      </c>
    </row>
    <row r="132" spans="1:14" x14ac:dyDescent="0.25">
      <c r="A132" s="269" t="s">
        <v>691</v>
      </c>
      <c r="B132" s="232" t="s">
        <v>842</v>
      </c>
      <c r="C132" s="215" t="s">
        <v>622</v>
      </c>
      <c r="D132" s="215" t="s">
        <v>623</v>
      </c>
      <c r="E132" s="215" t="s">
        <v>624</v>
      </c>
      <c r="F132" s="267">
        <v>7851.24</v>
      </c>
      <c r="G132" s="267">
        <v>0</v>
      </c>
      <c r="H132" s="268">
        <v>0</v>
      </c>
      <c r="I132" s="268">
        <v>0</v>
      </c>
      <c r="J132" s="268">
        <v>0</v>
      </c>
      <c r="K132" s="268">
        <v>1648.76</v>
      </c>
      <c r="L132" s="268">
        <v>0</v>
      </c>
      <c r="M132" s="267">
        <v>0</v>
      </c>
      <c r="N132" s="270">
        <v>9500</v>
      </c>
    </row>
    <row r="133" spans="1:14" x14ac:dyDescent="0.25">
      <c r="A133" s="269" t="s">
        <v>691</v>
      </c>
      <c r="B133" s="232" t="s">
        <v>843</v>
      </c>
      <c r="C133" s="215" t="s">
        <v>622</v>
      </c>
      <c r="D133" s="215" t="s">
        <v>623</v>
      </c>
      <c r="E133" s="215" t="s">
        <v>624</v>
      </c>
      <c r="F133" s="267">
        <v>18595.04</v>
      </c>
      <c r="G133" s="267">
        <v>0</v>
      </c>
      <c r="H133" s="268">
        <v>0</v>
      </c>
      <c r="I133" s="268">
        <v>0</v>
      </c>
      <c r="J133" s="268">
        <v>0</v>
      </c>
      <c r="K133" s="268">
        <v>3904.96</v>
      </c>
      <c r="L133" s="268">
        <v>0</v>
      </c>
      <c r="M133" s="267">
        <v>0</v>
      </c>
      <c r="N133" s="270">
        <v>22500</v>
      </c>
    </row>
    <row r="134" spans="1:14" x14ac:dyDescent="0.25">
      <c r="A134" s="269" t="s">
        <v>691</v>
      </c>
      <c r="B134" s="232" t="s">
        <v>844</v>
      </c>
      <c r="C134" s="215" t="s">
        <v>622</v>
      </c>
      <c r="D134" s="215" t="s">
        <v>623</v>
      </c>
      <c r="E134" s="215" t="s">
        <v>624</v>
      </c>
      <c r="F134" s="267">
        <v>3801.65</v>
      </c>
      <c r="G134" s="267">
        <v>0</v>
      </c>
      <c r="H134" s="268">
        <v>0</v>
      </c>
      <c r="I134" s="268">
        <v>0</v>
      </c>
      <c r="J134" s="268">
        <v>0</v>
      </c>
      <c r="K134" s="268">
        <v>798.35</v>
      </c>
      <c r="L134" s="268">
        <v>0</v>
      </c>
      <c r="M134" s="267">
        <v>0</v>
      </c>
      <c r="N134" s="270">
        <v>4600</v>
      </c>
    </row>
    <row r="135" spans="1:14" x14ac:dyDescent="0.25">
      <c r="A135" s="269" t="s">
        <v>691</v>
      </c>
      <c r="B135" s="232" t="s">
        <v>845</v>
      </c>
      <c r="C135" s="215" t="s">
        <v>622</v>
      </c>
      <c r="D135" s="215" t="s">
        <v>623</v>
      </c>
      <c r="E135" s="215" t="s">
        <v>624</v>
      </c>
      <c r="F135" s="267">
        <v>7851.24</v>
      </c>
      <c r="G135" s="267">
        <v>0</v>
      </c>
      <c r="H135" s="268">
        <v>0</v>
      </c>
      <c r="I135" s="268">
        <v>0</v>
      </c>
      <c r="J135" s="268">
        <v>0</v>
      </c>
      <c r="K135" s="268">
        <v>1648.76</v>
      </c>
      <c r="L135" s="268">
        <v>0</v>
      </c>
      <c r="M135" s="267">
        <v>0</v>
      </c>
      <c r="N135" s="270">
        <v>9500</v>
      </c>
    </row>
    <row r="136" spans="1:14" x14ac:dyDescent="0.25">
      <c r="A136" s="269" t="s">
        <v>691</v>
      </c>
      <c r="B136" s="232" t="s">
        <v>846</v>
      </c>
      <c r="C136" s="215" t="s">
        <v>622</v>
      </c>
      <c r="D136" s="215" t="s">
        <v>623</v>
      </c>
      <c r="E136" s="215" t="s">
        <v>624</v>
      </c>
      <c r="F136" s="267">
        <v>2231.4</v>
      </c>
      <c r="G136" s="267">
        <v>0</v>
      </c>
      <c r="H136" s="268">
        <v>0</v>
      </c>
      <c r="I136" s="268">
        <v>0</v>
      </c>
      <c r="J136" s="268">
        <v>0</v>
      </c>
      <c r="K136" s="268">
        <v>468.6</v>
      </c>
      <c r="L136" s="268">
        <v>0</v>
      </c>
      <c r="M136" s="267">
        <v>0</v>
      </c>
      <c r="N136" s="270">
        <v>2700</v>
      </c>
    </row>
    <row r="137" spans="1:14" x14ac:dyDescent="0.25">
      <c r="A137" s="269" t="s">
        <v>691</v>
      </c>
      <c r="B137" s="232" t="s">
        <v>847</v>
      </c>
      <c r="C137" s="215" t="s">
        <v>622</v>
      </c>
      <c r="D137" s="215" t="s">
        <v>623</v>
      </c>
      <c r="E137" s="215" t="s">
        <v>624</v>
      </c>
      <c r="F137" s="267">
        <v>12066.12</v>
      </c>
      <c r="G137" s="267">
        <v>0</v>
      </c>
      <c r="H137" s="268">
        <v>0</v>
      </c>
      <c r="I137" s="268">
        <v>0</v>
      </c>
      <c r="J137" s="268">
        <v>0</v>
      </c>
      <c r="K137" s="268">
        <v>2533.88</v>
      </c>
      <c r="L137" s="268">
        <v>0</v>
      </c>
      <c r="M137" s="267">
        <v>0</v>
      </c>
      <c r="N137" s="270">
        <v>14600</v>
      </c>
    </row>
    <row r="138" spans="1:14" x14ac:dyDescent="0.25">
      <c r="A138" s="269" t="s">
        <v>691</v>
      </c>
      <c r="B138" s="232" t="s">
        <v>848</v>
      </c>
      <c r="C138" s="215" t="s">
        <v>622</v>
      </c>
      <c r="D138" s="215" t="s">
        <v>623</v>
      </c>
      <c r="E138" s="215" t="s">
        <v>624</v>
      </c>
      <c r="F138" s="267">
        <v>12066.12</v>
      </c>
      <c r="G138" s="267">
        <v>0</v>
      </c>
      <c r="H138" s="268">
        <v>0</v>
      </c>
      <c r="I138" s="268">
        <v>0</v>
      </c>
      <c r="J138" s="268">
        <v>0</v>
      </c>
      <c r="K138" s="268">
        <v>2533.88</v>
      </c>
      <c r="L138" s="268">
        <v>0</v>
      </c>
      <c r="M138" s="267">
        <v>0</v>
      </c>
      <c r="N138" s="270">
        <v>14600</v>
      </c>
    </row>
    <row r="139" spans="1:14" x14ac:dyDescent="0.25">
      <c r="A139" s="269" t="s">
        <v>691</v>
      </c>
      <c r="B139" s="232" t="s">
        <v>849</v>
      </c>
      <c r="C139" s="215" t="s">
        <v>635</v>
      </c>
      <c r="D139" s="215" t="s">
        <v>626</v>
      </c>
      <c r="E139" s="215">
        <v>30608716390</v>
      </c>
      <c r="F139" s="267">
        <v>1818.18</v>
      </c>
      <c r="G139" s="267">
        <v>0</v>
      </c>
      <c r="H139" s="268">
        <v>0</v>
      </c>
      <c r="I139" s="268">
        <v>0</v>
      </c>
      <c r="J139" s="268">
        <v>0</v>
      </c>
      <c r="K139" s="268">
        <v>381.82</v>
      </c>
      <c r="L139" s="268">
        <v>0</v>
      </c>
      <c r="M139" s="267">
        <v>0</v>
      </c>
      <c r="N139" s="270">
        <v>2200</v>
      </c>
    </row>
    <row r="140" spans="1:14" x14ac:dyDescent="0.25">
      <c r="A140" s="269" t="s">
        <v>691</v>
      </c>
      <c r="B140" s="232" t="s">
        <v>850</v>
      </c>
      <c r="C140" s="215" t="s">
        <v>625</v>
      </c>
      <c r="D140" s="215" t="s">
        <v>626</v>
      </c>
      <c r="E140" s="215">
        <v>30522428163</v>
      </c>
      <c r="F140" s="267">
        <v>21638.12</v>
      </c>
      <c r="G140" s="267">
        <v>0</v>
      </c>
      <c r="H140" s="268">
        <v>0</v>
      </c>
      <c r="I140" s="268">
        <v>0</v>
      </c>
      <c r="J140" s="268">
        <v>0</v>
      </c>
      <c r="K140" s="268">
        <v>4544.01</v>
      </c>
      <c r="L140" s="268">
        <v>0</v>
      </c>
      <c r="M140" s="267">
        <v>0</v>
      </c>
      <c r="N140" s="270">
        <v>26182.13</v>
      </c>
    </row>
    <row r="141" spans="1:14" x14ac:dyDescent="0.25">
      <c r="A141" s="269" t="s">
        <v>691</v>
      </c>
      <c r="B141" s="232" t="s">
        <v>851</v>
      </c>
      <c r="C141" s="215" t="s">
        <v>625</v>
      </c>
      <c r="D141" s="215" t="s">
        <v>626</v>
      </c>
      <c r="E141" s="215">
        <v>30522428163</v>
      </c>
      <c r="F141" s="267">
        <v>178881.6</v>
      </c>
      <c r="G141" s="267">
        <v>0</v>
      </c>
      <c r="H141" s="268">
        <v>0</v>
      </c>
      <c r="I141" s="268">
        <v>0</v>
      </c>
      <c r="J141" s="268">
        <v>0</v>
      </c>
      <c r="K141" s="268">
        <v>37565.14</v>
      </c>
      <c r="L141" s="268">
        <v>0</v>
      </c>
      <c r="M141" s="267">
        <v>0</v>
      </c>
      <c r="N141" s="270">
        <v>216446.74</v>
      </c>
    </row>
    <row r="142" spans="1:14" x14ac:dyDescent="0.25">
      <c r="A142" s="269" t="s">
        <v>691</v>
      </c>
      <c r="B142" s="232" t="s">
        <v>852</v>
      </c>
      <c r="C142" s="215" t="s">
        <v>853</v>
      </c>
      <c r="D142" s="215" t="s">
        <v>623</v>
      </c>
      <c r="E142" s="215" t="s">
        <v>624</v>
      </c>
      <c r="F142" s="267">
        <v>3636.35</v>
      </c>
      <c r="G142" s="267">
        <v>0</v>
      </c>
      <c r="H142" s="268">
        <v>0</v>
      </c>
      <c r="I142" s="268">
        <v>0</v>
      </c>
      <c r="J142" s="268">
        <v>0</v>
      </c>
      <c r="K142" s="268">
        <v>763.65</v>
      </c>
      <c r="L142" s="268">
        <v>0</v>
      </c>
      <c r="M142" s="267">
        <v>0</v>
      </c>
      <c r="N142" s="270">
        <v>4400</v>
      </c>
    </row>
    <row r="143" spans="1:14" x14ac:dyDescent="0.25">
      <c r="A143" s="269" t="s">
        <v>692</v>
      </c>
      <c r="B143" s="232" t="s">
        <v>854</v>
      </c>
      <c r="C143" s="215" t="s">
        <v>622</v>
      </c>
      <c r="D143" s="215" t="s">
        <v>623</v>
      </c>
      <c r="E143" s="215" t="s">
        <v>624</v>
      </c>
      <c r="F143" s="267">
        <v>7851.24</v>
      </c>
      <c r="G143" s="267">
        <v>0</v>
      </c>
      <c r="H143" s="268">
        <v>0</v>
      </c>
      <c r="I143" s="268">
        <v>0</v>
      </c>
      <c r="J143" s="268">
        <v>0</v>
      </c>
      <c r="K143" s="268">
        <v>1648.76</v>
      </c>
      <c r="L143" s="268">
        <v>0</v>
      </c>
      <c r="M143" s="267">
        <v>0</v>
      </c>
      <c r="N143" s="270">
        <v>9500</v>
      </c>
    </row>
    <row r="144" spans="1:14" x14ac:dyDescent="0.25">
      <c r="A144" s="269" t="s">
        <v>692</v>
      </c>
      <c r="B144" s="232" t="s">
        <v>855</v>
      </c>
      <c r="C144" s="215" t="s">
        <v>622</v>
      </c>
      <c r="D144" s="215" t="s">
        <v>623</v>
      </c>
      <c r="E144" s="215" t="s">
        <v>624</v>
      </c>
      <c r="F144" s="267">
        <v>5950.41</v>
      </c>
      <c r="G144" s="267">
        <v>0</v>
      </c>
      <c r="H144" s="268">
        <v>0</v>
      </c>
      <c r="I144" s="268">
        <v>0</v>
      </c>
      <c r="J144" s="268">
        <v>0</v>
      </c>
      <c r="K144" s="268">
        <v>1249.5899999999999</v>
      </c>
      <c r="L144" s="268">
        <v>0</v>
      </c>
      <c r="M144" s="267">
        <v>0</v>
      </c>
      <c r="N144" s="270">
        <v>7200</v>
      </c>
    </row>
    <row r="145" spans="1:14" x14ac:dyDescent="0.25">
      <c r="A145" s="269" t="s">
        <v>692</v>
      </c>
      <c r="B145" s="232" t="s">
        <v>856</v>
      </c>
      <c r="C145" s="215" t="s">
        <v>622</v>
      </c>
      <c r="D145" s="215" t="s">
        <v>623</v>
      </c>
      <c r="E145" s="215" t="s">
        <v>624</v>
      </c>
      <c r="F145" s="267">
        <v>3305.79</v>
      </c>
      <c r="G145" s="267">
        <v>0</v>
      </c>
      <c r="H145" s="268">
        <v>0</v>
      </c>
      <c r="I145" s="268">
        <v>0</v>
      </c>
      <c r="J145" s="268">
        <v>0</v>
      </c>
      <c r="K145" s="268">
        <v>694.21</v>
      </c>
      <c r="L145" s="268">
        <v>0</v>
      </c>
      <c r="M145" s="267">
        <v>0</v>
      </c>
      <c r="N145" s="270">
        <v>4000</v>
      </c>
    </row>
    <row r="146" spans="1:14" x14ac:dyDescent="0.25">
      <c r="A146" s="269" t="s">
        <v>692</v>
      </c>
      <c r="B146" s="232" t="s">
        <v>857</v>
      </c>
      <c r="C146" s="215" t="s">
        <v>622</v>
      </c>
      <c r="D146" s="215" t="s">
        <v>623</v>
      </c>
      <c r="E146" s="215" t="s">
        <v>624</v>
      </c>
      <c r="F146" s="267">
        <v>9504.130000000001</v>
      </c>
      <c r="G146" s="267">
        <v>0</v>
      </c>
      <c r="H146" s="268">
        <v>0</v>
      </c>
      <c r="I146" s="268">
        <v>0</v>
      </c>
      <c r="J146" s="268">
        <v>0</v>
      </c>
      <c r="K146" s="268">
        <v>1995.87</v>
      </c>
      <c r="L146" s="268">
        <v>0</v>
      </c>
      <c r="M146" s="267">
        <v>0</v>
      </c>
      <c r="N146" s="270">
        <v>11500</v>
      </c>
    </row>
    <row r="147" spans="1:14" x14ac:dyDescent="0.25">
      <c r="A147" s="269" t="s">
        <v>692</v>
      </c>
      <c r="B147" s="232" t="s">
        <v>858</v>
      </c>
      <c r="C147" s="215" t="s">
        <v>622</v>
      </c>
      <c r="D147" s="215" t="s">
        <v>623</v>
      </c>
      <c r="E147" s="215" t="s">
        <v>624</v>
      </c>
      <c r="F147" s="267">
        <v>6776.86</v>
      </c>
      <c r="G147" s="267">
        <v>0</v>
      </c>
      <c r="H147" s="268">
        <v>0</v>
      </c>
      <c r="I147" s="268">
        <v>0</v>
      </c>
      <c r="J147" s="268">
        <v>0</v>
      </c>
      <c r="K147" s="268">
        <v>1423.14</v>
      </c>
      <c r="L147" s="268">
        <v>0</v>
      </c>
      <c r="M147" s="267">
        <v>0</v>
      </c>
      <c r="N147" s="270">
        <v>8200</v>
      </c>
    </row>
    <row r="148" spans="1:14" x14ac:dyDescent="0.25">
      <c r="A148" s="269" t="s">
        <v>692</v>
      </c>
      <c r="B148" s="232" t="s">
        <v>859</v>
      </c>
      <c r="C148" s="215" t="s">
        <v>622</v>
      </c>
      <c r="D148" s="215" t="s">
        <v>623</v>
      </c>
      <c r="E148" s="215" t="s">
        <v>624</v>
      </c>
      <c r="F148" s="267">
        <v>3966.94</v>
      </c>
      <c r="G148" s="267">
        <v>0</v>
      </c>
      <c r="H148" s="268">
        <v>0</v>
      </c>
      <c r="I148" s="268">
        <v>0</v>
      </c>
      <c r="J148" s="268">
        <v>0</v>
      </c>
      <c r="K148" s="268">
        <v>833.06</v>
      </c>
      <c r="L148" s="268">
        <v>0</v>
      </c>
      <c r="M148" s="267">
        <v>0</v>
      </c>
      <c r="N148" s="270">
        <v>4800</v>
      </c>
    </row>
    <row r="149" spans="1:14" x14ac:dyDescent="0.25">
      <c r="A149" s="269" t="s">
        <v>692</v>
      </c>
      <c r="B149" s="232" t="s">
        <v>860</v>
      </c>
      <c r="C149" s="215" t="s">
        <v>622</v>
      </c>
      <c r="D149" s="215" t="s">
        <v>623</v>
      </c>
      <c r="E149" s="215" t="s">
        <v>624</v>
      </c>
      <c r="F149" s="267">
        <v>3057.85</v>
      </c>
      <c r="G149" s="267">
        <v>0</v>
      </c>
      <c r="H149" s="268">
        <v>0</v>
      </c>
      <c r="I149" s="268">
        <v>0</v>
      </c>
      <c r="J149" s="268">
        <v>0</v>
      </c>
      <c r="K149" s="268">
        <v>642.15</v>
      </c>
      <c r="L149" s="268">
        <v>0</v>
      </c>
      <c r="M149" s="267">
        <v>0</v>
      </c>
      <c r="N149" s="270">
        <v>3700</v>
      </c>
    </row>
    <row r="150" spans="1:14" x14ac:dyDescent="0.25">
      <c r="A150" s="269" t="s">
        <v>692</v>
      </c>
      <c r="B150" s="232" t="s">
        <v>861</v>
      </c>
      <c r="C150" s="215" t="s">
        <v>622</v>
      </c>
      <c r="D150" s="215" t="s">
        <v>623</v>
      </c>
      <c r="E150" s="215" t="s">
        <v>624</v>
      </c>
      <c r="F150" s="267">
        <v>6611.57</v>
      </c>
      <c r="G150" s="267">
        <v>0</v>
      </c>
      <c r="H150" s="268">
        <v>0</v>
      </c>
      <c r="I150" s="268">
        <v>0</v>
      </c>
      <c r="J150" s="268">
        <v>0</v>
      </c>
      <c r="K150" s="268">
        <v>1388.43</v>
      </c>
      <c r="L150" s="268">
        <v>0</v>
      </c>
      <c r="M150" s="267">
        <v>0</v>
      </c>
      <c r="N150" s="270">
        <v>8000</v>
      </c>
    </row>
    <row r="151" spans="1:14" x14ac:dyDescent="0.25">
      <c r="A151" s="269" t="s">
        <v>692</v>
      </c>
      <c r="B151" s="232" t="s">
        <v>862</v>
      </c>
      <c r="C151" s="215" t="s">
        <v>625</v>
      </c>
      <c r="D151" s="215" t="s">
        <v>626</v>
      </c>
      <c r="E151" s="215">
        <v>30522428163</v>
      </c>
      <c r="F151" s="267">
        <v>197620.2</v>
      </c>
      <c r="G151" s="267">
        <v>0</v>
      </c>
      <c r="H151" s="268">
        <v>0</v>
      </c>
      <c r="I151" s="268">
        <v>0</v>
      </c>
      <c r="J151" s="268">
        <v>0</v>
      </c>
      <c r="K151" s="268">
        <v>41500.239999999998</v>
      </c>
      <c r="L151" s="268">
        <v>0</v>
      </c>
      <c r="M151" s="267">
        <v>0</v>
      </c>
      <c r="N151" s="270">
        <v>239120.44</v>
      </c>
    </row>
    <row r="152" spans="1:14" x14ac:dyDescent="0.25">
      <c r="A152" s="269" t="s">
        <v>692</v>
      </c>
      <c r="B152" s="232" t="s">
        <v>863</v>
      </c>
      <c r="C152" s="215" t="s">
        <v>635</v>
      </c>
      <c r="D152" s="215" t="s">
        <v>626</v>
      </c>
      <c r="E152" s="215">
        <v>30608716390</v>
      </c>
      <c r="F152" s="267">
        <v>986.37</v>
      </c>
      <c r="G152" s="267">
        <v>0</v>
      </c>
      <c r="H152" s="268">
        <v>0</v>
      </c>
      <c r="I152" s="268">
        <v>0</v>
      </c>
      <c r="J152" s="268">
        <v>0</v>
      </c>
      <c r="K152" s="268">
        <v>207.14</v>
      </c>
      <c r="L152" s="268">
        <v>0</v>
      </c>
      <c r="M152" s="267">
        <v>0</v>
      </c>
      <c r="N152" s="270">
        <v>1193.51</v>
      </c>
    </row>
    <row r="153" spans="1:14" x14ac:dyDescent="0.25">
      <c r="A153" s="269" t="s">
        <v>692</v>
      </c>
      <c r="B153" s="232" t="s">
        <v>864</v>
      </c>
      <c r="C153" s="215" t="s">
        <v>635</v>
      </c>
      <c r="D153" s="215" t="s">
        <v>626</v>
      </c>
      <c r="E153" s="215">
        <v>30608716390</v>
      </c>
      <c r="F153" s="267">
        <v>1818.18</v>
      </c>
      <c r="G153" s="267">
        <v>0</v>
      </c>
      <c r="H153" s="268">
        <v>0</v>
      </c>
      <c r="I153" s="268">
        <v>0</v>
      </c>
      <c r="J153" s="268">
        <v>0</v>
      </c>
      <c r="K153" s="268">
        <v>381.82</v>
      </c>
      <c r="L153" s="268">
        <v>0</v>
      </c>
      <c r="M153" s="267">
        <v>0</v>
      </c>
      <c r="N153" s="270">
        <v>2200</v>
      </c>
    </row>
    <row r="154" spans="1:14" x14ac:dyDescent="0.25">
      <c r="A154" s="269" t="s">
        <v>692</v>
      </c>
      <c r="B154" s="232" t="s">
        <v>865</v>
      </c>
      <c r="C154" s="215" t="s">
        <v>661</v>
      </c>
      <c r="D154" s="215" t="s">
        <v>623</v>
      </c>
      <c r="E154" s="215">
        <v>94061699</v>
      </c>
      <c r="F154" s="267">
        <v>6776.86</v>
      </c>
      <c r="G154" s="267">
        <v>0</v>
      </c>
      <c r="H154" s="268">
        <v>0</v>
      </c>
      <c r="I154" s="268">
        <v>0</v>
      </c>
      <c r="J154" s="268">
        <v>0</v>
      </c>
      <c r="K154" s="268">
        <v>1423.14</v>
      </c>
      <c r="L154" s="268">
        <v>0</v>
      </c>
      <c r="M154" s="267">
        <v>0</v>
      </c>
      <c r="N154" s="270">
        <v>8200</v>
      </c>
    </row>
    <row r="155" spans="1:14" x14ac:dyDescent="0.25">
      <c r="A155" s="269" t="s">
        <v>692</v>
      </c>
      <c r="B155" s="232" t="s">
        <v>866</v>
      </c>
      <c r="C155" s="215" t="s">
        <v>659</v>
      </c>
      <c r="D155" s="215" t="s">
        <v>623</v>
      </c>
      <c r="E155" s="215">
        <v>12791306</v>
      </c>
      <c r="F155" s="267">
        <v>8677.68</v>
      </c>
      <c r="G155" s="267">
        <v>0</v>
      </c>
      <c r="H155" s="268">
        <v>0</v>
      </c>
      <c r="I155" s="268">
        <v>0</v>
      </c>
      <c r="J155" s="268">
        <v>0</v>
      </c>
      <c r="K155" s="268">
        <v>1822.32</v>
      </c>
      <c r="L155" s="268">
        <v>0</v>
      </c>
      <c r="M155" s="267">
        <v>0</v>
      </c>
      <c r="N155" s="270">
        <v>10500</v>
      </c>
    </row>
    <row r="156" spans="1:14" x14ac:dyDescent="0.25">
      <c r="A156" s="269" t="s">
        <v>692</v>
      </c>
      <c r="B156" s="232" t="s">
        <v>867</v>
      </c>
      <c r="C156" s="215" t="s">
        <v>868</v>
      </c>
      <c r="D156" s="215" t="s">
        <v>623</v>
      </c>
      <c r="E156" s="215">
        <v>705467</v>
      </c>
      <c r="F156" s="267">
        <v>9090.91</v>
      </c>
      <c r="G156" s="267">
        <v>0</v>
      </c>
      <c r="H156" s="268">
        <v>0</v>
      </c>
      <c r="I156" s="268">
        <v>0</v>
      </c>
      <c r="J156" s="268">
        <v>0</v>
      </c>
      <c r="K156" s="268">
        <v>1909.09</v>
      </c>
      <c r="L156" s="268">
        <v>0</v>
      </c>
      <c r="M156" s="267">
        <v>0</v>
      </c>
      <c r="N156" s="270">
        <v>11000</v>
      </c>
    </row>
    <row r="157" spans="1:14" x14ac:dyDescent="0.25">
      <c r="A157" s="269" t="s">
        <v>692</v>
      </c>
      <c r="B157" s="232" t="s">
        <v>869</v>
      </c>
      <c r="C157" s="215" t="s">
        <v>644</v>
      </c>
      <c r="D157" s="215" t="s">
        <v>641</v>
      </c>
      <c r="E157" s="215">
        <v>30658137642</v>
      </c>
      <c r="F157" s="267">
        <v>111570.25</v>
      </c>
      <c r="G157" s="267">
        <v>0</v>
      </c>
      <c r="H157" s="268">
        <v>0</v>
      </c>
      <c r="I157" s="268">
        <v>0</v>
      </c>
      <c r="J157" s="268">
        <v>0</v>
      </c>
      <c r="K157" s="268">
        <v>23429.75</v>
      </c>
      <c r="L157" s="268">
        <v>0</v>
      </c>
      <c r="M157" s="267">
        <v>0</v>
      </c>
      <c r="N157" s="270">
        <v>135000</v>
      </c>
    </row>
    <row r="158" spans="1:14" x14ac:dyDescent="0.25">
      <c r="A158" s="269" t="s">
        <v>693</v>
      </c>
      <c r="B158" s="232" t="s">
        <v>870</v>
      </c>
      <c r="C158" s="215" t="s">
        <v>622</v>
      </c>
      <c r="D158" s="215" t="s">
        <v>623</v>
      </c>
      <c r="E158" s="215" t="s">
        <v>624</v>
      </c>
      <c r="F158" s="267">
        <v>-12066.12</v>
      </c>
      <c r="G158" s="267">
        <v>0</v>
      </c>
      <c r="H158" s="268">
        <v>0</v>
      </c>
      <c r="I158" s="268">
        <v>0</v>
      </c>
      <c r="J158" s="268">
        <v>0</v>
      </c>
      <c r="K158" s="268">
        <v>-2533.88</v>
      </c>
      <c r="L158" s="268">
        <v>0</v>
      </c>
      <c r="M158" s="267">
        <v>0</v>
      </c>
      <c r="N158" s="270">
        <v>-14600</v>
      </c>
    </row>
    <row r="159" spans="1:14" x14ac:dyDescent="0.25">
      <c r="A159" s="269" t="s">
        <v>693</v>
      </c>
      <c r="B159" s="232" t="s">
        <v>871</v>
      </c>
      <c r="C159" s="215" t="s">
        <v>622</v>
      </c>
      <c r="D159" s="215" t="s">
        <v>623</v>
      </c>
      <c r="E159" s="215" t="s">
        <v>624</v>
      </c>
      <c r="F159" s="267">
        <v>3388.43</v>
      </c>
      <c r="G159" s="267">
        <v>0</v>
      </c>
      <c r="H159" s="268">
        <v>0</v>
      </c>
      <c r="I159" s="268">
        <v>0</v>
      </c>
      <c r="J159" s="268">
        <v>0</v>
      </c>
      <c r="K159" s="268">
        <v>711.57</v>
      </c>
      <c r="L159" s="268">
        <v>0</v>
      </c>
      <c r="M159" s="267">
        <v>0</v>
      </c>
      <c r="N159" s="270">
        <v>4100</v>
      </c>
    </row>
    <row r="160" spans="1:14" x14ac:dyDescent="0.25">
      <c r="A160" s="269" t="s">
        <v>693</v>
      </c>
      <c r="B160" s="232" t="s">
        <v>872</v>
      </c>
      <c r="C160" s="215" t="s">
        <v>622</v>
      </c>
      <c r="D160" s="215" t="s">
        <v>623</v>
      </c>
      <c r="E160" s="215" t="s">
        <v>624</v>
      </c>
      <c r="F160" s="267">
        <v>2892.56</v>
      </c>
      <c r="G160" s="267">
        <v>0</v>
      </c>
      <c r="H160" s="268">
        <v>0</v>
      </c>
      <c r="I160" s="268">
        <v>0</v>
      </c>
      <c r="J160" s="268">
        <v>0</v>
      </c>
      <c r="K160" s="268">
        <v>607.44000000000005</v>
      </c>
      <c r="L160" s="268">
        <v>0</v>
      </c>
      <c r="M160" s="267">
        <v>0</v>
      </c>
      <c r="N160" s="270">
        <v>3500</v>
      </c>
    </row>
    <row r="161" spans="1:14" x14ac:dyDescent="0.25">
      <c r="A161" s="269" t="s">
        <v>693</v>
      </c>
      <c r="B161" s="232" t="s">
        <v>873</v>
      </c>
      <c r="C161" s="215" t="s">
        <v>622</v>
      </c>
      <c r="D161" s="215" t="s">
        <v>623</v>
      </c>
      <c r="E161" s="215" t="s">
        <v>624</v>
      </c>
      <c r="F161" s="267">
        <v>2479.34</v>
      </c>
      <c r="G161" s="267">
        <v>0</v>
      </c>
      <c r="H161" s="268">
        <v>0</v>
      </c>
      <c r="I161" s="268">
        <v>0</v>
      </c>
      <c r="J161" s="268">
        <v>0</v>
      </c>
      <c r="K161" s="268">
        <v>520.66</v>
      </c>
      <c r="L161" s="268">
        <v>0</v>
      </c>
      <c r="M161" s="267">
        <v>0</v>
      </c>
      <c r="N161" s="270">
        <v>3000</v>
      </c>
    </row>
    <row r="162" spans="1:14" x14ac:dyDescent="0.25">
      <c r="A162" s="269" t="s">
        <v>693</v>
      </c>
      <c r="B162" s="232" t="s">
        <v>874</v>
      </c>
      <c r="C162" s="215" t="s">
        <v>622</v>
      </c>
      <c r="D162" s="215" t="s">
        <v>623</v>
      </c>
      <c r="E162" s="215" t="s">
        <v>624</v>
      </c>
      <c r="F162" s="267">
        <v>8677.69</v>
      </c>
      <c r="G162" s="267">
        <v>0</v>
      </c>
      <c r="H162" s="268">
        <v>0</v>
      </c>
      <c r="I162" s="268">
        <v>0</v>
      </c>
      <c r="J162" s="268">
        <v>0</v>
      </c>
      <c r="K162" s="268">
        <v>1822.31</v>
      </c>
      <c r="L162" s="268">
        <v>0</v>
      </c>
      <c r="M162" s="267">
        <v>0</v>
      </c>
      <c r="N162" s="270">
        <v>10500</v>
      </c>
    </row>
    <row r="163" spans="1:14" x14ac:dyDescent="0.25">
      <c r="A163" s="269" t="s">
        <v>693</v>
      </c>
      <c r="B163" s="232" t="s">
        <v>875</v>
      </c>
      <c r="C163" s="215" t="s">
        <v>622</v>
      </c>
      <c r="D163" s="215" t="s">
        <v>623</v>
      </c>
      <c r="E163" s="215" t="s">
        <v>624</v>
      </c>
      <c r="F163" s="267">
        <v>6322.31</v>
      </c>
      <c r="G163" s="267">
        <v>0</v>
      </c>
      <c r="H163" s="268">
        <v>0</v>
      </c>
      <c r="I163" s="268">
        <v>0</v>
      </c>
      <c r="J163" s="268">
        <v>0</v>
      </c>
      <c r="K163" s="268">
        <v>1327.69</v>
      </c>
      <c r="L163" s="268">
        <v>0</v>
      </c>
      <c r="M163" s="267">
        <v>0</v>
      </c>
      <c r="N163" s="270">
        <v>7650</v>
      </c>
    </row>
    <row r="164" spans="1:14" x14ac:dyDescent="0.25">
      <c r="A164" s="269" t="s">
        <v>693</v>
      </c>
      <c r="B164" s="232" t="s">
        <v>876</v>
      </c>
      <c r="C164" s="215" t="s">
        <v>622</v>
      </c>
      <c r="D164" s="215" t="s">
        <v>623</v>
      </c>
      <c r="E164" s="215" t="s">
        <v>624</v>
      </c>
      <c r="F164" s="267">
        <v>3140.5</v>
      </c>
      <c r="G164" s="267">
        <v>0</v>
      </c>
      <c r="H164" s="268">
        <v>0</v>
      </c>
      <c r="I164" s="268">
        <v>0</v>
      </c>
      <c r="J164" s="268">
        <v>0</v>
      </c>
      <c r="K164" s="268">
        <v>659.5</v>
      </c>
      <c r="L164" s="268">
        <v>0</v>
      </c>
      <c r="M164" s="267">
        <v>0</v>
      </c>
      <c r="N164" s="270">
        <v>3800</v>
      </c>
    </row>
    <row r="165" spans="1:14" x14ac:dyDescent="0.25">
      <c r="A165" s="269" t="s">
        <v>693</v>
      </c>
      <c r="B165" s="232" t="s">
        <v>877</v>
      </c>
      <c r="C165" s="215" t="s">
        <v>668</v>
      </c>
      <c r="D165" s="215" t="s">
        <v>626</v>
      </c>
      <c r="E165" s="215">
        <v>30606274161</v>
      </c>
      <c r="F165" s="267">
        <v>27888.1</v>
      </c>
      <c r="G165" s="267">
        <v>0</v>
      </c>
      <c r="H165" s="268">
        <v>0</v>
      </c>
      <c r="I165" s="268">
        <v>0</v>
      </c>
      <c r="J165" s="268">
        <v>0</v>
      </c>
      <c r="K165" s="268">
        <v>5856.5</v>
      </c>
      <c r="L165" s="268">
        <v>0</v>
      </c>
      <c r="M165" s="267">
        <v>0</v>
      </c>
      <c r="N165" s="270">
        <v>33744.6</v>
      </c>
    </row>
    <row r="166" spans="1:14" x14ac:dyDescent="0.25">
      <c r="A166" s="269" t="s">
        <v>693</v>
      </c>
      <c r="B166" s="232" t="s">
        <v>878</v>
      </c>
      <c r="C166" s="215" t="s">
        <v>650</v>
      </c>
      <c r="D166" s="215" t="s">
        <v>641</v>
      </c>
      <c r="E166" s="215">
        <v>30571766287</v>
      </c>
      <c r="F166" s="267">
        <v>23558.68</v>
      </c>
      <c r="G166" s="267">
        <v>0</v>
      </c>
      <c r="H166" s="268">
        <v>0</v>
      </c>
      <c r="I166" s="268">
        <v>0</v>
      </c>
      <c r="J166" s="268">
        <v>0</v>
      </c>
      <c r="K166" s="268">
        <v>4947.32</v>
      </c>
      <c r="L166" s="268">
        <v>0</v>
      </c>
      <c r="M166" s="267">
        <v>0</v>
      </c>
      <c r="N166" s="270">
        <v>28506</v>
      </c>
    </row>
    <row r="167" spans="1:14" x14ac:dyDescent="0.25">
      <c r="A167" s="269" t="s">
        <v>693</v>
      </c>
      <c r="B167" s="232" t="s">
        <v>879</v>
      </c>
      <c r="C167" s="215" t="s">
        <v>880</v>
      </c>
      <c r="D167" s="215" t="s">
        <v>623</v>
      </c>
      <c r="E167" s="215">
        <v>93332052</v>
      </c>
      <c r="F167" s="267">
        <v>909.09</v>
      </c>
      <c r="G167" s="267">
        <v>0</v>
      </c>
      <c r="H167" s="268">
        <v>0</v>
      </c>
      <c r="I167" s="268">
        <v>0</v>
      </c>
      <c r="J167" s="268">
        <v>0</v>
      </c>
      <c r="K167" s="268">
        <v>190.91</v>
      </c>
      <c r="L167" s="268">
        <v>0</v>
      </c>
      <c r="M167" s="267">
        <v>0</v>
      </c>
      <c r="N167" s="270">
        <v>1100</v>
      </c>
    </row>
    <row r="168" spans="1:14" x14ac:dyDescent="0.25">
      <c r="A168" s="269" t="s">
        <v>693</v>
      </c>
      <c r="B168" s="232" t="s">
        <v>881</v>
      </c>
      <c r="C168" s="215" t="s">
        <v>882</v>
      </c>
      <c r="D168" s="215" t="s">
        <v>623</v>
      </c>
      <c r="E168" s="215">
        <v>93483768</v>
      </c>
      <c r="F168" s="267">
        <v>7024.79</v>
      </c>
      <c r="G168" s="267">
        <v>0</v>
      </c>
      <c r="H168" s="268">
        <v>0</v>
      </c>
      <c r="I168" s="268">
        <v>0</v>
      </c>
      <c r="J168" s="268">
        <v>0</v>
      </c>
      <c r="K168" s="268">
        <v>1475.21</v>
      </c>
      <c r="L168" s="268">
        <v>0</v>
      </c>
      <c r="M168" s="267">
        <v>0</v>
      </c>
      <c r="N168" s="270">
        <v>8500</v>
      </c>
    </row>
    <row r="169" spans="1:14" x14ac:dyDescent="0.25">
      <c r="A169" s="269" t="s">
        <v>693</v>
      </c>
      <c r="B169" s="232" t="s">
        <v>883</v>
      </c>
      <c r="C169" s="215" t="s">
        <v>884</v>
      </c>
      <c r="D169" s="215" t="s">
        <v>623</v>
      </c>
      <c r="E169" s="215">
        <v>24554063</v>
      </c>
      <c r="F169" s="267">
        <v>8677.68</v>
      </c>
      <c r="G169" s="267">
        <v>0</v>
      </c>
      <c r="H169" s="268">
        <v>0</v>
      </c>
      <c r="I169" s="268">
        <v>0</v>
      </c>
      <c r="J169" s="268">
        <v>0</v>
      </c>
      <c r="K169" s="268">
        <v>1822.32</v>
      </c>
      <c r="L169" s="268">
        <v>0</v>
      </c>
      <c r="M169" s="267">
        <v>0</v>
      </c>
      <c r="N169" s="270">
        <v>10500</v>
      </c>
    </row>
    <row r="170" spans="1:14" x14ac:dyDescent="0.25">
      <c r="A170" s="269" t="s">
        <v>693</v>
      </c>
      <c r="B170" s="232" t="s">
        <v>885</v>
      </c>
      <c r="C170" s="215" t="s">
        <v>678</v>
      </c>
      <c r="D170" s="215" t="s">
        <v>623</v>
      </c>
      <c r="E170" s="215">
        <v>6412590</v>
      </c>
      <c r="F170" s="267">
        <v>855.38</v>
      </c>
      <c r="G170" s="267">
        <v>0</v>
      </c>
      <c r="H170" s="268">
        <v>0</v>
      </c>
      <c r="I170" s="268">
        <v>0</v>
      </c>
      <c r="J170" s="268">
        <v>0</v>
      </c>
      <c r="K170" s="268">
        <v>179.62</v>
      </c>
      <c r="L170" s="268">
        <v>0</v>
      </c>
      <c r="M170" s="267">
        <v>0</v>
      </c>
      <c r="N170" s="270">
        <v>1035</v>
      </c>
    </row>
    <row r="171" spans="1:14" x14ac:dyDescent="0.25">
      <c r="A171" s="269" t="s">
        <v>694</v>
      </c>
      <c r="B171" s="232" t="s">
        <v>886</v>
      </c>
      <c r="C171" s="215" t="s">
        <v>622</v>
      </c>
      <c r="D171" s="215" t="s">
        <v>623</v>
      </c>
      <c r="E171" s="215" t="s">
        <v>624</v>
      </c>
      <c r="F171" s="267">
        <v>10743.8</v>
      </c>
      <c r="G171" s="267">
        <v>0</v>
      </c>
      <c r="H171" s="268">
        <v>0</v>
      </c>
      <c r="I171" s="268">
        <v>0</v>
      </c>
      <c r="J171" s="268">
        <v>0</v>
      </c>
      <c r="K171" s="268">
        <v>2256.2000000000003</v>
      </c>
      <c r="L171" s="268">
        <v>0</v>
      </c>
      <c r="M171" s="267">
        <v>0</v>
      </c>
      <c r="N171" s="270">
        <v>13000</v>
      </c>
    </row>
    <row r="172" spans="1:14" x14ac:dyDescent="0.25">
      <c r="A172" s="269" t="s">
        <v>694</v>
      </c>
      <c r="B172" s="232" t="s">
        <v>887</v>
      </c>
      <c r="C172" s="215" t="s">
        <v>622</v>
      </c>
      <c r="D172" s="215" t="s">
        <v>623</v>
      </c>
      <c r="E172" s="215" t="s">
        <v>624</v>
      </c>
      <c r="F172" s="267">
        <v>8677.69</v>
      </c>
      <c r="G172" s="267">
        <v>0</v>
      </c>
      <c r="H172" s="268">
        <v>0</v>
      </c>
      <c r="I172" s="268">
        <v>0</v>
      </c>
      <c r="J172" s="268">
        <v>0</v>
      </c>
      <c r="K172" s="268">
        <v>1822.31</v>
      </c>
      <c r="L172" s="268">
        <v>0</v>
      </c>
      <c r="M172" s="267">
        <v>0</v>
      </c>
      <c r="N172" s="270">
        <v>10500</v>
      </c>
    </row>
    <row r="173" spans="1:14" x14ac:dyDescent="0.25">
      <c r="A173" s="269" t="s">
        <v>694</v>
      </c>
      <c r="B173" s="232" t="s">
        <v>888</v>
      </c>
      <c r="C173" s="215" t="s">
        <v>622</v>
      </c>
      <c r="D173" s="215" t="s">
        <v>623</v>
      </c>
      <c r="E173" s="215" t="s">
        <v>624</v>
      </c>
      <c r="F173" s="267">
        <v>3719.01</v>
      </c>
      <c r="G173" s="267">
        <v>0</v>
      </c>
      <c r="H173" s="268">
        <v>0</v>
      </c>
      <c r="I173" s="268">
        <v>0</v>
      </c>
      <c r="J173" s="268">
        <v>0</v>
      </c>
      <c r="K173" s="268">
        <v>780.99</v>
      </c>
      <c r="L173" s="268">
        <v>0</v>
      </c>
      <c r="M173" s="267">
        <v>0</v>
      </c>
      <c r="N173" s="270">
        <v>4500</v>
      </c>
    </row>
    <row r="174" spans="1:14" x14ac:dyDescent="0.25">
      <c r="A174" s="269" t="s">
        <v>694</v>
      </c>
      <c r="B174" s="232" t="s">
        <v>889</v>
      </c>
      <c r="C174" s="215" t="s">
        <v>622</v>
      </c>
      <c r="D174" s="215" t="s">
        <v>623</v>
      </c>
      <c r="E174" s="215" t="s">
        <v>624</v>
      </c>
      <c r="F174" s="267">
        <v>26446.28</v>
      </c>
      <c r="G174" s="267">
        <v>0</v>
      </c>
      <c r="H174" s="268">
        <v>0</v>
      </c>
      <c r="I174" s="268">
        <v>0</v>
      </c>
      <c r="J174" s="268">
        <v>0</v>
      </c>
      <c r="K174" s="268">
        <v>5553.72</v>
      </c>
      <c r="L174" s="268">
        <v>0</v>
      </c>
      <c r="M174" s="267">
        <v>0</v>
      </c>
      <c r="N174" s="270">
        <v>32000</v>
      </c>
    </row>
    <row r="175" spans="1:14" x14ac:dyDescent="0.25">
      <c r="A175" s="269" t="s">
        <v>694</v>
      </c>
      <c r="B175" s="232" t="s">
        <v>890</v>
      </c>
      <c r="C175" s="215" t="s">
        <v>622</v>
      </c>
      <c r="D175" s="215" t="s">
        <v>623</v>
      </c>
      <c r="E175" s="215" t="s">
        <v>624</v>
      </c>
      <c r="F175" s="267">
        <v>2892.56</v>
      </c>
      <c r="G175" s="267">
        <v>0</v>
      </c>
      <c r="H175" s="268">
        <v>0</v>
      </c>
      <c r="I175" s="268">
        <v>0</v>
      </c>
      <c r="J175" s="268">
        <v>0</v>
      </c>
      <c r="K175" s="268">
        <v>607.44000000000005</v>
      </c>
      <c r="L175" s="268">
        <v>0</v>
      </c>
      <c r="M175" s="267">
        <v>0</v>
      </c>
      <c r="N175" s="270">
        <v>3500</v>
      </c>
    </row>
    <row r="176" spans="1:14" x14ac:dyDescent="0.25">
      <c r="A176" s="269" t="s">
        <v>694</v>
      </c>
      <c r="B176" s="232" t="s">
        <v>891</v>
      </c>
      <c r="C176" s="215" t="s">
        <v>622</v>
      </c>
      <c r="D176" s="215" t="s">
        <v>623</v>
      </c>
      <c r="E176" s="215" t="s">
        <v>624</v>
      </c>
      <c r="F176" s="267">
        <v>3305.79</v>
      </c>
      <c r="G176" s="267">
        <v>0</v>
      </c>
      <c r="H176" s="268">
        <v>0</v>
      </c>
      <c r="I176" s="268">
        <v>0</v>
      </c>
      <c r="J176" s="268">
        <v>0</v>
      </c>
      <c r="K176" s="268">
        <v>694.21</v>
      </c>
      <c r="L176" s="268">
        <v>0</v>
      </c>
      <c r="M176" s="267">
        <v>0</v>
      </c>
      <c r="N176" s="270">
        <v>4000</v>
      </c>
    </row>
    <row r="177" spans="1:14" x14ac:dyDescent="0.25">
      <c r="A177" s="269" t="s">
        <v>694</v>
      </c>
      <c r="B177" s="232" t="s">
        <v>892</v>
      </c>
      <c r="C177" s="215" t="s">
        <v>622</v>
      </c>
      <c r="D177" s="215" t="s">
        <v>623</v>
      </c>
      <c r="E177" s="215" t="s">
        <v>624</v>
      </c>
      <c r="F177" s="267">
        <v>3925.62</v>
      </c>
      <c r="G177" s="267">
        <v>0</v>
      </c>
      <c r="H177" s="268">
        <v>0</v>
      </c>
      <c r="I177" s="268">
        <v>0</v>
      </c>
      <c r="J177" s="268">
        <v>0</v>
      </c>
      <c r="K177" s="268">
        <v>824.38</v>
      </c>
      <c r="L177" s="268">
        <v>0</v>
      </c>
      <c r="M177" s="267">
        <v>0</v>
      </c>
      <c r="N177" s="270">
        <v>4750</v>
      </c>
    </row>
    <row r="178" spans="1:14" x14ac:dyDescent="0.25">
      <c r="A178" s="269" t="s">
        <v>694</v>
      </c>
      <c r="B178" s="232" t="s">
        <v>893</v>
      </c>
      <c r="C178" s="215" t="s">
        <v>622</v>
      </c>
      <c r="D178" s="215" t="s">
        <v>623</v>
      </c>
      <c r="E178" s="215" t="s">
        <v>624</v>
      </c>
      <c r="F178" s="267">
        <v>6611.57</v>
      </c>
      <c r="G178" s="267">
        <v>0</v>
      </c>
      <c r="H178" s="268">
        <v>0</v>
      </c>
      <c r="I178" s="268">
        <v>0</v>
      </c>
      <c r="J178" s="268">
        <v>0</v>
      </c>
      <c r="K178" s="268">
        <v>1388.43</v>
      </c>
      <c r="L178" s="268">
        <v>0</v>
      </c>
      <c r="M178" s="267">
        <v>0</v>
      </c>
      <c r="N178" s="270">
        <v>8000</v>
      </c>
    </row>
    <row r="179" spans="1:14" x14ac:dyDescent="0.25">
      <c r="A179" s="269" t="s">
        <v>694</v>
      </c>
      <c r="B179" s="232" t="s">
        <v>894</v>
      </c>
      <c r="C179" s="215" t="s">
        <v>625</v>
      </c>
      <c r="D179" s="215" t="s">
        <v>626</v>
      </c>
      <c r="E179" s="215">
        <v>30522428163</v>
      </c>
      <c r="F179" s="267">
        <v>4223140.5</v>
      </c>
      <c r="G179" s="267">
        <v>0</v>
      </c>
      <c r="H179" s="268">
        <v>0</v>
      </c>
      <c r="I179" s="268">
        <v>0</v>
      </c>
      <c r="J179" s="268">
        <v>0</v>
      </c>
      <c r="K179" s="268">
        <v>886859.51</v>
      </c>
      <c r="L179" s="268">
        <v>0</v>
      </c>
      <c r="M179" s="267">
        <v>0</v>
      </c>
      <c r="N179" s="270">
        <v>5110000.01</v>
      </c>
    </row>
    <row r="180" spans="1:14" x14ac:dyDescent="0.25">
      <c r="A180" s="269" t="s">
        <v>694</v>
      </c>
      <c r="B180" s="232" t="s">
        <v>895</v>
      </c>
      <c r="C180" s="215" t="s">
        <v>625</v>
      </c>
      <c r="D180" s="215" t="s">
        <v>626</v>
      </c>
      <c r="E180" s="215">
        <v>30522428163</v>
      </c>
      <c r="F180" s="267">
        <v>5424793.3899999997</v>
      </c>
      <c r="G180" s="267">
        <v>0</v>
      </c>
      <c r="H180" s="268">
        <v>0</v>
      </c>
      <c r="I180" s="268">
        <v>0</v>
      </c>
      <c r="J180" s="268">
        <v>0</v>
      </c>
      <c r="K180" s="268">
        <v>1139206.6100000001</v>
      </c>
      <c r="L180" s="268">
        <v>0</v>
      </c>
      <c r="M180" s="267">
        <v>0</v>
      </c>
      <c r="N180" s="270">
        <v>6564000</v>
      </c>
    </row>
    <row r="181" spans="1:14" x14ac:dyDescent="0.25">
      <c r="A181" s="269" t="s">
        <v>694</v>
      </c>
      <c r="B181" s="232" t="s">
        <v>896</v>
      </c>
      <c r="C181" s="215" t="s">
        <v>625</v>
      </c>
      <c r="D181" s="215" t="s">
        <v>626</v>
      </c>
      <c r="E181" s="215">
        <v>30522428163</v>
      </c>
      <c r="F181" s="267">
        <v>-35785.120000000003</v>
      </c>
      <c r="G181" s="267">
        <v>0</v>
      </c>
      <c r="H181" s="268">
        <v>0</v>
      </c>
      <c r="I181" s="268">
        <v>0</v>
      </c>
      <c r="J181" s="268">
        <v>0</v>
      </c>
      <c r="K181" s="268">
        <v>-7514.88</v>
      </c>
      <c r="L181" s="268">
        <v>0</v>
      </c>
      <c r="M181" s="267">
        <v>0</v>
      </c>
      <c r="N181" s="270">
        <v>-43300</v>
      </c>
    </row>
    <row r="182" spans="1:14" x14ac:dyDescent="0.25">
      <c r="A182" s="269" t="s">
        <v>694</v>
      </c>
      <c r="B182" s="232" t="s">
        <v>897</v>
      </c>
      <c r="C182" s="215" t="s">
        <v>625</v>
      </c>
      <c r="D182" s="215" t="s">
        <v>626</v>
      </c>
      <c r="E182" s="215">
        <v>30522428163</v>
      </c>
      <c r="F182" s="267">
        <v>35785.120000000003</v>
      </c>
      <c r="G182" s="267">
        <v>0</v>
      </c>
      <c r="H182" s="268">
        <v>0</v>
      </c>
      <c r="I182" s="268">
        <v>0</v>
      </c>
      <c r="J182" s="268">
        <v>0</v>
      </c>
      <c r="K182" s="268">
        <v>7514.88</v>
      </c>
      <c r="L182" s="268">
        <v>0</v>
      </c>
      <c r="M182" s="267">
        <v>0</v>
      </c>
      <c r="N182" s="270">
        <v>43300</v>
      </c>
    </row>
    <row r="183" spans="1:14" x14ac:dyDescent="0.25">
      <c r="A183" s="269" t="s">
        <v>694</v>
      </c>
      <c r="B183" s="232" t="s">
        <v>898</v>
      </c>
      <c r="C183" s="215" t="s">
        <v>625</v>
      </c>
      <c r="D183" s="215" t="s">
        <v>626</v>
      </c>
      <c r="E183" s="215">
        <v>30522428163</v>
      </c>
      <c r="F183" s="267">
        <v>32396.69</v>
      </c>
      <c r="G183" s="267">
        <v>0</v>
      </c>
      <c r="H183" s="268">
        <v>0</v>
      </c>
      <c r="I183" s="268">
        <v>0</v>
      </c>
      <c r="J183" s="268">
        <v>0</v>
      </c>
      <c r="K183" s="268">
        <v>6803.3</v>
      </c>
      <c r="L183" s="268">
        <v>0</v>
      </c>
      <c r="M183" s="267">
        <v>0</v>
      </c>
      <c r="N183" s="270">
        <v>39199.99</v>
      </c>
    </row>
    <row r="184" spans="1:14" x14ac:dyDescent="0.25">
      <c r="A184" s="269" t="s">
        <v>694</v>
      </c>
      <c r="B184" s="232" t="s">
        <v>899</v>
      </c>
      <c r="C184" s="215" t="s">
        <v>900</v>
      </c>
      <c r="D184" s="215" t="s">
        <v>623</v>
      </c>
      <c r="E184" s="215">
        <v>4826012</v>
      </c>
      <c r="F184" s="267">
        <v>798.34</v>
      </c>
      <c r="G184" s="267">
        <v>0</v>
      </c>
      <c r="H184" s="268">
        <v>0</v>
      </c>
      <c r="I184" s="268">
        <v>0</v>
      </c>
      <c r="J184" s="268">
        <v>0</v>
      </c>
      <c r="K184" s="268">
        <v>167.66</v>
      </c>
      <c r="L184" s="268">
        <v>0</v>
      </c>
      <c r="M184" s="267">
        <v>0</v>
      </c>
      <c r="N184" s="270">
        <v>966</v>
      </c>
    </row>
    <row r="185" spans="1:14" x14ac:dyDescent="0.25">
      <c r="A185" s="269" t="s">
        <v>695</v>
      </c>
      <c r="B185" s="232" t="s">
        <v>901</v>
      </c>
      <c r="C185" s="215" t="s">
        <v>622</v>
      </c>
      <c r="D185" s="215" t="s">
        <v>623</v>
      </c>
      <c r="E185" s="215" t="s">
        <v>624</v>
      </c>
      <c r="F185" s="267">
        <v>4958.68</v>
      </c>
      <c r="G185" s="267">
        <v>0</v>
      </c>
      <c r="H185" s="268">
        <v>0</v>
      </c>
      <c r="I185" s="268">
        <v>0</v>
      </c>
      <c r="J185" s="268">
        <v>0</v>
      </c>
      <c r="K185" s="268">
        <v>1041.32</v>
      </c>
      <c r="L185" s="268">
        <v>0</v>
      </c>
      <c r="M185" s="267">
        <v>0</v>
      </c>
      <c r="N185" s="270">
        <v>6000</v>
      </c>
    </row>
    <row r="186" spans="1:14" x14ac:dyDescent="0.25">
      <c r="A186" s="269" t="s">
        <v>695</v>
      </c>
      <c r="B186" s="232" t="s">
        <v>902</v>
      </c>
      <c r="C186" s="215" t="s">
        <v>622</v>
      </c>
      <c r="D186" s="215" t="s">
        <v>623</v>
      </c>
      <c r="E186" s="215" t="s">
        <v>624</v>
      </c>
      <c r="F186" s="267">
        <v>13388.43</v>
      </c>
      <c r="G186" s="267">
        <v>0</v>
      </c>
      <c r="H186" s="268">
        <v>0</v>
      </c>
      <c r="I186" s="268">
        <v>0</v>
      </c>
      <c r="J186" s="268">
        <v>0</v>
      </c>
      <c r="K186" s="268">
        <v>2811.57</v>
      </c>
      <c r="L186" s="268">
        <v>0</v>
      </c>
      <c r="M186" s="267">
        <v>0</v>
      </c>
      <c r="N186" s="270">
        <v>16200</v>
      </c>
    </row>
    <row r="187" spans="1:14" x14ac:dyDescent="0.25">
      <c r="A187" s="269" t="s">
        <v>695</v>
      </c>
      <c r="B187" s="232" t="s">
        <v>903</v>
      </c>
      <c r="C187" s="215" t="s">
        <v>622</v>
      </c>
      <c r="D187" s="215" t="s">
        <v>623</v>
      </c>
      <c r="E187" s="215" t="s">
        <v>624</v>
      </c>
      <c r="F187" s="267">
        <v>6033.06</v>
      </c>
      <c r="G187" s="267">
        <v>0</v>
      </c>
      <c r="H187" s="268">
        <v>0</v>
      </c>
      <c r="I187" s="268">
        <v>0</v>
      </c>
      <c r="J187" s="268">
        <v>0</v>
      </c>
      <c r="K187" s="268">
        <v>1266.94</v>
      </c>
      <c r="L187" s="268">
        <v>0</v>
      </c>
      <c r="M187" s="267">
        <v>0</v>
      </c>
      <c r="N187" s="270">
        <v>7300</v>
      </c>
    </row>
    <row r="188" spans="1:14" x14ac:dyDescent="0.25">
      <c r="A188" s="269" t="s">
        <v>695</v>
      </c>
      <c r="B188" s="232" t="s">
        <v>904</v>
      </c>
      <c r="C188" s="215" t="s">
        <v>622</v>
      </c>
      <c r="D188" s="215" t="s">
        <v>623</v>
      </c>
      <c r="E188" s="215" t="s">
        <v>624</v>
      </c>
      <c r="F188" s="267">
        <v>6198.35</v>
      </c>
      <c r="G188" s="267">
        <v>0</v>
      </c>
      <c r="H188" s="268">
        <v>0</v>
      </c>
      <c r="I188" s="268">
        <v>0</v>
      </c>
      <c r="J188" s="268">
        <v>0</v>
      </c>
      <c r="K188" s="268">
        <v>1301.6500000000001</v>
      </c>
      <c r="L188" s="268">
        <v>0</v>
      </c>
      <c r="M188" s="267">
        <v>0</v>
      </c>
      <c r="N188" s="270">
        <v>7500</v>
      </c>
    </row>
    <row r="189" spans="1:14" x14ac:dyDescent="0.25">
      <c r="A189" s="269" t="s">
        <v>695</v>
      </c>
      <c r="B189" s="232" t="s">
        <v>905</v>
      </c>
      <c r="C189" s="215" t="s">
        <v>622</v>
      </c>
      <c r="D189" s="215" t="s">
        <v>623</v>
      </c>
      <c r="E189" s="215" t="s">
        <v>624</v>
      </c>
      <c r="F189" s="267">
        <v>8925.6200000000008</v>
      </c>
      <c r="G189" s="267">
        <v>0</v>
      </c>
      <c r="H189" s="268">
        <v>0</v>
      </c>
      <c r="I189" s="268">
        <v>0</v>
      </c>
      <c r="J189" s="268">
        <v>0</v>
      </c>
      <c r="K189" s="268">
        <v>1874.38</v>
      </c>
      <c r="L189" s="268">
        <v>0</v>
      </c>
      <c r="M189" s="267">
        <v>0</v>
      </c>
      <c r="N189" s="270">
        <v>10800</v>
      </c>
    </row>
    <row r="190" spans="1:14" x14ac:dyDescent="0.25">
      <c r="A190" s="269" t="s">
        <v>695</v>
      </c>
      <c r="B190" s="232" t="s">
        <v>906</v>
      </c>
      <c r="C190" s="215" t="s">
        <v>622</v>
      </c>
      <c r="D190" s="215" t="s">
        <v>623</v>
      </c>
      <c r="E190" s="215" t="s">
        <v>624</v>
      </c>
      <c r="F190" s="267">
        <v>17355.37</v>
      </c>
      <c r="G190" s="267">
        <v>0</v>
      </c>
      <c r="H190" s="268">
        <v>0</v>
      </c>
      <c r="I190" s="268">
        <v>0</v>
      </c>
      <c r="J190" s="268">
        <v>0</v>
      </c>
      <c r="K190" s="268">
        <v>3644.63</v>
      </c>
      <c r="L190" s="268">
        <v>0</v>
      </c>
      <c r="M190" s="267">
        <v>0</v>
      </c>
      <c r="N190" s="270">
        <v>21000</v>
      </c>
    </row>
    <row r="191" spans="1:14" x14ac:dyDescent="0.25">
      <c r="A191" s="269" t="s">
        <v>695</v>
      </c>
      <c r="B191" s="232" t="s">
        <v>907</v>
      </c>
      <c r="C191" s="215" t="s">
        <v>622</v>
      </c>
      <c r="D191" s="215" t="s">
        <v>623</v>
      </c>
      <c r="E191" s="215" t="s">
        <v>624</v>
      </c>
      <c r="F191" s="267">
        <v>3966.94</v>
      </c>
      <c r="G191" s="267">
        <v>0</v>
      </c>
      <c r="H191" s="268">
        <v>0</v>
      </c>
      <c r="I191" s="268">
        <v>0</v>
      </c>
      <c r="J191" s="268">
        <v>0</v>
      </c>
      <c r="K191" s="268">
        <v>833.06</v>
      </c>
      <c r="L191" s="268">
        <v>0</v>
      </c>
      <c r="M191" s="267">
        <v>0</v>
      </c>
      <c r="N191" s="270">
        <v>4800</v>
      </c>
    </row>
    <row r="192" spans="1:14" x14ac:dyDescent="0.25">
      <c r="A192" s="269" t="s">
        <v>695</v>
      </c>
      <c r="B192" s="232" t="s">
        <v>908</v>
      </c>
      <c r="C192" s="215" t="s">
        <v>622</v>
      </c>
      <c r="D192" s="215" t="s">
        <v>623</v>
      </c>
      <c r="E192" s="215" t="s">
        <v>624</v>
      </c>
      <c r="F192" s="267">
        <v>2892.56</v>
      </c>
      <c r="G192" s="267">
        <v>0</v>
      </c>
      <c r="H192" s="268">
        <v>0</v>
      </c>
      <c r="I192" s="268">
        <v>0</v>
      </c>
      <c r="J192" s="268">
        <v>0</v>
      </c>
      <c r="K192" s="268">
        <v>607.44000000000005</v>
      </c>
      <c r="L192" s="268">
        <v>0</v>
      </c>
      <c r="M192" s="267">
        <v>0</v>
      </c>
      <c r="N192" s="270">
        <v>3500</v>
      </c>
    </row>
    <row r="193" spans="1:14" x14ac:dyDescent="0.25">
      <c r="A193" s="269" t="s">
        <v>695</v>
      </c>
      <c r="B193" s="232" t="s">
        <v>909</v>
      </c>
      <c r="C193" s="215" t="s">
        <v>622</v>
      </c>
      <c r="D193" s="215" t="s">
        <v>623</v>
      </c>
      <c r="E193" s="215" t="s">
        <v>624</v>
      </c>
      <c r="F193" s="267">
        <v>8677.69</v>
      </c>
      <c r="G193" s="267">
        <v>0</v>
      </c>
      <c r="H193" s="268">
        <v>0</v>
      </c>
      <c r="I193" s="268">
        <v>0</v>
      </c>
      <c r="J193" s="268">
        <v>0</v>
      </c>
      <c r="K193" s="268">
        <v>1822.31</v>
      </c>
      <c r="L193" s="268">
        <v>0</v>
      </c>
      <c r="M193" s="267">
        <v>0</v>
      </c>
      <c r="N193" s="270">
        <v>10500</v>
      </c>
    </row>
    <row r="194" spans="1:14" x14ac:dyDescent="0.25">
      <c r="A194" s="269" t="s">
        <v>695</v>
      </c>
      <c r="B194" s="232" t="s">
        <v>910</v>
      </c>
      <c r="C194" s="215" t="s">
        <v>622</v>
      </c>
      <c r="D194" s="215" t="s">
        <v>623</v>
      </c>
      <c r="E194" s="215" t="s">
        <v>624</v>
      </c>
      <c r="F194" s="267">
        <v>4132.2300000000005</v>
      </c>
      <c r="G194" s="267">
        <v>0</v>
      </c>
      <c r="H194" s="268">
        <v>0</v>
      </c>
      <c r="I194" s="268">
        <v>0</v>
      </c>
      <c r="J194" s="268">
        <v>0</v>
      </c>
      <c r="K194" s="268">
        <v>867.77</v>
      </c>
      <c r="L194" s="268">
        <v>0</v>
      </c>
      <c r="M194" s="267">
        <v>0</v>
      </c>
      <c r="N194" s="270">
        <v>5000</v>
      </c>
    </row>
    <row r="195" spans="1:14" x14ac:dyDescent="0.25">
      <c r="A195" s="269" t="s">
        <v>695</v>
      </c>
      <c r="B195" s="232" t="s">
        <v>911</v>
      </c>
      <c r="C195" s="215" t="s">
        <v>622</v>
      </c>
      <c r="D195" s="215" t="s">
        <v>623</v>
      </c>
      <c r="E195" s="215" t="s">
        <v>624</v>
      </c>
      <c r="F195" s="267">
        <v>2066.12</v>
      </c>
      <c r="G195" s="267">
        <v>0</v>
      </c>
      <c r="H195" s="268">
        <v>0</v>
      </c>
      <c r="I195" s="268">
        <v>0</v>
      </c>
      <c r="J195" s="268">
        <v>0</v>
      </c>
      <c r="K195" s="268">
        <v>433.88</v>
      </c>
      <c r="L195" s="268">
        <v>0</v>
      </c>
      <c r="M195" s="267">
        <v>0</v>
      </c>
      <c r="N195" s="270">
        <v>2500</v>
      </c>
    </row>
    <row r="196" spans="1:14" x14ac:dyDescent="0.25">
      <c r="A196" s="269" t="s">
        <v>695</v>
      </c>
      <c r="B196" s="232" t="s">
        <v>912</v>
      </c>
      <c r="C196" s="215" t="s">
        <v>622</v>
      </c>
      <c r="D196" s="215" t="s">
        <v>623</v>
      </c>
      <c r="E196" s="215" t="s">
        <v>624</v>
      </c>
      <c r="F196" s="267">
        <v>6528.93</v>
      </c>
      <c r="G196" s="267">
        <v>0</v>
      </c>
      <c r="H196" s="268">
        <v>0</v>
      </c>
      <c r="I196" s="268">
        <v>0</v>
      </c>
      <c r="J196" s="268">
        <v>0</v>
      </c>
      <c r="K196" s="268">
        <v>1371.07</v>
      </c>
      <c r="L196" s="268">
        <v>0</v>
      </c>
      <c r="M196" s="267">
        <v>0</v>
      </c>
      <c r="N196" s="270">
        <v>7900</v>
      </c>
    </row>
    <row r="197" spans="1:14" x14ac:dyDescent="0.25">
      <c r="A197" s="269" t="s">
        <v>695</v>
      </c>
      <c r="B197" s="232" t="s">
        <v>913</v>
      </c>
      <c r="C197" s="215" t="s">
        <v>622</v>
      </c>
      <c r="D197" s="215" t="s">
        <v>623</v>
      </c>
      <c r="E197" s="215" t="s">
        <v>624</v>
      </c>
      <c r="F197" s="267">
        <v>413.22</v>
      </c>
      <c r="G197" s="267">
        <v>0</v>
      </c>
      <c r="H197" s="268">
        <v>0</v>
      </c>
      <c r="I197" s="268">
        <v>0</v>
      </c>
      <c r="J197" s="268">
        <v>0</v>
      </c>
      <c r="K197" s="268">
        <v>86.78</v>
      </c>
      <c r="L197" s="268">
        <v>0</v>
      </c>
      <c r="M197" s="267">
        <v>0</v>
      </c>
      <c r="N197" s="270">
        <v>500</v>
      </c>
    </row>
    <row r="198" spans="1:14" x14ac:dyDescent="0.25">
      <c r="A198" s="269" t="s">
        <v>695</v>
      </c>
      <c r="B198" s="232" t="s">
        <v>914</v>
      </c>
      <c r="C198" s="215" t="s">
        <v>622</v>
      </c>
      <c r="D198" s="215" t="s">
        <v>623</v>
      </c>
      <c r="E198" s="215" t="s">
        <v>624</v>
      </c>
      <c r="F198" s="267">
        <v>7024.79</v>
      </c>
      <c r="G198" s="267">
        <v>0</v>
      </c>
      <c r="H198" s="268">
        <v>0</v>
      </c>
      <c r="I198" s="268">
        <v>0</v>
      </c>
      <c r="J198" s="268">
        <v>0</v>
      </c>
      <c r="K198" s="268">
        <v>1475.21</v>
      </c>
      <c r="L198" s="268">
        <v>0</v>
      </c>
      <c r="M198" s="267">
        <v>0</v>
      </c>
      <c r="N198" s="270">
        <v>8500</v>
      </c>
    </row>
    <row r="199" spans="1:14" x14ac:dyDescent="0.25">
      <c r="A199" s="269" t="s">
        <v>695</v>
      </c>
      <c r="B199" s="232" t="s">
        <v>915</v>
      </c>
      <c r="C199" s="215" t="s">
        <v>635</v>
      </c>
      <c r="D199" s="215" t="s">
        <v>626</v>
      </c>
      <c r="E199" s="215">
        <v>30608716390</v>
      </c>
      <c r="F199" s="267">
        <v>797.94</v>
      </c>
      <c r="G199" s="267">
        <v>0</v>
      </c>
      <c r="H199" s="268">
        <v>0</v>
      </c>
      <c r="I199" s="268">
        <v>0</v>
      </c>
      <c r="J199" s="268">
        <v>0</v>
      </c>
      <c r="K199" s="268">
        <v>167.57</v>
      </c>
      <c r="L199" s="268">
        <v>0</v>
      </c>
      <c r="M199" s="267">
        <v>0</v>
      </c>
      <c r="N199" s="270">
        <v>965.51</v>
      </c>
    </row>
    <row r="200" spans="1:14" x14ac:dyDescent="0.25">
      <c r="A200" s="269" t="s">
        <v>695</v>
      </c>
      <c r="B200" s="232" t="s">
        <v>916</v>
      </c>
      <c r="C200" s="215" t="s">
        <v>633</v>
      </c>
      <c r="D200" s="215" t="s">
        <v>626</v>
      </c>
      <c r="E200" s="215">
        <v>30715186655</v>
      </c>
      <c r="F200" s="267">
        <v>8133.55</v>
      </c>
      <c r="G200" s="267">
        <v>0</v>
      </c>
      <c r="H200" s="268">
        <v>0</v>
      </c>
      <c r="I200" s="268">
        <v>0</v>
      </c>
      <c r="J200" s="268">
        <v>0</v>
      </c>
      <c r="K200" s="268">
        <v>1708.05</v>
      </c>
      <c r="L200" s="268">
        <v>0</v>
      </c>
      <c r="M200" s="267">
        <v>0</v>
      </c>
      <c r="N200" s="270">
        <v>9841.6</v>
      </c>
    </row>
    <row r="201" spans="1:14" x14ac:dyDescent="0.25">
      <c r="A201" s="269" t="s">
        <v>696</v>
      </c>
      <c r="B201" s="232" t="s">
        <v>917</v>
      </c>
      <c r="C201" s="215" t="s">
        <v>622</v>
      </c>
      <c r="D201" s="215" t="s">
        <v>623</v>
      </c>
      <c r="E201" s="215" t="s">
        <v>624</v>
      </c>
      <c r="F201" s="267">
        <v>13553.72</v>
      </c>
      <c r="G201" s="267">
        <v>0</v>
      </c>
      <c r="H201" s="268">
        <v>0</v>
      </c>
      <c r="I201" s="268">
        <v>0</v>
      </c>
      <c r="J201" s="268">
        <v>0</v>
      </c>
      <c r="K201" s="268">
        <v>2846.28</v>
      </c>
      <c r="L201" s="268">
        <v>0</v>
      </c>
      <c r="M201" s="267">
        <v>0</v>
      </c>
      <c r="N201" s="270">
        <v>16400</v>
      </c>
    </row>
    <row r="202" spans="1:14" x14ac:dyDescent="0.25">
      <c r="A202" s="269" t="s">
        <v>696</v>
      </c>
      <c r="B202" s="232" t="s">
        <v>918</v>
      </c>
      <c r="C202" s="215" t="s">
        <v>622</v>
      </c>
      <c r="D202" s="215" t="s">
        <v>623</v>
      </c>
      <c r="E202" s="215" t="s">
        <v>624</v>
      </c>
      <c r="F202" s="267">
        <v>3471.07</v>
      </c>
      <c r="G202" s="267">
        <v>0</v>
      </c>
      <c r="H202" s="268">
        <v>0</v>
      </c>
      <c r="I202" s="268">
        <v>0</v>
      </c>
      <c r="J202" s="268">
        <v>0</v>
      </c>
      <c r="K202" s="268">
        <v>728.93</v>
      </c>
      <c r="L202" s="268">
        <v>0</v>
      </c>
      <c r="M202" s="267">
        <v>0</v>
      </c>
      <c r="N202" s="270">
        <v>4200</v>
      </c>
    </row>
    <row r="203" spans="1:14" x14ac:dyDescent="0.25">
      <c r="A203" s="269" t="s">
        <v>696</v>
      </c>
      <c r="B203" s="232" t="s">
        <v>919</v>
      </c>
      <c r="C203" s="215" t="s">
        <v>622</v>
      </c>
      <c r="D203" s="215" t="s">
        <v>623</v>
      </c>
      <c r="E203" s="215" t="s">
        <v>624</v>
      </c>
      <c r="F203" s="267">
        <v>1818.18</v>
      </c>
      <c r="G203" s="267">
        <v>0</v>
      </c>
      <c r="H203" s="268">
        <v>0</v>
      </c>
      <c r="I203" s="268">
        <v>0</v>
      </c>
      <c r="J203" s="268">
        <v>0</v>
      </c>
      <c r="K203" s="268">
        <v>381.82</v>
      </c>
      <c r="L203" s="268">
        <v>0</v>
      </c>
      <c r="M203" s="267">
        <v>0</v>
      </c>
      <c r="N203" s="270">
        <v>2200</v>
      </c>
    </row>
    <row r="204" spans="1:14" x14ac:dyDescent="0.25">
      <c r="A204" s="269" t="s">
        <v>696</v>
      </c>
      <c r="B204" s="232" t="s">
        <v>920</v>
      </c>
      <c r="C204" s="215" t="s">
        <v>622</v>
      </c>
      <c r="D204" s="215" t="s">
        <v>623</v>
      </c>
      <c r="E204" s="215" t="s">
        <v>624</v>
      </c>
      <c r="F204" s="267">
        <v>35123.97</v>
      </c>
      <c r="G204" s="267">
        <v>0</v>
      </c>
      <c r="H204" s="268">
        <v>0</v>
      </c>
      <c r="I204" s="268">
        <v>0</v>
      </c>
      <c r="J204" s="268">
        <v>0</v>
      </c>
      <c r="K204" s="268">
        <v>7376.03</v>
      </c>
      <c r="L204" s="268">
        <v>0</v>
      </c>
      <c r="M204" s="267">
        <v>0</v>
      </c>
      <c r="N204" s="270">
        <v>42500</v>
      </c>
    </row>
    <row r="205" spans="1:14" x14ac:dyDescent="0.25">
      <c r="A205" s="269" t="s">
        <v>696</v>
      </c>
      <c r="B205" s="232" t="s">
        <v>921</v>
      </c>
      <c r="C205" s="215" t="s">
        <v>622</v>
      </c>
      <c r="D205" s="215" t="s">
        <v>623</v>
      </c>
      <c r="E205" s="215" t="s">
        <v>624</v>
      </c>
      <c r="F205" s="267">
        <v>4132.2300000000005</v>
      </c>
      <c r="G205" s="267">
        <v>0</v>
      </c>
      <c r="H205" s="268">
        <v>0</v>
      </c>
      <c r="I205" s="268">
        <v>0</v>
      </c>
      <c r="J205" s="268">
        <v>0</v>
      </c>
      <c r="K205" s="268">
        <v>867.77</v>
      </c>
      <c r="L205" s="268">
        <v>0</v>
      </c>
      <c r="M205" s="267">
        <v>0</v>
      </c>
      <c r="N205" s="270">
        <v>5000</v>
      </c>
    </row>
    <row r="206" spans="1:14" x14ac:dyDescent="0.25">
      <c r="A206" s="269" t="s">
        <v>696</v>
      </c>
      <c r="B206" s="232" t="s">
        <v>922</v>
      </c>
      <c r="C206" s="215" t="s">
        <v>622</v>
      </c>
      <c r="D206" s="215" t="s">
        <v>623</v>
      </c>
      <c r="E206" s="215" t="s">
        <v>624</v>
      </c>
      <c r="F206" s="267">
        <v>11570.25</v>
      </c>
      <c r="G206" s="267">
        <v>0</v>
      </c>
      <c r="H206" s="268">
        <v>0</v>
      </c>
      <c r="I206" s="268">
        <v>0</v>
      </c>
      <c r="J206" s="268">
        <v>0</v>
      </c>
      <c r="K206" s="268">
        <v>2429.75</v>
      </c>
      <c r="L206" s="268">
        <v>0</v>
      </c>
      <c r="M206" s="267">
        <v>0</v>
      </c>
      <c r="N206" s="270">
        <v>14000</v>
      </c>
    </row>
    <row r="207" spans="1:14" x14ac:dyDescent="0.25">
      <c r="A207" s="269" t="s">
        <v>696</v>
      </c>
      <c r="B207" s="232" t="s">
        <v>923</v>
      </c>
      <c r="C207" s="215" t="s">
        <v>622</v>
      </c>
      <c r="D207" s="215" t="s">
        <v>623</v>
      </c>
      <c r="E207" s="215" t="s">
        <v>624</v>
      </c>
      <c r="F207" s="267">
        <v>14586.78</v>
      </c>
      <c r="G207" s="267">
        <v>0</v>
      </c>
      <c r="H207" s="268">
        <v>0</v>
      </c>
      <c r="I207" s="268">
        <v>0</v>
      </c>
      <c r="J207" s="268">
        <v>0</v>
      </c>
      <c r="K207" s="268">
        <v>3063.22</v>
      </c>
      <c r="L207" s="268">
        <v>0</v>
      </c>
      <c r="M207" s="267">
        <v>0</v>
      </c>
      <c r="N207" s="270">
        <v>17650</v>
      </c>
    </row>
    <row r="208" spans="1:14" x14ac:dyDescent="0.25">
      <c r="A208" s="269" t="s">
        <v>696</v>
      </c>
      <c r="B208" s="232" t="s">
        <v>924</v>
      </c>
      <c r="C208" s="215" t="s">
        <v>622</v>
      </c>
      <c r="D208" s="215" t="s">
        <v>623</v>
      </c>
      <c r="E208" s="215" t="s">
        <v>624</v>
      </c>
      <c r="F208" s="267">
        <v>8264.4600000000009</v>
      </c>
      <c r="G208" s="267">
        <v>0</v>
      </c>
      <c r="H208" s="268">
        <v>0</v>
      </c>
      <c r="I208" s="268">
        <v>0</v>
      </c>
      <c r="J208" s="268">
        <v>0</v>
      </c>
      <c r="K208" s="268">
        <v>1735.54</v>
      </c>
      <c r="L208" s="268">
        <v>0</v>
      </c>
      <c r="M208" s="267">
        <v>0</v>
      </c>
      <c r="N208" s="270">
        <v>10000</v>
      </c>
    </row>
    <row r="209" spans="1:14" x14ac:dyDescent="0.25">
      <c r="A209" s="269" t="s">
        <v>696</v>
      </c>
      <c r="B209" s="232" t="s">
        <v>925</v>
      </c>
      <c r="C209" s="215" t="s">
        <v>622</v>
      </c>
      <c r="D209" s="215" t="s">
        <v>623</v>
      </c>
      <c r="E209" s="215" t="s">
        <v>624</v>
      </c>
      <c r="F209" s="267">
        <v>3388.43</v>
      </c>
      <c r="G209" s="267">
        <v>0</v>
      </c>
      <c r="H209" s="268">
        <v>0</v>
      </c>
      <c r="I209" s="268">
        <v>0</v>
      </c>
      <c r="J209" s="268">
        <v>0</v>
      </c>
      <c r="K209" s="268">
        <v>711.57</v>
      </c>
      <c r="L209" s="268">
        <v>0</v>
      </c>
      <c r="M209" s="267">
        <v>0</v>
      </c>
      <c r="N209" s="270">
        <v>4100</v>
      </c>
    </row>
    <row r="210" spans="1:14" x14ac:dyDescent="0.25">
      <c r="A210" s="269" t="s">
        <v>696</v>
      </c>
      <c r="B210" s="232" t="s">
        <v>926</v>
      </c>
      <c r="C210" s="215" t="s">
        <v>622</v>
      </c>
      <c r="D210" s="215" t="s">
        <v>623</v>
      </c>
      <c r="E210" s="215" t="s">
        <v>624</v>
      </c>
      <c r="F210" s="267">
        <v>7438.02</v>
      </c>
      <c r="G210" s="267">
        <v>0</v>
      </c>
      <c r="H210" s="268">
        <v>0</v>
      </c>
      <c r="I210" s="268">
        <v>0</v>
      </c>
      <c r="J210" s="268">
        <v>0</v>
      </c>
      <c r="K210" s="268">
        <v>1561.98</v>
      </c>
      <c r="L210" s="268">
        <v>0</v>
      </c>
      <c r="M210" s="267">
        <v>0</v>
      </c>
      <c r="N210" s="270">
        <v>9000</v>
      </c>
    </row>
    <row r="211" spans="1:14" x14ac:dyDescent="0.25">
      <c r="A211" s="269" t="s">
        <v>696</v>
      </c>
      <c r="B211" s="232" t="s">
        <v>927</v>
      </c>
      <c r="C211" s="215" t="s">
        <v>622</v>
      </c>
      <c r="D211" s="215" t="s">
        <v>623</v>
      </c>
      <c r="E211" s="215" t="s">
        <v>624</v>
      </c>
      <c r="F211" s="267">
        <v>3388.43</v>
      </c>
      <c r="G211" s="267">
        <v>0</v>
      </c>
      <c r="H211" s="268">
        <v>0</v>
      </c>
      <c r="I211" s="268">
        <v>0</v>
      </c>
      <c r="J211" s="268">
        <v>0</v>
      </c>
      <c r="K211" s="268">
        <v>711.57</v>
      </c>
      <c r="L211" s="268">
        <v>0</v>
      </c>
      <c r="M211" s="267">
        <v>0</v>
      </c>
      <c r="N211" s="270">
        <v>4100</v>
      </c>
    </row>
    <row r="212" spans="1:14" x14ac:dyDescent="0.25">
      <c r="A212" s="269" t="s">
        <v>696</v>
      </c>
      <c r="B212" s="232" t="s">
        <v>928</v>
      </c>
      <c r="C212" s="215" t="s">
        <v>622</v>
      </c>
      <c r="D212" s="215" t="s">
        <v>623</v>
      </c>
      <c r="E212" s="215" t="s">
        <v>624</v>
      </c>
      <c r="F212" s="267">
        <v>7024.8</v>
      </c>
      <c r="G212" s="267">
        <v>0</v>
      </c>
      <c r="H212" s="268">
        <v>0</v>
      </c>
      <c r="I212" s="268">
        <v>0</v>
      </c>
      <c r="J212" s="268">
        <v>0</v>
      </c>
      <c r="K212" s="268">
        <v>1475.2</v>
      </c>
      <c r="L212" s="268">
        <v>0</v>
      </c>
      <c r="M212" s="267">
        <v>0</v>
      </c>
      <c r="N212" s="270">
        <v>8500</v>
      </c>
    </row>
    <row r="213" spans="1:14" x14ac:dyDescent="0.25">
      <c r="A213" s="269" t="s">
        <v>696</v>
      </c>
      <c r="B213" s="232" t="s">
        <v>929</v>
      </c>
      <c r="C213" s="215" t="s">
        <v>635</v>
      </c>
      <c r="D213" s="215" t="s">
        <v>626</v>
      </c>
      <c r="E213" s="215">
        <v>30608716390</v>
      </c>
      <c r="F213" s="267">
        <v>385.67</v>
      </c>
      <c r="G213" s="267">
        <v>0</v>
      </c>
      <c r="H213" s="268">
        <v>0</v>
      </c>
      <c r="I213" s="268">
        <v>0</v>
      </c>
      <c r="J213" s="268">
        <v>0</v>
      </c>
      <c r="K213" s="268">
        <v>80.989999999999995</v>
      </c>
      <c r="L213" s="268">
        <v>0</v>
      </c>
      <c r="M213" s="267">
        <v>0</v>
      </c>
      <c r="N213" s="270">
        <v>466.66</v>
      </c>
    </row>
    <row r="214" spans="1:14" x14ac:dyDescent="0.25">
      <c r="A214" s="269" t="s">
        <v>696</v>
      </c>
      <c r="B214" s="232" t="s">
        <v>930</v>
      </c>
      <c r="C214" s="215" t="s">
        <v>635</v>
      </c>
      <c r="D214" s="215" t="s">
        <v>626</v>
      </c>
      <c r="E214" s="215">
        <v>30608716390</v>
      </c>
      <c r="F214" s="267">
        <v>30526.42</v>
      </c>
      <c r="G214" s="267">
        <v>0</v>
      </c>
      <c r="H214" s="268">
        <v>0</v>
      </c>
      <c r="I214" s="268">
        <v>0</v>
      </c>
      <c r="J214" s="268">
        <v>0</v>
      </c>
      <c r="K214" s="268">
        <v>6410.53</v>
      </c>
      <c r="L214" s="268">
        <v>0</v>
      </c>
      <c r="M214" s="267">
        <v>0</v>
      </c>
      <c r="N214" s="270">
        <v>36936.950000000004</v>
      </c>
    </row>
    <row r="215" spans="1:14" x14ac:dyDescent="0.25">
      <c r="A215" s="269" t="s">
        <v>697</v>
      </c>
      <c r="B215" s="232" t="s">
        <v>931</v>
      </c>
      <c r="C215" s="215" t="s">
        <v>622</v>
      </c>
      <c r="D215" s="215" t="s">
        <v>623</v>
      </c>
      <c r="E215" s="215" t="s">
        <v>624</v>
      </c>
      <c r="F215" s="267">
        <v>6694.21</v>
      </c>
      <c r="G215" s="267">
        <v>0</v>
      </c>
      <c r="H215" s="268">
        <v>0</v>
      </c>
      <c r="I215" s="268">
        <v>0</v>
      </c>
      <c r="J215" s="268">
        <v>0</v>
      </c>
      <c r="K215" s="268">
        <v>1405.79</v>
      </c>
      <c r="L215" s="268">
        <v>0</v>
      </c>
      <c r="M215" s="267">
        <v>0</v>
      </c>
      <c r="N215" s="270">
        <v>8100</v>
      </c>
    </row>
    <row r="216" spans="1:14" x14ac:dyDescent="0.25">
      <c r="A216" s="269" t="s">
        <v>697</v>
      </c>
      <c r="B216" s="232" t="s">
        <v>932</v>
      </c>
      <c r="C216" s="215" t="s">
        <v>622</v>
      </c>
      <c r="D216" s="215" t="s">
        <v>623</v>
      </c>
      <c r="E216" s="215" t="s">
        <v>624</v>
      </c>
      <c r="F216" s="267">
        <v>17355.37</v>
      </c>
      <c r="G216" s="267">
        <v>0</v>
      </c>
      <c r="H216" s="268">
        <v>0</v>
      </c>
      <c r="I216" s="268">
        <v>0</v>
      </c>
      <c r="J216" s="268">
        <v>0</v>
      </c>
      <c r="K216" s="268">
        <v>3644.63</v>
      </c>
      <c r="L216" s="268">
        <v>0</v>
      </c>
      <c r="M216" s="267">
        <v>0</v>
      </c>
      <c r="N216" s="270">
        <v>21000</v>
      </c>
    </row>
    <row r="217" spans="1:14" x14ac:dyDescent="0.25">
      <c r="A217" s="269" t="s">
        <v>697</v>
      </c>
      <c r="B217" s="232" t="s">
        <v>933</v>
      </c>
      <c r="C217" s="215" t="s">
        <v>622</v>
      </c>
      <c r="D217" s="215" t="s">
        <v>623</v>
      </c>
      <c r="E217" s="215" t="s">
        <v>624</v>
      </c>
      <c r="F217" s="267">
        <v>1404.96</v>
      </c>
      <c r="G217" s="267">
        <v>0</v>
      </c>
      <c r="H217" s="268">
        <v>0</v>
      </c>
      <c r="I217" s="268">
        <v>0</v>
      </c>
      <c r="J217" s="268">
        <v>0</v>
      </c>
      <c r="K217" s="268">
        <v>295.04000000000002</v>
      </c>
      <c r="L217" s="268">
        <v>0</v>
      </c>
      <c r="M217" s="267">
        <v>0</v>
      </c>
      <c r="N217" s="270">
        <v>1700</v>
      </c>
    </row>
    <row r="218" spans="1:14" x14ac:dyDescent="0.25">
      <c r="A218" s="269" t="s">
        <v>697</v>
      </c>
      <c r="B218" s="232" t="s">
        <v>934</v>
      </c>
      <c r="C218" s="215" t="s">
        <v>622</v>
      </c>
      <c r="D218" s="215" t="s">
        <v>623</v>
      </c>
      <c r="E218" s="215" t="s">
        <v>624</v>
      </c>
      <c r="F218" s="267">
        <v>11570.25</v>
      </c>
      <c r="G218" s="267">
        <v>0</v>
      </c>
      <c r="H218" s="268">
        <v>0</v>
      </c>
      <c r="I218" s="268">
        <v>0</v>
      </c>
      <c r="J218" s="268">
        <v>0</v>
      </c>
      <c r="K218" s="268">
        <v>2429.75</v>
      </c>
      <c r="L218" s="268">
        <v>0</v>
      </c>
      <c r="M218" s="267">
        <v>0</v>
      </c>
      <c r="N218" s="270">
        <v>14000</v>
      </c>
    </row>
    <row r="219" spans="1:14" x14ac:dyDescent="0.25">
      <c r="A219" s="269" t="s">
        <v>697</v>
      </c>
      <c r="B219" s="232" t="s">
        <v>935</v>
      </c>
      <c r="C219" s="215" t="s">
        <v>622</v>
      </c>
      <c r="D219" s="215" t="s">
        <v>623</v>
      </c>
      <c r="E219" s="215" t="s">
        <v>624</v>
      </c>
      <c r="F219" s="267">
        <v>18677.689999999999</v>
      </c>
      <c r="G219" s="267">
        <v>0</v>
      </c>
      <c r="H219" s="268">
        <v>0</v>
      </c>
      <c r="I219" s="268">
        <v>0</v>
      </c>
      <c r="J219" s="268">
        <v>0</v>
      </c>
      <c r="K219" s="268">
        <v>3922.31</v>
      </c>
      <c r="L219" s="268">
        <v>0</v>
      </c>
      <c r="M219" s="267">
        <v>0</v>
      </c>
      <c r="N219" s="270">
        <v>22600</v>
      </c>
    </row>
    <row r="220" spans="1:14" x14ac:dyDescent="0.25">
      <c r="A220" s="269" t="s">
        <v>697</v>
      </c>
      <c r="B220" s="232" t="s">
        <v>936</v>
      </c>
      <c r="C220" s="215" t="s">
        <v>622</v>
      </c>
      <c r="D220" s="215" t="s">
        <v>623</v>
      </c>
      <c r="E220" s="215" t="s">
        <v>624</v>
      </c>
      <c r="F220" s="267">
        <v>3966.94</v>
      </c>
      <c r="G220" s="267">
        <v>0</v>
      </c>
      <c r="H220" s="268">
        <v>0</v>
      </c>
      <c r="I220" s="268">
        <v>0</v>
      </c>
      <c r="J220" s="268">
        <v>0</v>
      </c>
      <c r="K220" s="268">
        <v>833.06</v>
      </c>
      <c r="L220" s="268">
        <v>0</v>
      </c>
      <c r="M220" s="267">
        <v>0</v>
      </c>
      <c r="N220" s="270">
        <v>4800</v>
      </c>
    </row>
    <row r="221" spans="1:14" x14ac:dyDescent="0.25">
      <c r="A221" s="269" t="s">
        <v>697</v>
      </c>
      <c r="B221" s="232" t="s">
        <v>937</v>
      </c>
      <c r="C221" s="215" t="s">
        <v>622</v>
      </c>
      <c r="D221" s="215" t="s">
        <v>623</v>
      </c>
      <c r="E221" s="215" t="s">
        <v>624</v>
      </c>
      <c r="F221" s="267">
        <v>3719.01</v>
      </c>
      <c r="G221" s="267">
        <v>0</v>
      </c>
      <c r="H221" s="268">
        <v>0</v>
      </c>
      <c r="I221" s="268">
        <v>0</v>
      </c>
      <c r="J221" s="268">
        <v>0</v>
      </c>
      <c r="K221" s="268">
        <v>780.99</v>
      </c>
      <c r="L221" s="268">
        <v>0</v>
      </c>
      <c r="M221" s="267">
        <v>0</v>
      </c>
      <c r="N221" s="270">
        <v>4500</v>
      </c>
    </row>
    <row r="222" spans="1:14" x14ac:dyDescent="0.25">
      <c r="A222" s="269" t="s">
        <v>697</v>
      </c>
      <c r="B222" s="232" t="s">
        <v>938</v>
      </c>
      <c r="C222" s="215" t="s">
        <v>622</v>
      </c>
      <c r="D222" s="215" t="s">
        <v>623</v>
      </c>
      <c r="E222" s="215" t="s">
        <v>624</v>
      </c>
      <c r="F222" s="267">
        <v>3388.43</v>
      </c>
      <c r="G222" s="267">
        <v>0</v>
      </c>
      <c r="H222" s="268">
        <v>0</v>
      </c>
      <c r="I222" s="268">
        <v>0</v>
      </c>
      <c r="J222" s="268">
        <v>0</v>
      </c>
      <c r="K222" s="268">
        <v>711.57</v>
      </c>
      <c r="L222" s="268">
        <v>0</v>
      </c>
      <c r="M222" s="267">
        <v>0</v>
      </c>
      <c r="N222" s="270">
        <v>4100</v>
      </c>
    </row>
    <row r="223" spans="1:14" x14ac:dyDescent="0.25">
      <c r="A223" s="269" t="s">
        <v>697</v>
      </c>
      <c r="B223" s="232" t="s">
        <v>939</v>
      </c>
      <c r="C223" s="215" t="s">
        <v>622</v>
      </c>
      <c r="D223" s="215" t="s">
        <v>623</v>
      </c>
      <c r="E223" s="215" t="s">
        <v>624</v>
      </c>
      <c r="F223" s="267">
        <v>7851.24</v>
      </c>
      <c r="G223" s="267">
        <v>0</v>
      </c>
      <c r="H223" s="268">
        <v>0</v>
      </c>
      <c r="I223" s="268">
        <v>0</v>
      </c>
      <c r="J223" s="268">
        <v>0</v>
      </c>
      <c r="K223" s="268">
        <v>1648.76</v>
      </c>
      <c r="L223" s="268">
        <v>0</v>
      </c>
      <c r="M223" s="267">
        <v>0</v>
      </c>
      <c r="N223" s="270">
        <v>9500</v>
      </c>
    </row>
    <row r="224" spans="1:14" x14ac:dyDescent="0.25">
      <c r="A224" s="269" t="s">
        <v>698</v>
      </c>
      <c r="B224" s="232" t="s">
        <v>940</v>
      </c>
      <c r="C224" s="215" t="s">
        <v>622</v>
      </c>
      <c r="D224" s="215" t="s">
        <v>623</v>
      </c>
      <c r="E224" s="215" t="s">
        <v>624</v>
      </c>
      <c r="F224" s="267">
        <v>4049.59</v>
      </c>
      <c r="G224" s="267">
        <v>0</v>
      </c>
      <c r="H224" s="268">
        <v>0</v>
      </c>
      <c r="I224" s="268">
        <v>0</v>
      </c>
      <c r="J224" s="268">
        <v>0</v>
      </c>
      <c r="K224" s="268">
        <v>850.41</v>
      </c>
      <c r="L224" s="268">
        <v>0</v>
      </c>
      <c r="M224" s="267">
        <v>0</v>
      </c>
      <c r="N224" s="270">
        <v>4900</v>
      </c>
    </row>
    <row r="225" spans="1:14" x14ac:dyDescent="0.25">
      <c r="A225" s="269" t="s">
        <v>698</v>
      </c>
      <c r="B225" s="232" t="s">
        <v>941</v>
      </c>
      <c r="C225" s="215" t="s">
        <v>622</v>
      </c>
      <c r="D225" s="215" t="s">
        <v>623</v>
      </c>
      <c r="E225" s="215" t="s">
        <v>624</v>
      </c>
      <c r="F225" s="267">
        <v>7438.02</v>
      </c>
      <c r="G225" s="267">
        <v>0</v>
      </c>
      <c r="H225" s="268">
        <v>0</v>
      </c>
      <c r="I225" s="268">
        <v>0</v>
      </c>
      <c r="J225" s="268">
        <v>0</v>
      </c>
      <c r="K225" s="268">
        <v>1561.98</v>
      </c>
      <c r="L225" s="268">
        <v>0</v>
      </c>
      <c r="M225" s="267">
        <v>0</v>
      </c>
      <c r="N225" s="270">
        <v>9000</v>
      </c>
    </row>
    <row r="226" spans="1:14" x14ac:dyDescent="0.25">
      <c r="A226" s="269" t="s">
        <v>698</v>
      </c>
      <c r="B226" s="232" t="s">
        <v>942</v>
      </c>
      <c r="C226" s="215" t="s">
        <v>622</v>
      </c>
      <c r="D226" s="215" t="s">
        <v>623</v>
      </c>
      <c r="E226" s="215" t="s">
        <v>624</v>
      </c>
      <c r="F226" s="267">
        <v>8925.6200000000008</v>
      </c>
      <c r="G226" s="267">
        <v>0</v>
      </c>
      <c r="H226" s="268">
        <v>0</v>
      </c>
      <c r="I226" s="268">
        <v>0</v>
      </c>
      <c r="J226" s="268">
        <v>0</v>
      </c>
      <c r="K226" s="268">
        <v>1874.38</v>
      </c>
      <c r="L226" s="268">
        <v>0</v>
      </c>
      <c r="M226" s="267">
        <v>0</v>
      </c>
      <c r="N226" s="270">
        <v>10800</v>
      </c>
    </row>
    <row r="227" spans="1:14" x14ac:dyDescent="0.25">
      <c r="A227" s="269" t="s">
        <v>698</v>
      </c>
      <c r="B227" s="232" t="s">
        <v>943</v>
      </c>
      <c r="C227" s="215" t="s">
        <v>622</v>
      </c>
      <c r="D227" s="215" t="s">
        <v>623</v>
      </c>
      <c r="E227" s="215" t="s">
        <v>624</v>
      </c>
      <c r="F227" s="267">
        <v>12066.12</v>
      </c>
      <c r="G227" s="267">
        <v>0</v>
      </c>
      <c r="H227" s="268">
        <v>0</v>
      </c>
      <c r="I227" s="268">
        <v>0</v>
      </c>
      <c r="J227" s="268">
        <v>0</v>
      </c>
      <c r="K227" s="268">
        <v>2533.88</v>
      </c>
      <c r="L227" s="268">
        <v>0</v>
      </c>
      <c r="M227" s="267">
        <v>0</v>
      </c>
      <c r="N227" s="270">
        <v>14600</v>
      </c>
    </row>
    <row r="228" spans="1:14" x14ac:dyDescent="0.25">
      <c r="A228" s="269" t="s">
        <v>698</v>
      </c>
      <c r="B228" s="232" t="s">
        <v>944</v>
      </c>
      <c r="C228" s="215" t="s">
        <v>622</v>
      </c>
      <c r="D228" s="215" t="s">
        <v>623</v>
      </c>
      <c r="E228" s="215" t="s">
        <v>624</v>
      </c>
      <c r="F228" s="267">
        <v>3305.79</v>
      </c>
      <c r="G228" s="267">
        <v>0</v>
      </c>
      <c r="H228" s="268">
        <v>0</v>
      </c>
      <c r="I228" s="268">
        <v>0</v>
      </c>
      <c r="J228" s="268">
        <v>0</v>
      </c>
      <c r="K228" s="268">
        <v>694.21</v>
      </c>
      <c r="L228" s="268">
        <v>0</v>
      </c>
      <c r="M228" s="267">
        <v>0</v>
      </c>
      <c r="N228" s="270">
        <v>4000</v>
      </c>
    </row>
    <row r="229" spans="1:14" x14ac:dyDescent="0.25">
      <c r="A229" s="269" t="s">
        <v>698</v>
      </c>
      <c r="B229" s="232" t="s">
        <v>945</v>
      </c>
      <c r="C229" s="215" t="s">
        <v>622</v>
      </c>
      <c r="D229" s="215" t="s">
        <v>623</v>
      </c>
      <c r="E229" s="215" t="s">
        <v>624</v>
      </c>
      <c r="F229" s="267">
        <v>5454.55</v>
      </c>
      <c r="G229" s="267">
        <v>0</v>
      </c>
      <c r="H229" s="268">
        <v>0</v>
      </c>
      <c r="I229" s="268">
        <v>0</v>
      </c>
      <c r="J229" s="268">
        <v>0</v>
      </c>
      <c r="K229" s="268">
        <v>1145.45</v>
      </c>
      <c r="L229" s="268">
        <v>0</v>
      </c>
      <c r="M229" s="267">
        <v>0</v>
      </c>
      <c r="N229" s="270">
        <v>6600</v>
      </c>
    </row>
    <row r="230" spans="1:14" x14ac:dyDescent="0.25">
      <c r="A230" s="269" t="s">
        <v>698</v>
      </c>
      <c r="B230" s="232" t="s">
        <v>946</v>
      </c>
      <c r="C230" s="215" t="s">
        <v>622</v>
      </c>
      <c r="D230" s="215" t="s">
        <v>623</v>
      </c>
      <c r="E230" s="215" t="s">
        <v>624</v>
      </c>
      <c r="F230" s="267">
        <v>3388.43</v>
      </c>
      <c r="G230" s="267">
        <v>0</v>
      </c>
      <c r="H230" s="268">
        <v>0</v>
      </c>
      <c r="I230" s="268">
        <v>0</v>
      </c>
      <c r="J230" s="268">
        <v>0</v>
      </c>
      <c r="K230" s="268">
        <v>711.57</v>
      </c>
      <c r="L230" s="268">
        <v>0</v>
      </c>
      <c r="M230" s="267">
        <v>0</v>
      </c>
      <c r="N230" s="270">
        <v>4100</v>
      </c>
    </row>
    <row r="231" spans="1:14" x14ac:dyDescent="0.25">
      <c r="A231" s="269" t="s">
        <v>698</v>
      </c>
      <c r="B231" s="232" t="s">
        <v>947</v>
      </c>
      <c r="C231" s="215" t="s">
        <v>622</v>
      </c>
      <c r="D231" s="215" t="s">
        <v>623</v>
      </c>
      <c r="E231" s="215" t="s">
        <v>624</v>
      </c>
      <c r="F231" s="267">
        <v>2809.92</v>
      </c>
      <c r="G231" s="267">
        <v>0</v>
      </c>
      <c r="H231" s="268">
        <v>0</v>
      </c>
      <c r="I231" s="268">
        <v>0</v>
      </c>
      <c r="J231" s="268">
        <v>0</v>
      </c>
      <c r="K231" s="268">
        <v>590.08000000000004</v>
      </c>
      <c r="L231" s="268">
        <v>0</v>
      </c>
      <c r="M231" s="267">
        <v>0</v>
      </c>
      <c r="N231" s="270">
        <v>3400</v>
      </c>
    </row>
    <row r="232" spans="1:14" x14ac:dyDescent="0.25">
      <c r="A232" s="269" t="s">
        <v>698</v>
      </c>
      <c r="B232" s="232" t="s">
        <v>948</v>
      </c>
      <c r="C232" s="215" t="s">
        <v>622</v>
      </c>
      <c r="D232" s="215" t="s">
        <v>623</v>
      </c>
      <c r="E232" s="215" t="s">
        <v>624</v>
      </c>
      <c r="F232" s="267">
        <v>6611.57</v>
      </c>
      <c r="G232" s="267">
        <v>0</v>
      </c>
      <c r="H232" s="268">
        <v>0</v>
      </c>
      <c r="I232" s="268">
        <v>0</v>
      </c>
      <c r="J232" s="268">
        <v>0</v>
      </c>
      <c r="K232" s="268">
        <v>1388.43</v>
      </c>
      <c r="L232" s="268">
        <v>0</v>
      </c>
      <c r="M232" s="267">
        <v>0</v>
      </c>
      <c r="N232" s="270">
        <v>8000</v>
      </c>
    </row>
    <row r="233" spans="1:14" x14ac:dyDescent="0.25">
      <c r="A233" s="269" t="s">
        <v>698</v>
      </c>
      <c r="B233" s="232" t="s">
        <v>949</v>
      </c>
      <c r="C233" s="215" t="s">
        <v>622</v>
      </c>
      <c r="D233" s="215" t="s">
        <v>623</v>
      </c>
      <c r="E233" s="215" t="s">
        <v>624</v>
      </c>
      <c r="F233" s="267">
        <v>6033.06</v>
      </c>
      <c r="G233" s="267">
        <v>0</v>
      </c>
      <c r="H233" s="268">
        <v>0</v>
      </c>
      <c r="I233" s="268">
        <v>0</v>
      </c>
      <c r="J233" s="268">
        <v>0</v>
      </c>
      <c r="K233" s="268">
        <v>1266.94</v>
      </c>
      <c r="L233" s="268">
        <v>0</v>
      </c>
      <c r="M233" s="267">
        <v>0</v>
      </c>
      <c r="N233" s="270">
        <v>7300</v>
      </c>
    </row>
    <row r="234" spans="1:14" x14ac:dyDescent="0.25">
      <c r="A234" s="269" t="s">
        <v>698</v>
      </c>
      <c r="B234" s="232" t="s">
        <v>950</v>
      </c>
      <c r="C234" s="215" t="s">
        <v>622</v>
      </c>
      <c r="D234" s="215" t="s">
        <v>623</v>
      </c>
      <c r="E234" s="215" t="s">
        <v>624</v>
      </c>
      <c r="F234" s="267">
        <v>2066.12</v>
      </c>
      <c r="G234" s="267">
        <v>0</v>
      </c>
      <c r="H234" s="268">
        <v>0</v>
      </c>
      <c r="I234" s="268">
        <v>0</v>
      </c>
      <c r="J234" s="268">
        <v>0</v>
      </c>
      <c r="K234" s="268">
        <v>433.88</v>
      </c>
      <c r="L234" s="268">
        <v>0</v>
      </c>
      <c r="M234" s="267">
        <v>0</v>
      </c>
      <c r="N234" s="270">
        <v>2500</v>
      </c>
    </row>
    <row r="235" spans="1:14" x14ac:dyDescent="0.25">
      <c r="A235" s="269" t="s">
        <v>698</v>
      </c>
      <c r="B235" s="232" t="s">
        <v>951</v>
      </c>
      <c r="C235" s="215" t="s">
        <v>622</v>
      </c>
      <c r="D235" s="215" t="s">
        <v>623</v>
      </c>
      <c r="E235" s="215" t="s">
        <v>624</v>
      </c>
      <c r="F235" s="267">
        <v>16528.93</v>
      </c>
      <c r="G235" s="267">
        <v>0</v>
      </c>
      <c r="H235" s="268">
        <v>0</v>
      </c>
      <c r="I235" s="268">
        <v>0</v>
      </c>
      <c r="J235" s="268">
        <v>0</v>
      </c>
      <c r="K235" s="268">
        <v>3471.07</v>
      </c>
      <c r="L235" s="268">
        <v>0</v>
      </c>
      <c r="M235" s="267">
        <v>0</v>
      </c>
      <c r="N235" s="270">
        <v>20000</v>
      </c>
    </row>
    <row r="236" spans="1:14" x14ac:dyDescent="0.25">
      <c r="A236" s="269" t="s">
        <v>698</v>
      </c>
      <c r="B236" s="232" t="s">
        <v>952</v>
      </c>
      <c r="C236" s="215" t="s">
        <v>622</v>
      </c>
      <c r="D236" s="215" t="s">
        <v>623</v>
      </c>
      <c r="E236" s="215" t="s">
        <v>624</v>
      </c>
      <c r="F236" s="267">
        <v>16528.93</v>
      </c>
      <c r="G236" s="267">
        <v>0</v>
      </c>
      <c r="H236" s="268">
        <v>0</v>
      </c>
      <c r="I236" s="268">
        <v>0</v>
      </c>
      <c r="J236" s="268">
        <v>0</v>
      </c>
      <c r="K236" s="268">
        <v>3471.07</v>
      </c>
      <c r="L236" s="268">
        <v>0</v>
      </c>
      <c r="M236" s="267">
        <v>0</v>
      </c>
      <c r="N236" s="270">
        <v>20000</v>
      </c>
    </row>
    <row r="237" spans="1:14" x14ac:dyDescent="0.25">
      <c r="A237" s="269" t="s">
        <v>698</v>
      </c>
      <c r="B237" s="232" t="s">
        <v>953</v>
      </c>
      <c r="C237" s="215" t="s">
        <v>635</v>
      </c>
      <c r="D237" s="215" t="s">
        <v>626</v>
      </c>
      <c r="E237" s="215">
        <v>30608716390</v>
      </c>
      <c r="F237" s="267">
        <v>2600</v>
      </c>
      <c r="G237" s="267">
        <v>0</v>
      </c>
      <c r="H237" s="268">
        <v>0</v>
      </c>
      <c r="I237" s="268">
        <v>0</v>
      </c>
      <c r="J237" s="268">
        <v>0</v>
      </c>
      <c r="K237" s="268">
        <v>546</v>
      </c>
      <c r="L237" s="268">
        <v>0</v>
      </c>
      <c r="M237" s="267">
        <v>0</v>
      </c>
      <c r="N237" s="270">
        <v>3146</v>
      </c>
    </row>
    <row r="238" spans="1:14" x14ac:dyDescent="0.25">
      <c r="A238" s="269" t="s">
        <v>698</v>
      </c>
      <c r="B238" s="232" t="s">
        <v>954</v>
      </c>
      <c r="C238" s="215" t="s">
        <v>955</v>
      </c>
      <c r="D238" s="215" t="s">
        <v>623</v>
      </c>
      <c r="E238" s="215">
        <v>4164120</v>
      </c>
      <c r="F238" s="267">
        <v>2600</v>
      </c>
      <c r="G238" s="267">
        <v>0</v>
      </c>
      <c r="H238" s="268">
        <v>0</v>
      </c>
      <c r="I238" s="268">
        <v>0</v>
      </c>
      <c r="J238" s="268">
        <v>0</v>
      </c>
      <c r="K238" s="268">
        <v>546</v>
      </c>
      <c r="L238" s="268">
        <v>0</v>
      </c>
      <c r="M238" s="267">
        <v>0</v>
      </c>
      <c r="N238" s="270">
        <v>3146</v>
      </c>
    </row>
    <row r="239" spans="1:14" x14ac:dyDescent="0.25">
      <c r="A239" s="269" t="s">
        <v>699</v>
      </c>
      <c r="B239" s="232" t="s">
        <v>956</v>
      </c>
      <c r="C239" s="215" t="s">
        <v>622</v>
      </c>
      <c r="D239" s="215" t="s">
        <v>623</v>
      </c>
      <c r="E239" s="215" t="s">
        <v>624</v>
      </c>
      <c r="F239" s="267">
        <v>5289.26</v>
      </c>
      <c r="G239" s="267">
        <v>0</v>
      </c>
      <c r="H239" s="268">
        <v>0</v>
      </c>
      <c r="I239" s="268">
        <v>0</v>
      </c>
      <c r="J239" s="268">
        <v>0</v>
      </c>
      <c r="K239" s="268">
        <v>1110.74</v>
      </c>
      <c r="L239" s="268">
        <v>0</v>
      </c>
      <c r="M239" s="267">
        <v>0</v>
      </c>
      <c r="N239" s="270">
        <v>6400</v>
      </c>
    </row>
    <row r="240" spans="1:14" x14ac:dyDescent="0.25">
      <c r="A240" s="269" t="s">
        <v>699</v>
      </c>
      <c r="B240" s="232" t="s">
        <v>957</v>
      </c>
      <c r="C240" s="215" t="s">
        <v>622</v>
      </c>
      <c r="D240" s="215" t="s">
        <v>623</v>
      </c>
      <c r="E240" s="215" t="s">
        <v>624</v>
      </c>
      <c r="F240" s="267">
        <v>6776.86</v>
      </c>
      <c r="G240" s="267">
        <v>0</v>
      </c>
      <c r="H240" s="268">
        <v>0</v>
      </c>
      <c r="I240" s="268">
        <v>0</v>
      </c>
      <c r="J240" s="268">
        <v>0</v>
      </c>
      <c r="K240" s="268">
        <v>1423.14</v>
      </c>
      <c r="L240" s="268">
        <v>0</v>
      </c>
      <c r="M240" s="267">
        <v>0</v>
      </c>
      <c r="N240" s="270">
        <v>8200</v>
      </c>
    </row>
    <row r="241" spans="1:14" x14ac:dyDescent="0.25">
      <c r="A241" s="269" t="s">
        <v>699</v>
      </c>
      <c r="B241" s="232" t="s">
        <v>958</v>
      </c>
      <c r="C241" s="215" t="s">
        <v>622</v>
      </c>
      <c r="D241" s="215" t="s">
        <v>623</v>
      </c>
      <c r="E241" s="215" t="s">
        <v>624</v>
      </c>
      <c r="F241" s="267">
        <v>8677.69</v>
      </c>
      <c r="G241" s="267">
        <v>0</v>
      </c>
      <c r="H241" s="268">
        <v>0</v>
      </c>
      <c r="I241" s="268">
        <v>0</v>
      </c>
      <c r="J241" s="268">
        <v>0</v>
      </c>
      <c r="K241" s="268">
        <v>1822.31</v>
      </c>
      <c r="L241" s="268">
        <v>0</v>
      </c>
      <c r="M241" s="267">
        <v>0</v>
      </c>
      <c r="N241" s="270">
        <v>10500</v>
      </c>
    </row>
    <row r="242" spans="1:14" x14ac:dyDescent="0.25">
      <c r="A242" s="269" t="s">
        <v>699</v>
      </c>
      <c r="B242" s="232" t="s">
        <v>959</v>
      </c>
      <c r="C242" s="215" t="s">
        <v>622</v>
      </c>
      <c r="D242" s="215" t="s">
        <v>623</v>
      </c>
      <c r="E242" s="215" t="s">
        <v>624</v>
      </c>
      <c r="F242" s="267">
        <v>7438.02</v>
      </c>
      <c r="G242" s="267">
        <v>0</v>
      </c>
      <c r="H242" s="268">
        <v>0</v>
      </c>
      <c r="I242" s="268">
        <v>0</v>
      </c>
      <c r="J242" s="268">
        <v>0</v>
      </c>
      <c r="K242" s="268">
        <v>1561.98</v>
      </c>
      <c r="L242" s="268">
        <v>0</v>
      </c>
      <c r="M242" s="267">
        <v>0</v>
      </c>
      <c r="N242" s="270">
        <v>9000</v>
      </c>
    </row>
    <row r="243" spans="1:14" x14ac:dyDescent="0.25">
      <c r="A243" s="269" t="s">
        <v>699</v>
      </c>
      <c r="B243" s="232" t="s">
        <v>960</v>
      </c>
      <c r="C243" s="215" t="s">
        <v>622</v>
      </c>
      <c r="D243" s="215" t="s">
        <v>623</v>
      </c>
      <c r="E243" s="215" t="s">
        <v>624</v>
      </c>
      <c r="F243" s="267">
        <v>12066.12</v>
      </c>
      <c r="G243" s="267">
        <v>0</v>
      </c>
      <c r="H243" s="268">
        <v>0</v>
      </c>
      <c r="I243" s="268">
        <v>0</v>
      </c>
      <c r="J243" s="268">
        <v>0</v>
      </c>
      <c r="K243" s="268">
        <v>2533.88</v>
      </c>
      <c r="L243" s="268">
        <v>0</v>
      </c>
      <c r="M243" s="267">
        <v>0</v>
      </c>
      <c r="N243" s="270">
        <v>14600</v>
      </c>
    </row>
    <row r="244" spans="1:14" x14ac:dyDescent="0.25">
      <c r="A244" s="269" t="s">
        <v>699</v>
      </c>
      <c r="B244" s="232" t="s">
        <v>961</v>
      </c>
      <c r="C244" s="215" t="s">
        <v>622</v>
      </c>
      <c r="D244" s="215" t="s">
        <v>623</v>
      </c>
      <c r="E244" s="215" t="s">
        <v>624</v>
      </c>
      <c r="F244" s="267">
        <v>6776.86</v>
      </c>
      <c r="G244" s="267">
        <v>0</v>
      </c>
      <c r="H244" s="268">
        <v>0</v>
      </c>
      <c r="I244" s="268">
        <v>0</v>
      </c>
      <c r="J244" s="268">
        <v>0</v>
      </c>
      <c r="K244" s="268">
        <v>1423.14</v>
      </c>
      <c r="L244" s="268">
        <v>0</v>
      </c>
      <c r="M244" s="267">
        <v>0</v>
      </c>
      <c r="N244" s="270">
        <v>8200</v>
      </c>
    </row>
    <row r="245" spans="1:14" x14ac:dyDescent="0.25">
      <c r="A245" s="269" t="s">
        <v>699</v>
      </c>
      <c r="B245" s="232" t="s">
        <v>962</v>
      </c>
      <c r="C245" s="215" t="s">
        <v>622</v>
      </c>
      <c r="D245" s="215" t="s">
        <v>623</v>
      </c>
      <c r="E245" s="215" t="s">
        <v>624</v>
      </c>
      <c r="F245" s="267">
        <v>8264.4600000000009</v>
      </c>
      <c r="G245" s="267">
        <v>0</v>
      </c>
      <c r="H245" s="268">
        <v>0</v>
      </c>
      <c r="I245" s="268">
        <v>0</v>
      </c>
      <c r="J245" s="268">
        <v>0</v>
      </c>
      <c r="K245" s="268">
        <v>1735.54</v>
      </c>
      <c r="L245" s="268">
        <v>0</v>
      </c>
      <c r="M245" s="267">
        <v>0</v>
      </c>
      <c r="N245" s="270">
        <v>10000</v>
      </c>
    </row>
    <row r="246" spans="1:14" x14ac:dyDescent="0.25">
      <c r="A246" s="269" t="s">
        <v>699</v>
      </c>
      <c r="B246" s="232" t="s">
        <v>963</v>
      </c>
      <c r="C246" s="215" t="s">
        <v>622</v>
      </c>
      <c r="D246" s="215" t="s">
        <v>623</v>
      </c>
      <c r="E246" s="215" t="s">
        <v>624</v>
      </c>
      <c r="F246" s="267">
        <v>8512.4</v>
      </c>
      <c r="G246" s="267">
        <v>0</v>
      </c>
      <c r="H246" s="268">
        <v>0</v>
      </c>
      <c r="I246" s="268">
        <v>0</v>
      </c>
      <c r="J246" s="268">
        <v>0</v>
      </c>
      <c r="K246" s="268">
        <v>1787.6</v>
      </c>
      <c r="L246" s="268">
        <v>0</v>
      </c>
      <c r="M246" s="267">
        <v>0</v>
      </c>
      <c r="N246" s="270">
        <v>10300</v>
      </c>
    </row>
    <row r="247" spans="1:14" x14ac:dyDescent="0.25">
      <c r="A247" s="269" t="s">
        <v>699</v>
      </c>
      <c r="B247" s="232" t="s">
        <v>964</v>
      </c>
      <c r="C247" s="215" t="s">
        <v>622</v>
      </c>
      <c r="D247" s="215" t="s">
        <v>623</v>
      </c>
      <c r="E247" s="215" t="s">
        <v>624</v>
      </c>
      <c r="F247" s="267">
        <v>5537.19</v>
      </c>
      <c r="G247" s="267">
        <v>0</v>
      </c>
      <c r="H247" s="268">
        <v>0</v>
      </c>
      <c r="I247" s="268">
        <v>0</v>
      </c>
      <c r="J247" s="268">
        <v>0</v>
      </c>
      <c r="K247" s="268">
        <v>1162.81</v>
      </c>
      <c r="L247" s="268">
        <v>0</v>
      </c>
      <c r="M247" s="267">
        <v>0</v>
      </c>
      <c r="N247" s="270">
        <v>6700</v>
      </c>
    </row>
    <row r="248" spans="1:14" x14ac:dyDescent="0.25">
      <c r="A248" s="269" t="s">
        <v>699</v>
      </c>
      <c r="B248" s="232" t="s">
        <v>965</v>
      </c>
      <c r="C248" s="215" t="s">
        <v>622</v>
      </c>
      <c r="D248" s="215" t="s">
        <v>623</v>
      </c>
      <c r="E248" s="215" t="s">
        <v>624</v>
      </c>
      <c r="F248" s="267">
        <v>5619.83</v>
      </c>
      <c r="G248" s="267">
        <v>0</v>
      </c>
      <c r="H248" s="268">
        <v>0</v>
      </c>
      <c r="I248" s="268">
        <v>0</v>
      </c>
      <c r="J248" s="268">
        <v>0</v>
      </c>
      <c r="K248" s="268">
        <v>1180.17</v>
      </c>
      <c r="L248" s="268">
        <v>0</v>
      </c>
      <c r="M248" s="267">
        <v>0</v>
      </c>
      <c r="N248" s="270">
        <v>6800</v>
      </c>
    </row>
    <row r="249" spans="1:14" x14ac:dyDescent="0.25">
      <c r="A249" s="269" t="s">
        <v>699</v>
      </c>
      <c r="B249" s="232" t="s">
        <v>966</v>
      </c>
      <c r="C249" s="215" t="s">
        <v>622</v>
      </c>
      <c r="D249" s="215" t="s">
        <v>623</v>
      </c>
      <c r="E249" s="215" t="s">
        <v>624</v>
      </c>
      <c r="F249" s="267">
        <v>5289.26</v>
      </c>
      <c r="G249" s="267">
        <v>0</v>
      </c>
      <c r="H249" s="268">
        <v>0</v>
      </c>
      <c r="I249" s="268">
        <v>0</v>
      </c>
      <c r="J249" s="268">
        <v>0</v>
      </c>
      <c r="K249" s="268">
        <v>1110.74</v>
      </c>
      <c r="L249" s="268">
        <v>0</v>
      </c>
      <c r="M249" s="267">
        <v>0</v>
      </c>
      <c r="N249" s="270">
        <v>6400</v>
      </c>
    </row>
    <row r="250" spans="1:14" x14ac:dyDescent="0.25">
      <c r="A250" s="269" t="s">
        <v>699</v>
      </c>
      <c r="B250" s="232" t="s">
        <v>967</v>
      </c>
      <c r="C250" s="215" t="s">
        <v>622</v>
      </c>
      <c r="D250" s="215" t="s">
        <v>623</v>
      </c>
      <c r="E250" s="215" t="s">
        <v>624</v>
      </c>
      <c r="F250" s="267">
        <v>6776.86</v>
      </c>
      <c r="G250" s="267">
        <v>0</v>
      </c>
      <c r="H250" s="268">
        <v>0</v>
      </c>
      <c r="I250" s="268">
        <v>0</v>
      </c>
      <c r="J250" s="268">
        <v>0</v>
      </c>
      <c r="K250" s="268">
        <v>1423.14</v>
      </c>
      <c r="L250" s="268">
        <v>0</v>
      </c>
      <c r="M250" s="267">
        <v>0</v>
      </c>
      <c r="N250" s="270">
        <v>8200</v>
      </c>
    </row>
    <row r="251" spans="1:14" x14ac:dyDescent="0.25">
      <c r="A251" s="269" t="s">
        <v>699</v>
      </c>
      <c r="B251" s="232" t="s">
        <v>968</v>
      </c>
      <c r="C251" s="215" t="s">
        <v>622</v>
      </c>
      <c r="D251" s="215" t="s">
        <v>623</v>
      </c>
      <c r="E251" s="215" t="s">
        <v>624</v>
      </c>
      <c r="F251" s="267">
        <v>3388.43</v>
      </c>
      <c r="G251" s="267">
        <v>0</v>
      </c>
      <c r="H251" s="268">
        <v>0</v>
      </c>
      <c r="I251" s="268">
        <v>0</v>
      </c>
      <c r="J251" s="268">
        <v>0</v>
      </c>
      <c r="K251" s="268">
        <v>711.57</v>
      </c>
      <c r="L251" s="268">
        <v>0</v>
      </c>
      <c r="M251" s="267">
        <v>0</v>
      </c>
      <c r="N251" s="270">
        <v>4100</v>
      </c>
    </row>
    <row r="252" spans="1:14" x14ac:dyDescent="0.25">
      <c r="A252" s="269" t="s">
        <v>699</v>
      </c>
      <c r="B252" s="232" t="s">
        <v>969</v>
      </c>
      <c r="C252" s="215" t="s">
        <v>622</v>
      </c>
      <c r="D252" s="215" t="s">
        <v>623</v>
      </c>
      <c r="E252" s="215" t="s">
        <v>624</v>
      </c>
      <c r="F252" s="267">
        <v>5289.26</v>
      </c>
      <c r="G252" s="267">
        <v>0</v>
      </c>
      <c r="H252" s="268">
        <v>0</v>
      </c>
      <c r="I252" s="268">
        <v>0</v>
      </c>
      <c r="J252" s="268">
        <v>0</v>
      </c>
      <c r="K252" s="268">
        <v>1110.74</v>
      </c>
      <c r="L252" s="268">
        <v>0</v>
      </c>
      <c r="M252" s="267">
        <v>0</v>
      </c>
      <c r="N252" s="270">
        <v>6400</v>
      </c>
    </row>
    <row r="253" spans="1:14" x14ac:dyDescent="0.25">
      <c r="A253" s="269" t="s">
        <v>699</v>
      </c>
      <c r="B253" s="232" t="s">
        <v>970</v>
      </c>
      <c r="C253" s="215" t="s">
        <v>622</v>
      </c>
      <c r="D253" s="215" t="s">
        <v>623</v>
      </c>
      <c r="E253" s="215" t="s">
        <v>624</v>
      </c>
      <c r="F253" s="267">
        <v>3388.43</v>
      </c>
      <c r="G253" s="267">
        <v>0</v>
      </c>
      <c r="H253" s="268">
        <v>0</v>
      </c>
      <c r="I253" s="268">
        <v>0</v>
      </c>
      <c r="J253" s="268">
        <v>0</v>
      </c>
      <c r="K253" s="268">
        <v>711.57</v>
      </c>
      <c r="L253" s="268">
        <v>0</v>
      </c>
      <c r="M253" s="267">
        <v>0</v>
      </c>
      <c r="N253" s="270">
        <v>4100</v>
      </c>
    </row>
    <row r="254" spans="1:14" x14ac:dyDescent="0.25">
      <c r="A254" s="269" t="s">
        <v>699</v>
      </c>
      <c r="B254" s="232" t="s">
        <v>971</v>
      </c>
      <c r="C254" s="215" t="s">
        <v>622</v>
      </c>
      <c r="D254" s="215" t="s">
        <v>623</v>
      </c>
      <c r="E254" s="215" t="s">
        <v>624</v>
      </c>
      <c r="F254" s="267">
        <v>5289.26</v>
      </c>
      <c r="G254" s="267">
        <v>0</v>
      </c>
      <c r="H254" s="268">
        <v>0</v>
      </c>
      <c r="I254" s="268">
        <v>0</v>
      </c>
      <c r="J254" s="268">
        <v>0</v>
      </c>
      <c r="K254" s="268">
        <v>1110.74</v>
      </c>
      <c r="L254" s="268">
        <v>0</v>
      </c>
      <c r="M254" s="267">
        <v>0</v>
      </c>
      <c r="N254" s="270">
        <v>6400</v>
      </c>
    </row>
    <row r="255" spans="1:14" x14ac:dyDescent="0.25">
      <c r="A255" s="269" t="s">
        <v>699</v>
      </c>
      <c r="B255" s="232" t="s">
        <v>972</v>
      </c>
      <c r="C255" s="215" t="s">
        <v>622</v>
      </c>
      <c r="D255" s="215" t="s">
        <v>623</v>
      </c>
      <c r="E255" s="215" t="s">
        <v>624</v>
      </c>
      <c r="F255" s="267">
        <v>3388.43</v>
      </c>
      <c r="G255" s="267">
        <v>0</v>
      </c>
      <c r="H255" s="268">
        <v>0</v>
      </c>
      <c r="I255" s="268">
        <v>0</v>
      </c>
      <c r="J255" s="268">
        <v>0</v>
      </c>
      <c r="K255" s="268">
        <v>711.57</v>
      </c>
      <c r="L255" s="268">
        <v>0</v>
      </c>
      <c r="M255" s="267">
        <v>0</v>
      </c>
      <c r="N255" s="270">
        <v>4100</v>
      </c>
    </row>
    <row r="256" spans="1:14" x14ac:dyDescent="0.25">
      <c r="A256" s="269" t="s">
        <v>699</v>
      </c>
      <c r="B256" s="232" t="s">
        <v>973</v>
      </c>
      <c r="C256" s="215" t="s">
        <v>635</v>
      </c>
      <c r="D256" s="215" t="s">
        <v>626</v>
      </c>
      <c r="E256" s="215">
        <v>30608716390</v>
      </c>
      <c r="F256" s="267">
        <v>1690.09</v>
      </c>
      <c r="G256" s="267">
        <v>0</v>
      </c>
      <c r="H256" s="268">
        <v>0</v>
      </c>
      <c r="I256" s="268">
        <v>0</v>
      </c>
      <c r="J256" s="268">
        <v>0</v>
      </c>
      <c r="K256" s="268">
        <v>354.92</v>
      </c>
      <c r="L256" s="268">
        <v>0</v>
      </c>
      <c r="M256" s="267">
        <v>0</v>
      </c>
      <c r="N256" s="270">
        <v>2045.01</v>
      </c>
    </row>
    <row r="257" spans="1:14" x14ac:dyDescent="0.25">
      <c r="A257" s="269" t="s">
        <v>699</v>
      </c>
      <c r="B257" s="232" t="s">
        <v>974</v>
      </c>
      <c r="C257" s="215" t="s">
        <v>975</v>
      </c>
      <c r="D257" s="215" t="s">
        <v>623</v>
      </c>
      <c r="E257" s="215">
        <v>22040665</v>
      </c>
      <c r="F257" s="267">
        <v>11570.25</v>
      </c>
      <c r="G257" s="267">
        <v>0</v>
      </c>
      <c r="H257" s="268">
        <v>0</v>
      </c>
      <c r="I257" s="268">
        <v>0</v>
      </c>
      <c r="J257" s="268">
        <v>0</v>
      </c>
      <c r="K257" s="268">
        <v>2429.75</v>
      </c>
      <c r="L257" s="268">
        <v>0</v>
      </c>
      <c r="M257" s="267">
        <v>0</v>
      </c>
      <c r="N257" s="270">
        <v>14000</v>
      </c>
    </row>
    <row r="258" spans="1:14" x14ac:dyDescent="0.25">
      <c r="A258" s="269" t="s">
        <v>699</v>
      </c>
      <c r="B258" s="232" t="s">
        <v>976</v>
      </c>
      <c r="C258" s="215" t="s">
        <v>977</v>
      </c>
      <c r="D258" s="215" t="s">
        <v>623</v>
      </c>
      <c r="E258" s="215">
        <v>10964746</v>
      </c>
      <c r="F258" s="267">
        <v>319008.26</v>
      </c>
      <c r="G258" s="267">
        <v>0</v>
      </c>
      <c r="H258" s="268">
        <v>0</v>
      </c>
      <c r="I258" s="268">
        <v>0</v>
      </c>
      <c r="J258" s="268">
        <v>0</v>
      </c>
      <c r="K258" s="268">
        <v>66991.740000000005</v>
      </c>
      <c r="L258" s="268">
        <v>0</v>
      </c>
      <c r="M258" s="267">
        <v>0</v>
      </c>
      <c r="N258" s="270">
        <v>386000</v>
      </c>
    </row>
    <row r="259" spans="1:14" x14ac:dyDescent="0.25">
      <c r="A259" s="269" t="s">
        <v>699</v>
      </c>
      <c r="B259" s="232" t="s">
        <v>978</v>
      </c>
      <c r="C259" s="215" t="s">
        <v>979</v>
      </c>
      <c r="D259" s="215" t="s">
        <v>623</v>
      </c>
      <c r="E259" s="215">
        <v>40406898</v>
      </c>
      <c r="F259" s="267">
        <v>144297.51999999999</v>
      </c>
      <c r="G259" s="267">
        <v>0</v>
      </c>
      <c r="H259" s="268">
        <v>0</v>
      </c>
      <c r="I259" s="268">
        <v>0</v>
      </c>
      <c r="J259" s="268">
        <v>0</v>
      </c>
      <c r="K259" s="268">
        <v>30302.48</v>
      </c>
      <c r="L259" s="268">
        <v>0</v>
      </c>
      <c r="M259" s="267">
        <v>0</v>
      </c>
      <c r="N259" s="270">
        <v>174600</v>
      </c>
    </row>
    <row r="260" spans="1:14" x14ac:dyDescent="0.25">
      <c r="A260" s="269" t="s">
        <v>700</v>
      </c>
      <c r="B260" s="232" t="s">
        <v>980</v>
      </c>
      <c r="C260" s="215" t="s">
        <v>622</v>
      </c>
      <c r="D260" s="215" t="s">
        <v>623</v>
      </c>
      <c r="E260" s="215" t="s">
        <v>624</v>
      </c>
      <c r="F260" s="267">
        <v>12644.63</v>
      </c>
      <c r="G260" s="267">
        <v>0</v>
      </c>
      <c r="H260" s="268">
        <v>0</v>
      </c>
      <c r="I260" s="268">
        <v>0</v>
      </c>
      <c r="J260" s="268">
        <v>0</v>
      </c>
      <c r="K260" s="268">
        <v>2655.37</v>
      </c>
      <c r="L260" s="268">
        <v>0</v>
      </c>
      <c r="M260" s="267">
        <v>0</v>
      </c>
      <c r="N260" s="270">
        <v>15300</v>
      </c>
    </row>
    <row r="261" spans="1:14" x14ac:dyDescent="0.25">
      <c r="A261" s="269" t="s">
        <v>700</v>
      </c>
      <c r="B261" s="232" t="s">
        <v>981</v>
      </c>
      <c r="C261" s="215" t="s">
        <v>622</v>
      </c>
      <c r="D261" s="215" t="s">
        <v>623</v>
      </c>
      <c r="E261" s="215" t="s">
        <v>624</v>
      </c>
      <c r="F261" s="267">
        <v>13016.53</v>
      </c>
      <c r="G261" s="267">
        <v>0</v>
      </c>
      <c r="H261" s="268">
        <v>0</v>
      </c>
      <c r="I261" s="268">
        <v>0</v>
      </c>
      <c r="J261" s="268">
        <v>0</v>
      </c>
      <c r="K261" s="268">
        <v>2733.47</v>
      </c>
      <c r="L261" s="268">
        <v>0</v>
      </c>
      <c r="M261" s="267">
        <v>0</v>
      </c>
      <c r="N261" s="270">
        <v>15750</v>
      </c>
    </row>
    <row r="262" spans="1:14" x14ac:dyDescent="0.25">
      <c r="A262" s="269" t="s">
        <v>700</v>
      </c>
      <c r="B262" s="232" t="s">
        <v>982</v>
      </c>
      <c r="C262" s="215" t="s">
        <v>622</v>
      </c>
      <c r="D262" s="215" t="s">
        <v>623</v>
      </c>
      <c r="E262" s="215" t="s">
        <v>624</v>
      </c>
      <c r="F262" s="267">
        <v>12561.98</v>
      </c>
      <c r="G262" s="267">
        <v>0</v>
      </c>
      <c r="H262" s="268">
        <v>0</v>
      </c>
      <c r="I262" s="268">
        <v>0</v>
      </c>
      <c r="J262" s="268">
        <v>0</v>
      </c>
      <c r="K262" s="268">
        <v>2638.02</v>
      </c>
      <c r="L262" s="268">
        <v>0</v>
      </c>
      <c r="M262" s="267">
        <v>0</v>
      </c>
      <c r="N262" s="270">
        <v>15200</v>
      </c>
    </row>
    <row r="263" spans="1:14" x14ac:dyDescent="0.25">
      <c r="A263" s="269" t="s">
        <v>700</v>
      </c>
      <c r="B263" s="232" t="s">
        <v>983</v>
      </c>
      <c r="C263" s="215" t="s">
        <v>622</v>
      </c>
      <c r="D263" s="215" t="s">
        <v>623</v>
      </c>
      <c r="E263" s="215" t="s">
        <v>624</v>
      </c>
      <c r="F263" s="267">
        <v>7438.02</v>
      </c>
      <c r="G263" s="267">
        <v>0</v>
      </c>
      <c r="H263" s="268">
        <v>0</v>
      </c>
      <c r="I263" s="268">
        <v>0</v>
      </c>
      <c r="J263" s="268">
        <v>0</v>
      </c>
      <c r="K263" s="268">
        <v>1561.98</v>
      </c>
      <c r="L263" s="268">
        <v>0</v>
      </c>
      <c r="M263" s="267">
        <v>0</v>
      </c>
      <c r="N263" s="270">
        <v>9000</v>
      </c>
    </row>
    <row r="264" spans="1:14" x14ac:dyDescent="0.25">
      <c r="A264" s="269" t="s">
        <v>700</v>
      </c>
      <c r="B264" s="232" t="s">
        <v>984</v>
      </c>
      <c r="C264" s="215" t="s">
        <v>622</v>
      </c>
      <c r="D264" s="215" t="s">
        <v>623</v>
      </c>
      <c r="E264" s="215" t="s">
        <v>624</v>
      </c>
      <c r="F264" s="267">
        <v>4958.68</v>
      </c>
      <c r="G264" s="267">
        <v>0</v>
      </c>
      <c r="H264" s="268">
        <v>0</v>
      </c>
      <c r="I264" s="268">
        <v>0</v>
      </c>
      <c r="J264" s="268">
        <v>0</v>
      </c>
      <c r="K264" s="268">
        <v>1041.32</v>
      </c>
      <c r="L264" s="268">
        <v>0</v>
      </c>
      <c r="M264" s="267">
        <v>0</v>
      </c>
      <c r="N264" s="270">
        <v>6000</v>
      </c>
    </row>
    <row r="265" spans="1:14" x14ac:dyDescent="0.25">
      <c r="A265" s="269" t="s">
        <v>700</v>
      </c>
      <c r="B265" s="232" t="s">
        <v>985</v>
      </c>
      <c r="C265" s="215" t="s">
        <v>622</v>
      </c>
      <c r="D265" s="215" t="s">
        <v>623</v>
      </c>
      <c r="E265" s="215" t="s">
        <v>624</v>
      </c>
      <c r="F265" s="267">
        <v>2479.34</v>
      </c>
      <c r="G265" s="267">
        <v>0</v>
      </c>
      <c r="H265" s="268">
        <v>0</v>
      </c>
      <c r="I265" s="268">
        <v>0</v>
      </c>
      <c r="J265" s="268">
        <v>0</v>
      </c>
      <c r="K265" s="268">
        <v>520.66</v>
      </c>
      <c r="L265" s="268">
        <v>0</v>
      </c>
      <c r="M265" s="267">
        <v>0</v>
      </c>
      <c r="N265" s="270">
        <v>3000</v>
      </c>
    </row>
    <row r="266" spans="1:14" x14ac:dyDescent="0.25">
      <c r="A266" s="269" t="s">
        <v>700</v>
      </c>
      <c r="B266" s="232" t="s">
        <v>986</v>
      </c>
      <c r="C266" s="215" t="s">
        <v>622</v>
      </c>
      <c r="D266" s="215" t="s">
        <v>623</v>
      </c>
      <c r="E266" s="215" t="s">
        <v>624</v>
      </c>
      <c r="F266" s="267">
        <v>7809.92</v>
      </c>
      <c r="G266" s="267">
        <v>0</v>
      </c>
      <c r="H266" s="268">
        <v>0</v>
      </c>
      <c r="I266" s="268">
        <v>0</v>
      </c>
      <c r="J266" s="268">
        <v>0</v>
      </c>
      <c r="K266" s="268">
        <v>1640.08</v>
      </c>
      <c r="L266" s="268">
        <v>0</v>
      </c>
      <c r="M266" s="267">
        <v>0</v>
      </c>
      <c r="N266" s="270">
        <v>9450</v>
      </c>
    </row>
    <row r="267" spans="1:14" x14ac:dyDescent="0.25">
      <c r="A267" s="269" t="s">
        <v>700</v>
      </c>
      <c r="B267" s="232" t="s">
        <v>987</v>
      </c>
      <c r="C267" s="215" t="s">
        <v>622</v>
      </c>
      <c r="D267" s="215" t="s">
        <v>623</v>
      </c>
      <c r="E267" s="215" t="s">
        <v>624</v>
      </c>
      <c r="F267" s="267">
        <v>4710.74</v>
      </c>
      <c r="G267" s="267">
        <v>0</v>
      </c>
      <c r="H267" s="268">
        <v>0</v>
      </c>
      <c r="I267" s="268">
        <v>0</v>
      </c>
      <c r="J267" s="268">
        <v>0</v>
      </c>
      <c r="K267" s="268">
        <v>989.26</v>
      </c>
      <c r="L267" s="268">
        <v>0</v>
      </c>
      <c r="M267" s="267">
        <v>0</v>
      </c>
      <c r="N267" s="270">
        <v>5700</v>
      </c>
    </row>
    <row r="268" spans="1:14" x14ac:dyDescent="0.25">
      <c r="A268" s="269" t="s">
        <v>700</v>
      </c>
      <c r="B268" s="232" t="s">
        <v>988</v>
      </c>
      <c r="C268" s="215" t="s">
        <v>622</v>
      </c>
      <c r="D268" s="215" t="s">
        <v>623</v>
      </c>
      <c r="E268" s="215" t="s">
        <v>624</v>
      </c>
      <c r="F268" s="267">
        <v>6033.06</v>
      </c>
      <c r="G268" s="267">
        <v>0</v>
      </c>
      <c r="H268" s="268">
        <v>0</v>
      </c>
      <c r="I268" s="268">
        <v>0</v>
      </c>
      <c r="J268" s="268">
        <v>0</v>
      </c>
      <c r="K268" s="268">
        <v>1266.94</v>
      </c>
      <c r="L268" s="268">
        <v>0</v>
      </c>
      <c r="M268" s="267">
        <v>0</v>
      </c>
      <c r="N268" s="270">
        <v>7300</v>
      </c>
    </row>
    <row r="269" spans="1:14" x14ac:dyDescent="0.25">
      <c r="A269" s="269" t="s">
        <v>700</v>
      </c>
      <c r="B269" s="232" t="s">
        <v>989</v>
      </c>
      <c r="C269" s="215" t="s">
        <v>622</v>
      </c>
      <c r="D269" s="215" t="s">
        <v>623</v>
      </c>
      <c r="E269" s="215" t="s">
        <v>624</v>
      </c>
      <c r="F269" s="267">
        <v>6776.86</v>
      </c>
      <c r="G269" s="267">
        <v>0</v>
      </c>
      <c r="H269" s="268">
        <v>0</v>
      </c>
      <c r="I269" s="268">
        <v>0</v>
      </c>
      <c r="J269" s="268">
        <v>0</v>
      </c>
      <c r="K269" s="268">
        <v>1423.14</v>
      </c>
      <c r="L269" s="268">
        <v>0</v>
      </c>
      <c r="M269" s="267">
        <v>0</v>
      </c>
      <c r="N269" s="270">
        <v>8200</v>
      </c>
    </row>
    <row r="270" spans="1:14" x14ac:dyDescent="0.25">
      <c r="A270" s="269" t="s">
        <v>700</v>
      </c>
      <c r="B270" s="232" t="s">
        <v>990</v>
      </c>
      <c r="C270" s="215" t="s">
        <v>622</v>
      </c>
      <c r="D270" s="215" t="s">
        <v>623</v>
      </c>
      <c r="E270" s="215" t="s">
        <v>624</v>
      </c>
      <c r="F270" s="267">
        <v>3636.36</v>
      </c>
      <c r="G270" s="267">
        <v>0</v>
      </c>
      <c r="H270" s="268">
        <v>0</v>
      </c>
      <c r="I270" s="268">
        <v>0</v>
      </c>
      <c r="J270" s="268">
        <v>0</v>
      </c>
      <c r="K270" s="268">
        <v>763.64</v>
      </c>
      <c r="L270" s="268">
        <v>0</v>
      </c>
      <c r="M270" s="267">
        <v>0</v>
      </c>
      <c r="N270" s="270">
        <v>4400</v>
      </c>
    </row>
    <row r="271" spans="1:14" x14ac:dyDescent="0.25">
      <c r="A271" s="269" t="s">
        <v>700</v>
      </c>
      <c r="B271" s="232" t="s">
        <v>991</v>
      </c>
      <c r="C271" s="215" t="s">
        <v>622</v>
      </c>
      <c r="D271" s="215" t="s">
        <v>623</v>
      </c>
      <c r="E271" s="215" t="s">
        <v>624</v>
      </c>
      <c r="F271" s="267">
        <v>10330.58</v>
      </c>
      <c r="G271" s="267">
        <v>0</v>
      </c>
      <c r="H271" s="268">
        <v>0</v>
      </c>
      <c r="I271" s="268">
        <v>0</v>
      </c>
      <c r="J271" s="268">
        <v>0</v>
      </c>
      <c r="K271" s="268">
        <v>2169.42</v>
      </c>
      <c r="L271" s="268">
        <v>0</v>
      </c>
      <c r="M271" s="267">
        <v>0</v>
      </c>
      <c r="N271" s="270">
        <v>12500</v>
      </c>
    </row>
    <row r="272" spans="1:14" x14ac:dyDescent="0.25">
      <c r="A272" s="269" t="s">
        <v>700</v>
      </c>
      <c r="B272" s="232" t="s">
        <v>992</v>
      </c>
      <c r="C272" s="215" t="s">
        <v>622</v>
      </c>
      <c r="D272" s="215" t="s">
        <v>623</v>
      </c>
      <c r="E272" s="215" t="s">
        <v>624</v>
      </c>
      <c r="F272" s="267">
        <v>3966.94</v>
      </c>
      <c r="G272" s="267">
        <v>0</v>
      </c>
      <c r="H272" s="268">
        <v>0</v>
      </c>
      <c r="I272" s="268">
        <v>0</v>
      </c>
      <c r="J272" s="268">
        <v>0</v>
      </c>
      <c r="K272" s="268">
        <v>833.06</v>
      </c>
      <c r="L272" s="268">
        <v>0</v>
      </c>
      <c r="M272" s="267">
        <v>0</v>
      </c>
      <c r="N272" s="270">
        <v>4800</v>
      </c>
    </row>
    <row r="273" spans="1:14" x14ac:dyDescent="0.25">
      <c r="A273" s="269" t="s">
        <v>700</v>
      </c>
      <c r="B273" s="232" t="s">
        <v>993</v>
      </c>
      <c r="C273" s="215" t="s">
        <v>622</v>
      </c>
      <c r="D273" s="215" t="s">
        <v>623</v>
      </c>
      <c r="E273" s="215" t="s">
        <v>624</v>
      </c>
      <c r="F273" s="267">
        <v>2479.34</v>
      </c>
      <c r="G273" s="267">
        <v>0</v>
      </c>
      <c r="H273" s="268">
        <v>0</v>
      </c>
      <c r="I273" s="268">
        <v>0</v>
      </c>
      <c r="J273" s="268">
        <v>0</v>
      </c>
      <c r="K273" s="268">
        <v>520.66</v>
      </c>
      <c r="L273" s="268">
        <v>0</v>
      </c>
      <c r="M273" s="267">
        <v>0</v>
      </c>
      <c r="N273" s="270">
        <v>3000</v>
      </c>
    </row>
    <row r="274" spans="1:14" x14ac:dyDescent="0.25">
      <c r="A274" s="269" t="s">
        <v>700</v>
      </c>
      <c r="B274" s="232" t="s">
        <v>994</v>
      </c>
      <c r="C274" s="215" t="s">
        <v>622</v>
      </c>
      <c r="D274" s="215" t="s">
        <v>623</v>
      </c>
      <c r="E274" s="215" t="s">
        <v>624</v>
      </c>
      <c r="F274" s="267">
        <v>2066.12</v>
      </c>
      <c r="G274" s="267">
        <v>0</v>
      </c>
      <c r="H274" s="268">
        <v>0</v>
      </c>
      <c r="I274" s="268">
        <v>0</v>
      </c>
      <c r="J274" s="268">
        <v>0</v>
      </c>
      <c r="K274" s="268">
        <v>433.88</v>
      </c>
      <c r="L274" s="268">
        <v>0</v>
      </c>
      <c r="M274" s="267">
        <v>0</v>
      </c>
      <c r="N274" s="270">
        <v>2500</v>
      </c>
    </row>
    <row r="275" spans="1:14" x14ac:dyDescent="0.25">
      <c r="A275" s="269" t="s">
        <v>700</v>
      </c>
      <c r="B275" s="232" t="s">
        <v>995</v>
      </c>
      <c r="C275" s="215" t="s">
        <v>622</v>
      </c>
      <c r="D275" s="215" t="s">
        <v>623</v>
      </c>
      <c r="E275" s="215" t="s">
        <v>624</v>
      </c>
      <c r="F275" s="267">
        <v>7272.73</v>
      </c>
      <c r="G275" s="267">
        <v>0</v>
      </c>
      <c r="H275" s="268">
        <v>0</v>
      </c>
      <c r="I275" s="268">
        <v>0</v>
      </c>
      <c r="J275" s="268">
        <v>0</v>
      </c>
      <c r="K275" s="268">
        <v>1527.27</v>
      </c>
      <c r="L275" s="268">
        <v>0</v>
      </c>
      <c r="M275" s="267">
        <v>0</v>
      </c>
      <c r="N275" s="270">
        <v>8800</v>
      </c>
    </row>
    <row r="276" spans="1:14" x14ac:dyDescent="0.25">
      <c r="A276" s="269" t="s">
        <v>700</v>
      </c>
      <c r="B276" s="232" t="s">
        <v>996</v>
      </c>
      <c r="C276" s="215" t="s">
        <v>622</v>
      </c>
      <c r="D276" s="215" t="s">
        <v>623</v>
      </c>
      <c r="E276" s="215" t="s">
        <v>624</v>
      </c>
      <c r="F276" s="267">
        <v>12727.27</v>
      </c>
      <c r="G276" s="267">
        <v>0</v>
      </c>
      <c r="H276" s="268">
        <v>0</v>
      </c>
      <c r="I276" s="268">
        <v>0</v>
      </c>
      <c r="J276" s="268">
        <v>0</v>
      </c>
      <c r="K276" s="268">
        <v>2672.73</v>
      </c>
      <c r="L276" s="268">
        <v>0</v>
      </c>
      <c r="M276" s="267">
        <v>0</v>
      </c>
      <c r="N276" s="270">
        <v>15400</v>
      </c>
    </row>
    <row r="277" spans="1:14" x14ac:dyDescent="0.25">
      <c r="A277" s="269" t="s">
        <v>700</v>
      </c>
      <c r="B277" s="232" t="s">
        <v>997</v>
      </c>
      <c r="C277" s="215" t="s">
        <v>625</v>
      </c>
      <c r="D277" s="215" t="s">
        <v>626</v>
      </c>
      <c r="E277" s="215">
        <v>30522428163</v>
      </c>
      <c r="F277" s="267">
        <v>1758553.73</v>
      </c>
      <c r="G277" s="267">
        <v>0</v>
      </c>
      <c r="H277" s="268">
        <v>0</v>
      </c>
      <c r="I277" s="268">
        <v>0</v>
      </c>
      <c r="J277" s="268">
        <v>0</v>
      </c>
      <c r="K277" s="268">
        <v>369296.29</v>
      </c>
      <c r="L277" s="268">
        <v>0</v>
      </c>
      <c r="M277" s="267">
        <v>0</v>
      </c>
      <c r="N277" s="270">
        <v>2127850.02</v>
      </c>
    </row>
    <row r="278" spans="1:14" x14ac:dyDescent="0.25">
      <c r="A278" s="269" t="s">
        <v>700</v>
      </c>
      <c r="B278" s="232" t="s">
        <v>998</v>
      </c>
      <c r="C278" s="215" t="s">
        <v>999</v>
      </c>
      <c r="D278" s="215" t="s">
        <v>626</v>
      </c>
      <c r="E278" s="215">
        <v>30500053522</v>
      </c>
      <c r="F278" s="267">
        <v>5407.44</v>
      </c>
      <c r="G278" s="267">
        <v>0</v>
      </c>
      <c r="H278" s="268">
        <v>0</v>
      </c>
      <c r="I278" s="268">
        <v>0</v>
      </c>
      <c r="J278" s="268">
        <v>0</v>
      </c>
      <c r="K278" s="268">
        <v>1135.56</v>
      </c>
      <c r="L278" s="268">
        <v>0</v>
      </c>
      <c r="M278" s="267">
        <v>0</v>
      </c>
      <c r="N278" s="270">
        <v>6543</v>
      </c>
    </row>
    <row r="279" spans="1:14" x14ac:dyDescent="0.25">
      <c r="A279" s="269" t="s">
        <v>700</v>
      </c>
      <c r="B279" s="232" t="s">
        <v>1000</v>
      </c>
      <c r="C279" s="215" t="s">
        <v>999</v>
      </c>
      <c r="D279" s="215" t="s">
        <v>626</v>
      </c>
      <c r="E279" s="215">
        <v>30500053522</v>
      </c>
      <c r="F279" s="267">
        <v>7933.89</v>
      </c>
      <c r="G279" s="267">
        <v>0</v>
      </c>
      <c r="H279" s="268">
        <v>0</v>
      </c>
      <c r="I279" s="268">
        <v>0</v>
      </c>
      <c r="J279" s="268">
        <v>0</v>
      </c>
      <c r="K279" s="268">
        <v>1666.12</v>
      </c>
      <c r="L279" s="268">
        <v>0</v>
      </c>
      <c r="M279" s="267">
        <v>0</v>
      </c>
      <c r="N279" s="270">
        <v>9600.01</v>
      </c>
    </row>
    <row r="280" spans="1:14" x14ac:dyDescent="0.25">
      <c r="A280" s="269" t="s">
        <v>700</v>
      </c>
      <c r="B280" s="232" t="s">
        <v>1001</v>
      </c>
      <c r="C280" s="215" t="s">
        <v>635</v>
      </c>
      <c r="D280" s="215" t="s">
        <v>626</v>
      </c>
      <c r="E280" s="215">
        <v>30608716390</v>
      </c>
      <c r="F280" s="267">
        <v>3380.17</v>
      </c>
      <c r="G280" s="267">
        <v>0</v>
      </c>
      <c r="H280" s="268">
        <v>0</v>
      </c>
      <c r="I280" s="268">
        <v>0</v>
      </c>
      <c r="J280" s="268">
        <v>0</v>
      </c>
      <c r="K280" s="268">
        <v>709.84</v>
      </c>
      <c r="L280" s="268">
        <v>0</v>
      </c>
      <c r="M280" s="267">
        <v>0</v>
      </c>
      <c r="N280" s="270">
        <v>4090.01</v>
      </c>
    </row>
    <row r="281" spans="1:14" x14ac:dyDescent="0.25">
      <c r="A281" s="269" t="s">
        <v>700</v>
      </c>
      <c r="B281" s="232" t="s">
        <v>1002</v>
      </c>
      <c r="C281" s="215" t="s">
        <v>635</v>
      </c>
      <c r="D281" s="215" t="s">
        <v>626</v>
      </c>
      <c r="E281" s="215">
        <v>30608716390</v>
      </c>
      <c r="F281" s="267">
        <v>7890.08</v>
      </c>
      <c r="G281" s="267">
        <v>0</v>
      </c>
      <c r="H281" s="268">
        <v>0</v>
      </c>
      <c r="I281" s="268">
        <v>0</v>
      </c>
      <c r="J281" s="268">
        <v>0</v>
      </c>
      <c r="K281" s="268">
        <v>1656.92</v>
      </c>
      <c r="L281" s="268">
        <v>0</v>
      </c>
      <c r="M281" s="267">
        <v>0</v>
      </c>
      <c r="N281" s="270">
        <v>9547</v>
      </c>
    </row>
    <row r="282" spans="1:14" x14ac:dyDescent="0.25">
      <c r="A282" s="269" t="s">
        <v>700</v>
      </c>
      <c r="B282" s="232" t="s">
        <v>1003</v>
      </c>
      <c r="C282" s="215" t="s">
        <v>664</v>
      </c>
      <c r="D282" s="215" t="s">
        <v>623</v>
      </c>
      <c r="E282" s="215">
        <v>10138957</v>
      </c>
      <c r="F282" s="267">
        <v>4132.2300000000005</v>
      </c>
      <c r="G282" s="267">
        <v>0</v>
      </c>
      <c r="H282" s="268">
        <v>0</v>
      </c>
      <c r="I282" s="268">
        <v>0</v>
      </c>
      <c r="J282" s="268">
        <v>0</v>
      </c>
      <c r="K282" s="268">
        <v>867.77</v>
      </c>
      <c r="L282" s="268">
        <v>0</v>
      </c>
      <c r="M282" s="267">
        <v>0</v>
      </c>
      <c r="N282" s="270">
        <v>5000</v>
      </c>
    </row>
    <row r="283" spans="1:14" x14ac:dyDescent="0.25">
      <c r="A283" s="269" t="s">
        <v>701</v>
      </c>
      <c r="B283" s="232" t="s">
        <v>1004</v>
      </c>
      <c r="C283" s="215" t="s">
        <v>1005</v>
      </c>
      <c r="D283" s="215" t="s">
        <v>623</v>
      </c>
      <c r="E283" s="215">
        <v>32912323</v>
      </c>
      <c r="F283" s="267">
        <v>11570.25</v>
      </c>
      <c r="G283" s="267">
        <v>0</v>
      </c>
      <c r="H283" s="268">
        <v>0</v>
      </c>
      <c r="I283" s="268">
        <v>0</v>
      </c>
      <c r="J283" s="268">
        <v>0</v>
      </c>
      <c r="K283" s="268">
        <v>2429.75</v>
      </c>
      <c r="L283" s="268">
        <v>0</v>
      </c>
      <c r="M283" s="267">
        <v>0</v>
      </c>
      <c r="N283" s="270">
        <v>14000</v>
      </c>
    </row>
    <row r="284" spans="1:14" x14ac:dyDescent="0.25">
      <c r="A284" s="269" t="s">
        <v>701</v>
      </c>
      <c r="B284" s="232" t="s">
        <v>1006</v>
      </c>
      <c r="C284" s="215" t="s">
        <v>622</v>
      </c>
      <c r="D284" s="215" t="s">
        <v>623</v>
      </c>
      <c r="E284" s="215" t="s">
        <v>624</v>
      </c>
      <c r="F284" s="267">
        <v>1652.89</v>
      </c>
      <c r="G284" s="267">
        <v>0</v>
      </c>
      <c r="H284" s="268">
        <v>0</v>
      </c>
      <c r="I284" s="268">
        <v>0</v>
      </c>
      <c r="J284" s="268">
        <v>0</v>
      </c>
      <c r="K284" s="268">
        <v>347.11</v>
      </c>
      <c r="L284" s="268">
        <v>0</v>
      </c>
      <c r="M284" s="267">
        <v>0</v>
      </c>
      <c r="N284" s="270">
        <v>2000</v>
      </c>
    </row>
    <row r="285" spans="1:14" x14ac:dyDescent="0.25">
      <c r="A285" s="269" t="s">
        <v>701</v>
      </c>
      <c r="B285" s="232" t="s">
        <v>1007</v>
      </c>
      <c r="C285" s="215" t="s">
        <v>622</v>
      </c>
      <c r="D285" s="215" t="s">
        <v>623</v>
      </c>
      <c r="E285" s="215" t="s">
        <v>624</v>
      </c>
      <c r="F285" s="267">
        <v>3305.79</v>
      </c>
      <c r="G285" s="267">
        <v>0</v>
      </c>
      <c r="H285" s="268">
        <v>0</v>
      </c>
      <c r="I285" s="268">
        <v>0</v>
      </c>
      <c r="J285" s="268">
        <v>0</v>
      </c>
      <c r="K285" s="268">
        <v>694.21</v>
      </c>
      <c r="L285" s="268">
        <v>0</v>
      </c>
      <c r="M285" s="267">
        <v>0</v>
      </c>
      <c r="N285" s="270">
        <v>4000</v>
      </c>
    </row>
    <row r="286" spans="1:14" x14ac:dyDescent="0.25">
      <c r="A286" s="269" t="s">
        <v>701</v>
      </c>
      <c r="B286" s="232" t="s">
        <v>1008</v>
      </c>
      <c r="C286" s="215" t="s">
        <v>1009</v>
      </c>
      <c r="D286" s="215" t="s">
        <v>623</v>
      </c>
      <c r="E286" s="215">
        <v>52766596</v>
      </c>
      <c r="F286" s="267">
        <v>12066.12</v>
      </c>
      <c r="G286" s="267">
        <v>0</v>
      </c>
      <c r="H286" s="268">
        <v>0</v>
      </c>
      <c r="I286" s="268">
        <v>0</v>
      </c>
      <c r="J286" s="268">
        <v>0</v>
      </c>
      <c r="K286" s="268">
        <v>2533.88</v>
      </c>
      <c r="L286" s="268">
        <v>0</v>
      </c>
      <c r="M286" s="267">
        <v>0</v>
      </c>
      <c r="N286" s="270">
        <v>14600</v>
      </c>
    </row>
    <row r="287" spans="1:14" x14ac:dyDescent="0.25">
      <c r="A287" s="269" t="s">
        <v>701</v>
      </c>
      <c r="B287" s="232" t="s">
        <v>1010</v>
      </c>
      <c r="C287" s="215" t="s">
        <v>622</v>
      </c>
      <c r="D287" s="215" t="s">
        <v>623</v>
      </c>
      <c r="E287" s="215" t="s">
        <v>624</v>
      </c>
      <c r="F287" s="267">
        <v>6280.99</v>
      </c>
      <c r="G287" s="267">
        <v>0</v>
      </c>
      <c r="H287" s="268">
        <v>0</v>
      </c>
      <c r="I287" s="268">
        <v>0</v>
      </c>
      <c r="J287" s="268">
        <v>0</v>
      </c>
      <c r="K287" s="268">
        <v>1319.01</v>
      </c>
      <c r="L287" s="268">
        <v>0</v>
      </c>
      <c r="M287" s="267">
        <v>0</v>
      </c>
      <c r="N287" s="270">
        <v>7600</v>
      </c>
    </row>
    <row r="288" spans="1:14" x14ac:dyDescent="0.25">
      <c r="A288" s="269" t="s">
        <v>701</v>
      </c>
      <c r="B288" s="232" t="s">
        <v>1011</v>
      </c>
      <c r="C288" s="215" t="s">
        <v>622</v>
      </c>
      <c r="D288" s="215" t="s">
        <v>623</v>
      </c>
      <c r="E288" s="215" t="s">
        <v>624</v>
      </c>
      <c r="F288" s="267">
        <v>6776.86</v>
      </c>
      <c r="G288" s="267">
        <v>0</v>
      </c>
      <c r="H288" s="268">
        <v>0</v>
      </c>
      <c r="I288" s="268">
        <v>0</v>
      </c>
      <c r="J288" s="268">
        <v>0</v>
      </c>
      <c r="K288" s="268">
        <v>1423.14</v>
      </c>
      <c r="L288" s="268">
        <v>0</v>
      </c>
      <c r="M288" s="267">
        <v>0</v>
      </c>
      <c r="N288" s="270">
        <v>8200</v>
      </c>
    </row>
    <row r="289" spans="1:14" x14ac:dyDescent="0.25">
      <c r="A289" s="269" t="s">
        <v>701</v>
      </c>
      <c r="B289" s="232" t="s">
        <v>1012</v>
      </c>
      <c r="C289" s="215" t="s">
        <v>622</v>
      </c>
      <c r="D289" s="215" t="s">
        <v>623</v>
      </c>
      <c r="E289" s="215" t="s">
        <v>624</v>
      </c>
      <c r="F289" s="267">
        <v>2479.34</v>
      </c>
      <c r="G289" s="267">
        <v>0</v>
      </c>
      <c r="H289" s="268">
        <v>0</v>
      </c>
      <c r="I289" s="268">
        <v>0</v>
      </c>
      <c r="J289" s="268">
        <v>0</v>
      </c>
      <c r="K289" s="268">
        <v>520.66</v>
      </c>
      <c r="L289" s="268">
        <v>0</v>
      </c>
      <c r="M289" s="267">
        <v>0</v>
      </c>
      <c r="N289" s="270">
        <v>3000</v>
      </c>
    </row>
    <row r="290" spans="1:14" x14ac:dyDescent="0.25">
      <c r="A290" s="269" t="s">
        <v>701</v>
      </c>
      <c r="B290" s="232" t="s">
        <v>1013</v>
      </c>
      <c r="C290" s="215" t="s">
        <v>622</v>
      </c>
      <c r="D290" s="215" t="s">
        <v>623</v>
      </c>
      <c r="E290" s="215" t="s">
        <v>624</v>
      </c>
      <c r="F290" s="267">
        <v>2479.34</v>
      </c>
      <c r="G290" s="267">
        <v>0</v>
      </c>
      <c r="H290" s="268">
        <v>0</v>
      </c>
      <c r="I290" s="268">
        <v>0</v>
      </c>
      <c r="J290" s="268">
        <v>0</v>
      </c>
      <c r="K290" s="268">
        <v>520.66</v>
      </c>
      <c r="L290" s="268">
        <v>0</v>
      </c>
      <c r="M290" s="267">
        <v>0</v>
      </c>
      <c r="N290" s="270">
        <v>3000</v>
      </c>
    </row>
    <row r="291" spans="1:14" x14ac:dyDescent="0.25">
      <c r="A291" s="269" t="s">
        <v>701</v>
      </c>
      <c r="B291" s="232" t="s">
        <v>1014</v>
      </c>
      <c r="C291" s="215" t="s">
        <v>622</v>
      </c>
      <c r="D291" s="215" t="s">
        <v>623</v>
      </c>
      <c r="E291" s="215" t="s">
        <v>624</v>
      </c>
      <c r="F291" s="267">
        <v>2479.34</v>
      </c>
      <c r="G291" s="267">
        <v>0</v>
      </c>
      <c r="H291" s="268">
        <v>0</v>
      </c>
      <c r="I291" s="268">
        <v>0</v>
      </c>
      <c r="J291" s="268">
        <v>0</v>
      </c>
      <c r="K291" s="268">
        <v>520.66</v>
      </c>
      <c r="L291" s="268">
        <v>0</v>
      </c>
      <c r="M291" s="267">
        <v>0</v>
      </c>
      <c r="N291" s="270">
        <v>3000</v>
      </c>
    </row>
    <row r="292" spans="1:14" x14ac:dyDescent="0.25">
      <c r="A292" s="269" t="s">
        <v>701</v>
      </c>
      <c r="B292" s="232" t="s">
        <v>1015</v>
      </c>
      <c r="C292" s="215" t="s">
        <v>622</v>
      </c>
      <c r="D292" s="215" t="s">
        <v>623</v>
      </c>
      <c r="E292" s="215" t="s">
        <v>624</v>
      </c>
      <c r="F292" s="267">
        <v>12727.27</v>
      </c>
      <c r="G292" s="267">
        <v>0</v>
      </c>
      <c r="H292" s="268">
        <v>0</v>
      </c>
      <c r="I292" s="268">
        <v>0</v>
      </c>
      <c r="J292" s="268">
        <v>0</v>
      </c>
      <c r="K292" s="268">
        <v>2672.73</v>
      </c>
      <c r="L292" s="268">
        <v>0</v>
      </c>
      <c r="M292" s="267">
        <v>0</v>
      </c>
      <c r="N292" s="270">
        <v>15400</v>
      </c>
    </row>
    <row r="293" spans="1:14" x14ac:dyDescent="0.25">
      <c r="A293" s="269" t="s">
        <v>701</v>
      </c>
      <c r="B293" s="232" t="s">
        <v>1016</v>
      </c>
      <c r="C293" s="215" t="s">
        <v>622</v>
      </c>
      <c r="D293" s="215" t="s">
        <v>623</v>
      </c>
      <c r="E293" s="215" t="s">
        <v>624</v>
      </c>
      <c r="F293" s="267">
        <v>2479.34</v>
      </c>
      <c r="G293" s="267">
        <v>0</v>
      </c>
      <c r="H293" s="268">
        <v>0</v>
      </c>
      <c r="I293" s="268">
        <v>0</v>
      </c>
      <c r="J293" s="268">
        <v>0</v>
      </c>
      <c r="K293" s="268">
        <v>520.66</v>
      </c>
      <c r="L293" s="268">
        <v>0</v>
      </c>
      <c r="M293" s="267">
        <v>0</v>
      </c>
      <c r="N293" s="270">
        <v>3000</v>
      </c>
    </row>
    <row r="294" spans="1:14" x14ac:dyDescent="0.25">
      <c r="A294" s="269" t="s">
        <v>701</v>
      </c>
      <c r="B294" s="232" t="s">
        <v>1017</v>
      </c>
      <c r="C294" s="215" t="s">
        <v>622</v>
      </c>
      <c r="D294" s="215" t="s">
        <v>623</v>
      </c>
      <c r="E294" s="215" t="s">
        <v>624</v>
      </c>
      <c r="F294" s="267">
        <v>826.45</v>
      </c>
      <c r="G294" s="267">
        <v>0</v>
      </c>
      <c r="H294" s="268">
        <v>0</v>
      </c>
      <c r="I294" s="268">
        <v>0</v>
      </c>
      <c r="J294" s="268">
        <v>0</v>
      </c>
      <c r="K294" s="268">
        <v>173.55</v>
      </c>
      <c r="L294" s="268">
        <v>0</v>
      </c>
      <c r="M294" s="267">
        <v>0</v>
      </c>
      <c r="N294" s="270">
        <v>1000</v>
      </c>
    </row>
    <row r="295" spans="1:14" x14ac:dyDescent="0.25">
      <c r="A295" s="269" t="s">
        <v>701</v>
      </c>
      <c r="B295" s="232" t="s">
        <v>1018</v>
      </c>
      <c r="C295" s="215" t="s">
        <v>622</v>
      </c>
      <c r="D295" s="215" t="s">
        <v>623</v>
      </c>
      <c r="E295" s="215" t="s">
        <v>624</v>
      </c>
      <c r="F295" s="267">
        <v>5785.12</v>
      </c>
      <c r="G295" s="267">
        <v>0</v>
      </c>
      <c r="H295" s="268">
        <v>0</v>
      </c>
      <c r="I295" s="268">
        <v>0</v>
      </c>
      <c r="J295" s="268">
        <v>0</v>
      </c>
      <c r="K295" s="268">
        <v>1214.8800000000001</v>
      </c>
      <c r="L295" s="268">
        <v>0</v>
      </c>
      <c r="M295" s="267">
        <v>0</v>
      </c>
      <c r="N295" s="270">
        <v>7000</v>
      </c>
    </row>
    <row r="296" spans="1:14" x14ac:dyDescent="0.25">
      <c r="A296" s="269" t="s">
        <v>701</v>
      </c>
      <c r="B296" s="232" t="s">
        <v>1019</v>
      </c>
      <c r="C296" s="215" t="s">
        <v>622</v>
      </c>
      <c r="D296" s="215" t="s">
        <v>623</v>
      </c>
      <c r="E296" s="215" t="s">
        <v>624</v>
      </c>
      <c r="F296" s="267">
        <v>7685.95</v>
      </c>
      <c r="G296" s="267">
        <v>0</v>
      </c>
      <c r="H296" s="268">
        <v>0</v>
      </c>
      <c r="I296" s="268">
        <v>0</v>
      </c>
      <c r="J296" s="268">
        <v>0</v>
      </c>
      <c r="K296" s="268">
        <v>1614.05</v>
      </c>
      <c r="L296" s="268">
        <v>0</v>
      </c>
      <c r="M296" s="267">
        <v>0</v>
      </c>
      <c r="N296" s="270">
        <v>9300</v>
      </c>
    </row>
    <row r="297" spans="1:14" x14ac:dyDescent="0.25">
      <c r="A297" s="269" t="s">
        <v>701</v>
      </c>
      <c r="B297" s="232" t="s">
        <v>1020</v>
      </c>
      <c r="C297" s="215" t="s">
        <v>622</v>
      </c>
      <c r="D297" s="215" t="s">
        <v>623</v>
      </c>
      <c r="E297" s="215" t="s">
        <v>624</v>
      </c>
      <c r="F297" s="267">
        <v>8595.0400000000009</v>
      </c>
      <c r="G297" s="267">
        <v>0</v>
      </c>
      <c r="H297" s="268">
        <v>0</v>
      </c>
      <c r="I297" s="268">
        <v>0</v>
      </c>
      <c r="J297" s="268">
        <v>0</v>
      </c>
      <c r="K297" s="268">
        <v>1804.96</v>
      </c>
      <c r="L297" s="268">
        <v>0</v>
      </c>
      <c r="M297" s="267">
        <v>0</v>
      </c>
      <c r="N297" s="270">
        <v>10400</v>
      </c>
    </row>
    <row r="298" spans="1:14" x14ac:dyDescent="0.25">
      <c r="A298" s="269" t="s">
        <v>701</v>
      </c>
      <c r="B298" s="232" t="s">
        <v>1021</v>
      </c>
      <c r="C298" s="215" t="s">
        <v>622</v>
      </c>
      <c r="D298" s="215" t="s">
        <v>623</v>
      </c>
      <c r="E298" s="215" t="s">
        <v>624</v>
      </c>
      <c r="F298" s="267">
        <v>3305.79</v>
      </c>
      <c r="G298" s="267">
        <v>0</v>
      </c>
      <c r="H298" s="268">
        <v>0</v>
      </c>
      <c r="I298" s="268">
        <v>0</v>
      </c>
      <c r="J298" s="268">
        <v>0</v>
      </c>
      <c r="K298" s="268">
        <v>694.21</v>
      </c>
      <c r="L298" s="268">
        <v>0</v>
      </c>
      <c r="M298" s="267">
        <v>0</v>
      </c>
      <c r="N298" s="270">
        <v>4000</v>
      </c>
    </row>
    <row r="299" spans="1:14" x14ac:dyDescent="0.25">
      <c r="A299" s="269" t="s">
        <v>701</v>
      </c>
      <c r="B299" s="232" t="s">
        <v>1022</v>
      </c>
      <c r="C299" s="215" t="s">
        <v>622</v>
      </c>
      <c r="D299" s="215" t="s">
        <v>623</v>
      </c>
      <c r="E299" s="215" t="s">
        <v>624</v>
      </c>
      <c r="F299" s="267">
        <v>3388.43</v>
      </c>
      <c r="G299" s="267">
        <v>0</v>
      </c>
      <c r="H299" s="268">
        <v>0</v>
      </c>
      <c r="I299" s="268">
        <v>0</v>
      </c>
      <c r="J299" s="268">
        <v>0</v>
      </c>
      <c r="K299" s="268">
        <v>711.57</v>
      </c>
      <c r="L299" s="268">
        <v>0</v>
      </c>
      <c r="M299" s="267">
        <v>0</v>
      </c>
      <c r="N299" s="270">
        <v>4100</v>
      </c>
    </row>
    <row r="300" spans="1:14" x14ac:dyDescent="0.25">
      <c r="A300" s="269" t="s">
        <v>701</v>
      </c>
      <c r="B300" s="232" t="s">
        <v>1023</v>
      </c>
      <c r="C300" s="215" t="s">
        <v>1024</v>
      </c>
      <c r="D300" s="215" t="s">
        <v>623</v>
      </c>
      <c r="E300" s="215">
        <v>40129540</v>
      </c>
      <c r="F300" s="267">
        <v>4710.74</v>
      </c>
      <c r="G300" s="267">
        <v>0</v>
      </c>
      <c r="H300" s="268">
        <v>0</v>
      </c>
      <c r="I300" s="268">
        <v>0</v>
      </c>
      <c r="J300" s="268">
        <v>0</v>
      </c>
      <c r="K300" s="268">
        <v>989.26</v>
      </c>
      <c r="L300" s="268">
        <v>0</v>
      </c>
      <c r="M300" s="267">
        <v>0</v>
      </c>
      <c r="N300" s="270">
        <v>5700</v>
      </c>
    </row>
    <row r="301" spans="1:14" x14ac:dyDescent="0.25">
      <c r="A301" s="269" t="s">
        <v>701</v>
      </c>
      <c r="B301" s="232" t="s">
        <v>1025</v>
      </c>
      <c r="C301" s="215" t="s">
        <v>635</v>
      </c>
      <c r="D301" s="215" t="s">
        <v>626</v>
      </c>
      <c r="E301" s="215">
        <v>30608716390</v>
      </c>
      <c r="F301" s="267">
        <v>7325.63</v>
      </c>
      <c r="G301" s="267">
        <v>0</v>
      </c>
      <c r="H301" s="268">
        <v>0</v>
      </c>
      <c r="I301" s="268">
        <v>0</v>
      </c>
      <c r="J301" s="268">
        <v>0</v>
      </c>
      <c r="K301" s="268">
        <v>1538.38</v>
      </c>
      <c r="L301" s="268">
        <v>0</v>
      </c>
      <c r="M301" s="267">
        <v>0</v>
      </c>
      <c r="N301" s="270">
        <v>8864.01</v>
      </c>
    </row>
    <row r="302" spans="1:14" x14ac:dyDescent="0.25">
      <c r="A302" s="269" t="s">
        <v>701</v>
      </c>
      <c r="B302" s="232" t="s">
        <v>1026</v>
      </c>
      <c r="C302" s="215" t="s">
        <v>1027</v>
      </c>
      <c r="D302" s="215" t="s">
        <v>626</v>
      </c>
      <c r="E302" s="215">
        <v>27182477368</v>
      </c>
      <c r="F302" s="267">
        <v>42148.77</v>
      </c>
      <c r="G302" s="267">
        <v>0</v>
      </c>
      <c r="H302" s="268">
        <v>0</v>
      </c>
      <c r="I302" s="268">
        <v>0</v>
      </c>
      <c r="J302" s="268">
        <v>0</v>
      </c>
      <c r="K302" s="268">
        <v>8851.24</v>
      </c>
      <c r="L302" s="268">
        <v>0</v>
      </c>
      <c r="M302" s="267">
        <v>0</v>
      </c>
      <c r="N302" s="270">
        <v>51000.01</v>
      </c>
    </row>
    <row r="303" spans="1:14" x14ac:dyDescent="0.25">
      <c r="A303" s="269" t="s">
        <v>701</v>
      </c>
      <c r="B303" s="232" t="s">
        <v>1028</v>
      </c>
      <c r="C303" s="215" t="s">
        <v>677</v>
      </c>
      <c r="D303" s="215" t="s">
        <v>623</v>
      </c>
      <c r="E303" s="215">
        <v>24699538</v>
      </c>
      <c r="F303" s="267">
        <v>7024.79</v>
      </c>
      <c r="G303" s="267">
        <v>0</v>
      </c>
      <c r="H303" s="268">
        <v>0</v>
      </c>
      <c r="I303" s="268">
        <v>0</v>
      </c>
      <c r="J303" s="268">
        <v>0</v>
      </c>
      <c r="K303" s="268">
        <v>1475.21</v>
      </c>
      <c r="L303" s="268">
        <v>0</v>
      </c>
      <c r="M303" s="267">
        <v>0</v>
      </c>
      <c r="N303" s="270">
        <v>8500</v>
      </c>
    </row>
    <row r="304" spans="1:14" x14ac:dyDescent="0.25">
      <c r="A304" s="269" t="s">
        <v>701</v>
      </c>
      <c r="B304" s="232" t="s">
        <v>1029</v>
      </c>
      <c r="C304" s="215" t="s">
        <v>1030</v>
      </c>
      <c r="D304" s="215" t="s">
        <v>623</v>
      </c>
      <c r="E304" s="215">
        <v>17855620</v>
      </c>
      <c r="F304" s="267">
        <v>16115.71</v>
      </c>
      <c r="G304" s="267">
        <v>0</v>
      </c>
      <c r="H304" s="268">
        <v>0</v>
      </c>
      <c r="I304" s="268">
        <v>0</v>
      </c>
      <c r="J304" s="268">
        <v>0</v>
      </c>
      <c r="K304" s="268">
        <v>3384.29</v>
      </c>
      <c r="L304" s="268">
        <v>0</v>
      </c>
      <c r="M304" s="267">
        <v>0</v>
      </c>
      <c r="N304" s="270">
        <v>19500</v>
      </c>
    </row>
    <row r="305" spans="1:14" x14ac:dyDescent="0.25">
      <c r="A305" s="269" t="s">
        <v>701</v>
      </c>
      <c r="B305" s="232" t="s">
        <v>1031</v>
      </c>
      <c r="C305" s="215" t="s">
        <v>675</v>
      </c>
      <c r="D305" s="215" t="s">
        <v>623</v>
      </c>
      <c r="E305" s="215">
        <v>14123802</v>
      </c>
      <c r="F305" s="267">
        <v>6033.06</v>
      </c>
      <c r="G305" s="267">
        <v>0</v>
      </c>
      <c r="H305" s="268">
        <v>0</v>
      </c>
      <c r="I305" s="268">
        <v>0</v>
      </c>
      <c r="J305" s="268">
        <v>0</v>
      </c>
      <c r="K305" s="268">
        <v>1266.94</v>
      </c>
      <c r="L305" s="268">
        <v>0</v>
      </c>
      <c r="M305" s="267">
        <v>0</v>
      </c>
      <c r="N305" s="270">
        <v>7300</v>
      </c>
    </row>
    <row r="306" spans="1:14" x14ac:dyDescent="0.25">
      <c r="A306" s="269" t="s">
        <v>701</v>
      </c>
      <c r="B306" s="232" t="s">
        <v>1032</v>
      </c>
      <c r="C306" s="215" t="s">
        <v>652</v>
      </c>
      <c r="D306" s="215" t="s">
        <v>641</v>
      </c>
      <c r="E306" s="215">
        <v>30590354798</v>
      </c>
      <c r="F306" s="267">
        <v>161487.6</v>
      </c>
      <c r="G306" s="267">
        <v>0</v>
      </c>
      <c r="H306" s="268">
        <v>0</v>
      </c>
      <c r="I306" s="268">
        <v>0</v>
      </c>
      <c r="J306" s="268">
        <v>0</v>
      </c>
      <c r="K306" s="268">
        <v>33912.400000000001</v>
      </c>
      <c r="L306" s="268">
        <v>0</v>
      </c>
      <c r="M306" s="267">
        <v>0</v>
      </c>
      <c r="N306" s="270">
        <v>195400</v>
      </c>
    </row>
    <row r="307" spans="1:14" x14ac:dyDescent="0.25">
      <c r="A307" s="269" t="s">
        <v>701</v>
      </c>
      <c r="B307" s="232" t="s">
        <v>1033</v>
      </c>
      <c r="C307" s="215" t="s">
        <v>675</v>
      </c>
      <c r="D307" s="215" t="s">
        <v>623</v>
      </c>
      <c r="E307" s="215">
        <v>14123802</v>
      </c>
      <c r="F307" s="267">
        <v>11322.31</v>
      </c>
      <c r="G307" s="267">
        <v>0</v>
      </c>
      <c r="H307" s="268">
        <v>0</v>
      </c>
      <c r="I307" s="268">
        <v>0</v>
      </c>
      <c r="J307" s="268">
        <v>0</v>
      </c>
      <c r="K307" s="268">
        <v>2377.69</v>
      </c>
      <c r="L307" s="268">
        <v>0</v>
      </c>
      <c r="M307" s="267">
        <v>0</v>
      </c>
      <c r="N307" s="270">
        <v>13700</v>
      </c>
    </row>
    <row r="308" spans="1:14" x14ac:dyDescent="0.25">
      <c r="A308" s="269" t="s">
        <v>701</v>
      </c>
      <c r="B308" s="232" t="s">
        <v>1034</v>
      </c>
      <c r="C308" s="215" t="s">
        <v>669</v>
      </c>
      <c r="D308" s="215" t="s">
        <v>623</v>
      </c>
      <c r="E308" s="215">
        <v>8208160</v>
      </c>
      <c r="F308" s="267">
        <v>3719.01</v>
      </c>
      <c r="G308" s="267">
        <v>0</v>
      </c>
      <c r="H308" s="268">
        <v>0</v>
      </c>
      <c r="I308" s="268">
        <v>0</v>
      </c>
      <c r="J308" s="268">
        <v>0</v>
      </c>
      <c r="K308" s="268">
        <v>780.99</v>
      </c>
      <c r="L308" s="268">
        <v>0</v>
      </c>
      <c r="M308" s="267">
        <v>0</v>
      </c>
      <c r="N308" s="270">
        <v>4500</v>
      </c>
    </row>
    <row r="309" spans="1:14" x14ac:dyDescent="0.25">
      <c r="A309" s="269" t="s">
        <v>701</v>
      </c>
      <c r="B309" s="232" t="s">
        <v>1035</v>
      </c>
      <c r="C309" s="215" t="s">
        <v>1036</v>
      </c>
      <c r="D309" s="215" t="s">
        <v>623</v>
      </c>
      <c r="E309" s="215">
        <v>95756049</v>
      </c>
      <c r="F309" s="267">
        <v>8925.6200000000008</v>
      </c>
      <c r="G309" s="267">
        <v>0</v>
      </c>
      <c r="H309" s="268">
        <v>0</v>
      </c>
      <c r="I309" s="268">
        <v>0</v>
      </c>
      <c r="J309" s="268">
        <v>0</v>
      </c>
      <c r="K309" s="268">
        <v>1874.38</v>
      </c>
      <c r="L309" s="268">
        <v>0</v>
      </c>
      <c r="M309" s="267">
        <v>0</v>
      </c>
      <c r="N309" s="270">
        <v>10800</v>
      </c>
    </row>
    <row r="310" spans="1:14" x14ac:dyDescent="0.25">
      <c r="A310" s="269" t="s">
        <v>702</v>
      </c>
      <c r="B310" s="232" t="s">
        <v>1037</v>
      </c>
      <c r="C310" s="215" t="s">
        <v>622</v>
      </c>
      <c r="D310" s="215" t="s">
        <v>623</v>
      </c>
      <c r="E310" s="215" t="s">
        <v>624</v>
      </c>
      <c r="F310" s="267">
        <v>13016.53</v>
      </c>
      <c r="G310" s="267">
        <v>0</v>
      </c>
      <c r="H310" s="268">
        <v>0</v>
      </c>
      <c r="I310" s="268">
        <v>0</v>
      </c>
      <c r="J310" s="268">
        <v>0</v>
      </c>
      <c r="K310" s="268">
        <v>2733.47</v>
      </c>
      <c r="L310" s="268">
        <v>0</v>
      </c>
      <c r="M310" s="267">
        <v>0</v>
      </c>
      <c r="N310" s="270">
        <v>15750</v>
      </c>
    </row>
    <row r="311" spans="1:14" x14ac:dyDescent="0.25">
      <c r="A311" s="269" t="s">
        <v>702</v>
      </c>
      <c r="B311" s="232" t="s">
        <v>1038</v>
      </c>
      <c r="C311" s="215" t="s">
        <v>622</v>
      </c>
      <c r="D311" s="215" t="s">
        <v>623</v>
      </c>
      <c r="E311" s="215" t="s">
        <v>624</v>
      </c>
      <c r="F311" s="267">
        <v>2727.27</v>
      </c>
      <c r="G311" s="267">
        <v>0</v>
      </c>
      <c r="H311" s="268">
        <v>0</v>
      </c>
      <c r="I311" s="268">
        <v>0</v>
      </c>
      <c r="J311" s="268">
        <v>0</v>
      </c>
      <c r="K311" s="268">
        <v>572.73</v>
      </c>
      <c r="L311" s="268">
        <v>0</v>
      </c>
      <c r="M311" s="267">
        <v>0</v>
      </c>
      <c r="N311" s="270">
        <v>3300</v>
      </c>
    </row>
    <row r="312" spans="1:14" x14ac:dyDescent="0.25">
      <c r="A312" s="269" t="s">
        <v>702</v>
      </c>
      <c r="B312" s="232" t="s">
        <v>1039</v>
      </c>
      <c r="C312" s="215" t="s">
        <v>622</v>
      </c>
      <c r="D312" s="215" t="s">
        <v>623</v>
      </c>
      <c r="E312" s="215" t="s">
        <v>624</v>
      </c>
      <c r="F312" s="267">
        <v>6033.06</v>
      </c>
      <c r="G312" s="267">
        <v>0</v>
      </c>
      <c r="H312" s="268">
        <v>0</v>
      </c>
      <c r="I312" s="268">
        <v>0</v>
      </c>
      <c r="J312" s="268">
        <v>0</v>
      </c>
      <c r="K312" s="268">
        <v>1266.94</v>
      </c>
      <c r="L312" s="268">
        <v>0</v>
      </c>
      <c r="M312" s="267">
        <v>0</v>
      </c>
      <c r="N312" s="270">
        <v>7300</v>
      </c>
    </row>
    <row r="313" spans="1:14" x14ac:dyDescent="0.25">
      <c r="A313" s="269" t="s">
        <v>702</v>
      </c>
      <c r="B313" s="232" t="s">
        <v>1040</v>
      </c>
      <c r="C313" s="215" t="s">
        <v>622</v>
      </c>
      <c r="D313" s="215" t="s">
        <v>623</v>
      </c>
      <c r="E313" s="215" t="s">
        <v>624</v>
      </c>
      <c r="F313" s="267">
        <v>2644.63</v>
      </c>
      <c r="G313" s="267">
        <v>0</v>
      </c>
      <c r="H313" s="268">
        <v>0</v>
      </c>
      <c r="I313" s="268">
        <v>0</v>
      </c>
      <c r="J313" s="268">
        <v>0</v>
      </c>
      <c r="K313" s="268">
        <v>555.37</v>
      </c>
      <c r="L313" s="268">
        <v>0</v>
      </c>
      <c r="M313" s="267">
        <v>0</v>
      </c>
      <c r="N313" s="270">
        <v>3200</v>
      </c>
    </row>
    <row r="314" spans="1:14" x14ac:dyDescent="0.25">
      <c r="A314" s="269" t="s">
        <v>702</v>
      </c>
      <c r="B314" s="232" t="s">
        <v>1041</v>
      </c>
      <c r="C314" s="215" t="s">
        <v>622</v>
      </c>
      <c r="D314" s="215" t="s">
        <v>623</v>
      </c>
      <c r="E314" s="215" t="s">
        <v>624</v>
      </c>
      <c r="F314" s="267">
        <v>4958.68</v>
      </c>
      <c r="G314" s="267">
        <v>0</v>
      </c>
      <c r="H314" s="268">
        <v>0</v>
      </c>
      <c r="I314" s="268">
        <v>0</v>
      </c>
      <c r="J314" s="268">
        <v>0</v>
      </c>
      <c r="K314" s="268">
        <v>1041.32</v>
      </c>
      <c r="L314" s="268">
        <v>0</v>
      </c>
      <c r="M314" s="267">
        <v>0</v>
      </c>
      <c r="N314" s="270">
        <v>6000</v>
      </c>
    </row>
    <row r="315" spans="1:14" x14ac:dyDescent="0.25">
      <c r="A315" s="269" t="s">
        <v>702</v>
      </c>
      <c r="B315" s="232" t="s">
        <v>1042</v>
      </c>
      <c r="C315" s="215" t="s">
        <v>622</v>
      </c>
      <c r="D315" s="215" t="s">
        <v>623</v>
      </c>
      <c r="E315" s="215" t="s">
        <v>624</v>
      </c>
      <c r="F315" s="267">
        <v>3388.43</v>
      </c>
      <c r="G315" s="267">
        <v>0</v>
      </c>
      <c r="H315" s="268">
        <v>0</v>
      </c>
      <c r="I315" s="268">
        <v>0</v>
      </c>
      <c r="J315" s="268">
        <v>0</v>
      </c>
      <c r="K315" s="268">
        <v>711.57</v>
      </c>
      <c r="L315" s="268">
        <v>0</v>
      </c>
      <c r="M315" s="267">
        <v>0</v>
      </c>
      <c r="N315" s="270">
        <v>4100</v>
      </c>
    </row>
    <row r="316" spans="1:14" x14ac:dyDescent="0.25">
      <c r="A316" s="269" t="s">
        <v>702</v>
      </c>
      <c r="B316" s="232" t="s">
        <v>1043</v>
      </c>
      <c r="C316" s="215" t="s">
        <v>640</v>
      </c>
      <c r="D316" s="215" t="s">
        <v>641</v>
      </c>
      <c r="E316" s="215">
        <v>30685228501</v>
      </c>
      <c r="F316" s="267">
        <v>68347.100000000006</v>
      </c>
      <c r="G316" s="267">
        <v>0</v>
      </c>
      <c r="H316" s="268">
        <v>0</v>
      </c>
      <c r="I316" s="268">
        <v>0</v>
      </c>
      <c r="J316" s="268">
        <v>0</v>
      </c>
      <c r="K316" s="268">
        <v>14352.9</v>
      </c>
      <c r="L316" s="268">
        <v>0</v>
      </c>
      <c r="M316" s="267">
        <v>0</v>
      </c>
      <c r="N316" s="270">
        <v>82700</v>
      </c>
    </row>
    <row r="317" spans="1:14" x14ac:dyDescent="0.25">
      <c r="A317" s="269" t="s">
        <v>702</v>
      </c>
      <c r="B317" s="232" t="s">
        <v>1044</v>
      </c>
      <c r="C317" s="215" t="s">
        <v>1045</v>
      </c>
      <c r="D317" s="215" t="s">
        <v>623</v>
      </c>
      <c r="E317" s="215" t="s">
        <v>624</v>
      </c>
      <c r="F317" s="267">
        <v>26446.28</v>
      </c>
      <c r="G317" s="267">
        <v>0</v>
      </c>
      <c r="H317" s="268">
        <v>0</v>
      </c>
      <c r="I317" s="268">
        <v>0</v>
      </c>
      <c r="J317" s="268">
        <v>0</v>
      </c>
      <c r="K317" s="268">
        <v>5553.72</v>
      </c>
      <c r="L317" s="268">
        <v>0</v>
      </c>
      <c r="M317" s="267">
        <v>0</v>
      </c>
      <c r="N317" s="270">
        <v>32000</v>
      </c>
    </row>
    <row r="318" spans="1:14" x14ac:dyDescent="0.25">
      <c r="A318" s="269" t="s">
        <v>702</v>
      </c>
      <c r="B318" s="232" t="s">
        <v>1046</v>
      </c>
      <c r="C318" s="215" t="s">
        <v>646</v>
      </c>
      <c r="D318" s="215" t="s">
        <v>623</v>
      </c>
      <c r="E318" s="215">
        <v>24448662</v>
      </c>
      <c r="F318" s="267">
        <v>6611.57</v>
      </c>
      <c r="G318" s="267">
        <v>0</v>
      </c>
      <c r="H318" s="268">
        <v>0</v>
      </c>
      <c r="I318" s="268">
        <v>0</v>
      </c>
      <c r="J318" s="268">
        <v>0</v>
      </c>
      <c r="K318" s="268">
        <v>1388.43</v>
      </c>
      <c r="L318" s="268">
        <v>0</v>
      </c>
      <c r="M318" s="267">
        <v>0</v>
      </c>
      <c r="N318" s="270">
        <v>8000</v>
      </c>
    </row>
    <row r="319" spans="1:14" x14ac:dyDescent="0.25">
      <c r="A319" s="269" t="s">
        <v>702</v>
      </c>
      <c r="B319" s="232" t="s">
        <v>1047</v>
      </c>
      <c r="C319" s="215" t="s">
        <v>662</v>
      </c>
      <c r="D319" s="215" t="s">
        <v>623</v>
      </c>
      <c r="E319" s="215">
        <v>37904748</v>
      </c>
      <c r="F319" s="267">
        <v>7851.24</v>
      </c>
      <c r="G319" s="267">
        <v>0</v>
      </c>
      <c r="H319" s="268">
        <v>0</v>
      </c>
      <c r="I319" s="268">
        <v>0</v>
      </c>
      <c r="J319" s="268">
        <v>0</v>
      </c>
      <c r="K319" s="268">
        <v>1648.76</v>
      </c>
      <c r="L319" s="268">
        <v>0</v>
      </c>
      <c r="M319" s="267">
        <v>0</v>
      </c>
      <c r="N319" s="270">
        <v>9500</v>
      </c>
    </row>
    <row r="320" spans="1:14" x14ac:dyDescent="0.25">
      <c r="A320" s="269" t="s">
        <v>703</v>
      </c>
      <c r="B320" s="232" t="s">
        <v>1048</v>
      </c>
      <c r="C320" s="215" t="s">
        <v>622</v>
      </c>
      <c r="D320" s="215" t="s">
        <v>623</v>
      </c>
      <c r="E320" s="215" t="s">
        <v>624</v>
      </c>
      <c r="F320" s="267">
        <v>2727.27</v>
      </c>
      <c r="G320" s="267">
        <v>0</v>
      </c>
      <c r="H320" s="268">
        <v>0</v>
      </c>
      <c r="I320" s="268">
        <v>0</v>
      </c>
      <c r="J320" s="268">
        <v>0</v>
      </c>
      <c r="K320" s="268">
        <v>572.73</v>
      </c>
      <c r="L320" s="268">
        <v>0</v>
      </c>
      <c r="M320" s="267">
        <v>0</v>
      </c>
      <c r="N320" s="270">
        <v>3300</v>
      </c>
    </row>
    <row r="321" spans="1:14" x14ac:dyDescent="0.25">
      <c r="A321" s="269" t="s">
        <v>703</v>
      </c>
      <c r="B321" s="232" t="s">
        <v>1049</v>
      </c>
      <c r="C321" s="215" t="s">
        <v>622</v>
      </c>
      <c r="D321" s="215" t="s">
        <v>623</v>
      </c>
      <c r="E321" s="215" t="s">
        <v>624</v>
      </c>
      <c r="F321" s="267">
        <v>3471.07</v>
      </c>
      <c r="G321" s="267">
        <v>0</v>
      </c>
      <c r="H321" s="268">
        <v>0</v>
      </c>
      <c r="I321" s="268">
        <v>0</v>
      </c>
      <c r="J321" s="268">
        <v>0</v>
      </c>
      <c r="K321" s="268">
        <v>728.93</v>
      </c>
      <c r="L321" s="268">
        <v>0</v>
      </c>
      <c r="M321" s="267">
        <v>0</v>
      </c>
      <c r="N321" s="270">
        <v>4200</v>
      </c>
    </row>
    <row r="322" spans="1:14" x14ac:dyDescent="0.25">
      <c r="A322" s="269" t="s">
        <v>703</v>
      </c>
      <c r="B322" s="232" t="s">
        <v>1050</v>
      </c>
      <c r="C322" s="215" t="s">
        <v>622</v>
      </c>
      <c r="D322" s="215" t="s">
        <v>623</v>
      </c>
      <c r="E322" s="215" t="s">
        <v>624</v>
      </c>
      <c r="F322" s="267">
        <v>5371.9</v>
      </c>
      <c r="G322" s="267">
        <v>0</v>
      </c>
      <c r="H322" s="268">
        <v>0</v>
      </c>
      <c r="I322" s="268">
        <v>0</v>
      </c>
      <c r="J322" s="268">
        <v>0</v>
      </c>
      <c r="K322" s="268">
        <v>1128.1000000000001</v>
      </c>
      <c r="L322" s="268">
        <v>0</v>
      </c>
      <c r="M322" s="267">
        <v>0</v>
      </c>
      <c r="N322" s="270">
        <v>6500</v>
      </c>
    </row>
    <row r="323" spans="1:14" x14ac:dyDescent="0.25">
      <c r="A323" s="269" t="s">
        <v>703</v>
      </c>
      <c r="B323" s="232" t="s">
        <v>1051</v>
      </c>
      <c r="C323" s="215" t="s">
        <v>622</v>
      </c>
      <c r="D323" s="215" t="s">
        <v>623</v>
      </c>
      <c r="E323" s="215" t="s">
        <v>624</v>
      </c>
      <c r="F323" s="267">
        <v>4132.2300000000005</v>
      </c>
      <c r="G323" s="267">
        <v>0</v>
      </c>
      <c r="H323" s="268">
        <v>0</v>
      </c>
      <c r="I323" s="268">
        <v>0</v>
      </c>
      <c r="J323" s="268">
        <v>0</v>
      </c>
      <c r="K323" s="268">
        <v>867.77</v>
      </c>
      <c r="L323" s="268">
        <v>0</v>
      </c>
      <c r="M323" s="267">
        <v>0</v>
      </c>
      <c r="N323" s="270">
        <v>5000</v>
      </c>
    </row>
    <row r="324" spans="1:14" x14ac:dyDescent="0.25">
      <c r="A324" s="269" t="s">
        <v>703</v>
      </c>
      <c r="B324" s="232" t="s">
        <v>1052</v>
      </c>
      <c r="C324" s="215" t="s">
        <v>622</v>
      </c>
      <c r="D324" s="215" t="s">
        <v>623</v>
      </c>
      <c r="E324" s="215" t="s">
        <v>624</v>
      </c>
      <c r="F324" s="267">
        <v>12066.12</v>
      </c>
      <c r="G324" s="267">
        <v>0</v>
      </c>
      <c r="H324" s="268">
        <v>0</v>
      </c>
      <c r="I324" s="268">
        <v>0</v>
      </c>
      <c r="J324" s="268">
        <v>0</v>
      </c>
      <c r="K324" s="268">
        <v>2533.88</v>
      </c>
      <c r="L324" s="268">
        <v>0</v>
      </c>
      <c r="M324" s="267">
        <v>0</v>
      </c>
      <c r="N324" s="270">
        <v>14600</v>
      </c>
    </row>
    <row r="325" spans="1:14" x14ac:dyDescent="0.25">
      <c r="A325" s="269" t="s">
        <v>703</v>
      </c>
      <c r="B325" s="232" t="s">
        <v>1053</v>
      </c>
      <c r="C325" s="215" t="s">
        <v>622</v>
      </c>
      <c r="D325" s="215" t="s">
        <v>623</v>
      </c>
      <c r="E325" s="215" t="s">
        <v>624</v>
      </c>
      <c r="F325" s="267">
        <v>13388.43</v>
      </c>
      <c r="G325" s="267">
        <v>0</v>
      </c>
      <c r="H325" s="268">
        <v>0</v>
      </c>
      <c r="I325" s="268">
        <v>0</v>
      </c>
      <c r="J325" s="268">
        <v>0</v>
      </c>
      <c r="K325" s="268">
        <v>2811.57</v>
      </c>
      <c r="L325" s="268">
        <v>0</v>
      </c>
      <c r="M325" s="267">
        <v>0</v>
      </c>
      <c r="N325" s="270">
        <v>16200</v>
      </c>
    </row>
    <row r="326" spans="1:14" x14ac:dyDescent="0.25">
      <c r="A326" s="269" t="s">
        <v>703</v>
      </c>
      <c r="B326" s="232" t="s">
        <v>1054</v>
      </c>
      <c r="C326" s="215" t="s">
        <v>622</v>
      </c>
      <c r="D326" s="215" t="s">
        <v>623</v>
      </c>
      <c r="E326" s="215" t="s">
        <v>624</v>
      </c>
      <c r="F326" s="267">
        <v>6611.57</v>
      </c>
      <c r="G326" s="267">
        <v>0</v>
      </c>
      <c r="H326" s="268">
        <v>0</v>
      </c>
      <c r="I326" s="268">
        <v>0</v>
      </c>
      <c r="J326" s="268">
        <v>0</v>
      </c>
      <c r="K326" s="268">
        <v>1388.43</v>
      </c>
      <c r="L326" s="268">
        <v>0</v>
      </c>
      <c r="M326" s="267">
        <v>0</v>
      </c>
      <c r="N326" s="270">
        <v>8000</v>
      </c>
    </row>
    <row r="327" spans="1:14" x14ac:dyDescent="0.25">
      <c r="A327" s="269" t="s">
        <v>703</v>
      </c>
      <c r="B327" s="232" t="s">
        <v>1055</v>
      </c>
      <c r="C327" s="215" t="s">
        <v>622</v>
      </c>
      <c r="D327" s="215" t="s">
        <v>623</v>
      </c>
      <c r="E327" s="215" t="s">
        <v>624</v>
      </c>
      <c r="F327" s="267">
        <v>1818.18</v>
      </c>
      <c r="G327" s="267">
        <v>0</v>
      </c>
      <c r="H327" s="268">
        <v>0</v>
      </c>
      <c r="I327" s="268">
        <v>0</v>
      </c>
      <c r="J327" s="268">
        <v>0</v>
      </c>
      <c r="K327" s="268">
        <v>381.82</v>
      </c>
      <c r="L327" s="268">
        <v>0</v>
      </c>
      <c r="M327" s="267">
        <v>0</v>
      </c>
      <c r="N327" s="270">
        <v>2200</v>
      </c>
    </row>
    <row r="328" spans="1:14" x14ac:dyDescent="0.25">
      <c r="A328" s="269" t="s">
        <v>703</v>
      </c>
      <c r="B328" s="232" t="s">
        <v>1056</v>
      </c>
      <c r="C328" s="215" t="s">
        <v>622</v>
      </c>
      <c r="D328" s="215" t="s">
        <v>623</v>
      </c>
      <c r="E328" s="215" t="s">
        <v>624</v>
      </c>
      <c r="F328" s="267">
        <v>1322.31</v>
      </c>
      <c r="G328" s="267">
        <v>0</v>
      </c>
      <c r="H328" s="268">
        <v>0</v>
      </c>
      <c r="I328" s="268">
        <v>0</v>
      </c>
      <c r="J328" s="268">
        <v>0</v>
      </c>
      <c r="K328" s="268">
        <v>277.69</v>
      </c>
      <c r="L328" s="268">
        <v>0</v>
      </c>
      <c r="M328" s="267">
        <v>0</v>
      </c>
      <c r="N328" s="270">
        <v>1600</v>
      </c>
    </row>
    <row r="329" spans="1:14" x14ac:dyDescent="0.25">
      <c r="A329" s="269" t="s">
        <v>703</v>
      </c>
      <c r="B329" s="232" t="s">
        <v>1057</v>
      </c>
      <c r="C329" s="215" t="s">
        <v>663</v>
      </c>
      <c r="D329" s="215" t="s">
        <v>623</v>
      </c>
      <c r="E329" s="215">
        <v>16246667</v>
      </c>
      <c r="F329" s="267">
        <v>11983.47</v>
      </c>
      <c r="G329" s="267">
        <v>0</v>
      </c>
      <c r="H329" s="268">
        <v>0</v>
      </c>
      <c r="I329" s="268">
        <v>0</v>
      </c>
      <c r="J329" s="268">
        <v>0</v>
      </c>
      <c r="K329" s="268">
        <v>2516.5300000000002</v>
      </c>
      <c r="L329" s="268">
        <v>0</v>
      </c>
      <c r="M329" s="267">
        <v>0</v>
      </c>
      <c r="N329" s="270">
        <v>14500</v>
      </c>
    </row>
    <row r="330" spans="1:14" x14ac:dyDescent="0.25">
      <c r="A330" s="269" t="s">
        <v>703</v>
      </c>
      <c r="B330" s="232" t="s">
        <v>1058</v>
      </c>
      <c r="C330" s="215" t="s">
        <v>667</v>
      </c>
      <c r="D330" s="215" t="s">
        <v>623</v>
      </c>
      <c r="E330" s="215">
        <v>16481086</v>
      </c>
      <c r="F330" s="267">
        <v>6776.86</v>
      </c>
      <c r="G330" s="267">
        <v>0</v>
      </c>
      <c r="H330" s="268">
        <v>0</v>
      </c>
      <c r="I330" s="268">
        <v>0</v>
      </c>
      <c r="J330" s="268">
        <v>0</v>
      </c>
      <c r="K330" s="268">
        <v>1423.14</v>
      </c>
      <c r="L330" s="268">
        <v>0</v>
      </c>
      <c r="M330" s="267">
        <v>0</v>
      </c>
      <c r="N330" s="270">
        <v>8200</v>
      </c>
    </row>
    <row r="331" spans="1:14" x14ac:dyDescent="0.25">
      <c r="A331" s="269" t="s">
        <v>703</v>
      </c>
      <c r="B331" s="232" t="s">
        <v>1059</v>
      </c>
      <c r="C331" s="215" t="s">
        <v>622</v>
      </c>
      <c r="D331" s="215" t="s">
        <v>623</v>
      </c>
      <c r="E331" s="215" t="s">
        <v>624</v>
      </c>
      <c r="F331" s="267">
        <v>66115.7</v>
      </c>
      <c r="G331" s="267">
        <v>0</v>
      </c>
      <c r="H331" s="268">
        <v>0</v>
      </c>
      <c r="I331" s="268">
        <v>0</v>
      </c>
      <c r="J331" s="268">
        <v>0</v>
      </c>
      <c r="K331" s="268">
        <v>13884.3</v>
      </c>
      <c r="L331" s="268">
        <v>0</v>
      </c>
      <c r="M331" s="267">
        <v>0</v>
      </c>
      <c r="N331" s="270">
        <v>80000</v>
      </c>
    </row>
    <row r="332" spans="1:14" x14ac:dyDescent="0.25">
      <c r="A332" s="269" t="s">
        <v>1060</v>
      </c>
      <c r="B332" s="232" t="s">
        <v>1061</v>
      </c>
      <c r="C332" s="215" t="s">
        <v>622</v>
      </c>
      <c r="D332" s="215" t="s">
        <v>623</v>
      </c>
      <c r="E332" s="215" t="s">
        <v>624</v>
      </c>
      <c r="F332" s="267">
        <v>14049.59</v>
      </c>
      <c r="G332" s="267">
        <v>0</v>
      </c>
      <c r="H332" s="268">
        <v>0</v>
      </c>
      <c r="I332" s="268">
        <v>0</v>
      </c>
      <c r="J332" s="268">
        <v>0</v>
      </c>
      <c r="K332" s="268">
        <v>2950.41</v>
      </c>
      <c r="L332" s="268">
        <v>0</v>
      </c>
      <c r="M332" s="267">
        <v>0</v>
      </c>
      <c r="N332" s="270">
        <v>17000</v>
      </c>
    </row>
    <row r="333" spans="1:14" x14ac:dyDescent="0.25">
      <c r="A333" s="269" t="s">
        <v>1060</v>
      </c>
      <c r="B333" s="232" t="s">
        <v>1062</v>
      </c>
      <c r="C333" s="215" t="s">
        <v>622</v>
      </c>
      <c r="D333" s="215" t="s">
        <v>623</v>
      </c>
      <c r="E333" s="215" t="s">
        <v>624</v>
      </c>
      <c r="F333" s="267">
        <v>4545.45</v>
      </c>
      <c r="G333" s="267">
        <v>0</v>
      </c>
      <c r="H333" s="268">
        <v>0</v>
      </c>
      <c r="I333" s="268">
        <v>0</v>
      </c>
      <c r="J333" s="268">
        <v>0</v>
      </c>
      <c r="K333" s="268">
        <v>954.55</v>
      </c>
      <c r="L333" s="268">
        <v>0</v>
      </c>
      <c r="M333" s="267">
        <v>0</v>
      </c>
      <c r="N333" s="270">
        <v>5500</v>
      </c>
    </row>
    <row r="334" spans="1:14" x14ac:dyDescent="0.25">
      <c r="A334" s="269" t="s">
        <v>1060</v>
      </c>
      <c r="B334" s="232" t="s">
        <v>1063</v>
      </c>
      <c r="C334" s="215" t="s">
        <v>622</v>
      </c>
      <c r="D334" s="215" t="s">
        <v>623</v>
      </c>
      <c r="E334" s="215" t="s">
        <v>624</v>
      </c>
      <c r="F334" s="267">
        <v>8264.4600000000009</v>
      </c>
      <c r="G334" s="267">
        <v>0</v>
      </c>
      <c r="H334" s="268">
        <v>0</v>
      </c>
      <c r="I334" s="268">
        <v>0</v>
      </c>
      <c r="J334" s="268">
        <v>0</v>
      </c>
      <c r="K334" s="268">
        <v>1735.54</v>
      </c>
      <c r="L334" s="268">
        <v>0</v>
      </c>
      <c r="M334" s="267">
        <v>0</v>
      </c>
      <c r="N334" s="270">
        <v>10000</v>
      </c>
    </row>
    <row r="335" spans="1:14" x14ac:dyDescent="0.25">
      <c r="A335" s="269" t="s">
        <v>1060</v>
      </c>
      <c r="B335" s="232" t="s">
        <v>1064</v>
      </c>
      <c r="C335" s="215" t="s">
        <v>622</v>
      </c>
      <c r="D335" s="215" t="s">
        <v>623</v>
      </c>
      <c r="E335" s="215" t="s">
        <v>624</v>
      </c>
      <c r="F335" s="267">
        <v>5785.12</v>
      </c>
      <c r="G335" s="267">
        <v>0</v>
      </c>
      <c r="H335" s="268">
        <v>0</v>
      </c>
      <c r="I335" s="268">
        <v>0</v>
      </c>
      <c r="J335" s="268">
        <v>0</v>
      </c>
      <c r="K335" s="268">
        <v>1214.8800000000001</v>
      </c>
      <c r="L335" s="268">
        <v>0</v>
      </c>
      <c r="M335" s="267">
        <v>0</v>
      </c>
      <c r="N335" s="270">
        <v>7000</v>
      </c>
    </row>
    <row r="336" spans="1:14" x14ac:dyDescent="0.25">
      <c r="A336" s="269" t="s">
        <v>1060</v>
      </c>
      <c r="B336" s="232" t="s">
        <v>1065</v>
      </c>
      <c r="C336" s="215" t="s">
        <v>622</v>
      </c>
      <c r="D336" s="215" t="s">
        <v>623</v>
      </c>
      <c r="E336" s="215" t="s">
        <v>624</v>
      </c>
      <c r="F336" s="267">
        <v>12727.27</v>
      </c>
      <c r="G336" s="267">
        <v>0</v>
      </c>
      <c r="H336" s="268">
        <v>0</v>
      </c>
      <c r="I336" s="268">
        <v>0</v>
      </c>
      <c r="J336" s="268">
        <v>0</v>
      </c>
      <c r="K336" s="268">
        <v>2672.73</v>
      </c>
      <c r="L336" s="268">
        <v>0</v>
      </c>
      <c r="M336" s="267">
        <v>0</v>
      </c>
      <c r="N336" s="270">
        <v>15400</v>
      </c>
    </row>
    <row r="337" spans="1:14" x14ac:dyDescent="0.25">
      <c r="A337" s="269" t="s">
        <v>1060</v>
      </c>
      <c r="B337" s="232" t="s">
        <v>1066</v>
      </c>
      <c r="C337" s="215" t="s">
        <v>622</v>
      </c>
      <c r="D337" s="215" t="s">
        <v>623</v>
      </c>
      <c r="E337" s="215" t="s">
        <v>624</v>
      </c>
      <c r="F337" s="267">
        <v>5371.9</v>
      </c>
      <c r="G337" s="267">
        <v>0</v>
      </c>
      <c r="H337" s="268">
        <v>0</v>
      </c>
      <c r="I337" s="268">
        <v>0</v>
      </c>
      <c r="J337" s="268">
        <v>0</v>
      </c>
      <c r="K337" s="268">
        <v>1128.1000000000001</v>
      </c>
      <c r="L337" s="268">
        <v>0</v>
      </c>
      <c r="M337" s="267">
        <v>0</v>
      </c>
      <c r="N337" s="270">
        <v>6500</v>
      </c>
    </row>
    <row r="338" spans="1:14" x14ac:dyDescent="0.25">
      <c r="A338" s="269" t="s">
        <v>1060</v>
      </c>
      <c r="B338" s="232" t="s">
        <v>1067</v>
      </c>
      <c r="C338" s="215" t="s">
        <v>622</v>
      </c>
      <c r="D338" s="215" t="s">
        <v>623</v>
      </c>
      <c r="E338" s="215" t="s">
        <v>624</v>
      </c>
      <c r="F338" s="267">
        <v>8677.69</v>
      </c>
      <c r="G338" s="267">
        <v>0</v>
      </c>
      <c r="H338" s="268">
        <v>0</v>
      </c>
      <c r="I338" s="268">
        <v>0</v>
      </c>
      <c r="J338" s="268">
        <v>0</v>
      </c>
      <c r="K338" s="268">
        <v>1822.31</v>
      </c>
      <c r="L338" s="268">
        <v>0</v>
      </c>
      <c r="M338" s="267">
        <v>0</v>
      </c>
      <c r="N338" s="270">
        <v>10500</v>
      </c>
    </row>
    <row r="339" spans="1:14" x14ac:dyDescent="0.25">
      <c r="A339" s="269" t="s">
        <v>1060</v>
      </c>
      <c r="B339" s="232" t="s">
        <v>1068</v>
      </c>
      <c r="C339" s="215" t="s">
        <v>622</v>
      </c>
      <c r="D339" s="215" t="s">
        <v>623</v>
      </c>
      <c r="E339" s="215" t="s">
        <v>624</v>
      </c>
      <c r="F339" s="267">
        <v>11404.96</v>
      </c>
      <c r="G339" s="267">
        <v>0</v>
      </c>
      <c r="H339" s="268">
        <v>0</v>
      </c>
      <c r="I339" s="268">
        <v>0</v>
      </c>
      <c r="J339" s="268">
        <v>0</v>
      </c>
      <c r="K339" s="268">
        <v>2395.04</v>
      </c>
      <c r="L339" s="268">
        <v>0</v>
      </c>
      <c r="M339" s="267">
        <v>0</v>
      </c>
      <c r="N339" s="270">
        <v>13800</v>
      </c>
    </row>
    <row r="340" spans="1:14" x14ac:dyDescent="0.25">
      <c r="A340" s="269" t="s">
        <v>1060</v>
      </c>
      <c r="B340" s="232" t="s">
        <v>1069</v>
      </c>
      <c r="C340" s="215" t="s">
        <v>622</v>
      </c>
      <c r="D340" s="215" t="s">
        <v>623</v>
      </c>
      <c r="E340" s="215" t="s">
        <v>624</v>
      </c>
      <c r="F340" s="267">
        <v>6611.57</v>
      </c>
      <c r="G340" s="267">
        <v>0</v>
      </c>
      <c r="H340" s="268">
        <v>0</v>
      </c>
      <c r="I340" s="268">
        <v>0</v>
      </c>
      <c r="J340" s="268">
        <v>0</v>
      </c>
      <c r="K340" s="268">
        <v>1388.43</v>
      </c>
      <c r="L340" s="268">
        <v>0</v>
      </c>
      <c r="M340" s="267">
        <v>0</v>
      </c>
      <c r="N340" s="270">
        <v>8000</v>
      </c>
    </row>
    <row r="341" spans="1:14" x14ac:dyDescent="0.25">
      <c r="A341" s="269" t="s">
        <v>1060</v>
      </c>
      <c r="B341" s="232" t="s">
        <v>1070</v>
      </c>
      <c r="C341" s="215" t="s">
        <v>622</v>
      </c>
      <c r="D341" s="215" t="s">
        <v>623</v>
      </c>
      <c r="E341" s="215" t="s">
        <v>624</v>
      </c>
      <c r="F341" s="267">
        <v>6033.06</v>
      </c>
      <c r="G341" s="267">
        <v>0</v>
      </c>
      <c r="H341" s="268">
        <v>0</v>
      </c>
      <c r="I341" s="268">
        <v>0</v>
      </c>
      <c r="J341" s="268">
        <v>0</v>
      </c>
      <c r="K341" s="268">
        <v>1266.94</v>
      </c>
      <c r="L341" s="268">
        <v>0</v>
      </c>
      <c r="M341" s="267">
        <v>0</v>
      </c>
      <c r="N341" s="270">
        <v>7300</v>
      </c>
    </row>
    <row r="342" spans="1:14" x14ac:dyDescent="0.25">
      <c r="A342" s="269" t="s">
        <v>1060</v>
      </c>
      <c r="B342" s="232" t="s">
        <v>1071</v>
      </c>
      <c r="C342" s="215" t="s">
        <v>622</v>
      </c>
      <c r="D342" s="215" t="s">
        <v>623</v>
      </c>
      <c r="E342" s="215" t="s">
        <v>624</v>
      </c>
      <c r="F342" s="267">
        <v>15619.83</v>
      </c>
      <c r="G342" s="267">
        <v>0</v>
      </c>
      <c r="H342" s="268">
        <v>0</v>
      </c>
      <c r="I342" s="268">
        <v>0</v>
      </c>
      <c r="J342" s="268">
        <v>0</v>
      </c>
      <c r="K342" s="268">
        <v>3280.17</v>
      </c>
      <c r="L342" s="268">
        <v>0</v>
      </c>
      <c r="M342" s="267">
        <v>0</v>
      </c>
      <c r="N342" s="270">
        <v>18900</v>
      </c>
    </row>
    <row r="343" spans="1:14" x14ac:dyDescent="0.25">
      <c r="A343" s="269" t="s">
        <v>1060</v>
      </c>
      <c r="B343" s="232" t="s">
        <v>1072</v>
      </c>
      <c r="C343" s="215" t="s">
        <v>622</v>
      </c>
      <c r="D343" s="215" t="s">
        <v>623</v>
      </c>
      <c r="E343" s="215" t="s">
        <v>624</v>
      </c>
      <c r="F343" s="267">
        <v>4710.74</v>
      </c>
      <c r="G343" s="267">
        <v>0</v>
      </c>
      <c r="H343" s="268">
        <v>0</v>
      </c>
      <c r="I343" s="268">
        <v>0</v>
      </c>
      <c r="J343" s="268">
        <v>0</v>
      </c>
      <c r="K343" s="268">
        <v>989.26</v>
      </c>
      <c r="L343" s="268">
        <v>0</v>
      </c>
      <c r="M343" s="267">
        <v>0</v>
      </c>
      <c r="N343" s="270">
        <v>5700</v>
      </c>
    </row>
    <row r="344" spans="1:14" x14ac:dyDescent="0.25">
      <c r="A344" s="269" t="s">
        <v>1060</v>
      </c>
      <c r="B344" s="232" t="s">
        <v>1073</v>
      </c>
      <c r="C344" s="215" t="s">
        <v>622</v>
      </c>
      <c r="D344" s="215" t="s">
        <v>623</v>
      </c>
      <c r="E344" s="215" t="s">
        <v>624</v>
      </c>
      <c r="F344" s="267">
        <v>4132.2300000000005</v>
      </c>
      <c r="G344" s="267">
        <v>0</v>
      </c>
      <c r="H344" s="268">
        <v>0</v>
      </c>
      <c r="I344" s="268">
        <v>0</v>
      </c>
      <c r="J344" s="268">
        <v>0</v>
      </c>
      <c r="K344" s="268">
        <v>867.77</v>
      </c>
      <c r="L344" s="268">
        <v>0</v>
      </c>
      <c r="M344" s="267">
        <v>0</v>
      </c>
      <c r="N344" s="270">
        <v>5000</v>
      </c>
    </row>
    <row r="345" spans="1:14" x14ac:dyDescent="0.25">
      <c r="A345" s="269" t="s">
        <v>1060</v>
      </c>
      <c r="B345" s="232" t="s">
        <v>1074</v>
      </c>
      <c r="C345" s="215" t="s">
        <v>622</v>
      </c>
      <c r="D345" s="215" t="s">
        <v>623</v>
      </c>
      <c r="E345" s="215" t="s">
        <v>624</v>
      </c>
      <c r="F345" s="267">
        <v>3471.07</v>
      </c>
      <c r="G345" s="267">
        <v>0</v>
      </c>
      <c r="H345" s="268">
        <v>0</v>
      </c>
      <c r="I345" s="268">
        <v>0</v>
      </c>
      <c r="J345" s="268">
        <v>0</v>
      </c>
      <c r="K345" s="268">
        <v>728.93</v>
      </c>
      <c r="L345" s="268">
        <v>0</v>
      </c>
      <c r="M345" s="267">
        <v>0</v>
      </c>
      <c r="N345" s="270">
        <v>4200</v>
      </c>
    </row>
    <row r="346" spans="1:14" x14ac:dyDescent="0.25">
      <c r="A346" s="269" t="s">
        <v>1060</v>
      </c>
      <c r="B346" s="232" t="s">
        <v>1075</v>
      </c>
      <c r="C346" s="215" t="s">
        <v>622</v>
      </c>
      <c r="D346" s="215" t="s">
        <v>623</v>
      </c>
      <c r="E346" s="215" t="s">
        <v>624</v>
      </c>
      <c r="F346" s="267">
        <v>6033.06</v>
      </c>
      <c r="G346" s="267">
        <v>0</v>
      </c>
      <c r="H346" s="268">
        <v>0</v>
      </c>
      <c r="I346" s="268">
        <v>0</v>
      </c>
      <c r="J346" s="268">
        <v>0</v>
      </c>
      <c r="K346" s="268">
        <v>1266.94</v>
      </c>
      <c r="L346" s="268">
        <v>0</v>
      </c>
      <c r="M346" s="267">
        <v>0</v>
      </c>
      <c r="N346" s="270">
        <v>7300</v>
      </c>
    </row>
    <row r="347" spans="1:14" x14ac:dyDescent="0.25">
      <c r="A347" s="269" t="s">
        <v>1060</v>
      </c>
      <c r="B347" s="232" t="s">
        <v>1076</v>
      </c>
      <c r="C347" s="215" t="s">
        <v>1077</v>
      </c>
      <c r="D347" s="215" t="s">
        <v>626</v>
      </c>
      <c r="E347" s="215">
        <v>27253147992</v>
      </c>
      <c r="F347" s="267">
        <v>9917.36</v>
      </c>
      <c r="G347" s="267">
        <v>0</v>
      </c>
      <c r="H347" s="268">
        <v>0</v>
      </c>
      <c r="I347" s="268">
        <v>0</v>
      </c>
      <c r="J347" s="268">
        <v>0</v>
      </c>
      <c r="K347" s="268">
        <v>2082.64</v>
      </c>
      <c r="L347" s="268">
        <v>0</v>
      </c>
      <c r="M347" s="267">
        <v>0</v>
      </c>
      <c r="N347" s="270">
        <v>12000</v>
      </c>
    </row>
    <row r="348" spans="1:14" x14ac:dyDescent="0.25">
      <c r="A348" s="269" t="s">
        <v>1060</v>
      </c>
      <c r="B348" s="232" t="s">
        <v>1078</v>
      </c>
      <c r="C348" s="215" t="s">
        <v>670</v>
      </c>
      <c r="D348" s="215" t="s">
        <v>623</v>
      </c>
      <c r="E348" s="215">
        <v>30206585</v>
      </c>
      <c r="F348" s="267">
        <v>4214.88</v>
      </c>
      <c r="G348" s="267">
        <v>0</v>
      </c>
      <c r="H348" s="268">
        <v>0</v>
      </c>
      <c r="I348" s="268">
        <v>0</v>
      </c>
      <c r="J348" s="268">
        <v>0</v>
      </c>
      <c r="K348" s="268">
        <v>885.12</v>
      </c>
      <c r="L348" s="268">
        <v>0</v>
      </c>
      <c r="M348" s="267">
        <v>0</v>
      </c>
      <c r="N348" s="270">
        <v>5100</v>
      </c>
    </row>
    <row r="349" spans="1:14" x14ac:dyDescent="0.25">
      <c r="A349" s="269" t="s">
        <v>1060</v>
      </c>
      <c r="B349" s="232" t="s">
        <v>1079</v>
      </c>
      <c r="C349" s="215" t="s">
        <v>671</v>
      </c>
      <c r="D349" s="215" t="s">
        <v>623</v>
      </c>
      <c r="E349" s="215">
        <v>28692323</v>
      </c>
      <c r="F349" s="267">
        <v>10578.5</v>
      </c>
      <c r="G349" s="267">
        <v>0</v>
      </c>
      <c r="H349" s="268">
        <v>0</v>
      </c>
      <c r="I349" s="268">
        <v>0</v>
      </c>
      <c r="J349" s="268">
        <v>0</v>
      </c>
      <c r="K349" s="268">
        <v>2221.5</v>
      </c>
      <c r="L349" s="268">
        <v>0</v>
      </c>
      <c r="M349" s="267">
        <v>0</v>
      </c>
      <c r="N349" s="270">
        <v>12800</v>
      </c>
    </row>
    <row r="350" spans="1:14" x14ac:dyDescent="0.25">
      <c r="A350" s="269" t="s">
        <v>1060</v>
      </c>
      <c r="B350" s="232" t="s">
        <v>1080</v>
      </c>
      <c r="C350" s="215" t="s">
        <v>673</v>
      </c>
      <c r="D350" s="215" t="s">
        <v>623</v>
      </c>
      <c r="E350" s="215">
        <v>94466696</v>
      </c>
      <c r="F350" s="267">
        <v>7933.88</v>
      </c>
      <c r="G350" s="267">
        <v>0</v>
      </c>
      <c r="H350" s="268">
        <v>0</v>
      </c>
      <c r="I350" s="268">
        <v>0</v>
      </c>
      <c r="J350" s="268">
        <v>0</v>
      </c>
      <c r="K350" s="268">
        <v>1666.12</v>
      </c>
      <c r="L350" s="268">
        <v>0</v>
      </c>
      <c r="M350" s="267">
        <v>0</v>
      </c>
      <c r="N350" s="270">
        <v>9600</v>
      </c>
    </row>
    <row r="351" spans="1:14" x14ac:dyDescent="0.25">
      <c r="A351" s="269" t="s">
        <v>1060</v>
      </c>
      <c r="B351" s="232" t="s">
        <v>1081</v>
      </c>
      <c r="C351" s="215" t="s">
        <v>672</v>
      </c>
      <c r="D351" s="215" t="s">
        <v>623</v>
      </c>
      <c r="E351" s="215">
        <v>8607637</v>
      </c>
      <c r="F351" s="267">
        <v>13223.14</v>
      </c>
      <c r="G351" s="267">
        <v>0</v>
      </c>
      <c r="H351" s="268">
        <v>0</v>
      </c>
      <c r="I351" s="268">
        <v>0</v>
      </c>
      <c r="J351" s="268">
        <v>0</v>
      </c>
      <c r="K351" s="268">
        <v>2776.86</v>
      </c>
      <c r="L351" s="268">
        <v>0</v>
      </c>
      <c r="M351" s="267">
        <v>0</v>
      </c>
      <c r="N351" s="270">
        <v>16000</v>
      </c>
    </row>
    <row r="352" spans="1:14" x14ac:dyDescent="0.25">
      <c r="A352" s="269" t="s">
        <v>1060</v>
      </c>
      <c r="B352" s="232" t="s">
        <v>1082</v>
      </c>
      <c r="C352" s="215" t="s">
        <v>674</v>
      </c>
      <c r="D352" s="215" t="s">
        <v>623</v>
      </c>
      <c r="E352" s="215">
        <v>25864351</v>
      </c>
      <c r="F352" s="267">
        <v>7024.79</v>
      </c>
      <c r="G352" s="267">
        <v>0</v>
      </c>
      <c r="H352" s="268">
        <v>0</v>
      </c>
      <c r="I352" s="268">
        <v>0</v>
      </c>
      <c r="J352" s="268">
        <v>0</v>
      </c>
      <c r="K352" s="268">
        <v>1475.21</v>
      </c>
      <c r="L352" s="268">
        <v>0</v>
      </c>
      <c r="M352" s="267">
        <v>0</v>
      </c>
      <c r="N352" s="270">
        <v>8500</v>
      </c>
    </row>
    <row r="353" spans="1:14" x14ac:dyDescent="0.25">
      <c r="A353" s="269" t="s">
        <v>704</v>
      </c>
      <c r="B353" s="232" t="s">
        <v>1083</v>
      </c>
      <c r="C353" s="215" t="s">
        <v>622</v>
      </c>
      <c r="D353" s="215" t="s">
        <v>623</v>
      </c>
      <c r="E353" s="215" t="s">
        <v>624</v>
      </c>
      <c r="F353" s="267">
        <v>16033.06</v>
      </c>
      <c r="G353" s="267">
        <v>0</v>
      </c>
      <c r="H353" s="268">
        <v>0</v>
      </c>
      <c r="I353" s="268">
        <v>0</v>
      </c>
      <c r="J353" s="268">
        <v>0</v>
      </c>
      <c r="K353" s="268">
        <v>3366.94</v>
      </c>
      <c r="L353" s="268">
        <v>0</v>
      </c>
      <c r="M353" s="267">
        <v>0</v>
      </c>
      <c r="N353" s="270">
        <v>19400</v>
      </c>
    </row>
    <row r="354" spans="1:14" x14ac:dyDescent="0.25">
      <c r="A354" s="269" t="s">
        <v>704</v>
      </c>
      <c r="B354" s="232" t="s">
        <v>1084</v>
      </c>
      <c r="C354" s="215" t="s">
        <v>622</v>
      </c>
      <c r="D354" s="215" t="s">
        <v>623</v>
      </c>
      <c r="E354" s="215" t="s">
        <v>624</v>
      </c>
      <c r="F354" s="267">
        <v>25619.83</v>
      </c>
      <c r="G354" s="267">
        <v>0</v>
      </c>
      <c r="H354" s="268">
        <v>0</v>
      </c>
      <c r="I354" s="268">
        <v>0</v>
      </c>
      <c r="J354" s="268">
        <v>0</v>
      </c>
      <c r="K354" s="268">
        <v>5380.17</v>
      </c>
      <c r="L354" s="268">
        <v>0</v>
      </c>
      <c r="M354" s="267">
        <v>0</v>
      </c>
      <c r="N354" s="270">
        <v>31000</v>
      </c>
    </row>
    <row r="355" spans="1:14" x14ac:dyDescent="0.25">
      <c r="A355" s="269" t="s">
        <v>704</v>
      </c>
      <c r="B355" s="232" t="s">
        <v>1085</v>
      </c>
      <c r="C355" s="215" t="s">
        <v>622</v>
      </c>
      <c r="D355" s="215" t="s">
        <v>623</v>
      </c>
      <c r="E355" s="215" t="s">
        <v>624</v>
      </c>
      <c r="F355" s="267">
        <v>8677.69</v>
      </c>
      <c r="G355" s="267">
        <v>0</v>
      </c>
      <c r="H355" s="268">
        <v>0</v>
      </c>
      <c r="I355" s="268">
        <v>0</v>
      </c>
      <c r="J355" s="268">
        <v>0</v>
      </c>
      <c r="K355" s="268">
        <v>1822.31</v>
      </c>
      <c r="L355" s="268">
        <v>0</v>
      </c>
      <c r="M355" s="267">
        <v>0</v>
      </c>
      <c r="N355" s="270">
        <v>10500</v>
      </c>
    </row>
    <row r="356" spans="1:14" x14ac:dyDescent="0.25">
      <c r="A356" s="269" t="s">
        <v>704</v>
      </c>
      <c r="B356" s="232" t="s">
        <v>1086</v>
      </c>
      <c r="C356" s="215" t="s">
        <v>622</v>
      </c>
      <c r="D356" s="215" t="s">
        <v>623</v>
      </c>
      <c r="E356" s="215" t="s">
        <v>624</v>
      </c>
      <c r="F356" s="267">
        <v>1611.57</v>
      </c>
      <c r="G356" s="267">
        <v>0</v>
      </c>
      <c r="H356" s="268">
        <v>0</v>
      </c>
      <c r="I356" s="268">
        <v>0</v>
      </c>
      <c r="J356" s="268">
        <v>0</v>
      </c>
      <c r="K356" s="268">
        <v>338.43</v>
      </c>
      <c r="L356" s="268">
        <v>0</v>
      </c>
      <c r="M356" s="267">
        <v>0</v>
      </c>
      <c r="N356" s="270">
        <v>1950</v>
      </c>
    </row>
    <row r="357" spans="1:14" x14ac:dyDescent="0.25">
      <c r="A357" s="269" t="s">
        <v>704</v>
      </c>
      <c r="B357" s="232" t="s">
        <v>1087</v>
      </c>
      <c r="C357" s="215" t="s">
        <v>622</v>
      </c>
      <c r="D357" s="215" t="s">
        <v>623</v>
      </c>
      <c r="E357" s="215" t="s">
        <v>624</v>
      </c>
      <c r="F357" s="267">
        <v>4132.2300000000005</v>
      </c>
      <c r="G357" s="267">
        <v>0</v>
      </c>
      <c r="H357" s="268">
        <v>0</v>
      </c>
      <c r="I357" s="268">
        <v>0</v>
      </c>
      <c r="J357" s="268">
        <v>0</v>
      </c>
      <c r="K357" s="268">
        <v>867.77</v>
      </c>
      <c r="L357" s="268">
        <v>0</v>
      </c>
      <c r="M357" s="267">
        <v>0</v>
      </c>
      <c r="N357" s="270">
        <v>5000</v>
      </c>
    </row>
    <row r="358" spans="1:14" x14ac:dyDescent="0.25">
      <c r="A358" s="269" t="s">
        <v>704</v>
      </c>
      <c r="B358" s="232" t="s">
        <v>1088</v>
      </c>
      <c r="C358" s="215" t="s">
        <v>622</v>
      </c>
      <c r="D358" s="215" t="s">
        <v>623</v>
      </c>
      <c r="E358" s="215" t="s">
        <v>624</v>
      </c>
      <c r="F358" s="267">
        <v>3801.65</v>
      </c>
      <c r="G358" s="267">
        <v>0</v>
      </c>
      <c r="H358" s="268">
        <v>0</v>
      </c>
      <c r="I358" s="268">
        <v>0</v>
      </c>
      <c r="J358" s="268">
        <v>0</v>
      </c>
      <c r="K358" s="268">
        <v>798.35</v>
      </c>
      <c r="L358" s="268">
        <v>0</v>
      </c>
      <c r="M358" s="267">
        <v>0</v>
      </c>
      <c r="N358" s="270">
        <v>4600</v>
      </c>
    </row>
    <row r="359" spans="1:14" x14ac:dyDescent="0.25">
      <c r="A359" s="269" t="s">
        <v>704</v>
      </c>
      <c r="B359" s="232" t="s">
        <v>1089</v>
      </c>
      <c r="C359" s="215" t="s">
        <v>622</v>
      </c>
      <c r="D359" s="215" t="s">
        <v>623</v>
      </c>
      <c r="E359" s="215" t="s">
        <v>624</v>
      </c>
      <c r="F359" s="267">
        <v>3388.43</v>
      </c>
      <c r="G359" s="267">
        <v>0</v>
      </c>
      <c r="H359" s="268">
        <v>0</v>
      </c>
      <c r="I359" s="268">
        <v>0</v>
      </c>
      <c r="J359" s="268">
        <v>0</v>
      </c>
      <c r="K359" s="268">
        <v>711.57</v>
      </c>
      <c r="L359" s="268">
        <v>0</v>
      </c>
      <c r="M359" s="267">
        <v>0</v>
      </c>
      <c r="N359" s="270">
        <v>4100</v>
      </c>
    </row>
    <row r="360" spans="1:14" x14ac:dyDescent="0.25">
      <c r="A360" s="269" t="s">
        <v>704</v>
      </c>
      <c r="B360" s="232" t="s">
        <v>1090</v>
      </c>
      <c r="C360" s="215" t="s">
        <v>622</v>
      </c>
      <c r="D360" s="215" t="s">
        <v>623</v>
      </c>
      <c r="E360" s="215" t="s">
        <v>624</v>
      </c>
      <c r="F360" s="267">
        <v>1074.3800000000001</v>
      </c>
      <c r="G360" s="267">
        <v>0</v>
      </c>
      <c r="H360" s="268">
        <v>0</v>
      </c>
      <c r="I360" s="268">
        <v>0</v>
      </c>
      <c r="J360" s="268">
        <v>0</v>
      </c>
      <c r="K360" s="268">
        <v>225.62</v>
      </c>
      <c r="L360" s="268">
        <v>0</v>
      </c>
      <c r="M360" s="267">
        <v>0</v>
      </c>
      <c r="N360" s="270">
        <v>1300</v>
      </c>
    </row>
    <row r="361" spans="1:14" x14ac:dyDescent="0.25">
      <c r="A361" s="269" t="s">
        <v>704</v>
      </c>
      <c r="B361" s="232" t="s">
        <v>1091</v>
      </c>
      <c r="C361" s="215" t="s">
        <v>622</v>
      </c>
      <c r="D361" s="215" t="s">
        <v>623</v>
      </c>
      <c r="E361" s="215" t="s">
        <v>624</v>
      </c>
      <c r="F361" s="267">
        <v>6033.06</v>
      </c>
      <c r="G361" s="267">
        <v>0</v>
      </c>
      <c r="H361" s="268">
        <v>0</v>
      </c>
      <c r="I361" s="268">
        <v>0</v>
      </c>
      <c r="J361" s="268">
        <v>0</v>
      </c>
      <c r="K361" s="268">
        <v>1266.94</v>
      </c>
      <c r="L361" s="268">
        <v>0</v>
      </c>
      <c r="M361" s="267">
        <v>0</v>
      </c>
      <c r="N361" s="270">
        <v>7300</v>
      </c>
    </row>
    <row r="362" spans="1:14" x14ac:dyDescent="0.25">
      <c r="A362" s="269" t="s">
        <v>704</v>
      </c>
      <c r="B362" s="232" t="s">
        <v>1092</v>
      </c>
      <c r="C362" s="215" t="s">
        <v>1093</v>
      </c>
      <c r="D362" s="215" t="s">
        <v>623</v>
      </c>
      <c r="E362" s="215">
        <v>22099080</v>
      </c>
      <c r="F362" s="267">
        <v>5289.26</v>
      </c>
      <c r="G362" s="267">
        <v>0</v>
      </c>
      <c r="H362" s="268">
        <v>0</v>
      </c>
      <c r="I362" s="268">
        <v>0</v>
      </c>
      <c r="J362" s="268">
        <v>0</v>
      </c>
      <c r="K362" s="268">
        <v>1110.74</v>
      </c>
      <c r="L362" s="268">
        <v>0</v>
      </c>
      <c r="M362" s="267">
        <v>0</v>
      </c>
      <c r="N362" s="270">
        <v>6400</v>
      </c>
    </row>
    <row r="363" spans="1:14" x14ac:dyDescent="0.25">
      <c r="A363" s="269" t="s">
        <v>704</v>
      </c>
      <c r="B363" s="232" t="s">
        <v>1094</v>
      </c>
      <c r="C363" s="215" t="s">
        <v>622</v>
      </c>
      <c r="D363" s="215" t="s">
        <v>623</v>
      </c>
      <c r="E363" s="215" t="s">
        <v>624</v>
      </c>
      <c r="F363" s="267">
        <v>4049.59</v>
      </c>
      <c r="G363" s="267">
        <v>0</v>
      </c>
      <c r="H363" s="268">
        <v>0</v>
      </c>
      <c r="I363" s="268">
        <v>0</v>
      </c>
      <c r="J363" s="268">
        <v>0</v>
      </c>
      <c r="K363" s="268">
        <v>850.41</v>
      </c>
      <c r="L363" s="268">
        <v>0</v>
      </c>
      <c r="M363" s="267">
        <v>0</v>
      </c>
      <c r="N363" s="270">
        <v>4900</v>
      </c>
    </row>
    <row r="364" spans="1:14" x14ac:dyDescent="0.25">
      <c r="A364" s="269" t="s">
        <v>704</v>
      </c>
      <c r="B364" s="232" t="s">
        <v>1095</v>
      </c>
      <c r="C364" s="215" t="s">
        <v>622</v>
      </c>
      <c r="D364" s="215" t="s">
        <v>623</v>
      </c>
      <c r="E364" s="215" t="s">
        <v>624</v>
      </c>
      <c r="F364" s="267">
        <v>3305.79</v>
      </c>
      <c r="G364" s="267">
        <v>0</v>
      </c>
      <c r="H364" s="268">
        <v>0</v>
      </c>
      <c r="I364" s="268">
        <v>0</v>
      </c>
      <c r="J364" s="268">
        <v>0</v>
      </c>
      <c r="K364" s="268">
        <v>694.21</v>
      </c>
      <c r="L364" s="268">
        <v>0</v>
      </c>
      <c r="M364" s="267">
        <v>0</v>
      </c>
      <c r="N364" s="270">
        <v>4000</v>
      </c>
    </row>
    <row r="365" spans="1:14" x14ac:dyDescent="0.25">
      <c r="A365" s="269" t="s">
        <v>704</v>
      </c>
      <c r="B365" s="232" t="s">
        <v>1096</v>
      </c>
      <c r="C365" s="215" t="s">
        <v>622</v>
      </c>
      <c r="D365" s="215" t="s">
        <v>623</v>
      </c>
      <c r="E365" s="215" t="s">
        <v>624</v>
      </c>
      <c r="F365" s="267">
        <v>3388.43</v>
      </c>
      <c r="G365" s="267">
        <v>0</v>
      </c>
      <c r="H365" s="268">
        <v>0</v>
      </c>
      <c r="I365" s="268">
        <v>0</v>
      </c>
      <c r="J365" s="268">
        <v>0</v>
      </c>
      <c r="K365" s="268">
        <v>711.57</v>
      </c>
      <c r="L365" s="268">
        <v>0</v>
      </c>
      <c r="M365" s="267">
        <v>0</v>
      </c>
      <c r="N365" s="270">
        <v>4100</v>
      </c>
    </row>
    <row r="366" spans="1:14" x14ac:dyDescent="0.25">
      <c r="A366" s="269" t="s">
        <v>704</v>
      </c>
      <c r="B366" s="232" t="s">
        <v>1097</v>
      </c>
      <c r="C366" s="215" t="s">
        <v>622</v>
      </c>
      <c r="D366" s="215" t="s">
        <v>623</v>
      </c>
      <c r="E366" s="215" t="s">
        <v>624</v>
      </c>
      <c r="F366" s="267">
        <v>4545.45</v>
      </c>
      <c r="G366" s="267">
        <v>0</v>
      </c>
      <c r="H366" s="268">
        <v>0</v>
      </c>
      <c r="I366" s="268">
        <v>0</v>
      </c>
      <c r="J366" s="268">
        <v>0</v>
      </c>
      <c r="K366" s="268">
        <v>954.55</v>
      </c>
      <c r="L366" s="268">
        <v>0</v>
      </c>
      <c r="M366" s="267">
        <v>0</v>
      </c>
      <c r="N366" s="270">
        <v>5500</v>
      </c>
    </row>
    <row r="367" spans="1:14" x14ac:dyDescent="0.25">
      <c r="A367" s="269" t="s">
        <v>704</v>
      </c>
      <c r="B367" s="232" t="s">
        <v>1098</v>
      </c>
      <c r="C367" s="215" t="s">
        <v>622</v>
      </c>
      <c r="D367" s="215" t="s">
        <v>623</v>
      </c>
      <c r="E367" s="215" t="s">
        <v>624</v>
      </c>
      <c r="F367" s="267">
        <v>5289.26</v>
      </c>
      <c r="G367" s="267">
        <v>0</v>
      </c>
      <c r="H367" s="268">
        <v>0</v>
      </c>
      <c r="I367" s="268">
        <v>0</v>
      </c>
      <c r="J367" s="268">
        <v>0</v>
      </c>
      <c r="K367" s="268">
        <v>1110.74</v>
      </c>
      <c r="L367" s="268">
        <v>0</v>
      </c>
      <c r="M367" s="267">
        <v>0</v>
      </c>
      <c r="N367" s="270">
        <v>6400</v>
      </c>
    </row>
    <row r="368" spans="1:14" x14ac:dyDescent="0.25">
      <c r="A368" s="269" t="s">
        <v>704</v>
      </c>
      <c r="B368" s="232" t="s">
        <v>1099</v>
      </c>
      <c r="C368" s="215" t="s">
        <v>622</v>
      </c>
      <c r="D368" s="215" t="s">
        <v>623</v>
      </c>
      <c r="E368" s="215" t="s">
        <v>624</v>
      </c>
      <c r="F368" s="267">
        <v>3057.85</v>
      </c>
      <c r="G368" s="267">
        <v>0</v>
      </c>
      <c r="H368" s="268">
        <v>0</v>
      </c>
      <c r="I368" s="268">
        <v>0</v>
      </c>
      <c r="J368" s="268">
        <v>0</v>
      </c>
      <c r="K368" s="268">
        <v>642.15</v>
      </c>
      <c r="L368" s="268">
        <v>0</v>
      </c>
      <c r="M368" s="267">
        <v>0</v>
      </c>
      <c r="N368" s="270">
        <v>3700</v>
      </c>
    </row>
    <row r="369" spans="1:14" x14ac:dyDescent="0.25">
      <c r="A369" s="269" t="s">
        <v>704</v>
      </c>
      <c r="B369" s="232" t="s">
        <v>1100</v>
      </c>
      <c r="C369" s="215" t="s">
        <v>622</v>
      </c>
      <c r="D369" s="215" t="s">
        <v>623</v>
      </c>
      <c r="E369" s="215" t="s">
        <v>624</v>
      </c>
      <c r="F369" s="267">
        <v>8471.07</v>
      </c>
      <c r="G369" s="267">
        <v>0</v>
      </c>
      <c r="H369" s="268">
        <v>0</v>
      </c>
      <c r="I369" s="268">
        <v>0</v>
      </c>
      <c r="J369" s="268">
        <v>0</v>
      </c>
      <c r="K369" s="268">
        <v>1778.93</v>
      </c>
      <c r="L369" s="268">
        <v>0</v>
      </c>
      <c r="M369" s="267">
        <v>0</v>
      </c>
      <c r="N369" s="270">
        <v>10250</v>
      </c>
    </row>
    <row r="370" spans="1:14" x14ac:dyDescent="0.25">
      <c r="A370" s="269" t="s">
        <v>704</v>
      </c>
      <c r="B370" s="232" t="s">
        <v>1101</v>
      </c>
      <c r="C370" s="215" t="s">
        <v>622</v>
      </c>
      <c r="D370" s="215" t="s">
        <v>623</v>
      </c>
      <c r="E370" s="215" t="s">
        <v>624</v>
      </c>
      <c r="F370" s="267">
        <v>3305.79</v>
      </c>
      <c r="G370" s="267">
        <v>0</v>
      </c>
      <c r="H370" s="268">
        <v>0</v>
      </c>
      <c r="I370" s="268">
        <v>0</v>
      </c>
      <c r="J370" s="268">
        <v>0</v>
      </c>
      <c r="K370" s="268">
        <v>694.21</v>
      </c>
      <c r="L370" s="268">
        <v>0</v>
      </c>
      <c r="M370" s="267">
        <v>0</v>
      </c>
      <c r="N370" s="270">
        <v>4000</v>
      </c>
    </row>
    <row r="371" spans="1:14" x14ac:dyDescent="0.25">
      <c r="A371" s="269" t="s">
        <v>704</v>
      </c>
      <c r="B371" s="232" t="s">
        <v>1102</v>
      </c>
      <c r="C371" s="215" t="s">
        <v>622</v>
      </c>
      <c r="D371" s="215" t="s">
        <v>623</v>
      </c>
      <c r="E371" s="215" t="s">
        <v>624</v>
      </c>
      <c r="F371" s="267">
        <v>7438.02</v>
      </c>
      <c r="G371" s="267">
        <v>0</v>
      </c>
      <c r="H371" s="268">
        <v>0</v>
      </c>
      <c r="I371" s="268">
        <v>0</v>
      </c>
      <c r="J371" s="268">
        <v>0</v>
      </c>
      <c r="K371" s="268">
        <v>1561.98</v>
      </c>
      <c r="L371" s="268">
        <v>0</v>
      </c>
      <c r="M371" s="267">
        <v>0</v>
      </c>
      <c r="N371" s="270">
        <v>9000</v>
      </c>
    </row>
    <row r="372" spans="1:14" x14ac:dyDescent="0.25">
      <c r="A372" s="269" t="s">
        <v>704</v>
      </c>
      <c r="B372" s="232" t="s">
        <v>1103</v>
      </c>
      <c r="C372" s="215" t="s">
        <v>656</v>
      </c>
      <c r="D372" s="215" t="s">
        <v>623</v>
      </c>
      <c r="E372" s="215">
        <v>42470342</v>
      </c>
      <c r="F372" s="267">
        <v>4214.88</v>
      </c>
      <c r="G372" s="267">
        <v>0</v>
      </c>
      <c r="H372" s="268">
        <v>0</v>
      </c>
      <c r="I372" s="268">
        <v>0</v>
      </c>
      <c r="J372" s="268">
        <v>0</v>
      </c>
      <c r="K372" s="268">
        <v>885.12</v>
      </c>
      <c r="L372" s="268">
        <v>0</v>
      </c>
      <c r="M372" s="267">
        <v>0</v>
      </c>
      <c r="N372" s="270">
        <v>5100</v>
      </c>
    </row>
    <row r="373" spans="1:14" x14ac:dyDescent="0.25">
      <c r="A373" s="269" t="s">
        <v>704</v>
      </c>
      <c r="B373" s="232" t="s">
        <v>1104</v>
      </c>
      <c r="C373" s="215" t="s">
        <v>1105</v>
      </c>
      <c r="D373" s="215" t="s">
        <v>623</v>
      </c>
      <c r="E373" s="215">
        <v>17275405</v>
      </c>
      <c r="F373" s="267">
        <v>11570.24</v>
      </c>
      <c r="G373" s="267">
        <v>0</v>
      </c>
      <c r="H373" s="268">
        <v>0</v>
      </c>
      <c r="I373" s="268">
        <v>0</v>
      </c>
      <c r="J373" s="268">
        <v>0</v>
      </c>
      <c r="K373" s="268">
        <v>2429.7600000000002</v>
      </c>
      <c r="L373" s="268">
        <v>0</v>
      </c>
      <c r="M373" s="267">
        <v>0</v>
      </c>
      <c r="N373" s="270">
        <v>14000</v>
      </c>
    </row>
    <row r="374" spans="1:14" x14ac:dyDescent="0.25">
      <c r="A374" s="269" t="s">
        <v>704</v>
      </c>
      <c r="B374" s="232" t="s">
        <v>1106</v>
      </c>
      <c r="C374" s="215" t="s">
        <v>1107</v>
      </c>
      <c r="D374" s="215" t="s">
        <v>623</v>
      </c>
      <c r="E374" s="215">
        <v>11802503</v>
      </c>
      <c r="F374" s="267">
        <v>4462.8100000000004</v>
      </c>
      <c r="G374" s="267">
        <v>0</v>
      </c>
      <c r="H374" s="268">
        <v>0</v>
      </c>
      <c r="I374" s="268">
        <v>0</v>
      </c>
      <c r="J374" s="268">
        <v>0</v>
      </c>
      <c r="K374" s="268">
        <v>937.19</v>
      </c>
      <c r="L374" s="268">
        <v>0</v>
      </c>
      <c r="M374" s="267">
        <v>0</v>
      </c>
      <c r="N374" s="270">
        <v>5400</v>
      </c>
    </row>
    <row r="375" spans="1:14" x14ac:dyDescent="0.25">
      <c r="A375" s="269" t="s">
        <v>704</v>
      </c>
      <c r="B375" s="232" t="s">
        <v>1108</v>
      </c>
      <c r="C375" s="215" t="s">
        <v>882</v>
      </c>
      <c r="D375" s="215" t="s">
        <v>623</v>
      </c>
      <c r="E375" s="215">
        <v>93483768</v>
      </c>
      <c r="F375" s="267">
        <v>7024.79</v>
      </c>
      <c r="G375" s="267">
        <v>0</v>
      </c>
      <c r="H375" s="268">
        <v>0</v>
      </c>
      <c r="I375" s="268">
        <v>0</v>
      </c>
      <c r="J375" s="268">
        <v>0</v>
      </c>
      <c r="K375" s="268">
        <v>1475.21</v>
      </c>
      <c r="L375" s="268">
        <v>0</v>
      </c>
      <c r="M375" s="267">
        <v>0</v>
      </c>
      <c r="N375" s="270">
        <v>8500</v>
      </c>
    </row>
    <row r="376" spans="1:14" x14ac:dyDescent="0.25">
      <c r="A376" s="275" t="s">
        <v>704</v>
      </c>
      <c r="B376" s="276" t="s">
        <v>1109</v>
      </c>
      <c r="C376" s="277" t="s">
        <v>631</v>
      </c>
      <c r="D376" s="277" t="s">
        <v>623</v>
      </c>
      <c r="E376" s="277" t="s">
        <v>624</v>
      </c>
      <c r="F376" s="278">
        <v>8677.68</v>
      </c>
      <c r="G376" s="278">
        <v>0</v>
      </c>
      <c r="H376" s="279">
        <v>0</v>
      </c>
      <c r="I376" s="279">
        <v>0</v>
      </c>
      <c r="J376" s="279">
        <v>0</v>
      </c>
      <c r="K376" s="279">
        <v>1822.32</v>
      </c>
      <c r="L376" s="279">
        <v>0</v>
      </c>
      <c r="M376" s="278">
        <v>0</v>
      </c>
      <c r="N376" s="280">
        <v>10500</v>
      </c>
    </row>
    <row r="377" spans="1:14" x14ac:dyDescent="0.25">
      <c r="A377" s="275"/>
      <c r="B377" s="276"/>
      <c r="C377" s="277"/>
      <c r="D377" s="277"/>
      <c r="E377" s="277"/>
      <c r="F377" s="281">
        <f>SUBTOTAL(109,Tabla1[Gravado])</f>
        <v>52514929.580000021</v>
      </c>
      <c r="G377" s="281">
        <f>SUBTOTAL(109,Tabla1[No Gravado])</f>
        <v>0</v>
      </c>
      <c r="H377" s="281">
        <f>SUBTOTAL(109,Tabla1[IVA 2,5%])</f>
        <v>0</v>
      </c>
      <c r="I377" s="281">
        <f>SUBTOTAL(109,Tabla1[IVA 5%])</f>
        <v>0</v>
      </c>
      <c r="J377" s="281">
        <f>SUBTOTAL(109,Tabla1[IVA 10.5%])</f>
        <v>0</v>
      </c>
      <c r="K377" s="281">
        <f>SUBTOTAL(109,Tabla1[IVA 21%])</f>
        <v>11028135.210000021</v>
      </c>
      <c r="L377" s="281">
        <f>SUBTOTAL(109,Tabla1[IVA 27%])</f>
        <v>0</v>
      </c>
      <c r="M377" s="281">
        <f>SUBTOTAL(109,Tabla1[Otros Imp])</f>
        <v>0</v>
      </c>
      <c r="N377" s="281">
        <f>SUBTOTAL(109,Tabla1[Total Compr.])</f>
        <v>63543064.790000007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Configuracion</vt:lpstr>
      <vt:lpstr>Julio </vt:lpstr>
      <vt:lpstr>Calculo IVA</vt:lpstr>
      <vt:lpstr>Ventas Odoo 07 2023</vt:lpstr>
      <vt:lpstr>'Julio 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2023-08-18T16:37:18Z</dcterms:modified>
</cp:coreProperties>
</file>