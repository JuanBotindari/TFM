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D92E806-2CAD-4475-985A-8EFDF57ADA9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nfiguracion" sheetId="23" r:id="rId1"/>
    <sheet name="AGOSTO" sheetId="22" r:id="rId2"/>
    <sheet name="Calculo IVA" sheetId="24" r:id="rId3"/>
    <sheet name="Iva Ventas 08 2023" sheetId="29" r:id="rId4"/>
  </sheets>
  <definedNames>
    <definedName name="_xlnm._FilterDatabase" localSheetId="1" hidden="1">AGOSTO!$A$7:$Q$164</definedName>
    <definedName name="_xlnm._FilterDatabase" localSheetId="0" hidden="1">Configuracion!$A$3:$C$519</definedName>
    <definedName name="_xlnm.Print_Area" localSheetId="1">AGOSTO!$A$1:$N$120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K450" i="29" l="1"/>
  <c r="G21" i="22"/>
  <c r="E21" i="22"/>
  <c r="N450" i="29"/>
  <c r="M450" i="29"/>
  <c r="L450" i="29"/>
  <c r="J450" i="29"/>
  <c r="I450" i="29"/>
  <c r="H450" i="29"/>
  <c r="G450" i="29"/>
  <c r="F450" i="29"/>
  <c r="I197" i="22"/>
  <c r="H197" i="22"/>
  <c r="F197" i="22"/>
  <c r="E195" i="22"/>
  <c r="E194" i="22"/>
  <c r="E193" i="22"/>
  <c r="E192" i="22"/>
  <c r="E191" i="22"/>
  <c r="E190" i="22"/>
  <c r="E189" i="22"/>
  <c r="E188" i="22"/>
  <c r="G171" i="22"/>
  <c r="G170" i="22"/>
  <c r="G169" i="22"/>
  <c r="G197" i="22" s="1"/>
  <c r="G168" i="22"/>
  <c r="K97" i="22" l="1"/>
  <c r="F42" i="22"/>
  <c r="J42" i="22"/>
  <c r="K80" i="22" l="1"/>
  <c r="K101" i="22"/>
  <c r="K20" i="22"/>
  <c r="H101" i="22"/>
  <c r="O101" i="22" s="1"/>
  <c r="H20" i="22"/>
  <c r="K8" i="22"/>
  <c r="K46" i="22"/>
  <c r="F53" i="22"/>
  <c r="J53" i="22" s="1"/>
  <c r="F11" i="22"/>
  <c r="G11" i="22" s="1"/>
  <c r="F164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G127" i="22"/>
  <c r="E127" i="22"/>
  <c r="G128" i="22"/>
  <c r="E128" i="22"/>
  <c r="G138" i="22"/>
  <c r="E138" i="22"/>
  <c r="G137" i="22"/>
  <c r="E137" i="22"/>
  <c r="G136" i="22"/>
  <c r="E136" i="22"/>
  <c r="G135" i="22"/>
  <c r="E135" i="22"/>
  <c r="G150" i="22"/>
  <c r="E150" i="22"/>
  <c r="G146" i="22"/>
  <c r="E146" i="22"/>
  <c r="G145" i="22"/>
  <c r="E145" i="22"/>
  <c r="G144" i="22"/>
  <c r="E144" i="22"/>
  <c r="G143" i="22"/>
  <c r="E143" i="22"/>
  <c r="G142" i="22"/>
  <c r="E142" i="22"/>
  <c r="G149" i="22"/>
  <c r="E149" i="22"/>
  <c r="G134" i="22"/>
  <c r="E134" i="22"/>
  <c r="G129" i="22"/>
  <c r="E129" i="22"/>
  <c r="G122" i="22"/>
  <c r="E122" i="22"/>
  <c r="G133" i="22"/>
  <c r="E133" i="22"/>
  <c r="G126" i="22"/>
  <c r="E126" i="22"/>
  <c r="G132" i="22"/>
  <c r="E132" i="22"/>
  <c r="G131" i="22"/>
  <c r="E131" i="22"/>
  <c r="G123" i="22"/>
  <c r="E123" i="22"/>
  <c r="G130" i="22"/>
  <c r="E130" i="22"/>
  <c r="G121" i="22"/>
  <c r="E121" i="22"/>
  <c r="G141" i="22"/>
  <c r="E141" i="22"/>
  <c r="G148" i="22"/>
  <c r="E148" i="22"/>
  <c r="G147" i="22"/>
  <c r="E147" i="22"/>
  <c r="G125" i="22"/>
  <c r="E125" i="22"/>
  <c r="G140" i="22"/>
  <c r="E140" i="22"/>
  <c r="G139" i="22"/>
  <c r="E139" i="22"/>
  <c r="G124" i="22"/>
  <c r="E124" i="22"/>
  <c r="P14" i="22"/>
  <c r="G14" i="22"/>
  <c r="O14" i="22" s="1"/>
  <c r="E14" i="22"/>
  <c r="P17" i="22"/>
  <c r="G17" i="22"/>
  <c r="O17" i="22" s="1"/>
  <c r="E17" i="22"/>
  <c r="P16" i="22"/>
  <c r="G16" i="22"/>
  <c r="O16" i="22" s="1"/>
  <c r="E16" i="22"/>
  <c r="P15" i="22"/>
  <c r="G15" i="22"/>
  <c r="O15" i="22" s="1"/>
  <c r="E15" i="22"/>
  <c r="P81" i="22"/>
  <c r="G81" i="22"/>
  <c r="O81" i="22" s="1"/>
  <c r="E81" i="22"/>
  <c r="P32" i="22"/>
  <c r="G32" i="22"/>
  <c r="O32" i="22" s="1"/>
  <c r="E32" i="22"/>
  <c r="P31" i="22"/>
  <c r="G31" i="22"/>
  <c r="O31" i="22" s="1"/>
  <c r="E31" i="22"/>
  <c r="P10" i="22"/>
  <c r="G10" i="22"/>
  <c r="O10" i="22" s="1"/>
  <c r="E10" i="22"/>
  <c r="P13" i="22"/>
  <c r="G13" i="22"/>
  <c r="O13" i="22" s="1"/>
  <c r="E13" i="22"/>
  <c r="P80" i="22"/>
  <c r="G80" i="22"/>
  <c r="E80" i="22"/>
  <c r="P100" i="22"/>
  <c r="G100" i="22"/>
  <c r="O100" i="22" s="1"/>
  <c r="E100" i="22"/>
  <c r="P11" i="22"/>
  <c r="E11" i="22"/>
  <c r="P58" i="22"/>
  <c r="G58" i="22"/>
  <c r="O58" i="22" s="1"/>
  <c r="E58" i="22"/>
  <c r="P27" i="22"/>
  <c r="G27" i="22"/>
  <c r="O27" i="22" s="1"/>
  <c r="E27" i="22"/>
  <c r="P96" i="22"/>
  <c r="G96" i="22"/>
  <c r="O96" i="22" s="1"/>
  <c r="E96" i="22"/>
  <c r="P92" i="22"/>
  <c r="G92" i="22"/>
  <c r="E92" i="22"/>
  <c r="P53" i="22"/>
  <c r="E53" i="22"/>
  <c r="P78" i="22"/>
  <c r="G78" i="22"/>
  <c r="O78" i="22" s="1"/>
  <c r="E78" i="22"/>
  <c r="P37" i="22"/>
  <c r="G37" i="22"/>
  <c r="O37" i="22" s="1"/>
  <c r="E37" i="22"/>
  <c r="P47" i="22"/>
  <c r="G47" i="22"/>
  <c r="O47" i="22" s="1"/>
  <c r="E47" i="22"/>
  <c r="P41" i="22"/>
  <c r="G41" i="22"/>
  <c r="O41" i="22" s="1"/>
  <c r="E41" i="22"/>
  <c r="P88" i="22"/>
  <c r="G88" i="22"/>
  <c r="O88" i="22" s="1"/>
  <c r="E88" i="22"/>
  <c r="P39" i="22"/>
  <c r="G39" i="22"/>
  <c r="O39" i="22" s="1"/>
  <c r="E39" i="22"/>
  <c r="P35" i="22"/>
  <c r="G35" i="22"/>
  <c r="O35" i="22" s="1"/>
  <c r="E35" i="22"/>
  <c r="P34" i="22"/>
  <c r="G34" i="22"/>
  <c r="O34" i="22" s="1"/>
  <c r="E34" i="22"/>
  <c r="P33" i="22"/>
  <c r="G33" i="22"/>
  <c r="O33" i="22" s="1"/>
  <c r="E33" i="22"/>
  <c r="P104" i="22"/>
  <c r="G104" i="22"/>
  <c r="O104" i="22" s="1"/>
  <c r="E104" i="22"/>
  <c r="P85" i="22"/>
  <c r="G85" i="22"/>
  <c r="O85" i="22" s="1"/>
  <c r="E85" i="22"/>
  <c r="P57" i="22"/>
  <c r="G57" i="22"/>
  <c r="O57" i="22" s="1"/>
  <c r="E57" i="22"/>
  <c r="P44" i="22"/>
  <c r="G44" i="22"/>
  <c r="O44" i="22" s="1"/>
  <c r="E44" i="22"/>
  <c r="P84" i="22"/>
  <c r="O84" i="22"/>
  <c r="E84" i="22"/>
  <c r="P67" i="22"/>
  <c r="G67" i="22"/>
  <c r="O67" i="22" s="1"/>
  <c r="E67" i="22"/>
  <c r="P30" i="22"/>
  <c r="O30" i="22"/>
  <c r="E30" i="22"/>
  <c r="P29" i="22"/>
  <c r="G29" i="22"/>
  <c r="O29" i="22" s="1"/>
  <c r="E29" i="22"/>
  <c r="P26" i="22"/>
  <c r="O26" i="22"/>
  <c r="E26" i="22"/>
  <c r="P25" i="22"/>
  <c r="O25" i="22"/>
  <c r="E25" i="22"/>
  <c r="P75" i="22"/>
  <c r="G75" i="22"/>
  <c r="O75" i="22" s="1"/>
  <c r="E75" i="22"/>
  <c r="P74" i="22"/>
  <c r="G74" i="22"/>
  <c r="O74" i="22" s="1"/>
  <c r="E74" i="22"/>
  <c r="P73" i="22"/>
  <c r="G73" i="22"/>
  <c r="O73" i="22" s="1"/>
  <c r="E73" i="22"/>
  <c r="P24" i="22"/>
  <c r="G24" i="22"/>
  <c r="O24" i="22" s="1"/>
  <c r="E24" i="22"/>
  <c r="P46" i="22"/>
  <c r="G46" i="22"/>
  <c r="E46" i="22"/>
  <c r="P8" i="22"/>
  <c r="G8" i="22"/>
  <c r="E8" i="22"/>
  <c r="P95" i="22"/>
  <c r="G95" i="22"/>
  <c r="O95" i="22" s="1"/>
  <c r="E95" i="22"/>
  <c r="P66" i="22"/>
  <c r="G66" i="22"/>
  <c r="O66" i="22" s="1"/>
  <c r="E66" i="22"/>
  <c r="P40" i="22"/>
  <c r="G40" i="22"/>
  <c r="O40" i="22" s="1"/>
  <c r="E40" i="22"/>
  <c r="P52" i="22"/>
  <c r="G52" i="22"/>
  <c r="O52" i="22" s="1"/>
  <c r="E52" i="22"/>
  <c r="P103" i="22"/>
  <c r="G103" i="22"/>
  <c r="O103" i="22" s="1"/>
  <c r="E103" i="22"/>
  <c r="P77" i="22"/>
  <c r="G77" i="22"/>
  <c r="O77" i="22" s="1"/>
  <c r="E77" i="22"/>
  <c r="P83" i="22"/>
  <c r="G83" i="22"/>
  <c r="O83" i="22" s="1"/>
  <c r="E83" i="22"/>
  <c r="P51" i="22"/>
  <c r="O51" i="22"/>
  <c r="E51" i="22"/>
  <c r="P72" i="22"/>
  <c r="G72" i="22"/>
  <c r="O72" i="22" s="1"/>
  <c r="E72" i="22"/>
  <c r="P63" i="22"/>
  <c r="G63" i="22"/>
  <c r="O63" i="22" s="1"/>
  <c r="E63" i="22"/>
  <c r="P62" i="22"/>
  <c r="G62" i="22"/>
  <c r="O62" i="22" s="1"/>
  <c r="E62" i="22"/>
  <c r="P50" i="22"/>
  <c r="G50" i="22"/>
  <c r="O50" i="22" s="1"/>
  <c r="E50" i="22"/>
  <c r="P49" i="22"/>
  <c r="G49" i="22"/>
  <c r="O49" i="22" s="1"/>
  <c r="E49" i="22"/>
  <c r="P22" i="22"/>
  <c r="G22" i="22"/>
  <c r="O22" i="22" s="1"/>
  <c r="E22" i="22"/>
  <c r="P21" i="22"/>
  <c r="O21" i="22"/>
  <c r="P94" i="22"/>
  <c r="G94" i="22"/>
  <c r="O94" i="22" s="1"/>
  <c r="E94" i="22"/>
  <c r="P79" i="22"/>
  <c r="G79" i="22"/>
  <c r="O79" i="22" s="1"/>
  <c r="E79" i="22"/>
  <c r="P64" i="22"/>
  <c r="G64" i="22"/>
  <c r="O64" i="22" s="1"/>
  <c r="E64" i="22"/>
  <c r="P43" i="22"/>
  <c r="G43" i="22"/>
  <c r="O43" i="22" s="1"/>
  <c r="E43" i="22"/>
  <c r="P56" i="22"/>
  <c r="G56" i="22"/>
  <c r="O56" i="22" s="1"/>
  <c r="E56" i="22"/>
  <c r="P48" i="22"/>
  <c r="G48" i="22"/>
  <c r="O48" i="22" s="1"/>
  <c r="E48" i="22"/>
  <c r="P71" i="22"/>
  <c r="G71" i="22"/>
  <c r="O71" i="22" s="1"/>
  <c r="E71" i="22"/>
  <c r="P91" i="22"/>
  <c r="G91" i="22"/>
  <c r="O91" i="22" s="1"/>
  <c r="E91" i="22"/>
  <c r="P65" i="22"/>
  <c r="G65" i="22"/>
  <c r="O65" i="22" s="1"/>
  <c r="E65" i="22"/>
  <c r="P36" i="22"/>
  <c r="G36" i="22"/>
  <c r="O36" i="22" s="1"/>
  <c r="E36" i="22"/>
  <c r="P93" i="22"/>
  <c r="G93" i="22"/>
  <c r="O93" i="22" s="1"/>
  <c r="E93" i="22"/>
  <c r="P102" i="22"/>
  <c r="O102" i="22"/>
  <c r="E102" i="22"/>
  <c r="P61" i="22"/>
  <c r="G61" i="22"/>
  <c r="O61" i="22" s="1"/>
  <c r="E61" i="22"/>
  <c r="P28" i="22"/>
  <c r="G28" i="22"/>
  <c r="O28" i="22" s="1"/>
  <c r="E28" i="22"/>
  <c r="P87" i="22"/>
  <c r="G87" i="22"/>
  <c r="O87" i="22" s="1"/>
  <c r="E87" i="22"/>
  <c r="P70" i="22"/>
  <c r="G70" i="22"/>
  <c r="O70" i="22" s="1"/>
  <c r="E70" i="22"/>
  <c r="P69" i="22"/>
  <c r="G69" i="22"/>
  <c r="O69" i="22" s="1"/>
  <c r="E69" i="22"/>
  <c r="P68" i="22"/>
  <c r="G68" i="22"/>
  <c r="O68" i="22" s="1"/>
  <c r="E68" i="22"/>
  <c r="P55" i="22"/>
  <c r="G55" i="22"/>
  <c r="O55" i="22" s="1"/>
  <c r="E55" i="22"/>
  <c r="P86" i="22"/>
  <c r="O86" i="22"/>
  <c r="E86" i="22"/>
  <c r="P42" i="22"/>
  <c r="O42" i="22"/>
  <c r="E42" i="22"/>
  <c r="P98" i="22"/>
  <c r="G98" i="22"/>
  <c r="O98" i="22" s="1"/>
  <c r="E98" i="22"/>
  <c r="P23" i="22"/>
  <c r="G23" i="22"/>
  <c r="O23" i="22" s="1"/>
  <c r="E23" i="22"/>
  <c r="P82" i="22"/>
  <c r="G82" i="22"/>
  <c r="O82" i="22" s="1"/>
  <c r="E82" i="22"/>
  <c r="P54" i="22"/>
  <c r="G54" i="22"/>
  <c r="O54" i="22" s="1"/>
  <c r="E54" i="22"/>
  <c r="P97" i="22"/>
  <c r="G97" i="22"/>
  <c r="O97" i="22" s="1"/>
  <c r="E97" i="22"/>
  <c r="P101" i="22"/>
  <c r="E101" i="22"/>
  <c r="P20" i="22"/>
  <c r="E20" i="22"/>
  <c r="P90" i="22"/>
  <c r="G90" i="22"/>
  <c r="O90" i="22" s="1"/>
  <c r="E90" i="22"/>
  <c r="P89" i="22"/>
  <c r="G89" i="22"/>
  <c r="O89" i="22" s="1"/>
  <c r="E89" i="22"/>
  <c r="P99" i="22"/>
  <c r="G99" i="22"/>
  <c r="O99" i="22" s="1"/>
  <c r="E99" i="22"/>
  <c r="O92" i="22" l="1"/>
  <c r="F116" i="22"/>
  <c r="O80" i="22"/>
  <c r="O20" i="22"/>
  <c r="H53" i="22"/>
  <c r="K53" i="22"/>
  <c r="O46" i="22"/>
  <c r="O8" i="22"/>
  <c r="O11" i="22"/>
  <c r="O53" i="22" l="1"/>
  <c r="G154" i="22"/>
  <c r="E154" i="22"/>
  <c r="G153" i="22"/>
  <c r="E153" i="22"/>
  <c r="G152" i="22"/>
  <c r="E152" i="22"/>
  <c r="G151" i="22"/>
  <c r="E151" i="22"/>
  <c r="E181" i="22"/>
  <c r="E180" i="22"/>
  <c r="C235" i="22" l="1"/>
  <c r="E235" i="22"/>
  <c r="B235" i="22" l="1"/>
  <c r="P45" i="22" l="1"/>
  <c r="G45" i="22"/>
  <c r="O45" i="22" s="1"/>
  <c r="E45" i="22"/>
  <c r="P12" i="22"/>
  <c r="G12" i="22"/>
  <c r="O12" i="22" s="1"/>
  <c r="E12" i="22"/>
  <c r="P38" i="22"/>
  <c r="G38" i="22"/>
  <c r="O38" i="22" s="1"/>
  <c r="E38" i="22"/>
  <c r="P19" i="22"/>
  <c r="G19" i="22"/>
  <c r="E19" i="22"/>
  <c r="G157" i="22"/>
  <c r="E157" i="22"/>
  <c r="G156" i="22"/>
  <c r="E156" i="22"/>
  <c r="G155" i="22"/>
  <c r="E155" i="22"/>
  <c r="O19" i="22" l="1"/>
  <c r="G205" i="22" l="1"/>
  <c r="I205" i="22" s="1"/>
  <c r="E205" i="22"/>
  <c r="E182" i="22"/>
  <c r="I116" i="22"/>
  <c r="H116" i="22"/>
  <c r="G158" i="22" l="1"/>
  <c r="E158" i="22"/>
  <c r="G207" i="22" l="1"/>
  <c r="I207" i="22" s="1"/>
  <c r="E207" i="22"/>
  <c r="G206" i="22"/>
  <c r="I206" i="22" s="1"/>
  <c r="E206" i="22"/>
  <c r="E159" i="22"/>
  <c r="G159" i="22"/>
  <c r="E160" i="22"/>
  <c r="G160" i="22"/>
  <c r="E161" i="22"/>
  <c r="G161" i="22"/>
  <c r="E162" i="22"/>
  <c r="G162" i="22"/>
  <c r="E163" i="22"/>
  <c r="G163" i="22"/>
  <c r="E185" i="22" l="1"/>
  <c r="E184" i="22"/>
  <c r="E183" i="22"/>
  <c r="E187" i="22"/>
  <c r="E186" i="22"/>
  <c r="N116" i="22" l="1"/>
  <c r="M116" i="22"/>
  <c r="L116" i="22"/>
  <c r="K116" i="22"/>
  <c r="J116" i="22"/>
  <c r="B8" i="24" l="1"/>
  <c r="E59" i="22" l="1"/>
  <c r="G59" i="22"/>
  <c r="P59" i="22"/>
  <c r="E60" i="22"/>
  <c r="G60" i="22"/>
  <c r="O60" i="22" s="1"/>
  <c r="P60" i="22"/>
  <c r="E76" i="22"/>
  <c r="G76" i="22"/>
  <c r="O76" i="22" s="1"/>
  <c r="P76" i="22"/>
  <c r="O59" i="22" l="1"/>
  <c r="E18" i="22"/>
  <c r="G18" i="22"/>
  <c r="O18" i="22" s="1"/>
  <c r="P18" i="22"/>
  <c r="E9" i="22"/>
  <c r="G9" i="22"/>
  <c r="O9" i="22" s="1"/>
  <c r="P9" i="22"/>
  <c r="E105" i="22"/>
  <c r="G105" i="22"/>
  <c r="O105" i="22" s="1"/>
  <c r="P105" i="22"/>
  <c r="E106" i="22"/>
  <c r="G106" i="22"/>
  <c r="O106" i="22" s="1"/>
  <c r="P106" i="22"/>
  <c r="E107" i="22"/>
  <c r="G107" i="22"/>
  <c r="O107" i="22" s="1"/>
  <c r="P107" i="22"/>
  <c r="E196" i="22" l="1"/>
  <c r="E216" i="22" l="1"/>
  <c r="E215" i="22"/>
  <c r="G208" i="22"/>
  <c r="I208" i="22" s="1"/>
  <c r="E208" i="22"/>
  <c r="F210" i="22" l="1"/>
  <c r="B6" i="24" s="1"/>
  <c r="E108" i="22" l="1"/>
  <c r="G108" i="22"/>
  <c r="P108" i="22"/>
  <c r="E109" i="22"/>
  <c r="G109" i="22"/>
  <c r="O109" i="22" s="1"/>
  <c r="P109" i="22"/>
  <c r="E110" i="22"/>
  <c r="G110" i="22"/>
  <c r="O110" i="22" s="1"/>
  <c r="P110" i="22"/>
  <c r="E111" i="22"/>
  <c r="G111" i="22"/>
  <c r="O111" i="22" s="1"/>
  <c r="P111" i="22"/>
  <c r="E112" i="22"/>
  <c r="G112" i="22"/>
  <c r="O112" i="22" s="1"/>
  <c r="P112" i="22"/>
  <c r="E113" i="22"/>
  <c r="G113" i="22"/>
  <c r="O113" i="22" s="1"/>
  <c r="P113" i="22"/>
  <c r="E114" i="22"/>
  <c r="G114" i="22"/>
  <c r="O114" i="22" s="1"/>
  <c r="P114" i="22"/>
  <c r="O108" i="22" l="1"/>
  <c r="C8" i="24" l="1"/>
  <c r="D8" i="24" s="1"/>
  <c r="E115" i="22"/>
  <c r="B9" i="24" l="1"/>
  <c r="C36" i="24" l="1"/>
  <c r="G115" i="22" l="1"/>
  <c r="G116" i="22" s="1"/>
  <c r="G117" i="22" s="1"/>
  <c r="O115" i="22" l="1"/>
  <c r="O116" i="22" s="1"/>
  <c r="B15" i="24" l="1"/>
  <c r="B17" i="24" s="1"/>
  <c r="P115" i="22" l="1"/>
  <c r="C9" i="24" l="1"/>
  <c r="D9" i="24" s="1"/>
  <c r="E217" i="22" l="1"/>
  <c r="C42" i="24" l="1"/>
  <c r="C56" i="24" s="1"/>
  <c r="C60" i="24" s="1"/>
  <c r="C44" i="24" l="1"/>
  <c r="E218" i="22" l="1"/>
  <c r="E219" i="22"/>
  <c r="E209" i="22"/>
  <c r="G209" i="22"/>
  <c r="C6" i="24" l="1"/>
  <c r="I209" i="22"/>
  <c r="I210" i="22" s="1"/>
  <c r="G210" i="22"/>
  <c r="D6" i="24" l="1"/>
  <c r="C15" i="24"/>
  <c r="C17" i="24" s="1"/>
  <c r="D15" i="24" l="1"/>
  <c r="D17" i="24" s="1"/>
  <c r="F215" i="22" l="1"/>
  <c r="G215" i="22" l="1"/>
  <c r="H220" i="22"/>
  <c r="F219" i="22"/>
  <c r="G219" i="22" s="1"/>
  <c r="F217" i="22"/>
  <c r="G217" i="22" s="1"/>
  <c r="F218" i="22"/>
  <c r="G218" i="22" s="1"/>
  <c r="F216" i="22"/>
  <c r="F220" i="22" l="1"/>
  <c r="B7" i="24" s="1"/>
  <c r="B10" i="24" s="1"/>
  <c r="G216" i="22"/>
  <c r="G220" i="22" s="1"/>
  <c r="C7" i="24" l="1"/>
  <c r="C10" i="24" l="1"/>
  <c r="C48" i="24" s="1"/>
  <c r="D7" i="24"/>
  <c r="D10" i="24" s="1"/>
  <c r="C52" i="24" l="1"/>
  <c r="C63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6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Retencion tomada en ejercicio anterior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<sst xmlns="http://schemas.openxmlformats.org/spreadsheetml/2006/main" count="3395" uniqueCount="1219">
  <si>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</si>
  <si>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</si>
  <si>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</si>
  <si>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</si>
  <si>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</si>
  <si>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</si>
  <si>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</si>
  <si>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</si>
  <si>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</si>
  <si>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</si>
  <si>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</si>
  <si>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</si>
  <si>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</si>
  <si>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</si>
  <si>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</si>
  <si>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</si>
  <si>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</si>
  <si>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</si>
  <si>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</si>
  <si>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</si>
  <si>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</si>
  <si>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</si>
  <si>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</si>
  <si>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</si>
  <si>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</si>
  <si>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</si>
  <si>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</si>
  <si>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</si>
  <si>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</si>
  <si>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</si>
  <si>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</si>
  <si>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</si>
  <si>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</si>
  <si>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</si>
  <si>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</si>
  <si>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</si>
  <si>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</si>
  <si>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</si>
  <si>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</si>
  <si>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</si>
  <si>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</si>
  <si>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</si>
  <si>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</si>
  <si>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</si>
  <si>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</si>
  <si>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</si>
  <si>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</si>
  <si>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</si>
  <si>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</si>
  <si>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</si>
  <si>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</si>
  <si>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</si>
  <si>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</si>
  <si>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</si>
  <si>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</si>
  <si>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</si>
  <si>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</si>
  <si>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</si>
  <si>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</si>
  <si>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</si>
  <si>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</si>
  <si>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</si>
  <si>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</si>
  <si>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</si>
  <si>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</si>
  <si>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</si>
  <si>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</si>
  <si>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</si>
  <si>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</si>
  <si>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</si>
  <si>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</si>
  <si>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</si>
  <si>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</si>
  <si>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</si>
  <si>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</si>
  <si>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</si>
  <si>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</si>
  <si>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</si>
  <si>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</si>
  <si>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</si>
  <si>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</si>
  <si>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</si>
  <si>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</si>
  <si>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</si>
  <si>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</si>
  <si>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</si>
  <si>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</si>
  <si>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</si>
  <si>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</si>
  <si>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</si>
  <si>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</si>
  <si>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</si>
  <si>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</si>
  <si>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</si>
  <si>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</si>
  <si>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</si>
  <si>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</si>
  <si>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</si>
  <si>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</si>
  <si>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</si>
  <si>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</si>
  <si>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</si>
  <si>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</si>
  <si>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</si>
  <si>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</si>
  <si>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</si>
  <si>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</si>
  <si>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</si>
  <si>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</si>
  <si>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</si>
  <si>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</si>
  <si>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</si>
  <si>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</si>
  <si>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</si>
  <si>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</si>
  <si>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</si>
  <si>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</si>
  <si>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</si>
  <si>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</si>
  <si>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</si>
  <si>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</si>
  <si>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</si>
  <si>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</si>
  <si>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</si>
  <si>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</si>
  <si>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</si>
  <si>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</si>
  <si>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</si>
  <si>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</si>
  <si>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</si>
  <si>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</si>
  <si>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</si>
  <si>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</si>
  <si>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</si>
  <si>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</si>
  <si>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</si>
  <si>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</si>
  <si>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</si>
  <si>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</si>
  <si>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</si>
  <si>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</si>
  <si>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</si>
  <si>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</si>
  <si>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</si>
  <si>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</si>
  <si>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</si>
  <si>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</si>
  <si>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</si>
  <si>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</si>
  <si>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</si>
  <si>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</si>
  <si>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</si>
  <si>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</si>
  <si>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</si>
  <si>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</si>
  <si>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</si>
  <si>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</si>
  <si>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</si>
  <si>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</si>
  <si>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</si>
  <si>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</si>
  <si>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</si>
  <si>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</si>
  <si>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</si>
  <si>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</si>
  <si>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</si>
  <si>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</si>
  <si>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</si>
  <si>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</si>
  <si>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</si>
  <si>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</si>
  <si>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</si>
  <si>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</si>
  <si>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</si>
  <si>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</si>
  <si>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</si>
  <si>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</si>
  <si>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</si>
  <si>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</si>
  <si>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</si>
  <si>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</si>
  <si>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</si>
  <si>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</si>
  <si>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</si>
  <si>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</si>
  <si>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</si>
  <si>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</si>
  <si>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</si>
  <si>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</si>
  <si>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</si>
  <si>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</si>
  <si>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</si>
  <si>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</si>
  <si>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</si>
  <si>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</si>
  <si>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</si>
  <si>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</si>
  <si>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</si>
  <si>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</si>
  <si>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</si>
  <si>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</si>
  <si>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</si>
  <si>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</si>
  <si>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</si>
  <si>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</si>
  <si>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</si>
  <si>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</si>
  <si>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</si>
  <si>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</si>
  <si>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</si>
  <si>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</si>
  <si>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</si>
  <si>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</si>
  <si>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</si>
  <si>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</si>
  <si>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</si>
  <si>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</si>
  <si>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</si>
  <si>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</si>
  <si>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</si>
  <si>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</si>
  <si>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</si>
  <si>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</si>
  <si>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</si>
  <si>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</si>
  <si>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</si>
  <si>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</si>
  <si>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</si>
  <si>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</si>
  <si>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</si>
  <si>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</si>
  <si>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</si>
  <si>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</si>
  <si>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</si>
  <si>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</si>
  <si>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</si>
  <si>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</si>
  <si>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</si>
  <si>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</si>
  <si>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</si>
  <si>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</si>
  <si>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</si>
  <si>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</si>
  <si>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</si>
  <si>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</si>
  <si>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</si>
  <si>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</si>
  <si>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</si>
  <si>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</si>
  <si>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</si>
  <si>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</si>
  <si>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</si>
  <si>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</si>
  <si>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</si>
  <si>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</si>
  <si>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</si>
  <si>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</si>
  <si>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</si>
  <si>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</si>
  <si>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</si>
  <si>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</si>
  <si>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</si>
  <si>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</si>
  <si>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</si>
  <si>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</si>
  <si>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</si>
  <si>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</si>
  <si>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</si>
  <si>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</si>
  <si>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</si>
  <si>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</si>
  <si>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</si>
  <si>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</si>
  <si>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</si>
  <si>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</si>
  <si>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</si>
  <si>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</si>
  <si>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</si>
  <si>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</si>
  <si>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</si>
  <si>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</si>
  <si>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</si>
  <si>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</si>
  <si>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</si>
  <si>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</si>
  <si>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</si>
  <si>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</si>
  <si>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</si>
  <si>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</si>
  <si>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</si>
  <si>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</si>
  <si>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</si>
  <si>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</si>
  <si>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</si>
  <si>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</si>
  <si>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</si>
  <si>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</si>
  <si>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</si>
  <si>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</si>
  <si>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</si>
  <si>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</si>
  <si>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</si>
  <si>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</si>
  <si>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</si>
  <si>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</si>
  <si>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</si>
  <si>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</si>
  <si>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</si>
  <si>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</si>
  <si>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</si>
  <si>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</si>
  <si>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</si>
  <si>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</si>
  <si>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</si>
  <si>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</si>
  <si>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</si>
  <si>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</si>
  <si>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</si>
  <si>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</si>
  <si>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</si>
  <si>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</si>
  <si>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</si>
  <si>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</si>
  <si>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</si>
  <si>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</si>
  <si>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</si>
  <si>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</si>
  <si>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</si>
  <si>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</si>
  <si>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</si>
  <si>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</si>
  <si>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</si>
  <si>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</si>
  <si>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</si>
  <si>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</si>
  <si>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</si>
  <si>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</si>
  <si>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</si>
  <si>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</si>
  <si>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</si>
  <si>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</si>
  <si>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</si>
  <si>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</si>
  <si>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</si>
  <si>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</si>
  <si>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</si>
  <si>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</si>
  <si>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</si>
  <si>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</si>
  <si>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</si>
  <si>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</si>
  <si>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</si>
  <si>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</si>
  <si>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</si>
  <si>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</si>
  <si>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</si>
  <si>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</si>
  <si>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</si>
  <si>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</si>
  <si>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</si>
  <si>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</si>
  <si>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</si>
  <si>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</si>
  <si>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</si>
  <si>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</si>
  <si>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</si>
  <si>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</si>
  <si>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</si>
  <si>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</si>
  <si>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</si>
  <si>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</si>
  <si>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</si>
  <si>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</si>
  <si>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</si>
  <si>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</si>
  <si>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</si>
  <si>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</si>
  <si>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</si>
  <si>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</si>
  <si>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</si>
  <si>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</si>
  <si>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</si>
  <si>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</si>
  <si>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</si>
  <si>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</si>
  <si>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</si>
  <si>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</si>
  <si>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</si>
  <si>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</si>
  <si>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</si>
  <si>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</si>
  <si>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</si>
  <si>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</si>
  <si>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</si>
  <si>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</si>
  <si>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</si>
  <si>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</si>
  <si>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</si>
  <si>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</si>
  <si>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</si>
  <si>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</si>
  <si>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</si>
  <si>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</si>
  <si>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</si>
  <si>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</si>
  <si>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</si>
  <si>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</si>
  <si>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</si>
  <si>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</si>
  <si>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</si>
  <si>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</si>
  <si>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</si>
  <si>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</si>
  <si>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</si>
  <si>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</si>
  <si>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</si>
  <si>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</si>
  <si>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</si>
  <si>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</si>
  <si>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</si>
  <si>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</si>
  <si>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</si>
  <si>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</si>
  <si>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</si>
  <si>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</si>
  <si>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</si>
  <si>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</si>
  <si>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</si>
  <si>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</si>
  <si>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</si>
  <si>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</si>
  <si>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</si>
  <si>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</si>
  <si>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</si>
  <si>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</si>
  <si>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</si>
  <si>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</si>
  <si>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</si>
  <si>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</si>
  <si>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</si>
  <si>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</si>
  <si>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</si>
  <si>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</si>
  <si>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</si>
  <si>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</si>
  <si>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</si>
  <si>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</si>
  <si>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</si>
  <si>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</si>
  <si>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</si>
  <si>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</si>
  <si>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</si>
  <si>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</si>
  <si>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</si>
  <si>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</si>
  <si>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</si>
  <si>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</si>
  <si>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</si>
  <si>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</si>
  <si>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</si>
  <si>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</si>
  <si>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</si>
  <si>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</si>
  <si>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</si>
  <si>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</si>
  <si>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</si>
  <si>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</si>
  <si>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</si>
  <si>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</si>
  <si>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</si>
  <si>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</si>
  <si>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</si>
  <si>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</si>
  <si>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</si>
  <si>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</si>
  <si>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</si>
  <si>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</si>
  <si>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</si>
  <si>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</si>
  <si>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</si>
  <si>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</si>
  <si>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</si>
  <si>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</si>
  <si>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</si>
  <si>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</si>
  <si>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</si>
  <si>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</si>
  <si>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</si>
  <si>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</si>
  <si>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</si>
  <si>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</si>
  <si>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</si>
  <si>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</si>
  <si>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</si>
  <si>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</si>
  <si>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</si>
  <si>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</si>
  <si>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</si>
  <si>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</si>
  <si>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</si>
  <si>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</si>
  <si>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</si>
  <si>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</si>
  <si>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</si>
  <si>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</si>
  <si>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</si>
  <si>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</si>
  <si>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</si>
  <si>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</si>
  <si>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</si>
  <si>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</si>
  <si>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</si>
  <si>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</si>
  <si>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</si>
  <si>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</si>
  <si>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</si>
  <si>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</si>
  <si>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</si>
  <si>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</si>
  <si>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</si>
  <si>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</si>
  <si>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</si>
  <si>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</si>
  <si>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</si>
  <si>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</si>
  <si>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</si>
  <si>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</si>
  <si>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</si>
  <si>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</si>
  <si>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</si>
  <si>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</si>
  <si>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</si>
  <si>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</si>
  <si>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</si>
  <si>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</si>
  <si>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</si>
  <si>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</si>
  <si>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</si>
  <si>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</si>
  <si>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</si>
  <si>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</si>
  <si>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</si>
  <si>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</si>
  <si>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</si>
  <si>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</si>
  <si>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</si>
  <si>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</si>
  <si>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</si>
  <si>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</si>
  <si>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</si>
  <si>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</si>
  <si>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</si>
  <si>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</si>
  <si>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</si>
  <si>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</si>
  <si>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</si>
  <si>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</si>
  <si>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</si>
  <si>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</si>
  <si>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</si>
  <si>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</si>
  <si>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</si>
  <si>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</si>
  <si>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</si>
  <si>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</si>
  <si>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</si>
  <si>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</si>
  <si>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</si>
  <si>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</si>
  <si>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</si>
  <si>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</si>
  <si>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</si>
  <si>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</si>
  <si>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</si>
  <si>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</si>
  <si>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</si>
  <si>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</si>
  <si>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</si>
  <si>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</si>
  <si>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</si>
  <si>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</si>
  <si>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</si>
  <si>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</si>
  <si>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</si>
  <si>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</si>
  <si>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</si>
  <si>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</si>
  <si>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</si>
  <si>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</si>
  <si>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</si>
  <si>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</si>
  <si>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</si>
  <si>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</si>
  <si>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</si>
  <si>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</si>
  <si>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</si>
  <si>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</si>
  <si>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</si>
  <si>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</si>
  <si>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</si>
  <si>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</si>
  <si>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</si>
  <si>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</si>
  <si>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</si>
  <si>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</si>
  <si>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</si>
  <si>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</si>
  <si>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</si>
  <si>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</si>
  <si>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</si>
  <si>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</si>
  <si>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</si>
  <si>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</si>
  <si>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</si>
  <si>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</si>
  <si>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</si>
  <si>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31/07/2023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</si>
  <si>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</si>
  <si>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</si>
  <si>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</si>
  <si>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</si>
  <si>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</si>
  <si>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</si>
  <si>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</si>
  <si>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09/04/2023</t>
  </si>
  <si>
    <t>01/08/2023</t>
  </si>
  <si>
    <t>02/08/2023</t>
  </si>
  <si>
    <t>03/08/2023</t>
  </si>
  <si>
    <t>04/08/2023</t>
  </si>
  <si>
    <t>05/08/2023</t>
  </si>
  <si>
    <t>NUNEZ MATIAS YOEL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</si>
  <si>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</si>
  <si>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</si>
  <si>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</si>
  <si>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</si>
  <si>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</si>
  <si>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</si>
  <si>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</si>
  <si>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</si>
  <si>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</si>
  <si>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</si>
  <si>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</si>
  <si>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</si>
  <si>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</si>
  <si>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</si>
  <si>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</si>
  <si>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</si>
  <si>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</si>
  <si>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</si>
  <si>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</si>
  <si>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</si>
  <si>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</si>
  <si>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</si>
  <si>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</si>
  <si>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</si>
  <si>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</si>
  <si>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</si>
  <si>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</si>
  <si>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</si>
  <si>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</si>
  <si>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</si>
  <si>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</si>
  <si>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Ventas Libro de IVA 01/08/2023 - 31/08/2023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</si>
  <si>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</si>
  <si>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</si>
  <si>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</si>
  <si>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</si>
  <si>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</si>
  <si>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</si>
  <si>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</si>
  <si>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</si>
  <si>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</si>
  <si>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</si>
  <si>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</si>
  <si>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FA-B 0005-00008505</t>
  </si>
  <si>
    <t>.CONSUMIDOR FINAL</t>
  </si>
  <si>
    <t>Consumidor Final</t>
  </si>
  <si>
    <t>FA-B 0005-00008506</t>
  </si>
  <si>
    <t>FA-B 0005-00008507</t>
  </si>
  <si>
    <t>FA-B 0005-00008508</t>
  </si>
  <si>
    <t>FA-B 0005-00008509</t>
  </si>
  <si>
    <t>FA-B 0005-00008510</t>
  </si>
  <si>
    <t>GALIOSTRO MARCELO FABIO</t>
  </si>
  <si>
    <t>FA-B 0005-00008511</t>
  </si>
  <si>
    <t>FA-B 0005-00008512</t>
  </si>
  <si>
    <t>FA-B 0005-00008513</t>
  </si>
  <si>
    <t>FA-B 0005-00008514</t>
  </si>
  <si>
    <t>FA-B 0007-00004531</t>
  </si>
  <si>
    <t>GIMENEZ, SONIA GLADYS</t>
  </si>
  <si>
    <t>FA-B 0007-00004532</t>
  </si>
  <si>
    <t xml:space="preserve">HIGA MARCELA SANDRA </t>
  </si>
  <si>
    <t>FA-B 0005-00008515</t>
  </si>
  <si>
    <t>FA-B 0005-00008516</t>
  </si>
  <si>
    <t>FA-B 0005-00008517</t>
  </si>
  <si>
    <t>FA-B 0005-00008518</t>
  </si>
  <si>
    <t>FA-B 0005-00008519</t>
  </si>
  <si>
    <t>FA-B 0005-00008520</t>
  </si>
  <si>
    <t>FA-B 0005-00008521</t>
  </si>
  <si>
    <t>FA-B 0005-00008522</t>
  </si>
  <si>
    <t>FA-B 0005-00008523</t>
  </si>
  <si>
    <t>FA-A 0006-00000372</t>
  </si>
  <si>
    <t>Galeno Argentina Sociedad Anonima</t>
  </si>
  <si>
    <t>IVA Responsable Inscripto</t>
  </si>
  <si>
    <t>FA-A 0007-00001546</t>
  </si>
  <si>
    <t>Obra Social Del Personal De Las Telecomunicaciones De La Republica Argentina</t>
  </si>
  <si>
    <t>FA-A 0007-00001547</t>
  </si>
  <si>
    <t>FA-A 0007-00001548</t>
  </si>
  <si>
    <t>FA-A 0007-00001549</t>
  </si>
  <si>
    <t>FA-A 0007-00001550</t>
  </si>
  <si>
    <t>FA-A 0007-00001551</t>
  </si>
  <si>
    <t>FA-B 0007-00004533</t>
  </si>
  <si>
    <t>ALBARO BRESCIANO</t>
  </si>
  <si>
    <t>FA-B 0007-00004534</t>
  </si>
  <si>
    <t>ALEJANDRA SIFFREDI TORRES SANMARCO</t>
  </si>
  <si>
    <t>FA-B 0007-00004535</t>
  </si>
  <si>
    <t>GABRIELA VANINA GALLO</t>
  </si>
  <si>
    <t>FA-B 0007-00004536</t>
  </si>
  <si>
    <t>MARIA ELENA RODRIGUEZ</t>
  </si>
  <si>
    <t>FA-B 0007-00004537</t>
  </si>
  <si>
    <t>ENRIQUETA MARIA DEL SOCORRO MAJO</t>
  </si>
  <si>
    <t>FA-B 0005-00008524</t>
  </si>
  <si>
    <t>FA-B 0005-00008525</t>
  </si>
  <si>
    <t>FA-B 0005-00008526</t>
  </si>
  <si>
    <t>FA-B 0005-00008527</t>
  </si>
  <si>
    <t>FA-B 0005-00008528</t>
  </si>
  <si>
    <t>FA-B 0005-00008529</t>
  </si>
  <si>
    <t>FA-B 0005-00008530</t>
  </si>
  <si>
    <t>FA-B 0005-00008531</t>
  </si>
  <si>
    <t>FA-B 0005-00008532</t>
  </si>
  <si>
    <t>FA-B 0005-00008533</t>
  </si>
  <si>
    <t>FA-B 0005-00008534</t>
  </si>
  <si>
    <t>FA-B 0005-00008535</t>
  </si>
  <si>
    <t>PEREYRA ELSA</t>
  </si>
  <si>
    <t>FA-B 0005-00008536</t>
  </si>
  <si>
    <t>FA-B 0005-00008537</t>
  </si>
  <si>
    <t>FA-B 0005-00008538</t>
  </si>
  <si>
    <t>FA-B 0005-00008539</t>
  </si>
  <si>
    <t>FA-B 0005-00008540</t>
  </si>
  <si>
    <t>FA-A 0006-00000373</t>
  </si>
  <si>
    <t>FA-A 0006-00000374</t>
  </si>
  <si>
    <t>FA-A 0007-00001552</t>
  </si>
  <si>
    <t>FA-A 0007-00001553</t>
  </si>
  <si>
    <t>Hc Homecare Internacion Domiciliaria S.A.</t>
  </si>
  <si>
    <t>FA-B 0007-00004538</t>
  </si>
  <si>
    <t xml:space="preserve">IZZO, ADRIANA </t>
  </si>
  <si>
    <t>FA-B 0007-00004539</t>
  </si>
  <si>
    <t>Chiari Maria Enriqueta del Socorro</t>
  </si>
  <si>
    <t>FA-B 0005-00008541</t>
  </si>
  <si>
    <t>FA-B 0005-00008542</t>
  </si>
  <si>
    <t>FA-B 0005-00008543</t>
  </si>
  <si>
    <t>FA-B 0005-00008544</t>
  </si>
  <si>
    <t>FA-B 0005-00008545</t>
  </si>
  <si>
    <t>FA-B 0005-00008546</t>
  </si>
  <si>
    <t>FA-B 0005-00008547</t>
  </si>
  <si>
    <t>FA-B 0005-00008548</t>
  </si>
  <si>
    <t>FA-B 0005-00008549</t>
  </si>
  <si>
    <t>FA-B 0005-00008550</t>
  </si>
  <si>
    <t>FA-B 0005-00008551</t>
  </si>
  <si>
    <t>FA-B 0005-00008552</t>
  </si>
  <si>
    <t>FA-B 0005-00008553</t>
  </si>
  <si>
    <t>FA-B 0005-00008554</t>
  </si>
  <si>
    <t>FA-B 0005-00008555</t>
  </si>
  <si>
    <t>FA-A 0006 - 00000375</t>
  </si>
  <si>
    <t>Galeno (Alq Ambulatorios)</t>
  </si>
  <si>
    <t>FA-A 0007-00001554</t>
  </si>
  <si>
    <t>Zc Diabetes Srl</t>
  </si>
  <si>
    <t>FA-B 0007-00004540</t>
  </si>
  <si>
    <t>Herman Patricia</t>
  </si>
  <si>
    <t>FA-B 0007-00004541</t>
  </si>
  <si>
    <t>LOCOCO, CARMEN</t>
  </si>
  <si>
    <t>FA-B 0007-00004542</t>
  </si>
  <si>
    <t>FA-B 0007-00004543</t>
  </si>
  <si>
    <t>VOLPI, ALBERTO JAVIER</t>
  </si>
  <si>
    <t>FA-B 0005-00008556</t>
  </si>
  <si>
    <t>FA-B 0005-00008557</t>
  </si>
  <si>
    <t>FA-B 0005-00008558</t>
  </si>
  <si>
    <t>FA-B 0005-00008559</t>
  </si>
  <si>
    <t>FA-B 0005-00008560</t>
  </si>
  <si>
    <t>FA-B 0005-00008561</t>
  </si>
  <si>
    <t>FA-B 0005-00008562</t>
  </si>
  <si>
    <t>FA-B 0005-00008563</t>
  </si>
  <si>
    <t>FA-B 0005-00008564</t>
  </si>
  <si>
    <t>FA-A 0007-00001555</t>
  </si>
  <si>
    <t>Obra Social Union Personal De La Union  Del Personal Civil De La Nacion</t>
  </si>
  <si>
    <t>FA-A 0007-00001556</t>
  </si>
  <si>
    <t>FA-A 0007-00001557</t>
  </si>
  <si>
    <t>FA-A 0007-00001558</t>
  </si>
  <si>
    <t>FA-A 0007-00001559</t>
  </si>
  <si>
    <t>FA-A 0007-00001560</t>
  </si>
  <si>
    <t>FA-A 0007-00001561</t>
  </si>
  <si>
    <t>FA-A 0007-00001562</t>
  </si>
  <si>
    <t>Amparo Salud S.R.L.</t>
  </si>
  <si>
    <t>FA-A 0007-00001563</t>
  </si>
  <si>
    <t>FA-A 0007-00001564</t>
  </si>
  <si>
    <t>Medicus Sociedad Anonima De Asistencia Medica Y Cientifica</t>
  </si>
  <si>
    <t>FA-A 0007-00001565</t>
  </si>
  <si>
    <t>Login Door S.A</t>
  </si>
  <si>
    <t>FA-A 0007-00001566</t>
  </si>
  <si>
    <t>Fundacion Empresaria Maderera</t>
  </si>
  <si>
    <t>FA-B 0007-00004544</t>
  </si>
  <si>
    <t>CAMPOBASSO, MARIANA LAURA</t>
  </si>
  <si>
    <t>FA-B 0007-00004545</t>
  </si>
  <si>
    <t>Asociacion Mutual Sancor Salud</t>
  </si>
  <si>
    <t>IVA Sujeto Exento</t>
  </si>
  <si>
    <t>FA-B 0007-00004546</t>
  </si>
  <si>
    <t>Romero Leonardo Gabriel</t>
  </si>
  <si>
    <t>FA-B 0007-00004547</t>
  </si>
  <si>
    <t>Obra Social Del Personal De La Industria Del Plastico</t>
  </si>
  <si>
    <t>FA-B 0007-00004548</t>
  </si>
  <si>
    <t>Obra Social De Los Trabajadores De La Industria Del Gas</t>
  </si>
  <si>
    <t>FA-B 0007-00004549</t>
  </si>
  <si>
    <t>FA-B 0005-00008565</t>
  </si>
  <si>
    <t>FA-B 0005-00008566</t>
  </si>
  <si>
    <t>FA-B 0005-00008567</t>
  </si>
  <si>
    <t>FA-B 0005-00008568</t>
  </si>
  <si>
    <t>FA-B 0005-00008569</t>
  </si>
  <si>
    <t>FA-B 0005-00008570</t>
  </si>
  <si>
    <t>FA-B 0005-00008571</t>
  </si>
  <si>
    <t>FA-B 0005-00008572</t>
  </si>
  <si>
    <t>FA-B 0005-00008573</t>
  </si>
  <si>
    <t>FA-A 0007-00001567</t>
  </si>
  <si>
    <t>FA-A 0007-00001568</t>
  </si>
  <si>
    <t>FA-A 0007-00001569</t>
  </si>
  <si>
    <t>FA-A 0007-00001570</t>
  </si>
  <si>
    <t>Alexander Fleming S A</t>
  </si>
  <si>
    <t>FA-A 0007-00001571</t>
  </si>
  <si>
    <t>EGESAC S.A.</t>
  </si>
  <si>
    <t>FA-A 0007-00001572</t>
  </si>
  <si>
    <t>Centro Medico Amenabar Srl</t>
  </si>
  <si>
    <t>FA-A 0007-00001573</t>
  </si>
  <si>
    <t>Ensalud S.A</t>
  </si>
  <si>
    <t>FA-A 0007-00001574</t>
  </si>
  <si>
    <t>Medincare Argentina S.A.</t>
  </si>
  <si>
    <t>FA-B 0007-00004550</t>
  </si>
  <si>
    <t>SAENZ, MAGDALENA.</t>
  </si>
  <si>
    <t>FA-B 0007-00004551</t>
  </si>
  <si>
    <t>CARUSO LUCIA</t>
  </si>
  <si>
    <t>FA-B 0007-00004552</t>
  </si>
  <si>
    <t>RAQUEL DURAÑONA</t>
  </si>
  <si>
    <t>FA-B 0007-00004553</t>
  </si>
  <si>
    <t>CUDERO, SILVINA</t>
  </si>
  <si>
    <t>FA-B 0007-00004554</t>
  </si>
  <si>
    <t>FA-B 0007-00004555</t>
  </si>
  <si>
    <t>SCHELGEL, LUIS ALBERTO</t>
  </si>
  <si>
    <t>FA-B 0007-00004556</t>
  </si>
  <si>
    <t>PEDROZO, PAULA GABRIELA</t>
  </si>
  <si>
    <t>NC-B 0005-00000119</t>
  </si>
  <si>
    <t>FA-B 0005-00008574</t>
  </si>
  <si>
    <t>FA-B 0005-00008575</t>
  </si>
  <si>
    <t>FA-B 0005-00008576</t>
  </si>
  <si>
    <t>FA-B 0005-00008577</t>
  </si>
  <si>
    <t>FA-B 0005-00008578</t>
  </si>
  <si>
    <t>FA-B 0005-00008579</t>
  </si>
  <si>
    <t>FA-B 0005-00008580</t>
  </si>
  <si>
    <t>FA-B 0005-00008581</t>
  </si>
  <si>
    <t>FA-B 0005-00008582</t>
  </si>
  <si>
    <t>FA-B 0007-00004557</t>
  </si>
  <si>
    <t>PINTO HIDI, MAGDALENA</t>
  </si>
  <si>
    <t>FA-B 0007-00004558</t>
  </si>
  <si>
    <t>TORREZ, MARIANA ALCIRA</t>
  </si>
  <si>
    <t>FA-B 0007-00004559</t>
  </si>
  <si>
    <t xml:space="preserve">GIRINI, BETTINA PATRICIA </t>
  </si>
  <si>
    <t>FA-B 0007-00004560</t>
  </si>
  <si>
    <t>AGOSTINO MIRIAM</t>
  </si>
  <si>
    <t>FA-B 0007-00004561</t>
  </si>
  <si>
    <t>SANZIO, INMACULADA CONCEPCION</t>
  </si>
  <si>
    <t>FA-A 0005-00000134</t>
  </si>
  <si>
    <t>Castellano, Georgelina Ana Luisa</t>
  </si>
  <si>
    <t>FA-B 0005-00008583</t>
  </si>
  <si>
    <t>FA-B 0005-00008584</t>
  </si>
  <si>
    <t>FA-B 0005-00008585</t>
  </si>
  <si>
    <t>FA-B 0005-00008586</t>
  </si>
  <si>
    <t>FA-B 0005-00008587</t>
  </si>
  <si>
    <t>FA-B 0005-00008588</t>
  </si>
  <si>
    <t>FA-B 0005-00008589</t>
  </si>
  <si>
    <t>FA-B 0005-00008590</t>
  </si>
  <si>
    <t>FA-B 0005-00008591</t>
  </si>
  <si>
    <t>FA-B 0005-00008592</t>
  </si>
  <si>
    <t>FA-B 0005-00008593</t>
  </si>
  <si>
    <t>FA-B 0005-00008594</t>
  </si>
  <si>
    <t>FA-A 0006-00000376</t>
  </si>
  <si>
    <t>FA-A 0006-00000377</t>
  </si>
  <si>
    <t>FA-B 0007-00004562</t>
  </si>
  <si>
    <t>FA-B 0007-00004563</t>
  </si>
  <si>
    <t>FA-B 0005-00008595</t>
  </si>
  <si>
    <t>FA-B 0005-00008596</t>
  </si>
  <si>
    <t>FA-B 0005-00008597</t>
  </si>
  <si>
    <t>FA-B 0005-00008598</t>
  </si>
  <si>
    <t>FA-B 0005-00008599</t>
  </si>
  <si>
    <t>FA-B 0005-00008600</t>
  </si>
  <si>
    <t>FA-B 0005-00008601</t>
  </si>
  <si>
    <t>FA-B 0005-00008602</t>
  </si>
  <si>
    <t>FA-B 0005-00008603</t>
  </si>
  <si>
    <t>FA-B 0005-00008604</t>
  </si>
  <si>
    <t>FA-B 0005-00008605</t>
  </si>
  <si>
    <t>FA-B 0005-00008606</t>
  </si>
  <si>
    <t>FA-B 0005-00008607</t>
  </si>
  <si>
    <t>FA-B 0005-00008608</t>
  </si>
  <si>
    <t>FA-B 0005-00008609</t>
  </si>
  <si>
    <t>FA-A 0007-00001575</t>
  </si>
  <si>
    <t>FA-B 0007-00004564</t>
  </si>
  <si>
    <t xml:space="preserve">ARANA, MARCELLA OFELIA </t>
  </si>
  <si>
    <t>FA-B 0007-00004565</t>
  </si>
  <si>
    <t>MONTI, MARIA PAULA</t>
  </si>
  <si>
    <t>FA-B 0007-00004566</t>
  </si>
  <si>
    <t>BELBEY, WALTER HUGO</t>
  </si>
  <si>
    <t>FA-B 0007-00004567</t>
  </si>
  <si>
    <t>BUNCHICOFF, MARIA</t>
  </si>
  <si>
    <t>FA-B 0007-00004568</t>
  </si>
  <si>
    <t xml:space="preserve">SARA STRASBERG </t>
  </si>
  <si>
    <t>FA-B 0007-00004569</t>
  </si>
  <si>
    <t>GOMEZ DANIEL ANTONIO</t>
  </si>
  <si>
    <t>FA-A 0005-00000135</t>
  </si>
  <si>
    <t>Frick, Carlos Alberto</t>
  </si>
  <si>
    <t>FA-B 0005-00008610</t>
  </si>
  <si>
    <t>FA-B 0005-00008611</t>
  </si>
  <si>
    <t>FA-B 0005-00008612</t>
  </si>
  <si>
    <t>FA-B 0005-00008613</t>
  </si>
  <si>
    <t>FA-B 0005-00008614</t>
  </si>
  <si>
    <t>FA-B 0005-00008615</t>
  </si>
  <si>
    <t>FA-B 0005-00008616</t>
  </si>
  <si>
    <t>FA-B 0005-00008617</t>
  </si>
  <si>
    <t>FA-B 0005-00008618</t>
  </si>
  <si>
    <t>NC-A 0006-00000042</t>
  </si>
  <si>
    <t>NC-A 0007-00000099</t>
  </si>
  <si>
    <t>FA-B 0007-00004570</t>
  </si>
  <si>
    <t>MINERVINI, MARIA DEL CARMEN LILIANA</t>
  </si>
  <si>
    <t>FA-B 0007-00004571</t>
  </si>
  <si>
    <t>BRENNAN, MARIA IRENE</t>
  </si>
  <si>
    <t>FA-B 0007-00004572</t>
  </si>
  <si>
    <t>Suburu Monica</t>
  </si>
  <si>
    <t>FA-B 0005-00008619</t>
  </si>
  <si>
    <t>FA-B 0005-00008620</t>
  </si>
  <si>
    <t>FA-B 0005-00008621</t>
  </si>
  <si>
    <t>FA-B 0005-00008622</t>
  </si>
  <si>
    <t>FA-B 0005-00008623</t>
  </si>
  <si>
    <t>FA-B 0005-00008624</t>
  </si>
  <si>
    <t>FA-B 0005-00008625</t>
  </si>
  <si>
    <t>FA-B 0005-00008626</t>
  </si>
  <si>
    <t>FA-B 0005-00008627</t>
  </si>
  <si>
    <t>FA-B 0005-00008628</t>
  </si>
  <si>
    <t>FA-B 0005-00008629</t>
  </si>
  <si>
    <t>FA-B 0005-00008630</t>
  </si>
  <si>
    <t>FA-A 0007-00001576</t>
  </si>
  <si>
    <t>FA-A 0007-00001577</t>
  </si>
  <si>
    <t>FA-A 0007-00001578</t>
  </si>
  <si>
    <t>NC-B 0005-00000120</t>
  </si>
  <si>
    <t>FA-B 0005-00008631</t>
  </si>
  <si>
    <t>FA-B 0005-00008632</t>
  </si>
  <si>
    <t>FA-B 0005-00008633</t>
  </si>
  <si>
    <t>FA-B 0005-00008634</t>
  </si>
  <si>
    <t>FA-B 0005-00008635</t>
  </si>
  <si>
    <t>FA-B 0005-00008636</t>
  </si>
  <si>
    <t>FA-B 0005-00008637</t>
  </si>
  <si>
    <t>FA-B 0005-00008638</t>
  </si>
  <si>
    <t>FA-B 0005-00008639</t>
  </si>
  <si>
    <t>FA-B 0005-00008640</t>
  </si>
  <si>
    <t>FA-B 0005-00008641</t>
  </si>
  <si>
    <t>FA-B 0005-00008642</t>
  </si>
  <si>
    <t>FA-B 0005-00008643</t>
  </si>
  <si>
    <t>FA-B 0005-00008644</t>
  </si>
  <si>
    <t>FA-B 0005-00008645</t>
  </si>
  <si>
    <t>FA-A 0007-00001579</t>
  </si>
  <si>
    <t>FA-A 0007-00001580</t>
  </si>
  <si>
    <t>FA-A 0007-00001581</t>
  </si>
  <si>
    <t>FA-A 0007-00001582</t>
  </si>
  <si>
    <t>FA-A 0007-00001583</t>
  </si>
  <si>
    <t>FA-A 0007-00001584</t>
  </si>
  <si>
    <t>FA-A 0007-00001585</t>
  </si>
  <si>
    <t>FA-B 0007-00004573</t>
  </si>
  <si>
    <t>FA-B 0007-00004574</t>
  </si>
  <si>
    <t>VARELA, RICARDO EXEQUIEL</t>
  </si>
  <si>
    <t>FA-B 0007-00004575</t>
  </si>
  <si>
    <t>INGRATTA, VANINA ALICIA PAMELA</t>
  </si>
  <si>
    <t>FA-B 0007-00004576</t>
  </si>
  <si>
    <t>KARIVALI DESPINA</t>
  </si>
  <si>
    <t>FA-B 0007-00004577</t>
  </si>
  <si>
    <t>ANALIA LIFSCHITZ</t>
  </si>
  <si>
    <t>FA-B 0005-00008646</t>
  </si>
  <si>
    <t>FA-B 0005-00008647</t>
  </si>
  <si>
    <t>FA-B 0005-00008648</t>
  </si>
  <si>
    <t>FA-B 0005-00008649</t>
  </si>
  <si>
    <t>FA-B 0005-00008650</t>
  </si>
  <si>
    <t>FA-B 0005-00008651</t>
  </si>
  <si>
    <t>FA-A 0006-00000378</t>
  </si>
  <si>
    <t>FA-A 0007-00001586</t>
  </si>
  <si>
    <t>FA-B 0007-00004578</t>
  </si>
  <si>
    <t>FA-B 0007-00004579</t>
  </si>
  <si>
    <t>ORELLA DEL VALLE RAQUEL</t>
  </si>
  <si>
    <t>FA-B 0007-00004580</t>
  </si>
  <si>
    <t>CORIGLIANO, LORENA ELISA</t>
  </si>
  <si>
    <t>FA-B 0007-00004581</t>
  </si>
  <si>
    <t>MATHOV ENRIQUE JOSE</t>
  </si>
  <si>
    <t>FA-B 0007-00004582</t>
  </si>
  <si>
    <t>TISERA, ANDRES HORACIO</t>
  </si>
  <si>
    <t>FA-B 0005-00008652</t>
  </si>
  <si>
    <t>FA-B 0005-00008653</t>
  </si>
  <si>
    <t>FA-B 0005-00008654</t>
  </si>
  <si>
    <t>FA-B 0005-00008655</t>
  </si>
  <si>
    <t>FA-B 0005-00008656</t>
  </si>
  <si>
    <t>FA-B 0005-00008657</t>
  </si>
  <si>
    <t>FA-B 0005-00008658</t>
  </si>
  <si>
    <t>FA-B 0005-00008659</t>
  </si>
  <si>
    <t>FA-B 0005-00008660</t>
  </si>
  <si>
    <t>FA-B 0005-00008661</t>
  </si>
  <si>
    <t>FA-A 0006-00000379</t>
  </si>
  <si>
    <t>FA-A 0007-00001587</t>
  </si>
  <si>
    <t>FA-A 0007-00001588</t>
  </si>
  <si>
    <t>NOBILI, MATIAS</t>
  </si>
  <si>
    <t>FA-A 0007-00001589</t>
  </si>
  <si>
    <t>FA-A 0007-00001590</t>
  </si>
  <si>
    <t>FA-A 0007-00001591</t>
  </si>
  <si>
    <t>Obra Social Del Sindicato De Mecanicos Y Afines Del Transporte Automotor</t>
  </si>
  <si>
    <t>FA-A 0007-00001592</t>
  </si>
  <si>
    <t>FA-B 0007-00004583</t>
  </si>
  <si>
    <t xml:space="preserve">PAOLA PERRIELLO </t>
  </si>
  <si>
    <t>FA-B 0007-00004584</t>
  </si>
  <si>
    <t>TISSONE, JOSE ERNESTO</t>
  </si>
  <si>
    <t>FA-B 0007-00004585</t>
  </si>
  <si>
    <t>REPETTO LYNCH, BENJAMIN MARIA</t>
  </si>
  <si>
    <t>FA-B 0007-00004586</t>
  </si>
  <si>
    <t>FERRAZIN, CAROLINA ELEONORA INES</t>
  </si>
  <si>
    <t>FA-B 0007-00004587</t>
  </si>
  <si>
    <t>FA-B 0005-00008662</t>
  </si>
  <si>
    <t>FA-B 0005-00008663</t>
  </si>
  <si>
    <t>FA-B 0005-00008664</t>
  </si>
  <si>
    <t>FA-B 0005-00008665</t>
  </si>
  <si>
    <t>ONOFRIO SILVIA</t>
  </si>
  <si>
    <t>FA-B 0005-00008666</t>
  </si>
  <si>
    <t>FA-B 0005-00008667</t>
  </si>
  <si>
    <t>FA-B 0005-00008668</t>
  </si>
  <si>
    <t>FA-B 0005-00008669</t>
  </si>
  <si>
    <t>FA-B 0005-00008670</t>
  </si>
  <si>
    <t>FA-B 0005-00008671</t>
  </si>
  <si>
    <t>FA-B 0005-00008672</t>
  </si>
  <si>
    <t>FA-B 0005-00008673</t>
  </si>
  <si>
    <t>FA-B 0005-00008674</t>
  </si>
  <si>
    <t>FA-B 0005-00008675</t>
  </si>
  <si>
    <t>FA-A 0006-00000380</t>
  </si>
  <si>
    <t>FA-A 0007-00001593</t>
  </si>
  <si>
    <t>FA-A 0007-00001594</t>
  </si>
  <si>
    <t>FA-B 0005-00008676</t>
  </si>
  <si>
    <t>FA-B 0005-00008677</t>
  </si>
  <si>
    <t>FA-B 0005-00008678</t>
  </si>
  <si>
    <t>FA-B 0005-00008679</t>
  </si>
  <si>
    <t>FA-B 0005-00008680</t>
  </si>
  <si>
    <t>FA-B 0005-00008681</t>
  </si>
  <si>
    <t>FA-B 0005-00008682</t>
  </si>
  <si>
    <t>FA-B 0005-00008683</t>
  </si>
  <si>
    <t>FA-B 0005-00008684</t>
  </si>
  <si>
    <t>FA-B 0005-00008685</t>
  </si>
  <si>
    <t>FA-B 0005-00008686</t>
  </si>
  <si>
    <t>FA-B 0005-00008687</t>
  </si>
  <si>
    <t>FA-B 0005-00008688</t>
  </si>
  <si>
    <t>FA-A 0007-00001595</t>
  </si>
  <si>
    <t>FA-A 0007-00001596</t>
  </si>
  <si>
    <t>FA-A 0007-00001597</t>
  </si>
  <si>
    <t>FA-A 0007-00001598</t>
  </si>
  <si>
    <t>FA-B 0007-00004588</t>
  </si>
  <si>
    <t>FA-B 0007-00004589</t>
  </si>
  <si>
    <t>SANSONE, SANDRA MONICA</t>
  </si>
  <si>
    <t>FA-B 0007-00004590</t>
  </si>
  <si>
    <t>FA-B 0005-00008689</t>
  </si>
  <si>
    <t>FA-B 0005-00008690</t>
  </si>
  <si>
    <t>FA-B 0005-00008691</t>
  </si>
  <si>
    <t>FA-B 0005-00008692</t>
  </si>
  <si>
    <t>FA-B 0005-00008693</t>
  </si>
  <si>
    <t>FA-B 0005-00008694</t>
  </si>
  <si>
    <t>FA-B 0005-00008695</t>
  </si>
  <si>
    <t>FA-B 0005-00008696</t>
  </si>
  <si>
    <t>FA-B 0005-00008697</t>
  </si>
  <si>
    <t>FA-B 0005-00008698</t>
  </si>
  <si>
    <t>FA-B 0005-00008699</t>
  </si>
  <si>
    <t>FA-B 0005-00008700</t>
  </si>
  <si>
    <t>FA-B 0005-00008701</t>
  </si>
  <si>
    <t>FA-B 0005-00008702</t>
  </si>
  <si>
    <t>FA-B 0005-00008703</t>
  </si>
  <si>
    <t>FA-B 0005-00008704</t>
  </si>
  <si>
    <t>FA-B 0007-00004591</t>
  </si>
  <si>
    <t>CAMPOS, SUSANA ESTER</t>
  </si>
  <si>
    <t>FA-B 0007-00004592</t>
  </si>
  <si>
    <t>Desalvo Miguel Angel</t>
  </si>
  <si>
    <t>FA-B 0007-00004593</t>
  </si>
  <si>
    <t xml:space="preserve">PIRCHIO, LIDIA INES </t>
  </si>
  <si>
    <t>FA-B 0007-00004594</t>
  </si>
  <si>
    <t>VIEITES, BLANCA LEONOR</t>
  </si>
  <si>
    <t>FA-B 0007-00004595</t>
  </si>
  <si>
    <t>FA-B 0007-00004596</t>
  </si>
  <si>
    <t>ANDREOTTI, CECILIA BEATRIZ</t>
  </si>
  <si>
    <t>FA-B 0007-00004597</t>
  </si>
  <si>
    <t xml:space="preserve">PARANDELLI, HILDA </t>
  </si>
  <si>
    <t>FA-B 0007-00004598</t>
  </si>
  <si>
    <t>CORREA, PABLO FERNANDO</t>
  </si>
  <si>
    <t>FA-B 0007-00004599</t>
  </si>
  <si>
    <t>SPADONI, ANALIA BEATRIZ</t>
  </si>
  <si>
    <t>FA-B 0005-00008705</t>
  </si>
  <si>
    <t>FA-B 0005-00008706</t>
  </si>
  <si>
    <t>ROVERSO FLORENCIA VANINA</t>
  </si>
  <si>
    <t>FA-B 0005-00008707</t>
  </si>
  <si>
    <t>FA-B 0005-00008708</t>
  </si>
  <si>
    <t>FA-B 0005-00008709</t>
  </si>
  <si>
    <t>FA-B 0005-00008710</t>
  </si>
  <si>
    <t>FA-B 0005-00008711</t>
  </si>
  <si>
    <t>FA-B 0005-00008712</t>
  </si>
  <si>
    <t>FA-B 0005-00008713</t>
  </si>
  <si>
    <t>FA-B 0005-00008714</t>
  </si>
  <si>
    <t>MARTA LESCANO</t>
  </si>
  <si>
    <t>FA-B 0005-00008715</t>
  </si>
  <si>
    <t>FA-B 0005-00008716</t>
  </si>
  <si>
    <t>FA-B 0005-00008717</t>
  </si>
  <si>
    <t>FA-B 0005-00008718</t>
  </si>
  <si>
    <t>FA-B 0005-00008719</t>
  </si>
  <si>
    <t>FA-B 0005-00008720</t>
  </si>
  <si>
    <t>FA-B 0005-00008721</t>
  </si>
  <si>
    <t>FA-B 0005-00008722</t>
  </si>
  <si>
    <t>FA-B 0005-00008723</t>
  </si>
  <si>
    <t>FA-B 0005-00008724</t>
  </si>
  <si>
    <t>FA-B 0005-00008725</t>
  </si>
  <si>
    <t>FA-B 0005-00008726</t>
  </si>
  <si>
    <t>FA-B 0005-00008727</t>
  </si>
  <si>
    <t>FA-B 0005-00008728</t>
  </si>
  <si>
    <t>FA-B 0005-00008729</t>
  </si>
  <si>
    <t>FA-B 0005-00008730</t>
  </si>
  <si>
    <t>FA-B 0005-00008731</t>
  </si>
  <si>
    <t>FA-B 0005-00008732</t>
  </si>
  <si>
    <t>FA-B 0005-00008733</t>
  </si>
  <si>
    <t>FA-B 0005-00008734</t>
  </si>
  <si>
    <t>FA-B 0005-00008735</t>
  </si>
  <si>
    <t>FA-B 0005-00008736</t>
  </si>
  <si>
    <t>FA-B 0005-00008737</t>
  </si>
  <si>
    <t>FA-B 0005-00008738</t>
  </si>
  <si>
    <t>FA-B 0005-00008739</t>
  </si>
  <si>
    <t>FA-B 0005-00008740</t>
  </si>
  <si>
    <t>FA-B 0005-00008741</t>
  </si>
  <si>
    <t>FA-B 0005-00008742</t>
  </si>
  <si>
    <t>FA-B 0005-00008743</t>
  </si>
  <si>
    <t>FA-B 0005-00008744</t>
  </si>
  <si>
    <t>FA-B 0005-00008745</t>
  </si>
  <si>
    <t>FA-B 0005-00008746</t>
  </si>
  <si>
    <t>FA-B 0005-00008747</t>
  </si>
  <si>
    <t>FA-B 0005-00008748</t>
  </si>
  <si>
    <t>FA-B 0005-00008749</t>
  </si>
  <si>
    <t>FA-B 0005-00008750</t>
  </si>
  <si>
    <t>FA-B 0005-00008751</t>
  </si>
  <si>
    <t>FA-B 0005-00008752</t>
  </si>
  <si>
    <t>FA-B 0005-00008753</t>
  </si>
  <si>
    <t>FA-B 0005-00008754</t>
  </si>
  <si>
    <t>FA-B 0005-00008755</t>
  </si>
  <si>
    <t>FA-B 0005-00008756</t>
  </si>
  <si>
    <t>FA-B 0005-00008757</t>
  </si>
  <si>
    <t>FA-B 0005-00008758</t>
  </si>
  <si>
    <t>FA-B 0005-00008759</t>
  </si>
  <si>
    <t>FA-B 0005-00008760</t>
  </si>
  <si>
    <t>FA-B 0005-00008761</t>
  </si>
  <si>
    <t>FA-B 0005-00008762</t>
  </si>
  <si>
    <t>FA-A 0007-00001599</t>
  </si>
  <si>
    <t>FA-A 0007-00001600</t>
  </si>
  <si>
    <t>Fundacion Fundacion Arte Ba</t>
  </si>
  <si>
    <t>FA-B 0007-00004600</t>
  </si>
  <si>
    <t xml:space="preserve">NÚÑEZ DÍAZ, MICAELA VICTORIA </t>
  </si>
  <si>
    <t>FA-A 0005-00000136</t>
  </si>
  <si>
    <t>Azinter S.A.</t>
  </si>
  <si>
    <t>FA-B 0005-00008763</t>
  </si>
  <si>
    <t>FA-B 0005-00008764</t>
  </si>
  <si>
    <t>FA-B 0005-00008765</t>
  </si>
  <si>
    <t>FA-B 0005-00008766</t>
  </si>
  <si>
    <t>FA-B 0005-00008767</t>
  </si>
  <si>
    <t>FA-B 0005-00008768</t>
  </si>
  <si>
    <t>FA-B 0005-00008769</t>
  </si>
  <si>
    <t>FA-B 0005-00008770</t>
  </si>
  <si>
    <t>FA-B 0005-00008771</t>
  </si>
  <si>
    <t>FA-B 0005-00008772</t>
  </si>
  <si>
    <t>FA-B 0005-00008773</t>
  </si>
  <si>
    <t>FA-A 0007-00001601</t>
  </si>
  <si>
    <t>FA-B 0007-00004601</t>
  </si>
  <si>
    <t>CRISTIAN GOLDENHORN</t>
  </si>
  <si>
    <t>FA-B 0007-00004602</t>
  </si>
  <si>
    <t>FA-B 0007-00004603</t>
  </si>
  <si>
    <t>FA-B 0007-00004604</t>
  </si>
  <si>
    <t>LOMBARDO DE GATTO, ISABEL ROSA</t>
  </si>
  <si>
    <t>NC-B 0005-00000121</t>
  </si>
  <si>
    <t>FA-B 0005-00008774</t>
  </si>
  <si>
    <t>FA-B 0005-00008775</t>
  </si>
  <si>
    <t>FA-B 0005-00008776</t>
  </si>
  <si>
    <t>FA-B 0005-00008777</t>
  </si>
  <si>
    <t>FA-B 0005-00008778</t>
  </si>
  <si>
    <t>FA-B 0005-00008779</t>
  </si>
  <si>
    <t>FA-B 0005-00008780</t>
  </si>
  <si>
    <t>FA-B 0005-00008781</t>
  </si>
  <si>
    <t>FA-B 0005-00008782</t>
  </si>
  <si>
    <t>FA-B 0005-00008783</t>
  </si>
  <si>
    <t>FA-B 0005-00008784</t>
  </si>
  <si>
    <t>FA-B 0005-00008785</t>
  </si>
  <si>
    <t>FA-B 0005-00008786</t>
  </si>
  <si>
    <t>FA-B 0005-00008787</t>
  </si>
  <si>
    <t>FA-B 0005-00008788</t>
  </si>
  <si>
    <t>FA-B 0005-00008789</t>
  </si>
  <si>
    <t>FA-B 0005-00008790</t>
  </si>
  <si>
    <t>FA-B 0005-00008791</t>
  </si>
  <si>
    <t>FA-B 0005-00008792</t>
  </si>
  <si>
    <t>FA-B 0005-00008793</t>
  </si>
  <si>
    <t>FA-A 0006-00000381</t>
  </si>
  <si>
    <t>FA-A 0007-00001602</t>
  </si>
  <si>
    <t>FA-A 0007-00001603</t>
  </si>
  <si>
    <t>FA-A 0007-00001604</t>
  </si>
  <si>
    <t>FA-B 0007-00004605</t>
  </si>
  <si>
    <t>SILVIA ROLDAN</t>
  </si>
  <si>
    <t>FA-B 0007-00004606</t>
  </si>
  <si>
    <t>FA-B 0007-00004607</t>
  </si>
  <si>
    <t>ZAIDMAN, CESAR JAVIER</t>
  </si>
  <si>
    <t>FA-B 0007-00004608</t>
  </si>
  <si>
    <t xml:space="preserve">DOMINGUEZ, DANNA ROCIO </t>
  </si>
  <si>
    <t>a</t>
  </si>
  <si>
    <t>b</t>
  </si>
  <si>
    <t>c</t>
  </si>
  <si>
    <t>d</t>
  </si>
  <si>
    <t>e</t>
  </si>
  <si>
    <t>YA FUE INGRESADO ANTES</t>
  </si>
  <si>
    <t>YA FUE AGREGADA 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</si>
</sst>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FreeSans"/>
      <family val="2"/>
    </font>
    <font>
      <b/>
      <sz val="10"/>
      <color indexed="9"/>
      <name val="Arial"/>
      <family val="2"/>
    </font>
    <font>
      <b/>
      <sz val="11"/>
      <color rgb="FF0061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6" borderId="0" applyNumberFormat="0" applyBorder="0" applyAlignment="0" applyProtection="0"/>
  </cellStyleXfs>
  <cellXfs count="323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4" fontId="43" fillId="0" borderId="5" xfId="0" applyNumberFormat="1" applyFon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4" fontId="0" fillId="0" borderId="0" xfId="0" applyNumberFormat="1" applyFill="1"/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9" fillId="0" borderId="1" xfId="9" applyNumberFormat="1" applyFont="1" applyFill="1" applyBorder="1" applyAlignment="1">
      <alignment horizontal="center"/>
    </xf>
    <xf numFmtId="4" fontId="19" fillId="0" borderId="1" xfId="9" applyNumberFormat="1" applyFont="1" applyFill="1" applyBorder="1" applyAlignment="1">
      <alignment horizontal="right"/>
    </xf>
    <xf numFmtId="167" fontId="9" fillId="0" borderId="1" xfId="9" applyNumberFormat="1" applyFont="1" applyFill="1" applyBorder="1" applyAlignment="1">
      <alignment horizontal="center"/>
    </xf>
    <xf numFmtId="0" fontId="9" fillId="0" borderId="1" xfId="9" applyFont="1" applyFill="1" applyBorder="1" applyAlignment="1">
      <alignment horizontal="center"/>
    </xf>
    <xf numFmtId="167" fontId="9" fillId="15" borderId="1" xfId="9" applyNumberFormat="1" applyFont="1" applyFill="1" applyBorder="1" applyAlignment="1">
      <alignment horizontal="center"/>
    </xf>
    <xf numFmtId="167" fontId="9" fillId="15" borderId="4" xfId="9" applyNumberFormat="1" applyFont="1" applyFill="1" applyBorder="1" applyAlignment="1">
      <alignment horizontal="center"/>
    </xf>
    <xf numFmtId="4" fontId="57" fillId="12" borderId="1" xfId="0" applyNumberFormat="1" applyFont="1" applyFill="1" applyBorder="1" applyAlignment="1">
      <alignment horizontal="center"/>
    </xf>
    <xf numFmtId="0" fontId="63" fillId="0" borderId="0" xfId="0" applyFont="1"/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60" fillId="16" borderId="1" xfId="11" applyBorder="1"/>
    <xf numFmtId="0" fontId="64" fillId="0" borderId="0" xfId="0" applyFont="1" applyBorder="1"/>
    <xf numFmtId="0" fontId="56" fillId="0" borderId="1" xfId="0" applyFont="1" applyBorder="1" applyAlignment="1">
      <alignment horizontal="left"/>
    </xf>
    <xf numFmtId="49" fontId="56" fillId="0" borderId="1" xfId="0" applyNumberFormat="1" applyFont="1" applyBorder="1" applyAlignment="1">
      <alignment horizontal="left"/>
    </xf>
    <xf numFmtId="2" fontId="65" fillId="16" borderId="1" xfId="11" applyNumberFormat="1" applyFont="1" applyBorder="1" applyAlignment="1">
      <alignment horizontal="right" vertical="center"/>
    </xf>
    <xf numFmtId="167" fontId="9" fillId="17" borderId="4" xfId="9" applyNumberFormat="1" applyFont="1" applyFill="1" applyBorder="1" applyAlignment="1">
      <alignment horizontal="center"/>
    </xf>
    <xf numFmtId="168" fontId="9" fillId="17" borderId="5" xfId="9" applyNumberFormat="1" applyFont="1" applyFill="1" applyBorder="1" applyAlignment="1">
      <alignment horizontal="center"/>
    </xf>
    <xf numFmtId="169" fontId="9" fillId="17" borderId="5" xfId="9" applyNumberFormat="1" applyFont="1" applyFill="1" applyBorder="1" applyAlignment="1">
      <alignment horizontal="center"/>
    </xf>
    <xf numFmtId="171" fontId="27" fillId="17" borderId="1" xfId="9" applyNumberFormat="1" applyFont="1" applyFill="1" applyBorder="1" applyAlignment="1">
      <alignment horizontal="center"/>
    </xf>
    <xf numFmtId="0" fontId="9" fillId="17" borderId="9" xfId="9" applyFont="1" applyFill="1" applyBorder="1" applyAlignment="1">
      <alignment horizontal="left"/>
    </xf>
    <xf numFmtId="4" fontId="25" fillId="17" borderId="5" xfId="9" applyNumberFormat="1" applyFont="1" applyFill="1" applyBorder="1" applyAlignment="1">
      <alignment horizontal="center"/>
    </xf>
    <xf numFmtId="4" fontId="9" fillId="17" borderId="9" xfId="9" applyNumberFormat="1" applyFont="1" applyFill="1" applyBorder="1" applyAlignment="1">
      <alignment horizontal="center"/>
    </xf>
    <xf numFmtId="4" fontId="9" fillId="17" borderId="9" xfId="0" applyNumberFormat="1" applyFont="1" applyFill="1" applyBorder="1"/>
    <xf numFmtId="4" fontId="9" fillId="17" borderId="10" xfId="9" applyNumberFormat="1" applyFont="1" applyFill="1" applyBorder="1" applyAlignment="1">
      <alignment horizontal="right"/>
    </xf>
    <xf numFmtId="4" fontId="19" fillId="17" borderId="10" xfId="9" applyNumberFormat="1" applyFont="1" applyFill="1" applyBorder="1" applyAlignment="1">
      <alignment horizontal="right"/>
    </xf>
    <xf numFmtId="168" fontId="9" fillId="10" borderId="5" xfId="9" applyNumberFormat="1" applyFont="1" applyFill="1" applyBorder="1" applyAlignment="1">
      <alignment horizontal="center"/>
    </xf>
    <xf numFmtId="169" fontId="9" fillId="10" borderId="5" xfId="9" applyNumberFormat="1" applyFont="1" applyFill="1" applyBorder="1" applyAlignment="1">
      <alignment horizontal="center"/>
    </xf>
    <xf numFmtId="171" fontId="27" fillId="10" borderId="1" xfId="9" applyNumberFormat="1" applyFont="1" applyFill="1" applyBorder="1" applyAlignment="1">
      <alignment horizontal="center"/>
    </xf>
    <xf numFmtId="0" fontId="9" fillId="10" borderId="9" xfId="9" applyFont="1" applyFill="1" applyBorder="1" applyAlignment="1">
      <alignment horizontal="left"/>
    </xf>
    <xf numFmtId="4" fontId="25" fillId="10" borderId="5" xfId="9" applyNumberFormat="1" applyFont="1" applyFill="1" applyBorder="1" applyAlignment="1">
      <alignment horizontal="center"/>
    </xf>
    <xf numFmtId="4" fontId="9" fillId="10" borderId="9" xfId="9" applyNumberFormat="1" applyFont="1" applyFill="1" applyBorder="1" applyAlignment="1">
      <alignment horizontal="center"/>
    </xf>
    <xf numFmtId="4" fontId="9" fillId="10" borderId="10" xfId="9" applyNumberFormat="1" applyFont="1" applyFill="1" applyBorder="1" applyAlignment="1">
      <alignment horizontal="right"/>
    </xf>
    <xf numFmtId="4" fontId="19" fillId="10" borderId="10" xfId="9" applyNumberFormat="1" applyFont="1" applyFill="1" applyBorder="1" applyAlignment="1">
      <alignment horizontal="right"/>
    </xf>
    <xf numFmtId="167" fontId="9" fillId="18" borderId="4" xfId="9" applyNumberFormat="1" applyFont="1" applyFill="1" applyBorder="1" applyAlignment="1">
      <alignment horizontal="center"/>
    </xf>
    <xf numFmtId="166" fontId="10" fillId="10" borderId="0" xfId="8" applyNumberFormat="1" applyFont="1" applyFill="1" applyBorder="1" applyAlignment="1">
      <alignment horizontal="right"/>
    </xf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164" fontId="65" fillId="16" borderId="1" xfId="3" applyFont="1" applyFill="1" applyBorder="1" applyAlignment="1">
      <alignment horizontal="right" vertical="center"/>
    </xf>
    <xf numFmtId="164" fontId="0" fillId="0" borderId="0" xfId="3" applyFont="1"/>
  </cellXfs>
  <cellStyles count="12">
    <cellStyle name="Bueno" xfId="11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o completar" xfId="4" xr:uid="{00000000-0005-0000-0000-000005000000}"/>
    <cellStyle name="No completar 2" xfId="5" xr:uid="{00000000-0005-0000-0000-000006000000}"/>
    <cellStyle name="Normal" xfId="0" builtinId="0"/>
    <cellStyle name="Normal 2" xfId="6" xr:uid="{00000000-0005-0000-0000-000008000000}"/>
    <cellStyle name="Normal 3" xfId="7" xr:uid="{00000000-0005-0000-0000-000009000000}"/>
    <cellStyle name="Normal 3_Compras-Ventas 2011_Compras y Ventas 2014" xfId="8" xr:uid="{00000000-0005-0000-0000-00000A000000}"/>
    <cellStyle name="Normal 3_Compras-Ventas 2011_Compras y Ventas 2014_Compras-Ventas 2018" xfId="9" xr:uid="{00000000-0005-0000-0000-00000B000000}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22" zoomScale="150" zoomScaleNormal="150" workbookViewId="0">
      <selection activeCell="D538" sqref="D538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>
      <c r="A4" s="84">
        <v>30628205090</v>
      </c>
      <c r="B4" s="77" t="s">
        <v>144</v>
      </c>
      <c r="C4" s="78" t="s">
        <v>80</v>
      </c>
    </row>
    <row r="5" spans="1:7">
      <c r="A5" s="242">
        <v>30711678820</v>
      </c>
      <c r="B5" s="79" t="s">
        <v>386</v>
      </c>
      <c r="C5" s="80" t="s">
        <v>41</v>
      </c>
    </row>
    <row r="6" spans="1:7">
      <c r="A6" s="208">
        <v>33716367539</v>
      </c>
      <c r="B6" s="77" t="s">
        <v>347</v>
      </c>
      <c r="C6" s="80" t="s">
        <v>41</v>
      </c>
    </row>
    <row r="7" spans="1:7">
      <c r="A7" s="84">
        <v>30660373108</v>
      </c>
      <c r="B7" s="77" t="s">
        <v>307</v>
      </c>
      <c r="C7" s="80" t="s">
        <v>54</v>
      </c>
    </row>
    <row r="8" spans="1:7">
      <c r="A8" s="84">
        <v>20300210881</v>
      </c>
      <c r="B8" s="77" t="s">
        <v>356</v>
      </c>
      <c r="C8" s="80" t="s">
        <v>41</v>
      </c>
    </row>
    <row r="9" spans="1:7">
      <c r="A9" s="84">
        <v>27229910782</v>
      </c>
      <c r="B9" s="77" t="s">
        <v>560</v>
      </c>
      <c r="C9" s="80" t="s">
        <v>41</v>
      </c>
    </row>
    <row r="10" spans="1:7">
      <c r="A10" s="84">
        <v>20242709897</v>
      </c>
      <c r="B10" s="77" t="s">
        <v>564</v>
      </c>
      <c r="C10" s="80" t="s">
        <v>41</v>
      </c>
    </row>
    <row r="11" spans="1:7">
      <c r="A11" s="84">
        <v>20281669053</v>
      </c>
      <c r="B11" s="77" t="s">
        <v>194</v>
      </c>
      <c r="C11" s="80" t="s">
        <v>36</v>
      </c>
    </row>
    <row r="12" spans="1:7">
      <c r="A12" s="84">
        <v>20174240125</v>
      </c>
      <c r="B12" s="77" t="s">
        <v>216</v>
      </c>
      <c r="C12" s="80" t="s">
        <v>54</v>
      </c>
    </row>
    <row r="13" spans="1:7">
      <c r="A13" s="84">
        <v>30641659106</v>
      </c>
      <c r="B13" s="77" t="s">
        <v>313</v>
      </c>
      <c r="C13" s="80" t="s">
        <v>54</v>
      </c>
    </row>
    <row r="14" spans="1:7">
      <c r="A14" s="84">
        <v>33709914109</v>
      </c>
      <c r="B14" s="77" t="s">
        <v>323</v>
      </c>
      <c r="C14" s="80" t="s">
        <v>54</v>
      </c>
    </row>
    <row r="15" spans="1:7">
      <c r="A15" s="208">
        <v>20267161616</v>
      </c>
      <c r="B15" s="77" t="s">
        <v>423</v>
      </c>
      <c r="C15" s="80" t="s">
        <v>54</v>
      </c>
    </row>
    <row r="16" spans="1:7">
      <c r="A16" s="92">
        <v>20110352108</v>
      </c>
      <c r="B16" s="77" t="s">
        <v>578</v>
      </c>
      <c r="C16" s="80" t="s">
        <v>124</v>
      </c>
    </row>
    <row r="17" spans="1:4">
      <c r="A17" s="85">
        <v>30645337979</v>
      </c>
      <c r="B17" s="81" t="s">
        <v>164</v>
      </c>
      <c r="C17" s="80" t="s">
        <v>80</v>
      </c>
    </row>
    <row r="18" spans="1:4">
      <c r="A18" s="84">
        <v>30656038752</v>
      </c>
      <c r="B18" s="77" t="s">
        <v>247</v>
      </c>
      <c r="C18" s="80" t="s">
        <v>43</v>
      </c>
    </row>
    <row r="19" spans="1:4">
      <c r="A19" s="84">
        <v>30707014756</v>
      </c>
      <c r="B19" s="77" t="s">
        <v>485</v>
      </c>
      <c r="C19" s="80" t="s">
        <v>54</v>
      </c>
    </row>
    <row r="20" spans="1:4">
      <c r="A20" s="86">
        <v>30716375176</v>
      </c>
      <c r="B20" s="77" t="s">
        <v>57</v>
      </c>
      <c r="C20" s="80" t="s">
        <v>41</v>
      </c>
    </row>
    <row r="21" spans="1:4">
      <c r="A21" s="208">
        <v>30710406037</v>
      </c>
      <c r="B21" s="77" t="s">
        <v>460</v>
      </c>
      <c r="C21" s="80" t="s">
        <v>41</v>
      </c>
      <c r="D21" s="100"/>
    </row>
    <row r="22" spans="1:4">
      <c r="A22" s="208">
        <v>30715678310</v>
      </c>
      <c r="B22" s="77" t="s">
        <v>237</v>
      </c>
      <c r="C22" s="80" t="s">
        <v>54</v>
      </c>
      <c r="D22" s="100"/>
    </row>
    <row r="23" spans="1:4">
      <c r="A23" s="92">
        <v>27265533006</v>
      </c>
      <c r="B23" s="77" t="s">
        <v>519</v>
      </c>
      <c r="C23" s="80" t="s">
        <v>41</v>
      </c>
    </row>
    <row r="24" spans="1:4">
      <c r="A24" s="84">
        <v>27133963524</v>
      </c>
      <c r="B24" s="77" t="s">
        <v>401</v>
      </c>
      <c r="C24" s="80" t="s">
        <v>41</v>
      </c>
    </row>
    <row r="25" spans="1:4">
      <c r="A25" s="86">
        <v>27101205733</v>
      </c>
      <c r="B25" s="81" t="s">
        <v>133</v>
      </c>
      <c r="C25" s="80" t="s">
        <v>41</v>
      </c>
    </row>
    <row r="26" spans="1:4">
      <c r="A26" s="86">
        <v>30574816870</v>
      </c>
      <c r="B26" s="77" t="s">
        <v>191</v>
      </c>
      <c r="C26" s="80" t="s">
        <v>192</v>
      </c>
    </row>
    <row r="27" spans="1:4">
      <c r="A27" s="84">
        <v>30710986416</v>
      </c>
      <c r="B27" s="77" t="s">
        <v>273</v>
      </c>
      <c r="C27" s="80" t="s">
        <v>43</v>
      </c>
    </row>
    <row r="28" spans="1:4">
      <c r="A28" s="84">
        <v>30683702060</v>
      </c>
      <c r="B28" s="77" t="s">
        <v>488</v>
      </c>
      <c r="C28" s="80" t="s">
        <v>41</v>
      </c>
    </row>
    <row r="29" spans="1:4">
      <c r="A29" s="84">
        <v>27252316057</v>
      </c>
      <c r="B29" s="77" t="s">
        <v>522</v>
      </c>
      <c r="C29" s="80" t="s">
        <v>38</v>
      </c>
    </row>
    <row r="30" spans="1:4">
      <c r="A30" s="84">
        <v>30711492409</v>
      </c>
      <c r="B30" s="77" t="s">
        <v>410</v>
      </c>
      <c r="C30" s="80" t="s">
        <v>41</v>
      </c>
    </row>
    <row r="31" spans="1:4">
      <c r="A31" s="84">
        <v>30600907553</v>
      </c>
      <c r="B31" s="77" t="s">
        <v>209</v>
      </c>
      <c r="C31" s="80" t="s">
        <v>54</v>
      </c>
    </row>
    <row r="32" spans="1:4">
      <c r="A32" s="208">
        <v>30715290835</v>
      </c>
      <c r="B32" s="79" t="s">
        <v>422</v>
      </c>
      <c r="C32" s="80" t="s">
        <v>54</v>
      </c>
    </row>
    <row r="33" spans="1:7">
      <c r="A33" s="84">
        <v>30708973501</v>
      </c>
      <c r="B33" s="79" t="s">
        <v>63</v>
      </c>
      <c r="C33" s="80" t="s">
        <v>43</v>
      </c>
    </row>
    <row r="34" spans="1:7">
      <c r="A34" s="85">
        <v>30590354798</v>
      </c>
      <c r="B34" s="81" t="s">
        <v>81</v>
      </c>
      <c r="C34" s="80" t="s">
        <v>80</v>
      </c>
    </row>
    <row r="35" spans="1:7">
      <c r="A35" s="39">
        <v>30690973517</v>
      </c>
      <c r="B35" s="79" t="s">
        <v>352</v>
      </c>
      <c r="C35" s="80" t="s">
        <v>80</v>
      </c>
    </row>
    <row r="36" spans="1:7">
      <c r="A36" s="84">
        <v>30714416622</v>
      </c>
      <c r="B36" s="79" t="s">
        <v>257</v>
      </c>
      <c r="C36" s="80" t="s">
        <v>54</v>
      </c>
    </row>
    <row r="37" spans="1:7">
      <c r="A37" s="84">
        <v>30708436506</v>
      </c>
      <c r="B37" s="79" t="s">
        <v>285</v>
      </c>
      <c r="C37" s="80" t="s">
        <v>80</v>
      </c>
    </row>
    <row r="38" spans="1:7">
      <c r="A38" s="247">
        <v>30677237119</v>
      </c>
      <c r="B38" s="248" t="s">
        <v>432</v>
      </c>
      <c r="C38" s="249" t="s">
        <v>374</v>
      </c>
    </row>
    <row r="39" spans="1:7">
      <c r="A39" s="208">
        <v>30574876474</v>
      </c>
      <c r="B39" s="79" t="s">
        <v>373</v>
      </c>
      <c r="C39" s="80" t="s">
        <v>374</v>
      </c>
    </row>
    <row r="40" spans="1:7">
      <c r="A40" s="84">
        <v>20379223185</v>
      </c>
      <c r="B40" s="79" t="s">
        <v>409</v>
      </c>
      <c r="C40" s="80" t="s">
        <v>41</v>
      </c>
    </row>
    <row r="41" spans="1:7">
      <c r="A41" s="84">
        <v>33714662819</v>
      </c>
      <c r="B41" s="79" t="s">
        <v>47</v>
      </c>
      <c r="C41" s="80" t="s">
        <v>41</v>
      </c>
    </row>
    <row r="42" spans="1:7">
      <c r="A42" s="86">
        <v>33716314869</v>
      </c>
      <c r="B42" s="79" t="s">
        <v>58</v>
      </c>
      <c r="C42" s="80" t="s">
        <v>41</v>
      </c>
    </row>
    <row r="43" spans="1:7">
      <c r="A43" s="84">
        <v>30715923374</v>
      </c>
      <c r="B43" s="79" t="s">
        <v>223</v>
      </c>
      <c r="C43" s="80" t="s">
        <v>41</v>
      </c>
    </row>
    <row r="44" spans="1:7">
      <c r="A44" s="84">
        <v>33714642079</v>
      </c>
      <c r="B44" s="77" t="s">
        <v>212</v>
      </c>
      <c r="C44" s="82" t="s">
        <v>54</v>
      </c>
    </row>
    <row r="45" spans="1:7">
      <c r="A45" s="84">
        <v>33711430879</v>
      </c>
      <c r="B45" s="77" t="s">
        <v>280</v>
      </c>
      <c r="C45" s="82" t="s">
        <v>41</v>
      </c>
    </row>
    <row r="46" spans="1:7">
      <c r="A46" s="84">
        <v>33716391049</v>
      </c>
      <c r="B46" s="77" t="s">
        <v>284</v>
      </c>
      <c r="C46" s="82" t="s">
        <v>54</v>
      </c>
    </row>
    <row r="47" spans="1:7">
      <c r="A47" s="84">
        <v>30707267077</v>
      </c>
      <c r="B47" s="77" t="s">
        <v>408</v>
      </c>
      <c r="C47" s="82" t="s">
        <v>41</v>
      </c>
      <c r="F47"/>
      <c r="G47"/>
    </row>
    <row r="48" spans="1:7">
      <c r="A48" s="84">
        <v>20109274268</v>
      </c>
      <c r="B48" s="77" t="s">
        <v>270</v>
      </c>
      <c r="C48" s="82" t="s">
        <v>36</v>
      </c>
      <c r="F48"/>
      <c r="G48"/>
    </row>
    <row r="49" spans="1:7">
      <c r="A49" s="84">
        <v>20172955763</v>
      </c>
      <c r="B49" s="77" t="s">
        <v>415</v>
      </c>
      <c r="C49" s="82" t="s">
        <v>41</v>
      </c>
      <c r="F49"/>
      <c r="G49"/>
    </row>
    <row r="50" spans="1:7">
      <c r="A50" s="84">
        <v>20119743959</v>
      </c>
      <c r="B50" s="77" t="s">
        <v>338</v>
      </c>
      <c r="C50" s="82" t="s">
        <v>41</v>
      </c>
      <c r="F50"/>
      <c r="G50"/>
    </row>
    <row r="51" spans="1:7">
      <c r="A51" s="84">
        <v>30711091552</v>
      </c>
      <c r="B51" s="77" t="s">
        <v>245</v>
      </c>
      <c r="C51" s="82" t="s">
        <v>54</v>
      </c>
      <c r="F51"/>
      <c r="G51"/>
    </row>
    <row r="52" spans="1:7">
      <c r="A52" s="85">
        <v>30715833243</v>
      </c>
      <c r="B52" s="77" t="s">
        <v>152</v>
      </c>
      <c r="C52" s="82" t="s">
        <v>41</v>
      </c>
      <c r="F52"/>
      <c r="G52"/>
    </row>
    <row r="53" spans="1:7">
      <c r="A53" s="86">
        <v>30712230459</v>
      </c>
      <c r="B53" s="77" t="s">
        <v>60</v>
      </c>
      <c r="C53" s="82" t="s">
        <v>41</v>
      </c>
      <c r="F53"/>
      <c r="G53"/>
    </row>
    <row r="54" spans="1:7">
      <c r="A54" s="84">
        <v>27265832178</v>
      </c>
      <c r="B54" s="77" t="s">
        <v>481</v>
      </c>
      <c r="C54" s="82" t="s">
        <v>41</v>
      </c>
      <c r="F54"/>
      <c r="G54"/>
    </row>
    <row r="55" spans="1:7">
      <c r="A55" s="84">
        <v>20043137817</v>
      </c>
      <c r="B55" s="77" t="s">
        <v>535</v>
      </c>
      <c r="C55" s="82" t="s">
        <v>54</v>
      </c>
      <c r="F55"/>
      <c r="G55"/>
    </row>
    <row r="56" spans="1:7">
      <c r="A56" s="84">
        <v>20400104094</v>
      </c>
      <c r="B56" s="77" t="s">
        <v>236</v>
      </c>
      <c r="C56" s="82" t="s">
        <v>38</v>
      </c>
      <c r="F56"/>
      <c r="G56"/>
    </row>
    <row r="57" spans="1:7">
      <c r="A57" s="85">
        <v>20086277523</v>
      </c>
      <c r="B57" s="77" t="s">
        <v>37</v>
      </c>
      <c r="C57" s="82" t="s">
        <v>38</v>
      </c>
      <c r="F57"/>
      <c r="G57"/>
    </row>
    <row r="58" spans="1:7">
      <c r="A58" s="84">
        <v>20389908569</v>
      </c>
      <c r="B58" s="77" t="s">
        <v>281</v>
      </c>
      <c r="C58" s="82" t="s">
        <v>38</v>
      </c>
      <c r="F58"/>
      <c r="G58"/>
    </row>
    <row r="59" spans="1:7">
      <c r="A59" s="92">
        <v>33714174539</v>
      </c>
      <c r="B59" s="77" t="s">
        <v>366</v>
      </c>
      <c r="C59" s="82" t="s">
        <v>41</v>
      </c>
      <c r="F59"/>
      <c r="G59"/>
    </row>
    <row r="60" spans="1:7">
      <c r="A60" s="92">
        <v>20291406212</v>
      </c>
      <c r="B60" s="77" t="s">
        <v>403</v>
      </c>
      <c r="C60" s="82" t="s">
        <v>41</v>
      </c>
      <c r="F60"/>
      <c r="G60"/>
    </row>
    <row r="61" spans="1:7">
      <c r="A61" s="92">
        <v>30716371812</v>
      </c>
      <c r="B61" s="77" t="s">
        <v>549</v>
      </c>
      <c r="C61" s="82" t="s">
        <v>41</v>
      </c>
      <c r="F61"/>
      <c r="G61"/>
    </row>
    <row r="62" spans="1:7">
      <c r="A62" s="84">
        <v>27211511023</v>
      </c>
      <c r="B62" s="77" t="s">
        <v>262</v>
      </c>
      <c r="C62" s="82" t="s">
        <v>41</v>
      </c>
      <c r="F62"/>
      <c r="G62"/>
    </row>
    <row r="63" spans="1:7">
      <c r="A63" s="84">
        <v>30714295957</v>
      </c>
      <c r="B63" s="77" t="s">
        <v>439</v>
      </c>
      <c r="C63" s="82" t="s">
        <v>54</v>
      </c>
      <c r="F63"/>
      <c r="G63"/>
    </row>
    <row r="64" spans="1:7">
      <c r="A64" s="84">
        <v>27289847141</v>
      </c>
      <c r="B64" s="77" t="s">
        <v>290</v>
      </c>
      <c r="C64" s="82" t="s">
        <v>54</v>
      </c>
    </row>
    <row r="65" spans="1:3">
      <c r="A65" s="84">
        <v>23255855204</v>
      </c>
      <c r="B65" s="77" t="s">
        <v>509</v>
      </c>
      <c r="C65" s="82" t="s">
        <v>36</v>
      </c>
    </row>
    <row r="66" spans="1:3">
      <c r="A66" s="247">
        <v>27338342840</v>
      </c>
      <c r="B66" s="236" t="s">
        <v>435</v>
      </c>
      <c r="C66" s="237" t="s">
        <v>41</v>
      </c>
    </row>
    <row r="67" spans="1:3">
      <c r="A67" s="84">
        <v>30709876135</v>
      </c>
      <c r="B67" s="77" t="s">
        <v>150</v>
      </c>
      <c r="C67" s="82" t="s">
        <v>41</v>
      </c>
    </row>
    <row r="68" spans="1:3">
      <c r="A68" s="84">
        <v>30571666037</v>
      </c>
      <c r="B68" s="77" t="s">
        <v>581</v>
      </c>
      <c r="C68" s="82" t="s">
        <v>54</v>
      </c>
    </row>
    <row r="69" spans="1:3">
      <c r="A69" s="84">
        <v>27364044319</v>
      </c>
      <c r="B69" s="77" t="s">
        <v>154</v>
      </c>
      <c r="C69" s="82" t="s">
        <v>41</v>
      </c>
    </row>
    <row r="70" spans="1:3">
      <c r="A70" s="84">
        <v>30715116274</v>
      </c>
      <c r="B70" s="81" t="s">
        <v>136</v>
      </c>
      <c r="C70" s="82" t="s">
        <v>41</v>
      </c>
    </row>
    <row r="71" spans="1:3">
      <c r="A71" s="84">
        <v>27326703384</v>
      </c>
      <c r="B71" s="77" t="s">
        <v>507</v>
      </c>
      <c r="C71" s="82" t="s">
        <v>124</v>
      </c>
    </row>
    <row r="72" spans="1:3">
      <c r="A72" s="84">
        <v>20129871947</v>
      </c>
      <c r="B72" s="77" t="s">
        <v>213</v>
      </c>
      <c r="C72" s="82" t="s">
        <v>41</v>
      </c>
    </row>
    <row r="73" spans="1:3">
      <c r="A73" s="91">
        <v>30648604021</v>
      </c>
      <c r="B73" s="77" t="s">
        <v>495</v>
      </c>
      <c r="C73" s="82" t="s">
        <v>41</v>
      </c>
    </row>
    <row r="74" spans="1:3">
      <c r="A74" s="91">
        <v>20372769808</v>
      </c>
      <c r="B74" s="77" t="s">
        <v>436</v>
      </c>
      <c r="C74" s="82" t="s">
        <v>54</v>
      </c>
    </row>
    <row r="75" spans="1:3">
      <c r="A75" s="92">
        <v>30575818826</v>
      </c>
      <c r="B75" s="77" t="s">
        <v>275</v>
      </c>
      <c r="C75" s="82" t="s">
        <v>54</v>
      </c>
    </row>
    <row r="76" spans="1:3">
      <c r="A76" s="92">
        <v>30575945232</v>
      </c>
      <c r="B76" s="77" t="s">
        <v>211</v>
      </c>
      <c r="C76" s="82" t="s">
        <v>54</v>
      </c>
    </row>
    <row r="77" spans="1:3">
      <c r="A77" s="243">
        <v>33712276539</v>
      </c>
      <c r="B77" s="77" t="s">
        <v>355</v>
      </c>
      <c r="C77" s="82" t="s">
        <v>54</v>
      </c>
    </row>
    <row r="78" spans="1:3">
      <c r="A78" s="92">
        <v>30716174766</v>
      </c>
      <c r="B78" s="77" t="s">
        <v>342</v>
      </c>
      <c r="C78" s="82" t="s">
        <v>41</v>
      </c>
    </row>
    <row r="79" spans="1:3">
      <c r="A79" s="92">
        <v>33715179119</v>
      </c>
      <c r="B79" s="77" t="s">
        <v>361</v>
      </c>
      <c r="C79" s="82" t="s">
        <v>54</v>
      </c>
    </row>
    <row r="80" spans="1:3">
      <c r="A80" s="243">
        <v>30590360763</v>
      </c>
      <c r="B80" s="77" t="s">
        <v>354</v>
      </c>
      <c r="C80" s="82" t="s">
        <v>54</v>
      </c>
    </row>
    <row r="81" spans="1:3">
      <c r="A81" s="92">
        <v>30707612971</v>
      </c>
      <c r="B81" s="77" t="s">
        <v>75</v>
      </c>
      <c r="C81" s="82" t="s">
        <v>80</v>
      </c>
    </row>
    <row r="82" spans="1:3">
      <c r="A82" s="92">
        <v>30714758116</v>
      </c>
      <c r="B82" s="77" t="s">
        <v>561</v>
      </c>
      <c r="C82" s="82" t="s">
        <v>41</v>
      </c>
    </row>
    <row r="83" spans="1:3">
      <c r="A83" s="92">
        <v>27318630157</v>
      </c>
      <c r="B83" s="77" t="s">
        <v>596</v>
      </c>
      <c r="C83" s="82" t="s">
        <v>54</v>
      </c>
    </row>
    <row r="84" spans="1:3">
      <c r="A84" s="244">
        <v>30707535934</v>
      </c>
      <c r="B84" s="77" t="s">
        <v>306</v>
      </c>
      <c r="C84" s="82" t="s">
        <v>54</v>
      </c>
    </row>
    <row r="85" spans="1:3">
      <c r="A85" s="92">
        <v>30696692951</v>
      </c>
      <c r="B85" s="77" t="s">
        <v>577</v>
      </c>
      <c r="C85" s="82" t="s">
        <v>54</v>
      </c>
    </row>
    <row r="86" spans="1:3">
      <c r="A86" s="243">
        <v>30594832783</v>
      </c>
      <c r="B86" s="77" t="s">
        <v>392</v>
      </c>
      <c r="C86" s="82" t="s">
        <v>54</v>
      </c>
    </row>
    <row r="87" spans="1:3">
      <c r="A87" s="92">
        <v>30707986189</v>
      </c>
      <c r="B87" s="81" t="s">
        <v>231</v>
      </c>
      <c r="C87" s="82" t="s">
        <v>41</v>
      </c>
    </row>
    <row r="88" spans="1:3">
      <c r="A88" s="93">
        <v>23334822869</v>
      </c>
      <c r="B88" s="77" t="s">
        <v>483</v>
      </c>
      <c r="C88" s="82" t="s">
        <v>54</v>
      </c>
    </row>
    <row r="89" spans="1:3">
      <c r="A89" s="208">
        <v>23258785479</v>
      </c>
      <c r="B89" s="77" t="s">
        <v>459</v>
      </c>
      <c r="C89" s="82" t="s">
        <v>54</v>
      </c>
    </row>
    <row r="90" spans="1:3">
      <c r="A90" s="84">
        <v>20274215632</v>
      </c>
      <c r="B90" s="77" t="s">
        <v>587</v>
      </c>
      <c r="C90" s="82" t="s">
        <v>54</v>
      </c>
    </row>
    <row r="91" spans="1:3">
      <c r="A91" s="84">
        <v>30688140923</v>
      </c>
      <c r="B91" s="77" t="s">
        <v>196</v>
      </c>
      <c r="C91" s="82" t="s">
        <v>41</v>
      </c>
    </row>
    <row r="92" spans="1:3">
      <c r="A92" s="208">
        <v>30708736186</v>
      </c>
      <c r="B92" s="77" t="s">
        <v>597</v>
      </c>
      <c r="C92" s="82" t="s">
        <v>54</v>
      </c>
    </row>
    <row r="93" spans="1:3">
      <c r="A93" s="84">
        <v>23359537069</v>
      </c>
      <c r="B93" s="77" t="s">
        <v>512</v>
      </c>
      <c r="C93" s="82" t="s">
        <v>41</v>
      </c>
    </row>
    <row r="94" spans="1:3">
      <c r="A94" s="92">
        <v>33710268059</v>
      </c>
      <c r="B94" s="77" t="s">
        <v>215</v>
      </c>
      <c r="C94" s="82" t="s">
        <v>43</v>
      </c>
    </row>
    <row r="95" spans="1:3">
      <c r="A95" s="88">
        <v>30605344352</v>
      </c>
      <c r="B95" s="77" t="s">
        <v>49</v>
      </c>
      <c r="C95" s="82" t="s">
        <v>48</v>
      </c>
    </row>
    <row r="96" spans="1:3">
      <c r="A96" s="92">
        <v>20134281783</v>
      </c>
      <c r="B96" s="77" t="s">
        <v>149</v>
      </c>
      <c r="C96" s="82" t="s">
        <v>41</v>
      </c>
    </row>
    <row r="97" spans="1:3">
      <c r="A97" s="246">
        <v>30682998330</v>
      </c>
      <c r="B97" s="77" t="s">
        <v>365</v>
      </c>
      <c r="C97" s="82" t="s">
        <v>54</v>
      </c>
    </row>
    <row r="98" spans="1:3">
      <c r="A98" s="84">
        <v>20200212143</v>
      </c>
      <c r="B98" s="77" t="s">
        <v>310</v>
      </c>
      <c r="C98" s="82" t="s">
        <v>54</v>
      </c>
    </row>
    <row r="99" spans="1:3">
      <c r="A99" s="243">
        <v>20233248283</v>
      </c>
      <c r="B99" s="77" t="s">
        <v>345</v>
      </c>
      <c r="C99" s="82" t="s">
        <v>41</v>
      </c>
    </row>
    <row r="100" spans="1:3">
      <c r="A100" s="84">
        <v>33699685459</v>
      </c>
      <c r="B100" s="77" t="s">
        <v>335</v>
      </c>
      <c r="C100" s="82" t="s">
        <v>54</v>
      </c>
    </row>
    <row r="101" spans="1:3">
      <c r="A101" s="86">
        <v>30708574836</v>
      </c>
      <c r="B101" s="77" t="s">
        <v>187</v>
      </c>
      <c r="C101" s="82" t="s">
        <v>186</v>
      </c>
    </row>
    <row r="102" spans="1:3">
      <c r="A102" s="84">
        <v>27065000216</v>
      </c>
      <c r="B102" s="77" t="s">
        <v>318</v>
      </c>
      <c r="C102" s="82" t="s">
        <v>41</v>
      </c>
    </row>
    <row r="103" spans="1:3">
      <c r="A103" s="87">
        <v>30548083156</v>
      </c>
      <c r="B103" s="81" t="s">
        <v>126</v>
      </c>
      <c r="C103" s="82" t="s">
        <v>124</v>
      </c>
    </row>
    <row r="104" spans="1:3">
      <c r="A104" s="84">
        <v>30696850972</v>
      </c>
      <c r="B104" s="77" t="s">
        <v>375</v>
      </c>
      <c r="C104" s="82" t="s">
        <v>39</v>
      </c>
    </row>
    <row r="105" spans="1:3">
      <c r="A105" s="84">
        <v>30709175897</v>
      </c>
      <c r="B105" s="77" t="s">
        <v>377</v>
      </c>
      <c r="C105" s="82" t="s">
        <v>54</v>
      </c>
    </row>
    <row r="106" spans="1:3">
      <c r="A106" s="84">
        <v>30707833293</v>
      </c>
      <c r="B106" s="77" t="s">
        <v>437</v>
      </c>
      <c r="C106" s="82" t="s">
        <v>41</v>
      </c>
    </row>
    <row r="107" spans="1:3">
      <c r="A107" s="84">
        <v>33708543409</v>
      </c>
      <c r="B107" s="77" t="s">
        <v>538</v>
      </c>
      <c r="C107" s="82" t="s">
        <v>54</v>
      </c>
    </row>
    <row r="108" spans="1:3">
      <c r="A108" s="84">
        <v>30715242903</v>
      </c>
      <c r="B108" s="81" t="s">
        <v>174</v>
      </c>
      <c r="C108" s="82" t="s">
        <v>41</v>
      </c>
    </row>
    <row r="109" spans="1:3">
      <c r="A109" s="84">
        <v>30711275106</v>
      </c>
      <c r="B109" s="77" t="s">
        <v>334</v>
      </c>
      <c r="C109" s="82" t="s">
        <v>54</v>
      </c>
    </row>
    <row r="110" spans="1:3">
      <c r="A110" s="85">
        <v>30516186670</v>
      </c>
      <c r="B110" s="81" t="s">
        <v>162</v>
      </c>
      <c r="C110" s="82" t="s">
        <v>54</v>
      </c>
    </row>
    <row r="111" spans="1:3">
      <c r="A111" s="208">
        <v>27340766445</v>
      </c>
      <c r="B111" s="77" t="s">
        <v>383</v>
      </c>
      <c r="C111" s="82" t="s">
        <v>54</v>
      </c>
    </row>
    <row r="112" spans="1:3">
      <c r="A112" s="202">
        <v>20403969886</v>
      </c>
      <c r="B112" s="77" t="s">
        <v>398</v>
      </c>
      <c r="C112" s="82" t="s">
        <v>41</v>
      </c>
    </row>
    <row r="113" spans="1:3">
      <c r="A113" s="84">
        <v>20253515512</v>
      </c>
      <c r="B113" s="77" t="s">
        <v>539</v>
      </c>
      <c r="C113" s="82" t="s">
        <v>41</v>
      </c>
    </row>
    <row r="114" spans="1:3">
      <c r="A114" s="84">
        <v>33716792299</v>
      </c>
      <c r="B114" s="77" t="s">
        <v>417</v>
      </c>
      <c r="C114" s="82" t="s">
        <v>54</v>
      </c>
    </row>
    <row r="115" spans="1:3">
      <c r="A115" s="84">
        <v>30708656018</v>
      </c>
      <c r="B115" s="77" t="s">
        <v>558</v>
      </c>
      <c r="C115" s="82" t="s">
        <v>54</v>
      </c>
    </row>
    <row r="116" spans="1:3">
      <c r="A116" s="84">
        <v>20167634436</v>
      </c>
      <c r="B116" s="77" t="s">
        <v>229</v>
      </c>
      <c r="C116" s="82" t="s">
        <v>54</v>
      </c>
    </row>
    <row r="117" spans="1:3">
      <c r="A117" s="92">
        <v>30701307115</v>
      </c>
      <c r="B117" s="77" t="s">
        <v>286</v>
      </c>
      <c r="C117" s="82" t="s">
        <v>36</v>
      </c>
    </row>
    <row r="118" spans="1:3">
      <c r="A118" s="92">
        <v>30708285818</v>
      </c>
      <c r="B118" s="77" t="s">
        <v>514</v>
      </c>
      <c r="C118" s="82" t="s">
        <v>41</v>
      </c>
    </row>
    <row r="119" spans="1:3">
      <c r="A119" s="244">
        <v>20325314983</v>
      </c>
      <c r="B119" s="77" t="s">
        <v>348</v>
      </c>
      <c r="C119" s="82" t="s">
        <v>41</v>
      </c>
    </row>
    <row r="120" spans="1:3">
      <c r="A120" s="94">
        <v>20107037021</v>
      </c>
      <c r="B120" s="77" t="s">
        <v>317</v>
      </c>
      <c r="C120" s="82" t="s">
        <v>41</v>
      </c>
    </row>
    <row r="121" spans="1:3">
      <c r="A121" s="94">
        <v>20045615473</v>
      </c>
      <c r="B121" s="77" t="s">
        <v>42</v>
      </c>
      <c r="C121" s="82" t="s">
        <v>43</v>
      </c>
    </row>
    <row r="122" spans="1:3">
      <c r="A122" s="84">
        <v>30685849751</v>
      </c>
      <c r="B122" s="77" t="s">
        <v>552</v>
      </c>
      <c r="C122" s="82" t="s">
        <v>54</v>
      </c>
    </row>
    <row r="123" spans="1:3">
      <c r="A123" s="92">
        <v>30708155795</v>
      </c>
      <c r="B123" s="77" t="s">
        <v>528</v>
      </c>
      <c r="C123" s="82" t="s">
        <v>41</v>
      </c>
    </row>
    <row r="124" spans="1:3">
      <c r="A124" s="92">
        <v>27948446168</v>
      </c>
      <c r="B124" s="77" t="s">
        <v>282</v>
      </c>
      <c r="C124" s="82" t="s">
        <v>41</v>
      </c>
    </row>
    <row r="125" spans="1:3">
      <c r="A125" s="92">
        <v>20219935464</v>
      </c>
      <c r="B125" s="77" t="s">
        <v>276</v>
      </c>
      <c r="C125" s="82" t="s">
        <v>36</v>
      </c>
    </row>
    <row r="126" spans="1:3">
      <c r="A126" s="86">
        <v>20271532483</v>
      </c>
      <c r="B126" s="77" t="s">
        <v>53</v>
      </c>
      <c r="C126" s="82" t="s">
        <v>41</v>
      </c>
    </row>
    <row r="127" spans="1:3">
      <c r="A127" s="84">
        <v>30541849307</v>
      </c>
      <c r="B127" s="77" t="s">
        <v>287</v>
      </c>
      <c r="C127" s="82" t="s">
        <v>54</v>
      </c>
    </row>
    <row r="128" spans="1:3">
      <c r="A128" s="92">
        <v>20243132852</v>
      </c>
      <c r="B128" s="77" t="s">
        <v>591</v>
      </c>
      <c r="C128" s="82" t="s">
        <v>592</v>
      </c>
    </row>
    <row r="129" spans="1:3">
      <c r="A129" s="243">
        <v>30711510822</v>
      </c>
      <c r="B129" s="77" t="s">
        <v>454</v>
      </c>
      <c r="C129" s="82" t="s">
        <v>54</v>
      </c>
    </row>
    <row r="130" spans="1:3">
      <c r="A130" s="92">
        <v>30694549817</v>
      </c>
      <c r="B130" s="77" t="s">
        <v>251</v>
      </c>
      <c r="C130" s="82" t="s">
        <v>41</v>
      </c>
    </row>
    <row r="131" spans="1:3">
      <c r="A131" s="92">
        <v>30715819461</v>
      </c>
      <c r="B131" s="77" t="s">
        <v>533</v>
      </c>
      <c r="C131" s="82" t="s">
        <v>51</v>
      </c>
    </row>
    <row r="132" spans="1:3" ht="15.75" thickBot="1">
      <c r="A132" s="92">
        <v>30710374801</v>
      </c>
      <c r="B132" s="81" t="s">
        <v>159</v>
      </c>
      <c r="C132" s="82" t="s">
        <v>51</v>
      </c>
    </row>
    <row r="133" spans="1:3">
      <c r="A133" s="92">
        <v>30716884631</v>
      </c>
      <c r="B133" s="77" t="s">
        <v>536</v>
      </c>
      <c r="C133" s="78" t="s">
        <v>54</v>
      </c>
    </row>
    <row r="134" spans="1:3">
      <c r="A134" s="92">
        <v>27206941419</v>
      </c>
      <c r="B134" s="77" t="s">
        <v>520</v>
      </c>
      <c r="C134" s="82" t="s">
        <v>38</v>
      </c>
    </row>
    <row r="135" spans="1:3">
      <c r="A135" s="92">
        <v>30702966066</v>
      </c>
      <c r="B135" s="77" t="s">
        <v>240</v>
      </c>
      <c r="C135" s="82" t="s">
        <v>41</v>
      </c>
    </row>
    <row r="136" spans="1:3">
      <c r="A136" s="88">
        <v>23281233084</v>
      </c>
      <c r="B136" s="77" t="s">
        <v>184</v>
      </c>
      <c r="C136" s="82" t="s">
        <v>185</v>
      </c>
    </row>
    <row r="137" spans="1:3">
      <c r="A137" s="92">
        <v>20211398060</v>
      </c>
      <c r="B137" s="77" t="s">
        <v>387</v>
      </c>
      <c r="C137" s="82" t="s">
        <v>41</v>
      </c>
    </row>
    <row r="138" spans="1:3">
      <c r="A138" s="243">
        <v>30711727236</v>
      </c>
      <c r="B138" s="77" t="s">
        <v>349</v>
      </c>
      <c r="C138" s="82" t="s">
        <v>54</v>
      </c>
    </row>
    <row r="139" spans="1:3">
      <c r="A139" s="92">
        <v>30714318221</v>
      </c>
      <c r="B139" s="77" t="s">
        <v>292</v>
      </c>
      <c r="C139" s="82" t="s">
        <v>54</v>
      </c>
    </row>
    <row r="140" spans="1:3">
      <c r="A140" s="92">
        <v>20083442612</v>
      </c>
      <c r="B140" s="77" t="s">
        <v>442</v>
      </c>
      <c r="C140" s="82" t="s">
        <v>54</v>
      </c>
    </row>
    <row r="141" spans="1:3">
      <c r="A141" s="89">
        <v>30537882871</v>
      </c>
      <c r="B141" s="81" t="s">
        <v>121</v>
      </c>
      <c r="C141" s="82" t="s">
        <v>43</v>
      </c>
    </row>
    <row r="142" spans="1:3">
      <c r="A142" s="92">
        <v>30593630338</v>
      </c>
      <c r="B142" s="77" t="s">
        <v>393</v>
      </c>
      <c r="C142" s="82" t="s">
        <v>54</v>
      </c>
    </row>
    <row r="143" spans="1:3">
      <c r="A143" s="92">
        <v>30696676026</v>
      </c>
      <c r="B143" s="77" t="s">
        <v>541</v>
      </c>
      <c r="C143" s="82" t="s">
        <v>41</v>
      </c>
    </row>
    <row r="144" spans="1:3">
      <c r="A144" s="92">
        <v>30686489325</v>
      </c>
      <c r="B144" s="77" t="s">
        <v>471</v>
      </c>
      <c r="C144" s="82" t="s">
        <v>54</v>
      </c>
    </row>
    <row r="145" spans="1:3">
      <c r="A145" s="92">
        <v>30709131865</v>
      </c>
      <c r="B145" s="77" t="s">
        <v>265</v>
      </c>
      <c r="C145" s="82" t="s">
        <v>54</v>
      </c>
    </row>
    <row r="146" spans="1:3">
      <c r="A146" s="90">
        <v>20259499632</v>
      </c>
      <c r="B146" s="77" t="s">
        <v>182</v>
      </c>
      <c r="C146" s="82" t="s">
        <v>183</v>
      </c>
    </row>
    <row r="147" spans="1:3">
      <c r="A147" s="92">
        <v>30588092468</v>
      </c>
      <c r="B147" s="77" t="s">
        <v>341</v>
      </c>
      <c r="C147" s="82" t="s">
        <v>54</v>
      </c>
    </row>
    <row r="148" spans="1:3">
      <c r="A148" s="92">
        <v>30707118454</v>
      </c>
      <c r="B148" s="77" t="s">
        <v>462</v>
      </c>
      <c r="C148" s="82" t="s">
        <v>80</v>
      </c>
    </row>
    <row r="149" spans="1:3">
      <c r="A149" s="92">
        <v>30709368067</v>
      </c>
      <c r="B149" s="81" t="s">
        <v>160</v>
      </c>
      <c r="C149" s="82" t="s">
        <v>51</v>
      </c>
    </row>
    <row r="150" spans="1:3">
      <c r="A150" s="92">
        <v>20140958213</v>
      </c>
      <c r="B150" s="77" t="s">
        <v>406</v>
      </c>
      <c r="C150" s="82" t="s">
        <v>41</v>
      </c>
    </row>
    <row r="151" spans="1:3">
      <c r="A151" s="92">
        <v>30659276964</v>
      </c>
      <c r="B151" s="77" t="s">
        <v>531</v>
      </c>
      <c r="C151" s="82" t="s">
        <v>532</v>
      </c>
    </row>
    <row r="152" spans="1:3">
      <c r="A152" s="92">
        <v>20145036101</v>
      </c>
      <c r="B152" s="77" t="s">
        <v>289</v>
      </c>
      <c r="C152" s="82" t="s">
        <v>36</v>
      </c>
    </row>
    <row r="153" spans="1:3">
      <c r="A153" s="92">
        <v>30711328498</v>
      </c>
      <c r="B153" s="77" t="s">
        <v>599</v>
      </c>
      <c r="C153" s="82" t="s">
        <v>592</v>
      </c>
    </row>
    <row r="154" spans="1:3">
      <c r="A154" s="92">
        <v>30715537512</v>
      </c>
      <c r="B154" s="77" t="s">
        <v>444</v>
      </c>
      <c r="C154" s="82" t="s">
        <v>54</v>
      </c>
    </row>
    <row r="155" spans="1:3">
      <c r="A155" s="92">
        <v>30537679855</v>
      </c>
      <c r="B155" s="77" t="s">
        <v>411</v>
      </c>
      <c r="C155" s="82" t="s">
        <v>54</v>
      </c>
    </row>
    <row r="156" spans="1:3">
      <c r="A156" s="85" t="s">
        <v>70</v>
      </c>
      <c r="B156" s="101" t="s">
        <v>71</v>
      </c>
      <c r="C156" s="82" t="s">
        <v>36</v>
      </c>
    </row>
    <row r="157" spans="1:3">
      <c r="A157" s="84">
        <v>30708542349</v>
      </c>
      <c r="B157" s="77" t="s">
        <v>563</v>
      </c>
      <c r="C157" s="82" t="s">
        <v>36</v>
      </c>
    </row>
    <row r="158" spans="1:3">
      <c r="A158" s="243">
        <v>30526582884</v>
      </c>
      <c r="B158" s="77" t="s">
        <v>405</v>
      </c>
      <c r="C158" s="82" t="s">
        <v>36</v>
      </c>
    </row>
    <row r="159" spans="1:3">
      <c r="A159" s="92">
        <v>30577744579</v>
      </c>
      <c r="B159" s="77" t="s">
        <v>326</v>
      </c>
      <c r="C159" s="82" t="s">
        <v>36</v>
      </c>
    </row>
    <row r="160" spans="1:3">
      <c r="A160" s="92">
        <v>30715949292</v>
      </c>
      <c r="B160" s="77" t="s">
        <v>511</v>
      </c>
      <c r="C160" s="82" t="s">
        <v>124</v>
      </c>
    </row>
    <row r="161" spans="1:3">
      <c r="A161" s="90">
        <v>30715980807</v>
      </c>
      <c r="B161" s="77" t="s">
        <v>52</v>
      </c>
      <c r="C161" s="82" t="s">
        <v>41</v>
      </c>
    </row>
    <row r="162" spans="1:3">
      <c r="A162" s="84">
        <v>20359718765</v>
      </c>
      <c r="B162" s="77" t="s">
        <v>572</v>
      </c>
      <c r="C162" s="82" t="s">
        <v>54</v>
      </c>
    </row>
    <row r="163" spans="1:3">
      <c r="A163" s="92">
        <v>30643518364</v>
      </c>
      <c r="B163" s="77" t="s">
        <v>562</v>
      </c>
      <c r="C163" s="82" t="s">
        <v>41</v>
      </c>
    </row>
    <row r="164" spans="1:3">
      <c r="A164" s="92">
        <v>30692138747</v>
      </c>
      <c r="B164" s="77" t="s">
        <v>332</v>
      </c>
      <c r="C164" s="82" t="s">
        <v>54</v>
      </c>
    </row>
    <row r="165" spans="1:3">
      <c r="A165" s="243">
        <v>33712234429</v>
      </c>
      <c r="B165" s="77" t="s">
        <v>453</v>
      </c>
      <c r="C165" s="82" t="s">
        <v>54</v>
      </c>
    </row>
    <row r="166" spans="1:3">
      <c r="A166" s="92">
        <v>20353576012</v>
      </c>
      <c r="B166" s="77" t="s">
        <v>234</v>
      </c>
      <c r="C166" s="82" t="s">
        <v>54</v>
      </c>
    </row>
    <row r="167" spans="1:3">
      <c r="A167" s="92">
        <v>20343766441</v>
      </c>
      <c r="B167" s="77" t="s">
        <v>218</v>
      </c>
      <c r="C167" s="82" t="s">
        <v>177</v>
      </c>
    </row>
    <row r="168" spans="1:3">
      <c r="A168" s="89">
        <v>27062343449</v>
      </c>
      <c r="B168" s="81" t="s">
        <v>407</v>
      </c>
      <c r="C168" s="82" t="s">
        <v>36</v>
      </c>
    </row>
    <row r="169" spans="1:3">
      <c r="A169" s="92">
        <v>30676642230</v>
      </c>
      <c r="B169" s="77" t="s">
        <v>463</v>
      </c>
      <c r="C169" s="82" t="s">
        <v>54</v>
      </c>
    </row>
    <row r="170" spans="1:3">
      <c r="A170" s="92">
        <v>30709453293</v>
      </c>
      <c r="B170" s="77" t="s">
        <v>217</v>
      </c>
      <c r="C170" s="82" t="s">
        <v>54</v>
      </c>
    </row>
    <row r="171" spans="1:3">
      <c r="A171" s="243">
        <v>30714690554</v>
      </c>
      <c r="B171" s="77" t="s">
        <v>427</v>
      </c>
      <c r="C171" s="82" t="s">
        <v>54</v>
      </c>
    </row>
    <row r="172" spans="1:3">
      <c r="A172" s="92">
        <v>30716620634</v>
      </c>
      <c r="B172" s="77" t="s">
        <v>566</v>
      </c>
      <c r="C172" s="82" t="s">
        <v>54</v>
      </c>
    </row>
    <row r="173" spans="1:3">
      <c r="A173" s="243">
        <v>30705466021</v>
      </c>
      <c r="B173" s="77" t="s">
        <v>428</v>
      </c>
      <c r="C173" s="82" t="s">
        <v>41</v>
      </c>
    </row>
    <row r="174" spans="1:3">
      <c r="A174" s="92">
        <v>27301358852</v>
      </c>
      <c r="B174" s="77" t="s">
        <v>461</v>
      </c>
      <c r="C174" s="82" t="s">
        <v>36</v>
      </c>
    </row>
    <row r="175" spans="1:3">
      <c r="A175" s="92">
        <v>20314536852</v>
      </c>
      <c r="B175" s="77" t="s">
        <v>546</v>
      </c>
      <c r="C175" s="82" t="s">
        <v>36</v>
      </c>
    </row>
    <row r="176" spans="1:3">
      <c r="A176" s="92">
        <v>30710657250</v>
      </c>
      <c r="B176" s="77" t="s">
        <v>466</v>
      </c>
      <c r="C176" s="82" t="s">
        <v>54</v>
      </c>
    </row>
    <row r="177" spans="1:3">
      <c r="A177" s="89">
        <v>30657418877</v>
      </c>
      <c r="B177" s="81" t="s">
        <v>82</v>
      </c>
      <c r="C177" s="82" t="s">
        <v>80</v>
      </c>
    </row>
    <row r="178" spans="1:3">
      <c r="A178" s="92">
        <v>30708049928</v>
      </c>
      <c r="B178" s="77" t="s">
        <v>449</v>
      </c>
      <c r="C178" s="82" t="s">
        <v>80</v>
      </c>
    </row>
    <row r="179" spans="1:3">
      <c r="A179" s="92">
        <v>20284183534</v>
      </c>
      <c r="B179" s="77" t="s">
        <v>451</v>
      </c>
      <c r="C179" s="82" t="s">
        <v>54</v>
      </c>
    </row>
    <row r="180" spans="1:3">
      <c r="A180" s="90">
        <v>20115545397</v>
      </c>
      <c r="B180" s="81" t="s">
        <v>125</v>
      </c>
      <c r="C180" s="82" t="s">
        <v>51</v>
      </c>
    </row>
    <row r="181" spans="1:3">
      <c r="A181" s="92">
        <v>20211408511</v>
      </c>
      <c r="B181" s="77" t="s">
        <v>487</v>
      </c>
      <c r="C181" s="82" t="s">
        <v>54</v>
      </c>
    </row>
    <row r="182" spans="1:3">
      <c r="A182" s="90">
        <v>27242941301</v>
      </c>
      <c r="B182" s="77" t="s">
        <v>199</v>
      </c>
      <c r="C182" s="82" t="s">
        <v>38</v>
      </c>
    </row>
    <row r="183" spans="1:3">
      <c r="A183" s="92">
        <v>20344800473</v>
      </c>
      <c r="B183" s="77" t="s">
        <v>364</v>
      </c>
      <c r="C183" s="82" t="s">
        <v>41</v>
      </c>
    </row>
    <row r="184" spans="1:3">
      <c r="A184" s="88">
        <v>27204269527</v>
      </c>
      <c r="B184" s="77" t="s">
        <v>50</v>
      </c>
      <c r="C184" s="82" t="s">
        <v>51</v>
      </c>
    </row>
    <row r="185" spans="1:3">
      <c r="A185" s="92">
        <v>30522428163</v>
      </c>
      <c r="B185" s="77" t="s">
        <v>73</v>
      </c>
      <c r="C185" s="82" t="s">
        <v>80</v>
      </c>
    </row>
    <row r="186" spans="1:3">
      <c r="A186" s="92">
        <v>30685228501</v>
      </c>
      <c r="B186" s="81" t="s">
        <v>88</v>
      </c>
      <c r="C186" s="82" t="s">
        <v>80</v>
      </c>
    </row>
    <row r="187" spans="1:3">
      <c r="A187" s="92">
        <v>27061922984</v>
      </c>
      <c r="B187" s="77" t="s">
        <v>224</v>
      </c>
      <c r="C187" s="82" t="s">
        <v>41</v>
      </c>
    </row>
    <row r="188" spans="1:3">
      <c r="A188" s="92">
        <v>27121544917</v>
      </c>
      <c r="B188" s="77" t="s">
        <v>321</v>
      </c>
      <c r="C188" s="82" t="s">
        <v>38</v>
      </c>
    </row>
    <row r="189" spans="1:3">
      <c r="A189" s="92">
        <v>30715567578</v>
      </c>
      <c r="B189" s="77" t="s">
        <v>244</v>
      </c>
      <c r="C189" s="82" t="s">
        <v>54</v>
      </c>
    </row>
    <row r="190" spans="1:3">
      <c r="A190" s="92">
        <v>20186809565</v>
      </c>
      <c r="B190" s="77" t="s">
        <v>214</v>
      </c>
      <c r="C190" s="82" t="s">
        <v>41</v>
      </c>
    </row>
    <row r="191" spans="1:3">
      <c r="A191" s="92">
        <v>23405137119</v>
      </c>
      <c r="B191" s="77" t="s">
        <v>465</v>
      </c>
      <c r="C191" s="82" t="s">
        <v>36</v>
      </c>
    </row>
    <row r="192" spans="1:3">
      <c r="A192" s="92">
        <v>30594549712</v>
      </c>
      <c r="B192" s="77" t="s">
        <v>142</v>
      </c>
      <c r="C192" s="82" t="s">
        <v>54</v>
      </c>
    </row>
    <row r="193" spans="1:3">
      <c r="A193" s="89">
        <v>30708855975</v>
      </c>
      <c r="B193" s="77" t="s">
        <v>40</v>
      </c>
      <c r="C193" s="82" t="s">
        <v>41</v>
      </c>
    </row>
    <row r="194" spans="1:3">
      <c r="A194" s="88">
        <v>30546694263</v>
      </c>
      <c r="B194" s="77" t="s">
        <v>143</v>
      </c>
      <c r="C194" s="82" t="s">
        <v>80</v>
      </c>
    </row>
    <row r="195" spans="1:3">
      <c r="A195" s="92">
        <v>30709737348</v>
      </c>
      <c r="B195" s="77" t="s">
        <v>330</v>
      </c>
      <c r="C195" s="82" t="s">
        <v>41</v>
      </c>
    </row>
    <row r="196" spans="1:3">
      <c r="A196" s="92">
        <v>30690212265</v>
      </c>
      <c r="B196" s="77" t="s">
        <v>584</v>
      </c>
      <c r="C196" s="82" t="s">
        <v>36</v>
      </c>
    </row>
    <row r="197" spans="1:3">
      <c r="A197" s="92">
        <v>27304678165</v>
      </c>
      <c r="B197" s="77" t="s">
        <v>556</v>
      </c>
      <c r="C197" s="82" t="s">
        <v>41</v>
      </c>
    </row>
    <row r="198" spans="1:3">
      <c r="A198" s="90">
        <v>30711950113</v>
      </c>
      <c r="B198" s="77" t="s">
        <v>59</v>
      </c>
      <c r="C198" s="82" t="s">
        <v>41</v>
      </c>
    </row>
    <row r="199" spans="1:3">
      <c r="A199" s="92">
        <v>23076996989</v>
      </c>
      <c r="B199" s="77" t="s">
        <v>235</v>
      </c>
      <c r="C199" s="82" t="s">
        <v>54</v>
      </c>
    </row>
    <row r="200" spans="1:3">
      <c r="A200" s="243">
        <v>33709997489</v>
      </c>
      <c r="B200" s="77" t="s">
        <v>396</v>
      </c>
      <c r="C200" s="82" t="s">
        <v>41</v>
      </c>
    </row>
    <row r="201" spans="1:3">
      <c r="A201" s="92">
        <v>30715621866</v>
      </c>
      <c r="B201" s="77" t="s">
        <v>506</v>
      </c>
      <c r="C201" s="82" t="s">
        <v>124</v>
      </c>
    </row>
    <row r="202" spans="1:3">
      <c r="A202" s="92">
        <v>33710427629</v>
      </c>
      <c r="B202" s="77" t="s">
        <v>585</v>
      </c>
      <c r="C202" s="82" t="s">
        <v>36</v>
      </c>
    </row>
    <row r="203" spans="1:3">
      <c r="A203" s="92">
        <v>20323836427</v>
      </c>
      <c r="B203" s="77" t="s">
        <v>447</v>
      </c>
      <c r="C203" s="82" t="s">
        <v>41</v>
      </c>
    </row>
    <row r="204" spans="1:3">
      <c r="A204" s="90">
        <v>20292887648</v>
      </c>
      <c r="B204" s="77" t="s">
        <v>197</v>
      </c>
      <c r="C204" s="82" t="s">
        <v>41</v>
      </c>
    </row>
    <row r="205" spans="1:3">
      <c r="A205" s="92">
        <v>20077028545</v>
      </c>
      <c r="B205" s="77" t="s">
        <v>414</v>
      </c>
      <c r="C205" s="82" t="s">
        <v>54</v>
      </c>
    </row>
    <row r="206" spans="1:3">
      <c r="A206" s="92">
        <v>20410525888</v>
      </c>
      <c r="B206" s="77" t="s">
        <v>537</v>
      </c>
      <c r="C206" s="82" t="s">
        <v>41</v>
      </c>
    </row>
    <row r="207" spans="1:3">
      <c r="A207" s="92">
        <v>20239531963</v>
      </c>
      <c r="B207" s="77" t="s">
        <v>504</v>
      </c>
      <c r="C207" s="82" t="s">
        <v>41</v>
      </c>
    </row>
    <row r="208" spans="1:3">
      <c r="A208" s="88">
        <v>23920485979</v>
      </c>
      <c r="B208" s="77" t="s">
        <v>64</v>
      </c>
      <c r="C208" s="82" t="s">
        <v>41</v>
      </c>
    </row>
    <row r="209" spans="1:3">
      <c r="A209" s="92">
        <v>30714432865</v>
      </c>
      <c r="B209" s="77" t="s">
        <v>299</v>
      </c>
      <c r="C209" s="82" t="s">
        <v>54</v>
      </c>
    </row>
    <row r="210" spans="1:3">
      <c r="A210" s="92">
        <v>27365928016</v>
      </c>
      <c r="B210" s="77" t="s">
        <v>302</v>
      </c>
      <c r="C210" s="82" t="s">
        <v>177</v>
      </c>
    </row>
    <row r="211" spans="1:3">
      <c r="A211" s="243">
        <v>30712097600</v>
      </c>
      <c r="B211" s="77" t="s">
        <v>343</v>
      </c>
      <c r="C211" s="82" t="s">
        <v>54</v>
      </c>
    </row>
    <row r="212" spans="1:3">
      <c r="A212" s="92">
        <v>30712778403</v>
      </c>
      <c r="B212" s="81" t="s">
        <v>127</v>
      </c>
      <c r="C212" s="82" t="s">
        <v>51</v>
      </c>
    </row>
    <row r="213" spans="1:3">
      <c r="A213" s="243">
        <v>20181426846</v>
      </c>
      <c r="B213" s="77" t="s">
        <v>457</v>
      </c>
      <c r="C213" s="82" t="s">
        <v>54</v>
      </c>
    </row>
    <row r="214" spans="1:3">
      <c r="A214" s="235">
        <v>30663498513</v>
      </c>
      <c r="B214" s="236" t="s">
        <v>433</v>
      </c>
      <c r="C214" s="237" t="s">
        <v>374</v>
      </c>
    </row>
    <row r="215" spans="1:3">
      <c r="A215" s="243">
        <v>30671637689</v>
      </c>
      <c r="B215" s="77" t="s">
        <v>390</v>
      </c>
      <c r="C215" s="82" t="s">
        <v>54</v>
      </c>
    </row>
    <row r="216" spans="1:3">
      <c r="A216" s="92">
        <v>27147827682</v>
      </c>
      <c r="B216" s="81" t="s">
        <v>258</v>
      </c>
      <c r="C216" s="82" t="s">
        <v>38</v>
      </c>
    </row>
    <row r="217" spans="1:3">
      <c r="A217" s="92">
        <v>23175716009</v>
      </c>
      <c r="B217" s="77" t="s">
        <v>473</v>
      </c>
      <c r="C217" s="82" t="s">
        <v>36</v>
      </c>
    </row>
    <row r="218" spans="1:3">
      <c r="A218" s="92">
        <v>30715210904</v>
      </c>
      <c r="B218" s="77" t="s">
        <v>230</v>
      </c>
      <c r="C218" s="82" t="s">
        <v>41</v>
      </c>
    </row>
    <row r="219" spans="1:3">
      <c r="A219" s="92">
        <v>30716770881</v>
      </c>
      <c r="B219" s="77" t="s">
        <v>534</v>
      </c>
      <c r="C219" s="82" t="s">
        <v>54</v>
      </c>
    </row>
    <row r="220" spans="1:3">
      <c r="A220" s="92">
        <v>30710538014</v>
      </c>
      <c r="B220" s="77" t="s">
        <v>372</v>
      </c>
      <c r="C220" s="82" t="s">
        <v>80</v>
      </c>
    </row>
    <row r="221" spans="1:3">
      <c r="A221" s="243">
        <v>20351722585</v>
      </c>
      <c r="B221" s="77" t="s">
        <v>456</v>
      </c>
      <c r="C221" s="82" t="s">
        <v>41</v>
      </c>
    </row>
    <row r="222" spans="1:3">
      <c r="A222" s="243">
        <v>27165813893</v>
      </c>
      <c r="B222" s="77" t="s">
        <v>458</v>
      </c>
      <c r="C222" s="82" t="s">
        <v>41</v>
      </c>
    </row>
    <row r="223" spans="1:3">
      <c r="A223" s="84">
        <v>23219640269</v>
      </c>
      <c r="B223" s="77" t="s">
        <v>241</v>
      </c>
      <c r="C223" s="82" t="s">
        <v>41</v>
      </c>
    </row>
    <row r="224" spans="1:3">
      <c r="A224" s="92">
        <v>30710095171</v>
      </c>
      <c r="B224" s="77" t="s">
        <v>225</v>
      </c>
      <c r="C224" s="82" t="s">
        <v>41</v>
      </c>
    </row>
    <row r="225" spans="1:3">
      <c r="A225" s="92">
        <v>20295867931</v>
      </c>
      <c r="B225" s="77" t="s">
        <v>430</v>
      </c>
      <c r="C225" s="82" t="s">
        <v>54</v>
      </c>
    </row>
    <row r="226" spans="1:3">
      <c r="A226" s="92">
        <v>20361556691</v>
      </c>
      <c r="B226" s="77" t="s">
        <v>337</v>
      </c>
      <c r="C226" s="82" t="s">
        <v>54</v>
      </c>
    </row>
    <row r="227" spans="1:3">
      <c r="A227" s="92">
        <v>20313759246</v>
      </c>
      <c r="B227" s="81" t="s">
        <v>168</v>
      </c>
      <c r="C227" s="82" t="s">
        <v>169</v>
      </c>
    </row>
    <row r="228" spans="1:3">
      <c r="A228" s="92">
        <v>20186310838</v>
      </c>
      <c r="B228" s="77" t="s">
        <v>491</v>
      </c>
      <c r="C228" s="82" t="s">
        <v>41</v>
      </c>
    </row>
    <row r="229" spans="1:3">
      <c r="A229" s="92">
        <v>30576630057</v>
      </c>
      <c r="B229" s="77" t="s">
        <v>331</v>
      </c>
      <c r="C229" s="82" t="s">
        <v>54</v>
      </c>
    </row>
    <row r="230" spans="1:3">
      <c r="A230" s="89">
        <v>30714122718</v>
      </c>
      <c r="B230" s="77" t="s">
        <v>173</v>
      </c>
      <c r="C230" s="82" t="s">
        <v>41</v>
      </c>
    </row>
    <row r="231" spans="1:3">
      <c r="A231" s="88">
        <v>30714696153</v>
      </c>
      <c r="B231" s="77" t="s">
        <v>61</v>
      </c>
      <c r="C231" s="82" t="s">
        <v>41</v>
      </c>
    </row>
    <row r="232" spans="1:3">
      <c r="A232" s="92">
        <v>20242126158</v>
      </c>
      <c r="B232" s="77" t="s">
        <v>357</v>
      </c>
      <c r="C232" s="82" t="s">
        <v>41</v>
      </c>
    </row>
    <row r="233" spans="1:3">
      <c r="A233" s="92">
        <v>20309759444</v>
      </c>
      <c r="B233" s="77" t="s">
        <v>575</v>
      </c>
      <c r="C233" s="82" t="s">
        <v>41</v>
      </c>
    </row>
    <row r="234" spans="1:3">
      <c r="A234" s="92">
        <v>30712289046</v>
      </c>
      <c r="B234" s="77" t="s">
        <v>369</v>
      </c>
      <c r="C234" s="82" t="s">
        <v>54</v>
      </c>
    </row>
    <row r="235" spans="1:3">
      <c r="A235" s="92">
        <v>30687310434</v>
      </c>
      <c r="B235" s="77" t="s">
        <v>153</v>
      </c>
      <c r="C235" s="82" t="s">
        <v>54</v>
      </c>
    </row>
    <row r="236" spans="1:3">
      <c r="A236" s="92">
        <v>30687310434</v>
      </c>
      <c r="B236" s="77" t="s">
        <v>304</v>
      </c>
      <c r="C236" s="82" t="s">
        <v>54</v>
      </c>
    </row>
    <row r="237" spans="1:3">
      <c r="A237" s="92">
        <v>30515800219</v>
      </c>
      <c r="B237" s="77" t="s">
        <v>158</v>
      </c>
      <c r="C237" s="82" t="s">
        <v>54</v>
      </c>
    </row>
    <row r="238" spans="1:3">
      <c r="A238" s="92">
        <v>30651822021</v>
      </c>
      <c r="B238" s="77" t="s">
        <v>263</v>
      </c>
      <c r="C238" s="82" t="s">
        <v>41</v>
      </c>
    </row>
    <row r="239" spans="1:3">
      <c r="A239" s="89">
        <v>30598739540</v>
      </c>
      <c r="B239" s="81" t="s">
        <v>84</v>
      </c>
      <c r="C239" s="82" t="s">
        <v>80</v>
      </c>
    </row>
    <row r="240" spans="1:3">
      <c r="A240" s="243">
        <v>30554807301</v>
      </c>
      <c r="B240" s="77" t="s">
        <v>238</v>
      </c>
      <c r="C240" s="82" t="s">
        <v>54</v>
      </c>
    </row>
    <row r="241" spans="1:3">
      <c r="A241" s="92">
        <v>30697558868</v>
      </c>
      <c r="B241" s="77" t="s">
        <v>76</v>
      </c>
      <c r="C241" s="82" t="s">
        <v>80</v>
      </c>
    </row>
    <row r="242" spans="1:3">
      <c r="A242" s="92">
        <v>33708345399</v>
      </c>
      <c r="B242" s="77" t="s">
        <v>249</v>
      </c>
      <c r="C242" s="82" t="s">
        <v>41</v>
      </c>
    </row>
    <row r="243" spans="1:3">
      <c r="A243" s="92">
        <v>30999077508</v>
      </c>
      <c r="B243" s="81" t="s">
        <v>89</v>
      </c>
      <c r="C243" s="82" t="s">
        <v>80</v>
      </c>
    </row>
    <row r="244" spans="1:3">
      <c r="A244" s="92">
        <v>30708214813</v>
      </c>
      <c r="B244" s="77" t="s">
        <v>294</v>
      </c>
      <c r="C244" s="82" t="s">
        <v>41</v>
      </c>
    </row>
    <row r="245" spans="1:3">
      <c r="A245" s="92">
        <v>23368458449</v>
      </c>
      <c r="B245" s="77" t="s">
        <v>443</v>
      </c>
      <c r="C245" s="82" t="s">
        <v>36</v>
      </c>
    </row>
    <row r="246" spans="1:3">
      <c r="A246" s="92">
        <v>30707758682</v>
      </c>
      <c r="B246" s="77" t="s">
        <v>208</v>
      </c>
      <c r="C246" s="82" t="s">
        <v>80</v>
      </c>
    </row>
    <row r="247" spans="1:3">
      <c r="A247" s="89">
        <v>30712187316</v>
      </c>
      <c r="B247" s="77" t="s">
        <v>68</v>
      </c>
      <c r="C247" s="82" t="s">
        <v>41</v>
      </c>
    </row>
    <row r="248" spans="1:3">
      <c r="A248" s="92">
        <v>30547076679</v>
      </c>
      <c r="B248" s="77" t="s">
        <v>269</v>
      </c>
      <c r="C248" s="82" t="s">
        <v>54</v>
      </c>
    </row>
    <row r="249" spans="1:3">
      <c r="A249" s="92">
        <v>30715123483</v>
      </c>
      <c r="B249" s="77" t="s">
        <v>278</v>
      </c>
      <c r="C249" s="82" t="s">
        <v>36</v>
      </c>
    </row>
    <row r="250" spans="1:3">
      <c r="A250" s="92">
        <v>30708936762</v>
      </c>
      <c r="B250" s="77" t="s">
        <v>267</v>
      </c>
      <c r="C250" s="82" t="s">
        <v>54</v>
      </c>
    </row>
    <row r="251" spans="1:3">
      <c r="A251" s="92">
        <v>30715937006</v>
      </c>
      <c r="B251" s="77" t="s">
        <v>293</v>
      </c>
      <c r="C251" s="82" t="s">
        <v>41</v>
      </c>
    </row>
    <row r="252" spans="1:3">
      <c r="A252" s="92">
        <v>20167226524</v>
      </c>
      <c r="B252" s="77" t="s">
        <v>469</v>
      </c>
      <c r="C252" s="82" t="s">
        <v>54</v>
      </c>
    </row>
    <row r="253" spans="1:3">
      <c r="A253" s="92">
        <v>33707660509</v>
      </c>
      <c r="B253" s="77" t="s">
        <v>503</v>
      </c>
      <c r="C253" s="82" t="s">
        <v>54</v>
      </c>
    </row>
    <row r="254" spans="1:3">
      <c r="A254" s="92">
        <v>20244271740</v>
      </c>
      <c r="B254" s="77" t="s">
        <v>288</v>
      </c>
      <c r="C254" s="82" t="s">
        <v>41</v>
      </c>
    </row>
    <row r="255" spans="1:3">
      <c r="A255" s="92">
        <v>20182999661</v>
      </c>
      <c r="B255" s="81" t="s">
        <v>137</v>
      </c>
      <c r="C255" s="82" t="s">
        <v>54</v>
      </c>
    </row>
    <row r="256" spans="1:3">
      <c r="A256" s="92">
        <v>20924962756</v>
      </c>
      <c r="B256" s="77" t="s">
        <v>232</v>
      </c>
      <c r="C256" s="82" t="s">
        <v>41</v>
      </c>
    </row>
    <row r="257" spans="1:3">
      <c r="A257" s="92">
        <v>23941647804</v>
      </c>
      <c r="B257" s="81" t="s">
        <v>166</v>
      </c>
      <c r="C257" s="82" t="s">
        <v>38</v>
      </c>
    </row>
    <row r="258" spans="1:3">
      <c r="A258" s="84">
        <v>27310367813</v>
      </c>
      <c r="B258" s="77" t="s">
        <v>567</v>
      </c>
      <c r="C258" s="82" t="s">
        <v>41</v>
      </c>
    </row>
    <row r="259" spans="1:3">
      <c r="A259" s="84">
        <v>30709046779</v>
      </c>
      <c r="B259" s="77" t="s">
        <v>296</v>
      </c>
      <c r="C259" s="82" t="s">
        <v>41</v>
      </c>
    </row>
    <row r="260" spans="1:3">
      <c r="A260" s="84">
        <v>30711645884</v>
      </c>
      <c r="B260" s="77" t="s">
        <v>598</v>
      </c>
      <c r="C260" s="82" t="s">
        <v>54</v>
      </c>
    </row>
    <row r="261" spans="1:3">
      <c r="A261" s="85">
        <v>27304914071</v>
      </c>
      <c r="B261" s="81" t="s">
        <v>200</v>
      </c>
      <c r="C261" s="82" t="s">
        <v>43</v>
      </c>
    </row>
    <row r="262" spans="1:3">
      <c r="A262" s="84">
        <v>20220423655</v>
      </c>
      <c r="B262" s="81" t="s">
        <v>175</v>
      </c>
      <c r="C262" s="82" t="s">
        <v>41</v>
      </c>
    </row>
    <row r="263" spans="1:3">
      <c r="A263" s="208">
        <v>20393873583</v>
      </c>
      <c r="B263" s="77" t="s">
        <v>582</v>
      </c>
      <c r="C263" s="82" t="s">
        <v>54</v>
      </c>
    </row>
    <row r="264" spans="1:3">
      <c r="A264" s="84">
        <v>30525468956</v>
      </c>
      <c r="B264" s="77" t="s">
        <v>295</v>
      </c>
      <c r="C264" s="82" t="s">
        <v>41</v>
      </c>
    </row>
    <row r="265" spans="1:3">
      <c r="A265" s="208">
        <v>30701950883</v>
      </c>
      <c r="B265" s="77" t="s">
        <v>353</v>
      </c>
      <c r="C265" s="82" t="s">
        <v>54</v>
      </c>
    </row>
    <row r="266" spans="1:3">
      <c r="A266" s="92">
        <v>30540019297</v>
      </c>
      <c r="B266" s="77" t="s">
        <v>498</v>
      </c>
      <c r="C266" s="82" t="s">
        <v>54</v>
      </c>
    </row>
    <row r="267" spans="1:3">
      <c r="A267" s="84">
        <v>30686525607</v>
      </c>
      <c r="B267" s="77" t="s">
        <v>500</v>
      </c>
      <c r="C267" s="82" t="s">
        <v>54</v>
      </c>
    </row>
    <row r="268" spans="1:3">
      <c r="A268" s="92">
        <v>23945201304</v>
      </c>
      <c r="B268" s="77" t="s">
        <v>368</v>
      </c>
      <c r="C268" s="82" t="s">
        <v>41</v>
      </c>
    </row>
    <row r="269" spans="1:3">
      <c r="A269" s="208">
        <v>30712019359</v>
      </c>
      <c r="B269" s="77" t="s">
        <v>395</v>
      </c>
      <c r="C269" s="82" t="s">
        <v>41</v>
      </c>
    </row>
    <row r="270" spans="1:3">
      <c r="A270" s="84">
        <v>20160503336</v>
      </c>
      <c r="B270" s="77" t="s">
        <v>590</v>
      </c>
      <c r="C270" s="82" t="s">
        <v>54</v>
      </c>
    </row>
    <row r="271" spans="1:3">
      <c r="A271" s="84">
        <v>27129657710</v>
      </c>
      <c r="B271" s="77" t="s">
        <v>579</v>
      </c>
      <c r="C271" s="82" t="s">
        <v>41</v>
      </c>
    </row>
    <row r="272" spans="1:3">
      <c r="A272" s="90">
        <v>30711244383</v>
      </c>
      <c r="B272" s="77" t="s">
        <v>179</v>
      </c>
      <c r="C272" s="82" t="s">
        <v>80</v>
      </c>
    </row>
    <row r="273" spans="1:3">
      <c r="A273" s="92">
        <v>30709879258</v>
      </c>
      <c r="B273" s="77" t="s">
        <v>486</v>
      </c>
      <c r="C273" s="82" t="s">
        <v>36</v>
      </c>
    </row>
    <row r="274" spans="1:3">
      <c r="A274" s="92">
        <v>20180429388</v>
      </c>
      <c r="B274" s="77" t="s">
        <v>448</v>
      </c>
      <c r="C274" s="82" t="s">
        <v>41</v>
      </c>
    </row>
    <row r="275" spans="1:3">
      <c r="A275" s="92">
        <v>30716229552</v>
      </c>
      <c r="B275" s="77" t="s">
        <v>576</v>
      </c>
      <c r="C275" s="82" t="s">
        <v>54</v>
      </c>
    </row>
    <row r="276" spans="1:3">
      <c r="A276" s="92">
        <v>30643700952</v>
      </c>
      <c r="B276" s="77" t="s">
        <v>515</v>
      </c>
      <c r="C276" s="82" t="s">
        <v>41</v>
      </c>
    </row>
    <row r="277" spans="1:3">
      <c r="A277" s="92">
        <v>30712448586</v>
      </c>
      <c r="B277" s="77" t="s">
        <v>441</v>
      </c>
      <c r="C277" s="82" t="s">
        <v>54</v>
      </c>
    </row>
    <row r="278" spans="1:3">
      <c r="A278" s="92">
        <v>20929183143</v>
      </c>
      <c r="B278" s="77" t="s">
        <v>472</v>
      </c>
      <c r="C278" s="82" t="s">
        <v>54</v>
      </c>
    </row>
    <row r="279" spans="1:3">
      <c r="A279" s="88">
        <v>27385671526</v>
      </c>
      <c r="B279" s="77" t="s">
        <v>193</v>
      </c>
      <c r="C279" s="82" t="s">
        <v>41</v>
      </c>
    </row>
    <row r="280" spans="1:3">
      <c r="A280" s="84">
        <v>30657715383</v>
      </c>
      <c r="B280" s="77" t="s">
        <v>594</v>
      </c>
      <c r="C280" s="82" t="s">
        <v>54</v>
      </c>
    </row>
    <row r="281" spans="1:3">
      <c r="A281" s="92">
        <v>30715589032</v>
      </c>
      <c r="B281" s="77" t="s">
        <v>351</v>
      </c>
      <c r="C281" s="82" t="s">
        <v>41</v>
      </c>
    </row>
    <row r="282" spans="1:3">
      <c r="A282" s="92">
        <v>27119876171</v>
      </c>
      <c r="B282" s="77" t="s">
        <v>78</v>
      </c>
      <c r="C282" s="82" t="s">
        <v>80</v>
      </c>
    </row>
    <row r="283" spans="1:3">
      <c r="A283" s="92">
        <v>33708218699</v>
      </c>
      <c r="B283" s="77" t="s">
        <v>529</v>
      </c>
      <c r="C283" s="82" t="s">
        <v>54</v>
      </c>
    </row>
    <row r="284" spans="1:3">
      <c r="A284" s="92">
        <v>27251466756</v>
      </c>
      <c r="B284" s="77" t="s">
        <v>327</v>
      </c>
      <c r="C284" s="82" t="s">
        <v>38</v>
      </c>
    </row>
    <row r="285" spans="1:3">
      <c r="A285" s="92">
        <v>27101420391</v>
      </c>
      <c r="B285" s="77" t="s">
        <v>228</v>
      </c>
      <c r="C285" s="82" t="s">
        <v>41</v>
      </c>
    </row>
    <row r="286" spans="1:3">
      <c r="A286" s="92">
        <v>27228778937</v>
      </c>
      <c r="B286" s="77" t="s">
        <v>138</v>
      </c>
      <c r="C286" s="82" t="s">
        <v>41</v>
      </c>
    </row>
    <row r="287" spans="1:3">
      <c r="A287" s="92">
        <v>20202134700</v>
      </c>
      <c r="B287" s="81" t="s">
        <v>120</v>
      </c>
      <c r="C287" s="82" t="s">
        <v>43</v>
      </c>
    </row>
    <row r="288" spans="1:3">
      <c r="A288" s="84">
        <v>27256001980</v>
      </c>
      <c r="B288" s="77" t="s">
        <v>540</v>
      </c>
      <c r="C288" s="82" t="s">
        <v>38</v>
      </c>
    </row>
    <row r="289" spans="1:3">
      <c r="A289" s="92">
        <v>30678628324</v>
      </c>
      <c r="B289" s="77" t="s">
        <v>328</v>
      </c>
      <c r="C289" s="82" t="s">
        <v>54</v>
      </c>
    </row>
    <row r="290" spans="1:3">
      <c r="A290" s="243">
        <v>27232408737</v>
      </c>
      <c r="B290" s="77" t="s">
        <v>389</v>
      </c>
      <c r="C290" s="82" t="s">
        <v>54</v>
      </c>
    </row>
    <row r="291" spans="1:3">
      <c r="A291" s="92">
        <v>30705740670</v>
      </c>
      <c r="B291" s="77" t="s">
        <v>324</v>
      </c>
      <c r="C291" s="82" t="s">
        <v>54</v>
      </c>
    </row>
    <row r="292" spans="1:3">
      <c r="A292" s="92">
        <v>30710361351</v>
      </c>
      <c r="B292" s="77" t="s">
        <v>490</v>
      </c>
      <c r="C292" s="82" t="s">
        <v>54</v>
      </c>
    </row>
    <row r="293" spans="1:3">
      <c r="A293" s="92">
        <v>30612865333</v>
      </c>
      <c r="B293" s="77" t="s">
        <v>367</v>
      </c>
      <c r="C293" s="82" t="s">
        <v>54</v>
      </c>
    </row>
    <row r="294" spans="1:3">
      <c r="A294" s="92">
        <v>30707042679</v>
      </c>
      <c r="B294" s="77" t="s">
        <v>151</v>
      </c>
      <c r="C294" s="82" t="s">
        <v>41</v>
      </c>
    </row>
    <row r="295" spans="1:3">
      <c r="A295" s="243">
        <v>30710912579</v>
      </c>
      <c r="B295" s="77" t="s">
        <v>394</v>
      </c>
      <c r="C295" s="82" t="s">
        <v>41</v>
      </c>
    </row>
    <row r="296" spans="1:3">
      <c r="A296" s="84">
        <v>30658035033</v>
      </c>
      <c r="B296" s="77" t="s">
        <v>543</v>
      </c>
      <c r="C296" s="82" t="s">
        <v>80</v>
      </c>
    </row>
    <row r="297" spans="1:3">
      <c r="A297" s="84">
        <v>30546771314</v>
      </c>
      <c r="B297" s="77" t="s">
        <v>79</v>
      </c>
      <c r="C297" s="82" t="s">
        <v>80</v>
      </c>
    </row>
    <row r="298" spans="1:3">
      <c r="A298" s="84">
        <v>20299835260</v>
      </c>
      <c r="B298" s="77" t="s">
        <v>526</v>
      </c>
      <c r="C298" s="82" t="s">
        <v>41</v>
      </c>
    </row>
    <row r="299" spans="1:3">
      <c r="A299" s="84">
        <v>30710816049</v>
      </c>
      <c r="B299" s="77" t="s">
        <v>46</v>
      </c>
      <c r="C299" s="82" t="s">
        <v>41</v>
      </c>
    </row>
    <row r="300" spans="1:3">
      <c r="A300" s="84">
        <v>30703088534</v>
      </c>
      <c r="B300" s="77" t="s">
        <v>226</v>
      </c>
      <c r="C300" s="82" t="s">
        <v>41</v>
      </c>
    </row>
    <row r="301" spans="1:3">
      <c r="A301" s="92">
        <v>30711350213</v>
      </c>
      <c r="B301" s="77" t="s">
        <v>255</v>
      </c>
      <c r="C301" s="82" t="s">
        <v>41</v>
      </c>
    </row>
    <row r="302" spans="1:3">
      <c r="A302" s="92">
        <v>30709016012</v>
      </c>
      <c r="B302" s="77" t="s">
        <v>77</v>
      </c>
      <c r="C302" s="82" t="s">
        <v>80</v>
      </c>
    </row>
    <row r="303" spans="1:3">
      <c r="A303" s="84">
        <v>20182095215</v>
      </c>
      <c r="B303" s="77" t="s">
        <v>204</v>
      </c>
      <c r="C303" s="82" t="s">
        <v>205</v>
      </c>
    </row>
    <row r="304" spans="1:3">
      <c r="A304" s="202">
        <v>20265153209</v>
      </c>
      <c r="B304" s="77" t="s">
        <v>397</v>
      </c>
      <c r="C304" s="82" t="s">
        <v>36</v>
      </c>
    </row>
    <row r="305" spans="1:3">
      <c r="A305" s="84">
        <v>30685116657</v>
      </c>
      <c r="B305" s="77" t="s">
        <v>322</v>
      </c>
      <c r="C305" s="82" t="s">
        <v>54</v>
      </c>
    </row>
    <row r="306" spans="1:3">
      <c r="A306" s="84">
        <v>30715224468</v>
      </c>
      <c r="B306" s="77" t="s">
        <v>551</v>
      </c>
      <c r="C306" s="82" t="s">
        <v>41</v>
      </c>
    </row>
    <row r="307" spans="1:3">
      <c r="A307" s="86">
        <v>20291935401</v>
      </c>
      <c r="B307" s="81" t="s">
        <v>132</v>
      </c>
      <c r="C307" s="82" t="s">
        <v>41</v>
      </c>
    </row>
    <row r="308" spans="1:3">
      <c r="A308" s="92">
        <v>27250643182</v>
      </c>
      <c r="B308" s="77" t="s">
        <v>431</v>
      </c>
      <c r="C308" s="82" t="s">
        <v>54</v>
      </c>
    </row>
    <row r="309" spans="1:3">
      <c r="A309" s="84">
        <v>30708150351</v>
      </c>
      <c r="B309" s="77" t="s">
        <v>523</v>
      </c>
      <c r="C309" s="82" t="s">
        <v>54</v>
      </c>
    </row>
    <row r="310" spans="1:3">
      <c r="A310" s="84">
        <v>20127096733</v>
      </c>
      <c r="B310" s="77" t="s">
        <v>440</v>
      </c>
      <c r="C310" s="82" t="s">
        <v>41</v>
      </c>
    </row>
    <row r="311" spans="1:3">
      <c r="A311" s="84">
        <v>27202892936</v>
      </c>
      <c r="B311" s="77" t="s">
        <v>376</v>
      </c>
      <c r="C311" s="82" t="s">
        <v>41</v>
      </c>
    </row>
    <row r="312" spans="1:3">
      <c r="A312" s="84">
        <v>30709242888</v>
      </c>
      <c r="B312" s="77" t="s">
        <v>312</v>
      </c>
      <c r="C312" s="82" t="s">
        <v>41</v>
      </c>
    </row>
    <row r="313" spans="1:3">
      <c r="A313" s="84">
        <v>30708823151</v>
      </c>
      <c r="B313" s="77" t="s">
        <v>518</v>
      </c>
      <c r="C313" s="82" t="s">
        <v>41</v>
      </c>
    </row>
    <row r="314" spans="1:3">
      <c r="A314" s="84">
        <v>20045461611</v>
      </c>
      <c r="B314" s="77" t="s">
        <v>479</v>
      </c>
      <c r="C314" s="82" t="s">
        <v>54</v>
      </c>
    </row>
    <row r="315" spans="1:3">
      <c r="A315" s="244">
        <v>23306035444</v>
      </c>
      <c r="B315" s="77" t="s">
        <v>350</v>
      </c>
      <c r="C315" s="82" t="s">
        <v>41</v>
      </c>
    </row>
    <row r="316" spans="1:3">
      <c r="A316" s="92">
        <v>20174004146</v>
      </c>
      <c r="B316" s="77" t="s">
        <v>399</v>
      </c>
      <c r="C316" s="82" t="s">
        <v>36</v>
      </c>
    </row>
    <row r="317" spans="1:3">
      <c r="A317" s="92">
        <v>20334976433</v>
      </c>
      <c r="B317" s="77" t="s">
        <v>501</v>
      </c>
      <c r="C317" s="82" t="s">
        <v>36</v>
      </c>
    </row>
    <row r="318" spans="1:3">
      <c r="A318" s="84">
        <v>20315107807</v>
      </c>
      <c r="B318" s="77" t="s">
        <v>35</v>
      </c>
      <c r="C318" s="82" t="s">
        <v>36</v>
      </c>
    </row>
    <row r="319" spans="1:3">
      <c r="A319" s="92">
        <v>20363081755</v>
      </c>
      <c r="B319" s="77" t="s">
        <v>325</v>
      </c>
      <c r="C319" s="82" t="s">
        <v>36</v>
      </c>
    </row>
    <row r="320" spans="1:3">
      <c r="A320" s="88">
        <v>20232991527</v>
      </c>
      <c r="B320" s="77" t="s">
        <v>56</v>
      </c>
      <c r="C320" s="82" t="s">
        <v>41</v>
      </c>
    </row>
    <row r="321" spans="1:3">
      <c r="A321" s="92">
        <v>30715515012</v>
      </c>
      <c r="B321" s="77" t="s">
        <v>548</v>
      </c>
      <c r="C321" s="82" t="s">
        <v>124</v>
      </c>
    </row>
    <row r="322" spans="1:3">
      <c r="A322" s="92">
        <v>30714773255</v>
      </c>
      <c r="B322" s="77" t="s">
        <v>253</v>
      </c>
      <c r="C322" s="82" t="s">
        <v>54</v>
      </c>
    </row>
    <row r="323" spans="1:3">
      <c r="A323" s="90">
        <v>30715284142</v>
      </c>
      <c r="B323" s="77" t="s">
        <v>198</v>
      </c>
      <c r="C323" s="82" t="s">
        <v>54</v>
      </c>
    </row>
    <row r="324" spans="1:3">
      <c r="A324" s="92">
        <v>30717179389</v>
      </c>
      <c r="B324" s="77" t="s">
        <v>586</v>
      </c>
      <c r="C324" s="82" t="s">
        <v>54</v>
      </c>
    </row>
    <row r="325" spans="1:3">
      <c r="A325" s="92">
        <v>20171082464</v>
      </c>
      <c r="B325" s="77" t="s">
        <v>464</v>
      </c>
      <c r="C325" s="82" t="s">
        <v>54</v>
      </c>
    </row>
    <row r="326" spans="1:3">
      <c r="A326" s="84">
        <v>30709318965</v>
      </c>
      <c r="B326" s="77" t="s">
        <v>445</v>
      </c>
      <c r="C326" s="82" t="s">
        <v>41</v>
      </c>
    </row>
    <row r="327" spans="1:3">
      <c r="A327" s="92">
        <v>30702652975</v>
      </c>
      <c r="B327" s="77" t="s">
        <v>303</v>
      </c>
      <c r="C327" s="82" t="s">
        <v>39</v>
      </c>
    </row>
    <row r="328" spans="1:3">
      <c r="A328" s="88">
        <v>30715399519</v>
      </c>
      <c r="B328" s="81" t="s">
        <v>130</v>
      </c>
      <c r="C328" s="82" t="s">
        <v>131</v>
      </c>
    </row>
    <row r="329" spans="1:3">
      <c r="A329" s="92">
        <v>20222347719</v>
      </c>
      <c r="B329" s="77" t="s">
        <v>565</v>
      </c>
      <c r="C329" s="82" t="s">
        <v>54</v>
      </c>
    </row>
    <row r="330" spans="1:3">
      <c r="A330" s="92">
        <v>30536259194</v>
      </c>
      <c r="B330" s="81" t="s">
        <v>129</v>
      </c>
      <c r="C330" s="82" t="s">
        <v>36</v>
      </c>
    </row>
    <row r="331" spans="1:3">
      <c r="A331" s="244">
        <v>27209647252</v>
      </c>
      <c r="B331" s="77" t="s">
        <v>413</v>
      </c>
      <c r="C331" s="82" t="s">
        <v>41</v>
      </c>
    </row>
    <row r="332" spans="1:3">
      <c r="A332" s="92">
        <v>30646217977</v>
      </c>
      <c r="B332" s="77" t="s">
        <v>482</v>
      </c>
      <c r="C332" s="82" t="s">
        <v>80</v>
      </c>
    </row>
    <row r="333" spans="1:3">
      <c r="A333" s="92">
        <v>30500053522</v>
      </c>
      <c r="B333" s="77" t="s">
        <v>72</v>
      </c>
      <c r="C333" s="82" t="s">
        <v>80</v>
      </c>
    </row>
    <row r="334" spans="1:3">
      <c r="A334" s="92">
        <v>30546846217</v>
      </c>
      <c r="B334" s="81" t="s">
        <v>254</v>
      </c>
      <c r="C334" s="82" t="s">
        <v>80</v>
      </c>
    </row>
    <row r="335" spans="1:3">
      <c r="A335" s="84">
        <v>30717024393</v>
      </c>
      <c r="B335" s="77" t="s">
        <v>542</v>
      </c>
      <c r="C335" s="82" t="s">
        <v>54</v>
      </c>
    </row>
    <row r="336" spans="1:3">
      <c r="A336" s="84">
        <v>27405786066</v>
      </c>
      <c r="B336" s="77" t="s">
        <v>300</v>
      </c>
      <c r="C336" s="82" t="s">
        <v>54</v>
      </c>
    </row>
    <row r="337" spans="1:3">
      <c r="A337" s="84">
        <v>23383224829</v>
      </c>
      <c r="B337" s="77" t="s">
        <v>502</v>
      </c>
      <c r="C337" s="82" t="s">
        <v>38</v>
      </c>
    </row>
    <row r="338" spans="1:3">
      <c r="A338" s="84">
        <v>23411502619</v>
      </c>
      <c r="B338" s="77" t="s">
        <v>493</v>
      </c>
      <c r="C338" s="82" t="s">
        <v>38</v>
      </c>
    </row>
    <row r="339" spans="1:3">
      <c r="A339" s="84">
        <v>30711377944</v>
      </c>
      <c r="B339" s="77" t="s">
        <v>274</v>
      </c>
      <c r="C339" s="82" t="s">
        <v>54</v>
      </c>
    </row>
    <row r="340" spans="1:3">
      <c r="A340" s="84">
        <v>30678774495</v>
      </c>
      <c r="B340" s="77" t="s">
        <v>277</v>
      </c>
      <c r="C340" s="82" t="s">
        <v>54</v>
      </c>
    </row>
    <row r="341" spans="1:3">
      <c r="A341" s="84">
        <v>20238751560</v>
      </c>
      <c r="B341" s="77" t="s">
        <v>172</v>
      </c>
      <c r="C341" s="82" t="s">
        <v>54</v>
      </c>
    </row>
    <row r="342" spans="1:3">
      <c r="A342" s="92">
        <v>30661143610</v>
      </c>
      <c r="B342" s="77" t="s">
        <v>555</v>
      </c>
      <c r="C342" s="82" t="s">
        <v>41</v>
      </c>
    </row>
    <row r="343" spans="1:3">
      <c r="A343" s="92">
        <v>30714331082</v>
      </c>
      <c r="B343" s="77" t="s">
        <v>148</v>
      </c>
      <c r="C343" s="82" t="s">
        <v>41</v>
      </c>
    </row>
    <row r="344" spans="1:3">
      <c r="A344" s="92">
        <v>33707920349</v>
      </c>
      <c r="B344" s="77" t="s">
        <v>242</v>
      </c>
      <c r="C344" s="82" t="s">
        <v>41</v>
      </c>
    </row>
    <row r="345" spans="1:3">
      <c r="A345" s="243">
        <v>30661498575</v>
      </c>
      <c r="B345" s="81" t="s">
        <v>203</v>
      </c>
      <c r="C345" s="82" t="s">
        <v>41</v>
      </c>
    </row>
    <row r="346" spans="1:3">
      <c r="A346" s="243">
        <v>33716711469</v>
      </c>
      <c r="B346" s="77" t="s">
        <v>568</v>
      </c>
      <c r="C346" s="82" t="s">
        <v>41</v>
      </c>
    </row>
    <row r="347" spans="1:3">
      <c r="A347" s="86">
        <v>33709738459</v>
      </c>
      <c r="B347" s="77" t="s">
        <v>62</v>
      </c>
      <c r="C347" s="82" t="s">
        <v>41</v>
      </c>
    </row>
    <row r="348" spans="1:3">
      <c r="A348" s="92">
        <v>30696246234</v>
      </c>
      <c r="B348" s="81" t="s">
        <v>161</v>
      </c>
      <c r="C348" s="82" t="s">
        <v>41</v>
      </c>
    </row>
    <row r="349" spans="1:3">
      <c r="A349" s="92">
        <v>30565786306</v>
      </c>
      <c r="B349" s="77" t="s">
        <v>574</v>
      </c>
      <c r="C349" s="82" t="s">
        <v>80</v>
      </c>
    </row>
    <row r="350" spans="1:3">
      <c r="A350" s="92">
        <v>30683032227</v>
      </c>
      <c r="B350" s="77" t="s">
        <v>544</v>
      </c>
      <c r="C350" s="82" t="s">
        <v>80</v>
      </c>
    </row>
    <row r="351" spans="1:3">
      <c r="A351" s="92">
        <v>30585412453</v>
      </c>
      <c r="B351" s="77" t="s">
        <v>248</v>
      </c>
      <c r="C351" s="82" t="s">
        <v>80</v>
      </c>
    </row>
    <row r="352" spans="1:3">
      <c r="A352" s="92">
        <v>30590412631</v>
      </c>
      <c r="B352" s="77" t="s">
        <v>83</v>
      </c>
      <c r="C352" s="82" t="s">
        <v>80</v>
      </c>
    </row>
    <row r="353" spans="1:3">
      <c r="A353" s="92">
        <v>30546666189</v>
      </c>
      <c r="B353" s="81" t="s">
        <v>85</v>
      </c>
      <c r="C353" s="82" t="s">
        <v>80</v>
      </c>
    </row>
    <row r="354" spans="1:3">
      <c r="A354" s="90">
        <v>30608716390</v>
      </c>
      <c r="B354" s="81" t="s">
        <v>128</v>
      </c>
      <c r="C354" s="82" t="s">
        <v>80</v>
      </c>
    </row>
    <row r="355" spans="1:3">
      <c r="A355" s="92">
        <v>30658137642</v>
      </c>
      <c r="B355" s="81" t="s">
        <v>87</v>
      </c>
      <c r="C355" s="82" t="s">
        <v>80</v>
      </c>
    </row>
    <row r="356" spans="1:3">
      <c r="A356" s="92">
        <v>30707080198</v>
      </c>
      <c r="B356" s="77" t="s">
        <v>66</v>
      </c>
      <c r="C356" s="82" t="s">
        <v>41</v>
      </c>
    </row>
    <row r="357" spans="1:3">
      <c r="A357" s="89">
        <v>30643862928</v>
      </c>
      <c r="B357" s="81" t="s">
        <v>170</v>
      </c>
      <c r="C357" s="82" t="s">
        <v>41</v>
      </c>
    </row>
    <row r="358" spans="1:3">
      <c r="A358" s="92">
        <v>20330614014</v>
      </c>
      <c r="B358" s="77" t="s">
        <v>370</v>
      </c>
      <c r="C358" s="82" t="s">
        <v>41</v>
      </c>
    </row>
    <row r="359" spans="1:3">
      <c r="A359" s="92">
        <v>20277164192</v>
      </c>
      <c r="B359" s="81" t="s">
        <v>122</v>
      </c>
      <c r="C359" s="82" t="s">
        <v>43</v>
      </c>
    </row>
    <row r="360" spans="1:3">
      <c r="A360" s="92">
        <v>20043911369</v>
      </c>
      <c r="B360" s="77" t="s">
        <v>210</v>
      </c>
      <c r="C360" s="82" t="s">
        <v>41</v>
      </c>
    </row>
    <row r="361" spans="1:3">
      <c r="A361" s="92">
        <v>20275351254</v>
      </c>
      <c r="B361" s="77" t="s">
        <v>446</v>
      </c>
      <c r="C361" s="82" t="s">
        <v>41</v>
      </c>
    </row>
    <row r="362" spans="1:3">
      <c r="A362" s="92">
        <v>30695542476</v>
      </c>
      <c r="B362" s="77" t="s">
        <v>291</v>
      </c>
      <c r="C362" s="82" t="s">
        <v>43</v>
      </c>
    </row>
    <row r="363" spans="1:3">
      <c r="A363" s="92">
        <v>30587197215</v>
      </c>
      <c r="B363" s="77" t="s">
        <v>496</v>
      </c>
      <c r="C363" s="82" t="s">
        <v>54</v>
      </c>
    </row>
    <row r="364" spans="1:3">
      <c r="A364" s="92">
        <v>30591633984</v>
      </c>
      <c r="B364" s="77" t="s">
        <v>119</v>
      </c>
      <c r="C364" s="82" t="s">
        <v>41</v>
      </c>
    </row>
    <row r="365" spans="1:3">
      <c r="A365" s="92">
        <v>30716815710</v>
      </c>
      <c r="B365" s="77" t="s">
        <v>360</v>
      </c>
      <c r="C365" s="82" t="s">
        <v>51</v>
      </c>
    </row>
    <row r="366" spans="1:3">
      <c r="A366" s="84">
        <v>30605041287</v>
      </c>
      <c r="B366" s="77" t="s">
        <v>272</v>
      </c>
      <c r="C366" s="82" t="s">
        <v>54</v>
      </c>
    </row>
    <row r="367" spans="1:3">
      <c r="A367" s="84">
        <v>27218733803</v>
      </c>
      <c r="B367" s="77" t="s">
        <v>329</v>
      </c>
      <c r="C367" s="82" t="s">
        <v>51</v>
      </c>
    </row>
    <row r="368" spans="1:3">
      <c r="A368" s="208">
        <v>33693786369</v>
      </c>
      <c r="B368" s="77" t="s">
        <v>424</v>
      </c>
      <c r="C368" s="82" t="s">
        <v>54</v>
      </c>
    </row>
    <row r="369" spans="1:3">
      <c r="A369" s="84">
        <v>30627583873</v>
      </c>
      <c r="B369" s="77" t="s">
        <v>260</v>
      </c>
      <c r="C369" s="82" t="s">
        <v>54</v>
      </c>
    </row>
    <row r="370" spans="1:3">
      <c r="A370" s="84">
        <v>30715413678</v>
      </c>
      <c r="B370" s="77" t="s">
        <v>380</v>
      </c>
      <c r="C370" s="82" t="s">
        <v>54</v>
      </c>
    </row>
    <row r="371" spans="1:3">
      <c r="A371" s="84">
        <v>20108555417</v>
      </c>
      <c r="B371" s="77" t="s">
        <v>468</v>
      </c>
      <c r="C371" s="82" t="s">
        <v>41</v>
      </c>
    </row>
    <row r="372" spans="1:3">
      <c r="A372" s="84">
        <v>20280154602</v>
      </c>
      <c r="B372" s="77" t="s">
        <v>320</v>
      </c>
      <c r="C372" s="82" t="s">
        <v>36</v>
      </c>
    </row>
    <row r="373" spans="1:3">
      <c r="A373" s="202">
        <v>23282830299</v>
      </c>
      <c r="B373" s="236" t="s">
        <v>434</v>
      </c>
      <c r="C373" s="237" t="s">
        <v>41</v>
      </c>
    </row>
    <row r="374" spans="1:3">
      <c r="A374" s="92">
        <v>27316249154</v>
      </c>
      <c r="B374" s="77" t="s">
        <v>513</v>
      </c>
      <c r="C374" s="82" t="s">
        <v>41</v>
      </c>
    </row>
    <row r="375" spans="1:3">
      <c r="A375" s="92">
        <v>20274327678</v>
      </c>
      <c r="B375" s="77" t="s">
        <v>429</v>
      </c>
      <c r="C375" s="82" t="s">
        <v>36</v>
      </c>
    </row>
    <row r="376" spans="1:3">
      <c r="A376" s="92">
        <v>27182477368</v>
      </c>
      <c r="B376" s="77" t="s">
        <v>74</v>
      </c>
      <c r="C376" s="82" t="s">
        <v>80</v>
      </c>
    </row>
    <row r="377" spans="1:3">
      <c r="A377" s="92">
        <v>20307462207</v>
      </c>
      <c r="B377" s="77" t="s">
        <v>271</v>
      </c>
      <c r="C377" s="82" t="s">
        <v>54</v>
      </c>
    </row>
    <row r="378" spans="1:3">
      <c r="A378" s="92">
        <v>20113613646</v>
      </c>
      <c r="B378" s="77" t="s">
        <v>418</v>
      </c>
      <c r="C378" s="82" t="s">
        <v>54</v>
      </c>
    </row>
    <row r="379" spans="1:3">
      <c r="A379" s="92">
        <v>30601502085</v>
      </c>
      <c r="B379" s="77" t="s">
        <v>478</v>
      </c>
      <c r="C379" s="82" t="s">
        <v>54</v>
      </c>
    </row>
    <row r="380" spans="1:3">
      <c r="A380" s="92">
        <v>20184015820</v>
      </c>
      <c r="B380" s="77" t="s">
        <v>492</v>
      </c>
      <c r="C380" s="82" t="s">
        <v>54</v>
      </c>
    </row>
    <row r="381" spans="1:3">
      <c r="A381" s="92">
        <v>30646512952</v>
      </c>
      <c r="B381" s="77" t="s">
        <v>477</v>
      </c>
      <c r="C381" s="82" t="s">
        <v>54</v>
      </c>
    </row>
    <row r="382" spans="1:3">
      <c r="A382" s="92">
        <v>27279386715</v>
      </c>
      <c r="B382" s="77" t="s">
        <v>261</v>
      </c>
      <c r="C382" s="82" t="s">
        <v>54</v>
      </c>
    </row>
    <row r="383" spans="1:3">
      <c r="A383" s="92">
        <v>27370346742</v>
      </c>
      <c r="B383" s="77" t="s">
        <v>189</v>
      </c>
      <c r="C383" s="82" t="s">
        <v>177</v>
      </c>
    </row>
    <row r="384" spans="1:3">
      <c r="A384" s="92">
        <v>20046086806</v>
      </c>
      <c r="B384" s="77" t="s">
        <v>489</v>
      </c>
      <c r="C384" s="82" t="s">
        <v>54</v>
      </c>
    </row>
    <row r="385" spans="1:3">
      <c r="A385" s="88">
        <v>27265302225</v>
      </c>
      <c r="B385" s="81" t="s">
        <v>165</v>
      </c>
      <c r="C385" s="82" t="s">
        <v>41</v>
      </c>
    </row>
    <row r="386" spans="1:3">
      <c r="A386" s="92">
        <v>20264653313</v>
      </c>
      <c r="B386" s="77" t="s">
        <v>494</v>
      </c>
      <c r="C386" s="82" t="s">
        <v>36</v>
      </c>
    </row>
    <row r="387" spans="1:3">
      <c r="A387" s="92">
        <v>30577428618</v>
      </c>
      <c r="B387" s="77" t="s">
        <v>571</v>
      </c>
      <c r="C387" s="82" t="s">
        <v>54</v>
      </c>
    </row>
    <row r="388" spans="1:3">
      <c r="A388" s="92">
        <v>30715740806</v>
      </c>
      <c r="B388" s="77" t="s">
        <v>266</v>
      </c>
      <c r="C388" s="82" t="s">
        <v>54</v>
      </c>
    </row>
    <row r="389" spans="1:3">
      <c r="A389" s="92">
        <v>20362272441</v>
      </c>
      <c r="B389" s="77" t="s">
        <v>521</v>
      </c>
      <c r="C389" s="82" t="s">
        <v>41</v>
      </c>
    </row>
    <row r="390" spans="1:3">
      <c r="A390" s="92">
        <v>20253804336</v>
      </c>
      <c r="B390" s="77" t="s">
        <v>419</v>
      </c>
      <c r="C390" s="82" t="s">
        <v>41</v>
      </c>
    </row>
    <row r="391" spans="1:3">
      <c r="A391" s="92">
        <v>30707970010</v>
      </c>
      <c r="B391" s="77" t="s">
        <v>250</v>
      </c>
      <c r="C391" s="82" t="s">
        <v>41</v>
      </c>
    </row>
    <row r="392" spans="1:3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>
      <c r="A394" s="243">
        <v>20285597405</v>
      </c>
      <c r="B394" s="77" t="s">
        <v>385</v>
      </c>
      <c r="C394" s="82" t="s">
        <v>54</v>
      </c>
    </row>
    <row r="395" spans="1:3">
      <c r="A395" s="243">
        <v>30716821478</v>
      </c>
      <c r="B395" s="77" t="s">
        <v>425</v>
      </c>
      <c r="C395" s="82" t="s">
        <v>41</v>
      </c>
    </row>
    <row r="396" spans="1:3">
      <c r="A396" s="89">
        <v>20182721787</v>
      </c>
      <c r="B396" s="81" t="s">
        <v>171</v>
      </c>
      <c r="C396" s="82" t="s">
        <v>41</v>
      </c>
    </row>
    <row r="397" spans="1:3">
      <c r="A397" s="92">
        <v>20289111329</v>
      </c>
      <c r="B397" s="77" t="s">
        <v>470</v>
      </c>
      <c r="C397" s="82" t="s">
        <v>41</v>
      </c>
    </row>
    <row r="398" spans="1:3">
      <c r="A398" s="92">
        <v>27233748205</v>
      </c>
      <c r="B398" s="77" t="s">
        <v>301</v>
      </c>
      <c r="C398" s="82" t="s">
        <v>41</v>
      </c>
    </row>
    <row r="399" spans="1:3">
      <c r="A399" s="92">
        <v>30707370552</v>
      </c>
      <c r="B399" s="77" t="s">
        <v>297</v>
      </c>
      <c r="C399" s="82" t="s">
        <v>41</v>
      </c>
    </row>
    <row r="400" spans="1:3">
      <c r="A400" s="92">
        <v>20142643384</v>
      </c>
      <c r="B400" s="77" t="s">
        <v>583</v>
      </c>
      <c r="C400" s="82" t="s">
        <v>41</v>
      </c>
    </row>
    <row r="401" spans="1:3">
      <c r="A401" s="92">
        <v>20202500138</v>
      </c>
      <c r="B401" s="81" t="s">
        <v>123</v>
      </c>
      <c r="C401" s="82" t="s">
        <v>124</v>
      </c>
    </row>
    <row r="402" spans="1:3">
      <c r="A402" s="92">
        <v>27181965709</v>
      </c>
      <c r="B402" s="77" t="s">
        <v>508</v>
      </c>
      <c r="C402" s="82" t="s">
        <v>36</v>
      </c>
    </row>
    <row r="403" spans="1:3">
      <c r="A403" s="92">
        <v>30715141201</v>
      </c>
      <c r="B403" s="77" t="s">
        <v>147</v>
      </c>
      <c r="C403" s="82" t="s">
        <v>41</v>
      </c>
    </row>
    <row r="404" spans="1:3">
      <c r="A404" s="92">
        <v>30709214078</v>
      </c>
      <c r="B404" s="77" t="s">
        <v>44</v>
      </c>
      <c r="C404" s="82" t="s">
        <v>41</v>
      </c>
    </row>
    <row r="405" spans="1:3">
      <c r="A405" s="89">
        <v>30711764921</v>
      </c>
      <c r="B405" s="77" t="s">
        <v>157</v>
      </c>
      <c r="C405" s="82" t="s">
        <v>41</v>
      </c>
    </row>
    <row r="406" spans="1:3">
      <c r="A406" s="92">
        <v>30710473990</v>
      </c>
      <c r="B406" s="77" t="s">
        <v>69</v>
      </c>
      <c r="C406" s="82" t="s">
        <v>54</v>
      </c>
    </row>
    <row r="407" spans="1:3">
      <c r="A407" s="92">
        <v>30711013969</v>
      </c>
      <c r="B407" s="77" t="s">
        <v>589</v>
      </c>
      <c r="C407" s="82" t="s">
        <v>36</v>
      </c>
    </row>
    <row r="408" spans="1:3">
      <c r="A408" s="92">
        <v>20319885812</v>
      </c>
      <c r="B408" s="77" t="s">
        <v>319</v>
      </c>
      <c r="C408" s="82" t="s">
        <v>41</v>
      </c>
    </row>
    <row r="409" spans="1:3">
      <c r="A409" s="92">
        <v>23106878269</v>
      </c>
      <c r="B409" s="77" t="s">
        <v>516</v>
      </c>
      <c r="C409" s="82" t="s">
        <v>41</v>
      </c>
    </row>
    <row r="410" spans="1:3">
      <c r="A410" s="92">
        <v>20133694146</v>
      </c>
      <c r="B410" s="77" t="s">
        <v>346</v>
      </c>
      <c r="C410" s="82" t="s">
        <v>54</v>
      </c>
    </row>
    <row r="411" spans="1:3">
      <c r="A411" s="92">
        <v>20117741398</v>
      </c>
      <c r="B411" s="77" t="s">
        <v>388</v>
      </c>
      <c r="C411" s="82" t="s">
        <v>54</v>
      </c>
    </row>
    <row r="412" spans="1:3">
      <c r="A412" s="92">
        <v>33716449829</v>
      </c>
      <c r="B412" s="77" t="s">
        <v>279</v>
      </c>
      <c r="C412" s="82" t="s">
        <v>36</v>
      </c>
    </row>
    <row r="413" spans="1:3">
      <c r="A413" s="243">
        <v>30642659312</v>
      </c>
      <c r="B413" s="77" t="s">
        <v>344</v>
      </c>
      <c r="C413" s="82" t="s">
        <v>41</v>
      </c>
    </row>
    <row r="414" spans="1:3">
      <c r="A414" s="89">
        <v>23233422029</v>
      </c>
      <c r="B414" s="81" t="s">
        <v>176</v>
      </c>
      <c r="C414" s="82" t="s">
        <v>41</v>
      </c>
    </row>
    <row r="415" spans="1:3">
      <c r="A415" s="92">
        <v>20183700805</v>
      </c>
      <c r="B415" s="77" t="s">
        <v>371</v>
      </c>
      <c r="C415" s="82" t="s">
        <v>38</v>
      </c>
    </row>
    <row r="416" spans="1:3">
      <c r="A416" s="92">
        <v>27313805293</v>
      </c>
      <c r="B416" s="77" t="s">
        <v>382</v>
      </c>
      <c r="C416" s="82" t="s">
        <v>54</v>
      </c>
    </row>
    <row r="417" spans="1:3">
      <c r="A417" s="92">
        <v>30708552808</v>
      </c>
      <c r="B417" s="77" t="s">
        <v>379</v>
      </c>
      <c r="C417" s="82" t="s">
        <v>54</v>
      </c>
    </row>
    <row r="418" spans="1:3">
      <c r="A418" s="88">
        <v>30715048066</v>
      </c>
      <c r="B418" s="77" t="s">
        <v>55</v>
      </c>
      <c r="C418" s="82" t="s">
        <v>54</v>
      </c>
    </row>
    <row r="419" spans="1:3">
      <c r="A419" s="92">
        <v>23122329119</v>
      </c>
      <c r="B419" s="77" t="s">
        <v>476</v>
      </c>
      <c r="C419" s="82" t="s">
        <v>54</v>
      </c>
    </row>
    <row r="420" spans="1:3">
      <c r="A420" s="92">
        <v>30710638973</v>
      </c>
      <c r="B420" s="77" t="s">
        <v>525</v>
      </c>
      <c r="C420" s="82" t="s">
        <v>54</v>
      </c>
    </row>
    <row r="421" spans="1:3">
      <c r="A421" s="89">
        <v>30595553535</v>
      </c>
      <c r="B421" s="81" t="s">
        <v>207</v>
      </c>
      <c r="C421" s="82" t="s">
        <v>181</v>
      </c>
    </row>
    <row r="422" spans="1:3">
      <c r="A422" s="92">
        <v>20044272009</v>
      </c>
      <c r="B422" s="77" t="s">
        <v>359</v>
      </c>
      <c r="C422" s="82" t="s">
        <v>51</v>
      </c>
    </row>
    <row r="423" spans="1:3">
      <c r="A423" s="92">
        <v>20254412490</v>
      </c>
      <c r="B423" s="77" t="s">
        <v>305</v>
      </c>
      <c r="C423" s="82" t="s">
        <v>54</v>
      </c>
    </row>
    <row r="424" spans="1:3">
      <c r="A424" s="90">
        <v>23111810184</v>
      </c>
      <c r="B424" s="77" t="s">
        <v>190</v>
      </c>
      <c r="C424" s="82" t="s">
        <v>80</v>
      </c>
    </row>
    <row r="425" spans="1:3">
      <c r="A425" s="92">
        <v>20394693864</v>
      </c>
      <c r="B425" s="77" t="s">
        <v>553</v>
      </c>
      <c r="C425" s="82" t="s">
        <v>54</v>
      </c>
    </row>
    <row r="426" spans="1:3">
      <c r="A426" s="92">
        <v>30711553564</v>
      </c>
      <c r="B426" s="77" t="s">
        <v>239</v>
      </c>
      <c r="C426" s="82" t="s">
        <v>41</v>
      </c>
    </row>
    <row r="427" spans="1:3">
      <c r="A427" s="92">
        <v>30588919826</v>
      </c>
      <c r="B427" s="77" t="s">
        <v>475</v>
      </c>
      <c r="C427" s="82" t="s">
        <v>54</v>
      </c>
    </row>
    <row r="428" spans="1:3">
      <c r="A428" s="92">
        <v>30586172308</v>
      </c>
      <c r="B428" s="77" t="s">
        <v>252</v>
      </c>
      <c r="C428" s="82" t="s">
        <v>51</v>
      </c>
    </row>
    <row r="429" spans="1:3">
      <c r="A429" s="92">
        <v>27217606255</v>
      </c>
      <c r="B429" s="77" t="s">
        <v>362</v>
      </c>
      <c r="C429" s="82" t="s">
        <v>41</v>
      </c>
    </row>
    <row r="430" spans="1:3">
      <c r="A430" s="92">
        <v>23255491784</v>
      </c>
      <c r="B430" s="77" t="s">
        <v>358</v>
      </c>
      <c r="C430" s="82" t="s">
        <v>41</v>
      </c>
    </row>
    <row r="431" spans="1:3">
      <c r="A431" s="92">
        <v>33693506099</v>
      </c>
      <c r="B431" s="77" t="s">
        <v>336</v>
      </c>
      <c r="C431" s="82" t="s">
        <v>54</v>
      </c>
    </row>
    <row r="432" spans="1:3">
      <c r="A432" s="92">
        <v>20268417762</v>
      </c>
      <c r="B432" s="77" t="s">
        <v>595</v>
      </c>
      <c r="C432" s="82" t="s">
        <v>54</v>
      </c>
    </row>
    <row r="433" spans="1:3">
      <c r="A433" s="92">
        <v>33710130189</v>
      </c>
      <c r="B433" s="77" t="s">
        <v>550</v>
      </c>
      <c r="C433" s="82" t="s">
        <v>41</v>
      </c>
    </row>
    <row r="434" spans="1:3">
      <c r="A434" s="92">
        <v>30690142860</v>
      </c>
      <c r="B434" s="77" t="s">
        <v>233</v>
      </c>
      <c r="C434" s="82" t="s">
        <v>36</v>
      </c>
    </row>
    <row r="435" spans="1:3">
      <c r="A435" s="92">
        <v>30710276273</v>
      </c>
      <c r="B435" s="77" t="s">
        <v>484</v>
      </c>
      <c r="C435" s="82" t="s">
        <v>36</v>
      </c>
    </row>
    <row r="436" spans="1:3">
      <c r="A436" s="92">
        <v>30709570664</v>
      </c>
      <c r="B436" s="77" t="s">
        <v>517</v>
      </c>
      <c r="C436" s="82" t="s">
        <v>41</v>
      </c>
    </row>
    <row r="437" spans="1:3">
      <c r="A437" s="92">
        <v>30638340689</v>
      </c>
      <c r="B437" s="77" t="s">
        <v>340</v>
      </c>
      <c r="C437" s="82" t="s">
        <v>41</v>
      </c>
    </row>
    <row r="438" spans="1:3">
      <c r="A438" s="92">
        <v>30709525839</v>
      </c>
      <c r="B438" s="77" t="s">
        <v>545</v>
      </c>
      <c r="C438" s="82" t="s">
        <v>41</v>
      </c>
    </row>
    <row r="439" spans="1:3">
      <c r="A439" s="243">
        <v>30710682026</v>
      </c>
      <c r="B439" s="77" t="s">
        <v>391</v>
      </c>
      <c r="C439" s="82" t="s">
        <v>54</v>
      </c>
    </row>
    <row r="440" spans="1:3">
      <c r="A440" s="92">
        <v>33709619719</v>
      </c>
      <c r="B440" s="77" t="s">
        <v>530</v>
      </c>
      <c r="C440" s="82" t="s">
        <v>54</v>
      </c>
    </row>
    <row r="441" spans="1:3">
      <c r="A441" s="92">
        <v>30645722554</v>
      </c>
      <c r="B441" s="77" t="s">
        <v>378</v>
      </c>
      <c r="C441" s="82" t="s">
        <v>54</v>
      </c>
    </row>
    <row r="442" spans="1:3">
      <c r="A442" s="92">
        <v>30715753541</v>
      </c>
      <c r="B442" s="77" t="s">
        <v>497</v>
      </c>
      <c r="C442" s="82" t="s">
        <v>54</v>
      </c>
    </row>
    <row r="443" spans="1:3">
      <c r="A443" s="92">
        <v>30598960093</v>
      </c>
      <c r="B443" s="77" t="s">
        <v>67</v>
      </c>
      <c r="C443" s="82" t="s">
        <v>41</v>
      </c>
    </row>
    <row r="444" spans="1:3">
      <c r="A444" s="92">
        <v>20351173913</v>
      </c>
      <c r="B444" s="77" t="s">
        <v>227</v>
      </c>
      <c r="C444" s="82" t="s">
        <v>41</v>
      </c>
    </row>
    <row r="445" spans="1:3">
      <c r="A445" s="92">
        <v>30702071506</v>
      </c>
      <c r="B445" s="77" t="s">
        <v>309</v>
      </c>
      <c r="C445" s="82" t="s">
        <v>54</v>
      </c>
    </row>
    <row r="446" spans="1:3">
      <c r="A446" s="92">
        <v>30711842809</v>
      </c>
      <c r="B446" s="77" t="s">
        <v>381</v>
      </c>
      <c r="C446" s="82" t="s">
        <v>54</v>
      </c>
    </row>
    <row r="447" spans="1:3">
      <c r="A447" s="92">
        <v>30654118767</v>
      </c>
      <c r="B447" s="77" t="s">
        <v>268</v>
      </c>
      <c r="C447" s="82" t="s">
        <v>41</v>
      </c>
    </row>
    <row r="448" spans="1:3">
      <c r="A448" s="245">
        <v>30716393360</v>
      </c>
      <c r="B448" s="77" t="s">
        <v>195</v>
      </c>
      <c r="C448" s="82" t="s">
        <v>41</v>
      </c>
    </row>
    <row r="449" spans="1:3">
      <c r="A449" s="92">
        <v>33715594949</v>
      </c>
      <c r="B449" s="77" t="s">
        <v>569</v>
      </c>
      <c r="C449" s="82" t="s">
        <v>124</v>
      </c>
    </row>
    <row r="450" spans="1:3">
      <c r="A450" s="90">
        <v>27066622997</v>
      </c>
      <c r="B450" s="77" t="s">
        <v>180</v>
      </c>
      <c r="C450" s="82" t="s">
        <v>181</v>
      </c>
    </row>
    <row r="451" spans="1:3">
      <c r="A451" s="92">
        <v>27283627573</v>
      </c>
      <c r="B451" s="77" t="s">
        <v>570</v>
      </c>
      <c r="C451" s="82" t="s">
        <v>124</v>
      </c>
    </row>
    <row r="452" spans="1:3">
      <c r="A452" s="243">
        <v>20300821872</v>
      </c>
      <c r="B452" s="77" t="s">
        <v>455</v>
      </c>
      <c r="C452" s="82" t="s">
        <v>54</v>
      </c>
    </row>
    <row r="453" spans="1:3">
      <c r="A453" s="92">
        <v>30715668994</v>
      </c>
      <c r="B453" s="77" t="s">
        <v>593</v>
      </c>
      <c r="C453" s="82" t="s">
        <v>41</v>
      </c>
    </row>
    <row r="454" spans="1:3">
      <c r="A454" s="92">
        <v>30577797281</v>
      </c>
      <c r="B454" s="77" t="s">
        <v>145</v>
      </c>
      <c r="C454" s="82" t="s">
        <v>80</v>
      </c>
    </row>
    <row r="455" spans="1:3">
      <c r="A455" s="92">
        <v>23250955529</v>
      </c>
      <c r="B455" s="77" t="s">
        <v>246</v>
      </c>
      <c r="C455" s="82" t="s">
        <v>54</v>
      </c>
    </row>
    <row r="456" spans="1:3">
      <c r="A456" s="92">
        <v>20314785593</v>
      </c>
      <c r="B456" s="77" t="s">
        <v>155</v>
      </c>
      <c r="C456" s="82" t="s">
        <v>41</v>
      </c>
    </row>
    <row r="457" spans="1:3">
      <c r="A457" s="92">
        <v>30715458744</v>
      </c>
      <c r="B457" s="77" t="s">
        <v>308</v>
      </c>
      <c r="C457" s="82" t="s">
        <v>54</v>
      </c>
    </row>
    <row r="458" spans="1:3">
      <c r="A458" s="244">
        <v>27267575997</v>
      </c>
      <c r="B458" s="77" t="s">
        <v>363</v>
      </c>
      <c r="C458" s="82" t="s">
        <v>36</v>
      </c>
    </row>
    <row r="459" spans="1:3">
      <c r="A459" s="92">
        <v>20310122212</v>
      </c>
      <c r="B459" s="77" t="s">
        <v>363</v>
      </c>
      <c r="C459" s="82" t="s">
        <v>41</v>
      </c>
    </row>
    <row r="460" spans="1:3">
      <c r="A460" s="92">
        <v>20229905199</v>
      </c>
      <c r="B460" s="77" t="s">
        <v>600</v>
      </c>
      <c r="C460" s="82" t="s">
        <v>54</v>
      </c>
    </row>
    <row r="461" spans="1:3">
      <c r="A461" s="92">
        <v>30505459179</v>
      </c>
      <c r="B461" s="77" t="s">
        <v>283</v>
      </c>
      <c r="C461" s="82" t="s">
        <v>41</v>
      </c>
    </row>
    <row r="462" spans="1:3">
      <c r="A462" s="92">
        <v>23145783224</v>
      </c>
      <c r="B462" s="77" t="s">
        <v>65</v>
      </c>
      <c r="C462" s="82" t="s">
        <v>41</v>
      </c>
    </row>
    <row r="463" spans="1:3">
      <c r="A463" s="92">
        <v>30710114176</v>
      </c>
      <c r="B463" s="77" t="s">
        <v>438</v>
      </c>
      <c r="C463" s="82" t="s">
        <v>54</v>
      </c>
    </row>
    <row r="464" spans="1:3">
      <c r="A464" s="92">
        <v>30700939797</v>
      </c>
      <c r="B464" s="77" t="s">
        <v>559</v>
      </c>
      <c r="C464" s="82" t="s">
        <v>41</v>
      </c>
    </row>
    <row r="465" spans="1:3">
      <c r="A465" s="92">
        <v>30710177658</v>
      </c>
      <c r="B465" s="77" t="s">
        <v>118</v>
      </c>
      <c r="C465" s="82" t="s">
        <v>41</v>
      </c>
    </row>
    <row r="466" spans="1:3">
      <c r="A466" s="92">
        <v>30687489221</v>
      </c>
      <c r="B466" s="77" t="s">
        <v>499</v>
      </c>
      <c r="C466" s="82" t="s">
        <v>36</v>
      </c>
    </row>
    <row r="467" spans="1:3">
      <c r="A467" s="243">
        <v>20283639941</v>
      </c>
      <c r="B467" s="77" t="s">
        <v>384</v>
      </c>
      <c r="C467" s="82" t="s">
        <v>54</v>
      </c>
    </row>
    <row r="468" spans="1:3">
      <c r="A468" s="89">
        <v>30708960736</v>
      </c>
      <c r="B468" s="81" t="s">
        <v>163</v>
      </c>
      <c r="C468" s="82" t="s">
        <v>41</v>
      </c>
    </row>
    <row r="469" spans="1:3">
      <c r="A469" s="92">
        <v>33716532769</v>
      </c>
      <c r="B469" s="77" t="s">
        <v>311</v>
      </c>
      <c r="C469" s="82" t="s">
        <v>41</v>
      </c>
    </row>
    <row r="470" spans="1:3">
      <c r="A470" s="92">
        <v>30639453738</v>
      </c>
      <c r="B470" s="77" t="s">
        <v>140</v>
      </c>
      <c r="C470" s="82" t="s">
        <v>39</v>
      </c>
    </row>
    <row r="471" spans="1:3">
      <c r="A471" s="92">
        <v>30639453975</v>
      </c>
      <c r="B471" s="77" t="s">
        <v>139</v>
      </c>
      <c r="C471" s="82" t="s">
        <v>39</v>
      </c>
    </row>
    <row r="472" spans="1:3">
      <c r="A472" s="92">
        <v>30678814357</v>
      </c>
      <c r="B472" s="77" t="s">
        <v>117</v>
      </c>
      <c r="C472" s="82" t="s">
        <v>39</v>
      </c>
    </row>
    <row r="473" spans="1:3">
      <c r="A473" s="92">
        <v>30712450408</v>
      </c>
      <c r="B473" s="77" t="s">
        <v>404</v>
      </c>
      <c r="C473" s="82" t="s">
        <v>54</v>
      </c>
    </row>
    <row r="474" spans="1:3">
      <c r="A474" s="92">
        <v>30716018373</v>
      </c>
      <c r="B474" s="77" t="s">
        <v>298</v>
      </c>
      <c r="C474" s="82" t="s">
        <v>36</v>
      </c>
    </row>
    <row r="475" spans="1:3">
      <c r="A475" s="92">
        <v>30616031143</v>
      </c>
      <c r="B475" s="77" t="s">
        <v>141</v>
      </c>
      <c r="C475" s="82" t="s">
        <v>54</v>
      </c>
    </row>
    <row r="476" spans="1:3">
      <c r="A476" s="92">
        <v>30683612916</v>
      </c>
      <c r="B476" s="77" t="s">
        <v>580</v>
      </c>
      <c r="C476" s="82" t="s">
        <v>36</v>
      </c>
    </row>
    <row r="477" spans="1:3">
      <c r="A477" s="92">
        <v>30711188416</v>
      </c>
      <c r="B477" s="77" t="s">
        <v>421</v>
      </c>
      <c r="C477" s="82" t="s">
        <v>36</v>
      </c>
    </row>
    <row r="478" spans="1:3">
      <c r="A478" s="92">
        <v>30711811253</v>
      </c>
      <c r="B478" s="77" t="s">
        <v>416</v>
      </c>
      <c r="C478" s="82" t="s">
        <v>41</v>
      </c>
    </row>
    <row r="479" spans="1:3">
      <c r="A479" s="89">
        <v>30712305513</v>
      </c>
      <c r="B479" s="81" t="s">
        <v>167</v>
      </c>
      <c r="C479" s="82" t="s">
        <v>41</v>
      </c>
    </row>
    <row r="480" spans="1:3">
      <c r="A480" s="92">
        <v>20131067446</v>
      </c>
      <c r="B480" s="77" t="s">
        <v>420</v>
      </c>
      <c r="C480" s="82" t="s">
        <v>41</v>
      </c>
    </row>
    <row r="481" spans="1:3">
      <c r="A481" s="92">
        <v>30646150406</v>
      </c>
      <c r="B481" s="77" t="s">
        <v>146</v>
      </c>
      <c r="C481" s="82" t="s">
        <v>41</v>
      </c>
    </row>
    <row r="482" spans="1:3">
      <c r="A482" s="92">
        <v>27299725761</v>
      </c>
      <c r="B482" s="77" t="s">
        <v>524</v>
      </c>
      <c r="C482" s="82" t="s">
        <v>41</v>
      </c>
    </row>
    <row r="483" spans="1:3">
      <c r="A483" s="92">
        <v>30531602273</v>
      </c>
      <c r="B483" s="81" t="s">
        <v>86</v>
      </c>
      <c r="C483" s="82" t="s">
        <v>80</v>
      </c>
    </row>
    <row r="484" spans="1:3">
      <c r="A484" s="244">
        <v>30556565798</v>
      </c>
      <c r="B484" s="77" t="s">
        <v>243</v>
      </c>
      <c r="C484" s="82" t="s">
        <v>36</v>
      </c>
    </row>
    <row r="485" spans="1:3">
      <c r="A485" s="88">
        <v>20257137326</v>
      </c>
      <c r="B485" s="77" t="s">
        <v>178</v>
      </c>
      <c r="C485" s="82" t="s">
        <v>41</v>
      </c>
    </row>
    <row r="486" spans="1:3">
      <c r="A486" s="92">
        <v>20216451679</v>
      </c>
      <c r="B486" s="77" t="s">
        <v>480</v>
      </c>
      <c r="C486" s="82" t="s">
        <v>41</v>
      </c>
    </row>
    <row r="487" spans="1:3">
      <c r="A487" s="243">
        <v>27415594742</v>
      </c>
      <c r="B487" s="77" t="s">
        <v>426</v>
      </c>
      <c r="C487" s="82" t="s">
        <v>41</v>
      </c>
    </row>
    <row r="488" spans="1:3">
      <c r="A488" s="89">
        <v>20247225243</v>
      </c>
      <c r="B488" s="77" t="s">
        <v>45</v>
      </c>
      <c r="C488" s="82" t="s">
        <v>41</v>
      </c>
    </row>
    <row r="489" spans="1:3">
      <c r="A489" s="92">
        <v>30561769644</v>
      </c>
      <c r="B489" s="77" t="s">
        <v>450</v>
      </c>
      <c r="C489" s="82" t="s">
        <v>54</v>
      </c>
    </row>
    <row r="490" spans="1:3">
      <c r="A490" s="92">
        <v>27247019370</v>
      </c>
      <c r="B490" s="77" t="s">
        <v>474</v>
      </c>
      <c r="C490" s="82" t="s">
        <v>41</v>
      </c>
    </row>
    <row r="491" spans="1:3">
      <c r="A491" s="92">
        <v>30707977120</v>
      </c>
      <c r="B491" s="77" t="s">
        <v>573</v>
      </c>
      <c r="C491" s="82" t="s">
        <v>54</v>
      </c>
    </row>
    <row r="492" spans="1:3">
      <c r="A492" s="88">
        <v>27211421202</v>
      </c>
      <c r="B492" s="77" t="s">
        <v>188</v>
      </c>
      <c r="C492" s="82" t="s">
        <v>41</v>
      </c>
    </row>
    <row r="493" spans="1:3">
      <c r="A493" s="92">
        <v>30540059078</v>
      </c>
      <c r="B493" s="77" t="s">
        <v>527</v>
      </c>
      <c r="C493" s="82" t="s">
        <v>54</v>
      </c>
    </row>
    <row r="494" spans="1:3">
      <c r="A494" s="92">
        <v>30714950750</v>
      </c>
      <c r="B494" s="77" t="s">
        <v>339</v>
      </c>
      <c r="C494" s="82" t="s">
        <v>41</v>
      </c>
    </row>
    <row r="495" spans="1:3">
      <c r="A495" s="92">
        <v>20317488476</v>
      </c>
      <c r="B495" s="77" t="s">
        <v>259</v>
      </c>
      <c r="C495" s="82" t="s">
        <v>41</v>
      </c>
    </row>
    <row r="496" spans="1:3">
      <c r="A496" s="92">
        <v>27256759646</v>
      </c>
      <c r="B496" s="77" t="s">
        <v>505</v>
      </c>
      <c r="C496" s="82" t="s">
        <v>41</v>
      </c>
    </row>
    <row r="497" spans="1:3">
      <c r="A497" s="244">
        <v>20321447997</v>
      </c>
      <c r="B497" s="77" t="s">
        <v>400</v>
      </c>
      <c r="C497" s="82" t="s">
        <v>54</v>
      </c>
    </row>
    <row r="498" spans="1:3">
      <c r="A498" s="92">
        <v>27237719145</v>
      </c>
      <c r="B498" s="77" t="s">
        <v>547</v>
      </c>
      <c r="C498" s="82" t="s">
        <v>41</v>
      </c>
    </row>
    <row r="499" spans="1:3">
      <c r="A499" s="92">
        <v>27169596439</v>
      </c>
      <c r="B499" s="77" t="s">
        <v>467</v>
      </c>
      <c r="C499" s="82" t="s">
        <v>54</v>
      </c>
    </row>
    <row r="500" spans="1:3">
      <c r="A500" s="89">
        <v>23929701364</v>
      </c>
      <c r="B500" s="81" t="s">
        <v>206</v>
      </c>
      <c r="C500" s="82" t="s">
        <v>36</v>
      </c>
    </row>
    <row r="501" spans="1:3">
      <c r="A501" s="92">
        <v>30714867349</v>
      </c>
      <c r="B501" s="77" t="s">
        <v>264</v>
      </c>
      <c r="C501" s="82" t="s">
        <v>54</v>
      </c>
    </row>
    <row r="502" spans="1:3">
      <c r="A502" s="92">
        <v>30708534907</v>
      </c>
      <c r="B502" s="77" t="s">
        <v>510</v>
      </c>
      <c r="C502" s="82" t="s">
        <v>41</v>
      </c>
    </row>
    <row r="503" spans="1:3">
      <c r="A503" s="92">
        <v>20231247239</v>
      </c>
      <c r="B503" s="77" t="s">
        <v>156</v>
      </c>
      <c r="C503" s="82" t="s">
        <v>41</v>
      </c>
    </row>
    <row r="504" spans="1:3">
      <c r="A504" s="92">
        <v>30717172651</v>
      </c>
      <c r="B504" s="77" t="s">
        <v>554</v>
      </c>
      <c r="C504" s="82" t="s">
        <v>41</v>
      </c>
    </row>
    <row r="505" spans="1:3">
      <c r="A505" s="84">
        <v>20332986636</v>
      </c>
      <c r="B505" s="77" t="s">
        <v>452</v>
      </c>
      <c r="C505" s="82" t="s">
        <v>36</v>
      </c>
    </row>
    <row r="506" spans="1:3">
      <c r="A506" s="92">
        <v>20167787372</v>
      </c>
      <c r="B506" s="77" t="s">
        <v>588</v>
      </c>
      <c r="C506" s="82" t="s">
        <v>36</v>
      </c>
    </row>
    <row r="507" spans="1:3">
      <c r="A507" s="92">
        <v>20921994908</v>
      </c>
      <c r="B507" s="77" t="s">
        <v>557</v>
      </c>
      <c r="C507" s="82" t="s">
        <v>54</v>
      </c>
    </row>
    <row r="508" spans="1:3">
      <c r="A508" s="92">
        <v>20168475803</v>
      </c>
      <c r="B508" s="77" t="s">
        <v>314</v>
      </c>
      <c r="C508" s="82" t="s">
        <v>54</v>
      </c>
    </row>
    <row r="509" spans="1:3">
      <c r="A509" s="92">
        <v>27944827345</v>
      </c>
      <c r="B509" s="77" t="s">
        <v>601</v>
      </c>
      <c r="C509" s="82" t="s">
        <v>54</v>
      </c>
    </row>
    <row r="510" spans="1:3">
      <c r="A510" s="92">
        <v>30708375582</v>
      </c>
      <c r="B510" s="77" t="s">
        <v>602</v>
      </c>
      <c r="C510" s="82" t="s">
        <v>36</v>
      </c>
    </row>
    <row r="511" spans="1:3">
      <c r="A511" s="92">
        <v>23936845509</v>
      </c>
      <c r="B511" s="77" t="s">
        <v>603</v>
      </c>
      <c r="C511" s="82" t="s">
        <v>54</v>
      </c>
    </row>
    <row r="512" spans="1:3">
      <c r="A512" s="92">
        <v>30707927409</v>
      </c>
      <c r="B512" s="77" t="s">
        <v>604</v>
      </c>
      <c r="C512" s="82" t="s">
        <v>36</v>
      </c>
    </row>
    <row r="513" spans="1:3">
      <c r="A513" s="92">
        <v>30626009618</v>
      </c>
      <c r="B513" s="77" t="s">
        <v>605</v>
      </c>
      <c r="C513" s="82" t="s">
        <v>36</v>
      </c>
    </row>
    <row r="514" spans="1:3">
      <c r="A514" s="92">
        <v>30709904872</v>
      </c>
      <c r="B514" s="77" t="s">
        <v>606</v>
      </c>
      <c r="C514" s="82" t="s">
        <v>36</v>
      </c>
    </row>
    <row r="515" spans="1:3">
      <c r="A515" s="92">
        <v>30643922157</v>
      </c>
      <c r="B515" s="77" t="s">
        <v>607</v>
      </c>
      <c r="C515" s="82" t="s">
        <v>36</v>
      </c>
    </row>
    <row r="516" spans="1:3">
      <c r="A516" s="92">
        <v>33717383139</v>
      </c>
      <c r="B516" s="77" t="s">
        <v>608</v>
      </c>
      <c r="C516" s="82" t="s">
        <v>54</v>
      </c>
    </row>
    <row r="517" spans="1:3">
      <c r="A517" s="92">
        <v>30708847247</v>
      </c>
      <c r="B517" s="77" t="s">
        <v>609</v>
      </c>
      <c r="C517" s="82" t="s">
        <v>36</v>
      </c>
    </row>
    <row r="518" spans="1:3">
      <c r="A518" s="92">
        <v>33710271149</v>
      </c>
      <c r="B518" s="77" t="s">
        <v>610</v>
      </c>
      <c r="C518" s="82" t="s">
        <v>54</v>
      </c>
    </row>
    <row r="519" spans="1:3">
      <c r="A519" s="92">
        <v>20396584809</v>
      </c>
      <c r="B519" s="77" t="s">
        <v>612</v>
      </c>
      <c r="C519" s="82" t="s">
        <v>41</v>
      </c>
    </row>
    <row r="520" spans="1:3">
      <c r="A520" s="92">
        <v>30709879258</v>
      </c>
      <c r="B520" s="77" t="s">
        <v>613</v>
      </c>
      <c r="C520" s="82" t="s">
        <v>36</v>
      </c>
    </row>
    <row r="521" spans="1:3">
      <c r="A521" s="92">
        <v>30711296987</v>
      </c>
      <c r="B521" s="77" t="s">
        <v>614</v>
      </c>
      <c r="C521" s="82" t="s">
        <v>54</v>
      </c>
    </row>
    <row r="522" spans="1:3">
      <c r="A522" s="92">
        <v>20392730444</v>
      </c>
      <c r="B522" s="77" t="s">
        <v>611</v>
      </c>
      <c r="C522" s="82" t="s">
        <v>36</v>
      </c>
    </row>
    <row r="523" spans="1:3">
      <c r="A523" s="92">
        <v>30715393251</v>
      </c>
      <c r="B523" s="77" t="s">
        <v>615</v>
      </c>
      <c r="C523" s="82" t="s">
        <v>54</v>
      </c>
    </row>
    <row r="524" spans="1:3">
      <c r="A524" s="92">
        <v>27119878468</v>
      </c>
      <c r="B524" s="77" t="s">
        <v>617</v>
      </c>
      <c r="C524" s="82" t="s">
        <v>41</v>
      </c>
    </row>
    <row r="525" spans="1:3">
      <c r="A525" s="92">
        <v>30715869663</v>
      </c>
      <c r="B525" s="77" t="s">
        <v>618</v>
      </c>
      <c r="C525" s="82" t="s">
        <v>54</v>
      </c>
    </row>
    <row r="526" spans="1:3">
      <c r="A526" s="92">
        <v>20224819049</v>
      </c>
      <c r="B526" s="77" t="s">
        <v>619</v>
      </c>
      <c r="C526" s="82" t="s">
        <v>54</v>
      </c>
    </row>
    <row r="527" spans="1:3">
      <c r="A527" s="92">
        <v>20920321292</v>
      </c>
      <c r="B527" s="77" t="s">
        <v>620</v>
      </c>
      <c r="C527" s="82" t="s">
        <v>54</v>
      </c>
    </row>
    <row r="528" spans="1:3">
      <c r="A528" s="92">
        <v>30526874249</v>
      </c>
      <c r="B528" s="77" t="s">
        <v>621</v>
      </c>
      <c r="C528" s="82" t="s">
        <v>54</v>
      </c>
    </row>
    <row r="529" spans="1:3">
      <c r="A529" s="92">
        <v>20181517957</v>
      </c>
      <c r="B529" s="77" t="s">
        <v>622</v>
      </c>
      <c r="C529" s="82" t="s">
        <v>41</v>
      </c>
    </row>
    <row r="530" spans="1:3">
      <c r="A530" s="92">
        <v>30606274161</v>
      </c>
      <c r="B530" s="77" t="s">
        <v>623</v>
      </c>
      <c r="C530" s="82" t="s">
        <v>80</v>
      </c>
    </row>
    <row r="531" spans="1:3">
      <c r="A531" s="92">
        <v>20426451167</v>
      </c>
      <c r="B531" s="77" t="s">
        <v>630</v>
      </c>
      <c r="C531" s="82" t="s">
        <v>36</v>
      </c>
    </row>
    <row r="532" spans="1:3">
      <c r="A532" s="92">
        <v>23928499804</v>
      </c>
      <c r="B532" s="77" t="s">
        <v>654</v>
      </c>
      <c r="C532" s="82" t="s">
        <v>54</v>
      </c>
    </row>
    <row r="533" spans="1:3">
      <c r="A533" s="92">
        <v>30581106234</v>
      </c>
      <c r="B533" s="77" t="s">
        <v>655</v>
      </c>
      <c r="C533" s="82" t="s">
        <v>36</v>
      </c>
    </row>
    <row r="534" spans="1:3">
      <c r="A534" s="92">
        <v>23324039759</v>
      </c>
      <c r="B534" s="77" t="s">
        <v>656</v>
      </c>
      <c r="C534" s="82" t="s">
        <v>54</v>
      </c>
    </row>
    <row r="535" spans="1:3">
      <c r="A535" s="92">
        <v>33531122599</v>
      </c>
      <c r="B535" s="77" t="s">
        <v>657</v>
      </c>
      <c r="C535" s="82" t="s">
        <v>36</v>
      </c>
    </row>
    <row r="536" spans="1:3">
      <c r="A536" s="92">
        <v>20272865869</v>
      </c>
      <c r="B536" s="77" t="s">
        <v>658</v>
      </c>
      <c r="C536" s="82" t="s">
        <v>41</v>
      </c>
    </row>
    <row r="537" spans="1:3">
      <c r="A537" s="92">
        <v>20259150249</v>
      </c>
      <c r="B537" s="77" t="s">
        <v>659</v>
      </c>
      <c r="C537" s="82" t="s">
        <v>54</v>
      </c>
    </row>
    <row r="538" spans="1:3">
      <c r="A538" s="92">
        <v>30693066022</v>
      </c>
      <c r="B538" s="77" t="s">
        <v>660</v>
      </c>
      <c r="C538" s="82" t="s">
        <v>54</v>
      </c>
    </row>
    <row r="539" spans="1:3">
      <c r="A539" s="92"/>
      <c r="B539" s="77"/>
      <c r="C539" s="82"/>
    </row>
    <row r="540" spans="1:3">
      <c r="A540" s="92"/>
      <c r="B540" s="77"/>
      <c r="C540" s="82"/>
    </row>
    <row r="541" spans="1:3">
      <c r="A541" s="92"/>
      <c r="B541" s="77"/>
      <c r="C541" s="82"/>
    </row>
    <row r="542" spans="1:3">
      <c r="A542" s="92"/>
      <c r="B542" s="77"/>
      <c r="C542" s="82"/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19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36"/>
  <sheetViews>
    <sheetView zoomScaleNormal="100" workbookViewId="0">
      <selection activeCell="C12" sqref="C12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92" t="s">
        <v>28</v>
      </c>
      <c r="B1" s="292"/>
      <c r="C1" s="292"/>
      <c r="D1" s="292"/>
      <c r="E1" s="292"/>
      <c r="F1" s="292"/>
      <c r="G1" s="292"/>
      <c r="H1" s="292"/>
      <c r="I1" s="292"/>
      <c r="J1" s="293">
        <v>45139</v>
      </c>
      <c r="K1" s="293"/>
      <c r="L1" s="293"/>
      <c r="M1" s="293"/>
      <c r="N1" s="293"/>
    </row>
    <row r="2" spans="1:16" ht="18.75">
      <c r="A2" s="57"/>
      <c r="B2" s="9"/>
      <c r="C2" s="9"/>
      <c r="D2" s="35"/>
      <c r="E2" s="218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97" t="s">
        <v>6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9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94" t="s">
        <v>20</v>
      </c>
      <c r="B6" s="295"/>
      <c r="C6" s="296"/>
      <c r="D6" s="37"/>
      <c r="E6" s="289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88" t="s">
        <v>624</v>
      </c>
      <c r="B8" s="280">
        <v>11</v>
      </c>
      <c r="C8" s="281">
        <v>1535829</v>
      </c>
      <c r="D8" s="282">
        <v>30709776564</v>
      </c>
      <c r="E8" s="283" t="str">
        <f>VLOOKUP(D8,Configuracion!$A$4:$C$591,2,FALSE)</f>
        <v>PROSEGUR ACTIVA ARG SA</v>
      </c>
      <c r="F8" s="284">
        <v>14992.91</v>
      </c>
      <c r="G8" s="285">
        <f>F8*21%</f>
        <v>3148.5110999999997</v>
      </c>
      <c r="H8" s="285"/>
      <c r="I8" s="285"/>
      <c r="J8" s="285"/>
      <c r="K8" s="227">
        <f>+F8*0.035</f>
        <v>524.75184999999999</v>
      </c>
      <c r="L8" s="50"/>
      <c r="M8" s="233"/>
      <c r="N8" s="285"/>
      <c r="O8" s="286">
        <f>SUM(F8:N8)</f>
        <v>18666.17295</v>
      </c>
      <c r="P8" s="287" t="str">
        <f>VLOOKUP(D8,Configuracion!$A$4:$C$591,3,FALSE)</f>
        <v>SEGUROS</v>
      </c>
    </row>
    <row r="9" spans="1:16" ht="15" customHeight="1">
      <c r="A9" s="270">
        <v>45111</v>
      </c>
      <c r="B9" s="271">
        <v>1055</v>
      </c>
      <c r="C9" s="272">
        <v>546</v>
      </c>
      <c r="D9" s="273">
        <v>30685849751</v>
      </c>
      <c r="E9" s="274" t="str">
        <f>VLOOKUP(D9,Configuracion!$A$4:$C$591,2,FALSE)</f>
        <v>DIA ARGENTINA SA</v>
      </c>
      <c r="F9" s="275">
        <v>914.88</v>
      </c>
      <c r="G9" s="276">
        <f>F9*21%</f>
        <v>192.12479999999999</v>
      </c>
      <c r="H9" s="276"/>
      <c r="I9" s="276"/>
      <c r="J9" s="276"/>
      <c r="K9" s="277"/>
      <c r="L9" s="276"/>
      <c r="M9" s="276"/>
      <c r="N9" s="276"/>
      <c r="O9" s="278">
        <f>SUM(F9:N9)</f>
        <v>1107.0047999999999</v>
      </c>
      <c r="P9" s="279" t="str">
        <f>VLOOKUP(D9,Configuracion!$A$4:$C$591,3,FALSE)</f>
        <v>VARIOS</v>
      </c>
    </row>
    <row r="10" spans="1:16" ht="15" customHeight="1">
      <c r="A10" s="270">
        <v>45124</v>
      </c>
      <c r="B10" s="271">
        <v>17</v>
      </c>
      <c r="C10" s="272">
        <v>1153</v>
      </c>
      <c r="D10" s="273">
        <v>30711764921</v>
      </c>
      <c r="E10" s="274" t="str">
        <f>VLOOKUP(D10,Configuracion!$A$4:$C$591,2,FALSE)</f>
        <v>RELIEF CENTER SRL</v>
      </c>
      <c r="F10" s="275">
        <v>14834</v>
      </c>
      <c r="G10" s="276">
        <f>F10*21%</f>
        <v>3115.14</v>
      </c>
      <c r="H10" s="276"/>
      <c r="I10" s="276"/>
      <c r="J10" s="276"/>
      <c r="K10" s="277"/>
      <c r="L10" s="276"/>
      <c r="M10" s="276"/>
      <c r="N10" s="276"/>
      <c r="O10" s="278">
        <f>SUM(F10:N10)</f>
        <v>17949.14</v>
      </c>
      <c r="P10" s="279" t="str">
        <f>VLOOKUP(D10,Configuracion!$A$4:$C$591,3,FALSE)</f>
        <v>PROVEEDOR</v>
      </c>
    </row>
    <row r="11" spans="1:16" s="23" customFormat="1" ht="15" customHeight="1">
      <c r="A11" s="270">
        <v>45124</v>
      </c>
      <c r="B11" s="271">
        <v>4264</v>
      </c>
      <c r="C11" s="272">
        <v>2395412</v>
      </c>
      <c r="D11" s="273">
        <v>30639453738</v>
      </c>
      <c r="E11" s="274" t="str">
        <f>VLOOKUP(D11,Configuracion!$A$4:$C$591,2,FALSE)</f>
        <v>TELECOM ARGENTINA SA</v>
      </c>
      <c r="F11" s="275">
        <f>10586.78+3851.24</f>
        <v>14438.02</v>
      </c>
      <c r="G11" s="276">
        <f>F11*21%</f>
        <v>3031.9841999999999</v>
      </c>
      <c r="H11" s="276"/>
      <c r="I11" s="276"/>
      <c r="J11" s="276">
        <v>433.14</v>
      </c>
      <c r="K11" s="277">
        <v>505.33</v>
      </c>
      <c r="L11" s="276"/>
      <c r="M11" s="276"/>
      <c r="N11" s="276"/>
      <c r="O11" s="278">
        <f>SUM(F11:N11)</f>
        <v>18408.474200000001</v>
      </c>
      <c r="P11" s="279" t="str">
        <f>VLOOKUP(D11,Configuracion!$A$4:$C$591,3,FALSE)</f>
        <v>SERVICIO</v>
      </c>
    </row>
    <row r="12" spans="1:16" ht="15" customHeight="1">
      <c r="A12" s="259">
        <v>45124</v>
      </c>
      <c r="B12" s="21">
        <v>13</v>
      </c>
      <c r="C12" s="206">
        <v>1208</v>
      </c>
      <c r="D12" s="208">
        <v>33709914109</v>
      </c>
      <c r="E12" s="207" t="str">
        <f>VLOOKUP(D12,Configuracion!$A$4:$C$591,2,FALSE)</f>
        <v>ALAN COLLECTION SA</v>
      </c>
      <c r="F12" s="211">
        <v>4628.1000000000004</v>
      </c>
      <c r="G12" s="50">
        <f>F12*21%</f>
        <v>971.90100000000007</v>
      </c>
      <c r="H12" s="50"/>
      <c r="I12" s="50"/>
      <c r="J12" s="50"/>
      <c r="K12" s="227"/>
      <c r="L12" s="50"/>
      <c r="M12" s="233"/>
      <c r="N12" s="50"/>
      <c r="O12" s="209">
        <f>SUM(F12:N12)</f>
        <v>5600.0010000000002</v>
      </c>
      <c r="P12" s="214" t="str">
        <f>VLOOKUP(D12,Configuracion!$A$4:$C$591,3,FALSE)</f>
        <v>VARIOS</v>
      </c>
    </row>
    <row r="13" spans="1:16" ht="15" customHeight="1">
      <c r="A13" s="270">
        <v>45126</v>
      </c>
      <c r="B13" s="271">
        <v>17</v>
      </c>
      <c r="C13" s="272">
        <v>1161</v>
      </c>
      <c r="D13" s="273">
        <v>30711764921</v>
      </c>
      <c r="E13" s="274" t="str">
        <f>VLOOKUP(D13,Configuracion!$A$4:$C$591,2,FALSE)</f>
        <v>RELIEF CENTER SRL</v>
      </c>
      <c r="F13" s="275">
        <v>39660</v>
      </c>
      <c r="G13" s="276">
        <f>F13*21%</f>
        <v>8328.6</v>
      </c>
      <c r="H13" s="276"/>
      <c r="I13" s="276"/>
      <c r="J13" s="276"/>
      <c r="K13" s="277"/>
      <c r="L13" s="276"/>
      <c r="M13" s="276"/>
      <c r="N13" s="276"/>
      <c r="O13" s="278">
        <f>SUM(F13:N13)</f>
        <v>47988.6</v>
      </c>
      <c r="P13" s="279" t="str">
        <f>VLOOKUP(D13,Configuracion!$A$4:$C$591,3,FALSE)</f>
        <v>PROVEEDOR</v>
      </c>
    </row>
    <row r="14" spans="1:16" ht="15" customHeight="1">
      <c r="A14" s="270">
        <v>45127</v>
      </c>
      <c r="B14" s="271">
        <v>7</v>
      </c>
      <c r="C14" s="272">
        <v>2010</v>
      </c>
      <c r="D14" s="273">
        <v>20284183534</v>
      </c>
      <c r="E14" s="274" t="str">
        <f>VLOOKUP(D14,Configuracion!$A$4:$C$591,2,FALSE)</f>
        <v>FURLANETTO MARTIN</v>
      </c>
      <c r="F14" s="275">
        <v>2479.34</v>
      </c>
      <c r="G14" s="276">
        <f>F14*21%</f>
        <v>520.66139999999996</v>
      </c>
      <c r="H14" s="276"/>
      <c r="I14" s="276"/>
      <c r="J14" s="276"/>
      <c r="K14" s="277"/>
      <c r="L14" s="276"/>
      <c r="M14" s="276"/>
      <c r="N14" s="276"/>
      <c r="O14" s="278">
        <f>SUM(F14:N14)</f>
        <v>3000.0014000000001</v>
      </c>
      <c r="P14" s="279" t="str">
        <f>VLOOKUP(D14,Configuracion!$A$4:$C$591,3,FALSE)</f>
        <v>VARIOS</v>
      </c>
    </row>
    <row r="15" spans="1:16" ht="15" customHeight="1">
      <c r="A15" s="270">
        <v>45128</v>
      </c>
      <c r="B15" s="271">
        <v>7</v>
      </c>
      <c r="C15" s="272">
        <v>2019</v>
      </c>
      <c r="D15" s="273">
        <v>20284183534</v>
      </c>
      <c r="E15" s="274" t="str">
        <f>VLOOKUP(D15,Configuracion!$A$4:$C$591,2,FALSE)</f>
        <v>FURLANETTO MARTIN</v>
      </c>
      <c r="F15" s="275">
        <v>1818.18</v>
      </c>
      <c r="G15" s="276">
        <f>F15*21%</f>
        <v>381.81779999999998</v>
      </c>
      <c r="H15" s="276"/>
      <c r="I15" s="276"/>
      <c r="J15" s="276"/>
      <c r="K15" s="277"/>
      <c r="L15" s="276"/>
      <c r="M15" s="276"/>
      <c r="N15" s="276"/>
      <c r="O15" s="278">
        <f>SUM(F15:N15)</f>
        <v>2199.9978000000001</v>
      </c>
      <c r="P15" s="279" t="str">
        <f>VLOOKUP(D15,Configuracion!$A$4:$C$591,3,FALSE)</f>
        <v>VARIOS</v>
      </c>
    </row>
    <row r="16" spans="1:16" ht="15" customHeight="1">
      <c r="A16" s="270">
        <v>45128</v>
      </c>
      <c r="B16" s="271">
        <v>7</v>
      </c>
      <c r="C16" s="272">
        <v>2020</v>
      </c>
      <c r="D16" s="273">
        <v>20284183534</v>
      </c>
      <c r="E16" s="274" t="str">
        <f>VLOOKUP(D16,Configuracion!$A$4:$C$591,2,FALSE)</f>
        <v>FURLANETTO MARTIN</v>
      </c>
      <c r="F16" s="275">
        <v>851.25</v>
      </c>
      <c r="G16" s="276">
        <f>F16*21%</f>
        <v>178.76249999999999</v>
      </c>
      <c r="H16" s="276"/>
      <c r="I16" s="276"/>
      <c r="J16" s="276"/>
      <c r="K16" s="277"/>
      <c r="L16" s="276"/>
      <c r="M16" s="276"/>
      <c r="N16" s="276"/>
      <c r="O16" s="278">
        <f>SUM(F16:N16)</f>
        <v>1030.0125</v>
      </c>
      <c r="P16" s="279" t="str">
        <f>VLOOKUP(D16,Configuracion!$A$4:$C$591,3,FALSE)</f>
        <v>VARIOS</v>
      </c>
    </row>
    <row r="17" spans="1:16" ht="15" customHeight="1">
      <c r="A17" s="270">
        <v>45128</v>
      </c>
      <c r="B17" s="271">
        <v>7</v>
      </c>
      <c r="C17" s="272">
        <v>2017</v>
      </c>
      <c r="D17" s="273">
        <v>20284183534</v>
      </c>
      <c r="E17" s="274" t="str">
        <f>VLOOKUP(D17,Configuracion!$A$4:$C$591,2,FALSE)</f>
        <v>FURLANETTO MARTIN</v>
      </c>
      <c r="F17" s="275">
        <v>404.96</v>
      </c>
      <c r="G17" s="276">
        <f>F17*21%</f>
        <v>85.041599999999988</v>
      </c>
      <c r="H17" s="276"/>
      <c r="I17" s="276"/>
      <c r="J17" s="276"/>
      <c r="K17" s="277"/>
      <c r="L17" s="276"/>
      <c r="M17" s="276"/>
      <c r="N17" s="276"/>
      <c r="O17" s="278">
        <f>SUM(F17:N17)</f>
        <v>490.00159999999994</v>
      </c>
      <c r="P17" s="279" t="str">
        <f>VLOOKUP(D17,Configuracion!$A$4:$C$591,3,FALSE)</f>
        <v>VARIOS</v>
      </c>
    </row>
    <row r="18" spans="1:16" ht="15" customHeight="1">
      <c r="A18" s="259">
        <v>45128</v>
      </c>
      <c r="B18" s="21">
        <v>15</v>
      </c>
      <c r="C18" s="206">
        <v>23029</v>
      </c>
      <c r="D18" s="208">
        <v>30685116657</v>
      </c>
      <c r="E18" s="207" t="str">
        <f>VLOOKUP(D18,Configuracion!$A$4:$C$591,2,FALSE)</f>
        <v>MIRVAR SA</v>
      </c>
      <c r="F18" s="211">
        <v>9890.73</v>
      </c>
      <c r="G18" s="50">
        <f>F18*21%</f>
        <v>2077.0533</v>
      </c>
      <c r="H18" s="50"/>
      <c r="I18" s="50"/>
      <c r="J18" s="50"/>
      <c r="K18" s="227"/>
      <c r="L18" s="50"/>
      <c r="M18" s="233"/>
      <c r="N18" s="50">
        <v>1038.3399999999999</v>
      </c>
      <c r="O18" s="209">
        <f>SUM(F18:N18)</f>
        <v>13006.123299999999</v>
      </c>
      <c r="P18" s="214" t="str">
        <f>VLOOKUP(D18,Configuracion!$A$4:$C$591,3,FALSE)</f>
        <v>VARIOS</v>
      </c>
    </row>
    <row r="19" spans="1:16" ht="15" customHeight="1">
      <c r="A19" s="270">
        <v>45131</v>
      </c>
      <c r="B19" s="271">
        <v>7</v>
      </c>
      <c r="C19" s="272">
        <v>2024</v>
      </c>
      <c r="D19" s="273">
        <v>20284183534</v>
      </c>
      <c r="E19" s="274" t="str">
        <f>VLOOKUP(D19,Configuracion!$A$4:$C$591,2,FALSE)</f>
        <v>FURLANETTO MARTIN</v>
      </c>
      <c r="F19" s="275">
        <v>1603.31</v>
      </c>
      <c r="G19" s="276">
        <f>F19*21%</f>
        <v>336.69509999999997</v>
      </c>
      <c r="H19" s="276"/>
      <c r="I19" s="276"/>
      <c r="J19" s="276"/>
      <c r="K19" s="277"/>
      <c r="L19" s="276"/>
      <c r="M19" s="276"/>
      <c r="N19" s="276"/>
      <c r="O19" s="278">
        <f>SUM(F19:N19)</f>
        <v>1940.0050999999999</v>
      </c>
      <c r="P19" s="279" t="str">
        <f>VLOOKUP(D19,Configuracion!$A$4:$C$591,3,FALSE)</f>
        <v>VARIOS</v>
      </c>
    </row>
    <row r="20" spans="1:16" ht="15" customHeight="1">
      <c r="A20" s="270" t="s">
        <v>616</v>
      </c>
      <c r="B20" s="271">
        <v>20</v>
      </c>
      <c r="C20" s="272">
        <v>156206</v>
      </c>
      <c r="D20" s="273">
        <v>30696850972</v>
      </c>
      <c r="E20" s="274" t="str">
        <f>VLOOKUP(D20,Configuracion!$A$4:$C$591,2,FALSE)</f>
        <v>CPS COMUNICACIONES SA</v>
      </c>
      <c r="F20" s="275">
        <v>4302.05</v>
      </c>
      <c r="G20" s="276"/>
      <c r="H20" s="276">
        <f>+F20*0.27</f>
        <v>1161.5535000000002</v>
      </c>
      <c r="I20" s="276"/>
      <c r="J20" s="276"/>
      <c r="K20" s="277">
        <f>+F20*0.035</f>
        <v>150.57175000000001</v>
      </c>
      <c r="L20" s="276"/>
      <c r="M20" s="276"/>
      <c r="N20" s="276"/>
      <c r="O20" s="278">
        <f>SUM(F20:N20)</f>
        <v>5614.1752500000002</v>
      </c>
      <c r="P20" s="279" t="str">
        <f>VLOOKUP(D20,Configuracion!$A$4:$C$591,3,FALSE)</f>
        <v>SERVICIO</v>
      </c>
    </row>
    <row r="21" spans="1:16" ht="15" customHeight="1">
      <c r="A21" s="259" t="s">
        <v>616</v>
      </c>
      <c r="B21" s="280">
        <v>9044</v>
      </c>
      <c r="C21" s="281">
        <v>17802</v>
      </c>
      <c r="D21" s="282">
        <v>30678774495</v>
      </c>
      <c r="E21" s="283" t="str">
        <f>VLOOKUP(D21,Configuracion!$A$4:$C$591,2,FALSE)</f>
        <v>OPERADORA DE ESTAC. DE SERV SA</v>
      </c>
      <c r="F21" s="284">
        <v>11747.47</v>
      </c>
      <c r="G21" s="285">
        <f>F21*21%</f>
        <v>2466.9686999999999</v>
      </c>
      <c r="H21" s="285"/>
      <c r="I21" s="285"/>
      <c r="J21" s="285"/>
      <c r="K21" s="227"/>
      <c r="L21" s="50"/>
      <c r="M21" s="233">
        <v>785.56</v>
      </c>
      <c r="N21" s="285"/>
      <c r="O21" s="286">
        <f>SUM(F21:N21)</f>
        <v>14999.998699999998</v>
      </c>
      <c r="P21" s="287" t="str">
        <f>VLOOKUP(D21,Configuracion!$A$4:$C$591,3,FALSE)</f>
        <v>VARIOS</v>
      </c>
    </row>
    <row r="22" spans="1:16" ht="15" customHeight="1">
      <c r="A22" s="259" t="s">
        <v>616</v>
      </c>
      <c r="B22" s="21">
        <v>9044</v>
      </c>
      <c r="C22" s="206">
        <v>17803</v>
      </c>
      <c r="D22" s="208">
        <v>30678774495</v>
      </c>
      <c r="E22" s="207" t="str">
        <f>VLOOKUP(D22,Configuracion!$A$4:$C$591,2,FALSE)</f>
        <v>OPERADORA DE ESTAC. DE SERV SA</v>
      </c>
      <c r="F22" s="211">
        <v>2358.12</v>
      </c>
      <c r="G22" s="50">
        <f>F22*21%</f>
        <v>495.20519999999993</v>
      </c>
      <c r="H22" s="50"/>
      <c r="I22" s="50"/>
      <c r="J22" s="50"/>
      <c r="K22" s="227"/>
      <c r="L22" s="50"/>
      <c r="M22" s="233">
        <v>157.69</v>
      </c>
      <c r="N22" s="50"/>
      <c r="O22" s="209">
        <f>SUM(F22:N22)</f>
        <v>3011.0151999999998</v>
      </c>
      <c r="P22" s="214" t="str">
        <f>VLOOKUP(D22,Configuracion!$A$4:$C$591,3,FALSE)</f>
        <v>VARIOS</v>
      </c>
    </row>
    <row r="23" spans="1:16" ht="15" customHeight="1">
      <c r="A23" s="204" t="s">
        <v>625</v>
      </c>
      <c r="B23" s="21">
        <v>2</v>
      </c>
      <c r="C23" s="206">
        <v>190</v>
      </c>
      <c r="D23" s="208">
        <v>30605344352</v>
      </c>
      <c r="E23" s="207" t="str">
        <f>VLOOKUP(D23,Configuracion!$A$4:$C$591,2,FALSE)</f>
        <v>CONSORCIO BARTOLME MITRE 2466</v>
      </c>
      <c r="F23" s="211">
        <v>230000</v>
      </c>
      <c r="G23" s="50">
        <f>F23*21%</f>
        <v>48300</v>
      </c>
      <c r="H23" s="50"/>
      <c r="I23" s="50"/>
      <c r="J23" s="50"/>
      <c r="K23" s="227"/>
      <c r="L23" s="50"/>
      <c r="M23" s="233"/>
      <c r="N23" s="50"/>
      <c r="O23" s="209">
        <f>SUM(F23:N23)</f>
        <v>278300</v>
      </c>
      <c r="P23" s="214" t="str">
        <f>VLOOKUP(D23,Configuracion!$A$4:$C$591,3,FALSE)</f>
        <v>CONSORCIO</v>
      </c>
    </row>
    <row r="24" spans="1:16" ht="15" customHeight="1">
      <c r="A24" s="204" t="s">
        <v>625</v>
      </c>
      <c r="B24" s="21">
        <v>10</v>
      </c>
      <c r="C24" s="206">
        <v>646</v>
      </c>
      <c r="D24" s="208">
        <v>23324039759</v>
      </c>
      <c r="E24" s="207" t="str">
        <f>VLOOKUP(D24,Configuracion!$A$4:$C$591,2,FALSE)</f>
        <v>RAGO DIEGO ORLANDO</v>
      </c>
      <c r="F24" s="211">
        <v>17834.72</v>
      </c>
      <c r="G24" s="50">
        <f>F24*21%</f>
        <v>3745.2912000000001</v>
      </c>
      <c r="H24" s="50"/>
      <c r="I24" s="50"/>
      <c r="J24" s="50"/>
      <c r="K24" s="227"/>
      <c r="L24" s="50"/>
      <c r="M24" s="233"/>
      <c r="N24" s="50"/>
      <c r="O24" s="209">
        <f>SUM(F24:N24)</f>
        <v>21580.011200000001</v>
      </c>
      <c r="P24" s="214" t="str">
        <f>VLOOKUP(D24,Configuracion!$A$4:$C$591,3,FALSE)</f>
        <v>VARIOS</v>
      </c>
    </row>
    <row r="25" spans="1:16" ht="15" customHeight="1">
      <c r="A25" s="204" t="s">
        <v>625</v>
      </c>
      <c r="B25" s="21">
        <v>7</v>
      </c>
      <c r="C25" s="206">
        <v>16138</v>
      </c>
      <c r="D25" s="208">
        <v>30709214078</v>
      </c>
      <c r="E25" s="207" t="str">
        <f>VLOOKUP(D25,Configuracion!$A$4:$C$591,2,FALSE)</f>
        <v>REHAVITA SA</v>
      </c>
      <c r="F25" s="211">
        <v>1529952.46</v>
      </c>
      <c r="G25" s="50">
        <v>302414.59000000003</v>
      </c>
      <c r="H25" s="50"/>
      <c r="I25" s="50">
        <v>9437.7199999999993</v>
      </c>
      <c r="J25" s="50"/>
      <c r="K25" s="227"/>
      <c r="L25" s="50"/>
      <c r="M25" s="233"/>
      <c r="N25" s="50"/>
      <c r="O25" s="209">
        <f>SUM(F25:N25)</f>
        <v>1841804.77</v>
      </c>
      <c r="P25" s="214" t="str">
        <f>VLOOKUP(D25,Configuracion!$A$4:$C$591,3,FALSE)</f>
        <v>PROVEEDOR</v>
      </c>
    </row>
    <row r="26" spans="1:16">
      <c r="A26" s="204" t="s">
        <v>625</v>
      </c>
      <c r="B26" s="21">
        <v>7</v>
      </c>
      <c r="C26" s="206">
        <v>16142</v>
      </c>
      <c r="D26" s="208">
        <v>30709214078</v>
      </c>
      <c r="E26" s="207" t="str">
        <f>VLOOKUP(D26,Configuracion!$A$4:$C$591,2,FALSE)</f>
        <v>REHAVITA SA</v>
      </c>
      <c r="F26" s="211">
        <v>37740</v>
      </c>
      <c r="G26" s="50"/>
      <c r="H26" s="50"/>
      <c r="I26" s="50">
        <v>3962.7</v>
      </c>
      <c r="J26" s="50"/>
      <c r="K26" s="227"/>
      <c r="L26" s="50"/>
      <c r="M26" s="233"/>
      <c r="N26" s="50"/>
      <c r="O26" s="209">
        <f>SUM(F26:N26)</f>
        <v>41702.699999999997</v>
      </c>
      <c r="P26" s="214" t="str">
        <f>VLOOKUP(D26,Configuracion!$A$4:$C$591,3,FALSE)</f>
        <v>PROVEEDOR</v>
      </c>
    </row>
    <row r="27" spans="1:16" ht="15" customHeight="1">
      <c r="A27" s="204" t="s">
        <v>625</v>
      </c>
      <c r="B27" s="21">
        <v>4</v>
      </c>
      <c r="C27" s="206">
        <v>56</v>
      </c>
      <c r="D27" s="208">
        <v>20317488476</v>
      </c>
      <c r="E27" s="207" t="str">
        <f>VLOOKUP(D27,Configuracion!$A$4:$C$591,2,FALSE)</f>
        <v>VILLALBA MIGUEL ANGEL</v>
      </c>
      <c r="F27" s="211">
        <v>170912</v>
      </c>
      <c r="G27" s="50">
        <f>F27*21%</f>
        <v>35891.519999999997</v>
      </c>
      <c r="H27" s="50"/>
      <c r="I27" s="50"/>
      <c r="J27" s="50"/>
      <c r="K27" s="227"/>
      <c r="L27" s="50"/>
      <c r="M27" s="233"/>
      <c r="N27" s="50"/>
      <c r="O27" s="209">
        <f>SUM(F27:N27)</f>
        <v>206803.52</v>
      </c>
      <c r="P27" s="214" t="str">
        <f>VLOOKUP(D27,Configuracion!$A$4:$C$591,3,FALSE)</f>
        <v>PROVEEDOR</v>
      </c>
    </row>
    <row r="28" spans="1:16" ht="15" customHeight="1">
      <c r="A28" s="204" t="s">
        <v>626</v>
      </c>
      <c r="B28" s="21">
        <v>2</v>
      </c>
      <c r="C28" s="206">
        <v>7361</v>
      </c>
      <c r="D28" s="208">
        <v>30694549817</v>
      </c>
      <c r="E28" s="207" t="str">
        <f>VLOOKUP(D28,Configuracion!$A$4:$C$591,2,FALSE)</f>
        <v>DISEÑOS JERY SRL</v>
      </c>
      <c r="F28" s="211">
        <v>477494.37</v>
      </c>
      <c r="G28" s="50">
        <f>F28*21%</f>
        <v>100273.8177</v>
      </c>
      <c r="H28" s="50"/>
      <c r="I28" s="50"/>
      <c r="J28" s="50"/>
      <c r="K28" s="227"/>
      <c r="L28" s="50"/>
      <c r="M28" s="233"/>
      <c r="N28" s="50"/>
      <c r="O28" s="209">
        <f>SUM(F28:N28)</f>
        <v>577768.18770000001</v>
      </c>
      <c r="P28" s="214" t="str">
        <f>VLOOKUP(D28,Configuracion!$A$4:$C$591,3,FALSE)</f>
        <v>PROVEEDOR</v>
      </c>
    </row>
    <row r="29" spans="1:16" ht="15" customHeight="1">
      <c r="A29" s="204" t="s">
        <v>626</v>
      </c>
      <c r="B29" s="21">
        <v>7</v>
      </c>
      <c r="C29" s="206">
        <v>16163</v>
      </c>
      <c r="D29" s="208">
        <v>30709214078</v>
      </c>
      <c r="E29" s="207" t="str">
        <f>VLOOKUP(D29,Configuracion!$A$4:$C$591,2,FALSE)</f>
        <v>REHAVITA SA</v>
      </c>
      <c r="F29" s="211">
        <v>90596</v>
      </c>
      <c r="G29" s="50">
        <f>F29*21%</f>
        <v>19025.16</v>
      </c>
      <c r="H29" s="50"/>
      <c r="I29" s="50"/>
      <c r="J29" s="50"/>
      <c r="K29" s="227"/>
      <c r="L29" s="50"/>
      <c r="M29" s="233"/>
      <c r="N29" s="50"/>
      <c r="O29" s="209">
        <f>SUM(F29:N29)</f>
        <v>109621.16</v>
      </c>
      <c r="P29" s="214" t="str">
        <f>VLOOKUP(D29,Configuracion!$A$4:$C$591,3,FALSE)</f>
        <v>PROVEEDOR</v>
      </c>
    </row>
    <row r="30" spans="1:16" ht="15" customHeight="1">
      <c r="A30" s="204" t="s">
        <v>626</v>
      </c>
      <c r="B30" s="21">
        <v>7</v>
      </c>
      <c r="C30" s="206">
        <v>16164</v>
      </c>
      <c r="D30" s="208">
        <v>30709214078</v>
      </c>
      <c r="E30" s="207" t="str">
        <f>VLOOKUP(D30,Configuracion!$A$4:$C$591,2,FALSE)</f>
        <v>REHAVITA SA</v>
      </c>
      <c r="F30" s="211">
        <v>136437.5</v>
      </c>
      <c r="G30" s="50"/>
      <c r="H30" s="50"/>
      <c r="I30" s="50">
        <v>14325.94</v>
      </c>
      <c r="J30" s="50"/>
      <c r="K30" s="227"/>
      <c r="L30" s="50"/>
      <c r="M30" s="233"/>
      <c r="N30" s="50"/>
      <c r="O30" s="209">
        <f>SUM(F30:N30)</f>
        <v>150763.44</v>
      </c>
      <c r="P30" s="214" t="str">
        <f>VLOOKUP(D30,Configuracion!$A$4:$C$591,3,FALSE)</f>
        <v>PROVEEDOR</v>
      </c>
    </row>
    <row r="31" spans="1:16" ht="15" customHeight="1">
      <c r="A31" s="204">
        <v>45141</v>
      </c>
      <c r="B31" s="21">
        <v>2</v>
      </c>
      <c r="C31" s="206">
        <v>6</v>
      </c>
      <c r="D31" s="208">
        <v>20272865869</v>
      </c>
      <c r="E31" s="207" t="str">
        <f>VLOOKUP(D31,Configuracion!$A$4:$C$591,2,FALSE)</f>
        <v>DI FEO MARTIN EZEQUIEL</v>
      </c>
      <c r="F31" s="211">
        <v>43522.239999999998</v>
      </c>
      <c r="G31" s="50">
        <f>F31*21%</f>
        <v>9139.6703999999991</v>
      </c>
      <c r="H31" s="50"/>
      <c r="I31" s="50"/>
      <c r="J31" s="50"/>
      <c r="K31" s="227"/>
      <c r="L31" s="50"/>
      <c r="M31" s="233"/>
      <c r="N31" s="50"/>
      <c r="O31" s="209">
        <f>SUM(F31:N31)</f>
        <v>52661.910399999993</v>
      </c>
      <c r="P31" s="214" t="str">
        <f>VLOOKUP(D31,Configuracion!$A$4:$C$591,3,FALSE)</f>
        <v>PROVEEDOR</v>
      </c>
    </row>
    <row r="32" spans="1:16" ht="15" customHeight="1">
      <c r="A32" s="204">
        <v>45141</v>
      </c>
      <c r="B32" s="21">
        <v>2</v>
      </c>
      <c r="C32" s="206">
        <v>1</v>
      </c>
      <c r="D32" s="208">
        <v>20272865869</v>
      </c>
      <c r="E32" s="207" t="str">
        <f>VLOOKUP(D32,Configuracion!$A$4:$C$591,2,FALSE)</f>
        <v>DI FEO MARTIN EZEQUIEL</v>
      </c>
      <c r="F32" s="211">
        <v>-3655.36</v>
      </c>
      <c r="G32" s="50">
        <f>F32*21%</f>
        <v>-767.62559999999996</v>
      </c>
      <c r="H32" s="50"/>
      <c r="I32" s="50"/>
      <c r="J32" s="50"/>
      <c r="K32" s="227"/>
      <c r="L32" s="50"/>
      <c r="M32" s="233"/>
      <c r="N32" s="50"/>
      <c r="O32" s="209">
        <f>SUM(F32:N32)</f>
        <v>-4422.9856</v>
      </c>
      <c r="P32" s="214" t="str">
        <f>VLOOKUP(D32,Configuracion!$A$4:$C$591,3,FALSE)</f>
        <v>PROVEEDOR</v>
      </c>
    </row>
    <row r="33" spans="1:17" ht="15" customHeight="1">
      <c r="A33" s="204" t="s">
        <v>627</v>
      </c>
      <c r="B33" s="21">
        <v>7</v>
      </c>
      <c r="C33" s="206">
        <v>27748</v>
      </c>
      <c r="D33" s="208">
        <v>20271532483</v>
      </c>
      <c r="E33" s="207" t="str">
        <f>VLOOKUP(D33,Configuracion!$A$4:$C$591,2,FALSE)</f>
        <v>DIEGO MARTIN RIOS</v>
      </c>
      <c r="F33" s="211">
        <v>1362250.2</v>
      </c>
      <c r="G33" s="50">
        <f>F33*21%</f>
        <v>286072.54199999996</v>
      </c>
      <c r="H33" s="50"/>
      <c r="I33" s="50"/>
      <c r="J33" s="50"/>
      <c r="K33" s="227">
        <v>47678.76</v>
      </c>
      <c r="L33" s="50"/>
      <c r="M33" s="233"/>
      <c r="N33" s="50"/>
      <c r="O33" s="209">
        <f>SUM(F33:N33)</f>
        <v>1696001.5019999999</v>
      </c>
      <c r="P33" s="214" t="str">
        <f>VLOOKUP(D33,Configuracion!$A$4:$C$591,3,FALSE)</f>
        <v>PROVEEDOR</v>
      </c>
    </row>
    <row r="34" spans="1:17" ht="15" customHeight="1">
      <c r="A34" s="204" t="s">
        <v>627</v>
      </c>
      <c r="B34" s="21">
        <v>7</v>
      </c>
      <c r="C34" s="206">
        <v>27749</v>
      </c>
      <c r="D34" s="208">
        <v>20271532483</v>
      </c>
      <c r="E34" s="207" t="str">
        <f>VLOOKUP(D34,Configuracion!$A$4:$C$591,2,FALSE)</f>
        <v>DIEGO MARTIN RIOS</v>
      </c>
      <c r="F34" s="211">
        <v>1702175.81</v>
      </c>
      <c r="G34" s="50">
        <f>F34*21%</f>
        <v>357456.92009999999</v>
      </c>
      <c r="H34" s="50"/>
      <c r="I34" s="50"/>
      <c r="J34" s="50"/>
      <c r="K34" s="227">
        <v>59576.15</v>
      </c>
      <c r="L34" s="50"/>
      <c r="M34" s="233"/>
      <c r="N34" s="50"/>
      <c r="O34" s="209">
        <f>SUM(F34:N34)</f>
        <v>2119208.8801000002</v>
      </c>
      <c r="P34" s="214" t="str">
        <f>VLOOKUP(D34,Configuracion!$A$4:$C$591,3,FALSE)</f>
        <v>PROVEEDOR</v>
      </c>
    </row>
    <row r="35" spans="1:17" ht="15" customHeight="1">
      <c r="A35" s="204" t="s">
        <v>627</v>
      </c>
      <c r="B35" s="21">
        <v>7</v>
      </c>
      <c r="C35" s="206">
        <v>27750</v>
      </c>
      <c r="D35" s="208">
        <v>20271532483</v>
      </c>
      <c r="E35" s="207" t="str">
        <f>VLOOKUP(D35,Configuracion!$A$4:$C$591,2,FALSE)</f>
        <v>DIEGO MARTIN RIOS</v>
      </c>
      <c r="F35" s="211">
        <v>79172.100000000006</v>
      </c>
      <c r="G35" s="50">
        <f>F35*21%</f>
        <v>16626.141</v>
      </c>
      <c r="H35" s="50"/>
      <c r="I35" s="50"/>
      <c r="J35" s="50"/>
      <c r="K35" s="227">
        <v>2771.02</v>
      </c>
      <c r="L35" s="50"/>
      <c r="M35" s="233"/>
      <c r="N35" s="50"/>
      <c r="O35" s="209">
        <f>SUM(F35:N35)</f>
        <v>98569.261000000013</v>
      </c>
      <c r="P35" s="214" t="str">
        <f>VLOOKUP(D35,Configuracion!$A$4:$C$591,3,FALSE)</f>
        <v>PROVEEDOR</v>
      </c>
    </row>
    <row r="36" spans="1:17" ht="15" customHeight="1">
      <c r="A36" s="204" t="s">
        <v>627</v>
      </c>
      <c r="B36" s="21">
        <v>6</v>
      </c>
      <c r="C36" s="206">
        <v>469</v>
      </c>
      <c r="D36" s="208">
        <v>20289111329</v>
      </c>
      <c r="E36" s="207" t="str">
        <f>VLOOKUP(D36,Configuracion!$A$4:$C$591,2,FALSE)</f>
        <v>R. N. LEDESMA</v>
      </c>
      <c r="F36" s="211">
        <v>9936277.7400000002</v>
      </c>
      <c r="G36" s="50">
        <f>F36*21%</f>
        <v>2086618.3254</v>
      </c>
      <c r="H36" s="50"/>
      <c r="I36" s="50"/>
      <c r="J36" s="50"/>
      <c r="K36" s="227"/>
      <c r="L36" s="50"/>
      <c r="M36" s="233"/>
      <c r="N36" s="50"/>
      <c r="O36" s="209">
        <f>SUM(F36:N36)</f>
        <v>12022896.065400001</v>
      </c>
      <c r="P36" s="214" t="str">
        <f>VLOOKUP(D36,Configuracion!$A$4:$C$591,3,FALSE)</f>
        <v>PROVEEDOR</v>
      </c>
    </row>
    <row r="37" spans="1:17" ht="15" customHeight="1">
      <c r="A37" s="204" t="s">
        <v>627</v>
      </c>
      <c r="B37" s="21">
        <v>6</v>
      </c>
      <c r="C37" s="206">
        <v>49420</v>
      </c>
      <c r="D37" s="208">
        <v>30710177658</v>
      </c>
      <c r="E37" s="207" t="str">
        <f>VLOOKUP(D37,Configuracion!$A$4:$C$591,2,FALSE)</f>
        <v>TARGET MEDICAL SA</v>
      </c>
      <c r="F37" s="211">
        <v>196280</v>
      </c>
      <c r="G37" s="50">
        <f>F37*21%</f>
        <v>41218.799999999996</v>
      </c>
      <c r="H37" s="50"/>
      <c r="I37" s="50"/>
      <c r="J37" s="50"/>
      <c r="K37" s="227"/>
      <c r="L37" s="50"/>
      <c r="M37" s="233"/>
      <c r="N37" s="50"/>
      <c r="O37" s="209">
        <f>SUM(F37:N37)</f>
        <v>237498.8</v>
      </c>
      <c r="P37" s="214" t="str">
        <f>VLOOKUP(D37,Configuracion!$A$4:$C$591,3,FALSE)</f>
        <v>PROVEEDOR</v>
      </c>
    </row>
    <row r="38" spans="1:17" ht="15" customHeight="1">
      <c r="A38" s="204">
        <v>45141</v>
      </c>
      <c r="B38" s="21">
        <v>7</v>
      </c>
      <c r="C38" s="206">
        <v>2070</v>
      </c>
      <c r="D38" s="208">
        <v>20284183534</v>
      </c>
      <c r="E38" s="207" t="str">
        <f>VLOOKUP(D38,Configuracion!$A$4:$C$591,2,FALSE)</f>
        <v>FURLANETTO MARTIN</v>
      </c>
      <c r="F38" s="211">
        <v>330.58</v>
      </c>
      <c r="G38" s="50">
        <f>F38*21%</f>
        <v>69.42179999999999</v>
      </c>
      <c r="H38" s="50"/>
      <c r="I38" s="50"/>
      <c r="J38" s="50"/>
      <c r="K38" s="227"/>
      <c r="L38" s="50"/>
      <c r="M38" s="233"/>
      <c r="N38" s="50"/>
      <c r="O38" s="209">
        <f>SUM(F38:N38)</f>
        <v>400.0018</v>
      </c>
      <c r="P38" s="214" t="str">
        <f>VLOOKUP(D38,Configuracion!$A$4:$C$591,3,FALSE)</f>
        <v>VARIOS</v>
      </c>
    </row>
    <row r="39" spans="1:17" ht="15" customHeight="1">
      <c r="A39" s="204" t="s">
        <v>628</v>
      </c>
      <c r="B39" s="21">
        <v>7</v>
      </c>
      <c r="C39" s="206">
        <v>27775</v>
      </c>
      <c r="D39" s="208">
        <v>20271532483</v>
      </c>
      <c r="E39" s="207" t="str">
        <f>VLOOKUP(D39,Configuracion!$A$4:$C$591,2,FALSE)</f>
        <v>DIEGO MARTIN RIOS</v>
      </c>
      <c r="F39" s="211">
        <v>51189.36</v>
      </c>
      <c r="G39" s="50">
        <f>F39*21%</f>
        <v>10749.765600000001</v>
      </c>
      <c r="H39" s="50"/>
      <c r="I39" s="50"/>
      <c r="J39" s="50"/>
      <c r="K39" s="227">
        <v>1791.63</v>
      </c>
      <c r="L39" s="50"/>
      <c r="M39" s="233"/>
      <c r="N39" s="50"/>
      <c r="O39" s="209">
        <f>SUM(F39:N39)</f>
        <v>63730.755599999997</v>
      </c>
      <c r="P39" s="214" t="str">
        <f>VLOOKUP(D39,Configuracion!$A$4:$C$591,3,FALSE)</f>
        <v>PROVEEDOR</v>
      </c>
    </row>
    <row r="40" spans="1:17" ht="15" customHeight="1">
      <c r="A40" s="204" t="s">
        <v>628</v>
      </c>
      <c r="B40" s="21">
        <v>5054</v>
      </c>
      <c r="C40" s="206">
        <v>22102</v>
      </c>
      <c r="D40" s="208">
        <v>30695542476</v>
      </c>
      <c r="E40" s="207" t="str">
        <f>VLOOKUP(D40,Configuracion!$A$4:$C$591,2,FALSE)</f>
        <v>PAN AMERICAN ENERGY SL</v>
      </c>
      <c r="F40" s="211">
        <v>5098.24</v>
      </c>
      <c r="G40" s="50">
        <f>F40*21%</f>
        <v>1070.6304</v>
      </c>
      <c r="H40" s="50"/>
      <c r="I40" s="50"/>
      <c r="J40" s="50">
        <v>152.94999999999999</v>
      </c>
      <c r="K40" s="227"/>
      <c r="L40" s="50"/>
      <c r="M40" s="233"/>
      <c r="N40" s="50">
        <v>331.12</v>
      </c>
      <c r="O40" s="209">
        <f>SUM(F40:N40)</f>
        <v>6652.9403999999995</v>
      </c>
      <c r="P40" s="214" t="str">
        <f>VLOOKUP(D40,Configuracion!$A$4:$C$591,3,FALSE)</f>
        <v>INSUMOS</v>
      </c>
    </row>
    <row r="41" spans="1:17" ht="15" customHeight="1">
      <c r="A41" s="204" t="s">
        <v>628</v>
      </c>
      <c r="B41" s="21">
        <v>1</v>
      </c>
      <c r="C41" s="206">
        <v>650</v>
      </c>
      <c r="D41" s="208">
        <v>30715048066</v>
      </c>
      <c r="E41" s="207" t="str">
        <f>VLOOKUP(D41,Configuracion!$A$4:$C$591,2,FALSE)</f>
        <v>ROLLS Y EMPANADAS SA</v>
      </c>
      <c r="F41" s="211">
        <v>274910</v>
      </c>
      <c r="G41" s="50">
        <f>F41*21%</f>
        <v>57731.1</v>
      </c>
      <c r="H41" s="50"/>
      <c r="I41" s="50"/>
      <c r="J41" s="50"/>
      <c r="K41" s="227"/>
      <c r="L41" s="50"/>
      <c r="M41" s="233"/>
      <c r="N41" s="50"/>
      <c r="O41" s="209">
        <f>SUM(F41:N41)</f>
        <v>332641.09999999998</v>
      </c>
      <c r="P41" s="214" t="str">
        <f>VLOOKUP(D41,Configuracion!$A$4:$C$591,3,FALSE)</f>
        <v>VARIOS</v>
      </c>
    </row>
    <row r="42" spans="1:17" ht="15" customHeight="1">
      <c r="A42" s="204" t="s">
        <v>631</v>
      </c>
      <c r="B42" s="21">
        <v>2080</v>
      </c>
      <c r="C42" s="206">
        <v>86349</v>
      </c>
      <c r="D42" s="208">
        <v>30548083156</v>
      </c>
      <c r="E42" s="207" t="str">
        <f>VLOOKUP(D42,Configuracion!$A$4:$C$591,2,FALSE)</f>
        <v>COTO CICSA</v>
      </c>
      <c r="F42" s="211">
        <f>52014.39+12239.59</f>
        <v>64253.979999999996</v>
      </c>
      <c r="G42" s="50">
        <v>10923.02</v>
      </c>
      <c r="H42" s="50"/>
      <c r="I42" s="50">
        <v>1285.1600000000001</v>
      </c>
      <c r="J42" s="50">
        <f>1529.7+183.59</f>
        <v>1713.29</v>
      </c>
      <c r="K42" s="227">
        <v>1920.97</v>
      </c>
      <c r="L42" s="50"/>
      <c r="M42" s="233"/>
      <c r="N42" s="50"/>
      <c r="O42" s="209">
        <f>SUM(F42:N42)</f>
        <v>80096.42</v>
      </c>
      <c r="P42" s="214" t="str">
        <f>VLOOKUP(D42,Configuracion!$A$4:$C$591,3,FALSE)</f>
        <v>GASTOS VARIOS</v>
      </c>
    </row>
    <row r="43" spans="1:17" ht="15" customHeight="1">
      <c r="A43" s="204" t="s">
        <v>632</v>
      </c>
      <c r="B43" s="21">
        <v>3</v>
      </c>
      <c r="C43" s="206">
        <v>90</v>
      </c>
      <c r="D43" s="208">
        <v>20334976433</v>
      </c>
      <c r="E43" s="207" t="str">
        <f>VLOOKUP(D43,Configuracion!$A$4:$C$591,2,FALSE)</f>
        <v>NARDOMARINO EZEQUIEL EDUARDO</v>
      </c>
      <c r="F43" s="211">
        <v>98482.64</v>
      </c>
      <c r="G43" s="50">
        <f>F43*21%</f>
        <v>20681.3544</v>
      </c>
      <c r="H43" s="50"/>
      <c r="I43" s="50"/>
      <c r="J43" s="50"/>
      <c r="K43" s="227"/>
      <c r="L43" s="50"/>
      <c r="M43" s="233"/>
      <c r="N43" s="50"/>
      <c r="O43" s="209">
        <f>SUM(F43:N43)</f>
        <v>119163.9944</v>
      </c>
      <c r="P43" s="214" t="str">
        <f>VLOOKUP(D43,Configuracion!$A$4:$C$591,3,FALSE)</f>
        <v>FLETE</v>
      </c>
    </row>
    <row r="44" spans="1:17" ht="15" customHeight="1">
      <c r="A44" s="204" t="s">
        <v>632</v>
      </c>
      <c r="B44" s="21">
        <v>17</v>
      </c>
      <c r="C44" s="206">
        <v>1205</v>
      </c>
      <c r="D44" s="208">
        <v>30711764921</v>
      </c>
      <c r="E44" s="207" t="str">
        <f>VLOOKUP(D44,Configuracion!$A$4:$C$591,2,FALSE)</f>
        <v>RELIEF CENTER SRL</v>
      </c>
      <c r="F44" s="211">
        <v>143680</v>
      </c>
      <c r="G44" s="50">
        <f>F44*21%</f>
        <v>30172.799999999999</v>
      </c>
      <c r="H44" s="50"/>
      <c r="I44" s="50"/>
      <c r="J44" s="50"/>
      <c r="K44" s="227"/>
      <c r="L44" s="50"/>
      <c r="M44" s="233"/>
      <c r="N44" s="50"/>
      <c r="O44" s="209">
        <f>SUM(F44:N44)</f>
        <v>173852.79999999999</v>
      </c>
      <c r="P44" s="214" t="str">
        <f>VLOOKUP(D44,Configuracion!$A$4:$C$591,3,FALSE)</f>
        <v>PROVEEDOR</v>
      </c>
    </row>
    <row r="45" spans="1:17" ht="15" customHeight="1">
      <c r="A45" s="204">
        <v>45145</v>
      </c>
      <c r="B45" s="21">
        <v>13</v>
      </c>
      <c r="C45" s="206">
        <v>1254</v>
      </c>
      <c r="D45" s="208">
        <v>33709914109</v>
      </c>
      <c r="E45" s="207" t="str">
        <f>VLOOKUP(D45,Configuracion!$A$4:$C$591,2,FALSE)</f>
        <v>ALAN COLLECTION SA</v>
      </c>
      <c r="F45" s="211">
        <v>3305.79</v>
      </c>
      <c r="G45" s="50">
        <f>F45*21%</f>
        <v>694.21589999999992</v>
      </c>
      <c r="H45" s="50"/>
      <c r="I45" s="50"/>
      <c r="J45" s="50"/>
      <c r="K45" s="227"/>
      <c r="L45" s="50"/>
      <c r="M45" s="233"/>
      <c r="N45" s="50"/>
      <c r="O45" s="209">
        <f>SUM(F45:N45)</f>
        <v>4000.0059000000001</v>
      </c>
      <c r="P45" s="214" t="str">
        <f>VLOOKUP(D45,Configuracion!$A$4:$C$591,3,FALSE)</f>
        <v>VARIOS</v>
      </c>
    </row>
    <row r="46" spans="1:17" ht="15" customHeight="1">
      <c r="A46" s="204" t="s">
        <v>633</v>
      </c>
      <c r="B46" s="21">
        <v>11</v>
      </c>
      <c r="C46" s="206">
        <v>1577044</v>
      </c>
      <c r="D46" s="208">
        <v>30709776564</v>
      </c>
      <c r="E46" s="207" t="str">
        <f>VLOOKUP(D46,Configuracion!$A$4:$C$591,2,FALSE)</f>
        <v>PROSEGUR ACTIVA ARG SA</v>
      </c>
      <c r="F46" s="211">
        <v>22988.52</v>
      </c>
      <c r="G46" s="50">
        <f>F46*21%</f>
        <v>4827.5892000000003</v>
      </c>
      <c r="H46" s="50"/>
      <c r="I46" s="50"/>
      <c r="J46" s="50"/>
      <c r="K46" s="227">
        <f>+F46*0.035</f>
        <v>804.59820000000013</v>
      </c>
      <c r="L46" s="50"/>
      <c r="M46" s="233"/>
      <c r="N46" s="50"/>
      <c r="O46" s="209">
        <f>SUM(F46:N46)</f>
        <v>28620.707399999999</v>
      </c>
      <c r="P46" s="214" t="str">
        <f>VLOOKUP(D46,Configuracion!$A$4:$C$591,3,FALSE)</f>
        <v>SEGUROS</v>
      </c>
    </row>
    <row r="47" spans="1:17" s="23" customFormat="1" ht="15" customHeight="1">
      <c r="A47" s="204" t="s">
        <v>633</v>
      </c>
      <c r="B47" s="21">
        <v>2</v>
      </c>
      <c r="C47" s="206">
        <v>22453</v>
      </c>
      <c r="D47" s="208">
        <v>23233422029</v>
      </c>
      <c r="E47" s="207" t="str">
        <f>VLOOKUP(D47,Configuracion!$A$4:$C$591,2,FALSE)</f>
        <v>RODOLFO SCHULZE</v>
      </c>
      <c r="F47" s="211">
        <v>169039.5</v>
      </c>
      <c r="G47" s="50">
        <f>F47*21%</f>
        <v>35498.294999999998</v>
      </c>
      <c r="H47" s="50"/>
      <c r="I47" s="50"/>
      <c r="J47" s="50"/>
      <c r="K47" s="227"/>
      <c r="L47" s="50"/>
      <c r="M47" s="233"/>
      <c r="N47" s="50"/>
      <c r="O47" s="209">
        <f>SUM(F47:N47)</f>
        <v>204537.79499999998</v>
      </c>
      <c r="P47" s="214" t="str">
        <f>VLOOKUP(D47,Configuracion!$A$4:$C$591,3,FALSE)</f>
        <v>PROVEEDOR</v>
      </c>
      <c r="Q47" s="23" t="s">
        <v>1218</v>
      </c>
    </row>
    <row r="48" spans="1:17" s="23" customFormat="1" ht="15" customHeight="1">
      <c r="A48" s="204" t="s">
        <v>634</v>
      </c>
      <c r="B48" s="21">
        <v>30</v>
      </c>
      <c r="C48" s="206">
        <v>38765</v>
      </c>
      <c r="D48" s="208">
        <v>30703088534</v>
      </c>
      <c r="E48" s="207" t="str">
        <f>VLOOKUP(D48,Configuracion!$A$4:$C$591,2,FALSE)</f>
        <v>MERCADOLIBRE SRL</v>
      </c>
      <c r="F48" s="211">
        <v>8614.8700000000008</v>
      </c>
      <c r="G48" s="50">
        <f>F48*21%</f>
        <v>1809.1227000000001</v>
      </c>
      <c r="H48" s="50"/>
      <c r="I48" s="50"/>
      <c r="J48" s="50"/>
      <c r="K48" s="227"/>
      <c r="L48" s="50"/>
      <c r="M48" s="233"/>
      <c r="N48" s="50"/>
      <c r="O48" s="209">
        <f>SUM(F48:N48)</f>
        <v>10423.992700000001</v>
      </c>
      <c r="P48" s="214" t="str">
        <f>VLOOKUP(D48,Configuracion!$A$4:$C$591,3,FALSE)</f>
        <v>PROVEEDOR</v>
      </c>
    </row>
    <row r="49" spans="1:17" ht="15" customHeight="1">
      <c r="A49" s="204" t="s">
        <v>634</v>
      </c>
      <c r="B49" s="21">
        <v>9044</v>
      </c>
      <c r="C49" s="206">
        <v>18170</v>
      </c>
      <c r="D49" s="208">
        <v>30678774495</v>
      </c>
      <c r="E49" s="207" t="str">
        <f>VLOOKUP(D49,Configuracion!$A$4:$C$591,2,FALSE)</f>
        <v>OPERADORA DE ESTAC. DE SERV SA</v>
      </c>
      <c r="F49" s="211">
        <v>4709.8900000000003</v>
      </c>
      <c r="G49" s="50">
        <f>F49*21%</f>
        <v>989.07690000000002</v>
      </c>
      <c r="H49" s="50"/>
      <c r="I49" s="50"/>
      <c r="J49" s="50"/>
      <c r="K49" s="227"/>
      <c r="L49" s="50"/>
      <c r="M49" s="233">
        <v>301.02</v>
      </c>
      <c r="N49" s="50"/>
      <c r="O49" s="209">
        <f>SUM(F49:N49)</f>
        <v>5999.9868999999999</v>
      </c>
      <c r="P49" s="214" t="str">
        <f>VLOOKUP(D49,Configuracion!$A$4:$C$591,3,FALSE)</f>
        <v>VARIOS</v>
      </c>
    </row>
    <row r="50" spans="1:17" ht="15" customHeight="1">
      <c r="A50" s="204" t="s">
        <v>634</v>
      </c>
      <c r="B50" s="21">
        <v>9044</v>
      </c>
      <c r="C50" s="206">
        <v>18171</v>
      </c>
      <c r="D50" s="208">
        <v>30678774495</v>
      </c>
      <c r="E50" s="207" t="str">
        <f>VLOOKUP(D50,Configuracion!$A$4:$C$591,2,FALSE)</f>
        <v>OPERADORA DE ESTAC. DE SERV SA</v>
      </c>
      <c r="F50" s="211">
        <v>7457.33</v>
      </c>
      <c r="G50" s="50">
        <f>F50*21%</f>
        <v>1566.0392999999999</v>
      </c>
      <c r="H50" s="50"/>
      <c r="I50" s="50"/>
      <c r="J50" s="50"/>
      <c r="K50" s="227"/>
      <c r="L50" s="50"/>
      <c r="M50" s="233">
        <v>476.62</v>
      </c>
      <c r="N50" s="50"/>
      <c r="O50" s="209">
        <f>SUM(F50:N50)</f>
        <v>9499.9893000000011</v>
      </c>
      <c r="P50" s="214" t="str">
        <f>VLOOKUP(D50,Configuracion!$A$4:$C$591,3,FALSE)</f>
        <v>VARIOS</v>
      </c>
    </row>
    <row r="51" spans="1:17" ht="15" customHeight="1">
      <c r="A51" s="204" t="s">
        <v>634</v>
      </c>
      <c r="B51" s="21">
        <v>2</v>
      </c>
      <c r="C51" s="206">
        <v>8941</v>
      </c>
      <c r="D51" s="208">
        <v>30714331082</v>
      </c>
      <c r="E51" s="207" t="str">
        <f>VLOOKUP(D51,Configuracion!$A$4:$C$591,2,FALSE)</f>
        <v>ORTOPEDIA CASA ESCALADA SRL</v>
      </c>
      <c r="F51" s="211">
        <v>591711.14</v>
      </c>
      <c r="G51" s="50"/>
      <c r="H51" s="50"/>
      <c r="I51" s="50">
        <v>62129.67</v>
      </c>
      <c r="J51" s="50"/>
      <c r="K51" s="227"/>
      <c r="L51" s="50"/>
      <c r="M51" s="233"/>
      <c r="N51" s="50"/>
      <c r="O51" s="209">
        <f>SUM(F51:N51)</f>
        <v>653840.81000000006</v>
      </c>
      <c r="P51" s="214" t="str">
        <f>VLOOKUP(D51,Configuracion!$A$4:$C$591,3,FALSE)</f>
        <v>PROVEEDOR</v>
      </c>
    </row>
    <row r="52" spans="1:17" ht="15" customHeight="1">
      <c r="A52" s="204" t="s">
        <v>634</v>
      </c>
      <c r="B52" s="21">
        <v>2</v>
      </c>
      <c r="C52" s="206">
        <v>7996</v>
      </c>
      <c r="D52" s="208">
        <v>30643862928</v>
      </c>
      <c r="E52" s="207" t="str">
        <f>VLOOKUP(D52,Configuracion!$A$4:$C$591,2,FALSE)</f>
        <v>OUTLANDISH SRL</v>
      </c>
      <c r="F52" s="211">
        <v>40571.9</v>
      </c>
      <c r="G52" s="50">
        <f>F52*21%</f>
        <v>8520.0990000000002</v>
      </c>
      <c r="H52" s="50"/>
      <c r="I52" s="50"/>
      <c r="J52" s="50"/>
      <c r="K52" s="227"/>
      <c r="L52" s="50"/>
      <c r="M52" s="233"/>
      <c r="N52" s="50"/>
      <c r="O52" s="209">
        <f>SUM(F52:N52)</f>
        <v>49091.999000000003</v>
      </c>
      <c r="P52" s="214" t="str">
        <f>VLOOKUP(D52,Configuracion!$A$4:$C$591,3,FALSE)</f>
        <v>PROVEEDOR</v>
      </c>
    </row>
    <row r="53" spans="1:17" ht="15" customHeight="1">
      <c r="A53" s="204" t="s">
        <v>634</v>
      </c>
      <c r="B53" s="21">
        <v>948</v>
      </c>
      <c r="C53" s="206">
        <v>1031903</v>
      </c>
      <c r="D53" s="208">
        <v>30639453975</v>
      </c>
      <c r="E53" s="207" t="str">
        <f>VLOOKUP(D53,Configuracion!$A$4:$C$591,2,FALSE)</f>
        <v>TELEFONICA ARG SA</v>
      </c>
      <c r="F53" s="211">
        <f>13232.61+133.43</f>
        <v>13366.04</v>
      </c>
      <c r="G53" s="50"/>
      <c r="H53" s="50">
        <f>+F53*0.27</f>
        <v>3608.8308000000006</v>
      </c>
      <c r="I53" s="50"/>
      <c r="J53" s="50">
        <f>+F53*0.03</f>
        <v>400.9812</v>
      </c>
      <c r="K53" s="227">
        <f>+F53*0.035</f>
        <v>467.81140000000005</v>
      </c>
      <c r="L53" s="50"/>
      <c r="M53" s="233"/>
      <c r="N53" s="50"/>
      <c r="O53" s="209">
        <f>SUM(F53:N53)</f>
        <v>17843.663399999998</v>
      </c>
      <c r="P53" s="214" t="str">
        <f>VLOOKUP(D53,Configuracion!$A$4:$C$591,3,FALSE)</f>
        <v>SERVICIO</v>
      </c>
    </row>
    <row r="54" spans="1:17" ht="15" customHeight="1">
      <c r="A54" s="204" t="s">
        <v>635</v>
      </c>
      <c r="B54" s="21">
        <v>15</v>
      </c>
      <c r="C54" s="206">
        <v>2343</v>
      </c>
      <c r="D54" s="208">
        <v>30688140923</v>
      </c>
      <c r="E54" s="207" t="str">
        <f>VLOOKUP(D54,Configuracion!$A$4:$C$591,2,FALSE)</f>
        <v>COLTEX SRL</v>
      </c>
      <c r="F54" s="211">
        <v>269642</v>
      </c>
      <c r="G54" s="50">
        <f>F54*21%</f>
        <v>56624.82</v>
      </c>
      <c r="H54" s="50"/>
      <c r="I54" s="50"/>
      <c r="J54" s="50"/>
      <c r="K54" s="227"/>
      <c r="L54" s="50"/>
      <c r="M54" s="233"/>
      <c r="N54" s="50"/>
      <c r="O54" s="209">
        <f>SUM(F54:N54)</f>
        <v>326266.82</v>
      </c>
      <c r="P54" s="214" t="str">
        <f>VLOOKUP(D54,Configuracion!$A$4:$C$591,3,FALSE)</f>
        <v>PROVEEDOR</v>
      </c>
    </row>
    <row r="55" spans="1:17" ht="15" customHeight="1">
      <c r="A55" s="204" t="s">
        <v>635</v>
      </c>
      <c r="B55" s="21">
        <v>2</v>
      </c>
      <c r="C55" s="206">
        <v>17</v>
      </c>
      <c r="D55" s="208">
        <v>20272865869</v>
      </c>
      <c r="E55" s="207" t="str">
        <f>VLOOKUP(D55,Configuracion!$A$4:$C$591,2,FALSE)</f>
        <v>DI FEO MARTIN EZEQUIEL</v>
      </c>
      <c r="F55" s="211">
        <v>29426.45</v>
      </c>
      <c r="G55" s="50">
        <f>F55*21%</f>
        <v>6179.5545000000002</v>
      </c>
      <c r="H55" s="50"/>
      <c r="I55" s="50"/>
      <c r="J55" s="50"/>
      <c r="K55" s="227"/>
      <c r="L55" s="50"/>
      <c r="M55" s="233"/>
      <c r="N55" s="50"/>
      <c r="O55" s="209">
        <f>SUM(F55:N55)</f>
        <v>35606.004500000003</v>
      </c>
      <c r="P55" s="214" t="str">
        <f>VLOOKUP(D55,Configuracion!$A$4:$C$591,3,FALSE)</f>
        <v>PROVEEDOR</v>
      </c>
    </row>
    <row r="56" spans="1:17" ht="15" customHeight="1">
      <c r="A56" s="204" t="s">
        <v>635</v>
      </c>
      <c r="B56" s="21">
        <v>1</v>
      </c>
      <c r="C56" s="206">
        <v>861</v>
      </c>
      <c r="D56" s="208">
        <v>30715224468</v>
      </c>
      <c r="E56" s="207" t="str">
        <f>VLOOKUP(D56,Configuracion!$A$4:$C$591,2,FALSE)</f>
        <v>MLND SRL</v>
      </c>
      <c r="F56" s="211">
        <v>19000</v>
      </c>
      <c r="G56" s="50">
        <f>F56*21%</f>
        <v>3990</v>
      </c>
      <c r="H56" s="50"/>
      <c r="I56" s="50"/>
      <c r="J56" s="50"/>
      <c r="K56" s="227"/>
      <c r="L56" s="50"/>
      <c r="M56" s="233"/>
      <c r="N56" s="50"/>
      <c r="O56" s="209">
        <f>SUM(F56:N56)</f>
        <v>22990</v>
      </c>
      <c r="P56" s="214" t="str">
        <f>VLOOKUP(D56,Configuracion!$A$4:$C$591,3,FALSE)</f>
        <v>PROVEEDOR</v>
      </c>
    </row>
    <row r="57" spans="1:17" ht="15" customHeight="1">
      <c r="A57" s="204" t="s">
        <v>635</v>
      </c>
      <c r="B57" s="21">
        <v>17</v>
      </c>
      <c r="C57" s="206">
        <v>1209</v>
      </c>
      <c r="D57" s="208">
        <v>30711764921</v>
      </c>
      <c r="E57" s="207" t="str">
        <f>VLOOKUP(D57,Configuracion!$A$4:$C$591,2,FALSE)</f>
        <v>RELIEF CENTER SRL</v>
      </c>
      <c r="F57" s="211">
        <v>29169</v>
      </c>
      <c r="G57" s="50">
        <f>F57*21%</f>
        <v>6125.49</v>
      </c>
      <c r="H57" s="50"/>
      <c r="I57" s="50"/>
      <c r="J57" s="50"/>
      <c r="K57" s="227"/>
      <c r="L57" s="50"/>
      <c r="M57" s="233"/>
      <c r="N57" s="50"/>
      <c r="O57" s="209">
        <f>SUM(F57:N57)</f>
        <v>35294.49</v>
      </c>
      <c r="P57" s="214" t="str">
        <f>VLOOKUP(D57,Configuracion!$A$4:$C$591,3,FALSE)</f>
        <v>PROVEEDOR</v>
      </c>
    </row>
    <row r="58" spans="1:17" ht="15" customHeight="1">
      <c r="A58" s="204" t="s">
        <v>635</v>
      </c>
      <c r="B58" s="21">
        <v>4</v>
      </c>
      <c r="C58" s="206">
        <v>61</v>
      </c>
      <c r="D58" s="208">
        <v>20317488476</v>
      </c>
      <c r="E58" s="207" t="str">
        <f>VLOOKUP(D58,Configuracion!$A$4:$C$591,2,FALSE)</f>
        <v>VILLALBA MIGUEL ANGEL</v>
      </c>
      <c r="F58" s="211">
        <v>289952</v>
      </c>
      <c r="G58" s="50">
        <f>F58*21%</f>
        <v>60889.919999999998</v>
      </c>
      <c r="H58" s="50"/>
      <c r="I58" s="50"/>
      <c r="J58" s="50"/>
      <c r="K58" s="227"/>
      <c r="L58" s="50"/>
      <c r="M58" s="233"/>
      <c r="N58" s="50"/>
      <c r="O58" s="209">
        <f>SUM(F58:N58)</f>
        <v>350841.92</v>
      </c>
      <c r="P58" s="214" t="str">
        <f>VLOOKUP(D58,Configuracion!$A$4:$C$591,3,FALSE)</f>
        <v>PROVEEDOR</v>
      </c>
    </row>
    <row r="59" spans="1:17" ht="15" customHeight="1">
      <c r="A59" s="204">
        <v>45148</v>
      </c>
      <c r="B59" s="21">
        <v>13</v>
      </c>
      <c r="C59" s="206">
        <v>1256</v>
      </c>
      <c r="D59" s="208">
        <v>33709914109</v>
      </c>
      <c r="E59" s="207" t="str">
        <f>VLOOKUP(D59,Configuracion!$A$4:$C$591,2,FALSE)</f>
        <v>ALAN COLLECTION SA</v>
      </c>
      <c r="F59" s="211">
        <v>3719.01</v>
      </c>
      <c r="G59" s="50">
        <f>F59*21%</f>
        <v>780.99210000000005</v>
      </c>
      <c r="H59" s="50"/>
      <c r="I59" s="50"/>
      <c r="J59" s="50"/>
      <c r="K59" s="227"/>
      <c r="L59" s="50"/>
      <c r="M59" s="233"/>
      <c r="N59" s="50"/>
      <c r="O59" s="209">
        <f>SUM(F59:N59)</f>
        <v>4500.0021000000006</v>
      </c>
      <c r="P59" s="214" t="str">
        <f>VLOOKUP(D59,Configuracion!$A$4:$C$591,3,FALSE)</f>
        <v>VARIOS</v>
      </c>
    </row>
    <row r="60" spans="1:17" ht="15" customHeight="1">
      <c r="A60" s="204">
        <v>45148</v>
      </c>
      <c r="B60" s="21">
        <v>7</v>
      </c>
      <c r="C60" s="206">
        <v>2100</v>
      </c>
      <c r="D60" s="208">
        <v>20284183534</v>
      </c>
      <c r="E60" s="207" t="str">
        <f>VLOOKUP(D60,Configuracion!$A$4:$C$591,2,FALSE)</f>
        <v>FURLANETTO MARTIN</v>
      </c>
      <c r="F60" s="211">
        <v>619.85</v>
      </c>
      <c r="G60" s="50">
        <f>F60*21%</f>
        <v>130.16849999999999</v>
      </c>
      <c r="H60" s="50"/>
      <c r="I60" s="50"/>
      <c r="J60" s="50"/>
      <c r="K60" s="227"/>
      <c r="L60" s="50"/>
      <c r="M60" s="233"/>
      <c r="N60" s="50"/>
      <c r="O60" s="209">
        <f>SUM(F60:N60)</f>
        <v>750.01850000000002</v>
      </c>
      <c r="P60" s="214" t="str">
        <f>VLOOKUP(D60,Configuracion!$A$4:$C$591,3,FALSE)</f>
        <v>VARIOS</v>
      </c>
    </row>
    <row r="61" spans="1:17" ht="15" customHeight="1">
      <c r="A61" s="204" t="s">
        <v>636</v>
      </c>
      <c r="B61" s="21">
        <v>2</v>
      </c>
      <c r="C61" s="206">
        <v>7373</v>
      </c>
      <c r="D61" s="208">
        <v>30694549817</v>
      </c>
      <c r="E61" s="207" t="str">
        <f>VLOOKUP(D61,Configuracion!$A$4:$C$591,2,FALSE)</f>
        <v>DISEÑOS JERY SRL</v>
      </c>
      <c r="F61" s="211">
        <v>537319.47</v>
      </c>
      <c r="G61" s="50">
        <f>F61*21%</f>
        <v>112837.08869999999</v>
      </c>
      <c r="H61" s="50"/>
      <c r="I61" s="50"/>
      <c r="J61" s="50"/>
      <c r="K61" s="227"/>
      <c r="L61" s="50"/>
      <c r="M61" s="233"/>
      <c r="N61" s="50"/>
      <c r="O61" s="209">
        <f>SUM(F61:N61)</f>
        <v>650156.55869999994</v>
      </c>
      <c r="P61" s="214" t="str">
        <f>VLOOKUP(D61,Configuracion!$A$4:$C$591,3,FALSE)</f>
        <v>PROVEEDOR</v>
      </c>
    </row>
    <row r="62" spans="1:17" ht="15" customHeight="1">
      <c r="A62" s="204" t="s">
        <v>637</v>
      </c>
      <c r="B62" s="21">
        <v>9038</v>
      </c>
      <c r="C62" s="206">
        <v>14959</v>
      </c>
      <c r="D62" s="208">
        <v>30678774495</v>
      </c>
      <c r="E62" s="207" t="str">
        <f>VLOOKUP(D62,Configuracion!$A$4:$C$591,2,FALSE)</f>
        <v>OPERADORA DE ESTAC. DE SERV SA</v>
      </c>
      <c r="F62" s="211">
        <v>4710.17</v>
      </c>
      <c r="G62" s="50">
        <f>F62*21%</f>
        <v>989.13569999999993</v>
      </c>
      <c r="H62" s="50"/>
      <c r="I62" s="50"/>
      <c r="J62" s="50"/>
      <c r="K62" s="227"/>
      <c r="L62" s="50"/>
      <c r="M62" s="233">
        <v>300.69</v>
      </c>
      <c r="N62" s="50"/>
      <c r="O62" s="209">
        <f>SUM(F62:N62)</f>
        <v>5999.9956999999995</v>
      </c>
      <c r="P62" s="214" t="str">
        <f>VLOOKUP(D62,Configuracion!$A$4:$C$591,3,FALSE)</f>
        <v>VARIOS</v>
      </c>
      <c r="Q62" t="s">
        <v>1218</v>
      </c>
    </row>
    <row r="63" spans="1:17" ht="15" customHeight="1">
      <c r="A63" s="204" t="s">
        <v>637</v>
      </c>
      <c r="B63" s="21">
        <v>9038</v>
      </c>
      <c r="C63" s="206">
        <v>14960</v>
      </c>
      <c r="D63" s="208">
        <v>30678774495</v>
      </c>
      <c r="E63" s="207" t="str">
        <f>VLOOKUP(D63,Configuracion!$A$4:$C$591,2,FALSE)</f>
        <v>OPERADORA DE ESTAC. DE SERV SA</v>
      </c>
      <c r="F63" s="211">
        <v>2355.08</v>
      </c>
      <c r="G63" s="50">
        <f>F63*21%</f>
        <v>494.56679999999994</v>
      </c>
      <c r="H63" s="50"/>
      <c r="I63" s="50"/>
      <c r="J63" s="50"/>
      <c r="K63" s="227"/>
      <c r="L63" s="50"/>
      <c r="M63" s="233">
        <v>150.35</v>
      </c>
      <c r="N63" s="50"/>
      <c r="O63" s="209">
        <f>SUM(F63:N63)</f>
        <v>2999.9967999999999</v>
      </c>
      <c r="P63" s="214" t="str">
        <f>VLOOKUP(D63,Configuracion!$A$4:$C$591,3,FALSE)</f>
        <v>VARIOS</v>
      </c>
    </row>
    <row r="64" spans="1:17" ht="15" customHeight="1">
      <c r="A64" s="204" t="s">
        <v>639</v>
      </c>
      <c r="B64" s="21">
        <v>3</v>
      </c>
      <c r="C64" s="206">
        <v>93</v>
      </c>
      <c r="D64" s="208">
        <v>20334976433</v>
      </c>
      <c r="E64" s="207" t="str">
        <f>VLOOKUP(D64,Configuracion!$A$4:$C$591,2,FALSE)</f>
        <v>NARDOMARINO EZEQUIEL EDUARDO</v>
      </c>
      <c r="F64" s="211">
        <v>137294.21</v>
      </c>
      <c r="G64" s="50">
        <f>F64*21%</f>
        <v>28831.784099999997</v>
      </c>
      <c r="H64" s="50"/>
      <c r="I64" s="50"/>
      <c r="J64" s="50"/>
      <c r="K64" s="227"/>
      <c r="L64" s="50"/>
      <c r="M64" s="233"/>
      <c r="N64" s="50"/>
      <c r="O64" s="209">
        <f>SUM(F64:N64)</f>
        <v>166125.99409999998</v>
      </c>
      <c r="P64" s="214" t="str">
        <f>VLOOKUP(D64,Configuracion!$A$4:$C$591,3,FALSE)</f>
        <v>FLETE</v>
      </c>
    </row>
    <row r="65" spans="1:17" ht="15" customHeight="1">
      <c r="A65" s="204" t="s">
        <v>639</v>
      </c>
      <c r="B65" s="21">
        <v>4</v>
      </c>
      <c r="C65" s="206">
        <v>35692</v>
      </c>
      <c r="D65" s="208">
        <v>20289111329</v>
      </c>
      <c r="E65" s="207" t="str">
        <f>VLOOKUP(D65,Configuracion!$A$4:$C$591,2,FALSE)</f>
        <v>R. N. LEDESMA</v>
      </c>
      <c r="F65" s="211">
        <v>252256.63</v>
      </c>
      <c r="G65" s="50">
        <f>F65*21%</f>
        <v>52973.8923</v>
      </c>
      <c r="H65" s="50"/>
      <c r="I65" s="50"/>
      <c r="J65" s="50"/>
      <c r="K65" s="227"/>
      <c r="L65" s="50"/>
      <c r="M65" s="233"/>
      <c r="N65" s="50"/>
      <c r="O65" s="209">
        <f>SUM(F65:N65)</f>
        <v>305230.52230000001</v>
      </c>
      <c r="P65" s="214" t="str">
        <f>VLOOKUP(D65,Configuracion!$A$4:$C$591,3,FALSE)</f>
        <v>PROVEEDOR</v>
      </c>
    </row>
    <row r="66" spans="1:17" ht="15" customHeight="1">
      <c r="A66" s="204" t="s">
        <v>641</v>
      </c>
      <c r="B66" s="21">
        <v>120</v>
      </c>
      <c r="C66" s="206">
        <v>3159</v>
      </c>
      <c r="D66" s="208">
        <v>30587197215</v>
      </c>
      <c r="E66" s="207" t="str">
        <f>VLOOKUP(D66,Configuracion!$A$4:$C$591,2,FALSE)</f>
        <v>PANATEL SOCIEDAD ANONIMA</v>
      </c>
      <c r="F66" s="211">
        <v>21487.599999999999</v>
      </c>
      <c r="G66" s="50">
        <f>F66*21%</f>
        <v>4512.3959999999997</v>
      </c>
      <c r="H66" s="50"/>
      <c r="I66" s="50"/>
      <c r="J66" s="50"/>
      <c r="K66" s="227"/>
      <c r="L66" s="50"/>
      <c r="M66" s="233"/>
      <c r="N66" s="50"/>
      <c r="O66" s="209">
        <f>SUM(F66:N66)</f>
        <v>25999.995999999999</v>
      </c>
      <c r="P66" s="214" t="str">
        <f>VLOOKUP(D66,Configuracion!$A$4:$C$591,3,FALSE)</f>
        <v>VARIOS</v>
      </c>
    </row>
    <row r="67" spans="1:17" ht="15" customHeight="1">
      <c r="A67" s="204" t="s">
        <v>641</v>
      </c>
      <c r="B67" s="21">
        <v>7</v>
      </c>
      <c r="C67" s="206">
        <v>16311</v>
      </c>
      <c r="D67" s="208">
        <v>30709214078</v>
      </c>
      <c r="E67" s="207" t="str">
        <f>VLOOKUP(D67,Configuracion!$A$4:$C$591,2,FALSE)</f>
        <v>REHAVITA SA</v>
      </c>
      <c r="F67" s="211">
        <v>1071187</v>
      </c>
      <c r="G67" s="50">
        <f>F67*21%</f>
        <v>224949.27</v>
      </c>
      <c r="H67" s="50"/>
      <c r="I67" s="50"/>
      <c r="J67" s="50"/>
      <c r="K67" s="227"/>
      <c r="L67" s="50"/>
      <c r="M67" s="233"/>
      <c r="N67" s="50"/>
      <c r="O67" s="209">
        <f>SUM(F67:N67)</f>
        <v>1296136.27</v>
      </c>
      <c r="P67" s="214" t="str">
        <f>VLOOKUP(D67,Configuracion!$A$4:$C$591,3,FALSE)</f>
        <v>PROVEEDOR</v>
      </c>
    </row>
    <row r="68" spans="1:17" ht="15" customHeight="1">
      <c r="A68" s="204" t="s">
        <v>642</v>
      </c>
      <c r="B68" s="21">
        <v>2</v>
      </c>
      <c r="C68" s="206">
        <v>3</v>
      </c>
      <c r="D68" s="208">
        <v>20272865869</v>
      </c>
      <c r="E68" s="207" t="str">
        <f>VLOOKUP(D68,Configuracion!$A$4:$C$591,2,FALSE)</f>
        <v>DI FEO MARTIN EZEQUIEL</v>
      </c>
      <c r="F68" s="211">
        <v>-4680.58</v>
      </c>
      <c r="G68" s="50">
        <f>F68*21%</f>
        <v>-982.92179999999996</v>
      </c>
      <c r="H68" s="50"/>
      <c r="I68" s="50"/>
      <c r="J68" s="50"/>
      <c r="K68" s="227"/>
      <c r="L68" s="50"/>
      <c r="M68" s="233"/>
      <c r="N68" s="50"/>
      <c r="O68" s="209">
        <f>SUM(F68:N68)</f>
        <v>-5663.5018</v>
      </c>
      <c r="P68" s="214" t="str">
        <f>VLOOKUP(D68,Configuracion!$A$4:$C$591,3,FALSE)</f>
        <v>PROVEEDOR</v>
      </c>
    </row>
    <row r="69" spans="1:17" ht="15" customHeight="1">
      <c r="A69" s="204" t="s">
        <v>642</v>
      </c>
      <c r="B69" s="21">
        <v>2</v>
      </c>
      <c r="C69" s="206">
        <v>31</v>
      </c>
      <c r="D69" s="208">
        <v>20272865869</v>
      </c>
      <c r="E69" s="207" t="str">
        <f>VLOOKUP(D69,Configuracion!$A$4:$C$591,2,FALSE)</f>
        <v>DI FEO MARTIN EZEQUIEL</v>
      </c>
      <c r="F69" s="211">
        <v>72810.509999999995</v>
      </c>
      <c r="G69" s="50">
        <f>F69*21%</f>
        <v>15290.207099999998</v>
      </c>
      <c r="H69" s="50"/>
      <c r="I69" s="50"/>
      <c r="J69" s="50"/>
      <c r="K69" s="227"/>
      <c r="L69" s="50"/>
      <c r="M69" s="233"/>
      <c r="N69" s="50"/>
      <c r="O69" s="209">
        <f>SUM(F69:N69)</f>
        <v>88100.717099999994</v>
      </c>
      <c r="P69" s="214" t="str">
        <f>VLOOKUP(D69,Configuracion!$A$4:$C$591,3,FALSE)</f>
        <v>PROVEEDOR</v>
      </c>
    </row>
    <row r="70" spans="1:17" ht="15" customHeight="1">
      <c r="A70" s="204" t="s">
        <v>642</v>
      </c>
      <c r="B70" s="21">
        <v>2</v>
      </c>
      <c r="C70" s="206">
        <v>35</v>
      </c>
      <c r="D70" s="208">
        <v>20272865869</v>
      </c>
      <c r="E70" s="207" t="str">
        <f>VLOOKUP(D70,Configuracion!$A$4:$C$591,2,FALSE)</f>
        <v>DI FEO MARTIN EZEQUIEL</v>
      </c>
      <c r="F70" s="211">
        <v>5160.58</v>
      </c>
      <c r="G70" s="50">
        <f>F70*21%</f>
        <v>1083.7218</v>
      </c>
      <c r="H70" s="50"/>
      <c r="I70" s="50"/>
      <c r="J70" s="50"/>
      <c r="K70" s="227"/>
      <c r="L70" s="50"/>
      <c r="M70" s="233"/>
      <c r="N70" s="50"/>
      <c r="O70" s="209">
        <f>SUM(F70:N70)</f>
        <v>6244.3018000000002</v>
      </c>
      <c r="P70" s="214" t="str">
        <f>VLOOKUP(D70,Configuracion!$A$4:$C$591,3,FALSE)</f>
        <v>PROVEEDOR</v>
      </c>
    </row>
    <row r="71" spans="1:17" ht="15" customHeight="1">
      <c r="A71" s="204" t="s">
        <v>642</v>
      </c>
      <c r="B71" s="21">
        <v>3</v>
      </c>
      <c r="C71" s="206">
        <v>5985</v>
      </c>
      <c r="D71" s="208">
        <v>33708218699</v>
      </c>
      <c r="E71" s="207" t="str">
        <f>VLOOKUP(D71,Configuracion!$A$4:$C$591,2,FALSE)</f>
        <v>MANGGINI PABLO Y M ULISES SH</v>
      </c>
      <c r="F71" s="211">
        <v>3500</v>
      </c>
      <c r="G71" s="50">
        <f>F71*21%</f>
        <v>735</v>
      </c>
      <c r="H71" s="50"/>
      <c r="I71" s="50"/>
      <c r="J71" s="50"/>
      <c r="K71" s="227"/>
      <c r="L71" s="50"/>
      <c r="M71" s="233"/>
      <c r="N71" s="50"/>
      <c r="O71" s="209">
        <f>SUM(F71:N71)</f>
        <v>4235</v>
      </c>
      <c r="P71" s="214" t="str">
        <f>VLOOKUP(D71,Configuracion!$A$4:$C$591,3,FALSE)</f>
        <v>VARIOS</v>
      </c>
    </row>
    <row r="72" spans="1:17" ht="15" customHeight="1">
      <c r="A72" s="204" t="s">
        <v>642</v>
      </c>
      <c r="B72" s="21">
        <v>7780</v>
      </c>
      <c r="C72" s="206">
        <v>209</v>
      </c>
      <c r="D72" s="208">
        <v>30678774495</v>
      </c>
      <c r="E72" s="207" t="str">
        <f>VLOOKUP(D72,Configuracion!$A$4:$C$591,2,FALSE)</f>
        <v>OPERADORA DE ESTAC. DE SERV SA</v>
      </c>
      <c r="F72" s="211">
        <v>4008.26</v>
      </c>
      <c r="G72" s="50">
        <f>F72*21%</f>
        <v>841.7346</v>
      </c>
      <c r="H72" s="50"/>
      <c r="I72" s="50"/>
      <c r="J72" s="50"/>
      <c r="K72" s="227"/>
      <c r="L72" s="50"/>
      <c r="M72" s="233"/>
      <c r="N72" s="50"/>
      <c r="O72" s="209">
        <f>SUM(F72:N72)</f>
        <v>4849.9946</v>
      </c>
      <c r="P72" s="214" t="str">
        <f>VLOOKUP(D72,Configuracion!$A$4:$C$591,3,FALSE)</f>
        <v>VARIOS</v>
      </c>
    </row>
    <row r="73" spans="1:17" ht="15" customHeight="1">
      <c r="A73" s="204" t="s">
        <v>642</v>
      </c>
      <c r="B73" s="21">
        <v>1001</v>
      </c>
      <c r="C73" s="206">
        <v>278</v>
      </c>
      <c r="D73" s="208">
        <v>30707370552</v>
      </c>
      <c r="E73" s="207" t="str">
        <f>VLOOKUP(D73,Configuracion!$A$4:$C$591,2,FALSE)</f>
        <v>RAKE SA</v>
      </c>
      <c r="F73" s="211">
        <v>299173.56</v>
      </c>
      <c r="G73" s="50">
        <f>F73*21%</f>
        <v>62826.4476</v>
      </c>
      <c r="H73" s="50"/>
      <c r="I73" s="50"/>
      <c r="J73" s="50"/>
      <c r="K73" s="227"/>
      <c r="L73" s="50"/>
      <c r="M73" s="233"/>
      <c r="N73" s="50"/>
      <c r="O73" s="209">
        <f>SUM(F73:N73)</f>
        <v>362000.00760000001</v>
      </c>
      <c r="P73" s="214" t="str">
        <f>VLOOKUP(D73,Configuracion!$A$4:$C$591,3,FALSE)</f>
        <v>PROVEEDOR</v>
      </c>
    </row>
    <row r="74" spans="1:17" ht="15" customHeight="1">
      <c r="A74" s="204" t="s">
        <v>642</v>
      </c>
      <c r="B74" s="21">
        <v>1001</v>
      </c>
      <c r="C74" s="206">
        <v>279</v>
      </c>
      <c r="D74" s="208">
        <v>30707370552</v>
      </c>
      <c r="E74" s="207" t="str">
        <f>VLOOKUP(D74,Configuracion!$A$4:$C$591,2,FALSE)</f>
        <v>RAKE SA</v>
      </c>
      <c r="F74" s="211">
        <v>229752.07</v>
      </c>
      <c r="G74" s="50">
        <f>F74*21%</f>
        <v>48247.934699999998</v>
      </c>
      <c r="H74" s="50"/>
      <c r="I74" s="50"/>
      <c r="J74" s="50"/>
      <c r="K74" s="227"/>
      <c r="L74" s="50"/>
      <c r="M74" s="233"/>
      <c r="N74" s="50"/>
      <c r="O74" s="209">
        <f>SUM(F74:N74)</f>
        <v>278000.00469999999</v>
      </c>
      <c r="P74" s="214" t="str">
        <f>VLOOKUP(D74,Configuracion!$A$4:$C$591,3,FALSE)</f>
        <v>PROVEEDOR</v>
      </c>
    </row>
    <row r="75" spans="1:17" ht="15" customHeight="1">
      <c r="A75" s="204" t="s">
        <v>642</v>
      </c>
      <c r="B75" s="21">
        <v>1001</v>
      </c>
      <c r="C75" s="206">
        <v>280</v>
      </c>
      <c r="D75" s="208">
        <v>30707370552</v>
      </c>
      <c r="E75" s="207" t="str">
        <f>VLOOKUP(D75,Configuracion!$A$4:$C$591,2,FALSE)</f>
        <v>RAKE SA</v>
      </c>
      <c r="F75" s="211">
        <v>82231.400000000009</v>
      </c>
      <c r="G75" s="50">
        <f>F75*21%</f>
        <v>17268.594000000001</v>
      </c>
      <c r="H75" s="50"/>
      <c r="I75" s="50"/>
      <c r="J75" s="50"/>
      <c r="K75" s="227"/>
      <c r="L75" s="50"/>
      <c r="M75" s="233"/>
      <c r="N75" s="50"/>
      <c r="O75" s="209">
        <f>SUM(F75:N75)</f>
        <v>99499.994000000006</v>
      </c>
      <c r="P75" s="214" t="str">
        <f>VLOOKUP(D75,Configuracion!$A$4:$C$591,3,FALSE)</f>
        <v>PROVEEDOR</v>
      </c>
    </row>
    <row r="76" spans="1:17">
      <c r="A76" s="204">
        <v>45155</v>
      </c>
      <c r="B76" s="21">
        <v>27</v>
      </c>
      <c r="C76" s="206">
        <v>5724</v>
      </c>
      <c r="D76" s="208">
        <v>33712276539</v>
      </c>
      <c r="E76" s="207" t="str">
        <f>VLOOKUP(D76,Configuracion!$A$4:$C$591,2,FALSE)</f>
        <v>CASTAÑO AUTOVOX SRL</v>
      </c>
      <c r="F76" s="211">
        <v>12276.11</v>
      </c>
      <c r="G76" s="50">
        <f>F76*21%</f>
        <v>2577.9830999999999</v>
      </c>
      <c r="H76" s="50"/>
      <c r="I76" s="50"/>
      <c r="J76" s="50"/>
      <c r="K76" s="227">
        <v>429.66</v>
      </c>
      <c r="L76" s="50"/>
      <c r="M76" s="233"/>
      <c r="N76" s="50">
        <v>669.51</v>
      </c>
      <c r="O76" s="209">
        <f>SUM(F76:N76)</f>
        <v>15953.2631</v>
      </c>
      <c r="P76" s="214" t="str">
        <f>VLOOKUP(D76,Configuracion!$A$4:$C$591,3,FALSE)</f>
        <v>VARIOS</v>
      </c>
    </row>
    <row r="77" spans="1:17">
      <c r="A77" s="204" t="s">
        <v>643</v>
      </c>
      <c r="B77" s="21">
        <v>2</v>
      </c>
      <c r="C77" s="206">
        <v>3145</v>
      </c>
      <c r="D77" s="208">
        <v>30661498575</v>
      </c>
      <c r="E77" s="207" t="str">
        <f>VLOOKUP(D77,Configuracion!$A$4:$C$591,2,FALSE)</f>
        <v>ORTOPEDIA GULLONE SRL</v>
      </c>
      <c r="F77" s="211">
        <v>34628.1</v>
      </c>
      <c r="G77" s="50">
        <f>F77*21%</f>
        <v>7271.9009999999998</v>
      </c>
      <c r="H77" s="50"/>
      <c r="I77" s="50"/>
      <c r="J77" s="50"/>
      <c r="K77" s="227"/>
      <c r="L77" s="50"/>
      <c r="M77" s="233"/>
      <c r="N77" s="50"/>
      <c r="O77" s="209">
        <f>SUM(F77:N77)</f>
        <v>41900.000999999997</v>
      </c>
      <c r="P77" s="214" t="str">
        <f>VLOOKUP(D77,Configuracion!$A$4:$C$591,3,FALSE)</f>
        <v>PROVEEDOR</v>
      </c>
    </row>
    <row r="78" spans="1:17">
      <c r="A78" s="204" t="s">
        <v>644</v>
      </c>
      <c r="B78" s="21">
        <v>4264</v>
      </c>
      <c r="C78" s="206">
        <v>2560668</v>
      </c>
      <c r="D78" s="208">
        <v>30639453738</v>
      </c>
      <c r="E78" s="207" t="str">
        <f>VLOOKUP(D78,Configuracion!$A$4:$C$591,2,FALSE)</f>
        <v>TELECOM ARGENTINA SA</v>
      </c>
      <c r="F78" s="211">
        <v>15429.75</v>
      </c>
      <c r="G78" s="50">
        <f>F78*21%</f>
        <v>3240.2474999999999</v>
      </c>
      <c r="H78" s="50"/>
      <c r="I78" s="50"/>
      <c r="J78" s="50">
        <v>462.89</v>
      </c>
      <c r="K78" s="227">
        <v>540.04</v>
      </c>
      <c r="L78" s="50"/>
      <c r="M78" s="233"/>
      <c r="N78" s="50"/>
      <c r="O78" s="209">
        <f>SUM(F78:N78)</f>
        <v>19672.927500000002</v>
      </c>
      <c r="P78" s="214" t="str">
        <f>VLOOKUP(D78,Configuracion!$A$4:$C$591,3,FALSE)</f>
        <v>SERVICIO</v>
      </c>
    </row>
    <row r="79" spans="1:17" ht="15" customHeight="1">
      <c r="A79" s="204" t="s">
        <v>646</v>
      </c>
      <c r="B79" s="21">
        <v>3</v>
      </c>
      <c r="C79" s="206">
        <v>94</v>
      </c>
      <c r="D79" s="208">
        <v>20334976433</v>
      </c>
      <c r="E79" s="207" t="str">
        <f>VLOOKUP(D79,Configuracion!$A$4:$C$591,2,FALSE)</f>
        <v>NARDOMARINO EZEQUIEL EDUARDO</v>
      </c>
      <c r="F79" s="211">
        <v>60000</v>
      </c>
      <c r="G79" s="50">
        <f>F79*21%</f>
        <v>12600</v>
      </c>
      <c r="H79" s="50"/>
      <c r="I79" s="50"/>
      <c r="J79" s="50"/>
      <c r="K79" s="227"/>
      <c r="L79" s="50"/>
      <c r="M79" s="233"/>
      <c r="N79" s="50"/>
      <c r="O79" s="209">
        <f>SUM(F79:N79)</f>
        <v>72600</v>
      </c>
      <c r="P79" s="214" t="str">
        <f>VLOOKUP(D79,Configuracion!$A$4:$C$591,3,FALSE)</f>
        <v>FLETE</v>
      </c>
    </row>
    <row r="80" spans="1:17" ht="15" customHeight="1">
      <c r="A80" s="204">
        <v>45160</v>
      </c>
      <c r="B80" s="21">
        <v>5</v>
      </c>
      <c r="C80" s="206">
        <v>2844000</v>
      </c>
      <c r="D80" s="208">
        <v>30702652975</v>
      </c>
      <c r="E80" s="207" t="str">
        <f>VLOOKUP(D80,Configuracion!$A$4:$C$591,2,FALSE)</f>
        <v>NSS SA - IPLAN</v>
      </c>
      <c r="F80" s="211">
        <v>8185.37</v>
      </c>
      <c r="G80" s="50">
        <f>F80*21%</f>
        <v>1718.9277</v>
      </c>
      <c r="H80" s="50"/>
      <c r="I80" s="50"/>
      <c r="J80" s="50"/>
      <c r="K80" s="227">
        <f>+F80*0.035</f>
        <v>286.48795000000001</v>
      </c>
      <c r="L80" s="50"/>
      <c r="M80" s="233"/>
      <c r="N80" s="50"/>
      <c r="O80" s="209">
        <f>SUM(F80:N80)</f>
        <v>10190.78565</v>
      </c>
      <c r="P80" s="214" t="str">
        <f>VLOOKUP(D80,Configuracion!$A$4:$C$591,3,FALSE)</f>
        <v>SERVICIO</v>
      </c>
      <c r="Q80" t="s">
        <v>1218</v>
      </c>
    </row>
    <row r="81" spans="1:17" ht="15" customHeight="1">
      <c r="A81" s="204">
        <v>45160</v>
      </c>
      <c r="B81" s="21">
        <v>22</v>
      </c>
      <c r="C81" s="206">
        <v>19</v>
      </c>
      <c r="D81" s="208">
        <v>30693066022</v>
      </c>
      <c r="E81" s="207" t="str">
        <f>VLOOKUP(D81,Configuracion!$A$4:$C$591,2,FALSE)</f>
        <v>Mg Farmaceutica Sociedad En CS</v>
      </c>
      <c r="F81" s="211">
        <v>1033.04</v>
      </c>
      <c r="G81" s="50">
        <f>F81*21%</f>
        <v>216.93839999999997</v>
      </c>
      <c r="H81" s="50"/>
      <c r="I81" s="50"/>
      <c r="J81" s="50"/>
      <c r="K81" s="227"/>
      <c r="L81" s="50"/>
      <c r="M81" s="233">
        <v>14817.18</v>
      </c>
      <c r="N81" s="50"/>
      <c r="O81" s="209">
        <f>SUM(F81:N81)</f>
        <v>16067.1584</v>
      </c>
      <c r="P81" s="214" t="str">
        <f>VLOOKUP(D81,Configuracion!$A$4:$C$591,3,FALSE)</f>
        <v>VARIOS</v>
      </c>
      <c r="Q81" t="s">
        <v>1218</v>
      </c>
    </row>
    <row r="82" spans="1:17" ht="15" customHeight="1">
      <c r="A82" s="204" t="s">
        <v>647</v>
      </c>
      <c r="B82" s="21">
        <v>15</v>
      </c>
      <c r="C82" s="206">
        <v>2374</v>
      </c>
      <c r="D82" s="208">
        <v>30688140923</v>
      </c>
      <c r="E82" s="207" t="str">
        <f>VLOOKUP(D82,Configuracion!$A$4:$C$591,2,FALSE)</f>
        <v>COLTEX SRL</v>
      </c>
      <c r="F82" s="211">
        <v>34363.17</v>
      </c>
      <c r="G82" s="50">
        <f>F82*21%</f>
        <v>7216.265699999999</v>
      </c>
      <c r="H82" s="50"/>
      <c r="I82" s="50"/>
      <c r="J82" s="50"/>
      <c r="K82" s="227"/>
      <c r="L82" s="50"/>
      <c r="M82" s="233"/>
      <c r="N82" s="50"/>
      <c r="O82" s="209">
        <f>SUM(F82:N82)</f>
        <v>41579.435699999995</v>
      </c>
      <c r="P82" s="214" t="str">
        <f>VLOOKUP(D82,Configuracion!$A$4:$C$591,3,FALSE)</f>
        <v>PROVEEDOR</v>
      </c>
    </row>
    <row r="83" spans="1:17" ht="15" customHeight="1">
      <c r="A83" s="204" t="s">
        <v>647</v>
      </c>
      <c r="B83" s="21">
        <v>2</v>
      </c>
      <c r="C83" s="206">
        <v>9039</v>
      </c>
      <c r="D83" s="208">
        <v>30714331082</v>
      </c>
      <c r="E83" s="207" t="str">
        <f>VLOOKUP(D83,Configuracion!$A$4:$C$591,2,FALSE)</f>
        <v>ORTOPEDIA CASA ESCALADA SRL</v>
      </c>
      <c r="F83" s="211">
        <v>119042.49</v>
      </c>
      <c r="G83" s="50">
        <f>F83*21%</f>
        <v>24998.922900000001</v>
      </c>
      <c r="H83" s="50"/>
      <c r="I83" s="50"/>
      <c r="J83" s="50"/>
      <c r="K83" s="227"/>
      <c r="L83" s="50"/>
      <c r="M83" s="233"/>
      <c r="N83" s="50"/>
      <c r="O83" s="209">
        <f>SUM(F83:N83)</f>
        <v>144041.4129</v>
      </c>
      <c r="P83" s="214" t="str">
        <f>VLOOKUP(D83,Configuracion!$A$4:$C$591,3,FALSE)</f>
        <v>PROVEEDOR</v>
      </c>
    </row>
    <row r="84" spans="1:17" ht="15" customHeight="1">
      <c r="A84" s="204" t="s">
        <v>647</v>
      </c>
      <c r="B84" s="21">
        <v>7</v>
      </c>
      <c r="C84" s="206">
        <v>16358</v>
      </c>
      <c r="D84" s="208">
        <v>30709214078</v>
      </c>
      <c r="E84" s="207" t="str">
        <f>VLOOKUP(D84,Configuracion!$A$4:$C$591,2,FALSE)</f>
        <v>REHAVITA SA</v>
      </c>
      <c r="F84" s="211">
        <v>45510</v>
      </c>
      <c r="G84" s="50"/>
      <c r="H84" s="50"/>
      <c r="I84" s="50">
        <v>4778.55</v>
      </c>
      <c r="J84" s="50"/>
      <c r="K84" s="227"/>
      <c r="L84" s="50"/>
      <c r="M84" s="233"/>
      <c r="N84" s="50"/>
      <c r="O84" s="209">
        <f>SUM(F84:N84)</f>
        <v>50288.55</v>
      </c>
      <c r="P84" s="214" t="str">
        <f>VLOOKUP(D84,Configuracion!$A$4:$C$591,3,FALSE)</f>
        <v>PROVEEDOR</v>
      </c>
    </row>
    <row r="85" spans="1:17" ht="15" customHeight="1">
      <c r="A85" s="204" t="s">
        <v>647</v>
      </c>
      <c r="B85" s="21">
        <v>17</v>
      </c>
      <c r="C85" s="206">
        <v>1247</v>
      </c>
      <c r="D85" s="208">
        <v>30711764921</v>
      </c>
      <c r="E85" s="207" t="str">
        <f>VLOOKUP(D85,Configuracion!$A$4:$C$591,2,FALSE)</f>
        <v>RELIEF CENTER SRL</v>
      </c>
      <c r="F85" s="211">
        <v>71472</v>
      </c>
      <c r="G85" s="50">
        <f>F85*21%</f>
        <v>15009.119999999999</v>
      </c>
      <c r="H85" s="50"/>
      <c r="I85" s="50"/>
      <c r="J85" s="50"/>
      <c r="K85" s="227"/>
      <c r="L85" s="50"/>
      <c r="M85" s="233"/>
      <c r="N85" s="50"/>
      <c r="O85" s="209">
        <f>SUM(F85:N85)</f>
        <v>86481.12</v>
      </c>
      <c r="P85" s="214" t="str">
        <f>VLOOKUP(D85,Configuracion!$A$4:$C$591,3,FALSE)</f>
        <v>PROVEEDOR</v>
      </c>
    </row>
    <row r="86" spans="1:17" ht="15" customHeight="1">
      <c r="A86" s="204" t="s">
        <v>648</v>
      </c>
      <c r="B86" s="21">
        <v>3</v>
      </c>
      <c r="C86" s="206">
        <v>7</v>
      </c>
      <c r="D86" s="208">
        <v>20396584809</v>
      </c>
      <c r="E86" s="207" t="str">
        <f>VLOOKUP(D86,Configuracion!$A$4:$C$591,2,FALSE)</f>
        <v>DEBELIUCH TOMAS IVAN</v>
      </c>
      <c r="F86" s="211">
        <v>54225</v>
      </c>
      <c r="G86" s="50"/>
      <c r="H86" s="50"/>
      <c r="I86" s="50">
        <v>5693.62</v>
      </c>
      <c r="J86" s="50"/>
      <c r="K86" s="227"/>
      <c r="L86" s="50"/>
      <c r="M86" s="233"/>
      <c r="N86" s="50"/>
      <c r="O86" s="209">
        <f>SUM(F86:N86)</f>
        <v>59918.62</v>
      </c>
      <c r="P86" s="214" t="str">
        <f>VLOOKUP(D86,Configuracion!$A$4:$C$591,3,FALSE)</f>
        <v>PROVEEDOR</v>
      </c>
      <c r="Q86" t="s">
        <v>1218</v>
      </c>
    </row>
    <row r="87" spans="1:17" ht="15" customHeight="1">
      <c r="A87" s="204" t="s">
        <v>648</v>
      </c>
      <c r="B87" s="21">
        <v>2</v>
      </c>
      <c r="C87" s="206">
        <v>46</v>
      </c>
      <c r="D87" s="208">
        <v>20272865869</v>
      </c>
      <c r="E87" s="207" t="str">
        <f>VLOOKUP(D87,Configuracion!$A$4:$C$591,2,FALSE)</f>
        <v>DI FEO MARTIN EZEQUIEL</v>
      </c>
      <c r="F87" s="211">
        <v>60158.19</v>
      </c>
      <c r="G87" s="50">
        <f>F87*21%</f>
        <v>12633.2199</v>
      </c>
      <c r="H87" s="50"/>
      <c r="I87" s="50"/>
      <c r="J87" s="50"/>
      <c r="K87" s="227"/>
      <c r="L87" s="50"/>
      <c r="M87" s="233"/>
      <c r="N87" s="50"/>
      <c r="O87" s="209">
        <f>SUM(F87:N87)</f>
        <v>72791.409899999999</v>
      </c>
      <c r="P87" s="214" t="str">
        <f>VLOOKUP(D87,Configuracion!$A$4:$C$591,3,FALSE)</f>
        <v>PROVEEDOR</v>
      </c>
    </row>
    <row r="88" spans="1:17" ht="15" customHeight="1">
      <c r="A88" s="204" t="s">
        <v>648</v>
      </c>
      <c r="B88" s="21">
        <v>7</v>
      </c>
      <c r="C88" s="206">
        <v>27833</v>
      </c>
      <c r="D88" s="208">
        <v>20271532483</v>
      </c>
      <c r="E88" s="207" t="str">
        <f>VLOOKUP(D88,Configuracion!$A$4:$C$591,2,FALSE)</f>
        <v>DIEGO MARTIN RIOS</v>
      </c>
      <c r="F88" s="211">
        <v>96000</v>
      </c>
      <c r="G88" s="50">
        <f>F88*21%</f>
        <v>20160</v>
      </c>
      <c r="H88" s="50"/>
      <c r="I88" s="50"/>
      <c r="J88" s="50"/>
      <c r="K88" s="227">
        <v>3360</v>
      </c>
      <c r="L88" s="50"/>
      <c r="M88" s="233"/>
      <c r="N88" s="50"/>
      <c r="O88" s="209">
        <f>SUM(F88:N88)</f>
        <v>119520</v>
      </c>
      <c r="P88" s="214" t="str">
        <f>VLOOKUP(D88,Configuracion!$A$4:$C$591,3,FALSE)</f>
        <v>PROVEEDOR</v>
      </c>
    </row>
    <row r="89" spans="1:17" ht="15" customHeight="1">
      <c r="A89" s="204" t="s">
        <v>649</v>
      </c>
      <c r="B89" s="21">
        <v>3</v>
      </c>
      <c r="C89" s="206">
        <v>144</v>
      </c>
      <c r="D89" s="208">
        <v>23928499804</v>
      </c>
      <c r="E89" s="207" t="str">
        <f>VLOOKUP(D89,Configuracion!$A$4:$C$591,2,FALSE)</f>
        <v>BRITOS MARIA GABRIELA</v>
      </c>
      <c r="F89" s="211">
        <v>2479.34</v>
      </c>
      <c r="G89" s="50">
        <f>F89*21%</f>
        <v>520.66139999999996</v>
      </c>
      <c r="H89" s="50"/>
      <c r="I89" s="50"/>
      <c r="J89" s="50"/>
      <c r="K89" s="227"/>
      <c r="L89" s="50"/>
      <c r="M89" s="233"/>
      <c r="N89" s="50"/>
      <c r="O89" s="209">
        <f>SUM(F89:N89)</f>
        <v>3000.0014000000001</v>
      </c>
      <c r="P89" s="214" t="str">
        <f>VLOOKUP(D89,Configuracion!$A$4:$C$591,3,FALSE)</f>
        <v>VARIOS</v>
      </c>
    </row>
    <row r="90" spans="1:17" ht="15" customHeight="1">
      <c r="A90" s="204" t="s">
        <v>649</v>
      </c>
      <c r="B90" s="21">
        <v>3</v>
      </c>
      <c r="C90" s="206">
        <v>145</v>
      </c>
      <c r="D90" s="208">
        <v>23928499804</v>
      </c>
      <c r="E90" s="207" t="str">
        <f>VLOOKUP(D90,Configuracion!$A$4:$C$591,2,FALSE)</f>
        <v>BRITOS MARIA GABRIELA</v>
      </c>
      <c r="F90" s="211">
        <v>12148.76</v>
      </c>
      <c r="G90" s="50">
        <f>F90*21%</f>
        <v>2551.2395999999999</v>
      </c>
      <c r="H90" s="50"/>
      <c r="I90" s="50"/>
      <c r="J90" s="50"/>
      <c r="K90" s="227"/>
      <c r="L90" s="50"/>
      <c r="M90" s="233"/>
      <c r="N90" s="50"/>
      <c r="O90" s="209">
        <f>SUM(F90:N90)</f>
        <v>14699.999599999999</v>
      </c>
      <c r="P90" s="214" t="str">
        <f>VLOOKUP(D90,Configuracion!$A$4:$C$591,3,FALSE)</f>
        <v>VARIOS</v>
      </c>
    </row>
    <row r="91" spans="1:17" ht="15" customHeight="1">
      <c r="A91" s="204" t="s">
        <v>649</v>
      </c>
      <c r="B91" s="21">
        <v>5</v>
      </c>
      <c r="C91" s="206">
        <v>19</v>
      </c>
      <c r="D91" s="208">
        <v>20929183143</v>
      </c>
      <c r="E91" s="207" t="str">
        <f>VLOOKUP(D91,Configuracion!$A$4:$C$591,2,FALSE)</f>
        <v>MA JUN</v>
      </c>
      <c r="F91" s="211">
        <v>12000</v>
      </c>
      <c r="G91" s="50">
        <f>F91*21%</f>
        <v>2520</v>
      </c>
      <c r="H91" s="50"/>
      <c r="I91" s="50"/>
      <c r="J91" s="50"/>
      <c r="K91" s="227"/>
      <c r="L91" s="50"/>
      <c r="M91" s="233"/>
      <c r="N91" s="50"/>
      <c r="O91" s="209">
        <f>SUM(F91:N91)</f>
        <v>14520</v>
      </c>
      <c r="P91" s="214" t="str">
        <f>VLOOKUP(D91,Configuracion!$A$4:$C$591,3,FALSE)</f>
        <v>VARIOS</v>
      </c>
    </row>
    <row r="92" spans="1:17" ht="15" customHeight="1">
      <c r="A92" s="204" t="s">
        <v>650</v>
      </c>
      <c r="B92" s="21">
        <v>31</v>
      </c>
      <c r="C92" s="206">
        <v>45772</v>
      </c>
      <c r="D92" s="208">
        <v>30581106234</v>
      </c>
      <c r="E92" s="207" t="str">
        <f>VLOOKUP(D92,Configuracion!$A$4:$C$591,2,FALSE)</f>
        <v xml:space="preserve"> Transportes Imaz S R L</v>
      </c>
      <c r="F92" s="211">
        <v>6450</v>
      </c>
      <c r="G92" s="50">
        <f>F92*21%</f>
        <v>1354.5</v>
      </c>
      <c r="H92" s="50"/>
      <c r="I92" s="50"/>
      <c r="J92" s="50"/>
      <c r="K92" s="227"/>
      <c r="L92" s="50"/>
      <c r="M92" s="233"/>
      <c r="N92" s="50"/>
      <c r="O92" s="209">
        <f>SUM(F92:N92)</f>
        <v>7804.5</v>
      </c>
      <c r="P92" s="214" t="str">
        <f>VLOOKUP(D92,Configuracion!$A$4:$C$591,3,FALSE)</f>
        <v>FLETE</v>
      </c>
      <c r="Q92" t="s">
        <v>1218</v>
      </c>
    </row>
    <row r="93" spans="1:17" ht="15" customHeight="1">
      <c r="A93" s="204" t="s">
        <v>650</v>
      </c>
      <c r="B93" s="21">
        <v>4</v>
      </c>
      <c r="C93" s="206">
        <v>11176</v>
      </c>
      <c r="D93" s="208">
        <v>33531122599</v>
      </c>
      <c r="E93" s="207" t="str">
        <f>VLOOKUP(D93,Configuracion!$A$4:$C$591,2,FALSE)</f>
        <v>LA CAMIONERA MENDOCINA SRL</v>
      </c>
      <c r="F93" s="211">
        <v>8633.5499999999993</v>
      </c>
      <c r="G93" s="50">
        <f>F93*21%</f>
        <v>1813.0454999999997</v>
      </c>
      <c r="H93" s="50"/>
      <c r="I93" s="50"/>
      <c r="J93" s="50"/>
      <c r="K93" s="227"/>
      <c r="L93" s="50"/>
      <c r="M93" s="233"/>
      <c r="N93" s="50"/>
      <c r="O93" s="209">
        <f>SUM(F93:N93)</f>
        <v>10446.595499999999</v>
      </c>
      <c r="P93" s="214" t="str">
        <f>VLOOKUP(D93,Configuracion!$A$4:$C$591,3,FALSE)</f>
        <v>FLETE</v>
      </c>
      <c r="Q93" t="s">
        <v>1218</v>
      </c>
    </row>
    <row r="94" spans="1:17" ht="15" customHeight="1">
      <c r="A94" s="204" t="s">
        <v>650</v>
      </c>
      <c r="B94" s="21">
        <v>3</v>
      </c>
      <c r="C94" s="206">
        <v>96</v>
      </c>
      <c r="D94" s="208">
        <v>20334976433</v>
      </c>
      <c r="E94" s="207" t="str">
        <f>VLOOKUP(D94,Configuracion!$A$4:$C$591,2,FALSE)</f>
        <v>NARDOMARINO EZEQUIEL EDUARDO</v>
      </c>
      <c r="F94" s="211">
        <v>101543.8</v>
      </c>
      <c r="G94" s="50">
        <f>F94*21%</f>
        <v>21324.198</v>
      </c>
      <c r="H94" s="50"/>
      <c r="I94" s="50"/>
      <c r="J94" s="50"/>
      <c r="K94" s="227"/>
      <c r="L94" s="50"/>
      <c r="M94" s="233"/>
      <c r="N94" s="50"/>
      <c r="O94" s="209">
        <f>SUM(F94:N94)</f>
        <v>122867.99800000001</v>
      </c>
      <c r="P94" s="214" t="str">
        <f>VLOOKUP(D94,Configuracion!$A$4:$C$591,3,FALSE)</f>
        <v>FLETE</v>
      </c>
      <c r="Q94" t="s">
        <v>1218</v>
      </c>
    </row>
    <row r="95" spans="1:17" ht="15" customHeight="1">
      <c r="A95" s="204" t="s">
        <v>650</v>
      </c>
      <c r="B95" s="21">
        <v>6</v>
      </c>
      <c r="C95" s="206">
        <v>1074</v>
      </c>
      <c r="D95" s="208">
        <v>30716815710</v>
      </c>
      <c r="E95" s="207" t="str">
        <f>VLOOKUP(D95,Configuracion!$A$4:$C$591,2,FALSE)</f>
        <v>PAPELERA GEOPEL SRL</v>
      </c>
      <c r="F95" s="211">
        <v>4500</v>
      </c>
      <c r="G95" s="50">
        <f>F95*21%</f>
        <v>945</v>
      </c>
      <c r="H95" s="50"/>
      <c r="I95" s="50"/>
      <c r="J95" s="50"/>
      <c r="K95" s="227"/>
      <c r="L95" s="50"/>
      <c r="M95" s="233"/>
      <c r="N95" s="50"/>
      <c r="O95" s="209">
        <f>SUM(F95:N95)</f>
        <v>5445</v>
      </c>
      <c r="P95" s="214" t="str">
        <f>VLOOKUP(D95,Configuracion!$A$4:$C$591,3,FALSE)</f>
        <v>LIBRERÍA</v>
      </c>
      <c r="Q95" t="s">
        <v>1218</v>
      </c>
    </row>
    <row r="96" spans="1:17" ht="15" customHeight="1">
      <c r="A96" s="204" t="s">
        <v>650</v>
      </c>
      <c r="B96" s="21">
        <v>6</v>
      </c>
      <c r="C96" s="206">
        <v>712</v>
      </c>
      <c r="D96" s="208">
        <v>20247225243</v>
      </c>
      <c r="E96" s="207" t="str">
        <f>VLOOKUP(D96,Configuracion!$A$4:$C$591,2,FALSE)</f>
        <v>VENTO HUGO GABRIEL</v>
      </c>
      <c r="F96" s="211">
        <v>45184</v>
      </c>
      <c r="G96" s="50">
        <f>F96*21%</f>
        <v>9488.64</v>
      </c>
      <c r="H96" s="50"/>
      <c r="I96" s="50"/>
      <c r="J96" s="50"/>
      <c r="K96" s="227"/>
      <c r="L96" s="50"/>
      <c r="M96" s="233"/>
      <c r="N96" s="50"/>
      <c r="O96" s="209">
        <f>SUM(F96:N96)</f>
        <v>54672.639999999999</v>
      </c>
      <c r="P96" s="214" t="str">
        <f>VLOOKUP(D96,Configuracion!$A$4:$C$591,3,FALSE)</f>
        <v>PROVEEDOR</v>
      </c>
      <c r="Q96" t="s">
        <v>1218</v>
      </c>
    </row>
    <row r="97" spans="1:17" ht="15" customHeight="1">
      <c r="A97" s="204" t="s">
        <v>651</v>
      </c>
      <c r="B97" s="21">
        <v>34</v>
      </c>
      <c r="C97" s="206">
        <v>540</v>
      </c>
      <c r="D97" s="208">
        <v>33712276539</v>
      </c>
      <c r="E97" s="207" t="str">
        <f>VLOOKUP(D97,Configuracion!$A$4:$C$591,2,FALSE)</f>
        <v>CASTAÑO AUTOVOX SRL</v>
      </c>
      <c r="F97" s="211">
        <v>12872.83</v>
      </c>
      <c r="G97" s="50">
        <f>F97*21%</f>
        <v>2703.2943</v>
      </c>
      <c r="H97" s="50"/>
      <c r="I97" s="50"/>
      <c r="J97" s="50"/>
      <c r="K97" s="227">
        <f>+F97*0.035</f>
        <v>450.54905000000002</v>
      </c>
      <c r="L97" s="50"/>
      <c r="M97" s="233"/>
      <c r="N97" s="50">
        <v>702.05</v>
      </c>
      <c r="O97" s="209">
        <f>SUM(F97:N97)</f>
        <v>16728.72335</v>
      </c>
      <c r="P97" s="214" t="str">
        <f>VLOOKUP(D97,Configuracion!$A$4:$C$591,3,FALSE)</f>
        <v>VARIOS</v>
      </c>
    </row>
    <row r="98" spans="1:17" ht="15" customHeight="1">
      <c r="A98" s="204" t="s">
        <v>651</v>
      </c>
      <c r="B98" s="21">
        <v>2635</v>
      </c>
      <c r="C98" s="206">
        <v>1100</v>
      </c>
      <c r="D98" s="208">
        <v>33699685459</v>
      </c>
      <c r="E98" s="207" t="str">
        <f>VLOOKUP(D98,Configuracion!$A$4:$C$591,2,FALSE)</f>
        <v>CORREO ANDREANI SA</v>
      </c>
      <c r="F98" s="211">
        <v>4131.41</v>
      </c>
      <c r="G98" s="50">
        <f>F98*21%</f>
        <v>867.59609999999998</v>
      </c>
      <c r="H98" s="50"/>
      <c r="I98" s="50"/>
      <c r="J98" s="50"/>
      <c r="K98" s="227"/>
      <c r="L98" s="50"/>
      <c r="M98" s="233"/>
      <c r="N98" s="50"/>
      <c r="O98" s="209">
        <f>SUM(F98:N98)</f>
        <v>4999.0060999999996</v>
      </c>
      <c r="P98" s="214" t="str">
        <f>VLOOKUP(D98,Configuracion!$A$4:$C$591,3,FALSE)</f>
        <v>VARIOS</v>
      </c>
    </row>
    <row r="99" spans="1:17" ht="15" customHeight="1">
      <c r="A99" s="204" t="s">
        <v>652</v>
      </c>
      <c r="B99" s="21">
        <v>2</v>
      </c>
      <c r="C99" s="206">
        <v>45</v>
      </c>
      <c r="D99" s="208">
        <v>33716367539</v>
      </c>
      <c r="E99" s="207" t="str">
        <f>VLOOKUP(D99,Configuracion!$A$4:$C$591,2,FALSE)</f>
        <v>3PI S.A.S.</v>
      </c>
      <c r="F99" s="211">
        <v>1633500</v>
      </c>
      <c r="G99" s="50">
        <f>F99*21%</f>
        <v>343035</v>
      </c>
      <c r="H99" s="50"/>
      <c r="I99" s="50"/>
      <c r="J99" s="50"/>
      <c r="K99" s="227"/>
      <c r="L99" s="50"/>
      <c r="M99" s="233"/>
      <c r="N99" s="50"/>
      <c r="O99" s="209">
        <f>SUM(F99:N99)</f>
        <v>1976535</v>
      </c>
      <c r="P99" s="214" t="str">
        <f>VLOOKUP(D99,Configuracion!$A$4:$C$591,3,FALSE)</f>
        <v>PROVEEDOR</v>
      </c>
    </row>
    <row r="100" spans="1:17" ht="15" customHeight="1">
      <c r="A100" s="204">
        <v>45168</v>
      </c>
      <c r="B100" s="21">
        <v>10</v>
      </c>
      <c r="C100" s="206">
        <v>1993</v>
      </c>
      <c r="D100" s="208">
        <v>20259150249</v>
      </c>
      <c r="E100" s="207" t="str">
        <f>VLOOKUP(D100,Configuracion!$A$4:$C$591,2,FALSE)</f>
        <v>BIANCHI CRISTIAN MAXIMILIANO</v>
      </c>
      <c r="F100" s="211">
        <v>25611.57</v>
      </c>
      <c r="G100" s="50">
        <f>F100*21%</f>
        <v>5378.4296999999997</v>
      </c>
      <c r="H100" s="50"/>
      <c r="I100" s="50"/>
      <c r="J100" s="50"/>
      <c r="K100" s="227"/>
      <c r="L100" s="50"/>
      <c r="M100" s="233"/>
      <c r="N100" s="50"/>
      <c r="O100" s="209">
        <f>SUM(F100:N100)</f>
        <v>30989.9997</v>
      </c>
      <c r="P100" s="214" t="str">
        <f>VLOOKUP(D100,Configuracion!$A$4:$C$591,3,FALSE)</f>
        <v>VARIOS</v>
      </c>
    </row>
    <row r="101" spans="1:17" ht="15" customHeight="1">
      <c r="A101" s="204" t="s">
        <v>653</v>
      </c>
      <c r="B101" s="21">
        <v>20</v>
      </c>
      <c r="C101" s="206">
        <v>159337</v>
      </c>
      <c r="D101" s="208">
        <v>30696850972</v>
      </c>
      <c r="E101" s="207" t="str">
        <f>VLOOKUP(D101,Configuracion!$A$4:$C$591,2,FALSE)</f>
        <v>CPS COMUNICACIONES SA</v>
      </c>
      <c r="F101" s="211">
        <v>5136.2</v>
      </c>
      <c r="G101" s="50"/>
      <c r="H101" s="50">
        <f>+F101*0.27</f>
        <v>1386.7740000000001</v>
      </c>
      <c r="I101" s="50"/>
      <c r="J101" s="50"/>
      <c r="K101" s="227">
        <f>+F101*0.035</f>
        <v>179.76700000000002</v>
      </c>
      <c r="L101" s="50"/>
      <c r="M101" s="233"/>
      <c r="N101" s="50"/>
      <c r="O101" s="209">
        <f>SUM(F101:N101)</f>
        <v>6702.741</v>
      </c>
      <c r="P101" s="214" t="str">
        <f>VLOOKUP(D101,Configuracion!$A$4:$C$591,3,FALSE)</f>
        <v>SERVICIO</v>
      </c>
    </row>
    <row r="102" spans="1:17" ht="15" customHeight="1">
      <c r="A102" s="204" t="s">
        <v>653</v>
      </c>
      <c r="B102" s="21">
        <v>5</v>
      </c>
      <c r="C102" s="206">
        <v>851</v>
      </c>
      <c r="D102" s="208">
        <v>20242126158</v>
      </c>
      <c r="E102" s="207" t="str">
        <f>VLOOKUP(D102,Configuracion!$A$4:$C$591,2,FALSE)</f>
        <v>IALLONARDO SERGIO</v>
      </c>
      <c r="F102" s="211">
        <v>620542.5</v>
      </c>
      <c r="G102" s="50"/>
      <c r="H102" s="50"/>
      <c r="I102" s="50">
        <v>65156.959999999999</v>
      </c>
      <c r="J102" s="50"/>
      <c r="K102" s="227"/>
      <c r="L102" s="50"/>
      <c r="M102" s="233"/>
      <c r="N102" s="50"/>
      <c r="O102" s="209">
        <f>SUM(F102:N102)</f>
        <v>685699.46</v>
      </c>
      <c r="P102" s="214" t="str">
        <f>VLOOKUP(D102,Configuracion!$A$4:$C$591,3,FALSE)</f>
        <v>PROVEEDOR</v>
      </c>
    </row>
    <row r="103" spans="1:17" ht="15" customHeight="1">
      <c r="A103" s="204" t="s">
        <v>653</v>
      </c>
      <c r="B103" s="21">
        <v>4</v>
      </c>
      <c r="C103" s="206">
        <v>66080</v>
      </c>
      <c r="D103" s="208">
        <v>33709738459</v>
      </c>
      <c r="E103" s="207" t="str">
        <f>VLOOKUP(D103,Configuracion!$A$4:$C$591,2,FALSE)</f>
        <v>ORTOPEDICOS ALFOLATEX SA</v>
      </c>
      <c r="F103" s="211">
        <v>138702.46</v>
      </c>
      <c r="G103" s="50">
        <f>F103*21%</f>
        <v>29127.516599999999</v>
      </c>
      <c r="H103" s="50"/>
      <c r="I103" s="50"/>
      <c r="J103" s="50"/>
      <c r="K103" s="227"/>
      <c r="L103" s="50"/>
      <c r="M103" s="233"/>
      <c r="N103" s="50"/>
      <c r="O103" s="209">
        <f>SUM(F103:N103)</f>
        <v>167829.97659999999</v>
      </c>
      <c r="P103" s="214" t="str">
        <f>VLOOKUP(D103,Configuracion!$A$4:$C$591,3,FALSE)</f>
        <v>PROVEEDOR</v>
      </c>
    </row>
    <row r="104" spans="1:17" ht="15" customHeight="1">
      <c r="A104" s="204" t="s">
        <v>653</v>
      </c>
      <c r="B104" s="21">
        <v>17</v>
      </c>
      <c r="C104" s="206">
        <v>1268</v>
      </c>
      <c r="D104" s="208">
        <v>30711764921</v>
      </c>
      <c r="E104" s="207" t="str">
        <f>VLOOKUP(D104,Configuracion!$A$4:$C$591,2,FALSE)</f>
        <v>RELIEF CENTER SRL</v>
      </c>
      <c r="F104" s="211">
        <v>58484</v>
      </c>
      <c r="G104" s="50">
        <f>F104*21%</f>
        <v>12281.64</v>
      </c>
      <c r="H104" s="50"/>
      <c r="I104" s="50"/>
      <c r="J104" s="50"/>
      <c r="K104" s="227"/>
      <c r="L104" s="50"/>
      <c r="M104" s="233"/>
      <c r="N104" s="50"/>
      <c r="O104" s="209">
        <f>SUM(F104:N104)</f>
        <v>70765.64</v>
      </c>
      <c r="P104" s="214" t="str">
        <f>VLOOKUP(D104,Configuracion!$A$4:$C$591,3,FALSE)</f>
        <v>PROVEEDOR</v>
      </c>
      <c r="Q104" t="s">
        <v>1218</v>
      </c>
    </row>
    <row r="105" spans="1:17" ht="15" customHeight="1">
      <c r="A105" s="204"/>
      <c r="B105" s="21"/>
      <c r="C105" s="206"/>
      <c r="D105" s="208"/>
      <c r="E105" s="207" t="e">
        <f>VLOOKUP(D105,Configuracion!$A$4:$C$591,2,FALSE)</f>
        <v>#N/A</v>
      </c>
      <c r="F105" s="211"/>
      <c r="G105" s="50">
        <f>F105*21%</f>
        <v>0</v>
      </c>
      <c r="H105" s="50"/>
      <c r="I105" s="50"/>
      <c r="J105" s="50"/>
      <c r="K105" s="227"/>
      <c r="L105" s="50"/>
      <c r="M105" s="233"/>
      <c r="N105" s="50"/>
      <c r="O105" s="209">
        <f>SUM(F105:N105)</f>
        <v>0</v>
      </c>
      <c r="P105" s="214" t="e">
        <f>VLOOKUP(D105,Configuracion!$A$4:$C$591,3,FALSE)</f>
        <v>#N/A</v>
      </c>
    </row>
    <row r="106" spans="1:17" ht="15" customHeight="1">
      <c r="A106" s="204"/>
      <c r="B106" s="21"/>
      <c r="C106" s="206"/>
      <c r="D106" s="208"/>
      <c r="E106" s="207" t="e">
        <f>VLOOKUP(D106,Configuracion!$A$4:$C$591,2,FALSE)</f>
        <v>#N/A</v>
      </c>
      <c r="F106" s="211"/>
      <c r="G106" s="50">
        <f>F106*21%</f>
        <v>0</v>
      </c>
      <c r="H106" s="50"/>
      <c r="I106" s="50"/>
      <c r="J106" s="50"/>
      <c r="K106" s="227"/>
      <c r="L106" s="50"/>
      <c r="M106" s="233"/>
      <c r="N106" s="50"/>
      <c r="O106" s="209">
        <f>SUM(F106:N106)</f>
        <v>0</v>
      </c>
      <c r="P106" s="214" t="e">
        <f>VLOOKUP(D106,Configuracion!$A$4:$C$591,3,FALSE)</f>
        <v>#N/A</v>
      </c>
    </row>
    <row r="107" spans="1:17" ht="15" customHeight="1">
      <c r="A107" s="204"/>
      <c r="B107" s="21"/>
      <c r="C107" s="206"/>
      <c r="D107" s="208"/>
      <c r="E107" s="207" t="e">
        <f>VLOOKUP(D107,Configuracion!$A$4:$C$591,2,FALSE)</f>
        <v>#N/A</v>
      </c>
      <c r="F107" s="211"/>
      <c r="G107" s="50">
        <f>F107*21%</f>
        <v>0</v>
      </c>
      <c r="H107" s="50"/>
      <c r="I107" s="50"/>
      <c r="J107" s="50"/>
      <c r="K107" s="227"/>
      <c r="L107" s="50"/>
      <c r="M107" s="233"/>
      <c r="N107" s="50"/>
      <c r="O107" s="209">
        <f>SUM(F107:N107)</f>
        <v>0</v>
      </c>
      <c r="P107" s="214" t="e">
        <f>VLOOKUP(D107,Configuracion!$A$4:$C$591,3,FALSE)</f>
        <v>#N/A</v>
      </c>
    </row>
    <row r="108" spans="1:17" ht="15" customHeight="1">
      <c r="A108" s="204"/>
      <c r="B108" s="21"/>
      <c r="C108" s="206"/>
      <c r="D108" s="208"/>
      <c r="E108" s="207" t="e">
        <f>VLOOKUP(D108,Configuracion!$A$4:$C$591,2,FALSE)</f>
        <v>#N/A</v>
      </c>
      <c r="F108" s="211"/>
      <c r="G108" s="50">
        <f>F108*21%</f>
        <v>0</v>
      </c>
      <c r="H108" s="50"/>
      <c r="I108" s="50"/>
      <c r="J108" s="50"/>
      <c r="K108" s="227"/>
      <c r="L108" s="50"/>
      <c r="M108" s="233"/>
      <c r="N108" s="50"/>
      <c r="O108" s="209">
        <f>SUM(F108:N108)</f>
        <v>0</v>
      </c>
      <c r="P108" s="214" t="e">
        <f>VLOOKUP(D108,Configuracion!$A$4:$C$591,3,FALSE)</f>
        <v>#N/A</v>
      </c>
    </row>
    <row r="109" spans="1:17" ht="15" customHeight="1">
      <c r="A109" s="204"/>
      <c r="B109" s="21"/>
      <c r="C109" s="206"/>
      <c r="D109" s="208"/>
      <c r="E109" s="207" t="e">
        <f>VLOOKUP(D109,Configuracion!$A$4:$C$591,2,FALSE)</f>
        <v>#N/A</v>
      </c>
      <c r="F109" s="211"/>
      <c r="G109" s="50">
        <f>F109*21%</f>
        <v>0</v>
      </c>
      <c r="H109" s="50"/>
      <c r="I109" s="50"/>
      <c r="J109" s="50"/>
      <c r="K109" s="227"/>
      <c r="L109" s="50"/>
      <c r="M109" s="233"/>
      <c r="N109" s="50"/>
      <c r="O109" s="209">
        <f>SUM(F109:N109)</f>
        <v>0</v>
      </c>
      <c r="P109" s="214" t="e">
        <f>VLOOKUP(D109,Configuracion!$A$4:$C$591,3,FALSE)</f>
        <v>#N/A</v>
      </c>
    </row>
    <row r="110" spans="1:17" ht="15" customHeight="1">
      <c r="A110" s="204"/>
      <c r="B110" s="21"/>
      <c r="C110" s="206"/>
      <c r="D110" s="208"/>
      <c r="E110" s="207" t="e">
        <f>VLOOKUP(D110,Configuracion!$A$4:$C$591,2,FALSE)</f>
        <v>#N/A</v>
      </c>
      <c r="F110" s="211"/>
      <c r="G110" s="50">
        <f>F110*21%</f>
        <v>0</v>
      </c>
      <c r="H110" s="50"/>
      <c r="I110" s="50"/>
      <c r="J110" s="50"/>
      <c r="K110" s="227"/>
      <c r="L110" s="50"/>
      <c r="M110" s="233"/>
      <c r="N110" s="50"/>
      <c r="O110" s="209">
        <f>SUM(F110:N110)</f>
        <v>0</v>
      </c>
      <c r="P110" s="214" t="e">
        <f>VLOOKUP(D110,Configuracion!$A$4:$C$591,3,FALSE)</f>
        <v>#N/A</v>
      </c>
    </row>
    <row r="111" spans="1:17" ht="15" customHeight="1">
      <c r="A111" s="204"/>
      <c r="B111" s="21"/>
      <c r="C111" s="206"/>
      <c r="D111" s="208"/>
      <c r="E111" s="207" t="e">
        <f>VLOOKUP(D111,Configuracion!$A$4:$C$591,2,FALSE)</f>
        <v>#N/A</v>
      </c>
      <c r="F111" s="211"/>
      <c r="G111" s="50">
        <f>F111*21%</f>
        <v>0</v>
      </c>
      <c r="H111" s="50"/>
      <c r="I111" s="50"/>
      <c r="J111" s="50"/>
      <c r="K111" s="227"/>
      <c r="L111" s="50"/>
      <c r="M111" s="233"/>
      <c r="N111" s="50"/>
      <c r="O111" s="209">
        <f>SUM(F111:N111)</f>
        <v>0</v>
      </c>
      <c r="P111" s="214" t="e">
        <f>VLOOKUP(D111,Configuracion!$A$4:$C$591,3,FALSE)</f>
        <v>#N/A</v>
      </c>
    </row>
    <row r="112" spans="1:17" ht="15" customHeight="1">
      <c r="A112" s="204"/>
      <c r="B112" s="21"/>
      <c r="C112" s="206"/>
      <c r="D112" s="208"/>
      <c r="E112" s="207" t="e">
        <f>VLOOKUP(D112,Configuracion!$A$4:$C$591,2,FALSE)</f>
        <v>#N/A</v>
      </c>
      <c r="F112" s="211"/>
      <c r="G112" s="50">
        <f>F112*21%</f>
        <v>0</v>
      </c>
      <c r="H112" s="50"/>
      <c r="I112" s="50"/>
      <c r="J112" s="50"/>
      <c r="K112" s="227"/>
      <c r="L112" s="50"/>
      <c r="M112" s="233"/>
      <c r="N112" s="50"/>
      <c r="O112" s="209">
        <f>SUM(F112:N112)</f>
        <v>0</v>
      </c>
      <c r="P112" s="214" t="e">
        <f>VLOOKUP(D112,Configuracion!$A$4:$C$591,3,FALSE)</f>
        <v>#N/A</v>
      </c>
    </row>
    <row r="113" spans="1:16" ht="15" customHeight="1">
      <c r="A113" s="204"/>
      <c r="B113" s="21"/>
      <c r="C113" s="206"/>
      <c r="D113" s="208"/>
      <c r="E113" s="207" t="e">
        <f>VLOOKUP(D113,Configuracion!$A$4:$C$591,2,FALSE)</f>
        <v>#N/A</v>
      </c>
      <c r="F113" s="211"/>
      <c r="G113" s="50">
        <f>F113*21%</f>
        <v>0</v>
      </c>
      <c r="H113" s="50"/>
      <c r="I113" s="50"/>
      <c r="J113" s="50"/>
      <c r="K113" s="227"/>
      <c r="L113" s="50"/>
      <c r="M113" s="233"/>
      <c r="N113" s="50"/>
      <c r="O113" s="209">
        <f>SUM(F113:N113)</f>
        <v>0</v>
      </c>
      <c r="P113" s="214" t="e">
        <f>VLOOKUP(D113,Configuracion!$A$4:$C$591,3,FALSE)</f>
        <v>#N/A</v>
      </c>
    </row>
    <row r="114" spans="1:16" ht="15" customHeight="1">
      <c r="A114" s="204"/>
      <c r="B114" s="21"/>
      <c r="C114" s="206"/>
      <c r="D114" s="208"/>
      <c r="E114" s="207" t="e">
        <f>VLOOKUP(D114,Configuracion!$A$4:$C$591,2,FALSE)</f>
        <v>#N/A</v>
      </c>
      <c r="F114" s="211"/>
      <c r="G114" s="50">
        <f>F114*21%</f>
        <v>0</v>
      </c>
      <c r="H114" s="50"/>
      <c r="I114" s="50"/>
      <c r="J114" s="50"/>
      <c r="K114" s="227"/>
      <c r="L114" s="50"/>
      <c r="M114" s="233"/>
      <c r="N114" s="50"/>
      <c r="O114" s="209">
        <f>SUM(F114:N114)</f>
        <v>0</v>
      </c>
      <c r="P114" s="214" t="e">
        <f>VLOOKUP(D114,Configuracion!$A$4:$C$591,3,FALSE)</f>
        <v>#N/A</v>
      </c>
    </row>
    <row r="115" spans="1:16" ht="15" customHeight="1" thickBot="1">
      <c r="A115" s="204"/>
      <c r="B115" s="21"/>
      <c r="C115" s="206"/>
      <c r="D115" s="208"/>
      <c r="E115" s="207" t="e">
        <f>VLOOKUP(D115,Configuracion!$A$4:$C$591,2,FALSE)</f>
        <v>#N/A</v>
      </c>
      <c r="F115" s="211"/>
      <c r="G115" s="50">
        <f>F115*21%</f>
        <v>0</v>
      </c>
      <c r="H115" s="50"/>
      <c r="I115" s="50"/>
      <c r="J115" s="50"/>
      <c r="K115" s="227"/>
      <c r="L115" s="50"/>
      <c r="M115" s="233"/>
      <c r="N115" s="50"/>
      <c r="O115" s="209">
        <f>SUM(F115:N115)</f>
        <v>0</v>
      </c>
      <c r="P115" s="214" t="e">
        <f>VLOOKUP(D115,Configuracion!$A$4:$C$591,3,FALSE)</f>
        <v>#N/A</v>
      </c>
    </row>
    <row r="116" spans="1:16" ht="15.75" customHeight="1" thickBot="1">
      <c r="A116" s="303" t="s">
        <v>4</v>
      </c>
      <c r="B116" s="304"/>
      <c r="C116" s="304"/>
      <c r="D116" s="304"/>
      <c r="E116" s="305"/>
      <c r="F116" s="34">
        <f>SUM(F8:F115)</f>
        <v>24295960.790000007</v>
      </c>
      <c r="G116" s="34">
        <f>SUM(G8:G115)</f>
        <v>4763822.2331999978</v>
      </c>
      <c r="H116" s="34">
        <f>SUM(H8:H115)</f>
        <v>6157.158300000001</v>
      </c>
      <c r="I116" s="34">
        <f>SUM(I8:I115)</f>
        <v>166770.32</v>
      </c>
      <c r="J116" s="34">
        <f t="shared" ref="J116:O116" si="0">SUM(J8:J115)</f>
        <v>3163.2512000000002</v>
      </c>
      <c r="K116" s="34">
        <f t="shared" si="0"/>
        <v>121438.0972</v>
      </c>
      <c r="L116" s="34">
        <f t="shared" si="0"/>
        <v>0</v>
      </c>
      <c r="M116" s="34">
        <f t="shared" si="0"/>
        <v>16989.11</v>
      </c>
      <c r="N116" s="34">
        <f t="shared" si="0"/>
        <v>2741.02</v>
      </c>
      <c r="O116" s="34">
        <f t="shared" si="0"/>
        <v>29377041.979900014</v>
      </c>
    </row>
    <row r="117" spans="1:16" ht="15.75" customHeight="1" thickBot="1">
      <c r="F117" s="25" t="s">
        <v>3</v>
      </c>
      <c r="G117" s="306">
        <f>G116+H116+I116</f>
        <v>4936749.7114999983</v>
      </c>
      <c r="H117" s="307"/>
      <c r="I117" s="308"/>
    </row>
    <row r="118" spans="1:16" ht="15.75" thickBot="1">
      <c r="K118" t="s">
        <v>104</v>
      </c>
    </row>
    <row r="119" spans="1:16" ht="16.5" thickBot="1">
      <c r="A119" s="294" t="s">
        <v>29</v>
      </c>
      <c r="B119" s="295"/>
      <c r="C119" s="296"/>
      <c r="F119" s="4"/>
      <c r="G119" s="5"/>
      <c r="H119" s="5"/>
      <c r="I119" s="5"/>
    </row>
    <row r="120" spans="1:16">
      <c r="A120" s="61" t="s">
        <v>1</v>
      </c>
      <c r="B120" s="26" t="s">
        <v>17</v>
      </c>
      <c r="C120" s="26" t="s">
        <v>16</v>
      </c>
      <c r="D120" s="40" t="s">
        <v>7</v>
      </c>
      <c r="E120" s="26" t="s">
        <v>19</v>
      </c>
      <c r="F120" s="26" t="s">
        <v>4</v>
      </c>
      <c r="G120" s="253" t="s">
        <v>2</v>
      </c>
      <c r="H120" s="5"/>
      <c r="I120" s="5"/>
      <c r="J120" s="234"/>
      <c r="K120" s="234"/>
    </row>
    <row r="121" spans="1:16">
      <c r="A121" s="256" t="s">
        <v>632</v>
      </c>
      <c r="B121" s="20">
        <v>2</v>
      </c>
      <c r="C121" s="257">
        <v>204</v>
      </c>
      <c r="D121" s="202">
        <v>27265832178</v>
      </c>
      <c r="E121" s="202" t="str">
        <f>VLOOKUP(D121,Configuracion!$A$4:$C$591,2,FALSE)</f>
        <v>BLASCO MARIA GUADALUPE</v>
      </c>
      <c r="F121" s="254">
        <v>150000</v>
      </c>
      <c r="G121" s="255" t="str">
        <f>VLOOKUP(D121,Configuracion!$A$4:$C$591,3,FALSE)</f>
        <v>PROVEEDOR</v>
      </c>
      <c r="H121" s="241"/>
    </row>
    <row r="122" spans="1:16">
      <c r="A122" s="256" t="s">
        <v>645</v>
      </c>
      <c r="B122" s="20">
        <v>2</v>
      </c>
      <c r="C122" s="257">
        <v>207</v>
      </c>
      <c r="D122" s="202">
        <v>27265832178</v>
      </c>
      <c r="E122" s="202" t="str">
        <f>VLOOKUP(D122,Configuracion!$A$4:$C$591,2,FALSE)</f>
        <v>BLASCO MARIA GUADALUPE</v>
      </c>
      <c r="F122" s="254">
        <v>150000</v>
      </c>
      <c r="G122" s="255" t="str">
        <f>VLOOKUP(D122,Configuracion!$A$4:$C$591,3,FALSE)</f>
        <v>PROVEEDOR</v>
      </c>
      <c r="H122" s="241"/>
    </row>
    <row r="123" spans="1:16">
      <c r="A123" s="256" t="s">
        <v>633</v>
      </c>
      <c r="B123" s="20">
        <v>2</v>
      </c>
      <c r="C123" s="257">
        <v>611</v>
      </c>
      <c r="D123" s="202">
        <v>20400104094</v>
      </c>
      <c r="E123" s="202" t="str">
        <f>VLOOKUP(D123,Configuracion!$A$4:$C$591,2,FALSE)</f>
        <v>BOTINDARI FEDERICO DANIEL</v>
      </c>
      <c r="F123" s="254">
        <v>354600</v>
      </c>
      <c r="G123" s="255" t="str">
        <f>VLOOKUP(D123,Configuracion!$A$4:$C$591,3,FALSE)</f>
        <v>HONORARIOS</v>
      </c>
      <c r="H123" s="241"/>
    </row>
    <row r="124" spans="1:16">
      <c r="A124" s="256" t="s">
        <v>626</v>
      </c>
      <c r="B124" s="20">
        <v>3</v>
      </c>
      <c r="C124" s="257">
        <v>758</v>
      </c>
      <c r="D124" s="202">
        <v>20086277523</v>
      </c>
      <c r="E124" s="202" t="str">
        <f>VLOOKUP(D124,Configuracion!$A$4:$C$591,2,FALSE)</f>
        <v>BOTINDARI JUAN CARLOS</v>
      </c>
      <c r="F124" s="254">
        <v>118200</v>
      </c>
      <c r="G124" s="255" t="str">
        <f>VLOOKUP(D124,Configuracion!$A$4:$C$591,3,FALSE)</f>
        <v>HONORARIOS</v>
      </c>
      <c r="H124" s="241"/>
    </row>
    <row r="125" spans="1:16">
      <c r="A125" s="256" t="s">
        <v>627</v>
      </c>
      <c r="B125" s="20">
        <v>1</v>
      </c>
      <c r="C125" s="257">
        <v>258</v>
      </c>
      <c r="D125" s="202">
        <v>23255855204</v>
      </c>
      <c r="E125" s="202" t="str">
        <f>VLOOKUP(D125,Configuracion!$A$4:$C$591,2,FALSE)</f>
        <v>CABELLO LETICIA JESICA</v>
      </c>
      <c r="F125" s="254">
        <v>6000</v>
      </c>
      <c r="G125" s="255" t="str">
        <f>VLOOKUP(D125,Configuracion!$A$4:$C$591,3,FALSE)</f>
        <v>FLETE</v>
      </c>
      <c r="H125" s="241"/>
    </row>
    <row r="126" spans="1:16">
      <c r="A126" s="256" t="s">
        <v>640</v>
      </c>
      <c r="B126" s="20">
        <v>1</v>
      </c>
      <c r="C126" s="257">
        <v>101</v>
      </c>
      <c r="D126" s="202">
        <v>27338342840</v>
      </c>
      <c r="E126" s="202" t="str">
        <f>VLOOKUP(D126,Configuracion!$A$4:$C$591,2,FALSE)</f>
        <v>CANCINO PAMELA RITA</v>
      </c>
      <c r="F126" s="254">
        <v>94750</v>
      </c>
      <c r="G126" s="255" t="str">
        <f>VLOOKUP(D126,Configuracion!$A$4:$C$591,3,FALSE)</f>
        <v>PROVEEDOR</v>
      </c>
      <c r="H126" s="241"/>
    </row>
    <row r="127" spans="1:16">
      <c r="A127" s="258">
        <v>45111</v>
      </c>
      <c r="B127" s="20">
        <v>1</v>
      </c>
      <c r="C127" s="257">
        <v>98</v>
      </c>
      <c r="D127" s="202">
        <v>27338342840</v>
      </c>
      <c r="E127" s="202" t="str">
        <f>VLOOKUP(D127,Configuracion!$A$4:$C$591,2,FALSE)</f>
        <v>CANCINO PAMELA RITA</v>
      </c>
      <c r="F127" s="254">
        <v>109850</v>
      </c>
      <c r="G127" s="255" t="str">
        <f>VLOOKUP(D127,Configuracion!$A$4:$C$591,3,FALSE)</f>
        <v>PROVEEDOR</v>
      </c>
      <c r="H127" s="241"/>
    </row>
    <row r="128" spans="1:16">
      <c r="A128" s="258">
        <v>45103</v>
      </c>
      <c r="B128" s="20">
        <v>1</v>
      </c>
      <c r="C128" s="257">
        <v>37</v>
      </c>
      <c r="D128" s="202">
        <v>20403969886</v>
      </c>
      <c r="E128" s="202" t="str">
        <f>VLOOKUP(D128,Configuracion!$A$4:$C$591,2,FALSE)</f>
        <v>DEL GESSO FRANCO JESUS</v>
      </c>
      <c r="F128" s="254">
        <v>249360</v>
      </c>
      <c r="G128" s="255" t="str">
        <f>VLOOKUP(D128,Configuracion!$A$4:$C$591,3,FALSE)</f>
        <v>PROVEEDOR</v>
      </c>
      <c r="H128" s="241" t="s">
        <v>1217</v>
      </c>
    </row>
    <row r="129" spans="1:8">
      <c r="A129" s="256" t="s">
        <v>649</v>
      </c>
      <c r="B129" s="20">
        <v>1</v>
      </c>
      <c r="C129" s="257">
        <v>57</v>
      </c>
      <c r="D129" s="202">
        <v>23281233084</v>
      </c>
      <c r="E129" s="202" t="str">
        <f>VLOOKUP(D129,Configuracion!$A$4:$C$591,2,FALSE)</f>
        <v>DRUETTA ANDREA MARIEL</v>
      </c>
      <c r="F129" s="254">
        <v>55068</v>
      </c>
      <c r="G129" s="255" t="str">
        <f>VLOOKUP(D129,Configuracion!$A$4:$C$591,3,FALSE)</f>
        <v>TECNICO</v>
      </c>
      <c r="H129" s="241"/>
    </row>
    <row r="130" spans="1:8">
      <c r="A130" s="256" t="s">
        <v>632</v>
      </c>
      <c r="B130" s="20">
        <v>5</v>
      </c>
      <c r="C130" s="257">
        <v>151</v>
      </c>
      <c r="D130" s="202">
        <v>27062343449</v>
      </c>
      <c r="E130" s="202" t="str">
        <f>VLOOKUP(D130,Configuracion!$A$4:$C$591,2,FALSE)</f>
        <v>FERREIRA LILIANA INES</v>
      </c>
      <c r="F130" s="254">
        <v>135000</v>
      </c>
      <c r="G130" s="255" t="str">
        <f>VLOOKUP(D130,Configuracion!$A$4:$C$591,3,FALSE)</f>
        <v>FLETE</v>
      </c>
      <c r="H130" s="241"/>
    </row>
    <row r="131" spans="1:8">
      <c r="A131" s="256" t="s">
        <v>633</v>
      </c>
      <c r="B131" s="20">
        <v>5</v>
      </c>
      <c r="C131" s="257">
        <v>152</v>
      </c>
      <c r="D131" s="202">
        <v>27062343449</v>
      </c>
      <c r="E131" s="202" t="str">
        <f>VLOOKUP(D131,Configuracion!$A$4:$C$591,2,FALSE)</f>
        <v>FERREIRA LILIANA INES</v>
      </c>
      <c r="F131" s="254">
        <v>135000</v>
      </c>
      <c r="G131" s="255" t="str">
        <f>VLOOKUP(D131,Configuracion!$A$4:$C$591,3,FALSE)</f>
        <v>FLETE</v>
      </c>
      <c r="H131" s="241"/>
    </row>
    <row r="132" spans="1:8">
      <c r="A132" s="256" t="s">
        <v>638</v>
      </c>
      <c r="B132" s="20">
        <v>2</v>
      </c>
      <c r="C132" s="257">
        <v>61</v>
      </c>
      <c r="D132" s="202">
        <v>20314536852</v>
      </c>
      <c r="E132" s="202" t="str">
        <f>VLOOKUP(D132,Configuracion!$A$4:$C$591,2,FALSE)</f>
        <v>FRANCESE GONZALO ROMAN</v>
      </c>
      <c r="F132" s="254">
        <v>72000</v>
      </c>
      <c r="G132" s="255" t="str">
        <f>VLOOKUP(D132,Configuracion!$A$4:$C$591,3,FALSE)</f>
        <v>FLETE</v>
      </c>
      <c r="H132" s="241"/>
    </row>
    <row r="133" spans="1:8">
      <c r="A133" s="256" t="s">
        <v>645</v>
      </c>
      <c r="B133" s="20">
        <v>2</v>
      </c>
      <c r="C133" s="257">
        <v>62</v>
      </c>
      <c r="D133" s="202">
        <v>20314536852</v>
      </c>
      <c r="E133" s="202" t="str">
        <f>VLOOKUP(D133,Configuracion!$A$4:$C$591,2,FALSE)</f>
        <v>FRANCESE GONZALO ROMAN</v>
      </c>
      <c r="F133" s="254">
        <v>69600</v>
      </c>
      <c r="G133" s="255" t="str">
        <f>VLOOKUP(D133,Configuracion!$A$4:$C$591,3,FALSE)</f>
        <v>FLETE</v>
      </c>
      <c r="H133" s="241"/>
    </row>
    <row r="134" spans="1:8">
      <c r="A134" s="256" t="s">
        <v>650</v>
      </c>
      <c r="B134" s="20">
        <v>2</v>
      </c>
      <c r="C134" s="257">
        <v>63</v>
      </c>
      <c r="D134" s="202">
        <v>20314536852</v>
      </c>
      <c r="E134" s="202" t="str">
        <f>VLOOKUP(D134,Configuracion!$A$4:$C$591,2,FALSE)</f>
        <v>FRANCESE GONZALO ROMAN</v>
      </c>
      <c r="F134" s="254">
        <v>33600</v>
      </c>
      <c r="G134" s="255" t="str">
        <f>VLOOKUP(D134,Configuracion!$A$4:$C$591,3,FALSE)</f>
        <v>FLETE</v>
      </c>
      <c r="H134" s="241"/>
    </row>
    <row r="135" spans="1:8">
      <c r="A135" s="258">
        <v>45134</v>
      </c>
      <c r="B135" s="20">
        <v>2</v>
      </c>
      <c r="C135" s="257">
        <v>96</v>
      </c>
      <c r="D135" s="202">
        <v>20220423655</v>
      </c>
      <c r="E135" s="202" t="str">
        <f>VLOOKUP(D135,Configuracion!$A$4:$C$591,2,FALSE)</f>
        <v>LANDRO FERNANDO GABRIEL</v>
      </c>
      <c r="F135" s="254">
        <v>262980</v>
      </c>
      <c r="G135" s="255" t="str">
        <f>VLOOKUP(D135,Configuracion!$A$4:$C$591,3,FALSE)</f>
        <v>PROVEEDOR</v>
      </c>
      <c r="H135" s="241" t="s">
        <v>1217</v>
      </c>
    </row>
    <row r="136" spans="1:8">
      <c r="A136" s="258">
        <v>45133</v>
      </c>
      <c r="B136" s="20">
        <v>2</v>
      </c>
      <c r="C136" s="257">
        <v>95</v>
      </c>
      <c r="D136" s="202">
        <v>20220423655</v>
      </c>
      <c r="E136" s="202" t="str">
        <f>VLOOKUP(D136,Configuracion!$A$4:$C$591,2,FALSE)</f>
        <v>LANDRO FERNANDO GABRIEL</v>
      </c>
      <c r="F136" s="254">
        <v>272085</v>
      </c>
      <c r="G136" s="255" t="str">
        <f>VLOOKUP(D136,Configuracion!$A$4:$C$591,3,FALSE)</f>
        <v>PROVEEDOR</v>
      </c>
      <c r="H136" s="241" t="s">
        <v>1217</v>
      </c>
    </row>
    <row r="137" spans="1:8">
      <c r="A137" s="258">
        <v>45043</v>
      </c>
      <c r="B137" s="20">
        <v>1</v>
      </c>
      <c r="C137" s="257">
        <v>79</v>
      </c>
      <c r="D137" s="202">
        <v>27385671526</v>
      </c>
      <c r="E137" s="202" t="str">
        <f>VLOOKUP(D137,Configuracion!$A$4:$C$591,2,FALSE)</f>
        <v>MACHADO ELIANA NOEMI</v>
      </c>
      <c r="F137" s="254">
        <v>129310</v>
      </c>
      <c r="G137" s="255" t="str">
        <f>VLOOKUP(D137,Configuracion!$A$4:$C$591,3,FALSE)</f>
        <v>PROVEEDOR</v>
      </c>
      <c r="H137" s="241" t="s">
        <v>1217</v>
      </c>
    </row>
    <row r="138" spans="1:8">
      <c r="A138" s="258">
        <v>45105</v>
      </c>
      <c r="B138" s="20">
        <v>1</v>
      </c>
      <c r="C138" s="257">
        <v>82</v>
      </c>
      <c r="D138" s="202">
        <v>27385671526</v>
      </c>
      <c r="E138" s="202" t="str">
        <f>VLOOKUP(D138,Configuracion!$A$4:$C$591,2,FALSE)</f>
        <v>MACHADO ELIANA NOEMI</v>
      </c>
      <c r="F138" s="254">
        <v>149340</v>
      </c>
      <c r="G138" s="255" t="str">
        <f>VLOOKUP(D138,Configuracion!$A$4:$C$591,3,FALSE)</f>
        <v>PROVEEDOR</v>
      </c>
      <c r="H138" s="241" t="s">
        <v>1217</v>
      </c>
    </row>
    <row r="139" spans="1:8">
      <c r="A139" s="256" t="s">
        <v>627</v>
      </c>
      <c r="B139" s="20">
        <v>1</v>
      </c>
      <c r="C139" s="257">
        <v>52</v>
      </c>
      <c r="D139" s="202">
        <v>20299835260</v>
      </c>
      <c r="E139" s="202" t="str">
        <f>VLOOKUP(D139,Configuracion!$A$4:$C$591,2,FALSE)</f>
        <v>MELGAREJO NICOLAS EMILIO</v>
      </c>
      <c r="F139" s="254">
        <v>50000</v>
      </c>
      <c r="G139" s="255" t="str">
        <f>VLOOKUP(D139,Configuracion!$A$4:$C$591,3,FALSE)</f>
        <v>PROVEEDOR</v>
      </c>
      <c r="H139" s="241"/>
    </row>
    <row r="140" spans="1:8">
      <c r="A140" s="256" t="s">
        <v>627</v>
      </c>
      <c r="B140" s="20">
        <v>1</v>
      </c>
      <c r="C140" s="257">
        <v>53</v>
      </c>
      <c r="D140" s="202">
        <v>20299835260</v>
      </c>
      <c r="E140" s="202" t="str">
        <f>VLOOKUP(D140,Configuracion!$A$4:$C$591,2,FALSE)</f>
        <v>MELGAREJO NICOLAS EMILIO</v>
      </c>
      <c r="F140" s="254">
        <v>76000</v>
      </c>
      <c r="G140" s="255" t="str">
        <f>VLOOKUP(D140,Configuracion!$A$4:$C$591,3,FALSE)</f>
        <v>PROVEEDOR</v>
      </c>
      <c r="H140" s="241"/>
    </row>
    <row r="141" spans="1:8">
      <c r="A141" s="256" t="s">
        <v>629</v>
      </c>
      <c r="B141" s="20">
        <v>1</v>
      </c>
      <c r="C141" s="257">
        <v>58</v>
      </c>
      <c r="D141" s="202">
        <v>20426451167</v>
      </c>
      <c r="E141" s="202" t="str">
        <f>VLOOKUP(D141,Configuracion!$A$4:$C$591,2,FALSE)</f>
        <v>NUNEZ MATIAS YOEL</v>
      </c>
      <c r="F141" s="254">
        <v>4000</v>
      </c>
      <c r="G141" s="255" t="str">
        <f>VLOOKUP(D141,Configuracion!$A$4:$C$591,3,FALSE)</f>
        <v>FLETE</v>
      </c>
      <c r="H141" s="241"/>
    </row>
    <row r="142" spans="1:8">
      <c r="A142" s="256" t="s">
        <v>653</v>
      </c>
      <c r="B142" s="20">
        <v>1</v>
      </c>
      <c r="C142" s="257">
        <v>156</v>
      </c>
      <c r="D142" s="202">
        <v>27217606255</v>
      </c>
      <c r="E142" s="202" t="str">
        <f>VLOOKUP(D142,Configuracion!$A$4:$C$591,2,FALSE)</f>
        <v>SAPUNA MIRIAN KARINA</v>
      </c>
      <c r="F142" s="254">
        <v>67000</v>
      </c>
      <c r="G142" s="255" t="str">
        <f>VLOOKUP(D142,Configuracion!$A$4:$C$591,3,FALSE)</f>
        <v>PROVEEDOR</v>
      </c>
      <c r="H142" s="241"/>
    </row>
    <row r="143" spans="1:8">
      <c r="A143" s="256" t="s">
        <v>653</v>
      </c>
      <c r="B143" s="20">
        <v>1</v>
      </c>
      <c r="C143" s="257">
        <v>157</v>
      </c>
      <c r="D143" s="202">
        <v>27217606255</v>
      </c>
      <c r="E143" s="202" t="str">
        <f>VLOOKUP(D143,Configuracion!$A$4:$C$591,2,FALSE)</f>
        <v>SAPUNA MIRIAN KARINA</v>
      </c>
      <c r="F143" s="254">
        <v>55000</v>
      </c>
      <c r="G143" s="255" t="str">
        <f>VLOOKUP(D143,Configuracion!$A$4:$C$591,3,FALSE)</f>
        <v>PROVEEDOR</v>
      </c>
      <c r="H143" s="241"/>
    </row>
    <row r="144" spans="1:8">
      <c r="A144" s="256" t="s">
        <v>653</v>
      </c>
      <c r="B144" s="20">
        <v>1</v>
      </c>
      <c r="C144" s="257">
        <v>158</v>
      </c>
      <c r="D144" s="202">
        <v>27217606255</v>
      </c>
      <c r="E144" s="202" t="str">
        <f>VLOOKUP(D144,Configuracion!$A$4:$C$591,2,FALSE)</f>
        <v>SAPUNA MIRIAN KARINA</v>
      </c>
      <c r="F144" s="254">
        <v>96000</v>
      </c>
      <c r="G144" s="255" t="str">
        <f>VLOOKUP(D144,Configuracion!$A$4:$C$591,3,FALSE)</f>
        <v>PROVEEDOR</v>
      </c>
      <c r="H144" s="5"/>
    </row>
    <row r="145" spans="1:9">
      <c r="A145" s="256" t="s">
        <v>653</v>
      </c>
      <c r="B145" s="20">
        <v>1</v>
      </c>
      <c r="C145" s="257">
        <v>159</v>
      </c>
      <c r="D145" s="202">
        <v>27217606255</v>
      </c>
      <c r="E145" s="202" t="str">
        <f>VLOOKUP(D145,Configuracion!$A$4:$C$591,2,FALSE)</f>
        <v>SAPUNA MIRIAN KARINA</v>
      </c>
      <c r="F145" s="254">
        <v>43500</v>
      </c>
      <c r="G145" s="255" t="str">
        <f>VLOOKUP(D145,Configuracion!$A$4:$C$591,3,FALSE)</f>
        <v>PROVEEDOR</v>
      </c>
      <c r="H145" s="5"/>
    </row>
    <row r="146" spans="1:9">
      <c r="A146" s="256" t="s">
        <v>653</v>
      </c>
      <c r="B146" s="20">
        <v>1</v>
      </c>
      <c r="C146" s="257">
        <v>160</v>
      </c>
      <c r="D146" s="202">
        <v>27217606255</v>
      </c>
      <c r="E146" s="202" t="str">
        <f>VLOOKUP(D146,Configuracion!$A$4:$C$591,2,FALSE)</f>
        <v>SAPUNA MIRIAN KARINA</v>
      </c>
      <c r="F146" s="254">
        <v>55700</v>
      </c>
      <c r="G146" s="255" t="str">
        <f>VLOOKUP(D146,Configuracion!$A$4:$C$591,3,FALSE)</f>
        <v>PROVEEDOR</v>
      </c>
      <c r="H146" s="5"/>
    </row>
    <row r="147" spans="1:9">
      <c r="A147" s="256" t="s">
        <v>627</v>
      </c>
      <c r="B147" s="20">
        <v>2</v>
      </c>
      <c r="C147" s="257">
        <v>479</v>
      </c>
      <c r="D147" s="202">
        <v>27299725761</v>
      </c>
      <c r="E147" s="202" t="str">
        <f>VLOOKUP(D147,Configuracion!$A$4:$C$591,2,FALSE)</f>
        <v>TURSARKISIAN MISISIAN VERONICA</v>
      </c>
      <c r="F147" s="254">
        <v>30000</v>
      </c>
      <c r="G147" s="255" t="str">
        <f>VLOOKUP(D147,Configuracion!$A$4:$C$591,3,FALSE)</f>
        <v>PROVEEDOR</v>
      </c>
      <c r="H147" s="5"/>
    </row>
    <row r="148" spans="1:9">
      <c r="A148" s="256" t="s">
        <v>627</v>
      </c>
      <c r="B148" s="20">
        <v>2</v>
      </c>
      <c r="C148" s="257">
        <v>480</v>
      </c>
      <c r="D148" s="202">
        <v>27299725761</v>
      </c>
      <c r="E148" s="202" t="str">
        <f>VLOOKUP(D148,Configuracion!$A$4:$C$591,2,FALSE)</f>
        <v>TURSARKISIAN MISISIAN VERONICA</v>
      </c>
      <c r="F148" s="254">
        <v>65000</v>
      </c>
      <c r="G148" s="255" t="str">
        <f>VLOOKUP(D148,Configuracion!$A$4:$C$591,3,FALSE)</f>
        <v>PROVEEDOR</v>
      </c>
      <c r="H148" s="5"/>
      <c r="I148" s="7"/>
    </row>
    <row r="149" spans="1:9">
      <c r="A149" s="256" t="s">
        <v>650</v>
      </c>
      <c r="B149" s="20">
        <v>3</v>
      </c>
      <c r="C149" s="257">
        <v>743</v>
      </c>
      <c r="D149" s="202">
        <v>20216451679</v>
      </c>
      <c r="E149" s="202" t="str">
        <f>VLOOKUP(D149,Configuracion!$A$4:$C$591,2,FALSE)</f>
        <v>VAZQUEZ RICARDO OSCAR</v>
      </c>
      <c r="F149" s="254">
        <v>36000</v>
      </c>
      <c r="G149" s="255" t="str">
        <f>VLOOKUP(D149,Configuracion!$A$4:$C$591,3,FALSE)</f>
        <v>PROVEEDOR</v>
      </c>
      <c r="H149" s="5"/>
      <c r="I149" s="5"/>
    </row>
    <row r="150" spans="1:9">
      <c r="A150" s="256">
        <v>45153</v>
      </c>
      <c r="B150" s="20">
        <v>3</v>
      </c>
      <c r="C150" s="257">
        <v>731</v>
      </c>
      <c r="D150" s="202">
        <v>20216451679</v>
      </c>
      <c r="E150" s="202" t="str">
        <f>VLOOKUP(D150,Configuracion!$A$4:$C$591,2,FALSE)</f>
        <v>VAZQUEZ RICARDO OSCAR</v>
      </c>
      <c r="F150" s="254">
        <v>72000</v>
      </c>
      <c r="G150" s="255" t="str">
        <f>VLOOKUP(D150,Configuracion!$A$4:$C$591,3,FALSE)</f>
        <v>PROVEEDOR</v>
      </c>
      <c r="H150" s="5"/>
      <c r="I150" s="5"/>
    </row>
    <row r="151" spans="1:9">
      <c r="A151" s="256"/>
      <c r="B151" s="20"/>
      <c r="C151" s="210"/>
      <c r="D151" s="202"/>
      <c r="E151" s="202" t="e">
        <f>VLOOKUP(D151,Configuracion!$A$4:$C$591,2,FALSE)</f>
        <v>#N/A</v>
      </c>
      <c r="F151" s="22"/>
      <c r="G151" s="214" t="e">
        <f>VLOOKUP(D151,Configuracion!$A$4:$C$591,3,FALSE)</f>
        <v>#N/A</v>
      </c>
      <c r="H151" s="5"/>
      <c r="I151" s="5"/>
    </row>
    <row r="152" spans="1:9">
      <c r="A152" s="256"/>
      <c r="B152" s="20"/>
      <c r="C152" s="210"/>
      <c r="D152" s="202"/>
      <c r="E152" s="202" t="e">
        <f>VLOOKUP(D152,Configuracion!$A$4:$C$591,2,FALSE)</f>
        <v>#N/A</v>
      </c>
      <c r="F152" s="22"/>
      <c r="G152" s="214" t="e">
        <f>VLOOKUP(D152,Configuracion!$A$4:$C$591,3,FALSE)</f>
        <v>#N/A</v>
      </c>
      <c r="H152" s="5"/>
      <c r="I152" s="5"/>
    </row>
    <row r="153" spans="1:9">
      <c r="A153" s="215"/>
      <c r="B153" s="20"/>
      <c r="C153" s="210"/>
      <c r="D153" s="202"/>
      <c r="E153" s="202" t="e">
        <f>VLOOKUP(D153,Configuracion!$A$4:$C$591,2,FALSE)</f>
        <v>#N/A</v>
      </c>
      <c r="F153" s="22"/>
      <c r="G153" s="214" t="e">
        <f>VLOOKUP(D153,Configuracion!$A$4:$C$591,3,FALSE)</f>
        <v>#N/A</v>
      </c>
      <c r="H153" s="5"/>
      <c r="I153" s="5"/>
    </row>
    <row r="154" spans="1:9">
      <c r="A154" s="215"/>
      <c r="B154" s="20"/>
      <c r="C154" s="210"/>
      <c r="D154" s="202"/>
      <c r="E154" s="202" t="e">
        <f>VLOOKUP(D154,Configuracion!$A$4:$C$591,2,FALSE)</f>
        <v>#N/A</v>
      </c>
      <c r="F154" s="22"/>
      <c r="G154" s="214" t="e">
        <f>VLOOKUP(D154,Configuracion!$A$4:$C$591,3,FALSE)</f>
        <v>#N/A</v>
      </c>
      <c r="H154" s="5"/>
      <c r="I154" s="5"/>
    </row>
    <row r="155" spans="1:9">
      <c r="A155" s="215"/>
      <c r="B155" s="20"/>
      <c r="C155" s="210"/>
      <c r="D155" s="202"/>
      <c r="E155" s="202" t="e">
        <f>VLOOKUP(D155,Configuracion!$A$4:$C$591,2,FALSE)</f>
        <v>#N/A</v>
      </c>
      <c r="F155" s="22"/>
      <c r="G155" s="214" t="e">
        <f>VLOOKUP(D155,Configuracion!$A$4:$C$591,3,FALSE)</f>
        <v>#N/A</v>
      </c>
      <c r="H155" s="5"/>
      <c r="I155" s="5"/>
    </row>
    <row r="156" spans="1:9">
      <c r="A156" s="215"/>
      <c r="B156" s="20"/>
      <c r="C156" s="210"/>
      <c r="D156" s="202"/>
      <c r="E156" s="202" t="e">
        <f>VLOOKUP(D156,Configuracion!$A$4:$C$591,2,FALSE)</f>
        <v>#N/A</v>
      </c>
      <c r="F156" s="22"/>
      <c r="G156" s="214" t="e">
        <f>VLOOKUP(D156,Configuracion!$A$4:$C$591,3,FALSE)</f>
        <v>#N/A</v>
      </c>
      <c r="H156" s="5"/>
      <c r="I156" s="5"/>
    </row>
    <row r="157" spans="1:9">
      <c r="A157" s="215"/>
      <c r="B157" s="20"/>
      <c r="C157" s="210"/>
      <c r="D157" s="202"/>
      <c r="E157" s="202" t="e">
        <f>VLOOKUP(D157,Configuracion!$A$4:$C$591,2,FALSE)</f>
        <v>#N/A</v>
      </c>
      <c r="F157" s="22"/>
      <c r="G157" s="214" t="e">
        <f>VLOOKUP(D157,Configuracion!$A$4:$C$591,3,FALSE)</f>
        <v>#N/A</v>
      </c>
      <c r="H157" s="5"/>
      <c r="I157" s="5"/>
    </row>
    <row r="158" spans="1:9">
      <c r="A158" s="215"/>
      <c r="B158" s="20"/>
      <c r="C158" s="210"/>
      <c r="D158" s="202"/>
      <c r="E158" s="202" t="e">
        <f>VLOOKUP(D158,Configuracion!$A$4:$C$591,2,FALSE)</f>
        <v>#N/A</v>
      </c>
      <c r="F158" s="22"/>
      <c r="G158" s="214" t="e">
        <f>VLOOKUP(D158,Configuracion!$A$4:$C$591,3,FALSE)</f>
        <v>#N/A</v>
      </c>
      <c r="H158" s="5"/>
      <c r="I158" s="5"/>
    </row>
    <row r="159" spans="1:9">
      <c r="A159" s="215"/>
      <c r="B159" s="20"/>
      <c r="C159" s="210"/>
      <c r="D159" s="202"/>
      <c r="E159" s="202" t="e">
        <f>VLOOKUP(D159,Configuracion!$A$4:$C$591,2,FALSE)</f>
        <v>#N/A</v>
      </c>
      <c r="F159" s="22"/>
      <c r="G159" s="214" t="e">
        <f>VLOOKUP(D159,Configuracion!$A$4:$C$591,3,FALSE)</f>
        <v>#N/A</v>
      </c>
      <c r="H159" s="5"/>
      <c r="I159" s="5"/>
    </row>
    <row r="160" spans="1:9">
      <c r="A160" s="215"/>
      <c r="B160" s="20"/>
      <c r="C160" s="210"/>
      <c r="D160" s="202"/>
      <c r="E160" s="202" t="e">
        <f>VLOOKUP(D160,Configuracion!$A$4:$C$591,2,FALSE)</f>
        <v>#N/A</v>
      </c>
      <c r="F160" s="22"/>
      <c r="G160" s="214" t="e">
        <f>VLOOKUP(D160,Configuracion!$A$4:$C$591,3,FALSE)</f>
        <v>#N/A</v>
      </c>
      <c r="H160" s="5"/>
      <c r="I160" s="5"/>
    </row>
    <row r="161" spans="1:15">
      <c r="A161" s="215"/>
      <c r="B161" s="20"/>
      <c r="C161" s="210"/>
      <c r="D161" s="202"/>
      <c r="E161" s="202" t="e">
        <f>VLOOKUP(D161,Configuracion!$A$4:$C$591,2,FALSE)</f>
        <v>#N/A</v>
      </c>
      <c r="F161" s="22"/>
      <c r="G161" s="214" t="e">
        <f>VLOOKUP(D161,Configuracion!$A$4:$C$591,3,FALSE)</f>
        <v>#N/A</v>
      </c>
      <c r="H161" s="5"/>
      <c r="I161" s="5"/>
    </row>
    <row r="162" spans="1:15">
      <c r="A162" s="215"/>
      <c r="B162" s="20"/>
      <c r="C162" s="210"/>
      <c r="D162" s="202"/>
      <c r="E162" s="202" t="e">
        <f>VLOOKUP(D162,Configuracion!$A$4:$C$591,2,FALSE)</f>
        <v>#N/A</v>
      </c>
      <c r="F162" s="22"/>
      <c r="G162" s="214" t="e">
        <f>VLOOKUP(D162,Configuracion!$A$4:$C$591,3,FALSE)</f>
        <v>#N/A</v>
      </c>
      <c r="H162" s="5"/>
      <c r="I162" s="5"/>
    </row>
    <row r="163" spans="1:15">
      <c r="A163" s="215"/>
      <c r="B163" s="20"/>
      <c r="C163" s="210"/>
      <c r="D163" s="202"/>
      <c r="E163" s="202" t="e">
        <f>VLOOKUP(D163,Configuracion!$A$4:$C$591,2,FALSE)</f>
        <v>#N/A</v>
      </c>
      <c r="F163" s="22"/>
      <c r="G163" s="214" t="e">
        <f>VLOOKUP(D163,Configuracion!$A$4:$C$591,3,FALSE)</f>
        <v>#N/A</v>
      </c>
      <c r="H163" s="5"/>
      <c r="I163" s="5"/>
    </row>
    <row r="164" spans="1:15" ht="15.75" thickBot="1">
      <c r="A164" s="300" t="s">
        <v>4</v>
      </c>
      <c r="B164" s="301"/>
      <c r="C164" s="301"/>
      <c r="D164" s="301"/>
      <c r="E164" s="302"/>
      <c r="F164" s="34">
        <f>SUM(F121:F163)</f>
        <v>3196943</v>
      </c>
      <c r="G164" s="5"/>
      <c r="H164" s="5"/>
      <c r="I164" s="5"/>
    </row>
    <row r="165" spans="1:15" ht="15.75" thickBot="1">
      <c r="A165" s="32"/>
      <c r="B165" s="32"/>
      <c r="D165" s="41"/>
      <c r="E165" s="33"/>
      <c r="F165" s="51"/>
      <c r="G165" s="5"/>
      <c r="H165" s="5"/>
      <c r="I165" s="5"/>
    </row>
    <row r="166" spans="1:15" ht="16.5" thickBot="1">
      <c r="A166" s="294" t="s">
        <v>22</v>
      </c>
      <c r="B166" s="295"/>
      <c r="C166" s="296"/>
      <c r="D166" s="95"/>
      <c r="E166" s="56"/>
      <c r="F166" s="55"/>
      <c r="G166" s="5"/>
      <c r="H166" s="5"/>
      <c r="I166" s="5"/>
    </row>
    <row r="167" spans="1:15">
      <c r="A167" s="67" t="s">
        <v>1</v>
      </c>
      <c r="B167" s="291" t="s">
        <v>24</v>
      </c>
      <c r="C167" s="291"/>
      <c r="D167" s="68" t="s">
        <v>7</v>
      </c>
      <c r="E167" s="69" t="s">
        <v>19</v>
      </c>
      <c r="F167" s="69" t="s">
        <v>25</v>
      </c>
      <c r="G167" s="69" t="s">
        <v>3</v>
      </c>
      <c r="H167" s="69" t="s">
        <v>21</v>
      </c>
      <c r="I167" s="70" t="s">
        <v>23</v>
      </c>
      <c r="J167" s="234"/>
      <c r="K167" s="234"/>
      <c r="L167" s="234"/>
      <c r="M167" s="234"/>
      <c r="O167" s="151"/>
    </row>
    <row r="168" spans="1:15" ht="15.75">
      <c r="A168" s="226">
        <v>45149</v>
      </c>
      <c r="B168" s="290">
        <v>60657</v>
      </c>
      <c r="C168" s="290"/>
      <c r="D168" s="39">
        <v>30522428163</v>
      </c>
      <c r="E168" s="39" t="str">
        <f>VLOOKUP(D168,Configuracion!$A$4:$C$591,2,FALSE)</f>
        <v>GALENO ARGENTINA SA</v>
      </c>
      <c r="F168" s="224">
        <v>194031.54</v>
      </c>
      <c r="G168" s="260">
        <f>1018665.39*0</f>
        <v>0</v>
      </c>
      <c r="H168" s="224">
        <v>97015.75</v>
      </c>
      <c r="I168" s="225">
        <v>97015.75</v>
      </c>
      <c r="J168" s="12"/>
      <c r="K168" s="12"/>
      <c r="L168" s="13"/>
      <c r="M168" s="2"/>
      <c r="N168" s="2"/>
    </row>
    <row r="169" spans="1:15" ht="15.75">
      <c r="A169" s="226">
        <v>45149</v>
      </c>
      <c r="B169" s="290">
        <v>60655</v>
      </c>
      <c r="C169" s="290"/>
      <c r="D169" s="39">
        <v>30522428163</v>
      </c>
      <c r="E169" s="39" t="str">
        <f>VLOOKUP(D169,Configuracion!$A$4:$C$591,2,FALSE)</f>
        <v>GALENO ARGENTINA SA</v>
      </c>
      <c r="F169" s="224">
        <v>1073.3699999999999</v>
      </c>
      <c r="G169" s="260">
        <f>6334.71*0</f>
        <v>0</v>
      </c>
      <c r="H169" s="224">
        <v>535.54</v>
      </c>
      <c r="I169" s="225">
        <v>603.30999999999995</v>
      </c>
      <c r="J169" s="12"/>
      <c r="K169" s="12"/>
      <c r="L169" s="13"/>
      <c r="M169" s="2"/>
      <c r="N169" s="2"/>
    </row>
    <row r="170" spans="1:15" ht="15.75">
      <c r="A170" s="226">
        <v>45135</v>
      </c>
      <c r="B170" s="290">
        <v>56239</v>
      </c>
      <c r="C170" s="290"/>
      <c r="D170" s="39">
        <v>30522428163</v>
      </c>
      <c r="E170" s="39" t="str">
        <f>VLOOKUP(D170,Configuracion!$A$4:$C$591,2,FALSE)</f>
        <v>GALENO ARGENTINA SA</v>
      </c>
      <c r="F170" s="224">
        <v>192958.67</v>
      </c>
      <c r="G170" s="260">
        <f>1013033.06*0</f>
        <v>0</v>
      </c>
      <c r="H170" s="224">
        <v>96479.34</v>
      </c>
      <c r="I170" s="225">
        <v>96479.34</v>
      </c>
      <c r="J170" s="12"/>
      <c r="K170" s="12"/>
      <c r="L170" s="13"/>
      <c r="M170" s="2"/>
      <c r="N170" s="2"/>
    </row>
    <row r="171" spans="1:15" ht="15.75">
      <c r="A171" s="226">
        <v>45152</v>
      </c>
      <c r="B171" s="290">
        <v>60830</v>
      </c>
      <c r="C171" s="290"/>
      <c r="D171" s="39">
        <v>30522428163</v>
      </c>
      <c r="E171" s="39" t="str">
        <f>VLOOKUP(D171,Configuracion!$A$4:$C$591,2,FALSE)</f>
        <v>GALENO ARGENTINA SA</v>
      </c>
      <c r="F171" s="224">
        <v>30691.07</v>
      </c>
      <c r="G171" s="260">
        <f>184648.14*0</f>
        <v>0</v>
      </c>
      <c r="H171" s="224">
        <v>17585.54</v>
      </c>
      <c r="I171" s="225">
        <v>17585.54</v>
      </c>
      <c r="J171" s="12"/>
      <c r="K171" s="12"/>
      <c r="L171" s="13"/>
      <c r="M171" s="2"/>
      <c r="N171" s="2"/>
    </row>
    <row r="172" spans="1:15" ht="15.75">
      <c r="A172" s="226">
        <v>45167</v>
      </c>
      <c r="B172" s="290">
        <v>64969</v>
      </c>
      <c r="C172" s="290"/>
      <c r="D172" s="39">
        <v>30522428163</v>
      </c>
      <c r="E172" s="39" t="str">
        <f>VLOOKUP(D172,Configuracion!$A$4:$C$591,2,FALSE)</f>
        <v>GALENO ARGENTINA SA</v>
      </c>
      <c r="F172" s="224">
        <v>5670.75</v>
      </c>
      <c r="G172" s="224">
        <v>38883.49</v>
      </c>
      <c r="H172" s="224">
        <v>2835.37</v>
      </c>
      <c r="I172" s="225">
        <v>3731.51</v>
      </c>
      <c r="J172" s="12"/>
      <c r="K172" s="12"/>
      <c r="L172" s="13"/>
      <c r="M172" s="2"/>
      <c r="N172" s="2"/>
    </row>
    <row r="173" spans="1:15" ht="15.75">
      <c r="A173" s="226">
        <v>45125</v>
      </c>
      <c r="B173" s="290">
        <v>53129</v>
      </c>
      <c r="C173" s="290"/>
      <c r="D173" s="39">
        <v>30522428163</v>
      </c>
      <c r="E173" s="39" t="str">
        <f>VLOOKUP(D173,Configuracion!$A$4:$C$591,2,FALSE)</f>
        <v>GALENO ARGENTINA SA</v>
      </c>
      <c r="F173" s="224">
        <v>4464.91</v>
      </c>
      <c r="G173" s="224">
        <v>26550.560000000001</v>
      </c>
      <c r="H173" s="224">
        <v>2232.5300000000002</v>
      </c>
      <c r="I173" s="225">
        <v>2528.62</v>
      </c>
      <c r="J173" s="12"/>
      <c r="K173" s="12"/>
      <c r="L173" s="13"/>
      <c r="M173" s="2"/>
      <c r="N173" s="2"/>
    </row>
    <row r="174" spans="1:15" ht="15.75">
      <c r="A174" s="226">
        <v>45142</v>
      </c>
      <c r="B174" s="290">
        <v>57837</v>
      </c>
      <c r="C174" s="290"/>
      <c r="D174" s="39">
        <v>30522428163</v>
      </c>
      <c r="E174" s="39" t="str">
        <f>VLOOKUP(D174,Configuracion!$A$4:$C$591,2,FALSE)</f>
        <v>GALENO ARGENTINA SA</v>
      </c>
      <c r="F174" s="224">
        <v>47527.24</v>
      </c>
      <c r="G174" s="224">
        <v>290020.77</v>
      </c>
      <c r="H174" s="224">
        <v>23763.62</v>
      </c>
      <c r="I174" s="225">
        <v>27621.03</v>
      </c>
      <c r="J174" s="12"/>
      <c r="K174" s="12"/>
      <c r="L174" s="13"/>
      <c r="M174" s="2"/>
      <c r="N174" s="2"/>
    </row>
    <row r="175" spans="1:15" ht="15.75">
      <c r="A175" s="226">
        <v>45133</v>
      </c>
      <c r="B175" s="290">
        <v>55509</v>
      </c>
      <c r="C175" s="290"/>
      <c r="D175" s="39">
        <v>30522428163</v>
      </c>
      <c r="E175" s="39" t="str">
        <f>VLOOKUP(D175,Configuracion!$A$4:$C$591,2,FALSE)</f>
        <v>GALENO ARGENTINA SA</v>
      </c>
      <c r="F175" s="224">
        <v>114413.23</v>
      </c>
      <c r="G175" s="224">
        <v>600669.42000000004</v>
      </c>
      <c r="H175" s="224">
        <v>57206.61</v>
      </c>
      <c r="I175" s="225">
        <v>57206.61</v>
      </c>
      <c r="J175" s="12"/>
      <c r="K175" s="12"/>
      <c r="L175" s="13"/>
      <c r="M175" s="2"/>
      <c r="N175" s="2"/>
    </row>
    <row r="176" spans="1:15" ht="15.75">
      <c r="A176" s="226">
        <v>45160</v>
      </c>
      <c r="B176" s="290">
        <v>87372</v>
      </c>
      <c r="C176" s="290"/>
      <c r="D176" s="39">
        <v>30590354798</v>
      </c>
      <c r="E176" s="39" t="str">
        <f>VLOOKUP(D176,Configuracion!$A$4:$C$591,2,FALSE)</f>
        <v>ASOCIACION MUTUAL SANCOR SALUD</v>
      </c>
      <c r="F176" s="224">
        <v>7656.71</v>
      </c>
      <c r="G176" s="224"/>
      <c r="H176" s="224">
        <v>10619.62</v>
      </c>
      <c r="I176" s="225"/>
      <c r="J176" s="12"/>
      <c r="K176" s="12"/>
      <c r="L176" s="13"/>
      <c r="M176" s="2"/>
      <c r="N176" s="2"/>
    </row>
    <row r="177" spans="1:14" ht="15.75">
      <c r="A177" s="226">
        <v>45139</v>
      </c>
      <c r="B177" s="290">
        <v>5403</v>
      </c>
      <c r="C177" s="290"/>
      <c r="D177" s="39">
        <v>30608716390</v>
      </c>
      <c r="E177" s="39" t="str">
        <f>VLOOKUP(D177,Configuracion!$A$4:$C$591,2,FALSE)</f>
        <v>OSTEL</v>
      </c>
      <c r="F177" s="224"/>
      <c r="G177" s="224"/>
      <c r="H177" s="224">
        <v>689.88</v>
      </c>
      <c r="I177" s="225"/>
      <c r="J177" s="12"/>
      <c r="K177" s="12"/>
      <c r="L177" s="13"/>
      <c r="M177" s="2"/>
      <c r="N177" s="2"/>
    </row>
    <row r="178" spans="1:14" ht="15.75">
      <c r="A178" s="226">
        <v>45140</v>
      </c>
      <c r="B178" s="290">
        <v>5371</v>
      </c>
      <c r="C178" s="290"/>
      <c r="D178" s="39">
        <v>30608716390</v>
      </c>
      <c r="E178" s="39" t="str">
        <f>VLOOKUP(D178,Configuracion!$A$4:$C$591,2,FALSE)</f>
        <v>OSTEL</v>
      </c>
      <c r="F178" s="224"/>
      <c r="G178" s="224"/>
      <c r="H178" s="224">
        <v>254.59</v>
      </c>
      <c r="I178" s="225"/>
      <c r="J178" s="12"/>
      <c r="K178" s="12"/>
      <c r="L178" s="13"/>
      <c r="M178" s="2"/>
      <c r="N178" s="2"/>
    </row>
    <row r="179" spans="1:14" ht="15.75">
      <c r="A179" s="226">
        <v>45163</v>
      </c>
      <c r="B179" s="290">
        <v>5526</v>
      </c>
      <c r="C179" s="290"/>
      <c r="D179" s="39">
        <v>30608716390</v>
      </c>
      <c r="E179" s="39" t="str">
        <f>VLOOKUP(D179,Configuracion!$A$4:$C$591,2,FALSE)</f>
        <v>OSTEL</v>
      </c>
      <c r="F179" s="224"/>
      <c r="G179" s="224"/>
      <c r="H179" s="224">
        <v>460.89</v>
      </c>
      <c r="I179" s="225"/>
      <c r="J179" s="12"/>
      <c r="K179" s="12"/>
      <c r="L179" s="13"/>
      <c r="M179" s="2"/>
      <c r="N179" s="2"/>
    </row>
    <row r="180" spans="1:14" ht="15.75">
      <c r="A180" s="226">
        <v>45163</v>
      </c>
      <c r="B180" s="290">
        <v>5527</v>
      </c>
      <c r="C180" s="290"/>
      <c r="D180" s="39">
        <v>30608716390</v>
      </c>
      <c r="E180" s="39" t="str">
        <f>VLOOKUP(D180,Configuracion!$A$4:$C$591,2,FALSE)</f>
        <v>OSTEL</v>
      </c>
      <c r="F180" s="224"/>
      <c r="G180" s="224"/>
      <c r="H180" s="224">
        <v>252.37</v>
      </c>
      <c r="I180" s="225"/>
      <c r="J180" s="12"/>
      <c r="K180" s="12"/>
      <c r="L180" s="13"/>
      <c r="M180" s="2"/>
      <c r="N180" s="2"/>
    </row>
    <row r="181" spans="1:14" ht="15.75">
      <c r="A181" s="226">
        <v>45166</v>
      </c>
      <c r="B181" s="290">
        <v>89685</v>
      </c>
      <c r="C181" s="290"/>
      <c r="D181" s="39">
        <v>30500053522</v>
      </c>
      <c r="E181" s="39" t="str">
        <f>VLOOKUP(D181,Configuracion!$A$4:$C$591,2,FALSE)</f>
        <v>OBRA SOCIAL DE LA ACTIVIDAD DE SEGUROS, REASEGUROS, CAPITALIZACION Y AHORRO Y PRESTAMO  PARA LA VIVIENDA</v>
      </c>
      <c r="F181" s="224"/>
      <c r="G181" s="224"/>
      <c r="H181" s="224">
        <v>54.07</v>
      </c>
      <c r="I181" s="225"/>
      <c r="J181" s="12"/>
      <c r="K181" s="12"/>
      <c r="L181" s="13"/>
      <c r="M181" s="2"/>
      <c r="N181" s="2"/>
    </row>
    <row r="182" spans="1:14" ht="15.75">
      <c r="A182" s="226">
        <v>45163</v>
      </c>
      <c r="B182" s="290">
        <v>89653</v>
      </c>
      <c r="C182" s="290"/>
      <c r="D182" s="39">
        <v>30500053522</v>
      </c>
      <c r="E182" s="39" t="str">
        <f>VLOOKUP(D182,Configuracion!$A$4:$C$591,2,FALSE)</f>
        <v>OBRA SOCIAL DE LA ACTIVIDAD DE SEGUROS, REASEGUROS, CAPITALIZACION Y AHORRO Y PRESTAMO  PARA LA VIVIENDA</v>
      </c>
      <c r="F182" s="224"/>
      <c r="G182" s="224"/>
      <c r="H182" s="224">
        <v>79.34</v>
      </c>
      <c r="I182" s="225"/>
      <c r="J182" s="12"/>
      <c r="K182" s="12"/>
      <c r="L182" s="13"/>
      <c r="M182" s="2"/>
      <c r="N182" s="2"/>
    </row>
    <row r="183" spans="1:14" ht="15.75">
      <c r="A183" s="226">
        <v>45147</v>
      </c>
      <c r="B183" s="290">
        <v>40908</v>
      </c>
      <c r="C183" s="290"/>
      <c r="D183" s="39">
        <v>30645337979</v>
      </c>
      <c r="E183" s="39" t="str">
        <f>VLOOKUP(D183,Configuracion!$A$4:$C$591,2,FALSE)</f>
        <v>ALEXANDER FLEMING SA</v>
      </c>
      <c r="F183" s="224">
        <v>1403.9</v>
      </c>
      <c r="G183" s="224"/>
      <c r="H183" s="224">
        <v>1210.94</v>
      </c>
      <c r="I183" s="225"/>
      <c r="J183" s="12"/>
      <c r="K183" s="12"/>
      <c r="L183" s="13"/>
      <c r="M183" s="2"/>
      <c r="N183" s="2"/>
    </row>
    <row r="184" spans="1:14" ht="15.75">
      <c r="A184" s="226">
        <v>45117</v>
      </c>
      <c r="B184" s="290">
        <v>253635</v>
      </c>
      <c r="C184" s="290"/>
      <c r="D184" s="39">
        <v>30546771314</v>
      </c>
      <c r="E184" s="39" t="str">
        <f>VLOOKUP(D184,Configuracion!$A$4:$C$591,2,FALSE)</f>
        <v>MEDICUS SA</v>
      </c>
      <c r="F184" s="224"/>
      <c r="G184" s="224">
        <v>914</v>
      </c>
      <c r="H184" s="224">
        <v>380.83</v>
      </c>
      <c r="I184" s="225"/>
      <c r="J184" s="12"/>
      <c r="K184" s="12"/>
      <c r="L184" s="13"/>
      <c r="M184" s="2"/>
      <c r="N184" s="2"/>
    </row>
    <row r="185" spans="1:14" ht="15.75">
      <c r="A185" s="226">
        <v>45149</v>
      </c>
      <c r="B185" s="290">
        <v>2450</v>
      </c>
      <c r="C185" s="290"/>
      <c r="D185" s="39">
        <v>30683032227</v>
      </c>
      <c r="E185" s="39" t="str">
        <f>VLOOKUP(D185,Configuracion!$A$4:$C$591,2,FALSE)</f>
        <v>OS UNION PERSONAL</v>
      </c>
      <c r="F185" s="224"/>
      <c r="G185" s="224"/>
      <c r="H185" s="224">
        <v>12992.89</v>
      </c>
      <c r="I185" s="225"/>
      <c r="J185" s="12"/>
      <c r="K185" s="12"/>
      <c r="L185" s="13"/>
      <c r="M185" s="2"/>
      <c r="N185" s="2"/>
    </row>
    <row r="186" spans="1:14" ht="15.75">
      <c r="A186" s="226">
        <v>45154</v>
      </c>
      <c r="B186" s="290">
        <v>4952</v>
      </c>
      <c r="C186" s="290"/>
      <c r="D186" s="39">
        <v>30606274161</v>
      </c>
      <c r="E186" s="39" t="str">
        <f>VLOOKUP(D186,Configuracion!$A$4:$C$591,2,FALSE)</f>
        <v>EGESAC SA</v>
      </c>
      <c r="F186" s="224"/>
      <c r="G186" s="224"/>
      <c r="H186" s="224">
        <v>976.08</v>
      </c>
      <c r="I186" s="225"/>
      <c r="J186" s="12"/>
      <c r="K186" s="12"/>
      <c r="L186" s="13"/>
      <c r="M186" s="2"/>
      <c r="N186" s="2"/>
    </row>
    <row r="187" spans="1:14" ht="15.75">
      <c r="A187" s="226">
        <v>45125</v>
      </c>
      <c r="B187" s="290">
        <v>6981</v>
      </c>
      <c r="C187" s="290"/>
      <c r="D187" s="39">
        <v>30710538014</v>
      </c>
      <c r="E187" s="39" t="str">
        <f>VLOOKUP(D187,Configuracion!$A$4:$C$591,2,FALSE)</f>
        <v>HC HOMECARE INT DOM SA</v>
      </c>
      <c r="F187" s="224"/>
      <c r="G187" s="224"/>
      <c r="H187" s="224">
        <v>306.81</v>
      </c>
      <c r="I187" s="225"/>
      <c r="J187" s="12"/>
      <c r="K187" s="12"/>
      <c r="L187" s="13"/>
      <c r="M187" s="2"/>
      <c r="N187" s="2"/>
    </row>
    <row r="188" spans="1:14" ht="15.75">
      <c r="A188" s="226">
        <v>45125</v>
      </c>
      <c r="B188" s="290">
        <v>713</v>
      </c>
      <c r="C188" s="290"/>
      <c r="D188" s="39">
        <v>30710538014</v>
      </c>
      <c r="E188" s="39" t="str">
        <f>VLOOKUP(D188,Configuracion!$A$4:$C$591,2,FALSE)</f>
        <v>HC HOMECARE INT DOM SA</v>
      </c>
      <c r="F188" s="224"/>
      <c r="G188" s="224"/>
      <c r="H188" s="224">
        <v>153.41</v>
      </c>
      <c r="I188" s="225"/>
      <c r="J188" s="12"/>
      <c r="K188" s="12"/>
      <c r="L188" s="13"/>
      <c r="M188" s="2"/>
      <c r="N188" s="2"/>
    </row>
    <row r="189" spans="1:14" ht="15.75">
      <c r="A189" s="226"/>
      <c r="B189" s="290"/>
      <c r="C189" s="290"/>
      <c r="D189" s="39"/>
      <c r="E189" s="39" t="e">
        <f>VLOOKUP(D189,Configuracion!$A$4:$C$591,2,FALSE)</f>
        <v>#N/A</v>
      </c>
      <c r="F189" s="224"/>
      <c r="G189" s="224"/>
      <c r="H189" s="224"/>
      <c r="I189" s="225"/>
      <c r="J189" s="12"/>
      <c r="K189" s="12"/>
      <c r="L189" s="13"/>
      <c r="M189" s="2"/>
      <c r="N189" s="2"/>
    </row>
    <row r="190" spans="1:14" ht="15.75">
      <c r="A190" s="226"/>
      <c r="B190" s="290"/>
      <c r="C190" s="290"/>
      <c r="D190" s="39"/>
      <c r="E190" s="39" t="e">
        <f>VLOOKUP(D190,Configuracion!$A$4:$C$591,2,FALSE)</f>
        <v>#N/A</v>
      </c>
      <c r="F190" s="224"/>
      <c r="G190" s="224"/>
      <c r="H190" s="224"/>
      <c r="I190" s="225"/>
      <c r="J190" s="12"/>
      <c r="K190" s="12"/>
      <c r="L190" s="13"/>
      <c r="M190" s="2"/>
      <c r="N190" s="2"/>
    </row>
    <row r="191" spans="1:14" ht="15.75">
      <c r="A191" s="226"/>
      <c r="B191" s="290"/>
      <c r="C191" s="290"/>
      <c r="D191" s="39"/>
      <c r="E191" s="39" t="e">
        <f>VLOOKUP(D191,Configuracion!$A$4:$C$591,2,FALSE)</f>
        <v>#N/A</v>
      </c>
      <c r="F191" s="224"/>
      <c r="G191" s="224"/>
      <c r="H191" s="224"/>
      <c r="I191" s="225"/>
      <c r="J191" s="12"/>
      <c r="K191" s="12"/>
      <c r="L191" s="13"/>
      <c r="M191" s="2"/>
      <c r="N191" s="2"/>
    </row>
    <row r="192" spans="1:14" ht="15.75">
      <c r="A192" s="226"/>
      <c r="B192" s="290"/>
      <c r="C192" s="290"/>
      <c r="D192" s="39"/>
      <c r="E192" s="39" t="e">
        <f>VLOOKUP(D192,Configuracion!$A$4:$C$591,2,FALSE)</f>
        <v>#N/A</v>
      </c>
      <c r="F192" s="224"/>
      <c r="G192" s="224"/>
      <c r="H192" s="224"/>
      <c r="I192" s="225"/>
      <c r="J192" s="12"/>
      <c r="K192" s="12"/>
      <c r="L192" s="13"/>
      <c r="M192" s="2"/>
      <c r="N192" s="2"/>
    </row>
    <row r="193" spans="1:14" ht="15.75">
      <c r="A193" s="226"/>
      <c r="B193" s="290"/>
      <c r="C193" s="290"/>
      <c r="D193" s="39"/>
      <c r="E193" s="39" t="e">
        <f>VLOOKUP(D193,Configuracion!$A$4:$C$591,2,FALSE)</f>
        <v>#N/A</v>
      </c>
      <c r="F193" s="224"/>
      <c r="G193" s="224"/>
      <c r="H193" s="224"/>
      <c r="I193" s="225"/>
      <c r="J193" s="12"/>
      <c r="K193" s="12"/>
      <c r="L193" s="13"/>
      <c r="M193" s="2"/>
      <c r="N193" s="2"/>
    </row>
    <row r="194" spans="1:14" ht="15.75">
      <c r="A194" s="226"/>
      <c r="B194" s="290"/>
      <c r="C194" s="290"/>
      <c r="D194" s="39"/>
      <c r="E194" s="39" t="e">
        <f>VLOOKUP(D194,Configuracion!$A$4:$C$591,2,FALSE)</f>
        <v>#N/A</v>
      </c>
      <c r="F194" s="224"/>
      <c r="G194" s="224"/>
      <c r="H194" s="224"/>
      <c r="I194" s="225"/>
      <c r="J194" s="12"/>
      <c r="K194" s="12"/>
      <c r="L194" s="13"/>
      <c r="M194" s="2"/>
      <c r="N194" s="2"/>
    </row>
    <row r="195" spans="1:14" ht="15.75">
      <c r="A195" s="226"/>
      <c r="B195" s="290"/>
      <c r="C195" s="290"/>
      <c r="D195" s="39"/>
      <c r="E195" s="39" t="e">
        <f>VLOOKUP(D195,Configuracion!$A$4:$C$591,2,FALSE)</f>
        <v>#N/A</v>
      </c>
      <c r="F195" s="224"/>
      <c r="G195" s="224"/>
      <c r="H195" s="224"/>
      <c r="I195" s="225"/>
      <c r="J195" s="12"/>
      <c r="K195" s="12"/>
      <c r="L195" s="13"/>
      <c r="M195" s="2"/>
      <c r="N195" s="2"/>
    </row>
    <row r="196" spans="1:14" ht="15.75">
      <c r="A196" s="226"/>
      <c r="B196" s="290"/>
      <c r="C196" s="290"/>
      <c r="D196" s="39"/>
      <c r="E196" s="39" t="e">
        <f>VLOOKUP(D196,Configuracion!$A$4:$C$591,2,FALSE)</f>
        <v>#N/A</v>
      </c>
      <c r="F196" s="224"/>
      <c r="G196" s="224"/>
      <c r="H196" s="224"/>
      <c r="I196" s="225"/>
      <c r="J196" s="12"/>
      <c r="K196" s="12"/>
      <c r="L196" s="13"/>
      <c r="M196" s="2"/>
      <c r="N196" s="2"/>
    </row>
    <row r="197" spans="1:14" ht="16.5" thickBot="1">
      <c r="A197" s="315" t="s">
        <v>4</v>
      </c>
      <c r="B197" s="316"/>
      <c r="C197" s="316"/>
      <c r="D197" s="316"/>
      <c r="E197" s="317"/>
      <c r="F197" s="74">
        <f>SUM(F168:F196)</f>
        <v>599891.39</v>
      </c>
      <c r="G197" s="74">
        <f>SUM(G168:G196)</f>
        <v>957038.24</v>
      </c>
      <c r="H197" s="74">
        <f>SUM(H168:H196)</f>
        <v>326086.02000000008</v>
      </c>
      <c r="I197" s="74">
        <f>SUM(I168:I196)</f>
        <v>302771.71000000002</v>
      </c>
      <c r="J197" s="12"/>
      <c r="K197" s="12"/>
      <c r="L197" s="13"/>
      <c r="M197" s="2"/>
      <c r="N197" s="2"/>
    </row>
    <row r="198" spans="1:14">
      <c r="A198" s="32"/>
      <c r="B198" s="32"/>
      <c r="D198" s="41"/>
      <c r="E198" s="33"/>
      <c r="F198" s="51"/>
      <c r="G198" s="5"/>
      <c r="H198" s="5"/>
      <c r="I198" s="5"/>
      <c r="J198" s="14"/>
      <c r="K198" s="15"/>
      <c r="L198" s="11"/>
    </row>
    <row r="199" spans="1:14">
      <c r="A199" s="32"/>
      <c r="B199" s="32"/>
      <c r="D199" s="41"/>
      <c r="E199" s="33"/>
      <c r="F199" s="51"/>
      <c r="G199" s="5"/>
      <c r="H199" s="5"/>
      <c r="I199" s="5"/>
      <c r="J199" s="14"/>
      <c r="K199" s="15"/>
      <c r="L199" s="11"/>
    </row>
    <row r="200" spans="1:14" ht="15.75" thickBot="1">
      <c r="J200" s="14"/>
      <c r="K200" s="15"/>
      <c r="L200" s="11"/>
    </row>
    <row r="201" spans="1:14" ht="16.5" thickBot="1">
      <c r="A201" s="312" t="s">
        <v>0</v>
      </c>
      <c r="B201" s="313"/>
      <c r="C201" s="313"/>
      <c r="D201" s="313"/>
      <c r="E201" s="313"/>
      <c r="F201" s="313"/>
      <c r="G201" s="313"/>
      <c r="H201" s="313"/>
      <c r="I201" s="314"/>
      <c r="J201" s="14"/>
      <c r="K201" s="15"/>
      <c r="L201" s="11"/>
    </row>
    <row r="202" spans="1:14" ht="16.5" thickBot="1">
      <c r="A202" s="62"/>
      <c r="B202" s="12"/>
      <c r="C202" s="12"/>
      <c r="D202" s="96"/>
      <c r="E202" s="12"/>
      <c r="F202" s="12"/>
      <c r="G202" s="12"/>
      <c r="H202" s="12"/>
      <c r="I202" s="12"/>
      <c r="J202" s="14"/>
      <c r="K202" s="15"/>
      <c r="L202" s="11"/>
    </row>
    <row r="203" spans="1:14" ht="16.5" thickBot="1">
      <c r="A203" s="294" t="s">
        <v>26</v>
      </c>
      <c r="B203" s="295"/>
      <c r="C203" s="296"/>
      <c r="D203" s="96"/>
      <c r="E203" s="12"/>
      <c r="F203" s="12"/>
      <c r="G203" s="12"/>
      <c r="H203" s="12"/>
      <c r="I203" s="12"/>
      <c r="J203" s="14"/>
      <c r="K203" s="15"/>
      <c r="L203" s="11"/>
    </row>
    <row r="204" spans="1:14" ht="15.75" thickBot="1">
      <c r="A204" s="63" t="s">
        <v>1</v>
      </c>
      <c r="B204" s="24" t="s">
        <v>17</v>
      </c>
      <c r="C204" s="24" t="s">
        <v>18</v>
      </c>
      <c r="D204" s="42" t="s">
        <v>7</v>
      </c>
      <c r="E204" s="24" t="s">
        <v>19</v>
      </c>
      <c r="F204" s="24" t="s">
        <v>8</v>
      </c>
      <c r="G204" s="24" t="s">
        <v>3</v>
      </c>
      <c r="H204" s="24" t="s">
        <v>31</v>
      </c>
      <c r="I204" s="24" t="s">
        <v>4</v>
      </c>
      <c r="J204" s="14"/>
      <c r="K204" s="15"/>
      <c r="L204" s="11"/>
    </row>
    <row r="205" spans="1:14" ht="15.75" thickBot="1">
      <c r="A205" s="64">
        <v>45163</v>
      </c>
      <c r="B205" s="27">
        <v>3</v>
      </c>
      <c r="C205" s="16">
        <v>7</v>
      </c>
      <c r="D205" s="39">
        <v>30522428163</v>
      </c>
      <c r="E205" s="39" t="str">
        <f>VLOOKUP(D205,Configuracion!$A$4:$C$591,2,FALSE)</f>
        <v>GALENO ARGENTINA SA</v>
      </c>
      <c r="F205" s="203">
        <v>3414710.74</v>
      </c>
      <c r="G205" s="19">
        <f>F205*0.21</f>
        <v>717089.25540000002</v>
      </c>
      <c r="H205" s="75"/>
      <c r="I205" s="54">
        <f>SUM(F205:H205)</f>
        <v>4131799.9954000004</v>
      </c>
      <c r="J205" s="14"/>
      <c r="K205" s="15"/>
      <c r="L205" s="11"/>
    </row>
    <row r="206" spans="1:14" ht="15.75" thickBot="1">
      <c r="A206" s="64"/>
      <c r="B206" s="27"/>
      <c r="C206" s="16"/>
      <c r="D206" s="39"/>
      <c r="E206" s="39" t="e">
        <f>VLOOKUP(D206,Configuracion!$A$4:$C$591,2,FALSE)</f>
        <v>#N/A</v>
      </c>
      <c r="F206" s="203"/>
      <c r="G206" s="19">
        <f>F206*0.21</f>
        <v>0</v>
      </c>
      <c r="H206" s="75"/>
      <c r="I206" s="54">
        <f>SUM(F206:H206)</f>
        <v>0</v>
      </c>
      <c r="J206" s="14"/>
      <c r="K206" s="15"/>
      <c r="L206" s="11"/>
    </row>
    <row r="207" spans="1:14" ht="15.75" thickBot="1">
      <c r="A207" s="64"/>
      <c r="B207" s="27"/>
      <c r="C207" s="16"/>
      <c r="D207" s="39"/>
      <c r="E207" s="39" t="e">
        <f>VLOOKUP(D207,Configuracion!$A$4:$C$591,2,FALSE)</f>
        <v>#N/A</v>
      </c>
      <c r="F207" s="203"/>
      <c r="G207" s="19">
        <f>F207*0.21</f>
        <v>0</v>
      </c>
      <c r="H207" s="75"/>
      <c r="I207" s="54">
        <f>SUM(F207:H207)</f>
        <v>0</v>
      </c>
      <c r="J207" s="14"/>
      <c r="K207" s="15"/>
      <c r="L207" s="11"/>
    </row>
    <row r="208" spans="1:14" ht="15.75" thickBot="1">
      <c r="A208" s="64"/>
      <c r="B208" s="27"/>
      <c r="C208" s="16"/>
      <c r="D208" s="39"/>
      <c r="E208" s="39" t="e">
        <f>VLOOKUP(D208,Configuracion!$A$4:$C$591,2,FALSE)</f>
        <v>#N/A</v>
      </c>
      <c r="F208" s="203"/>
      <c r="G208" s="19">
        <f>F208*0.21</f>
        <v>0</v>
      </c>
      <c r="H208" s="75"/>
      <c r="I208" s="54">
        <f>SUM(F208:H208)</f>
        <v>0</v>
      </c>
      <c r="J208" s="14"/>
      <c r="K208" s="15"/>
      <c r="L208" s="11"/>
    </row>
    <row r="209" spans="1:12" ht="15.75" thickBot="1">
      <c r="A209" s="64"/>
      <c r="B209" s="27"/>
      <c r="C209" s="16"/>
      <c r="D209" s="39"/>
      <c r="E209" s="39" t="e">
        <f>VLOOKUP(D209,Configuracion!$A$4:$C$591,2,FALSE)</f>
        <v>#N/A</v>
      </c>
      <c r="F209" s="203"/>
      <c r="G209" s="19">
        <f>F209*0.21</f>
        <v>0</v>
      </c>
      <c r="H209" s="75"/>
      <c r="I209" s="54">
        <f>SUM(F209:H209)</f>
        <v>0</v>
      </c>
      <c r="J209" s="14"/>
      <c r="K209" s="15"/>
      <c r="L209" s="11"/>
    </row>
    <row r="210" spans="1:12" ht="15.75" thickBot="1">
      <c r="A210" s="303" t="s">
        <v>4</v>
      </c>
      <c r="B210" s="304"/>
      <c r="C210" s="310"/>
      <c r="D210" s="310"/>
      <c r="E210" s="311"/>
      <c r="F210" s="52">
        <f>SUM(F205:F209)</f>
        <v>3414710.74</v>
      </c>
      <c r="G210" s="52">
        <f>SUM(G205:G209)</f>
        <v>717089.25540000002</v>
      </c>
      <c r="H210" s="52"/>
      <c r="I210" s="52">
        <f>SUM(I205:I209)</f>
        <v>4131799.9954000004</v>
      </c>
    </row>
    <row r="211" spans="1:12">
      <c r="A211" s="66"/>
      <c r="B211" s="6"/>
      <c r="C211" s="17"/>
      <c r="D211" s="44"/>
      <c r="E211" s="17"/>
      <c r="F211" s="53"/>
      <c r="G211" s="53"/>
      <c r="H211" s="53"/>
      <c r="I211" s="11"/>
    </row>
    <row r="212" spans="1:12" ht="15.75" thickBot="1"/>
    <row r="213" spans="1:12" ht="16.5" thickBot="1">
      <c r="A213" s="294" t="s">
        <v>27</v>
      </c>
      <c r="B213" s="295"/>
      <c r="C213" s="296"/>
      <c r="D213" s="96"/>
      <c r="E213" s="12"/>
      <c r="F213" s="12"/>
      <c r="G213" s="12"/>
      <c r="H213" s="12"/>
    </row>
    <row r="214" spans="1:12" ht="15.75" thickBot="1">
      <c r="A214" s="63" t="s">
        <v>1</v>
      </c>
      <c r="B214" s="24" t="s">
        <v>17</v>
      </c>
      <c r="C214" s="24" t="s">
        <v>18</v>
      </c>
      <c r="D214" s="42" t="s">
        <v>7</v>
      </c>
      <c r="E214" s="24" t="s">
        <v>19</v>
      </c>
      <c r="F214" s="24" t="s">
        <v>8</v>
      </c>
      <c r="G214" s="24" t="s">
        <v>3</v>
      </c>
      <c r="H214" s="24" t="s">
        <v>4</v>
      </c>
    </row>
    <row r="215" spans="1:12">
      <c r="A215" s="64"/>
      <c r="B215" s="20"/>
      <c r="C215" s="16"/>
      <c r="D215" s="39"/>
      <c r="E215" s="39" t="e">
        <f>VLOOKUP(D215,Configuracion!$A$4:$C$591,2,FALSE)</f>
        <v>#N/A</v>
      </c>
      <c r="F215" s="19">
        <f>H215/1.21</f>
        <v>0</v>
      </c>
      <c r="G215" s="19">
        <f>F215*0.21</f>
        <v>0</v>
      </c>
      <c r="H215" s="205"/>
    </row>
    <row r="216" spans="1:12">
      <c r="A216" s="64"/>
      <c r="B216" s="20"/>
      <c r="C216" s="16"/>
      <c r="D216" s="39"/>
      <c r="E216" s="39" t="e">
        <f>VLOOKUP(D216,Configuracion!$A$4:$C$591,2,FALSE)</f>
        <v>#N/A</v>
      </c>
      <c r="F216" s="19">
        <f>H216/1.21</f>
        <v>0</v>
      </c>
      <c r="G216" s="19">
        <f>F216*0.21</f>
        <v>0</v>
      </c>
      <c r="H216" s="205"/>
    </row>
    <row r="217" spans="1:12">
      <c r="A217" s="64"/>
      <c r="B217" s="20"/>
      <c r="C217" s="16"/>
      <c r="D217" s="39"/>
      <c r="E217" s="39" t="e">
        <f>VLOOKUP(D217,Configuracion!$A$4:$C$591,2,FALSE)</f>
        <v>#N/A</v>
      </c>
      <c r="F217" s="19">
        <f>H217/1.21</f>
        <v>0</v>
      </c>
      <c r="G217" s="19">
        <f>F217*0.21</f>
        <v>0</v>
      </c>
      <c r="H217" s="205"/>
    </row>
    <row r="218" spans="1:12">
      <c r="A218" s="64"/>
      <c r="B218" s="20"/>
      <c r="C218" s="16"/>
      <c r="D218" s="39"/>
      <c r="E218" s="39" t="e">
        <f>VLOOKUP(D218,Configuracion!$A$4:$C$591,2,FALSE)</f>
        <v>#N/A</v>
      </c>
      <c r="F218" s="19">
        <f>H218/1.21</f>
        <v>0</v>
      </c>
      <c r="G218" s="19">
        <f>F218*0.21</f>
        <v>0</v>
      </c>
      <c r="H218" s="205"/>
    </row>
    <row r="219" spans="1:12" ht="15.75" thickBot="1">
      <c r="A219" s="65"/>
      <c r="B219" s="28"/>
      <c r="C219" s="29"/>
      <c r="D219" s="43"/>
      <c r="E219" s="39" t="e">
        <f>VLOOKUP(D219,Configuracion!$A$4:$C$591,2,FALSE)</f>
        <v>#N/A</v>
      </c>
      <c r="F219" s="19">
        <f>H219/1.21</f>
        <v>0</v>
      </c>
      <c r="G219" s="19">
        <f>F219*0.21</f>
        <v>0</v>
      </c>
      <c r="H219" s="205"/>
    </row>
    <row r="220" spans="1:12" ht="15.75" thickBot="1">
      <c r="A220" s="303" t="s">
        <v>4</v>
      </c>
      <c r="B220" s="304"/>
      <c r="C220" s="310"/>
      <c r="D220" s="310"/>
      <c r="E220" s="311"/>
      <c r="F220" s="52">
        <f>SUM(F215:F219)</f>
        <v>0</v>
      </c>
      <c r="G220" s="52">
        <f>SUM(G215:G219)</f>
        <v>0</v>
      </c>
      <c r="H220" s="52">
        <f>SUM(H215:H219)</f>
        <v>0</v>
      </c>
    </row>
    <row r="227" spans="1:6" ht="15.75">
      <c r="A227" s="309" t="s">
        <v>222</v>
      </c>
      <c r="B227" s="309"/>
      <c r="C227" s="309"/>
      <c r="D227" s="309"/>
      <c r="E227" s="309"/>
    </row>
    <row r="228" spans="1:6">
      <c r="A228" s="216"/>
      <c r="B228" s="217" t="s">
        <v>219</v>
      </c>
      <c r="C228" s="217" t="s">
        <v>3</v>
      </c>
      <c r="D228" s="217" t="s">
        <v>220</v>
      </c>
      <c r="E228" s="217" t="s">
        <v>221</v>
      </c>
      <c r="F228" s="239"/>
    </row>
    <row r="229" spans="1:6">
      <c r="A229" s="230" t="s">
        <v>333</v>
      </c>
      <c r="B229" s="251">
        <v>42389126.140000001</v>
      </c>
      <c r="C229" s="251">
        <v>8901716.4900000002</v>
      </c>
      <c r="D229" s="251">
        <v>0</v>
      </c>
      <c r="E229" s="251">
        <v>51290842.629999995</v>
      </c>
    </row>
    <row r="230" spans="1:6">
      <c r="A230" s="230" t="s">
        <v>402</v>
      </c>
      <c r="B230" s="251">
        <v>-369013.91</v>
      </c>
      <c r="C230" s="251">
        <v>-77492.92</v>
      </c>
      <c r="D230" s="251">
        <v>0</v>
      </c>
      <c r="E230" s="251">
        <v>-446506.83</v>
      </c>
      <c r="F230" s="250"/>
    </row>
    <row r="231" spans="1:6">
      <c r="A231" s="230" t="s">
        <v>20</v>
      </c>
      <c r="B231" s="251">
        <v>2877974.05</v>
      </c>
      <c r="C231" s="251">
        <v>604374.52000000014</v>
      </c>
      <c r="D231" s="251">
        <v>0</v>
      </c>
      <c r="E231" s="251">
        <v>3482348.57</v>
      </c>
      <c r="F231" s="6"/>
    </row>
    <row r="232" spans="1:6">
      <c r="A232" s="230" t="s">
        <v>316</v>
      </c>
      <c r="B232" s="251">
        <v>-16727.099999999999</v>
      </c>
      <c r="C232" s="251">
        <v>-3512.69</v>
      </c>
      <c r="D232" s="251">
        <v>0</v>
      </c>
      <c r="E232" s="251">
        <v>-20239.79</v>
      </c>
      <c r="F232" s="6"/>
    </row>
    <row r="233" spans="1:6">
      <c r="A233" s="231" t="s">
        <v>256</v>
      </c>
      <c r="B233" s="251">
        <v>3414645.2700000033</v>
      </c>
      <c r="C233" s="251">
        <v>717075.4300000004</v>
      </c>
      <c r="D233" s="251">
        <v>0</v>
      </c>
      <c r="E233" s="251">
        <v>4131720.7</v>
      </c>
      <c r="F233" s="6"/>
    </row>
    <row r="234" spans="1:6">
      <c r="A234" s="231" t="s">
        <v>315</v>
      </c>
      <c r="B234" s="251">
        <v>-31024.79</v>
      </c>
      <c r="C234" s="251">
        <v>-6515.21</v>
      </c>
      <c r="D234" s="251">
        <v>0</v>
      </c>
      <c r="E234" s="251">
        <v>-37540</v>
      </c>
      <c r="F234" s="6"/>
    </row>
    <row r="235" spans="1:6">
      <c r="A235" s="219"/>
      <c r="B235" s="220">
        <f>SUM(B229:B234)</f>
        <v>48264979.660000004</v>
      </c>
      <c r="C235" s="220">
        <f>SUM(C229:C234)</f>
        <v>10135645.619999999</v>
      </c>
      <c r="D235" s="220">
        <v>0</v>
      </c>
      <c r="E235" s="220">
        <f>SUM(E229:E234)</f>
        <v>58400625.280000001</v>
      </c>
      <c r="F235" s="252"/>
    </row>
    <row r="236" spans="1:6">
      <c r="A236" s="221"/>
      <c r="B236" s="222"/>
      <c r="C236" s="222"/>
      <c r="D236" s="222"/>
      <c r="E236" s="222"/>
    </row>
  </sheetData>
  <autoFilter ref="A7:Q164" xr:uid="{00000000-0001-0000-0100-000000000000}"/>
  <sortState xmlns:xlrd2="http://schemas.microsoft.com/office/spreadsheetml/2017/richdata2" ref="A8:P115">
    <sortCondition ref="A8:A115"/>
  </sortState>
  <mergeCells count="46">
    <mergeCell ref="A227:E227"/>
    <mergeCell ref="A210:E210"/>
    <mergeCell ref="A201:I201"/>
    <mergeCell ref="A197:E197"/>
    <mergeCell ref="A203:C203"/>
    <mergeCell ref="A213:C213"/>
    <mergeCell ref="A220:E220"/>
    <mergeCell ref="B167:C167"/>
    <mergeCell ref="A1:I1"/>
    <mergeCell ref="J1:N1"/>
    <mergeCell ref="A6:C6"/>
    <mergeCell ref="A119:C119"/>
    <mergeCell ref="A166:C166"/>
    <mergeCell ref="A4:N4"/>
    <mergeCell ref="A164:E164"/>
    <mergeCell ref="A116:E116"/>
    <mergeCell ref="G117:I117"/>
    <mergeCell ref="B176:C176"/>
    <mergeCell ref="B173:C173"/>
    <mergeCell ref="B174:C174"/>
    <mergeCell ref="B178:C178"/>
    <mergeCell ref="B179:C179"/>
    <mergeCell ref="B182:C182"/>
    <mergeCell ref="B168:C168"/>
    <mergeCell ref="B180:C180"/>
    <mergeCell ref="B181:C181"/>
    <mergeCell ref="B196:C196"/>
    <mergeCell ref="B183:C183"/>
    <mergeCell ref="B184:C184"/>
    <mergeCell ref="B185:C185"/>
    <mergeCell ref="B186:C186"/>
    <mergeCell ref="B187:C187"/>
    <mergeCell ref="B170:C170"/>
    <mergeCell ref="B169:C169"/>
    <mergeCell ref="B171:C171"/>
    <mergeCell ref="B172:C172"/>
    <mergeCell ref="B177:C177"/>
    <mergeCell ref="B175:C175"/>
    <mergeCell ref="B193:C193"/>
    <mergeCell ref="B194:C194"/>
    <mergeCell ref="B195:C195"/>
    <mergeCell ref="B188:C188"/>
    <mergeCell ref="B189:C189"/>
    <mergeCell ref="B190:C190"/>
    <mergeCell ref="B191:C191"/>
    <mergeCell ref="B192:C192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topLeftCell="A10" workbookViewId="0">
      <selection activeCell="E11" sqref="E11:E12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18" t="s">
        <v>90</v>
      </c>
      <c r="C1" s="319"/>
      <c r="D1" s="320"/>
      <c r="E1" s="103"/>
    </row>
    <row r="2" spans="1:8" ht="18.75" thickBot="1">
      <c r="A2" s="104" t="s">
        <v>91</v>
      </c>
      <c r="B2" s="103"/>
      <c r="C2" s="102"/>
      <c r="D2" s="228">
        <v>45139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32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+AGOSTO!F210</f>
        <v>3414710.74</v>
      </c>
      <c r="C6" s="117">
        <f>(B6*0.21)</f>
        <v>717089.25540000002</v>
      </c>
      <c r="D6" s="117">
        <f>(B6+C6)</f>
        <v>4131799.9954000004</v>
      </c>
      <c r="E6" s="223"/>
    </row>
    <row r="7" spans="1:8">
      <c r="A7" s="115" t="s">
        <v>97</v>
      </c>
      <c r="B7" s="116">
        <f>+AGOSTO!F220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+AGOSTO!B229+AGOSTO!B231+AGOSTO!B232+AGOSTO!B230</f>
        <v>44881359.18</v>
      </c>
      <c r="C8" s="117">
        <f>+B8*0.21</f>
        <v>9425085.4277999997</v>
      </c>
      <c r="D8" s="117">
        <f>(B8+C8)</f>
        <v>54306444.607799999</v>
      </c>
      <c r="E8" s="7"/>
    </row>
    <row r="9" spans="1:8">
      <c r="A9" s="115" t="s">
        <v>202</v>
      </c>
      <c r="B9" s="118">
        <f>+AGOSTO!B233+AGOSTO!B234</f>
        <v>3383620.4800000032</v>
      </c>
      <c r="C9" s="117">
        <f>+B9*0.21</f>
        <v>710560.30080000067</v>
      </c>
      <c r="D9" s="117">
        <f>(B9+C9)</f>
        <v>4094180.780800004</v>
      </c>
      <c r="E9" s="7"/>
    </row>
    <row r="10" spans="1:8" ht="15.75" thickBot="1">
      <c r="A10" s="119"/>
      <c r="B10" s="212">
        <f>SUM(B6:B9)</f>
        <v>51679690.400000006</v>
      </c>
      <c r="C10" s="212">
        <f>SUM(C6:C9)</f>
        <v>10852734.984000001</v>
      </c>
      <c r="D10" s="213">
        <f>SUM(D6:D9)</f>
        <v>62532425.384000011</v>
      </c>
      <c r="E10" s="229"/>
      <c r="H10" s="173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+AGOSTO!F116</f>
        <v>24295960.790000007</v>
      </c>
      <c r="C15" s="117">
        <f>+AGOSTO!G116+AGOSTO!H116+AGOSTO!I116</f>
        <v>4936749.7114999983</v>
      </c>
      <c r="D15" s="117">
        <f>(B15+C15)</f>
        <v>29232710.501500003</v>
      </c>
      <c r="E15" s="127"/>
    </row>
    <row r="16" spans="1:8" ht="15.75" thickBot="1">
      <c r="A16" s="119"/>
      <c r="B16" s="128"/>
      <c r="C16" s="129"/>
      <c r="D16" s="117"/>
      <c r="E16" s="130"/>
    </row>
    <row r="17" spans="1:5" ht="15.75" thickBot="1">
      <c r="A17" s="119"/>
      <c r="B17" s="131">
        <f>SUM(B15:B16)</f>
        <v>24295960.790000007</v>
      </c>
      <c r="C17" s="132">
        <f>SUM(C15:C16)</f>
        <v>4936749.7114999983</v>
      </c>
      <c r="D17" s="133">
        <f>SUM(D15:D16)</f>
        <v>29232710.501500003</v>
      </c>
      <c r="E17" s="7"/>
    </row>
    <row r="18" spans="1:5">
      <c r="A18" s="119"/>
      <c r="B18" s="134"/>
      <c r="C18" s="134"/>
      <c r="D18" s="134"/>
      <c r="E18" s="7"/>
    </row>
    <row r="19" spans="1:5" ht="15.75" thickBot="1">
      <c r="A19" s="119"/>
      <c r="C19" s="135"/>
      <c r="D19" s="135"/>
      <c r="E19" s="136"/>
    </row>
    <row r="20" spans="1:5" ht="15.75" thickBot="1">
      <c r="A20" s="125" t="s">
        <v>22</v>
      </c>
      <c r="B20" s="137" t="s">
        <v>99</v>
      </c>
      <c r="C20" s="137" t="s">
        <v>100</v>
      </c>
      <c r="D20" s="137" t="s">
        <v>101</v>
      </c>
      <c r="E20" s="137" t="s">
        <v>102</v>
      </c>
    </row>
    <row r="21" spans="1:5">
      <c r="A21" s="138" t="s">
        <v>103</v>
      </c>
      <c r="B21" s="139"/>
      <c r="C21" s="140"/>
      <c r="D21" s="141"/>
      <c r="E21" s="142"/>
    </row>
    <row r="22" spans="1:5">
      <c r="A22" s="138"/>
      <c r="B22" s="143"/>
      <c r="C22" s="72"/>
      <c r="D22" s="144"/>
      <c r="E22" s="71"/>
    </row>
    <row r="23" spans="1:5">
      <c r="A23" s="138"/>
      <c r="B23" s="143"/>
      <c r="C23" s="72"/>
      <c r="D23" s="144"/>
      <c r="E23" s="71"/>
    </row>
    <row r="24" spans="1:5">
      <c r="A24" s="138"/>
      <c r="B24" s="143"/>
      <c r="C24" s="72"/>
      <c r="D24" s="144"/>
      <c r="E24" s="71"/>
    </row>
    <row r="25" spans="1:5">
      <c r="A25" s="138"/>
      <c r="B25" s="143"/>
      <c r="C25" s="140"/>
      <c r="D25" s="141"/>
      <c r="E25" s="142"/>
    </row>
    <row r="26" spans="1:5">
      <c r="A26" s="138"/>
      <c r="B26" s="143"/>
      <c r="C26" s="140"/>
      <c r="D26" s="141"/>
      <c r="E26" s="142"/>
    </row>
    <row r="27" spans="1:5">
      <c r="A27" s="138"/>
      <c r="B27" s="143"/>
      <c r="C27" s="140"/>
      <c r="D27" s="141"/>
      <c r="E27" s="142"/>
    </row>
    <row r="28" spans="1:5">
      <c r="A28" s="138"/>
      <c r="B28" s="143"/>
      <c r="C28" s="140"/>
      <c r="D28" s="141"/>
      <c r="E28" s="142"/>
    </row>
    <row r="29" spans="1:5">
      <c r="A29" s="138"/>
      <c r="B29" s="145"/>
      <c r="C29" s="140"/>
      <c r="D29" s="141"/>
      <c r="E29" s="142"/>
    </row>
    <row r="30" spans="1:5">
      <c r="A30" s="138"/>
      <c r="B30" s="143"/>
      <c r="C30" s="140"/>
      <c r="D30" s="141"/>
      <c r="E30" s="142"/>
    </row>
    <row r="31" spans="1:5">
      <c r="A31" s="138"/>
      <c r="B31" s="145"/>
      <c r="C31" s="140"/>
      <c r="D31" s="141"/>
      <c r="E31" s="142"/>
    </row>
    <row r="32" spans="1:5">
      <c r="A32" s="138"/>
      <c r="B32" s="145"/>
      <c r="C32" s="140"/>
      <c r="D32" s="141"/>
      <c r="E32" s="142"/>
    </row>
    <row r="33" spans="1:6">
      <c r="A33" s="138"/>
      <c r="B33" s="145"/>
      <c r="C33" s="140"/>
      <c r="D33" s="141"/>
      <c r="E33" s="142"/>
    </row>
    <row r="34" spans="1:6">
      <c r="A34" s="138"/>
      <c r="B34" s="145"/>
      <c r="C34" s="140"/>
      <c r="D34" s="141"/>
      <c r="E34" s="142"/>
    </row>
    <row r="35" spans="1:6" ht="15.75" thickBot="1">
      <c r="A35" s="138"/>
      <c r="B35" s="145"/>
      <c r="C35" s="146"/>
      <c r="D35" s="147"/>
      <c r="E35" s="142"/>
      <c r="F35" t="s">
        <v>104</v>
      </c>
    </row>
    <row r="36" spans="1:6" ht="15.75" thickBot="1">
      <c r="A36" s="148"/>
      <c r="B36" s="6"/>
      <c r="C36" s="149">
        <f>+AGOSTO!G197</f>
        <v>957038.24</v>
      </c>
      <c r="D36" s="6"/>
      <c r="E36" s="150"/>
    </row>
    <row r="37" spans="1:6" ht="15.75" thickBot="1">
      <c r="B37" s="7"/>
      <c r="C37" s="151"/>
      <c r="D37" s="7"/>
    </row>
    <row r="38" spans="1:6">
      <c r="A38" s="152" t="s">
        <v>105</v>
      </c>
      <c r="B38" s="153" t="s">
        <v>99</v>
      </c>
      <c r="C38" s="154" t="s">
        <v>100</v>
      </c>
      <c r="D38" s="153" t="s">
        <v>101</v>
      </c>
      <c r="E38" s="153" t="s">
        <v>102</v>
      </c>
    </row>
    <row r="39" spans="1:6">
      <c r="A39" s="155"/>
      <c r="B39" s="156"/>
      <c r="C39" s="157"/>
      <c r="D39" s="146"/>
      <c r="E39" s="142"/>
    </row>
    <row r="40" spans="1:6">
      <c r="A40" s="138"/>
      <c r="B40" s="158"/>
      <c r="C40" s="146"/>
      <c r="D40" s="146"/>
      <c r="E40" s="142"/>
    </row>
    <row r="41" spans="1:6" ht="15.75" thickBot="1">
      <c r="A41" s="159"/>
      <c r="B41" s="160"/>
      <c r="C41" s="161"/>
      <c r="D41" s="162"/>
      <c r="E41" s="163"/>
    </row>
    <row r="42" spans="1:6" ht="15.75" thickBot="1">
      <c r="A42" s="164"/>
      <c r="B42" s="121"/>
      <c r="C42" s="165">
        <f>SUM(C39:C41)</f>
        <v>0</v>
      </c>
      <c r="D42" s="6"/>
      <c r="E42" s="150"/>
    </row>
    <row r="43" spans="1:6">
      <c r="C43" s="151"/>
      <c r="E43" s="7"/>
    </row>
    <row r="44" spans="1:6">
      <c r="A44" s="166" t="s">
        <v>106</v>
      </c>
      <c r="B44" s="167"/>
      <c r="C44" s="73">
        <f>+C42+C36</f>
        <v>957038.24</v>
      </c>
      <c r="E44" s="7"/>
    </row>
    <row r="45" spans="1:6">
      <c r="A45" s="168"/>
      <c r="B45" s="168"/>
      <c r="C45" s="123"/>
      <c r="E45" s="7"/>
    </row>
    <row r="46" spans="1:6">
      <c r="A46" s="168"/>
      <c r="B46" s="168"/>
      <c r="C46" s="123"/>
      <c r="E46" s="7"/>
    </row>
    <row r="47" spans="1:6" ht="15.75" thickBot="1">
      <c r="C47" s="169" t="s">
        <v>107</v>
      </c>
      <c r="E47" s="7"/>
    </row>
    <row r="48" spans="1:6">
      <c r="A48" s="170" t="s">
        <v>108</v>
      </c>
      <c r="B48" s="171"/>
      <c r="C48" s="172">
        <f>+C10-C17</f>
        <v>5915985.2725000028</v>
      </c>
      <c r="D48" s="173"/>
      <c r="E48" s="7"/>
    </row>
    <row r="49" spans="1:5">
      <c r="A49" s="174"/>
      <c r="B49" s="168"/>
      <c r="C49" s="175"/>
      <c r="D49" s="173"/>
      <c r="E49" s="7"/>
    </row>
    <row r="50" spans="1:5">
      <c r="A50" s="176" t="s">
        <v>109</v>
      </c>
      <c r="B50" s="167"/>
      <c r="C50" s="177"/>
      <c r="D50" s="178" t="s">
        <v>110</v>
      </c>
      <c r="E50" s="7"/>
    </row>
    <row r="51" spans="1:5" ht="15.75" thickBot="1">
      <c r="A51" s="174"/>
      <c r="B51" s="168"/>
      <c r="C51" s="175"/>
      <c r="D51" s="173"/>
      <c r="E51" s="7"/>
    </row>
    <row r="52" spans="1:5" ht="15.75" thickBot="1">
      <c r="A52" s="179" t="s">
        <v>111</v>
      </c>
      <c r="B52" s="180"/>
      <c r="C52" s="181">
        <f>+C48-C50</f>
        <v>5915985.2725000028</v>
      </c>
      <c r="D52" s="182"/>
      <c r="E52" s="183"/>
    </row>
    <row r="53" spans="1:5">
      <c r="A53" s="184"/>
      <c r="B53" s="184"/>
      <c r="C53" s="185"/>
      <c r="D53" s="186"/>
      <c r="E53" s="183"/>
    </row>
    <row r="54" spans="1:5">
      <c r="A54" s="184"/>
      <c r="B54" s="184"/>
      <c r="C54" s="185"/>
      <c r="D54" s="186"/>
      <c r="E54" s="183"/>
    </row>
    <row r="55" spans="1:5" ht="15.75" thickBot="1">
      <c r="A55" s="184"/>
      <c r="B55" s="184"/>
      <c r="C55" s="185"/>
      <c r="D55" s="186"/>
      <c r="E55" s="183"/>
    </row>
    <row r="56" spans="1:5">
      <c r="A56" s="187" t="s">
        <v>112</v>
      </c>
      <c r="B56" s="188"/>
      <c r="C56" s="189">
        <f>+C42+C36</f>
        <v>957038.24</v>
      </c>
      <c r="D56" s="190"/>
      <c r="E56" s="7"/>
    </row>
    <row r="57" spans="1:5">
      <c r="A57" s="174"/>
      <c r="B57" s="168"/>
      <c r="C57" s="175"/>
      <c r="D57" s="173"/>
      <c r="E57" s="7"/>
    </row>
    <row r="58" spans="1:5">
      <c r="A58" s="191" t="s">
        <v>113</v>
      </c>
      <c r="B58" s="192"/>
      <c r="C58" s="240"/>
      <c r="D58" s="7"/>
    </row>
    <row r="59" spans="1:5" ht="15.75" thickBot="1">
      <c r="A59" s="193"/>
      <c r="B59" s="194"/>
      <c r="C59" s="175"/>
      <c r="D59" s="173"/>
      <c r="E59" s="7"/>
    </row>
    <row r="60" spans="1:5" ht="15.75" thickBot="1">
      <c r="A60" s="179" t="s">
        <v>114</v>
      </c>
      <c r="B60" s="180"/>
      <c r="C60" s="181">
        <f>+C56+C58</f>
        <v>957038.24</v>
      </c>
      <c r="D60" s="173"/>
      <c r="E60" s="7"/>
    </row>
    <row r="61" spans="1:5">
      <c r="A61" s="195"/>
      <c r="B61" s="119"/>
      <c r="C61" s="122"/>
      <c r="D61" s="173"/>
      <c r="E61" s="7"/>
    </row>
    <row r="62" spans="1:5" ht="15.75" thickBot="1">
      <c r="A62" s="108"/>
      <c r="B62" s="119"/>
      <c r="C62" s="151"/>
      <c r="D62" s="173"/>
      <c r="E62" s="7"/>
    </row>
    <row r="63" spans="1:5" ht="18.75" thickBot="1">
      <c r="A63" s="196" t="s">
        <v>115</v>
      </c>
      <c r="B63" s="197"/>
      <c r="C63" s="198">
        <f>+C52-C60</f>
        <v>4958947.0325000025</v>
      </c>
      <c r="D63" s="199"/>
      <c r="E63" s="200"/>
    </row>
    <row r="64" spans="1:5" ht="18">
      <c r="A64" s="201" t="s">
        <v>116</v>
      </c>
    </row>
    <row r="66" spans="3:3">
      <c r="C66" s="234"/>
    </row>
    <row r="67" spans="3:3">
      <c r="C67" s="234"/>
    </row>
    <row r="68" spans="3:3">
      <c r="C68" s="238"/>
    </row>
    <row r="69" spans="3:3">
      <c r="C69" s="234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3"/>
  <sheetViews>
    <sheetView tabSelected="1" topLeftCell="A411" workbookViewId="0">
      <selection activeCell="F455" sqref="F455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1.7109375" customWidth="1"/>
    <col min="7" max="7" width="11.140625" customWidth="1"/>
    <col min="8" max="10" width="9.7109375" customWidth="1"/>
    <col min="11" max="11" width="15.5703125" bestFit="1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61" t="s">
        <v>661</v>
      </c>
    </row>
    <row r="2" spans="1:14" ht="18">
      <c r="A2" s="262" t="s">
        <v>662</v>
      </c>
    </row>
    <row r="3" spans="1:14" ht="15.75">
      <c r="A3" s="263" t="s">
        <v>663</v>
      </c>
      <c r="L3" s="264"/>
    </row>
    <row r="5" spans="1:14">
      <c r="A5" s="265" t="s">
        <v>102</v>
      </c>
      <c r="B5" s="265" t="s">
        <v>664</v>
      </c>
      <c r="C5" s="265" t="s">
        <v>665</v>
      </c>
      <c r="D5" s="265" t="s">
        <v>666</v>
      </c>
      <c r="E5" s="265" t="s">
        <v>667</v>
      </c>
      <c r="F5" s="265" t="s">
        <v>668</v>
      </c>
      <c r="G5" s="265" t="s">
        <v>669</v>
      </c>
      <c r="H5" s="265" t="s">
        <v>670</v>
      </c>
      <c r="I5" s="265" t="s">
        <v>671</v>
      </c>
      <c r="J5" s="265" t="s">
        <v>672</v>
      </c>
      <c r="K5" s="265" t="s">
        <v>9</v>
      </c>
      <c r="L5" s="265" t="s">
        <v>10</v>
      </c>
      <c r="M5" s="265" t="s">
        <v>673</v>
      </c>
      <c r="N5" s="265" t="s">
        <v>221</v>
      </c>
    </row>
    <row r="6" spans="1:14">
      <c r="A6" s="267" t="s">
        <v>625</v>
      </c>
      <c r="B6" s="268" t="s">
        <v>674</v>
      </c>
      <c r="C6" s="231" t="s">
        <v>675</v>
      </c>
      <c r="D6" s="231" t="s">
        <v>676</v>
      </c>
      <c r="E6" s="231" t="s">
        <v>661</v>
      </c>
      <c r="F6" s="251">
        <v>3388.43</v>
      </c>
      <c r="G6" s="251">
        <v>0</v>
      </c>
      <c r="H6" s="231">
        <v>0</v>
      </c>
      <c r="I6" s="231">
        <v>0</v>
      </c>
      <c r="J6" s="231">
        <v>0</v>
      </c>
      <c r="K6" s="231">
        <v>711.57</v>
      </c>
      <c r="L6" s="231">
        <v>0</v>
      </c>
      <c r="M6" s="251">
        <v>0</v>
      </c>
      <c r="N6" s="251">
        <v>4100</v>
      </c>
    </row>
    <row r="7" spans="1:14">
      <c r="A7" s="267" t="s">
        <v>625</v>
      </c>
      <c r="B7" s="268" t="s">
        <v>677</v>
      </c>
      <c r="C7" s="231" t="s">
        <v>675</v>
      </c>
      <c r="D7" s="231" t="s">
        <v>676</v>
      </c>
      <c r="E7" s="231" t="s">
        <v>661</v>
      </c>
      <c r="F7" s="251">
        <v>6694.21</v>
      </c>
      <c r="G7" s="251">
        <v>0</v>
      </c>
      <c r="H7" s="231">
        <v>0</v>
      </c>
      <c r="I7" s="231">
        <v>0</v>
      </c>
      <c r="J7" s="231">
        <v>0</v>
      </c>
      <c r="K7" s="231">
        <v>1405.79</v>
      </c>
      <c r="L7" s="231">
        <v>0</v>
      </c>
      <c r="M7" s="251">
        <v>0</v>
      </c>
      <c r="N7" s="251">
        <v>8100</v>
      </c>
    </row>
    <row r="8" spans="1:14">
      <c r="A8" s="267" t="s">
        <v>625</v>
      </c>
      <c r="B8" s="268" t="s">
        <v>678</v>
      </c>
      <c r="C8" s="231" t="s">
        <v>675</v>
      </c>
      <c r="D8" s="231" t="s">
        <v>676</v>
      </c>
      <c r="E8" s="231" t="s">
        <v>661</v>
      </c>
      <c r="F8" s="251">
        <v>8760.33</v>
      </c>
      <c r="G8" s="251">
        <v>0</v>
      </c>
      <c r="H8" s="231">
        <v>0</v>
      </c>
      <c r="I8" s="231">
        <v>0</v>
      </c>
      <c r="J8" s="231">
        <v>0</v>
      </c>
      <c r="K8" s="231">
        <v>1839.67</v>
      </c>
      <c r="L8" s="231">
        <v>0</v>
      </c>
      <c r="M8" s="251">
        <v>0</v>
      </c>
      <c r="N8" s="251">
        <v>10600</v>
      </c>
    </row>
    <row r="9" spans="1:14">
      <c r="A9" s="267" t="s">
        <v>625</v>
      </c>
      <c r="B9" s="268" t="s">
        <v>679</v>
      </c>
      <c r="C9" s="231" t="s">
        <v>675</v>
      </c>
      <c r="D9" s="231" t="s">
        <v>676</v>
      </c>
      <c r="E9" s="231" t="s">
        <v>661</v>
      </c>
      <c r="F9" s="251">
        <v>2520.66</v>
      </c>
      <c r="G9" s="251">
        <v>0</v>
      </c>
      <c r="H9" s="231">
        <v>0</v>
      </c>
      <c r="I9" s="231">
        <v>0</v>
      </c>
      <c r="J9" s="231">
        <v>0</v>
      </c>
      <c r="K9" s="231">
        <v>529.34</v>
      </c>
      <c r="L9" s="231">
        <v>0</v>
      </c>
      <c r="M9" s="251">
        <v>0</v>
      </c>
      <c r="N9" s="251">
        <v>3050</v>
      </c>
    </row>
    <row r="10" spans="1:14">
      <c r="A10" s="267" t="s">
        <v>625</v>
      </c>
      <c r="B10" s="268" t="s">
        <v>680</v>
      </c>
      <c r="C10" s="231" t="s">
        <v>675</v>
      </c>
      <c r="D10" s="231" t="s">
        <v>676</v>
      </c>
      <c r="E10" s="231" t="s">
        <v>661</v>
      </c>
      <c r="F10" s="251">
        <v>6776.86</v>
      </c>
      <c r="G10" s="251">
        <v>0</v>
      </c>
      <c r="H10" s="231">
        <v>0</v>
      </c>
      <c r="I10" s="231">
        <v>0</v>
      </c>
      <c r="J10" s="231">
        <v>0</v>
      </c>
      <c r="K10" s="231">
        <v>1423.14</v>
      </c>
      <c r="L10" s="231">
        <v>0</v>
      </c>
      <c r="M10" s="251">
        <v>0</v>
      </c>
      <c r="N10" s="251">
        <v>8200</v>
      </c>
    </row>
    <row r="11" spans="1:14">
      <c r="A11" s="267" t="s">
        <v>625</v>
      </c>
      <c r="B11" s="268" t="s">
        <v>681</v>
      </c>
      <c r="C11" s="231" t="s">
        <v>682</v>
      </c>
      <c r="D11" s="231" t="s">
        <v>676</v>
      </c>
      <c r="E11" s="231">
        <v>18142775</v>
      </c>
      <c r="F11" s="251">
        <v>4752.07</v>
      </c>
      <c r="G11" s="251">
        <v>0</v>
      </c>
      <c r="H11" s="231">
        <v>0</v>
      </c>
      <c r="I11" s="231">
        <v>0</v>
      </c>
      <c r="J11" s="231">
        <v>0</v>
      </c>
      <c r="K11" s="231">
        <v>997.93</v>
      </c>
      <c r="L11" s="231">
        <v>0</v>
      </c>
      <c r="M11" s="251">
        <v>0</v>
      </c>
      <c r="N11" s="251">
        <v>5750</v>
      </c>
    </row>
    <row r="12" spans="1:14">
      <c r="A12" s="267" t="s">
        <v>625</v>
      </c>
      <c r="B12" s="268" t="s">
        <v>683</v>
      </c>
      <c r="C12" s="231" t="s">
        <v>675</v>
      </c>
      <c r="D12" s="231" t="s">
        <v>676</v>
      </c>
      <c r="E12" s="231" t="s">
        <v>661</v>
      </c>
      <c r="F12" s="251">
        <v>7851.24</v>
      </c>
      <c r="G12" s="251">
        <v>0</v>
      </c>
      <c r="H12" s="231">
        <v>0</v>
      </c>
      <c r="I12" s="231">
        <v>0</v>
      </c>
      <c r="J12" s="231">
        <v>0</v>
      </c>
      <c r="K12" s="231">
        <v>1648.76</v>
      </c>
      <c r="L12" s="231">
        <v>0</v>
      </c>
      <c r="M12" s="251">
        <v>0</v>
      </c>
      <c r="N12" s="251">
        <v>9500</v>
      </c>
    </row>
    <row r="13" spans="1:14">
      <c r="A13" s="267" t="s">
        <v>625</v>
      </c>
      <c r="B13" s="268" t="s">
        <v>684</v>
      </c>
      <c r="C13" s="231" t="s">
        <v>675</v>
      </c>
      <c r="D13" s="231" t="s">
        <v>676</v>
      </c>
      <c r="E13" s="231" t="s">
        <v>661</v>
      </c>
      <c r="F13" s="251">
        <v>1157.02</v>
      </c>
      <c r="G13" s="251">
        <v>0</v>
      </c>
      <c r="H13" s="231">
        <v>0</v>
      </c>
      <c r="I13" s="231">
        <v>0</v>
      </c>
      <c r="J13" s="231">
        <v>0</v>
      </c>
      <c r="K13" s="231">
        <v>242.98</v>
      </c>
      <c r="L13" s="231">
        <v>0</v>
      </c>
      <c r="M13" s="251">
        <v>0</v>
      </c>
      <c r="N13" s="251">
        <v>1400</v>
      </c>
    </row>
    <row r="14" spans="1:14">
      <c r="A14" s="267" t="s">
        <v>625</v>
      </c>
      <c r="B14" s="268" t="s">
        <v>685</v>
      </c>
      <c r="C14" s="231" t="s">
        <v>675</v>
      </c>
      <c r="D14" s="231" t="s">
        <v>676</v>
      </c>
      <c r="E14" s="231" t="s">
        <v>661</v>
      </c>
      <c r="F14" s="251">
        <v>6776.86</v>
      </c>
      <c r="G14" s="251">
        <v>0</v>
      </c>
      <c r="H14" s="231">
        <v>0</v>
      </c>
      <c r="I14" s="231">
        <v>0</v>
      </c>
      <c r="J14" s="231">
        <v>0</v>
      </c>
      <c r="K14" s="231">
        <v>1423.14</v>
      </c>
      <c r="L14" s="231">
        <v>0</v>
      </c>
      <c r="M14" s="251">
        <v>0</v>
      </c>
      <c r="N14" s="251">
        <v>8200</v>
      </c>
    </row>
    <row r="15" spans="1:14">
      <c r="A15" s="267" t="s">
        <v>625</v>
      </c>
      <c r="B15" s="268" t="s">
        <v>686</v>
      </c>
      <c r="C15" s="231" t="s">
        <v>675</v>
      </c>
      <c r="D15" s="231" t="s">
        <v>676</v>
      </c>
      <c r="E15" s="231" t="s">
        <v>661</v>
      </c>
      <c r="F15" s="251">
        <v>10743.8</v>
      </c>
      <c r="G15" s="251">
        <v>0</v>
      </c>
      <c r="H15" s="231">
        <v>0</v>
      </c>
      <c r="I15" s="231">
        <v>0</v>
      </c>
      <c r="J15" s="231">
        <v>0</v>
      </c>
      <c r="K15" s="231">
        <v>2256.2000000000003</v>
      </c>
      <c r="L15" s="231">
        <v>0</v>
      </c>
      <c r="M15" s="251">
        <v>0</v>
      </c>
      <c r="N15" s="251">
        <v>13000</v>
      </c>
    </row>
    <row r="16" spans="1:14">
      <c r="A16" s="267" t="s">
        <v>625</v>
      </c>
      <c r="B16" s="268" t="s">
        <v>687</v>
      </c>
      <c r="C16" s="231" t="s">
        <v>688</v>
      </c>
      <c r="D16" s="231" t="s">
        <v>676</v>
      </c>
      <c r="E16" s="231">
        <v>16124424</v>
      </c>
      <c r="F16" s="251">
        <v>11157.02</v>
      </c>
      <c r="G16" s="251">
        <v>0</v>
      </c>
      <c r="H16" s="231">
        <v>0</v>
      </c>
      <c r="I16" s="231">
        <v>0</v>
      </c>
      <c r="J16" s="231">
        <v>0</v>
      </c>
      <c r="K16" s="231">
        <v>2342.98</v>
      </c>
      <c r="L16" s="231">
        <v>0</v>
      </c>
      <c r="M16" s="251">
        <v>0</v>
      </c>
      <c r="N16" s="251">
        <v>13500</v>
      </c>
    </row>
    <row r="17" spans="1:14">
      <c r="A17" s="267" t="s">
        <v>625</v>
      </c>
      <c r="B17" s="268" t="s">
        <v>689</v>
      </c>
      <c r="C17" s="231" t="s">
        <v>690</v>
      </c>
      <c r="D17" s="231" t="s">
        <v>676</v>
      </c>
      <c r="E17" s="231">
        <v>17968654</v>
      </c>
      <c r="F17" s="251">
        <v>46115.7</v>
      </c>
      <c r="G17" s="251">
        <v>0</v>
      </c>
      <c r="H17" s="231">
        <v>0</v>
      </c>
      <c r="I17" s="231">
        <v>0</v>
      </c>
      <c r="J17" s="231">
        <v>0</v>
      </c>
      <c r="K17" s="231">
        <v>9684.3000000000011</v>
      </c>
      <c r="L17" s="231">
        <v>0</v>
      </c>
      <c r="M17" s="251">
        <v>0</v>
      </c>
      <c r="N17" s="251">
        <v>55800</v>
      </c>
    </row>
    <row r="18" spans="1:14">
      <c r="A18" s="267" t="s">
        <v>626</v>
      </c>
      <c r="B18" s="268" t="s">
        <v>691</v>
      </c>
      <c r="C18" s="231" t="s">
        <v>675</v>
      </c>
      <c r="D18" s="231" t="s">
        <v>676</v>
      </c>
      <c r="E18" s="231" t="s">
        <v>661</v>
      </c>
      <c r="F18" s="251">
        <v>6776.86</v>
      </c>
      <c r="G18" s="251">
        <v>0</v>
      </c>
      <c r="H18" s="231">
        <v>0</v>
      </c>
      <c r="I18" s="231">
        <v>0</v>
      </c>
      <c r="J18" s="231">
        <v>0</v>
      </c>
      <c r="K18" s="231">
        <v>1423.14</v>
      </c>
      <c r="L18" s="231">
        <v>0</v>
      </c>
      <c r="M18" s="251">
        <v>0</v>
      </c>
      <c r="N18" s="251">
        <v>8200</v>
      </c>
    </row>
    <row r="19" spans="1:14">
      <c r="A19" s="267" t="s">
        <v>626</v>
      </c>
      <c r="B19" s="268" t="s">
        <v>692</v>
      </c>
      <c r="C19" s="231" t="s">
        <v>675</v>
      </c>
      <c r="D19" s="231" t="s">
        <v>676</v>
      </c>
      <c r="E19" s="231" t="s">
        <v>661</v>
      </c>
      <c r="F19" s="251">
        <v>6280.99</v>
      </c>
      <c r="G19" s="251">
        <v>0</v>
      </c>
      <c r="H19" s="231">
        <v>0</v>
      </c>
      <c r="I19" s="231">
        <v>0</v>
      </c>
      <c r="J19" s="231">
        <v>0</v>
      </c>
      <c r="K19" s="231">
        <v>1319.01</v>
      </c>
      <c r="L19" s="231">
        <v>0</v>
      </c>
      <c r="M19" s="251">
        <v>0</v>
      </c>
      <c r="N19" s="251">
        <v>7600</v>
      </c>
    </row>
    <row r="20" spans="1:14">
      <c r="A20" s="267" t="s">
        <v>626</v>
      </c>
      <c r="B20" s="268" t="s">
        <v>693</v>
      </c>
      <c r="C20" s="231" t="s">
        <v>675</v>
      </c>
      <c r="D20" s="231" t="s">
        <v>676</v>
      </c>
      <c r="E20" s="231" t="s">
        <v>661</v>
      </c>
      <c r="F20" s="251">
        <v>3388.43</v>
      </c>
      <c r="G20" s="251">
        <v>0</v>
      </c>
      <c r="H20" s="231">
        <v>0</v>
      </c>
      <c r="I20" s="231">
        <v>0</v>
      </c>
      <c r="J20" s="231">
        <v>0</v>
      </c>
      <c r="K20" s="231">
        <v>711.57</v>
      </c>
      <c r="L20" s="231">
        <v>0</v>
      </c>
      <c r="M20" s="251">
        <v>0</v>
      </c>
      <c r="N20" s="251">
        <v>4100</v>
      </c>
    </row>
    <row r="21" spans="1:14">
      <c r="A21" s="267" t="s">
        <v>626</v>
      </c>
      <c r="B21" s="268" t="s">
        <v>694</v>
      </c>
      <c r="C21" s="231" t="s">
        <v>675</v>
      </c>
      <c r="D21" s="231" t="s">
        <v>676</v>
      </c>
      <c r="E21" s="231" t="s">
        <v>661</v>
      </c>
      <c r="F21" s="251">
        <v>3388.43</v>
      </c>
      <c r="G21" s="251">
        <v>0</v>
      </c>
      <c r="H21" s="231">
        <v>0</v>
      </c>
      <c r="I21" s="231">
        <v>0</v>
      </c>
      <c r="J21" s="231">
        <v>0</v>
      </c>
      <c r="K21" s="231">
        <v>711.57</v>
      </c>
      <c r="L21" s="231">
        <v>0</v>
      </c>
      <c r="M21" s="251">
        <v>0</v>
      </c>
      <c r="N21" s="251">
        <v>4100</v>
      </c>
    </row>
    <row r="22" spans="1:14">
      <c r="A22" s="267" t="s">
        <v>626</v>
      </c>
      <c r="B22" s="268" t="s">
        <v>695</v>
      </c>
      <c r="C22" s="231" t="s">
        <v>675</v>
      </c>
      <c r="D22" s="231" t="s">
        <v>676</v>
      </c>
      <c r="E22" s="231" t="s">
        <v>661</v>
      </c>
      <c r="F22" s="251">
        <v>10743.8</v>
      </c>
      <c r="G22" s="251">
        <v>0</v>
      </c>
      <c r="H22" s="231">
        <v>0</v>
      </c>
      <c r="I22" s="231">
        <v>0</v>
      </c>
      <c r="J22" s="231">
        <v>0</v>
      </c>
      <c r="K22" s="231">
        <v>2256.2000000000003</v>
      </c>
      <c r="L22" s="231">
        <v>0</v>
      </c>
      <c r="M22" s="251">
        <v>0</v>
      </c>
      <c r="N22" s="251">
        <v>13000</v>
      </c>
    </row>
    <row r="23" spans="1:14">
      <c r="A23" s="267" t="s">
        <v>626</v>
      </c>
      <c r="B23" s="268" t="s">
        <v>696</v>
      </c>
      <c r="C23" s="231" t="s">
        <v>675</v>
      </c>
      <c r="D23" s="231" t="s">
        <v>676</v>
      </c>
      <c r="E23" s="231" t="s">
        <v>661</v>
      </c>
      <c r="F23" s="251">
        <v>6776.86</v>
      </c>
      <c r="G23" s="251">
        <v>0</v>
      </c>
      <c r="H23" s="231">
        <v>0</v>
      </c>
      <c r="I23" s="231">
        <v>0</v>
      </c>
      <c r="J23" s="231">
        <v>0</v>
      </c>
      <c r="K23" s="231">
        <v>1423.14</v>
      </c>
      <c r="L23" s="231">
        <v>0</v>
      </c>
      <c r="M23" s="251">
        <v>0</v>
      </c>
      <c r="N23" s="251">
        <v>8200</v>
      </c>
    </row>
    <row r="24" spans="1:14">
      <c r="A24" s="267" t="s">
        <v>626</v>
      </c>
      <c r="B24" s="268" t="s">
        <v>697</v>
      </c>
      <c r="C24" s="231" t="s">
        <v>675</v>
      </c>
      <c r="D24" s="231" t="s">
        <v>676</v>
      </c>
      <c r="E24" s="231" t="s">
        <v>661</v>
      </c>
      <c r="F24" s="251">
        <v>4132.2300000000005</v>
      </c>
      <c r="G24" s="251">
        <v>0</v>
      </c>
      <c r="H24" s="231">
        <v>0</v>
      </c>
      <c r="I24" s="231">
        <v>0</v>
      </c>
      <c r="J24" s="231">
        <v>0</v>
      </c>
      <c r="K24" s="231">
        <v>867.77</v>
      </c>
      <c r="L24" s="231">
        <v>0</v>
      </c>
      <c r="M24" s="251">
        <v>0</v>
      </c>
      <c r="N24" s="251">
        <v>5000</v>
      </c>
    </row>
    <row r="25" spans="1:14">
      <c r="A25" s="267" t="s">
        <v>626</v>
      </c>
      <c r="B25" s="268" t="s">
        <v>698</v>
      </c>
      <c r="C25" s="231" t="s">
        <v>675</v>
      </c>
      <c r="D25" s="231" t="s">
        <v>676</v>
      </c>
      <c r="E25" s="231" t="s">
        <v>661</v>
      </c>
      <c r="F25" s="251">
        <v>9090.91</v>
      </c>
      <c r="G25" s="251">
        <v>0</v>
      </c>
      <c r="H25" s="231">
        <v>0</v>
      </c>
      <c r="I25" s="231">
        <v>0</v>
      </c>
      <c r="J25" s="231">
        <v>0</v>
      </c>
      <c r="K25" s="231">
        <v>1909.09</v>
      </c>
      <c r="L25" s="231">
        <v>0</v>
      </c>
      <c r="M25" s="251">
        <v>0</v>
      </c>
      <c r="N25" s="251">
        <v>11000</v>
      </c>
    </row>
    <row r="26" spans="1:14">
      <c r="A26" s="267" t="s">
        <v>626</v>
      </c>
      <c r="B26" s="268" t="s">
        <v>699</v>
      </c>
      <c r="C26" s="231" t="s">
        <v>675</v>
      </c>
      <c r="D26" s="231" t="s">
        <v>676</v>
      </c>
      <c r="E26" s="231" t="s">
        <v>661</v>
      </c>
      <c r="F26" s="251">
        <v>6033.06</v>
      </c>
      <c r="G26" s="251">
        <v>0</v>
      </c>
      <c r="H26" s="231">
        <v>0</v>
      </c>
      <c r="I26" s="231">
        <v>0</v>
      </c>
      <c r="J26" s="231">
        <v>0</v>
      </c>
      <c r="K26" s="231">
        <v>1266.94</v>
      </c>
      <c r="L26" s="231">
        <v>0</v>
      </c>
      <c r="M26" s="251">
        <v>0</v>
      </c>
      <c r="N26" s="251">
        <v>7300</v>
      </c>
    </row>
    <row r="27" spans="1:14">
      <c r="A27" s="267" t="s">
        <v>626</v>
      </c>
      <c r="B27" s="268" t="s">
        <v>700</v>
      </c>
      <c r="C27" s="231" t="s">
        <v>701</v>
      </c>
      <c r="D27" s="231" t="s">
        <v>702</v>
      </c>
      <c r="E27" s="231">
        <v>30522428163</v>
      </c>
      <c r="F27" s="251">
        <v>2706554.25</v>
      </c>
      <c r="G27" s="251">
        <v>0</v>
      </c>
      <c r="H27" s="231">
        <v>0</v>
      </c>
      <c r="I27" s="231">
        <v>0</v>
      </c>
      <c r="J27" s="231">
        <v>0</v>
      </c>
      <c r="K27" s="231">
        <v>568376.39</v>
      </c>
      <c r="L27" s="231">
        <v>0</v>
      </c>
      <c r="M27" s="251">
        <v>0</v>
      </c>
      <c r="N27" s="251">
        <v>3274930.64</v>
      </c>
    </row>
    <row r="28" spans="1:14">
      <c r="A28" s="267" t="s">
        <v>626</v>
      </c>
      <c r="B28" s="268" t="s">
        <v>703</v>
      </c>
      <c r="C28" s="231" t="s">
        <v>704</v>
      </c>
      <c r="D28" s="231" t="s">
        <v>702</v>
      </c>
      <c r="E28" s="231">
        <v>30608716390</v>
      </c>
      <c r="F28" s="251">
        <v>1072.73</v>
      </c>
      <c r="G28" s="251">
        <v>0</v>
      </c>
      <c r="H28" s="231">
        <v>0</v>
      </c>
      <c r="I28" s="231">
        <v>0</v>
      </c>
      <c r="J28" s="231">
        <v>0</v>
      </c>
      <c r="K28" s="231">
        <v>225.27</v>
      </c>
      <c r="L28" s="231">
        <v>0</v>
      </c>
      <c r="M28" s="251">
        <v>0</v>
      </c>
      <c r="N28" s="251">
        <v>1298</v>
      </c>
    </row>
    <row r="29" spans="1:14">
      <c r="A29" s="267" t="s">
        <v>626</v>
      </c>
      <c r="B29" s="268" t="s">
        <v>705</v>
      </c>
      <c r="C29" s="231" t="s">
        <v>701</v>
      </c>
      <c r="D29" s="231" t="s">
        <v>702</v>
      </c>
      <c r="E29" s="231">
        <v>30522428163</v>
      </c>
      <c r="F29" s="251">
        <v>255019.16</v>
      </c>
      <c r="G29" s="251">
        <v>0</v>
      </c>
      <c r="H29" s="231">
        <v>0</v>
      </c>
      <c r="I29" s="231">
        <v>0</v>
      </c>
      <c r="J29" s="231">
        <v>0</v>
      </c>
      <c r="K29" s="231">
        <v>53554.02</v>
      </c>
      <c r="L29" s="231">
        <v>0</v>
      </c>
      <c r="M29" s="251">
        <v>0</v>
      </c>
      <c r="N29" s="251">
        <v>308573.18</v>
      </c>
    </row>
    <row r="30" spans="1:14">
      <c r="A30" s="267" t="s">
        <v>626</v>
      </c>
      <c r="B30" s="268" t="s">
        <v>706</v>
      </c>
      <c r="C30" s="231" t="s">
        <v>701</v>
      </c>
      <c r="D30" s="231" t="s">
        <v>702</v>
      </c>
      <c r="E30" s="231">
        <v>30522428163</v>
      </c>
      <c r="F30" s="251">
        <v>16280.99</v>
      </c>
      <c r="G30" s="251">
        <v>0</v>
      </c>
      <c r="H30" s="231">
        <v>0</v>
      </c>
      <c r="I30" s="231">
        <v>0</v>
      </c>
      <c r="J30" s="231">
        <v>0</v>
      </c>
      <c r="K30" s="231">
        <v>3419.01</v>
      </c>
      <c r="L30" s="231">
        <v>0</v>
      </c>
      <c r="M30" s="251">
        <v>0</v>
      </c>
      <c r="N30" s="251">
        <v>19700</v>
      </c>
    </row>
    <row r="31" spans="1:14">
      <c r="A31" s="267" t="s">
        <v>626</v>
      </c>
      <c r="B31" s="268" t="s">
        <v>707</v>
      </c>
      <c r="C31" s="231" t="s">
        <v>701</v>
      </c>
      <c r="D31" s="231" t="s">
        <v>702</v>
      </c>
      <c r="E31" s="231">
        <v>30522428163</v>
      </c>
      <c r="F31" s="251">
        <v>10749.24</v>
      </c>
      <c r="G31" s="251">
        <v>0</v>
      </c>
      <c r="H31" s="231">
        <v>0</v>
      </c>
      <c r="I31" s="231">
        <v>0</v>
      </c>
      <c r="J31" s="231">
        <v>0</v>
      </c>
      <c r="K31" s="231">
        <v>2257.34</v>
      </c>
      <c r="L31" s="231">
        <v>0</v>
      </c>
      <c r="M31" s="251">
        <v>0</v>
      </c>
      <c r="N31" s="251">
        <v>13006.58</v>
      </c>
    </row>
    <row r="32" spans="1:14">
      <c r="A32" s="267" t="s">
        <v>626</v>
      </c>
      <c r="B32" s="268" t="s">
        <v>708</v>
      </c>
      <c r="C32" s="231" t="s">
        <v>701</v>
      </c>
      <c r="D32" s="231" t="s">
        <v>702</v>
      </c>
      <c r="E32" s="231">
        <v>30522428163</v>
      </c>
      <c r="F32" s="251">
        <v>380473.58</v>
      </c>
      <c r="G32" s="251">
        <v>0</v>
      </c>
      <c r="H32" s="231">
        <v>0</v>
      </c>
      <c r="I32" s="231">
        <v>0</v>
      </c>
      <c r="J32" s="231">
        <v>0</v>
      </c>
      <c r="K32" s="231">
        <v>79899.45</v>
      </c>
      <c r="L32" s="231">
        <v>0</v>
      </c>
      <c r="M32" s="251">
        <v>0</v>
      </c>
      <c r="N32" s="251">
        <v>460373.03</v>
      </c>
    </row>
    <row r="33" spans="1:14">
      <c r="A33" s="267" t="s">
        <v>626</v>
      </c>
      <c r="B33" s="268" t="s">
        <v>709</v>
      </c>
      <c r="C33" s="231" t="s">
        <v>701</v>
      </c>
      <c r="D33" s="231" t="s">
        <v>702</v>
      </c>
      <c r="E33" s="231">
        <v>30522428163</v>
      </c>
      <c r="F33" s="251">
        <v>245643.54</v>
      </c>
      <c r="G33" s="251">
        <v>0</v>
      </c>
      <c r="H33" s="231">
        <v>0</v>
      </c>
      <c r="I33" s="231">
        <v>0</v>
      </c>
      <c r="J33" s="231">
        <v>0</v>
      </c>
      <c r="K33" s="231">
        <v>51585.14</v>
      </c>
      <c r="L33" s="231">
        <v>0</v>
      </c>
      <c r="M33" s="251">
        <v>0</v>
      </c>
      <c r="N33" s="251">
        <v>297228.68</v>
      </c>
    </row>
    <row r="34" spans="1:14">
      <c r="A34" s="267" t="s">
        <v>626</v>
      </c>
      <c r="B34" s="268" t="s">
        <v>710</v>
      </c>
      <c r="C34" s="231" t="s">
        <v>711</v>
      </c>
      <c r="D34" s="231" t="s">
        <v>676</v>
      </c>
      <c r="E34" s="231" t="s">
        <v>661</v>
      </c>
      <c r="F34" s="251">
        <v>15619.83</v>
      </c>
      <c r="G34" s="251">
        <v>0</v>
      </c>
      <c r="H34" s="231">
        <v>0</v>
      </c>
      <c r="I34" s="231">
        <v>0</v>
      </c>
      <c r="J34" s="231">
        <v>0</v>
      </c>
      <c r="K34" s="231">
        <v>3280.17</v>
      </c>
      <c r="L34" s="231">
        <v>0</v>
      </c>
      <c r="M34" s="251">
        <v>0</v>
      </c>
      <c r="N34" s="251">
        <v>18900</v>
      </c>
    </row>
    <row r="35" spans="1:14">
      <c r="A35" s="267" t="s">
        <v>626</v>
      </c>
      <c r="B35" s="268" t="s">
        <v>712</v>
      </c>
      <c r="C35" s="231" t="s">
        <v>713</v>
      </c>
      <c r="D35" s="231" t="s">
        <v>676</v>
      </c>
      <c r="E35" s="231">
        <v>5804480</v>
      </c>
      <c r="F35" s="251">
        <v>5785.12</v>
      </c>
      <c r="G35" s="251">
        <v>0</v>
      </c>
      <c r="H35" s="231">
        <v>0</v>
      </c>
      <c r="I35" s="231">
        <v>0</v>
      </c>
      <c r="J35" s="231">
        <v>0</v>
      </c>
      <c r="K35" s="231">
        <v>1214.8800000000001</v>
      </c>
      <c r="L35" s="231">
        <v>0</v>
      </c>
      <c r="M35" s="251">
        <v>0</v>
      </c>
      <c r="N35" s="251">
        <v>7000</v>
      </c>
    </row>
    <row r="36" spans="1:14">
      <c r="A36" s="267" t="s">
        <v>626</v>
      </c>
      <c r="B36" s="268" t="s">
        <v>714</v>
      </c>
      <c r="C36" s="231" t="s">
        <v>715</v>
      </c>
      <c r="D36" s="231" t="s">
        <v>676</v>
      </c>
      <c r="E36" s="231">
        <v>26542077</v>
      </c>
      <c r="F36" s="251">
        <v>12644.62</v>
      </c>
      <c r="G36" s="251">
        <v>0</v>
      </c>
      <c r="H36" s="231">
        <v>0</v>
      </c>
      <c r="I36" s="231">
        <v>0</v>
      </c>
      <c r="J36" s="231">
        <v>0</v>
      </c>
      <c r="K36" s="231">
        <v>2655.38</v>
      </c>
      <c r="L36" s="231">
        <v>0</v>
      </c>
      <c r="M36" s="251">
        <v>0</v>
      </c>
      <c r="N36" s="251">
        <v>15300</v>
      </c>
    </row>
    <row r="37" spans="1:14">
      <c r="A37" s="267" t="s">
        <v>626</v>
      </c>
      <c r="B37" s="268" t="s">
        <v>716</v>
      </c>
      <c r="C37" s="231" t="s">
        <v>717</v>
      </c>
      <c r="D37" s="231" t="s">
        <v>676</v>
      </c>
      <c r="E37" s="231">
        <v>382591</v>
      </c>
      <c r="F37" s="251">
        <v>6611.57</v>
      </c>
      <c r="G37" s="251">
        <v>0</v>
      </c>
      <c r="H37" s="231">
        <v>0</v>
      </c>
      <c r="I37" s="231">
        <v>0</v>
      </c>
      <c r="J37" s="231">
        <v>0</v>
      </c>
      <c r="K37" s="231">
        <v>1388.43</v>
      </c>
      <c r="L37" s="231">
        <v>0</v>
      </c>
      <c r="M37" s="251">
        <v>0</v>
      </c>
      <c r="N37" s="251">
        <v>8000</v>
      </c>
    </row>
    <row r="38" spans="1:14">
      <c r="A38" s="267" t="s">
        <v>626</v>
      </c>
      <c r="B38" s="268" t="s">
        <v>718</v>
      </c>
      <c r="C38" s="231" t="s">
        <v>719</v>
      </c>
      <c r="D38" s="231" t="s">
        <v>676</v>
      </c>
      <c r="E38" s="231">
        <v>3192296</v>
      </c>
      <c r="F38" s="251">
        <v>4958.68</v>
      </c>
      <c r="G38" s="251">
        <v>0</v>
      </c>
      <c r="H38" s="231">
        <v>0</v>
      </c>
      <c r="I38" s="231">
        <v>0</v>
      </c>
      <c r="J38" s="231">
        <v>0</v>
      </c>
      <c r="K38" s="231">
        <v>1041.32</v>
      </c>
      <c r="L38" s="231">
        <v>0</v>
      </c>
      <c r="M38" s="251">
        <v>0</v>
      </c>
      <c r="N38" s="251">
        <v>6000</v>
      </c>
    </row>
    <row r="39" spans="1:14">
      <c r="A39" s="267" t="s">
        <v>627</v>
      </c>
      <c r="B39" s="268" t="s">
        <v>720</v>
      </c>
      <c r="C39" s="231" t="s">
        <v>675</v>
      </c>
      <c r="D39" s="231" t="s">
        <v>676</v>
      </c>
      <c r="E39" s="231" t="s">
        <v>661</v>
      </c>
      <c r="F39" s="251">
        <v>3925.62</v>
      </c>
      <c r="G39" s="251">
        <v>0</v>
      </c>
      <c r="H39" s="231">
        <v>0</v>
      </c>
      <c r="I39" s="231">
        <v>0</v>
      </c>
      <c r="J39" s="231">
        <v>0</v>
      </c>
      <c r="K39" s="231">
        <v>824.38</v>
      </c>
      <c r="L39" s="231">
        <v>0</v>
      </c>
      <c r="M39" s="251">
        <v>0</v>
      </c>
      <c r="N39" s="251">
        <v>4750</v>
      </c>
    </row>
    <row r="40" spans="1:14">
      <c r="A40" s="267" t="s">
        <v>627</v>
      </c>
      <c r="B40" s="268" t="s">
        <v>721</v>
      </c>
      <c r="C40" s="231" t="s">
        <v>675</v>
      </c>
      <c r="D40" s="231" t="s">
        <v>676</v>
      </c>
      <c r="E40" s="231" t="s">
        <v>661</v>
      </c>
      <c r="F40" s="251">
        <v>10743.8</v>
      </c>
      <c r="G40" s="251">
        <v>0</v>
      </c>
      <c r="H40" s="231">
        <v>0</v>
      </c>
      <c r="I40" s="231">
        <v>0</v>
      </c>
      <c r="J40" s="231">
        <v>0</v>
      </c>
      <c r="K40" s="231">
        <v>2256.2000000000003</v>
      </c>
      <c r="L40" s="231">
        <v>0</v>
      </c>
      <c r="M40" s="251">
        <v>0</v>
      </c>
      <c r="N40" s="251">
        <v>13000</v>
      </c>
    </row>
    <row r="41" spans="1:14">
      <c r="A41" s="267" t="s">
        <v>627</v>
      </c>
      <c r="B41" s="268" t="s">
        <v>722</v>
      </c>
      <c r="C41" s="231" t="s">
        <v>675</v>
      </c>
      <c r="D41" s="231" t="s">
        <v>676</v>
      </c>
      <c r="E41" s="231" t="s">
        <v>661</v>
      </c>
      <c r="F41" s="251">
        <v>10826.45</v>
      </c>
      <c r="G41" s="251">
        <v>0</v>
      </c>
      <c r="H41" s="231">
        <v>0</v>
      </c>
      <c r="I41" s="231">
        <v>0</v>
      </c>
      <c r="J41" s="231">
        <v>0</v>
      </c>
      <c r="K41" s="231">
        <v>2273.5500000000002</v>
      </c>
      <c r="L41" s="231">
        <v>0</v>
      </c>
      <c r="M41" s="251">
        <v>0</v>
      </c>
      <c r="N41" s="251">
        <v>13100</v>
      </c>
    </row>
    <row r="42" spans="1:14">
      <c r="A42" s="267" t="s">
        <v>627</v>
      </c>
      <c r="B42" s="268" t="s">
        <v>723</v>
      </c>
      <c r="C42" s="231" t="s">
        <v>675</v>
      </c>
      <c r="D42" s="231" t="s">
        <v>676</v>
      </c>
      <c r="E42" s="231" t="s">
        <v>661</v>
      </c>
      <c r="F42" s="251">
        <v>6446.28</v>
      </c>
      <c r="G42" s="251">
        <v>0</v>
      </c>
      <c r="H42" s="231">
        <v>0</v>
      </c>
      <c r="I42" s="231">
        <v>0</v>
      </c>
      <c r="J42" s="231">
        <v>0</v>
      </c>
      <c r="K42" s="231">
        <v>1353.72</v>
      </c>
      <c r="L42" s="231">
        <v>0</v>
      </c>
      <c r="M42" s="251">
        <v>0</v>
      </c>
      <c r="N42" s="251">
        <v>7800</v>
      </c>
    </row>
    <row r="43" spans="1:14">
      <c r="A43" s="267" t="s">
        <v>627</v>
      </c>
      <c r="B43" s="268" t="s">
        <v>724</v>
      </c>
      <c r="C43" s="231" t="s">
        <v>675</v>
      </c>
      <c r="D43" s="231" t="s">
        <v>676</v>
      </c>
      <c r="E43" s="231" t="s">
        <v>661</v>
      </c>
      <c r="F43" s="251">
        <v>909.09</v>
      </c>
      <c r="G43" s="251">
        <v>0</v>
      </c>
      <c r="H43" s="231">
        <v>0</v>
      </c>
      <c r="I43" s="231">
        <v>0</v>
      </c>
      <c r="J43" s="231">
        <v>0</v>
      </c>
      <c r="K43" s="231">
        <v>190.91</v>
      </c>
      <c r="L43" s="231">
        <v>0</v>
      </c>
      <c r="M43" s="251">
        <v>0</v>
      </c>
      <c r="N43" s="251">
        <v>1100</v>
      </c>
    </row>
    <row r="44" spans="1:14">
      <c r="A44" s="267" t="s">
        <v>627</v>
      </c>
      <c r="B44" s="268" t="s">
        <v>725</v>
      </c>
      <c r="C44" s="231" t="s">
        <v>675</v>
      </c>
      <c r="D44" s="231" t="s">
        <v>676</v>
      </c>
      <c r="E44" s="231" t="s">
        <v>661</v>
      </c>
      <c r="F44" s="251">
        <v>5371.9</v>
      </c>
      <c r="G44" s="251">
        <v>0</v>
      </c>
      <c r="H44" s="231">
        <v>0</v>
      </c>
      <c r="I44" s="231">
        <v>0</v>
      </c>
      <c r="J44" s="231">
        <v>0</v>
      </c>
      <c r="K44" s="231">
        <v>1128.1000000000001</v>
      </c>
      <c r="L44" s="231">
        <v>0</v>
      </c>
      <c r="M44" s="251">
        <v>0</v>
      </c>
      <c r="N44" s="251">
        <v>6500</v>
      </c>
    </row>
    <row r="45" spans="1:14">
      <c r="A45" s="267" t="s">
        <v>627</v>
      </c>
      <c r="B45" s="268" t="s">
        <v>726</v>
      </c>
      <c r="C45" s="231" t="s">
        <v>675</v>
      </c>
      <c r="D45" s="231" t="s">
        <v>676</v>
      </c>
      <c r="E45" s="231" t="s">
        <v>661</v>
      </c>
      <c r="F45" s="251">
        <v>4628.1000000000004</v>
      </c>
      <c r="G45" s="251">
        <v>0</v>
      </c>
      <c r="H45" s="231">
        <v>0</v>
      </c>
      <c r="I45" s="231">
        <v>0</v>
      </c>
      <c r="J45" s="231">
        <v>0</v>
      </c>
      <c r="K45" s="231">
        <v>971.9</v>
      </c>
      <c r="L45" s="231">
        <v>0</v>
      </c>
      <c r="M45" s="251">
        <v>0</v>
      </c>
      <c r="N45" s="251">
        <v>5600</v>
      </c>
    </row>
    <row r="46" spans="1:14">
      <c r="A46" s="267" t="s">
        <v>627</v>
      </c>
      <c r="B46" s="268" t="s">
        <v>727</v>
      </c>
      <c r="C46" s="231" t="s">
        <v>675</v>
      </c>
      <c r="D46" s="231" t="s">
        <v>676</v>
      </c>
      <c r="E46" s="231" t="s">
        <v>661</v>
      </c>
      <c r="F46" s="251">
        <v>2892.56</v>
      </c>
      <c r="G46" s="251">
        <v>0</v>
      </c>
      <c r="H46" s="231">
        <v>0</v>
      </c>
      <c r="I46" s="231">
        <v>0</v>
      </c>
      <c r="J46" s="231">
        <v>0</v>
      </c>
      <c r="K46" s="231">
        <v>607.44000000000005</v>
      </c>
      <c r="L46" s="231">
        <v>0</v>
      </c>
      <c r="M46" s="251">
        <v>0</v>
      </c>
      <c r="N46" s="251">
        <v>3500</v>
      </c>
    </row>
    <row r="47" spans="1:14">
      <c r="A47" s="267" t="s">
        <v>627</v>
      </c>
      <c r="B47" s="268" t="s">
        <v>728</v>
      </c>
      <c r="C47" s="231" t="s">
        <v>675</v>
      </c>
      <c r="D47" s="231" t="s">
        <v>676</v>
      </c>
      <c r="E47" s="231" t="s">
        <v>661</v>
      </c>
      <c r="F47" s="251">
        <v>6611.57</v>
      </c>
      <c r="G47" s="251">
        <v>0</v>
      </c>
      <c r="H47" s="231">
        <v>0</v>
      </c>
      <c r="I47" s="231">
        <v>0</v>
      </c>
      <c r="J47" s="231">
        <v>0</v>
      </c>
      <c r="K47" s="231">
        <v>1388.43</v>
      </c>
      <c r="L47" s="231">
        <v>0</v>
      </c>
      <c r="M47" s="251">
        <v>0</v>
      </c>
      <c r="N47" s="251">
        <v>8000</v>
      </c>
    </row>
    <row r="48" spans="1:14">
      <c r="A48" s="267" t="s">
        <v>627</v>
      </c>
      <c r="B48" s="268" t="s">
        <v>729</v>
      </c>
      <c r="C48" s="231" t="s">
        <v>675</v>
      </c>
      <c r="D48" s="231" t="s">
        <v>676</v>
      </c>
      <c r="E48" s="231" t="s">
        <v>661</v>
      </c>
      <c r="F48" s="251">
        <v>3388.43</v>
      </c>
      <c r="G48" s="251">
        <v>0</v>
      </c>
      <c r="H48" s="231">
        <v>0</v>
      </c>
      <c r="I48" s="231">
        <v>0</v>
      </c>
      <c r="J48" s="231">
        <v>0</v>
      </c>
      <c r="K48" s="231">
        <v>711.57</v>
      </c>
      <c r="L48" s="231">
        <v>0</v>
      </c>
      <c r="M48" s="251">
        <v>0</v>
      </c>
      <c r="N48" s="251">
        <v>4100</v>
      </c>
    </row>
    <row r="49" spans="1:14">
      <c r="A49" s="267" t="s">
        <v>627</v>
      </c>
      <c r="B49" s="268" t="s">
        <v>730</v>
      </c>
      <c r="C49" s="231" t="s">
        <v>675</v>
      </c>
      <c r="D49" s="231" t="s">
        <v>676</v>
      </c>
      <c r="E49" s="231" t="s">
        <v>661</v>
      </c>
      <c r="F49" s="251">
        <v>6280.99</v>
      </c>
      <c r="G49" s="251">
        <v>0</v>
      </c>
      <c r="H49" s="231">
        <v>0</v>
      </c>
      <c r="I49" s="231">
        <v>0</v>
      </c>
      <c r="J49" s="231">
        <v>0</v>
      </c>
      <c r="K49" s="231">
        <v>1319.01</v>
      </c>
      <c r="L49" s="231">
        <v>0</v>
      </c>
      <c r="M49" s="251">
        <v>0</v>
      </c>
      <c r="N49" s="251">
        <v>7600</v>
      </c>
    </row>
    <row r="50" spans="1:14">
      <c r="A50" s="267" t="s">
        <v>627</v>
      </c>
      <c r="B50" s="268" t="s">
        <v>731</v>
      </c>
      <c r="C50" s="231" t="s">
        <v>732</v>
      </c>
      <c r="D50" s="231" t="s">
        <v>676</v>
      </c>
      <c r="E50" s="231">
        <v>14241990</v>
      </c>
      <c r="F50" s="251">
        <v>15900.83</v>
      </c>
      <c r="G50" s="251">
        <v>0</v>
      </c>
      <c r="H50" s="231">
        <v>0</v>
      </c>
      <c r="I50" s="231">
        <v>0</v>
      </c>
      <c r="J50" s="231">
        <v>0</v>
      </c>
      <c r="K50" s="231">
        <v>3339.17</v>
      </c>
      <c r="L50" s="231">
        <v>0</v>
      </c>
      <c r="M50" s="251">
        <v>0</v>
      </c>
      <c r="N50" s="251">
        <v>19240</v>
      </c>
    </row>
    <row r="51" spans="1:14">
      <c r="A51" s="267" t="s">
        <v>627</v>
      </c>
      <c r="B51" s="268" t="s">
        <v>733</v>
      </c>
      <c r="C51" s="231" t="s">
        <v>675</v>
      </c>
      <c r="D51" s="231" t="s">
        <v>676</v>
      </c>
      <c r="E51" s="231" t="s">
        <v>661</v>
      </c>
      <c r="F51" s="251">
        <v>8512.4</v>
      </c>
      <c r="G51" s="251">
        <v>0</v>
      </c>
      <c r="H51" s="231">
        <v>0</v>
      </c>
      <c r="I51" s="231">
        <v>0</v>
      </c>
      <c r="J51" s="231">
        <v>0</v>
      </c>
      <c r="K51" s="231">
        <v>1787.6</v>
      </c>
      <c r="L51" s="231">
        <v>0</v>
      </c>
      <c r="M51" s="251">
        <v>0</v>
      </c>
      <c r="N51" s="251">
        <v>10300</v>
      </c>
    </row>
    <row r="52" spans="1:14">
      <c r="A52" s="267" t="s">
        <v>627</v>
      </c>
      <c r="B52" s="268" t="s">
        <v>734</v>
      </c>
      <c r="C52" s="231" t="s">
        <v>675</v>
      </c>
      <c r="D52" s="231" t="s">
        <v>676</v>
      </c>
      <c r="E52" s="231" t="s">
        <v>661</v>
      </c>
      <c r="F52" s="251">
        <v>8429.75</v>
      </c>
      <c r="G52" s="251">
        <v>0</v>
      </c>
      <c r="H52" s="231">
        <v>0</v>
      </c>
      <c r="I52" s="231">
        <v>0</v>
      </c>
      <c r="J52" s="231">
        <v>0</v>
      </c>
      <c r="K52" s="231">
        <v>1770.25</v>
      </c>
      <c r="L52" s="231">
        <v>0</v>
      </c>
      <c r="M52" s="251">
        <v>0</v>
      </c>
      <c r="N52" s="251">
        <v>10200</v>
      </c>
    </row>
    <row r="53" spans="1:14">
      <c r="A53" s="267" t="s">
        <v>627</v>
      </c>
      <c r="B53" s="268" t="s">
        <v>735</v>
      </c>
      <c r="C53" s="231" t="s">
        <v>675</v>
      </c>
      <c r="D53" s="231" t="s">
        <v>676</v>
      </c>
      <c r="E53" s="231" t="s">
        <v>661</v>
      </c>
      <c r="F53" s="251">
        <v>2644.63</v>
      </c>
      <c r="G53" s="251">
        <v>0</v>
      </c>
      <c r="H53" s="231">
        <v>0</v>
      </c>
      <c r="I53" s="231">
        <v>0</v>
      </c>
      <c r="J53" s="231">
        <v>0</v>
      </c>
      <c r="K53" s="231">
        <v>555.37</v>
      </c>
      <c r="L53" s="231">
        <v>0</v>
      </c>
      <c r="M53" s="251">
        <v>0</v>
      </c>
      <c r="N53" s="251">
        <v>3200</v>
      </c>
    </row>
    <row r="54" spans="1:14">
      <c r="A54" s="267" t="s">
        <v>627</v>
      </c>
      <c r="B54" s="268" t="s">
        <v>736</v>
      </c>
      <c r="C54" s="231" t="s">
        <v>675</v>
      </c>
      <c r="D54" s="231" t="s">
        <v>676</v>
      </c>
      <c r="E54" s="231" t="s">
        <v>661</v>
      </c>
      <c r="F54" s="251">
        <v>991.74</v>
      </c>
      <c r="G54" s="251">
        <v>0</v>
      </c>
      <c r="H54" s="231">
        <v>0</v>
      </c>
      <c r="I54" s="231">
        <v>0</v>
      </c>
      <c r="J54" s="231">
        <v>0</v>
      </c>
      <c r="K54" s="231">
        <v>208.26</v>
      </c>
      <c r="L54" s="231">
        <v>0</v>
      </c>
      <c r="M54" s="251">
        <v>0</v>
      </c>
      <c r="N54" s="251">
        <v>1200</v>
      </c>
    </row>
    <row r="55" spans="1:14">
      <c r="A55" s="267" t="s">
        <v>627</v>
      </c>
      <c r="B55" s="268" t="s">
        <v>737</v>
      </c>
      <c r="C55" s="231" t="s">
        <v>675</v>
      </c>
      <c r="D55" s="231" t="s">
        <v>676</v>
      </c>
      <c r="E55" s="231" t="s">
        <v>661</v>
      </c>
      <c r="F55" s="251">
        <v>11239.67</v>
      </c>
      <c r="G55" s="251">
        <v>0</v>
      </c>
      <c r="H55" s="231">
        <v>0</v>
      </c>
      <c r="I55" s="231">
        <v>0</v>
      </c>
      <c r="J55" s="231">
        <v>0</v>
      </c>
      <c r="K55" s="231">
        <v>2360.33</v>
      </c>
      <c r="L55" s="231">
        <v>0</v>
      </c>
      <c r="M55" s="251">
        <v>0</v>
      </c>
      <c r="N55" s="251">
        <v>13600</v>
      </c>
    </row>
    <row r="56" spans="1:14">
      <c r="A56" s="267" t="s">
        <v>627</v>
      </c>
      <c r="B56" s="268" t="s">
        <v>738</v>
      </c>
      <c r="C56" s="231" t="s">
        <v>701</v>
      </c>
      <c r="D56" s="231" t="s">
        <v>702</v>
      </c>
      <c r="E56" s="231">
        <v>30522428163</v>
      </c>
      <c r="F56" s="251">
        <v>4265206.62</v>
      </c>
      <c r="G56" s="251">
        <v>0</v>
      </c>
      <c r="H56" s="231">
        <v>0</v>
      </c>
      <c r="I56" s="231">
        <v>0</v>
      </c>
      <c r="J56" s="231">
        <v>0</v>
      </c>
      <c r="K56" s="231">
        <v>895693.38</v>
      </c>
      <c r="L56" s="231">
        <v>0</v>
      </c>
      <c r="M56" s="251">
        <v>0</v>
      </c>
      <c r="N56" s="251">
        <v>5160900</v>
      </c>
    </row>
    <row r="57" spans="1:14">
      <c r="A57" s="267" t="s">
        <v>627</v>
      </c>
      <c r="B57" s="268" t="s">
        <v>739</v>
      </c>
      <c r="C57" s="231" t="s">
        <v>701</v>
      </c>
      <c r="D57" s="231" t="s">
        <v>702</v>
      </c>
      <c r="E57" s="231">
        <v>30522428163</v>
      </c>
      <c r="F57" s="251">
        <v>5242066.1100000003</v>
      </c>
      <c r="G57" s="251">
        <v>0</v>
      </c>
      <c r="H57" s="231">
        <v>0</v>
      </c>
      <c r="I57" s="231">
        <v>0</v>
      </c>
      <c r="J57" s="231">
        <v>0</v>
      </c>
      <c r="K57" s="231">
        <v>1100833.8900000001</v>
      </c>
      <c r="L57" s="231">
        <v>0</v>
      </c>
      <c r="M57" s="251">
        <v>0</v>
      </c>
      <c r="N57" s="251">
        <v>6342900</v>
      </c>
    </row>
    <row r="58" spans="1:14">
      <c r="A58" s="267" t="s">
        <v>627</v>
      </c>
      <c r="B58" s="268" t="s">
        <v>740</v>
      </c>
      <c r="C58" s="231" t="s">
        <v>704</v>
      </c>
      <c r="D58" s="231" t="s">
        <v>702</v>
      </c>
      <c r="E58" s="231">
        <v>30608716390</v>
      </c>
      <c r="F58" s="251">
        <v>5777.68</v>
      </c>
      <c r="G58" s="251">
        <v>0</v>
      </c>
      <c r="H58" s="231">
        <v>0</v>
      </c>
      <c r="I58" s="231">
        <v>0</v>
      </c>
      <c r="J58" s="231">
        <v>0</v>
      </c>
      <c r="K58" s="231">
        <v>1213.31</v>
      </c>
      <c r="L58" s="231">
        <v>0</v>
      </c>
      <c r="M58" s="251">
        <v>0</v>
      </c>
      <c r="N58" s="251">
        <v>6990.99</v>
      </c>
    </row>
    <row r="59" spans="1:14">
      <c r="A59" s="267" t="s">
        <v>627</v>
      </c>
      <c r="B59" s="268" t="s">
        <v>741</v>
      </c>
      <c r="C59" s="231" t="s">
        <v>742</v>
      </c>
      <c r="D59" s="231" t="s">
        <v>702</v>
      </c>
      <c r="E59" s="231">
        <v>30710538014</v>
      </c>
      <c r="F59" s="251">
        <v>20395.04</v>
      </c>
      <c r="G59" s="251">
        <v>0</v>
      </c>
      <c r="H59" s="231">
        <v>0</v>
      </c>
      <c r="I59" s="231">
        <v>0</v>
      </c>
      <c r="J59" s="231">
        <v>0</v>
      </c>
      <c r="K59" s="231">
        <v>4282.96</v>
      </c>
      <c r="L59" s="231">
        <v>0</v>
      </c>
      <c r="M59" s="251">
        <v>0</v>
      </c>
      <c r="N59" s="251">
        <v>24678</v>
      </c>
    </row>
    <row r="60" spans="1:14">
      <c r="A60" s="267" t="s">
        <v>627</v>
      </c>
      <c r="B60" s="268" t="s">
        <v>743</v>
      </c>
      <c r="C60" s="231" t="s">
        <v>744</v>
      </c>
      <c r="D60" s="231" t="s">
        <v>676</v>
      </c>
      <c r="E60" s="231">
        <v>14547747</v>
      </c>
      <c r="F60" s="251">
        <v>8181.81</v>
      </c>
      <c r="G60" s="251">
        <v>0</v>
      </c>
      <c r="H60" s="231">
        <v>0</v>
      </c>
      <c r="I60" s="231">
        <v>0</v>
      </c>
      <c r="J60" s="231">
        <v>0</v>
      </c>
      <c r="K60" s="231">
        <v>1718.19</v>
      </c>
      <c r="L60" s="231">
        <v>0</v>
      </c>
      <c r="M60" s="251">
        <v>0</v>
      </c>
      <c r="N60" s="251">
        <v>9900</v>
      </c>
    </row>
    <row r="61" spans="1:14">
      <c r="A61" s="267" t="s">
        <v>627</v>
      </c>
      <c r="B61" s="268" t="s">
        <v>745</v>
      </c>
      <c r="C61" s="231" t="s">
        <v>746</v>
      </c>
      <c r="D61" s="231" t="s">
        <v>676</v>
      </c>
      <c r="E61" s="231">
        <v>13211322</v>
      </c>
      <c r="F61" s="251">
        <v>4380.16</v>
      </c>
      <c r="G61" s="251">
        <v>0</v>
      </c>
      <c r="H61" s="231">
        <v>0</v>
      </c>
      <c r="I61" s="231">
        <v>0</v>
      </c>
      <c r="J61" s="231">
        <v>0</v>
      </c>
      <c r="K61" s="231">
        <v>919.84</v>
      </c>
      <c r="L61" s="231">
        <v>0</v>
      </c>
      <c r="M61" s="251">
        <v>0</v>
      </c>
      <c r="N61" s="251">
        <v>5300</v>
      </c>
    </row>
    <row r="62" spans="1:14">
      <c r="A62" s="267" t="s">
        <v>628</v>
      </c>
      <c r="B62" s="268" t="s">
        <v>747</v>
      </c>
      <c r="C62" s="231" t="s">
        <v>675</v>
      </c>
      <c r="D62" s="231" t="s">
        <v>676</v>
      </c>
      <c r="E62" s="231" t="s">
        <v>661</v>
      </c>
      <c r="F62" s="251">
        <v>3925.62</v>
      </c>
      <c r="G62" s="251">
        <v>0</v>
      </c>
      <c r="H62" s="231">
        <v>0</v>
      </c>
      <c r="I62" s="231">
        <v>0</v>
      </c>
      <c r="J62" s="231">
        <v>0</v>
      </c>
      <c r="K62" s="231">
        <v>824.38</v>
      </c>
      <c r="L62" s="231">
        <v>0</v>
      </c>
      <c r="M62" s="251">
        <v>0</v>
      </c>
      <c r="N62" s="251">
        <v>4750</v>
      </c>
    </row>
    <row r="63" spans="1:14">
      <c r="A63" s="267" t="s">
        <v>628</v>
      </c>
      <c r="B63" s="268" t="s">
        <v>748</v>
      </c>
      <c r="C63" s="231" t="s">
        <v>675</v>
      </c>
      <c r="D63" s="231" t="s">
        <v>676</v>
      </c>
      <c r="E63" s="231" t="s">
        <v>661</v>
      </c>
      <c r="F63" s="251">
        <v>3305.79</v>
      </c>
      <c r="G63" s="251">
        <v>0</v>
      </c>
      <c r="H63" s="231">
        <v>0</v>
      </c>
      <c r="I63" s="231">
        <v>0</v>
      </c>
      <c r="J63" s="231">
        <v>0</v>
      </c>
      <c r="K63" s="231">
        <v>694.21</v>
      </c>
      <c r="L63" s="231">
        <v>0</v>
      </c>
      <c r="M63" s="251">
        <v>0</v>
      </c>
      <c r="N63" s="251">
        <v>4000</v>
      </c>
    </row>
    <row r="64" spans="1:14">
      <c r="A64" s="267" t="s">
        <v>628</v>
      </c>
      <c r="B64" s="268" t="s">
        <v>749</v>
      </c>
      <c r="C64" s="231" t="s">
        <v>675</v>
      </c>
      <c r="D64" s="231" t="s">
        <v>676</v>
      </c>
      <c r="E64" s="231" t="s">
        <v>661</v>
      </c>
      <c r="F64" s="251">
        <v>9256.2000000000007</v>
      </c>
      <c r="G64" s="251">
        <v>0</v>
      </c>
      <c r="H64" s="231">
        <v>0</v>
      </c>
      <c r="I64" s="231">
        <v>0</v>
      </c>
      <c r="J64" s="231">
        <v>0</v>
      </c>
      <c r="K64" s="231">
        <v>1943.8</v>
      </c>
      <c r="L64" s="231">
        <v>0</v>
      </c>
      <c r="M64" s="251">
        <v>0</v>
      </c>
      <c r="N64" s="251">
        <v>11200</v>
      </c>
    </row>
    <row r="65" spans="1:14">
      <c r="A65" s="267" t="s">
        <v>628</v>
      </c>
      <c r="B65" s="268" t="s">
        <v>750</v>
      </c>
      <c r="C65" s="231" t="s">
        <v>675</v>
      </c>
      <c r="D65" s="231" t="s">
        <v>676</v>
      </c>
      <c r="E65" s="231" t="s">
        <v>661</v>
      </c>
      <c r="F65" s="251">
        <v>13876.03</v>
      </c>
      <c r="G65" s="251">
        <v>0</v>
      </c>
      <c r="H65" s="231">
        <v>0</v>
      </c>
      <c r="I65" s="231">
        <v>0</v>
      </c>
      <c r="J65" s="231">
        <v>0</v>
      </c>
      <c r="K65" s="231">
        <v>2913.97</v>
      </c>
      <c r="L65" s="231">
        <v>0</v>
      </c>
      <c r="M65" s="251">
        <v>0</v>
      </c>
      <c r="N65" s="251">
        <v>16790</v>
      </c>
    </row>
    <row r="66" spans="1:14">
      <c r="A66" s="267" t="s">
        <v>628</v>
      </c>
      <c r="B66" s="268" t="s">
        <v>751</v>
      </c>
      <c r="C66" s="231" t="s">
        <v>675</v>
      </c>
      <c r="D66" s="231" t="s">
        <v>676</v>
      </c>
      <c r="E66" s="231" t="s">
        <v>661</v>
      </c>
      <c r="F66" s="251">
        <v>8553.7199999999993</v>
      </c>
      <c r="G66" s="251">
        <v>0</v>
      </c>
      <c r="H66" s="231">
        <v>0</v>
      </c>
      <c r="I66" s="231">
        <v>0</v>
      </c>
      <c r="J66" s="231">
        <v>0</v>
      </c>
      <c r="K66" s="231">
        <v>1796.28</v>
      </c>
      <c r="L66" s="231">
        <v>0</v>
      </c>
      <c r="M66" s="251">
        <v>0</v>
      </c>
      <c r="N66" s="251">
        <v>10350</v>
      </c>
    </row>
    <row r="67" spans="1:14">
      <c r="A67" s="267" t="s">
        <v>628</v>
      </c>
      <c r="B67" s="268" t="s">
        <v>752</v>
      </c>
      <c r="C67" s="231" t="s">
        <v>675</v>
      </c>
      <c r="D67" s="231" t="s">
        <v>676</v>
      </c>
      <c r="E67" s="231" t="s">
        <v>661</v>
      </c>
      <c r="F67" s="251">
        <v>6033.06</v>
      </c>
      <c r="G67" s="251">
        <v>0</v>
      </c>
      <c r="H67" s="231">
        <v>0</v>
      </c>
      <c r="I67" s="231">
        <v>0</v>
      </c>
      <c r="J67" s="231">
        <v>0</v>
      </c>
      <c r="K67" s="231">
        <v>1266.94</v>
      </c>
      <c r="L67" s="231">
        <v>0</v>
      </c>
      <c r="M67" s="251">
        <v>0</v>
      </c>
      <c r="N67" s="251">
        <v>7300</v>
      </c>
    </row>
    <row r="68" spans="1:14">
      <c r="A68" s="267" t="s">
        <v>628</v>
      </c>
      <c r="B68" s="268" t="s">
        <v>753</v>
      </c>
      <c r="C68" s="231" t="s">
        <v>675</v>
      </c>
      <c r="D68" s="231" t="s">
        <v>676</v>
      </c>
      <c r="E68" s="231" t="s">
        <v>661</v>
      </c>
      <c r="F68" s="251">
        <v>6776.86</v>
      </c>
      <c r="G68" s="251">
        <v>0</v>
      </c>
      <c r="H68" s="231">
        <v>0</v>
      </c>
      <c r="I68" s="231">
        <v>0</v>
      </c>
      <c r="J68" s="231">
        <v>0</v>
      </c>
      <c r="K68" s="231">
        <v>1423.14</v>
      </c>
      <c r="L68" s="231">
        <v>0</v>
      </c>
      <c r="M68" s="251">
        <v>0</v>
      </c>
      <c r="N68" s="251">
        <v>8200</v>
      </c>
    </row>
    <row r="69" spans="1:14">
      <c r="A69" s="267" t="s">
        <v>628</v>
      </c>
      <c r="B69" s="268" t="s">
        <v>754</v>
      </c>
      <c r="C69" s="231" t="s">
        <v>675</v>
      </c>
      <c r="D69" s="231" t="s">
        <v>676</v>
      </c>
      <c r="E69" s="231" t="s">
        <v>661</v>
      </c>
      <c r="F69" s="251">
        <v>6694.21</v>
      </c>
      <c r="G69" s="251">
        <v>0</v>
      </c>
      <c r="H69" s="231">
        <v>0</v>
      </c>
      <c r="I69" s="231">
        <v>0</v>
      </c>
      <c r="J69" s="231">
        <v>0</v>
      </c>
      <c r="K69" s="231">
        <v>1405.79</v>
      </c>
      <c r="L69" s="231">
        <v>0</v>
      </c>
      <c r="M69" s="251">
        <v>0</v>
      </c>
      <c r="N69" s="251">
        <v>8100</v>
      </c>
    </row>
    <row r="70" spans="1:14">
      <c r="A70" s="267" t="s">
        <v>628</v>
      </c>
      <c r="B70" s="268" t="s">
        <v>755</v>
      </c>
      <c r="C70" s="231" t="s">
        <v>675</v>
      </c>
      <c r="D70" s="231" t="s">
        <v>676</v>
      </c>
      <c r="E70" s="231" t="s">
        <v>661</v>
      </c>
      <c r="F70" s="251">
        <v>6033.06</v>
      </c>
      <c r="G70" s="251">
        <v>0</v>
      </c>
      <c r="H70" s="231">
        <v>0</v>
      </c>
      <c r="I70" s="231">
        <v>0</v>
      </c>
      <c r="J70" s="231">
        <v>0</v>
      </c>
      <c r="K70" s="231">
        <v>1266.94</v>
      </c>
      <c r="L70" s="231">
        <v>0</v>
      </c>
      <c r="M70" s="251">
        <v>0</v>
      </c>
      <c r="N70" s="251">
        <v>7300</v>
      </c>
    </row>
    <row r="71" spans="1:14">
      <c r="A71" s="267" t="s">
        <v>628</v>
      </c>
      <c r="B71" s="268" t="s">
        <v>756</v>
      </c>
      <c r="C71" s="231" t="s">
        <v>675</v>
      </c>
      <c r="D71" s="231" t="s">
        <v>676</v>
      </c>
      <c r="E71" s="231" t="s">
        <v>661</v>
      </c>
      <c r="F71" s="251">
        <v>1983.47</v>
      </c>
      <c r="G71" s="251">
        <v>0</v>
      </c>
      <c r="H71" s="231">
        <v>0</v>
      </c>
      <c r="I71" s="231">
        <v>0</v>
      </c>
      <c r="J71" s="231">
        <v>0</v>
      </c>
      <c r="K71" s="231">
        <v>416.53</v>
      </c>
      <c r="L71" s="231">
        <v>0</v>
      </c>
      <c r="M71" s="251">
        <v>0</v>
      </c>
      <c r="N71" s="251">
        <v>2400</v>
      </c>
    </row>
    <row r="72" spans="1:14">
      <c r="A72" s="267" t="s">
        <v>628</v>
      </c>
      <c r="B72" s="268" t="s">
        <v>757</v>
      </c>
      <c r="C72" s="231" t="s">
        <v>675</v>
      </c>
      <c r="D72" s="231" t="s">
        <v>676</v>
      </c>
      <c r="E72" s="231" t="s">
        <v>661</v>
      </c>
      <c r="F72" s="251">
        <v>13553.72</v>
      </c>
      <c r="G72" s="251">
        <v>0</v>
      </c>
      <c r="H72" s="231">
        <v>0</v>
      </c>
      <c r="I72" s="231">
        <v>0</v>
      </c>
      <c r="J72" s="231">
        <v>0</v>
      </c>
      <c r="K72" s="231">
        <v>2846.28</v>
      </c>
      <c r="L72" s="231">
        <v>0</v>
      </c>
      <c r="M72" s="251">
        <v>0</v>
      </c>
      <c r="N72" s="251">
        <v>16400</v>
      </c>
    </row>
    <row r="73" spans="1:14">
      <c r="A73" s="267" t="s">
        <v>628</v>
      </c>
      <c r="B73" s="268" t="s">
        <v>758</v>
      </c>
      <c r="C73" s="231" t="s">
        <v>675</v>
      </c>
      <c r="D73" s="231" t="s">
        <v>676</v>
      </c>
      <c r="E73" s="231" t="s">
        <v>661</v>
      </c>
      <c r="F73" s="251">
        <v>6024.79</v>
      </c>
      <c r="G73" s="251">
        <v>0</v>
      </c>
      <c r="H73" s="231">
        <v>0</v>
      </c>
      <c r="I73" s="231">
        <v>0</v>
      </c>
      <c r="J73" s="231">
        <v>0</v>
      </c>
      <c r="K73" s="231">
        <v>1265.21</v>
      </c>
      <c r="L73" s="231">
        <v>0</v>
      </c>
      <c r="M73" s="251">
        <v>0</v>
      </c>
      <c r="N73" s="251">
        <v>7290</v>
      </c>
    </row>
    <row r="74" spans="1:14">
      <c r="A74" s="267" t="s">
        <v>628</v>
      </c>
      <c r="B74" s="268" t="s">
        <v>759</v>
      </c>
      <c r="C74" s="231" t="s">
        <v>675</v>
      </c>
      <c r="D74" s="231" t="s">
        <v>676</v>
      </c>
      <c r="E74" s="231" t="s">
        <v>661</v>
      </c>
      <c r="F74" s="251">
        <v>3925.62</v>
      </c>
      <c r="G74" s="251">
        <v>0</v>
      </c>
      <c r="H74" s="231">
        <v>0</v>
      </c>
      <c r="I74" s="231">
        <v>0</v>
      </c>
      <c r="J74" s="231">
        <v>0</v>
      </c>
      <c r="K74" s="231">
        <v>824.38</v>
      </c>
      <c r="L74" s="231">
        <v>0</v>
      </c>
      <c r="M74" s="251">
        <v>0</v>
      </c>
      <c r="N74" s="251">
        <v>4750</v>
      </c>
    </row>
    <row r="75" spans="1:14">
      <c r="A75" s="267" t="s">
        <v>628</v>
      </c>
      <c r="B75" s="268" t="s">
        <v>760</v>
      </c>
      <c r="C75" s="231" t="s">
        <v>675</v>
      </c>
      <c r="D75" s="231" t="s">
        <v>676</v>
      </c>
      <c r="E75" s="231" t="s">
        <v>661</v>
      </c>
      <c r="F75" s="251">
        <v>6938.02</v>
      </c>
      <c r="G75" s="251">
        <v>0</v>
      </c>
      <c r="H75" s="231">
        <v>0</v>
      </c>
      <c r="I75" s="231">
        <v>0</v>
      </c>
      <c r="J75" s="231">
        <v>0</v>
      </c>
      <c r="K75" s="231">
        <v>1456.98</v>
      </c>
      <c r="L75" s="231">
        <v>0</v>
      </c>
      <c r="M75" s="251">
        <v>0</v>
      </c>
      <c r="N75" s="251">
        <v>8395</v>
      </c>
    </row>
    <row r="76" spans="1:14">
      <c r="A76" s="267" t="s">
        <v>628</v>
      </c>
      <c r="B76" s="268" t="s">
        <v>761</v>
      </c>
      <c r="C76" s="231" t="s">
        <v>675</v>
      </c>
      <c r="D76" s="231" t="s">
        <v>676</v>
      </c>
      <c r="E76" s="231" t="s">
        <v>661</v>
      </c>
      <c r="F76" s="251">
        <v>11570.25</v>
      </c>
      <c r="G76" s="251">
        <v>0</v>
      </c>
      <c r="H76" s="231">
        <v>0</v>
      </c>
      <c r="I76" s="231">
        <v>0</v>
      </c>
      <c r="J76" s="231">
        <v>0</v>
      </c>
      <c r="K76" s="231">
        <v>2429.75</v>
      </c>
      <c r="L76" s="231">
        <v>0</v>
      </c>
      <c r="M76" s="251">
        <v>0</v>
      </c>
      <c r="N76" s="251">
        <v>14000</v>
      </c>
    </row>
    <row r="77" spans="1:14">
      <c r="A77" s="267" t="s">
        <v>628</v>
      </c>
      <c r="B77" s="268" t="s">
        <v>762</v>
      </c>
      <c r="C77" s="231" t="s">
        <v>763</v>
      </c>
      <c r="D77" s="231" t="s">
        <v>702</v>
      </c>
      <c r="E77" s="231">
        <v>30522428163</v>
      </c>
      <c r="F77" s="251">
        <v>4459509.09</v>
      </c>
      <c r="G77" s="251">
        <v>0</v>
      </c>
      <c r="H77" s="231">
        <v>0</v>
      </c>
      <c r="I77" s="231">
        <v>0</v>
      </c>
      <c r="J77" s="231">
        <v>0</v>
      </c>
      <c r="K77" s="231">
        <v>936496.91</v>
      </c>
      <c r="L77" s="231">
        <v>0</v>
      </c>
      <c r="M77" s="251">
        <v>0</v>
      </c>
      <c r="N77" s="251">
        <v>5396006</v>
      </c>
    </row>
    <row r="78" spans="1:14">
      <c r="A78" s="267" t="s">
        <v>628</v>
      </c>
      <c r="B78" s="268" t="s">
        <v>764</v>
      </c>
      <c r="C78" s="231" t="s">
        <v>765</v>
      </c>
      <c r="D78" s="231" t="s">
        <v>702</v>
      </c>
      <c r="E78" s="231">
        <v>30710961790</v>
      </c>
      <c r="F78" s="251">
        <v>46790.080000000002</v>
      </c>
      <c r="G78" s="251">
        <v>0</v>
      </c>
      <c r="H78" s="231">
        <v>0</v>
      </c>
      <c r="I78" s="231">
        <v>0</v>
      </c>
      <c r="J78" s="231">
        <v>0</v>
      </c>
      <c r="K78" s="231">
        <v>9825.92</v>
      </c>
      <c r="L78" s="231">
        <v>0</v>
      </c>
      <c r="M78" s="251">
        <v>0</v>
      </c>
      <c r="N78" s="251">
        <v>56616</v>
      </c>
    </row>
    <row r="79" spans="1:14">
      <c r="A79" s="267" t="s">
        <v>628</v>
      </c>
      <c r="B79" s="268" t="s">
        <v>766</v>
      </c>
      <c r="C79" s="231" t="s">
        <v>767</v>
      </c>
      <c r="D79" s="231" t="s">
        <v>676</v>
      </c>
      <c r="E79" s="231">
        <v>21645724</v>
      </c>
      <c r="F79" s="251">
        <v>8677.69</v>
      </c>
      <c r="G79" s="251">
        <v>0</v>
      </c>
      <c r="H79" s="231">
        <v>0</v>
      </c>
      <c r="I79" s="231">
        <v>0</v>
      </c>
      <c r="J79" s="231">
        <v>0</v>
      </c>
      <c r="K79" s="231">
        <v>1822.31</v>
      </c>
      <c r="L79" s="231">
        <v>0</v>
      </c>
      <c r="M79" s="251">
        <v>0</v>
      </c>
      <c r="N79" s="251">
        <v>10500</v>
      </c>
    </row>
    <row r="80" spans="1:14">
      <c r="A80" s="267" t="s">
        <v>628</v>
      </c>
      <c r="B80" s="268" t="s">
        <v>768</v>
      </c>
      <c r="C80" s="231" t="s">
        <v>769</v>
      </c>
      <c r="D80" s="231" t="s">
        <v>676</v>
      </c>
      <c r="E80" s="231">
        <v>17198648</v>
      </c>
      <c r="F80" s="251">
        <v>7438.02</v>
      </c>
      <c r="G80" s="251">
        <v>0</v>
      </c>
      <c r="H80" s="231">
        <v>0</v>
      </c>
      <c r="I80" s="231">
        <v>0</v>
      </c>
      <c r="J80" s="231">
        <v>0</v>
      </c>
      <c r="K80" s="231">
        <v>1561.98</v>
      </c>
      <c r="L80" s="231">
        <v>0</v>
      </c>
      <c r="M80" s="251">
        <v>0</v>
      </c>
      <c r="N80" s="251">
        <v>9000</v>
      </c>
    </row>
    <row r="81" spans="1:14">
      <c r="A81" s="267" t="s">
        <v>628</v>
      </c>
      <c r="B81" s="268" t="s">
        <v>770</v>
      </c>
      <c r="C81" s="231" t="s">
        <v>715</v>
      </c>
      <c r="D81" s="231" t="s">
        <v>676</v>
      </c>
      <c r="E81" s="231">
        <v>26542077</v>
      </c>
      <c r="F81" s="251">
        <v>12644.63</v>
      </c>
      <c r="G81" s="251">
        <v>0</v>
      </c>
      <c r="H81" s="231">
        <v>0</v>
      </c>
      <c r="I81" s="231">
        <v>0</v>
      </c>
      <c r="J81" s="231">
        <v>0</v>
      </c>
      <c r="K81" s="231">
        <v>2655.37</v>
      </c>
      <c r="L81" s="231">
        <v>0</v>
      </c>
      <c r="M81" s="251">
        <v>0</v>
      </c>
      <c r="N81" s="251">
        <v>15300</v>
      </c>
    </row>
    <row r="82" spans="1:14">
      <c r="A82" s="267" t="s">
        <v>628</v>
      </c>
      <c r="B82" s="268" t="s">
        <v>771</v>
      </c>
      <c r="C82" s="231" t="s">
        <v>772</v>
      </c>
      <c r="D82" s="231" t="s">
        <v>676</v>
      </c>
      <c r="E82" s="231">
        <v>21363216</v>
      </c>
      <c r="F82" s="251">
        <v>6611.57</v>
      </c>
      <c r="G82" s="251">
        <v>0</v>
      </c>
      <c r="H82" s="231">
        <v>0</v>
      </c>
      <c r="I82" s="231">
        <v>0</v>
      </c>
      <c r="J82" s="231">
        <v>0</v>
      </c>
      <c r="K82" s="231">
        <v>1388.43</v>
      </c>
      <c r="L82" s="231">
        <v>0</v>
      </c>
      <c r="M82" s="251">
        <v>0</v>
      </c>
      <c r="N82" s="251">
        <v>8000</v>
      </c>
    </row>
    <row r="83" spans="1:14">
      <c r="A83" s="267" t="s">
        <v>632</v>
      </c>
      <c r="B83" s="268" t="s">
        <v>773</v>
      </c>
      <c r="C83" s="231" t="s">
        <v>675</v>
      </c>
      <c r="D83" s="231" t="s">
        <v>676</v>
      </c>
      <c r="E83" s="231" t="s">
        <v>661</v>
      </c>
      <c r="F83" s="251">
        <v>2479.34</v>
      </c>
      <c r="G83" s="251">
        <v>0</v>
      </c>
      <c r="H83" s="231">
        <v>0</v>
      </c>
      <c r="I83" s="231">
        <v>0</v>
      </c>
      <c r="J83" s="231">
        <v>0</v>
      </c>
      <c r="K83" s="231">
        <v>520.66</v>
      </c>
      <c r="L83" s="231">
        <v>0</v>
      </c>
      <c r="M83" s="251">
        <v>0</v>
      </c>
      <c r="N83" s="251">
        <v>3000</v>
      </c>
    </row>
    <row r="84" spans="1:14">
      <c r="A84" s="267" t="s">
        <v>632</v>
      </c>
      <c r="B84" s="268" t="s">
        <v>774</v>
      </c>
      <c r="C84" s="231" t="s">
        <v>675</v>
      </c>
      <c r="D84" s="231" t="s">
        <v>676</v>
      </c>
      <c r="E84" s="231" t="s">
        <v>661</v>
      </c>
      <c r="F84" s="251">
        <v>1074.3800000000001</v>
      </c>
      <c r="G84" s="251">
        <v>0</v>
      </c>
      <c r="H84" s="231">
        <v>0</v>
      </c>
      <c r="I84" s="231">
        <v>0</v>
      </c>
      <c r="J84" s="231">
        <v>0</v>
      </c>
      <c r="K84" s="231">
        <v>225.62</v>
      </c>
      <c r="L84" s="231">
        <v>0</v>
      </c>
      <c r="M84" s="251">
        <v>0</v>
      </c>
      <c r="N84" s="251">
        <v>1300</v>
      </c>
    </row>
    <row r="85" spans="1:14">
      <c r="A85" s="267" t="s">
        <v>632</v>
      </c>
      <c r="B85" s="268" t="s">
        <v>775</v>
      </c>
      <c r="C85" s="231" t="s">
        <v>675</v>
      </c>
      <c r="D85" s="231" t="s">
        <v>676</v>
      </c>
      <c r="E85" s="231" t="s">
        <v>661</v>
      </c>
      <c r="F85" s="251">
        <v>3719.01</v>
      </c>
      <c r="G85" s="251">
        <v>0</v>
      </c>
      <c r="H85" s="231">
        <v>0</v>
      </c>
      <c r="I85" s="231">
        <v>0</v>
      </c>
      <c r="J85" s="231">
        <v>0</v>
      </c>
      <c r="K85" s="231">
        <v>780.99</v>
      </c>
      <c r="L85" s="231">
        <v>0</v>
      </c>
      <c r="M85" s="251">
        <v>0</v>
      </c>
      <c r="N85" s="251">
        <v>4500</v>
      </c>
    </row>
    <row r="86" spans="1:14">
      <c r="A86" s="267" t="s">
        <v>632</v>
      </c>
      <c r="B86" s="268" t="s">
        <v>776</v>
      </c>
      <c r="C86" s="231" t="s">
        <v>675</v>
      </c>
      <c r="D86" s="231" t="s">
        <v>676</v>
      </c>
      <c r="E86" s="231" t="s">
        <v>661</v>
      </c>
      <c r="F86" s="251">
        <v>8429.75</v>
      </c>
      <c r="G86" s="251">
        <v>0</v>
      </c>
      <c r="H86" s="231">
        <v>0</v>
      </c>
      <c r="I86" s="231">
        <v>0</v>
      </c>
      <c r="J86" s="231">
        <v>0</v>
      </c>
      <c r="K86" s="231">
        <v>1770.25</v>
      </c>
      <c r="L86" s="231">
        <v>0</v>
      </c>
      <c r="M86" s="251">
        <v>0</v>
      </c>
      <c r="N86" s="251">
        <v>10200</v>
      </c>
    </row>
    <row r="87" spans="1:14">
      <c r="A87" s="267" t="s">
        <v>632</v>
      </c>
      <c r="B87" s="268" t="s">
        <v>777</v>
      </c>
      <c r="C87" s="231" t="s">
        <v>675</v>
      </c>
      <c r="D87" s="231" t="s">
        <v>676</v>
      </c>
      <c r="E87" s="231" t="s">
        <v>661</v>
      </c>
      <c r="F87" s="251">
        <v>826.45</v>
      </c>
      <c r="G87" s="251">
        <v>0</v>
      </c>
      <c r="H87" s="231">
        <v>0</v>
      </c>
      <c r="I87" s="231">
        <v>0</v>
      </c>
      <c r="J87" s="231">
        <v>0</v>
      </c>
      <c r="K87" s="231">
        <v>173.55</v>
      </c>
      <c r="L87" s="231">
        <v>0</v>
      </c>
      <c r="M87" s="251">
        <v>0</v>
      </c>
      <c r="N87" s="251">
        <v>1000</v>
      </c>
    </row>
    <row r="88" spans="1:14">
      <c r="A88" s="267" t="s">
        <v>632</v>
      </c>
      <c r="B88" s="268" t="s">
        <v>778</v>
      </c>
      <c r="C88" s="231" t="s">
        <v>675</v>
      </c>
      <c r="D88" s="231" t="s">
        <v>676</v>
      </c>
      <c r="E88" s="231" t="s">
        <v>661</v>
      </c>
      <c r="F88" s="251">
        <v>5785.12</v>
      </c>
      <c r="G88" s="251">
        <v>0</v>
      </c>
      <c r="H88" s="231">
        <v>0</v>
      </c>
      <c r="I88" s="231">
        <v>0</v>
      </c>
      <c r="J88" s="231">
        <v>0</v>
      </c>
      <c r="K88" s="231">
        <v>1214.8800000000001</v>
      </c>
      <c r="L88" s="231">
        <v>0</v>
      </c>
      <c r="M88" s="251">
        <v>0</v>
      </c>
      <c r="N88" s="251">
        <v>7000</v>
      </c>
    </row>
    <row r="89" spans="1:14">
      <c r="A89" s="267" t="s">
        <v>632</v>
      </c>
      <c r="B89" s="268" t="s">
        <v>779</v>
      </c>
      <c r="C89" s="231" t="s">
        <v>675</v>
      </c>
      <c r="D89" s="231" t="s">
        <v>676</v>
      </c>
      <c r="E89" s="231" t="s">
        <v>661</v>
      </c>
      <c r="F89" s="251">
        <v>6776.86</v>
      </c>
      <c r="G89" s="251">
        <v>0</v>
      </c>
      <c r="H89" s="231">
        <v>0</v>
      </c>
      <c r="I89" s="231">
        <v>0</v>
      </c>
      <c r="J89" s="231">
        <v>0</v>
      </c>
      <c r="K89" s="231">
        <v>1423.14</v>
      </c>
      <c r="L89" s="231">
        <v>0</v>
      </c>
      <c r="M89" s="251">
        <v>0</v>
      </c>
      <c r="N89" s="251">
        <v>8200</v>
      </c>
    </row>
    <row r="90" spans="1:14">
      <c r="A90" s="267" t="s">
        <v>632</v>
      </c>
      <c r="B90" s="268" t="s">
        <v>780</v>
      </c>
      <c r="C90" s="231" t="s">
        <v>675</v>
      </c>
      <c r="D90" s="231" t="s">
        <v>676</v>
      </c>
      <c r="E90" s="231" t="s">
        <v>661</v>
      </c>
      <c r="F90" s="251">
        <v>15702.48</v>
      </c>
      <c r="G90" s="251">
        <v>0</v>
      </c>
      <c r="H90" s="231">
        <v>0</v>
      </c>
      <c r="I90" s="231">
        <v>0</v>
      </c>
      <c r="J90" s="231">
        <v>0</v>
      </c>
      <c r="K90" s="231">
        <v>3297.52</v>
      </c>
      <c r="L90" s="231">
        <v>0</v>
      </c>
      <c r="M90" s="251">
        <v>0</v>
      </c>
      <c r="N90" s="251">
        <v>19000</v>
      </c>
    </row>
    <row r="91" spans="1:14">
      <c r="A91" s="267" t="s">
        <v>632</v>
      </c>
      <c r="B91" s="268" t="s">
        <v>781</v>
      </c>
      <c r="C91" s="231" t="s">
        <v>675</v>
      </c>
      <c r="D91" s="231" t="s">
        <v>676</v>
      </c>
      <c r="E91" s="231" t="s">
        <v>661</v>
      </c>
      <c r="F91" s="251">
        <v>6033.06</v>
      </c>
      <c r="G91" s="251">
        <v>0</v>
      </c>
      <c r="H91" s="231">
        <v>0</v>
      </c>
      <c r="I91" s="231">
        <v>0</v>
      </c>
      <c r="J91" s="231">
        <v>0</v>
      </c>
      <c r="K91" s="231">
        <v>1266.94</v>
      </c>
      <c r="L91" s="231">
        <v>0</v>
      </c>
      <c r="M91" s="251">
        <v>0</v>
      </c>
      <c r="N91" s="251">
        <v>7300</v>
      </c>
    </row>
    <row r="92" spans="1:14">
      <c r="A92" s="267" t="s">
        <v>632</v>
      </c>
      <c r="B92" s="268" t="s">
        <v>782</v>
      </c>
      <c r="C92" s="231" t="s">
        <v>783</v>
      </c>
      <c r="D92" s="231" t="s">
        <v>702</v>
      </c>
      <c r="E92" s="231">
        <v>30683032227</v>
      </c>
      <c r="F92" s="251">
        <v>345972.53</v>
      </c>
      <c r="G92" s="251">
        <v>0</v>
      </c>
      <c r="H92" s="231">
        <v>0</v>
      </c>
      <c r="I92" s="231">
        <v>0</v>
      </c>
      <c r="J92" s="231">
        <v>0</v>
      </c>
      <c r="K92" s="231">
        <v>72654.23</v>
      </c>
      <c r="L92" s="231">
        <v>0</v>
      </c>
      <c r="M92" s="251">
        <v>0</v>
      </c>
      <c r="N92" s="251">
        <v>418626.76</v>
      </c>
    </row>
    <row r="93" spans="1:14">
      <c r="A93" s="267" t="s">
        <v>632</v>
      </c>
      <c r="B93" s="268" t="s">
        <v>784</v>
      </c>
      <c r="C93" s="231" t="s">
        <v>783</v>
      </c>
      <c r="D93" s="231" t="s">
        <v>702</v>
      </c>
      <c r="E93" s="231">
        <v>30683032227</v>
      </c>
      <c r="F93" s="251">
        <v>98140.5</v>
      </c>
      <c r="G93" s="251">
        <v>0</v>
      </c>
      <c r="H93" s="231">
        <v>0</v>
      </c>
      <c r="I93" s="231">
        <v>0</v>
      </c>
      <c r="J93" s="231">
        <v>0</v>
      </c>
      <c r="K93" s="231">
        <v>20609.510000000002</v>
      </c>
      <c r="L93" s="231">
        <v>0</v>
      </c>
      <c r="M93" s="251">
        <v>0</v>
      </c>
      <c r="N93" s="251">
        <v>118750.01</v>
      </c>
    </row>
    <row r="94" spans="1:14">
      <c r="A94" s="267" t="s">
        <v>632</v>
      </c>
      <c r="B94" s="268" t="s">
        <v>785</v>
      </c>
      <c r="C94" s="231" t="s">
        <v>783</v>
      </c>
      <c r="D94" s="231" t="s">
        <v>702</v>
      </c>
      <c r="E94" s="231">
        <v>30683032227</v>
      </c>
      <c r="F94" s="251">
        <v>24380.17</v>
      </c>
      <c r="G94" s="251">
        <v>0</v>
      </c>
      <c r="H94" s="231">
        <v>0</v>
      </c>
      <c r="I94" s="231">
        <v>0</v>
      </c>
      <c r="J94" s="231">
        <v>0</v>
      </c>
      <c r="K94" s="231">
        <v>5119.84</v>
      </c>
      <c r="L94" s="231">
        <v>0</v>
      </c>
      <c r="M94" s="251">
        <v>0</v>
      </c>
      <c r="N94" s="251">
        <v>29500.01</v>
      </c>
    </row>
    <row r="95" spans="1:14">
      <c r="A95" s="267" t="s">
        <v>632</v>
      </c>
      <c r="B95" s="268" t="s">
        <v>786</v>
      </c>
      <c r="C95" s="231" t="s">
        <v>704</v>
      </c>
      <c r="D95" s="231" t="s">
        <v>702</v>
      </c>
      <c r="E95" s="231">
        <v>30608716390</v>
      </c>
      <c r="F95" s="251">
        <v>8578.51</v>
      </c>
      <c r="G95" s="251">
        <v>0</v>
      </c>
      <c r="H95" s="231">
        <v>0</v>
      </c>
      <c r="I95" s="231">
        <v>0</v>
      </c>
      <c r="J95" s="231">
        <v>0</v>
      </c>
      <c r="K95" s="231">
        <v>1801.49</v>
      </c>
      <c r="L95" s="231">
        <v>0</v>
      </c>
      <c r="M95" s="251">
        <v>0</v>
      </c>
      <c r="N95" s="251">
        <v>10380</v>
      </c>
    </row>
    <row r="96" spans="1:14">
      <c r="A96" s="267" t="s">
        <v>632</v>
      </c>
      <c r="B96" s="268" t="s">
        <v>787</v>
      </c>
      <c r="C96" s="231" t="s">
        <v>704</v>
      </c>
      <c r="D96" s="231" t="s">
        <v>702</v>
      </c>
      <c r="E96" s="231">
        <v>30608716390</v>
      </c>
      <c r="F96" s="251">
        <v>1972.73</v>
      </c>
      <c r="G96" s="251">
        <v>0</v>
      </c>
      <c r="H96" s="231">
        <v>0</v>
      </c>
      <c r="I96" s="231">
        <v>0</v>
      </c>
      <c r="J96" s="231">
        <v>0</v>
      </c>
      <c r="K96" s="231">
        <v>414.27</v>
      </c>
      <c r="L96" s="231">
        <v>0</v>
      </c>
      <c r="M96" s="251">
        <v>0</v>
      </c>
      <c r="N96" s="251">
        <v>2387</v>
      </c>
    </row>
    <row r="97" spans="1:14">
      <c r="A97" s="267" t="s">
        <v>632</v>
      </c>
      <c r="B97" s="268" t="s">
        <v>788</v>
      </c>
      <c r="C97" s="231" t="s">
        <v>704</v>
      </c>
      <c r="D97" s="231" t="s">
        <v>702</v>
      </c>
      <c r="E97" s="231">
        <v>30608716390</v>
      </c>
      <c r="F97" s="251">
        <v>8578.51</v>
      </c>
      <c r="G97" s="251">
        <v>0</v>
      </c>
      <c r="H97" s="231">
        <v>0</v>
      </c>
      <c r="I97" s="231">
        <v>0</v>
      </c>
      <c r="J97" s="231">
        <v>0</v>
      </c>
      <c r="K97" s="231">
        <v>1801.49</v>
      </c>
      <c r="L97" s="231">
        <v>0</v>
      </c>
      <c r="M97" s="251">
        <v>0</v>
      </c>
      <c r="N97" s="251">
        <v>10380</v>
      </c>
    </row>
    <row r="98" spans="1:14">
      <c r="A98" s="267" t="s">
        <v>632</v>
      </c>
      <c r="B98" s="268" t="s">
        <v>789</v>
      </c>
      <c r="C98" s="231" t="s">
        <v>704</v>
      </c>
      <c r="D98" s="231" t="s">
        <v>702</v>
      </c>
      <c r="E98" s="231">
        <v>30608716390</v>
      </c>
      <c r="F98" s="251">
        <v>2676.46</v>
      </c>
      <c r="G98" s="251">
        <v>0</v>
      </c>
      <c r="H98" s="231">
        <v>0</v>
      </c>
      <c r="I98" s="231">
        <v>0</v>
      </c>
      <c r="J98" s="231">
        <v>0</v>
      </c>
      <c r="K98" s="231">
        <v>562.06000000000006</v>
      </c>
      <c r="L98" s="231">
        <v>0</v>
      </c>
      <c r="M98" s="251">
        <v>0</v>
      </c>
      <c r="N98" s="251">
        <v>3238.52</v>
      </c>
    </row>
    <row r="99" spans="1:14">
      <c r="A99" s="267" t="s">
        <v>632</v>
      </c>
      <c r="B99" s="268" t="s">
        <v>790</v>
      </c>
      <c r="C99" s="231" t="s">
        <v>791</v>
      </c>
      <c r="D99" s="231" t="s">
        <v>702</v>
      </c>
      <c r="E99" s="231">
        <v>30715186655</v>
      </c>
      <c r="F99" s="251">
        <v>81080.3</v>
      </c>
      <c r="G99" s="251">
        <v>0</v>
      </c>
      <c r="H99" s="231">
        <v>0</v>
      </c>
      <c r="I99" s="231">
        <v>0</v>
      </c>
      <c r="J99" s="231">
        <v>0</v>
      </c>
      <c r="K99" s="231">
        <v>17026.86</v>
      </c>
      <c r="L99" s="231">
        <v>0</v>
      </c>
      <c r="M99" s="251">
        <v>0</v>
      </c>
      <c r="N99" s="251">
        <v>98107.16</v>
      </c>
    </row>
    <row r="100" spans="1:14">
      <c r="A100" s="267" t="s">
        <v>632</v>
      </c>
      <c r="B100" s="268" t="s">
        <v>792</v>
      </c>
      <c r="C100" s="231" t="s">
        <v>791</v>
      </c>
      <c r="D100" s="231" t="s">
        <v>702</v>
      </c>
      <c r="E100" s="231">
        <v>30715186655</v>
      </c>
      <c r="F100" s="251">
        <v>5263.64</v>
      </c>
      <c r="G100" s="251">
        <v>0</v>
      </c>
      <c r="H100" s="231">
        <v>0</v>
      </c>
      <c r="I100" s="231">
        <v>0</v>
      </c>
      <c r="J100" s="231">
        <v>0</v>
      </c>
      <c r="K100" s="231">
        <v>1105.3600000000001</v>
      </c>
      <c r="L100" s="231">
        <v>0</v>
      </c>
      <c r="M100" s="251">
        <v>0</v>
      </c>
      <c r="N100" s="251">
        <v>6369</v>
      </c>
    </row>
    <row r="101" spans="1:14">
      <c r="A101" s="267" t="s">
        <v>632</v>
      </c>
      <c r="B101" s="268" t="s">
        <v>793</v>
      </c>
      <c r="C101" s="231" t="s">
        <v>794</v>
      </c>
      <c r="D101" s="231" t="s">
        <v>702</v>
      </c>
      <c r="E101" s="231">
        <v>30546771314</v>
      </c>
      <c r="F101" s="251">
        <v>6389.31</v>
      </c>
      <c r="G101" s="251">
        <v>0</v>
      </c>
      <c r="H101" s="231">
        <v>0</v>
      </c>
      <c r="I101" s="231">
        <v>0</v>
      </c>
      <c r="J101" s="231">
        <v>0</v>
      </c>
      <c r="K101" s="231">
        <v>1341.76</v>
      </c>
      <c r="L101" s="231">
        <v>0</v>
      </c>
      <c r="M101" s="251">
        <v>0</v>
      </c>
      <c r="N101" s="251">
        <v>7731.07</v>
      </c>
    </row>
    <row r="102" spans="1:14">
      <c r="A102" s="267" t="s">
        <v>632</v>
      </c>
      <c r="B102" s="268" t="s">
        <v>795</v>
      </c>
      <c r="C102" s="231" t="s">
        <v>796</v>
      </c>
      <c r="D102" s="231" t="s">
        <v>702</v>
      </c>
      <c r="E102" s="231">
        <v>30711244383</v>
      </c>
      <c r="F102" s="251">
        <v>6916.64</v>
      </c>
      <c r="G102" s="251">
        <v>0</v>
      </c>
      <c r="H102" s="231">
        <v>0</v>
      </c>
      <c r="I102" s="231">
        <v>0</v>
      </c>
      <c r="J102" s="231">
        <v>0</v>
      </c>
      <c r="K102" s="231">
        <v>1452.49</v>
      </c>
      <c r="L102" s="231">
        <v>0</v>
      </c>
      <c r="M102" s="251">
        <v>0</v>
      </c>
      <c r="N102" s="251">
        <v>8369.130000000001</v>
      </c>
    </row>
    <row r="103" spans="1:14">
      <c r="A103" s="267" t="s">
        <v>632</v>
      </c>
      <c r="B103" s="268" t="s">
        <v>797</v>
      </c>
      <c r="C103" s="231" t="s">
        <v>798</v>
      </c>
      <c r="D103" s="231" t="s">
        <v>702</v>
      </c>
      <c r="E103" s="231">
        <v>30657418877</v>
      </c>
      <c r="F103" s="251">
        <v>3615.51</v>
      </c>
      <c r="G103" s="251">
        <v>0</v>
      </c>
      <c r="H103" s="231">
        <v>0</v>
      </c>
      <c r="I103" s="231">
        <v>0</v>
      </c>
      <c r="J103" s="231">
        <v>0</v>
      </c>
      <c r="K103" s="231">
        <v>759.25</v>
      </c>
      <c r="L103" s="231">
        <v>0</v>
      </c>
      <c r="M103" s="251">
        <v>0</v>
      </c>
      <c r="N103" s="251">
        <v>4374.76</v>
      </c>
    </row>
    <row r="104" spans="1:14">
      <c r="A104" s="267" t="s">
        <v>632</v>
      </c>
      <c r="B104" s="268" t="s">
        <v>799</v>
      </c>
      <c r="C104" s="231" t="s">
        <v>800</v>
      </c>
      <c r="D104" s="231" t="s">
        <v>676</v>
      </c>
      <c r="E104" s="231">
        <v>22608522</v>
      </c>
      <c r="F104" s="251">
        <v>16115.71</v>
      </c>
      <c r="G104" s="251">
        <v>0</v>
      </c>
      <c r="H104" s="231">
        <v>0</v>
      </c>
      <c r="I104" s="231">
        <v>0</v>
      </c>
      <c r="J104" s="231">
        <v>0</v>
      </c>
      <c r="K104" s="231">
        <v>3384.29</v>
      </c>
      <c r="L104" s="231">
        <v>0</v>
      </c>
      <c r="M104" s="251">
        <v>0</v>
      </c>
      <c r="N104" s="251">
        <v>19500</v>
      </c>
    </row>
    <row r="105" spans="1:14">
      <c r="A105" s="267" t="s">
        <v>632</v>
      </c>
      <c r="B105" s="268" t="s">
        <v>801</v>
      </c>
      <c r="C105" s="231" t="s">
        <v>802</v>
      </c>
      <c r="D105" s="231" t="s">
        <v>803</v>
      </c>
      <c r="E105" s="231">
        <v>30590354798</v>
      </c>
      <c r="F105" s="251">
        <v>353616.28</v>
      </c>
      <c r="G105" s="251">
        <v>0</v>
      </c>
      <c r="H105" s="231">
        <v>0</v>
      </c>
      <c r="I105" s="231">
        <v>0</v>
      </c>
      <c r="J105" s="231">
        <v>0</v>
      </c>
      <c r="K105" s="231">
        <v>74259.42</v>
      </c>
      <c r="L105" s="231">
        <v>0</v>
      </c>
      <c r="M105" s="251">
        <v>0</v>
      </c>
      <c r="N105" s="251">
        <v>427875.7</v>
      </c>
    </row>
    <row r="106" spans="1:14">
      <c r="A106" s="267" t="s">
        <v>632</v>
      </c>
      <c r="B106" s="268" t="s">
        <v>804</v>
      </c>
      <c r="C106" s="231" t="s">
        <v>805</v>
      </c>
      <c r="D106" s="231" t="s">
        <v>676</v>
      </c>
      <c r="E106" s="231">
        <v>20435515</v>
      </c>
      <c r="F106" s="251">
        <v>72727.27</v>
      </c>
      <c r="G106" s="251">
        <v>0</v>
      </c>
      <c r="H106" s="231">
        <v>0</v>
      </c>
      <c r="I106" s="231">
        <v>0</v>
      </c>
      <c r="J106" s="231">
        <v>0</v>
      </c>
      <c r="K106" s="231">
        <v>15272.73</v>
      </c>
      <c r="L106" s="231">
        <v>0</v>
      </c>
      <c r="M106" s="251">
        <v>0</v>
      </c>
      <c r="N106" s="251">
        <v>88000</v>
      </c>
    </row>
    <row r="107" spans="1:14">
      <c r="A107" s="267" t="s">
        <v>632</v>
      </c>
      <c r="B107" s="268" t="s">
        <v>806</v>
      </c>
      <c r="C107" s="231" t="s">
        <v>807</v>
      </c>
      <c r="D107" s="231" t="s">
        <v>803</v>
      </c>
      <c r="E107" s="231">
        <v>30571766287</v>
      </c>
      <c r="F107" s="251">
        <v>25557.02</v>
      </c>
      <c r="G107" s="251">
        <v>0</v>
      </c>
      <c r="H107" s="231">
        <v>0</v>
      </c>
      <c r="I107" s="231">
        <v>0</v>
      </c>
      <c r="J107" s="231">
        <v>0</v>
      </c>
      <c r="K107" s="231">
        <v>5366.98</v>
      </c>
      <c r="L107" s="231">
        <v>0</v>
      </c>
      <c r="M107" s="251">
        <v>0</v>
      </c>
      <c r="N107" s="251">
        <v>30924</v>
      </c>
    </row>
    <row r="108" spans="1:14">
      <c r="A108" s="267" t="s">
        <v>632</v>
      </c>
      <c r="B108" s="268" t="s">
        <v>808</v>
      </c>
      <c r="C108" s="231" t="s">
        <v>809</v>
      </c>
      <c r="D108" s="231" t="s">
        <v>803</v>
      </c>
      <c r="E108" s="231">
        <v>30658137642</v>
      </c>
      <c r="F108" s="251">
        <v>62036.36</v>
      </c>
      <c r="G108" s="251">
        <v>0</v>
      </c>
      <c r="H108" s="231">
        <v>0</v>
      </c>
      <c r="I108" s="231">
        <v>0</v>
      </c>
      <c r="J108" s="231">
        <v>0</v>
      </c>
      <c r="K108" s="231">
        <v>13027.64</v>
      </c>
      <c r="L108" s="231">
        <v>0</v>
      </c>
      <c r="M108" s="251">
        <v>0</v>
      </c>
      <c r="N108" s="251">
        <v>75064</v>
      </c>
    </row>
    <row r="109" spans="1:14">
      <c r="A109" s="267" t="s">
        <v>632</v>
      </c>
      <c r="B109" s="268" t="s">
        <v>810</v>
      </c>
      <c r="C109" s="231" t="s">
        <v>809</v>
      </c>
      <c r="D109" s="231" t="s">
        <v>803</v>
      </c>
      <c r="E109" s="231">
        <v>30658137642</v>
      </c>
      <c r="F109" s="251">
        <v>8846.2800000000007</v>
      </c>
      <c r="G109" s="251">
        <v>0</v>
      </c>
      <c r="H109" s="231">
        <v>0</v>
      </c>
      <c r="I109" s="231">
        <v>0</v>
      </c>
      <c r="J109" s="231">
        <v>0</v>
      </c>
      <c r="K109" s="231">
        <v>1857.72</v>
      </c>
      <c r="L109" s="231">
        <v>0</v>
      </c>
      <c r="M109" s="251">
        <v>0</v>
      </c>
      <c r="N109" s="251">
        <v>10704</v>
      </c>
    </row>
    <row r="110" spans="1:14">
      <c r="A110" s="267" t="s">
        <v>633</v>
      </c>
      <c r="B110" s="268" t="s">
        <v>811</v>
      </c>
      <c r="C110" s="231" t="s">
        <v>675</v>
      </c>
      <c r="D110" s="231" t="s">
        <v>676</v>
      </c>
      <c r="E110" s="231" t="s">
        <v>661</v>
      </c>
      <c r="F110" s="251">
        <v>3012.4</v>
      </c>
      <c r="G110" s="251">
        <v>0</v>
      </c>
      <c r="H110" s="231">
        <v>0</v>
      </c>
      <c r="I110" s="231">
        <v>0</v>
      </c>
      <c r="J110" s="231">
        <v>0</v>
      </c>
      <c r="K110" s="231">
        <v>632.6</v>
      </c>
      <c r="L110" s="231">
        <v>0</v>
      </c>
      <c r="M110" s="251">
        <v>0</v>
      </c>
      <c r="N110" s="251">
        <v>3645</v>
      </c>
    </row>
    <row r="111" spans="1:14">
      <c r="A111" s="267" t="s">
        <v>633</v>
      </c>
      <c r="B111" s="268" t="s">
        <v>812</v>
      </c>
      <c r="C111" s="231" t="s">
        <v>675</v>
      </c>
      <c r="D111" s="231" t="s">
        <v>676</v>
      </c>
      <c r="E111" s="231" t="s">
        <v>661</v>
      </c>
      <c r="F111" s="251">
        <v>6024.79</v>
      </c>
      <c r="G111" s="251">
        <v>0</v>
      </c>
      <c r="H111" s="231">
        <v>0</v>
      </c>
      <c r="I111" s="231">
        <v>0</v>
      </c>
      <c r="J111" s="231">
        <v>0</v>
      </c>
      <c r="K111" s="231">
        <v>1265.21</v>
      </c>
      <c r="L111" s="231">
        <v>0</v>
      </c>
      <c r="M111" s="251">
        <v>0</v>
      </c>
      <c r="N111" s="251">
        <v>7290</v>
      </c>
    </row>
    <row r="112" spans="1:14">
      <c r="A112" s="267" t="s">
        <v>633</v>
      </c>
      <c r="B112" s="268" t="s">
        <v>813</v>
      </c>
      <c r="C112" s="231" t="s">
        <v>675</v>
      </c>
      <c r="D112" s="231" t="s">
        <v>676</v>
      </c>
      <c r="E112" s="231" t="s">
        <v>661</v>
      </c>
      <c r="F112" s="251">
        <v>11157.02</v>
      </c>
      <c r="G112" s="251">
        <v>0</v>
      </c>
      <c r="H112" s="231">
        <v>0</v>
      </c>
      <c r="I112" s="231">
        <v>0</v>
      </c>
      <c r="J112" s="231">
        <v>0</v>
      </c>
      <c r="K112" s="231">
        <v>2342.98</v>
      </c>
      <c r="L112" s="231">
        <v>0</v>
      </c>
      <c r="M112" s="251">
        <v>0</v>
      </c>
      <c r="N112" s="251">
        <v>13500</v>
      </c>
    </row>
    <row r="113" spans="1:14">
      <c r="A113" s="267" t="s">
        <v>633</v>
      </c>
      <c r="B113" s="268" t="s">
        <v>814</v>
      </c>
      <c r="C113" s="231" t="s">
        <v>675</v>
      </c>
      <c r="D113" s="231" t="s">
        <v>676</v>
      </c>
      <c r="E113" s="231" t="s">
        <v>661</v>
      </c>
      <c r="F113" s="251">
        <v>6938.02</v>
      </c>
      <c r="G113" s="251">
        <v>0</v>
      </c>
      <c r="H113" s="231">
        <v>0</v>
      </c>
      <c r="I113" s="231">
        <v>0</v>
      </c>
      <c r="J113" s="231">
        <v>0</v>
      </c>
      <c r="K113" s="231">
        <v>1456.98</v>
      </c>
      <c r="L113" s="231">
        <v>0</v>
      </c>
      <c r="M113" s="251">
        <v>0</v>
      </c>
      <c r="N113" s="251">
        <v>8395</v>
      </c>
    </row>
    <row r="114" spans="1:14">
      <c r="A114" s="267" t="s">
        <v>633</v>
      </c>
      <c r="B114" s="268" t="s">
        <v>815</v>
      </c>
      <c r="C114" s="231" t="s">
        <v>675</v>
      </c>
      <c r="D114" s="231" t="s">
        <v>676</v>
      </c>
      <c r="E114" s="231" t="s">
        <v>661</v>
      </c>
      <c r="F114" s="251">
        <v>1652.89</v>
      </c>
      <c r="G114" s="251">
        <v>0</v>
      </c>
      <c r="H114" s="231">
        <v>0</v>
      </c>
      <c r="I114" s="231">
        <v>0</v>
      </c>
      <c r="J114" s="231">
        <v>0</v>
      </c>
      <c r="K114" s="231">
        <v>347.11</v>
      </c>
      <c r="L114" s="231">
        <v>0</v>
      </c>
      <c r="M114" s="251">
        <v>0</v>
      </c>
      <c r="N114" s="251">
        <v>2000</v>
      </c>
    </row>
    <row r="115" spans="1:14">
      <c r="A115" s="267" t="s">
        <v>633</v>
      </c>
      <c r="B115" s="268" t="s">
        <v>816</v>
      </c>
      <c r="C115" s="231" t="s">
        <v>675</v>
      </c>
      <c r="D115" s="231" t="s">
        <v>676</v>
      </c>
      <c r="E115" s="231" t="s">
        <v>661</v>
      </c>
      <c r="F115" s="251">
        <v>6280.99</v>
      </c>
      <c r="G115" s="251">
        <v>0</v>
      </c>
      <c r="H115" s="231">
        <v>0</v>
      </c>
      <c r="I115" s="231">
        <v>0</v>
      </c>
      <c r="J115" s="231">
        <v>0</v>
      </c>
      <c r="K115" s="231">
        <v>1319.01</v>
      </c>
      <c r="L115" s="231">
        <v>0</v>
      </c>
      <c r="M115" s="251">
        <v>0</v>
      </c>
      <c r="N115" s="251">
        <v>7600</v>
      </c>
    </row>
    <row r="116" spans="1:14">
      <c r="A116" s="267" t="s">
        <v>633</v>
      </c>
      <c r="B116" s="268" t="s">
        <v>817</v>
      </c>
      <c r="C116" s="231" t="s">
        <v>675</v>
      </c>
      <c r="D116" s="231" t="s">
        <v>676</v>
      </c>
      <c r="E116" s="231" t="s">
        <v>661</v>
      </c>
      <c r="F116" s="251">
        <v>7851.24</v>
      </c>
      <c r="G116" s="251">
        <v>0</v>
      </c>
      <c r="H116" s="231">
        <v>0</v>
      </c>
      <c r="I116" s="231">
        <v>0</v>
      </c>
      <c r="J116" s="231">
        <v>0</v>
      </c>
      <c r="K116" s="231">
        <v>1648.76</v>
      </c>
      <c r="L116" s="231">
        <v>0</v>
      </c>
      <c r="M116" s="251">
        <v>0</v>
      </c>
      <c r="N116" s="251">
        <v>9500</v>
      </c>
    </row>
    <row r="117" spans="1:14">
      <c r="A117" s="267" t="s">
        <v>633</v>
      </c>
      <c r="B117" s="268" t="s">
        <v>818</v>
      </c>
      <c r="C117" s="231" t="s">
        <v>675</v>
      </c>
      <c r="D117" s="231" t="s">
        <v>676</v>
      </c>
      <c r="E117" s="231" t="s">
        <v>661</v>
      </c>
      <c r="F117" s="251">
        <v>4297.5200000000004</v>
      </c>
      <c r="G117" s="251">
        <v>0</v>
      </c>
      <c r="H117" s="231">
        <v>0</v>
      </c>
      <c r="I117" s="231">
        <v>0</v>
      </c>
      <c r="J117" s="231">
        <v>0</v>
      </c>
      <c r="K117" s="231">
        <v>902.48</v>
      </c>
      <c r="L117" s="231">
        <v>0</v>
      </c>
      <c r="M117" s="251">
        <v>0</v>
      </c>
      <c r="N117" s="251">
        <v>5200</v>
      </c>
    </row>
    <row r="118" spans="1:14">
      <c r="A118" s="267" t="s">
        <v>633</v>
      </c>
      <c r="B118" s="268" t="s">
        <v>819</v>
      </c>
      <c r="C118" s="231" t="s">
        <v>675</v>
      </c>
      <c r="D118" s="231" t="s">
        <v>676</v>
      </c>
      <c r="E118" s="231" t="s">
        <v>661</v>
      </c>
      <c r="F118" s="251">
        <v>4958.68</v>
      </c>
      <c r="G118" s="251">
        <v>0</v>
      </c>
      <c r="H118" s="231">
        <v>0</v>
      </c>
      <c r="I118" s="231">
        <v>0</v>
      </c>
      <c r="J118" s="231">
        <v>0</v>
      </c>
      <c r="K118" s="231">
        <v>1041.32</v>
      </c>
      <c r="L118" s="231">
        <v>0</v>
      </c>
      <c r="M118" s="251">
        <v>0</v>
      </c>
      <c r="N118" s="251">
        <v>6000</v>
      </c>
    </row>
    <row r="119" spans="1:14">
      <c r="A119" s="267" t="s">
        <v>633</v>
      </c>
      <c r="B119" s="268" t="s">
        <v>820</v>
      </c>
      <c r="C119" s="231" t="s">
        <v>77</v>
      </c>
      <c r="D119" s="231" t="s">
        <v>702</v>
      </c>
      <c r="E119" s="231">
        <v>30709016012</v>
      </c>
      <c r="F119" s="251">
        <v>11368.18</v>
      </c>
      <c r="G119" s="251">
        <v>0</v>
      </c>
      <c r="H119" s="231">
        <v>0</v>
      </c>
      <c r="I119" s="231">
        <v>0</v>
      </c>
      <c r="J119" s="231">
        <v>0</v>
      </c>
      <c r="K119" s="231">
        <v>2387.3200000000002</v>
      </c>
      <c r="L119" s="231">
        <v>0</v>
      </c>
      <c r="M119" s="251">
        <v>0</v>
      </c>
      <c r="N119" s="251">
        <v>13755.5</v>
      </c>
    </row>
    <row r="120" spans="1:14">
      <c r="A120" s="267" t="s">
        <v>633</v>
      </c>
      <c r="B120" s="268" t="s">
        <v>821</v>
      </c>
      <c r="C120" s="231" t="s">
        <v>704</v>
      </c>
      <c r="D120" s="231" t="s">
        <v>702</v>
      </c>
      <c r="E120" s="231">
        <v>30608716390</v>
      </c>
      <c r="F120" s="251">
        <v>1972.74</v>
      </c>
      <c r="G120" s="251">
        <v>0</v>
      </c>
      <c r="H120" s="231">
        <v>0</v>
      </c>
      <c r="I120" s="231">
        <v>0</v>
      </c>
      <c r="J120" s="231">
        <v>0</v>
      </c>
      <c r="K120" s="231">
        <v>414.28</v>
      </c>
      <c r="L120" s="231">
        <v>0</v>
      </c>
      <c r="M120" s="251">
        <v>0</v>
      </c>
      <c r="N120" s="251">
        <v>2387.02</v>
      </c>
    </row>
    <row r="121" spans="1:14">
      <c r="A121" s="267" t="s">
        <v>633</v>
      </c>
      <c r="B121" s="268" t="s">
        <v>822</v>
      </c>
      <c r="C121" s="231" t="s">
        <v>77</v>
      </c>
      <c r="D121" s="231" t="s">
        <v>702</v>
      </c>
      <c r="E121" s="231">
        <v>30709016012</v>
      </c>
      <c r="F121" s="251">
        <v>139818.12</v>
      </c>
      <c r="G121" s="251">
        <v>0</v>
      </c>
      <c r="H121" s="231">
        <v>0</v>
      </c>
      <c r="I121" s="231">
        <v>0</v>
      </c>
      <c r="J121" s="231">
        <v>0</v>
      </c>
      <c r="K121" s="231">
        <v>29361.8</v>
      </c>
      <c r="L121" s="231">
        <v>0</v>
      </c>
      <c r="M121" s="251">
        <v>0</v>
      </c>
      <c r="N121" s="251">
        <v>169179.92</v>
      </c>
    </row>
    <row r="122" spans="1:14">
      <c r="A122" s="267" t="s">
        <v>633</v>
      </c>
      <c r="B122" s="268" t="s">
        <v>823</v>
      </c>
      <c r="C122" s="231" t="s">
        <v>824</v>
      </c>
      <c r="D122" s="231" t="s">
        <v>702</v>
      </c>
      <c r="E122" s="231">
        <v>30645337979</v>
      </c>
      <c r="F122" s="251">
        <v>13228.59</v>
      </c>
      <c r="G122" s="251">
        <v>0</v>
      </c>
      <c r="H122" s="231">
        <v>0</v>
      </c>
      <c r="I122" s="231">
        <v>0</v>
      </c>
      <c r="J122" s="231">
        <v>0</v>
      </c>
      <c r="K122" s="231">
        <v>2778</v>
      </c>
      <c r="L122" s="231">
        <v>0</v>
      </c>
      <c r="M122" s="251">
        <v>0</v>
      </c>
      <c r="N122" s="251">
        <v>16006.59</v>
      </c>
    </row>
    <row r="123" spans="1:14">
      <c r="A123" s="267" t="s">
        <v>633</v>
      </c>
      <c r="B123" s="268" t="s">
        <v>825</v>
      </c>
      <c r="C123" s="231" t="s">
        <v>826</v>
      </c>
      <c r="D123" s="231" t="s">
        <v>702</v>
      </c>
      <c r="E123" s="231">
        <v>30606274161</v>
      </c>
      <c r="F123" s="251">
        <v>34339.67</v>
      </c>
      <c r="G123" s="251">
        <v>0</v>
      </c>
      <c r="H123" s="231">
        <v>0</v>
      </c>
      <c r="I123" s="231">
        <v>0</v>
      </c>
      <c r="J123" s="231">
        <v>0</v>
      </c>
      <c r="K123" s="231">
        <v>7211.33</v>
      </c>
      <c r="L123" s="231">
        <v>0</v>
      </c>
      <c r="M123" s="251">
        <v>0</v>
      </c>
      <c r="N123" s="251">
        <v>41551</v>
      </c>
    </row>
    <row r="124" spans="1:14">
      <c r="A124" s="267" t="s">
        <v>633</v>
      </c>
      <c r="B124" s="268" t="s">
        <v>827</v>
      </c>
      <c r="C124" s="231" t="s">
        <v>828</v>
      </c>
      <c r="D124" s="231" t="s">
        <v>702</v>
      </c>
      <c r="E124" s="231">
        <v>30707612971</v>
      </c>
      <c r="F124" s="251">
        <v>16801.650000000001</v>
      </c>
      <c r="G124" s="251">
        <v>0</v>
      </c>
      <c r="H124" s="231">
        <v>0</v>
      </c>
      <c r="I124" s="231">
        <v>0</v>
      </c>
      <c r="J124" s="231">
        <v>0</v>
      </c>
      <c r="K124" s="231">
        <v>3528.35</v>
      </c>
      <c r="L124" s="231">
        <v>0</v>
      </c>
      <c r="M124" s="251">
        <v>0</v>
      </c>
      <c r="N124" s="251">
        <v>20330</v>
      </c>
    </row>
    <row r="125" spans="1:14">
      <c r="A125" s="267" t="s">
        <v>633</v>
      </c>
      <c r="B125" s="268" t="s">
        <v>829</v>
      </c>
      <c r="C125" s="231" t="s">
        <v>830</v>
      </c>
      <c r="D125" s="231" t="s">
        <v>702</v>
      </c>
      <c r="E125" s="231">
        <v>30707118454</v>
      </c>
      <c r="F125" s="251">
        <v>5037.1900000000005</v>
      </c>
      <c r="G125" s="251">
        <v>0</v>
      </c>
      <c r="H125" s="231">
        <v>0</v>
      </c>
      <c r="I125" s="231">
        <v>0</v>
      </c>
      <c r="J125" s="231">
        <v>0</v>
      </c>
      <c r="K125" s="231">
        <v>1057.81</v>
      </c>
      <c r="L125" s="231">
        <v>0</v>
      </c>
      <c r="M125" s="251">
        <v>0</v>
      </c>
      <c r="N125" s="251">
        <v>6095</v>
      </c>
    </row>
    <row r="126" spans="1:14">
      <c r="A126" s="267" t="s">
        <v>633</v>
      </c>
      <c r="B126" s="268" t="s">
        <v>831</v>
      </c>
      <c r="C126" s="231" t="s">
        <v>832</v>
      </c>
      <c r="D126" s="231" t="s">
        <v>702</v>
      </c>
      <c r="E126" s="231">
        <v>30713669004</v>
      </c>
      <c r="F126" s="251">
        <v>10203.31</v>
      </c>
      <c r="G126" s="251">
        <v>0</v>
      </c>
      <c r="H126" s="231">
        <v>0</v>
      </c>
      <c r="I126" s="231">
        <v>0</v>
      </c>
      <c r="J126" s="231">
        <v>0</v>
      </c>
      <c r="K126" s="231">
        <v>2142.6999999999998</v>
      </c>
      <c r="L126" s="231">
        <v>0</v>
      </c>
      <c r="M126" s="251">
        <v>0</v>
      </c>
      <c r="N126" s="251">
        <v>12346.01</v>
      </c>
    </row>
    <row r="127" spans="1:14">
      <c r="A127" s="267" t="s">
        <v>633</v>
      </c>
      <c r="B127" s="268" t="s">
        <v>833</v>
      </c>
      <c r="C127" s="231" t="s">
        <v>834</v>
      </c>
      <c r="D127" s="231" t="s">
        <v>676</v>
      </c>
      <c r="E127" s="231">
        <v>56980</v>
      </c>
      <c r="F127" s="251">
        <v>4545.45</v>
      </c>
      <c r="G127" s="251">
        <v>0</v>
      </c>
      <c r="H127" s="231">
        <v>0</v>
      </c>
      <c r="I127" s="231">
        <v>0</v>
      </c>
      <c r="J127" s="231">
        <v>0</v>
      </c>
      <c r="K127" s="231">
        <v>954.55</v>
      </c>
      <c r="L127" s="231">
        <v>0</v>
      </c>
      <c r="M127" s="251">
        <v>0</v>
      </c>
      <c r="N127" s="251">
        <v>5500</v>
      </c>
    </row>
    <row r="128" spans="1:14">
      <c r="A128" s="267" t="s">
        <v>633</v>
      </c>
      <c r="B128" s="268" t="s">
        <v>835</v>
      </c>
      <c r="C128" s="231" t="s">
        <v>836</v>
      </c>
      <c r="D128" s="231" t="s">
        <v>676</v>
      </c>
      <c r="E128" s="231">
        <v>93354584</v>
      </c>
      <c r="F128" s="251">
        <v>5785.12</v>
      </c>
      <c r="G128" s="251">
        <v>0</v>
      </c>
      <c r="H128" s="231">
        <v>0</v>
      </c>
      <c r="I128" s="231">
        <v>0</v>
      </c>
      <c r="J128" s="231">
        <v>0</v>
      </c>
      <c r="K128" s="231">
        <v>1214.8800000000001</v>
      </c>
      <c r="L128" s="231">
        <v>0</v>
      </c>
      <c r="M128" s="251">
        <v>0</v>
      </c>
      <c r="N128" s="251">
        <v>7000</v>
      </c>
    </row>
    <row r="129" spans="1:14">
      <c r="A129" s="267" t="s">
        <v>633</v>
      </c>
      <c r="B129" s="268" t="s">
        <v>837</v>
      </c>
      <c r="C129" s="231" t="s">
        <v>838</v>
      </c>
      <c r="D129" s="231" t="s">
        <v>676</v>
      </c>
      <c r="E129" s="231">
        <v>4648296</v>
      </c>
      <c r="F129" s="251">
        <v>12892.56</v>
      </c>
      <c r="G129" s="251">
        <v>0</v>
      </c>
      <c r="H129" s="231">
        <v>0</v>
      </c>
      <c r="I129" s="231">
        <v>0</v>
      </c>
      <c r="J129" s="231">
        <v>0</v>
      </c>
      <c r="K129" s="231">
        <v>2707.44</v>
      </c>
      <c r="L129" s="231">
        <v>0</v>
      </c>
      <c r="M129" s="251">
        <v>0</v>
      </c>
      <c r="N129" s="251">
        <v>15600</v>
      </c>
    </row>
    <row r="130" spans="1:14">
      <c r="A130" s="267" t="s">
        <v>633</v>
      </c>
      <c r="B130" s="268" t="s">
        <v>839</v>
      </c>
      <c r="C130" s="231" t="s">
        <v>840</v>
      </c>
      <c r="D130" s="231" t="s">
        <v>676</v>
      </c>
      <c r="E130" s="231">
        <v>20404430</v>
      </c>
      <c r="F130" s="251">
        <v>7438.02</v>
      </c>
      <c r="G130" s="251">
        <v>0</v>
      </c>
      <c r="H130" s="231">
        <v>0</v>
      </c>
      <c r="I130" s="231">
        <v>0</v>
      </c>
      <c r="J130" s="231">
        <v>0</v>
      </c>
      <c r="K130" s="231">
        <v>1561.98</v>
      </c>
      <c r="L130" s="231">
        <v>0</v>
      </c>
      <c r="M130" s="251">
        <v>0</v>
      </c>
      <c r="N130" s="251">
        <v>9000</v>
      </c>
    </row>
    <row r="131" spans="1:14">
      <c r="A131" s="267" t="s">
        <v>633</v>
      </c>
      <c r="B131" s="268" t="s">
        <v>841</v>
      </c>
      <c r="C131" s="231" t="s">
        <v>836</v>
      </c>
      <c r="D131" s="231" t="s">
        <v>676</v>
      </c>
      <c r="E131" s="231">
        <v>93354584</v>
      </c>
      <c r="F131" s="251">
        <v>5785.12</v>
      </c>
      <c r="G131" s="251">
        <v>0</v>
      </c>
      <c r="H131" s="231">
        <v>0</v>
      </c>
      <c r="I131" s="231">
        <v>0</v>
      </c>
      <c r="J131" s="231">
        <v>0</v>
      </c>
      <c r="K131" s="231">
        <v>1214.8800000000001</v>
      </c>
      <c r="L131" s="231">
        <v>0</v>
      </c>
      <c r="M131" s="251">
        <v>0</v>
      </c>
      <c r="N131" s="251">
        <v>7000</v>
      </c>
    </row>
    <row r="132" spans="1:14">
      <c r="A132" s="267" t="s">
        <v>633</v>
      </c>
      <c r="B132" s="268" t="s">
        <v>842</v>
      </c>
      <c r="C132" s="231" t="s">
        <v>843</v>
      </c>
      <c r="D132" s="231" t="s">
        <v>676</v>
      </c>
      <c r="E132" s="231">
        <v>14123802</v>
      </c>
      <c r="F132" s="251">
        <v>11322.31</v>
      </c>
      <c r="G132" s="251">
        <v>0</v>
      </c>
      <c r="H132" s="231">
        <v>0</v>
      </c>
      <c r="I132" s="231">
        <v>0</v>
      </c>
      <c r="J132" s="231">
        <v>0</v>
      </c>
      <c r="K132" s="231">
        <v>2377.69</v>
      </c>
      <c r="L132" s="231">
        <v>0</v>
      </c>
      <c r="M132" s="251">
        <v>0</v>
      </c>
      <c r="N132" s="251">
        <v>13700</v>
      </c>
    </row>
    <row r="133" spans="1:14">
      <c r="A133" s="267" t="s">
        <v>633</v>
      </c>
      <c r="B133" s="268" t="s">
        <v>844</v>
      </c>
      <c r="C133" s="231" t="s">
        <v>845</v>
      </c>
      <c r="D133" s="231" t="s">
        <v>676</v>
      </c>
      <c r="E133" s="231">
        <v>29654556</v>
      </c>
      <c r="F133" s="251">
        <v>7024.79</v>
      </c>
      <c r="G133" s="251">
        <v>0</v>
      </c>
      <c r="H133" s="231">
        <v>0</v>
      </c>
      <c r="I133" s="231">
        <v>0</v>
      </c>
      <c r="J133" s="231">
        <v>0</v>
      </c>
      <c r="K133" s="231">
        <v>1475.21</v>
      </c>
      <c r="L133" s="231">
        <v>0</v>
      </c>
      <c r="M133" s="251">
        <v>0</v>
      </c>
      <c r="N133" s="251">
        <v>8500</v>
      </c>
    </row>
    <row r="134" spans="1:14">
      <c r="A134" s="267" t="s">
        <v>634</v>
      </c>
      <c r="B134" s="268" t="s">
        <v>846</v>
      </c>
      <c r="C134" s="231" t="s">
        <v>675</v>
      </c>
      <c r="D134" s="231" t="s">
        <v>676</v>
      </c>
      <c r="E134" s="231" t="s">
        <v>661</v>
      </c>
      <c r="F134" s="251">
        <v>-8429.75</v>
      </c>
      <c r="G134" s="251">
        <v>0</v>
      </c>
      <c r="H134" s="231">
        <v>0</v>
      </c>
      <c r="I134" s="231">
        <v>0</v>
      </c>
      <c r="J134" s="231">
        <v>0</v>
      </c>
      <c r="K134" s="231">
        <v>-1770.25</v>
      </c>
      <c r="L134" s="231">
        <v>0</v>
      </c>
      <c r="M134" s="251">
        <v>0</v>
      </c>
      <c r="N134" s="251">
        <v>-10200</v>
      </c>
    </row>
    <row r="135" spans="1:14">
      <c r="A135" s="267" t="s">
        <v>634</v>
      </c>
      <c r="B135" s="268" t="s">
        <v>847</v>
      </c>
      <c r="C135" s="231" t="s">
        <v>675</v>
      </c>
      <c r="D135" s="231" t="s">
        <v>676</v>
      </c>
      <c r="E135" s="231" t="s">
        <v>661</v>
      </c>
      <c r="F135" s="251">
        <v>7851.24</v>
      </c>
      <c r="G135" s="251">
        <v>0</v>
      </c>
      <c r="H135" s="231">
        <v>0</v>
      </c>
      <c r="I135" s="231">
        <v>0</v>
      </c>
      <c r="J135" s="231">
        <v>0</v>
      </c>
      <c r="K135" s="231">
        <v>1648.76</v>
      </c>
      <c r="L135" s="231">
        <v>0</v>
      </c>
      <c r="M135" s="251">
        <v>0</v>
      </c>
      <c r="N135" s="251">
        <v>9500</v>
      </c>
    </row>
    <row r="136" spans="1:14">
      <c r="A136" s="267" t="s">
        <v>634</v>
      </c>
      <c r="B136" s="268" t="s">
        <v>848</v>
      </c>
      <c r="C136" s="231" t="s">
        <v>675</v>
      </c>
      <c r="D136" s="231" t="s">
        <v>676</v>
      </c>
      <c r="E136" s="231" t="s">
        <v>661</v>
      </c>
      <c r="F136" s="251">
        <v>2727.27</v>
      </c>
      <c r="G136" s="251">
        <v>0</v>
      </c>
      <c r="H136" s="231">
        <v>0</v>
      </c>
      <c r="I136" s="231">
        <v>0</v>
      </c>
      <c r="J136" s="231">
        <v>0</v>
      </c>
      <c r="K136" s="231">
        <v>572.73</v>
      </c>
      <c r="L136" s="231">
        <v>0</v>
      </c>
      <c r="M136" s="251">
        <v>0</v>
      </c>
      <c r="N136" s="251">
        <v>3300</v>
      </c>
    </row>
    <row r="137" spans="1:14">
      <c r="A137" s="267" t="s">
        <v>634</v>
      </c>
      <c r="B137" s="268" t="s">
        <v>849</v>
      </c>
      <c r="C137" s="231" t="s">
        <v>675</v>
      </c>
      <c r="D137" s="231" t="s">
        <v>676</v>
      </c>
      <c r="E137" s="231" t="s">
        <v>661</v>
      </c>
      <c r="F137" s="251">
        <v>5454.55</v>
      </c>
      <c r="G137" s="251">
        <v>0</v>
      </c>
      <c r="H137" s="231">
        <v>0</v>
      </c>
      <c r="I137" s="231">
        <v>0</v>
      </c>
      <c r="J137" s="231">
        <v>0</v>
      </c>
      <c r="K137" s="231">
        <v>1145.45</v>
      </c>
      <c r="L137" s="231">
        <v>0</v>
      </c>
      <c r="M137" s="251">
        <v>0</v>
      </c>
      <c r="N137" s="251">
        <v>6600</v>
      </c>
    </row>
    <row r="138" spans="1:14">
      <c r="A138" s="267" t="s">
        <v>634</v>
      </c>
      <c r="B138" s="268" t="s">
        <v>850</v>
      </c>
      <c r="C138" s="231" t="s">
        <v>675</v>
      </c>
      <c r="D138" s="231" t="s">
        <v>676</v>
      </c>
      <c r="E138" s="231" t="s">
        <v>661</v>
      </c>
      <c r="F138" s="251">
        <v>7024.79</v>
      </c>
      <c r="G138" s="251">
        <v>0</v>
      </c>
      <c r="H138" s="231">
        <v>0</v>
      </c>
      <c r="I138" s="231">
        <v>0</v>
      </c>
      <c r="J138" s="231">
        <v>0</v>
      </c>
      <c r="K138" s="231">
        <v>1475.21</v>
      </c>
      <c r="L138" s="231">
        <v>0</v>
      </c>
      <c r="M138" s="251">
        <v>0</v>
      </c>
      <c r="N138" s="251">
        <v>8500</v>
      </c>
    </row>
    <row r="139" spans="1:14">
      <c r="A139" s="267" t="s">
        <v>634</v>
      </c>
      <c r="B139" s="268" t="s">
        <v>851</v>
      </c>
      <c r="C139" s="231" t="s">
        <v>675</v>
      </c>
      <c r="D139" s="231" t="s">
        <v>676</v>
      </c>
      <c r="E139" s="231" t="s">
        <v>661</v>
      </c>
      <c r="F139" s="251">
        <v>3925.62</v>
      </c>
      <c r="G139" s="251">
        <v>0</v>
      </c>
      <c r="H139" s="231">
        <v>0</v>
      </c>
      <c r="I139" s="231">
        <v>0</v>
      </c>
      <c r="J139" s="231">
        <v>0</v>
      </c>
      <c r="K139" s="231">
        <v>824.38</v>
      </c>
      <c r="L139" s="231">
        <v>0</v>
      </c>
      <c r="M139" s="251">
        <v>0</v>
      </c>
      <c r="N139" s="251">
        <v>4750</v>
      </c>
    </row>
    <row r="140" spans="1:14">
      <c r="A140" s="267" t="s">
        <v>634</v>
      </c>
      <c r="B140" s="268" t="s">
        <v>852</v>
      </c>
      <c r="C140" s="231" t="s">
        <v>675</v>
      </c>
      <c r="D140" s="231" t="s">
        <v>676</v>
      </c>
      <c r="E140" s="231" t="s">
        <v>661</v>
      </c>
      <c r="F140" s="251">
        <v>10413.219999999999</v>
      </c>
      <c r="G140" s="251">
        <v>0</v>
      </c>
      <c r="H140" s="231">
        <v>0</v>
      </c>
      <c r="I140" s="231">
        <v>0</v>
      </c>
      <c r="J140" s="231">
        <v>0</v>
      </c>
      <c r="K140" s="231">
        <v>2186.7800000000002</v>
      </c>
      <c r="L140" s="231">
        <v>0</v>
      </c>
      <c r="M140" s="251">
        <v>0</v>
      </c>
      <c r="N140" s="251">
        <v>12600</v>
      </c>
    </row>
    <row r="141" spans="1:14">
      <c r="A141" s="267" t="s">
        <v>634</v>
      </c>
      <c r="B141" s="268" t="s">
        <v>853</v>
      </c>
      <c r="C141" s="231" t="s">
        <v>675</v>
      </c>
      <c r="D141" s="231" t="s">
        <v>676</v>
      </c>
      <c r="E141" s="231" t="s">
        <v>661</v>
      </c>
      <c r="F141" s="251">
        <v>3012.4</v>
      </c>
      <c r="G141" s="251">
        <v>0</v>
      </c>
      <c r="H141" s="231">
        <v>0</v>
      </c>
      <c r="I141" s="231">
        <v>0</v>
      </c>
      <c r="J141" s="231">
        <v>0</v>
      </c>
      <c r="K141" s="231">
        <v>632.6</v>
      </c>
      <c r="L141" s="231">
        <v>0</v>
      </c>
      <c r="M141" s="251">
        <v>0</v>
      </c>
      <c r="N141" s="251">
        <v>3645</v>
      </c>
    </row>
    <row r="142" spans="1:14">
      <c r="A142" s="267" t="s">
        <v>634</v>
      </c>
      <c r="B142" s="268" t="s">
        <v>854</v>
      </c>
      <c r="C142" s="231" t="s">
        <v>675</v>
      </c>
      <c r="D142" s="231" t="s">
        <v>676</v>
      </c>
      <c r="E142" s="231" t="s">
        <v>661</v>
      </c>
      <c r="F142" s="251">
        <v>9504.130000000001</v>
      </c>
      <c r="G142" s="251">
        <v>0</v>
      </c>
      <c r="H142" s="231">
        <v>0</v>
      </c>
      <c r="I142" s="231">
        <v>0</v>
      </c>
      <c r="J142" s="231">
        <v>0</v>
      </c>
      <c r="K142" s="231">
        <v>1995.87</v>
      </c>
      <c r="L142" s="231">
        <v>0</v>
      </c>
      <c r="M142" s="251">
        <v>0</v>
      </c>
      <c r="N142" s="251">
        <v>11500</v>
      </c>
    </row>
    <row r="143" spans="1:14">
      <c r="A143" s="267" t="s">
        <v>634</v>
      </c>
      <c r="B143" s="268" t="s">
        <v>855</v>
      </c>
      <c r="C143" s="231" t="s">
        <v>675</v>
      </c>
      <c r="D143" s="231" t="s">
        <v>676</v>
      </c>
      <c r="E143" s="231" t="s">
        <v>661</v>
      </c>
      <c r="F143" s="251">
        <v>1322.31</v>
      </c>
      <c r="G143" s="251">
        <v>0</v>
      </c>
      <c r="H143" s="231">
        <v>0</v>
      </c>
      <c r="I143" s="231">
        <v>0</v>
      </c>
      <c r="J143" s="231">
        <v>0</v>
      </c>
      <c r="K143" s="231">
        <v>277.69</v>
      </c>
      <c r="L143" s="231">
        <v>0</v>
      </c>
      <c r="M143" s="251">
        <v>0</v>
      </c>
      <c r="N143" s="251">
        <v>1600</v>
      </c>
    </row>
    <row r="144" spans="1:14">
      <c r="A144" s="267" t="s">
        <v>634</v>
      </c>
      <c r="B144" s="268" t="s">
        <v>856</v>
      </c>
      <c r="C144" s="231" t="s">
        <v>857</v>
      </c>
      <c r="D144" s="231" t="s">
        <v>676</v>
      </c>
      <c r="E144" s="231">
        <v>5092348</v>
      </c>
      <c r="F144" s="251">
        <v>7272.73</v>
      </c>
      <c r="G144" s="251">
        <v>0</v>
      </c>
      <c r="H144" s="231">
        <v>0</v>
      </c>
      <c r="I144" s="231">
        <v>0</v>
      </c>
      <c r="J144" s="231">
        <v>0</v>
      </c>
      <c r="K144" s="231">
        <v>1527.27</v>
      </c>
      <c r="L144" s="231">
        <v>0</v>
      </c>
      <c r="M144" s="251">
        <v>0</v>
      </c>
      <c r="N144" s="251">
        <v>8800</v>
      </c>
    </row>
    <row r="145" spans="1:14">
      <c r="A145" s="267" t="s">
        <v>634</v>
      </c>
      <c r="B145" s="268" t="s">
        <v>858</v>
      </c>
      <c r="C145" s="231" t="s">
        <v>859</v>
      </c>
      <c r="D145" s="231" t="s">
        <v>676</v>
      </c>
      <c r="E145" s="231">
        <v>32381391</v>
      </c>
      <c r="F145" s="251">
        <v>4958.67</v>
      </c>
      <c r="G145" s="251">
        <v>0</v>
      </c>
      <c r="H145" s="231">
        <v>0</v>
      </c>
      <c r="I145" s="231">
        <v>0</v>
      </c>
      <c r="J145" s="231">
        <v>0</v>
      </c>
      <c r="K145" s="231">
        <v>1041.33</v>
      </c>
      <c r="L145" s="231">
        <v>0</v>
      </c>
      <c r="M145" s="251">
        <v>0</v>
      </c>
      <c r="N145" s="251">
        <v>6000</v>
      </c>
    </row>
    <row r="146" spans="1:14">
      <c r="A146" s="267" t="s">
        <v>634</v>
      </c>
      <c r="B146" s="268" t="s">
        <v>860</v>
      </c>
      <c r="C146" s="231" t="s">
        <v>861</v>
      </c>
      <c r="D146" s="231" t="s">
        <v>676</v>
      </c>
      <c r="E146" s="231">
        <v>25744054</v>
      </c>
      <c r="F146" s="251">
        <v>4462.8100000000004</v>
      </c>
      <c r="G146" s="251">
        <v>0</v>
      </c>
      <c r="H146" s="231">
        <v>0</v>
      </c>
      <c r="I146" s="231">
        <v>0</v>
      </c>
      <c r="J146" s="231">
        <v>0</v>
      </c>
      <c r="K146" s="231">
        <v>937.19</v>
      </c>
      <c r="L146" s="231">
        <v>0</v>
      </c>
      <c r="M146" s="251">
        <v>0</v>
      </c>
      <c r="N146" s="251">
        <v>5400</v>
      </c>
    </row>
    <row r="147" spans="1:14">
      <c r="A147" s="267" t="s">
        <v>634</v>
      </c>
      <c r="B147" s="268" t="s">
        <v>862</v>
      </c>
      <c r="C147" s="231" t="s">
        <v>863</v>
      </c>
      <c r="D147" s="231" t="s">
        <v>676</v>
      </c>
      <c r="E147" s="231">
        <v>17275405</v>
      </c>
      <c r="F147" s="251">
        <v>11570.24</v>
      </c>
      <c r="G147" s="251">
        <v>0</v>
      </c>
      <c r="H147" s="231">
        <v>0</v>
      </c>
      <c r="I147" s="231">
        <v>0</v>
      </c>
      <c r="J147" s="231">
        <v>0</v>
      </c>
      <c r="K147" s="231">
        <v>2429.7600000000002</v>
      </c>
      <c r="L147" s="231">
        <v>0</v>
      </c>
      <c r="M147" s="251">
        <v>0</v>
      </c>
      <c r="N147" s="251">
        <v>14000</v>
      </c>
    </row>
    <row r="148" spans="1:14">
      <c r="A148" s="267" t="s">
        <v>634</v>
      </c>
      <c r="B148" s="268" t="s">
        <v>864</v>
      </c>
      <c r="C148" s="231" t="s">
        <v>865</v>
      </c>
      <c r="D148" s="231" t="s">
        <v>676</v>
      </c>
      <c r="E148" s="231">
        <v>93195134</v>
      </c>
      <c r="F148" s="251">
        <v>3636.36</v>
      </c>
      <c r="G148" s="251">
        <v>0</v>
      </c>
      <c r="H148" s="231">
        <v>0</v>
      </c>
      <c r="I148" s="231">
        <v>0</v>
      </c>
      <c r="J148" s="231">
        <v>0</v>
      </c>
      <c r="K148" s="231">
        <v>763.64</v>
      </c>
      <c r="L148" s="231">
        <v>0</v>
      </c>
      <c r="M148" s="251">
        <v>0</v>
      </c>
      <c r="N148" s="251">
        <v>4400</v>
      </c>
    </row>
    <row r="149" spans="1:14">
      <c r="A149" s="267" t="s">
        <v>635</v>
      </c>
      <c r="B149" s="268" t="s">
        <v>866</v>
      </c>
      <c r="C149" s="231" t="s">
        <v>867</v>
      </c>
      <c r="D149" s="231" t="s">
        <v>702</v>
      </c>
      <c r="E149" s="231">
        <v>27066993987</v>
      </c>
      <c r="F149" s="251">
        <v>5165.29</v>
      </c>
      <c r="G149" s="251">
        <v>0</v>
      </c>
      <c r="H149" s="231">
        <v>0</v>
      </c>
      <c r="I149" s="231">
        <v>0</v>
      </c>
      <c r="J149" s="231">
        <v>0</v>
      </c>
      <c r="K149" s="231">
        <v>1084.71</v>
      </c>
      <c r="L149" s="231">
        <v>0</v>
      </c>
      <c r="M149" s="251">
        <v>0</v>
      </c>
      <c r="N149" s="251">
        <v>6250</v>
      </c>
    </row>
    <row r="150" spans="1:14">
      <c r="A150" s="267" t="s">
        <v>635</v>
      </c>
      <c r="B150" s="268" t="s">
        <v>868</v>
      </c>
      <c r="C150" s="231" t="s">
        <v>675</v>
      </c>
      <c r="D150" s="231" t="s">
        <v>676</v>
      </c>
      <c r="E150" s="231" t="s">
        <v>661</v>
      </c>
      <c r="F150" s="251">
        <v>15619.83</v>
      </c>
      <c r="G150" s="251">
        <v>0</v>
      </c>
      <c r="H150" s="231">
        <v>0</v>
      </c>
      <c r="I150" s="231">
        <v>0</v>
      </c>
      <c r="J150" s="231">
        <v>0</v>
      </c>
      <c r="K150" s="231">
        <v>3280.17</v>
      </c>
      <c r="L150" s="231">
        <v>0</v>
      </c>
      <c r="M150" s="251">
        <v>0</v>
      </c>
      <c r="N150" s="251">
        <v>18900</v>
      </c>
    </row>
    <row r="151" spans="1:14">
      <c r="A151" s="267" t="s">
        <v>635</v>
      </c>
      <c r="B151" s="268" t="s">
        <v>869</v>
      </c>
      <c r="C151" s="231" t="s">
        <v>675</v>
      </c>
      <c r="D151" s="231" t="s">
        <v>676</v>
      </c>
      <c r="E151" s="231" t="s">
        <v>661</v>
      </c>
      <c r="F151" s="251">
        <v>4132.2300000000005</v>
      </c>
      <c r="G151" s="251">
        <v>0</v>
      </c>
      <c r="H151" s="231">
        <v>0</v>
      </c>
      <c r="I151" s="231">
        <v>0</v>
      </c>
      <c r="J151" s="231">
        <v>0</v>
      </c>
      <c r="K151" s="231">
        <v>867.77</v>
      </c>
      <c r="L151" s="231">
        <v>0</v>
      </c>
      <c r="M151" s="251">
        <v>0</v>
      </c>
      <c r="N151" s="251">
        <v>5000</v>
      </c>
    </row>
    <row r="152" spans="1:14">
      <c r="A152" s="267" t="s">
        <v>635</v>
      </c>
      <c r="B152" s="268" t="s">
        <v>870</v>
      </c>
      <c r="C152" s="231" t="s">
        <v>675</v>
      </c>
      <c r="D152" s="231" t="s">
        <v>676</v>
      </c>
      <c r="E152" s="231" t="s">
        <v>661</v>
      </c>
      <c r="F152" s="251">
        <v>7809.92</v>
      </c>
      <c r="G152" s="251">
        <v>0</v>
      </c>
      <c r="H152" s="231">
        <v>0</v>
      </c>
      <c r="I152" s="231">
        <v>0</v>
      </c>
      <c r="J152" s="231">
        <v>0</v>
      </c>
      <c r="K152" s="231">
        <v>1640.08</v>
      </c>
      <c r="L152" s="231">
        <v>0</v>
      </c>
      <c r="M152" s="251">
        <v>0</v>
      </c>
      <c r="N152" s="251">
        <v>9450</v>
      </c>
    </row>
    <row r="153" spans="1:14">
      <c r="A153" s="267" t="s">
        <v>635</v>
      </c>
      <c r="B153" s="268" t="s">
        <v>871</v>
      </c>
      <c r="C153" s="231" t="s">
        <v>675</v>
      </c>
      <c r="D153" s="231" t="s">
        <v>676</v>
      </c>
      <c r="E153" s="231" t="s">
        <v>661</v>
      </c>
      <c r="F153" s="251">
        <v>12603.31</v>
      </c>
      <c r="G153" s="251">
        <v>0</v>
      </c>
      <c r="H153" s="231">
        <v>0</v>
      </c>
      <c r="I153" s="231">
        <v>0</v>
      </c>
      <c r="J153" s="231">
        <v>0</v>
      </c>
      <c r="K153" s="231">
        <v>2646.69</v>
      </c>
      <c r="L153" s="231">
        <v>0</v>
      </c>
      <c r="M153" s="251">
        <v>0</v>
      </c>
      <c r="N153" s="251">
        <v>15250</v>
      </c>
    </row>
    <row r="154" spans="1:14">
      <c r="A154" s="267" t="s">
        <v>635</v>
      </c>
      <c r="B154" s="268" t="s">
        <v>872</v>
      </c>
      <c r="C154" s="231" t="s">
        <v>675</v>
      </c>
      <c r="D154" s="231" t="s">
        <v>676</v>
      </c>
      <c r="E154" s="231" t="s">
        <v>661</v>
      </c>
      <c r="F154" s="251">
        <v>6776.86</v>
      </c>
      <c r="G154" s="251">
        <v>0</v>
      </c>
      <c r="H154" s="231">
        <v>0</v>
      </c>
      <c r="I154" s="231">
        <v>0</v>
      </c>
      <c r="J154" s="231">
        <v>0</v>
      </c>
      <c r="K154" s="231">
        <v>1423.14</v>
      </c>
      <c r="L154" s="231">
        <v>0</v>
      </c>
      <c r="M154" s="251">
        <v>0</v>
      </c>
      <c r="N154" s="251">
        <v>8200</v>
      </c>
    </row>
    <row r="155" spans="1:14">
      <c r="A155" s="267" t="s">
        <v>635</v>
      </c>
      <c r="B155" s="268" t="s">
        <v>873</v>
      </c>
      <c r="C155" s="231" t="s">
        <v>675</v>
      </c>
      <c r="D155" s="231" t="s">
        <v>676</v>
      </c>
      <c r="E155" s="231" t="s">
        <v>661</v>
      </c>
      <c r="F155" s="251">
        <v>17355.37</v>
      </c>
      <c r="G155" s="251">
        <v>0</v>
      </c>
      <c r="H155" s="231">
        <v>0</v>
      </c>
      <c r="I155" s="231">
        <v>0</v>
      </c>
      <c r="J155" s="231">
        <v>0</v>
      </c>
      <c r="K155" s="231">
        <v>3644.63</v>
      </c>
      <c r="L155" s="231">
        <v>0</v>
      </c>
      <c r="M155" s="251">
        <v>0</v>
      </c>
      <c r="N155" s="251">
        <v>21000</v>
      </c>
    </row>
    <row r="156" spans="1:14">
      <c r="A156" s="267" t="s">
        <v>635</v>
      </c>
      <c r="B156" s="268" t="s">
        <v>874</v>
      </c>
      <c r="C156" s="231" t="s">
        <v>675</v>
      </c>
      <c r="D156" s="231" t="s">
        <v>676</v>
      </c>
      <c r="E156" s="231" t="s">
        <v>661</v>
      </c>
      <c r="F156" s="251">
        <v>12644.63</v>
      </c>
      <c r="G156" s="251">
        <v>0</v>
      </c>
      <c r="H156" s="231">
        <v>0</v>
      </c>
      <c r="I156" s="231">
        <v>0</v>
      </c>
      <c r="J156" s="231">
        <v>0</v>
      </c>
      <c r="K156" s="231">
        <v>2655.37</v>
      </c>
      <c r="L156" s="231">
        <v>0</v>
      </c>
      <c r="M156" s="251">
        <v>0</v>
      </c>
      <c r="N156" s="251">
        <v>15300</v>
      </c>
    </row>
    <row r="157" spans="1:14">
      <c r="A157" s="267" t="s">
        <v>635</v>
      </c>
      <c r="B157" s="268" t="s">
        <v>875</v>
      </c>
      <c r="C157" s="231" t="s">
        <v>675</v>
      </c>
      <c r="D157" s="231" t="s">
        <v>676</v>
      </c>
      <c r="E157" s="231" t="s">
        <v>661</v>
      </c>
      <c r="F157" s="251">
        <v>10289.26</v>
      </c>
      <c r="G157" s="251">
        <v>0</v>
      </c>
      <c r="H157" s="231">
        <v>0</v>
      </c>
      <c r="I157" s="231">
        <v>0</v>
      </c>
      <c r="J157" s="231">
        <v>0</v>
      </c>
      <c r="K157" s="231">
        <v>2160.7400000000002</v>
      </c>
      <c r="L157" s="231">
        <v>0</v>
      </c>
      <c r="M157" s="251">
        <v>0</v>
      </c>
      <c r="N157" s="251">
        <v>12450</v>
      </c>
    </row>
    <row r="158" spans="1:14">
      <c r="A158" s="267" t="s">
        <v>635</v>
      </c>
      <c r="B158" s="268" t="s">
        <v>876</v>
      </c>
      <c r="C158" s="231" t="s">
        <v>675</v>
      </c>
      <c r="D158" s="231" t="s">
        <v>676</v>
      </c>
      <c r="E158" s="231" t="s">
        <v>661</v>
      </c>
      <c r="F158" s="251">
        <v>7851.24</v>
      </c>
      <c r="G158" s="251">
        <v>0</v>
      </c>
      <c r="H158" s="231">
        <v>0</v>
      </c>
      <c r="I158" s="231">
        <v>0</v>
      </c>
      <c r="J158" s="231">
        <v>0</v>
      </c>
      <c r="K158" s="231">
        <v>1648.76</v>
      </c>
      <c r="L158" s="231">
        <v>0</v>
      </c>
      <c r="M158" s="251">
        <v>0</v>
      </c>
      <c r="N158" s="251">
        <v>9500</v>
      </c>
    </row>
    <row r="159" spans="1:14">
      <c r="A159" s="267" t="s">
        <v>635</v>
      </c>
      <c r="B159" s="268" t="s">
        <v>877</v>
      </c>
      <c r="C159" s="231" t="s">
        <v>675</v>
      </c>
      <c r="D159" s="231" t="s">
        <v>676</v>
      </c>
      <c r="E159" s="231" t="s">
        <v>661</v>
      </c>
      <c r="F159" s="251">
        <v>4132.2300000000005</v>
      </c>
      <c r="G159" s="251">
        <v>0</v>
      </c>
      <c r="H159" s="231">
        <v>0</v>
      </c>
      <c r="I159" s="231">
        <v>0</v>
      </c>
      <c r="J159" s="231">
        <v>0</v>
      </c>
      <c r="K159" s="231">
        <v>867.77</v>
      </c>
      <c r="L159" s="231">
        <v>0</v>
      </c>
      <c r="M159" s="251">
        <v>0</v>
      </c>
      <c r="N159" s="251">
        <v>5000</v>
      </c>
    </row>
    <row r="160" spans="1:14">
      <c r="A160" s="267" t="s">
        <v>635</v>
      </c>
      <c r="B160" s="268" t="s">
        <v>878</v>
      </c>
      <c r="C160" s="231" t="s">
        <v>675</v>
      </c>
      <c r="D160" s="231" t="s">
        <v>676</v>
      </c>
      <c r="E160" s="231" t="s">
        <v>661</v>
      </c>
      <c r="F160" s="251">
        <v>4132.2300000000005</v>
      </c>
      <c r="G160" s="251">
        <v>0</v>
      </c>
      <c r="H160" s="231">
        <v>0</v>
      </c>
      <c r="I160" s="231">
        <v>0</v>
      </c>
      <c r="J160" s="231">
        <v>0</v>
      </c>
      <c r="K160" s="231">
        <v>867.77</v>
      </c>
      <c r="L160" s="231">
        <v>0</v>
      </c>
      <c r="M160" s="251">
        <v>0</v>
      </c>
      <c r="N160" s="251">
        <v>5000</v>
      </c>
    </row>
    <row r="161" spans="1:14">
      <c r="A161" s="267" t="s">
        <v>635</v>
      </c>
      <c r="B161" s="268" t="s">
        <v>879</v>
      </c>
      <c r="C161" s="231" t="s">
        <v>675</v>
      </c>
      <c r="D161" s="231" t="s">
        <v>676</v>
      </c>
      <c r="E161" s="231" t="s">
        <v>661</v>
      </c>
      <c r="F161" s="251">
        <v>6033.06</v>
      </c>
      <c r="G161" s="251">
        <v>0</v>
      </c>
      <c r="H161" s="231">
        <v>0</v>
      </c>
      <c r="I161" s="231">
        <v>0</v>
      </c>
      <c r="J161" s="231">
        <v>0</v>
      </c>
      <c r="K161" s="231">
        <v>1266.94</v>
      </c>
      <c r="L161" s="231">
        <v>0</v>
      </c>
      <c r="M161" s="251">
        <v>0</v>
      </c>
      <c r="N161" s="251">
        <v>7300</v>
      </c>
    </row>
    <row r="162" spans="1:14">
      <c r="A162" s="267" t="s">
        <v>635</v>
      </c>
      <c r="B162" s="268" t="s">
        <v>880</v>
      </c>
      <c r="C162" s="231" t="s">
        <v>701</v>
      </c>
      <c r="D162" s="231" t="s">
        <v>702</v>
      </c>
      <c r="E162" s="231">
        <v>30522428163</v>
      </c>
      <c r="F162" s="251">
        <v>3629757.01</v>
      </c>
      <c r="G162" s="251">
        <v>0</v>
      </c>
      <c r="H162" s="231">
        <v>0</v>
      </c>
      <c r="I162" s="231">
        <v>0</v>
      </c>
      <c r="J162" s="231">
        <v>0</v>
      </c>
      <c r="K162" s="231">
        <v>762248.97</v>
      </c>
      <c r="L162" s="231">
        <v>0</v>
      </c>
      <c r="M162" s="251">
        <v>0</v>
      </c>
      <c r="N162" s="251">
        <v>4392005.9800000004</v>
      </c>
    </row>
    <row r="163" spans="1:14">
      <c r="A163" s="267" t="s">
        <v>635</v>
      </c>
      <c r="B163" s="268" t="s">
        <v>881</v>
      </c>
      <c r="C163" s="231" t="s">
        <v>701</v>
      </c>
      <c r="D163" s="231" t="s">
        <v>702</v>
      </c>
      <c r="E163" s="231">
        <v>30522428163</v>
      </c>
      <c r="F163" s="251">
        <v>6410165.2999999998</v>
      </c>
      <c r="G163" s="251">
        <v>0</v>
      </c>
      <c r="H163" s="231">
        <v>0</v>
      </c>
      <c r="I163" s="231">
        <v>0</v>
      </c>
      <c r="J163" s="231">
        <v>0</v>
      </c>
      <c r="K163" s="231">
        <v>1346134.71</v>
      </c>
      <c r="L163" s="231">
        <v>0</v>
      </c>
      <c r="M163" s="251">
        <v>0</v>
      </c>
      <c r="N163" s="251">
        <v>7756300.0099999998</v>
      </c>
    </row>
    <row r="164" spans="1:14">
      <c r="A164" s="267" t="s">
        <v>635</v>
      </c>
      <c r="B164" s="268" t="s">
        <v>882</v>
      </c>
      <c r="C164" s="231" t="s">
        <v>805</v>
      </c>
      <c r="D164" s="231" t="s">
        <v>676</v>
      </c>
      <c r="E164" s="231">
        <v>20435515</v>
      </c>
      <c r="F164" s="251">
        <v>9090.91</v>
      </c>
      <c r="G164" s="251">
        <v>0</v>
      </c>
      <c r="H164" s="231">
        <v>0</v>
      </c>
      <c r="I164" s="231">
        <v>0</v>
      </c>
      <c r="J164" s="231">
        <v>0</v>
      </c>
      <c r="K164" s="231">
        <v>1909.09</v>
      </c>
      <c r="L164" s="231">
        <v>0</v>
      </c>
      <c r="M164" s="251">
        <v>0</v>
      </c>
      <c r="N164" s="251">
        <v>11000</v>
      </c>
    </row>
    <row r="165" spans="1:14">
      <c r="A165" s="267" t="s">
        <v>635</v>
      </c>
      <c r="B165" s="268" t="s">
        <v>883</v>
      </c>
      <c r="C165" s="231" t="s">
        <v>802</v>
      </c>
      <c r="D165" s="231" t="s">
        <v>803</v>
      </c>
      <c r="E165" s="231">
        <v>30590354798</v>
      </c>
      <c r="F165" s="251">
        <v>100000</v>
      </c>
      <c r="G165" s="251">
        <v>0</v>
      </c>
      <c r="H165" s="231">
        <v>0</v>
      </c>
      <c r="I165" s="231">
        <v>0</v>
      </c>
      <c r="J165" s="231">
        <v>0</v>
      </c>
      <c r="K165" s="231">
        <v>21000</v>
      </c>
      <c r="L165" s="231">
        <v>0</v>
      </c>
      <c r="M165" s="251">
        <v>0</v>
      </c>
      <c r="N165" s="251">
        <v>121000</v>
      </c>
    </row>
    <row r="166" spans="1:14">
      <c r="A166" s="267" t="s">
        <v>636</v>
      </c>
      <c r="B166" s="268" t="s">
        <v>884</v>
      </c>
      <c r="C166" s="231" t="s">
        <v>675</v>
      </c>
      <c r="D166" s="231" t="s">
        <v>676</v>
      </c>
      <c r="E166" s="231" t="s">
        <v>661</v>
      </c>
      <c r="F166" s="251">
        <v>1983.47</v>
      </c>
      <c r="G166" s="251">
        <v>0</v>
      </c>
      <c r="H166" s="231">
        <v>0</v>
      </c>
      <c r="I166" s="231">
        <v>0</v>
      </c>
      <c r="J166" s="231">
        <v>0</v>
      </c>
      <c r="K166" s="231">
        <v>416.53</v>
      </c>
      <c r="L166" s="231">
        <v>0</v>
      </c>
      <c r="M166" s="251">
        <v>0</v>
      </c>
      <c r="N166" s="251">
        <v>2400</v>
      </c>
    </row>
    <row r="167" spans="1:14">
      <c r="A167" s="267" t="s">
        <v>636</v>
      </c>
      <c r="B167" s="268" t="s">
        <v>885</v>
      </c>
      <c r="C167" s="231" t="s">
        <v>675</v>
      </c>
      <c r="D167" s="231" t="s">
        <v>676</v>
      </c>
      <c r="E167" s="231" t="s">
        <v>661</v>
      </c>
      <c r="F167" s="251">
        <v>4462.8100000000004</v>
      </c>
      <c r="G167" s="251">
        <v>0</v>
      </c>
      <c r="H167" s="231">
        <v>0</v>
      </c>
      <c r="I167" s="231">
        <v>0</v>
      </c>
      <c r="J167" s="231">
        <v>0</v>
      </c>
      <c r="K167" s="231">
        <v>937.19</v>
      </c>
      <c r="L167" s="231">
        <v>0</v>
      </c>
      <c r="M167" s="251">
        <v>0</v>
      </c>
      <c r="N167" s="251">
        <v>5400</v>
      </c>
    </row>
    <row r="168" spans="1:14">
      <c r="A168" s="267" t="s">
        <v>636</v>
      </c>
      <c r="B168" s="268" t="s">
        <v>886</v>
      </c>
      <c r="C168" s="231" t="s">
        <v>675</v>
      </c>
      <c r="D168" s="231" t="s">
        <v>676</v>
      </c>
      <c r="E168" s="231" t="s">
        <v>661</v>
      </c>
      <c r="F168" s="251">
        <v>2809.92</v>
      </c>
      <c r="G168" s="251">
        <v>0</v>
      </c>
      <c r="H168" s="231">
        <v>0</v>
      </c>
      <c r="I168" s="231">
        <v>0</v>
      </c>
      <c r="J168" s="231">
        <v>0</v>
      </c>
      <c r="K168" s="231">
        <v>590.08000000000004</v>
      </c>
      <c r="L168" s="231">
        <v>0</v>
      </c>
      <c r="M168" s="251">
        <v>0</v>
      </c>
      <c r="N168" s="251">
        <v>3400</v>
      </c>
    </row>
    <row r="169" spans="1:14">
      <c r="A169" s="267" t="s">
        <v>636</v>
      </c>
      <c r="B169" s="268" t="s">
        <v>887</v>
      </c>
      <c r="C169" s="231" t="s">
        <v>675</v>
      </c>
      <c r="D169" s="231" t="s">
        <v>676</v>
      </c>
      <c r="E169" s="231" t="s">
        <v>661</v>
      </c>
      <c r="F169" s="251">
        <v>7520.66</v>
      </c>
      <c r="G169" s="251">
        <v>0</v>
      </c>
      <c r="H169" s="231">
        <v>0</v>
      </c>
      <c r="I169" s="231">
        <v>0</v>
      </c>
      <c r="J169" s="231">
        <v>0</v>
      </c>
      <c r="K169" s="231">
        <v>1579.34</v>
      </c>
      <c r="L169" s="231">
        <v>0</v>
      </c>
      <c r="M169" s="251">
        <v>0</v>
      </c>
      <c r="N169" s="251">
        <v>9100</v>
      </c>
    </row>
    <row r="170" spans="1:14">
      <c r="A170" s="267" t="s">
        <v>636</v>
      </c>
      <c r="B170" s="268" t="s">
        <v>888</v>
      </c>
      <c r="C170" s="231" t="s">
        <v>675</v>
      </c>
      <c r="D170" s="231" t="s">
        <v>676</v>
      </c>
      <c r="E170" s="231" t="s">
        <v>661</v>
      </c>
      <c r="F170" s="251">
        <v>10710.74</v>
      </c>
      <c r="G170" s="251">
        <v>0</v>
      </c>
      <c r="H170" s="231">
        <v>0</v>
      </c>
      <c r="I170" s="231">
        <v>0</v>
      </c>
      <c r="J170" s="231">
        <v>0</v>
      </c>
      <c r="K170" s="231">
        <v>2249.2600000000002</v>
      </c>
      <c r="L170" s="231">
        <v>0</v>
      </c>
      <c r="M170" s="251">
        <v>0</v>
      </c>
      <c r="N170" s="251">
        <v>12960</v>
      </c>
    </row>
    <row r="171" spans="1:14">
      <c r="A171" s="267" t="s">
        <v>636</v>
      </c>
      <c r="B171" s="268" t="s">
        <v>889</v>
      </c>
      <c r="C171" s="231" t="s">
        <v>675</v>
      </c>
      <c r="D171" s="231" t="s">
        <v>676</v>
      </c>
      <c r="E171" s="231" t="s">
        <v>661</v>
      </c>
      <c r="F171" s="251">
        <v>12479.34</v>
      </c>
      <c r="G171" s="251">
        <v>0</v>
      </c>
      <c r="H171" s="231">
        <v>0</v>
      </c>
      <c r="I171" s="231">
        <v>0</v>
      </c>
      <c r="J171" s="231">
        <v>0</v>
      </c>
      <c r="K171" s="231">
        <v>2620.66</v>
      </c>
      <c r="L171" s="231">
        <v>0</v>
      </c>
      <c r="M171" s="251">
        <v>0</v>
      </c>
      <c r="N171" s="251">
        <v>15100</v>
      </c>
    </row>
    <row r="172" spans="1:14">
      <c r="A172" s="267" t="s">
        <v>636</v>
      </c>
      <c r="B172" s="268" t="s">
        <v>890</v>
      </c>
      <c r="C172" s="231" t="s">
        <v>675</v>
      </c>
      <c r="D172" s="231" t="s">
        <v>676</v>
      </c>
      <c r="E172" s="231" t="s">
        <v>661</v>
      </c>
      <c r="F172" s="251">
        <v>4958.68</v>
      </c>
      <c r="G172" s="251">
        <v>0</v>
      </c>
      <c r="H172" s="231">
        <v>0</v>
      </c>
      <c r="I172" s="231">
        <v>0</v>
      </c>
      <c r="J172" s="231">
        <v>0</v>
      </c>
      <c r="K172" s="231">
        <v>1041.32</v>
      </c>
      <c r="L172" s="231">
        <v>0</v>
      </c>
      <c r="M172" s="251">
        <v>0</v>
      </c>
      <c r="N172" s="251">
        <v>6000</v>
      </c>
    </row>
    <row r="173" spans="1:14">
      <c r="A173" s="267" t="s">
        <v>636</v>
      </c>
      <c r="B173" s="268" t="s">
        <v>891</v>
      </c>
      <c r="C173" s="231" t="s">
        <v>675</v>
      </c>
      <c r="D173" s="231" t="s">
        <v>676</v>
      </c>
      <c r="E173" s="231" t="s">
        <v>661</v>
      </c>
      <c r="F173" s="251">
        <v>4958.68</v>
      </c>
      <c r="G173" s="251">
        <v>0</v>
      </c>
      <c r="H173" s="231">
        <v>0</v>
      </c>
      <c r="I173" s="231">
        <v>0</v>
      </c>
      <c r="J173" s="231">
        <v>0</v>
      </c>
      <c r="K173" s="231">
        <v>1041.32</v>
      </c>
      <c r="L173" s="231">
        <v>0</v>
      </c>
      <c r="M173" s="251">
        <v>0</v>
      </c>
      <c r="N173" s="251">
        <v>6000</v>
      </c>
    </row>
    <row r="174" spans="1:14">
      <c r="A174" s="267" t="s">
        <v>636</v>
      </c>
      <c r="B174" s="268" t="s">
        <v>892</v>
      </c>
      <c r="C174" s="231" t="s">
        <v>675</v>
      </c>
      <c r="D174" s="231" t="s">
        <v>676</v>
      </c>
      <c r="E174" s="231" t="s">
        <v>661</v>
      </c>
      <c r="F174" s="251">
        <v>10743.8</v>
      </c>
      <c r="G174" s="251">
        <v>0</v>
      </c>
      <c r="H174" s="231">
        <v>0</v>
      </c>
      <c r="I174" s="231">
        <v>0</v>
      </c>
      <c r="J174" s="231">
        <v>0</v>
      </c>
      <c r="K174" s="231">
        <v>2256.2000000000003</v>
      </c>
      <c r="L174" s="231">
        <v>0</v>
      </c>
      <c r="M174" s="251">
        <v>0</v>
      </c>
      <c r="N174" s="251">
        <v>13000</v>
      </c>
    </row>
    <row r="175" spans="1:14">
      <c r="A175" s="267" t="s">
        <v>636</v>
      </c>
      <c r="B175" s="268" t="s">
        <v>893</v>
      </c>
      <c r="C175" s="231" t="s">
        <v>675</v>
      </c>
      <c r="D175" s="231" t="s">
        <v>676</v>
      </c>
      <c r="E175" s="231" t="s">
        <v>661</v>
      </c>
      <c r="F175" s="251">
        <v>3925.62</v>
      </c>
      <c r="G175" s="251">
        <v>0</v>
      </c>
      <c r="H175" s="231">
        <v>0</v>
      </c>
      <c r="I175" s="231">
        <v>0</v>
      </c>
      <c r="J175" s="231">
        <v>0</v>
      </c>
      <c r="K175" s="231">
        <v>824.38</v>
      </c>
      <c r="L175" s="231">
        <v>0</v>
      </c>
      <c r="M175" s="251">
        <v>0</v>
      </c>
      <c r="N175" s="251">
        <v>4750</v>
      </c>
    </row>
    <row r="176" spans="1:14">
      <c r="A176" s="267" t="s">
        <v>636</v>
      </c>
      <c r="B176" s="268" t="s">
        <v>894</v>
      </c>
      <c r="C176" s="231" t="s">
        <v>675</v>
      </c>
      <c r="D176" s="231" t="s">
        <v>676</v>
      </c>
      <c r="E176" s="231" t="s">
        <v>661</v>
      </c>
      <c r="F176" s="251">
        <v>6033.06</v>
      </c>
      <c r="G176" s="251">
        <v>0</v>
      </c>
      <c r="H176" s="231">
        <v>0</v>
      </c>
      <c r="I176" s="231">
        <v>0</v>
      </c>
      <c r="J176" s="231">
        <v>0</v>
      </c>
      <c r="K176" s="231">
        <v>1266.94</v>
      </c>
      <c r="L176" s="231">
        <v>0</v>
      </c>
      <c r="M176" s="251">
        <v>0</v>
      </c>
      <c r="N176" s="251">
        <v>7300</v>
      </c>
    </row>
    <row r="177" spans="1:14">
      <c r="A177" s="267" t="s">
        <v>636</v>
      </c>
      <c r="B177" s="268" t="s">
        <v>895</v>
      </c>
      <c r="C177" s="231" t="s">
        <v>675</v>
      </c>
      <c r="D177" s="231" t="s">
        <v>676</v>
      </c>
      <c r="E177" s="231" t="s">
        <v>661</v>
      </c>
      <c r="F177" s="251">
        <v>3305.79</v>
      </c>
      <c r="G177" s="251">
        <v>0</v>
      </c>
      <c r="H177" s="231">
        <v>0</v>
      </c>
      <c r="I177" s="231">
        <v>0</v>
      </c>
      <c r="J177" s="231">
        <v>0</v>
      </c>
      <c r="K177" s="231">
        <v>694.21</v>
      </c>
      <c r="L177" s="231">
        <v>0</v>
      </c>
      <c r="M177" s="251">
        <v>0</v>
      </c>
      <c r="N177" s="251">
        <v>4000</v>
      </c>
    </row>
    <row r="178" spans="1:14">
      <c r="A178" s="267" t="s">
        <v>636</v>
      </c>
      <c r="B178" s="268" t="s">
        <v>896</v>
      </c>
      <c r="C178" s="231" t="s">
        <v>675</v>
      </c>
      <c r="D178" s="231" t="s">
        <v>676</v>
      </c>
      <c r="E178" s="231" t="s">
        <v>661</v>
      </c>
      <c r="F178" s="251">
        <v>6033.06</v>
      </c>
      <c r="G178" s="251">
        <v>0</v>
      </c>
      <c r="H178" s="231">
        <v>0</v>
      </c>
      <c r="I178" s="231">
        <v>0</v>
      </c>
      <c r="J178" s="231">
        <v>0</v>
      </c>
      <c r="K178" s="231">
        <v>1266.94</v>
      </c>
      <c r="L178" s="231">
        <v>0</v>
      </c>
      <c r="M178" s="251">
        <v>0</v>
      </c>
      <c r="N178" s="251">
        <v>7300</v>
      </c>
    </row>
    <row r="179" spans="1:14">
      <c r="A179" s="267" t="s">
        <v>636</v>
      </c>
      <c r="B179" s="268" t="s">
        <v>897</v>
      </c>
      <c r="C179" s="231" t="s">
        <v>675</v>
      </c>
      <c r="D179" s="231" t="s">
        <v>676</v>
      </c>
      <c r="E179" s="231" t="s">
        <v>661</v>
      </c>
      <c r="F179" s="251">
        <v>12066.12</v>
      </c>
      <c r="G179" s="251">
        <v>0</v>
      </c>
      <c r="H179" s="231">
        <v>0</v>
      </c>
      <c r="I179" s="231">
        <v>0</v>
      </c>
      <c r="J179" s="231">
        <v>0</v>
      </c>
      <c r="K179" s="231">
        <v>2533.88</v>
      </c>
      <c r="L179" s="231">
        <v>0</v>
      </c>
      <c r="M179" s="251">
        <v>0</v>
      </c>
      <c r="N179" s="251">
        <v>14600</v>
      </c>
    </row>
    <row r="180" spans="1:14">
      <c r="A180" s="267" t="s">
        <v>636</v>
      </c>
      <c r="B180" s="268" t="s">
        <v>898</v>
      </c>
      <c r="C180" s="231" t="s">
        <v>675</v>
      </c>
      <c r="D180" s="231" t="s">
        <v>676</v>
      </c>
      <c r="E180" s="231" t="s">
        <v>661</v>
      </c>
      <c r="F180" s="251">
        <v>14049.59</v>
      </c>
      <c r="G180" s="251">
        <v>0</v>
      </c>
      <c r="H180" s="231">
        <v>0</v>
      </c>
      <c r="I180" s="231">
        <v>0</v>
      </c>
      <c r="J180" s="231">
        <v>0</v>
      </c>
      <c r="K180" s="231">
        <v>2950.41</v>
      </c>
      <c r="L180" s="231">
        <v>0</v>
      </c>
      <c r="M180" s="251">
        <v>0</v>
      </c>
      <c r="N180" s="251">
        <v>17000</v>
      </c>
    </row>
    <row r="181" spans="1:14">
      <c r="A181" s="267" t="s">
        <v>636</v>
      </c>
      <c r="B181" s="268" t="s">
        <v>899</v>
      </c>
      <c r="C181" s="231" t="s">
        <v>826</v>
      </c>
      <c r="D181" s="231" t="s">
        <v>702</v>
      </c>
      <c r="E181" s="231">
        <v>30606274161</v>
      </c>
      <c r="F181" s="251">
        <v>2955.37</v>
      </c>
      <c r="G181" s="251">
        <v>0</v>
      </c>
      <c r="H181" s="231">
        <v>0</v>
      </c>
      <c r="I181" s="231">
        <v>0</v>
      </c>
      <c r="J181" s="231">
        <v>0</v>
      </c>
      <c r="K181" s="231">
        <v>620.63</v>
      </c>
      <c r="L181" s="231">
        <v>0</v>
      </c>
      <c r="M181" s="251">
        <v>0</v>
      </c>
      <c r="N181" s="251">
        <v>3576</v>
      </c>
    </row>
    <row r="182" spans="1:14">
      <c r="A182" s="267" t="s">
        <v>636</v>
      </c>
      <c r="B182" s="268" t="s">
        <v>900</v>
      </c>
      <c r="C182" s="231" t="s">
        <v>901</v>
      </c>
      <c r="D182" s="231" t="s">
        <v>676</v>
      </c>
      <c r="E182" s="231">
        <v>10138957</v>
      </c>
      <c r="F182" s="251">
        <v>5371.9</v>
      </c>
      <c r="G182" s="251">
        <v>0</v>
      </c>
      <c r="H182" s="231">
        <v>0</v>
      </c>
      <c r="I182" s="231">
        <v>0</v>
      </c>
      <c r="J182" s="231">
        <v>0</v>
      </c>
      <c r="K182" s="231">
        <v>1128.1000000000001</v>
      </c>
      <c r="L182" s="231">
        <v>0</v>
      </c>
      <c r="M182" s="251">
        <v>0</v>
      </c>
      <c r="N182" s="251">
        <v>6500</v>
      </c>
    </row>
    <row r="183" spans="1:14">
      <c r="A183" s="267" t="s">
        <v>636</v>
      </c>
      <c r="B183" s="268" t="s">
        <v>902</v>
      </c>
      <c r="C183" s="231" t="s">
        <v>903</v>
      </c>
      <c r="D183" s="231" t="s">
        <v>676</v>
      </c>
      <c r="E183" s="231">
        <v>24699538</v>
      </c>
      <c r="F183" s="251">
        <v>7851.24</v>
      </c>
      <c r="G183" s="251">
        <v>0</v>
      </c>
      <c r="H183" s="231">
        <v>0</v>
      </c>
      <c r="I183" s="231">
        <v>0</v>
      </c>
      <c r="J183" s="231">
        <v>0</v>
      </c>
      <c r="K183" s="231">
        <v>1648.76</v>
      </c>
      <c r="L183" s="231">
        <v>0</v>
      </c>
      <c r="M183" s="251">
        <v>0</v>
      </c>
      <c r="N183" s="251">
        <v>9500</v>
      </c>
    </row>
    <row r="184" spans="1:14">
      <c r="A184" s="267" t="s">
        <v>636</v>
      </c>
      <c r="B184" s="268" t="s">
        <v>904</v>
      </c>
      <c r="C184" s="231" t="s">
        <v>905</v>
      </c>
      <c r="D184" s="231" t="s">
        <v>676</v>
      </c>
      <c r="E184" s="231">
        <v>16607533</v>
      </c>
      <c r="F184" s="251">
        <v>4462.8100000000004</v>
      </c>
      <c r="G184" s="251">
        <v>0</v>
      </c>
      <c r="H184" s="231">
        <v>0</v>
      </c>
      <c r="I184" s="231">
        <v>0</v>
      </c>
      <c r="J184" s="231">
        <v>0</v>
      </c>
      <c r="K184" s="231">
        <v>937.19</v>
      </c>
      <c r="L184" s="231">
        <v>0</v>
      </c>
      <c r="M184" s="251">
        <v>0</v>
      </c>
      <c r="N184" s="251">
        <v>5400</v>
      </c>
    </row>
    <row r="185" spans="1:14">
      <c r="A185" s="267" t="s">
        <v>636</v>
      </c>
      <c r="B185" s="268" t="s">
        <v>906</v>
      </c>
      <c r="C185" s="231" t="s">
        <v>907</v>
      </c>
      <c r="D185" s="231" t="s">
        <v>676</v>
      </c>
      <c r="E185" s="231">
        <v>705467</v>
      </c>
      <c r="F185" s="251">
        <v>5785.12</v>
      </c>
      <c r="G185" s="251">
        <v>0</v>
      </c>
      <c r="H185" s="231">
        <v>0</v>
      </c>
      <c r="I185" s="231">
        <v>0</v>
      </c>
      <c r="J185" s="231">
        <v>0</v>
      </c>
      <c r="K185" s="231">
        <v>1214.8800000000001</v>
      </c>
      <c r="L185" s="231">
        <v>0</v>
      </c>
      <c r="M185" s="251">
        <v>0</v>
      </c>
      <c r="N185" s="251">
        <v>7000</v>
      </c>
    </row>
    <row r="186" spans="1:14">
      <c r="A186" s="267" t="s">
        <v>636</v>
      </c>
      <c r="B186" s="268" t="s">
        <v>908</v>
      </c>
      <c r="C186" s="231" t="s">
        <v>909</v>
      </c>
      <c r="D186" s="231" t="s">
        <v>676</v>
      </c>
      <c r="E186" s="231">
        <v>902191</v>
      </c>
      <c r="F186" s="251">
        <v>4958.68</v>
      </c>
      <c r="G186" s="251">
        <v>0</v>
      </c>
      <c r="H186" s="231">
        <v>0</v>
      </c>
      <c r="I186" s="231">
        <v>0</v>
      </c>
      <c r="J186" s="231">
        <v>0</v>
      </c>
      <c r="K186" s="231">
        <v>1041.32</v>
      </c>
      <c r="L186" s="231">
        <v>0</v>
      </c>
      <c r="M186" s="251">
        <v>0</v>
      </c>
      <c r="N186" s="251">
        <v>6000</v>
      </c>
    </row>
    <row r="187" spans="1:14">
      <c r="A187" s="267" t="s">
        <v>636</v>
      </c>
      <c r="B187" s="268" t="s">
        <v>910</v>
      </c>
      <c r="C187" s="231" t="s">
        <v>911</v>
      </c>
      <c r="D187" s="231" t="s">
        <v>676</v>
      </c>
      <c r="E187" s="231">
        <v>8389228</v>
      </c>
      <c r="F187" s="251">
        <v>7851.24</v>
      </c>
      <c r="G187" s="251">
        <v>0</v>
      </c>
      <c r="H187" s="231">
        <v>0</v>
      </c>
      <c r="I187" s="231">
        <v>0</v>
      </c>
      <c r="J187" s="231">
        <v>0</v>
      </c>
      <c r="K187" s="231">
        <v>1648.76</v>
      </c>
      <c r="L187" s="231">
        <v>0</v>
      </c>
      <c r="M187" s="251">
        <v>0</v>
      </c>
      <c r="N187" s="251">
        <v>9500</v>
      </c>
    </row>
    <row r="188" spans="1:14">
      <c r="A188" s="267" t="s">
        <v>639</v>
      </c>
      <c r="B188" s="268" t="s">
        <v>912</v>
      </c>
      <c r="C188" s="231" t="s">
        <v>913</v>
      </c>
      <c r="D188" s="231" t="s">
        <v>702</v>
      </c>
      <c r="E188" s="231">
        <v>20203883693</v>
      </c>
      <c r="F188" s="251">
        <v>4958.68</v>
      </c>
      <c r="G188" s="251">
        <v>0</v>
      </c>
      <c r="H188" s="231">
        <v>0</v>
      </c>
      <c r="I188" s="231">
        <v>0</v>
      </c>
      <c r="J188" s="231">
        <v>0</v>
      </c>
      <c r="K188" s="231">
        <v>1041.32</v>
      </c>
      <c r="L188" s="231">
        <v>0</v>
      </c>
      <c r="M188" s="251">
        <v>0</v>
      </c>
      <c r="N188" s="251">
        <v>6000</v>
      </c>
    </row>
    <row r="189" spans="1:14">
      <c r="A189" s="267" t="s">
        <v>639</v>
      </c>
      <c r="B189" s="268" t="s">
        <v>914</v>
      </c>
      <c r="C189" s="231" t="s">
        <v>675</v>
      </c>
      <c r="D189" s="231" t="s">
        <v>676</v>
      </c>
      <c r="E189" s="231" t="s">
        <v>661</v>
      </c>
      <c r="F189" s="251">
        <v>6611.57</v>
      </c>
      <c r="G189" s="251">
        <v>0</v>
      </c>
      <c r="H189" s="231">
        <v>0</v>
      </c>
      <c r="I189" s="231">
        <v>0</v>
      </c>
      <c r="J189" s="231">
        <v>0</v>
      </c>
      <c r="K189" s="231">
        <v>1388.43</v>
      </c>
      <c r="L189" s="231">
        <v>0</v>
      </c>
      <c r="M189" s="251">
        <v>0</v>
      </c>
      <c r="N189" s="251">
        <v>8000</v>
      </c>
    </row>
    <row r="190" spans="1:14">
      <c r="A190" s="267" t="s">
        <v>639</v>
      </c>
      <c r="B190" s="268" t="s">
        <v>915</v>
      </c>
      <c r="C190" s="231" t="s">
        <v>675</v>
      </c>
      <c r="D190" s="231" t="s">
        <v>676</v>
      </c>
      <c r="E190" s="231" t="s">
        <v>661</v>
      </c>
      <c r="F190" s="251">
        <v>7438.02</v>
      </c>
      <c r="G190" s="251">
        <v>0</v>
      </c>
      <c r="H190" s="231">
        <v>0</v>
      </c>
      <c r="I190" s="231">
        <v>0</v>
      </c>
      <c r="J190" s="231">
        <v>0</v>
      </c>
      <c r="K190" s="231">
        <v>1561.98</v>
      </c>
      <c r="L190" s="231">
        <v>0</v>
      </c>
      <c r="M190" s="251">
        <v>0</v>
      </c>
      <c r="N190" s="251">
        <v>9000</v>
      </c>
    </row>
    <row r="191" spans="1:14">
      <c r="A191" s="267" t="s">
        <v>639</v>
      </c>
      <c r="B191" s="268" t="s">
        <v>916</v>
      </c>
      <c r="C191" s="231" t="s">
        <v>675</v>
      </c>
      <c r="D191" s="231" t="s">
        <v>676</v>
      </c>
      <c r="E191" s="231" t="s">
        <v>661</v>
      </c>
      <c r="F191" s="251">
        <v>6033.06</v>
      </c>
      <c r="G191" s="251">
        <v>0</v>
      </c>
      <c r="H191" s="231">
        <v>0</v>
      </c>
      <c r="I191" s="231">
        <v>0</v>
      </c>
      <c r="J191" s="231">
        <v>0</v>
      </c>
      <c r="K191" s="231">
        <v>1266.94</v>
      </c>
      <c r="L191" s="231">
        <v>0</v>
      </c>
      <c r="M191" s="251">
        <v>0</v>
      </c>
      <c r="N191" s="251">
        <v>7300</v>
      </c>
    </row>
    <row r="192" spans="1:14">
      <c r="A192" s="267" t="s">
        <v>639</v>
      </c>
      <c r="B192" s="268" t="s">
        <v>917</v>
      </c>
      <c r="C192" s="231" t="s">
        <v>675</v>
      </c>
      <c r="D192" s="231" t="s">
        <v>676</v>
      </c>
      <c r="E192" s="231" t="s">
        <v>661</v>
      </c>
      <c r="F192" s="251">
        <v>6033.06</v>
      </c>
      <c r="G192" s="251">
        <v>0</v>
      </c>
      <c r="H192" s="231">
        <v>0</v>
      </c>
      <c r="I192" s="231">
        <v>0</v>
      </c>
      <c r="J192" s="231">
        <v>0</v>
      </c>
      <c r="K192" s="231">
        <v>1266.94</v>
      </c>
      <c r="L192" s="231">
        <v>0</v>
      </c>
      <c r="M192" s="251">
        <v>0</v>
      </c>
      <c r="N192" s="251">
        <v>7300</v>
      </c>
    </row>
    <row r="193" spans="1:14">
      <c r="A193" s="267" t="s">
        <v>639</v>
      </c>
      <c r="B193" s="268" t="s">
        <v>918</v>
      </c>
      <c r="C193" s="231" t="s">
        <v>675</v>
      </c>
      <c r="D193" s="231" t="s">
        <v>676</v>
      </c>
      <c r="E193" s="231" t="s">
        <v>661</v>
      </c>
      <c r="F193" s="251">
        <v>4297.5200000000004</v>
      </c>
      <c r="G193" s="251">
        <v>0</v>
      </c>
      <c r="H193" s="231">
        <v>0</v>
      </c>
      <c r="I193" s="231">
        <v>0</v>
      </c>
      <c r="J193" s="231">
        <v>0</v>
      </c>
      <c r="K193" s="231">
        <v>902.48</v>
      </c>
      <c r="L193" s="231">
        <v>0</v>
      </c>
      <c r="M193" s="251">
        <v>0</v>
      </c>
      <c r="N193" s="251">
        <v>5200</v>
      </c>
    </row>
    <row r="194" spans="1:14">
      <c r="A194" s="267" t="s">
        <v>639</v>
      </c>
      <c r="B194" s="268" t="s">
        <v>919</v>
      </c>
      <c r="C194" s="231" t="s">
        <v>675</v>
      </c>
      <c r="D194" s="231" t="s">
        <v>676</v>
      </c>
      <c r="E194" s="231" t="s">
        <v>661</v>
      </c>
      <c r="F194" s="251">
        <v>7851.24</v>
      </c>
      <c r="G194" s="251">
        <v>0</v>
      </c>
      <c r="H194" s="231">
        <v>0</v>
      </c>
      <c r="I194" s="231">
        <v>0</v>
      </c>
      <c r="J194" s="231">
        <v>0</v>
      </c>
      <c r="K194" s="231">
        <v>1648.76</v>
      </c>
      <c r="L194" s="231">
        <v>0</v>
      </c>
      <c r="M194" s="251">
        <v>0</v>
      </c>
      <c r="N194" s="251">
        <v>9500</v>
      </c>
    </row>
    <row r="195" spans="1:14">
      <c r="A195" s="267" t="s">
        <v>639</v>
      </c>
      <c r="B195" s="268" t="s">
        <v>920</v>
      </c>
      <c r="C195" s="231" t="s">
        <v>675</v>
      </c>
      <c r="D195" s="231" t="s">
        <v>676</v>
      </c>
      <c r="E195" s="231" t="s">
        <v>661</v>
      </c>
      <c r="F195" s="251">
        <v>7851.24</v>
      </c>
      <c r="G195" s="251">
        <v>0</v>
      </c>
      <c r="H195" s="231">
        <v>0</v>
      </c>
      <c r="I195" s="231">
        <v>0</v>
      </c>
      <c r="J195" s="231">
        <v>0</v>
      </c>
      <c r="K195" s="231">
        <v>1648.76</v>
      </c>
      <c r="L195" s="231">
        <v>0</v>
      </c>
      <c r="M195" s="251">
        <v>0</v>
      </c>
      <c r="N195" s="251">
        <v>9500</v>
      </c>
    </row>
    <row r="196" spans="1:14">
      <c r="A196" s="267" t="s">
        <v>639</v>
      </c>
      <c r="B196" s="268" t="s">
        <v>921</v>
      </c>
      <c r="C196" s="231" t="s">
        <v>675</v>
      </c>
      <c r="D196" s="231" t="s">
        <v>676</v>
      </c>
      <c r="E196" s="231" t="s">
        <v>661</v>
      </c>
      <c r="F196" s="251">
        <v>7933.88</v>
      </c>
      <c r="G196" s="251">
        <v>0</v>
      </c>
      <c r="H196" s="231">
        <v>0</v>
      </c>
      <c r="I196" s="231">
        <v>0</v>
      </c>
      <c r="J196" s="231">
        <v>0</v>
      </c>
      <c r="K196" s="231">
        <v>1666.12</v>
      </c>
      <c r="L196" s="231">
        <v>0</v>
      </c>
      <c r="M196" s="251">
        <v>0</v>
      </c>
      <c r="N196" s="251">
        <v>9600</v>
      </c>
    </row>
    <row r="197" spans="1:14">
      <c r="A197" s="267" t="s">
        <v>639</v>
      </c>
      <c r="B197" s="268" t="s">
        <v>922</v>
      </c>
      <c r="C197" s="231" t="s">
        <v>675</v>
      </c>
      <c r="D197" s="231" t="s">
        <v>676</v>
      </c>
      <c r="E197" s="231" t="s">
        <v>661</v>
      </c>
      <c r="F197" s="251">
        <v>10330.58</v>
      </c>
      <c r="G197" s="251">
        <v>0</v>
      </c>
      <c r="H197" s="231">
        <v>0</v>
      </c>
      <c r="I197" s="231">
        <v>0</v>
      </c>
      <c r="J197" s="231">
        <v>0</v>
      </c>
      <c r="K197" s="231">
        <v>2169.42</v>
      </c>
      <c r="L197" s="231">
        <v>0</v>
      </c>
      <c r="M197" s="251">
        <v>0</v>
      </c>
      <c r="N197" s="251">
        <v>12500</v>
      </c>
    </row>
    <row r="198" spans="1:14">
      <c r="A198" s="267" t="s">
        <v>639</v>
      </c>
      <c r="B198" s="268" t="s">
        <v>923</v>
      </c>
      <c r="C198" s="231" t="s">
        <v>701</v>
      </c>
      <c r="D198" s="231" t="s">
        <v>702</v>
      </c>
      <c r="E198" s="231">
        <v>30522428163</v>
      </c>
      <c r="F198" s="251">
        <v>-369013.91</v>
      </c>
      <c r="G198" s="251">
        <v>0</v>
      </c>
      <c r="H198" s="231">
        <v>0</v>
      </c>
      <c r="I198" s="231">
        <v>0</v>
      </c>
      <c r="J198" s="231">
        <v>0</v>
      </c>
      <c r="K198" s="231">
        <v>-77492.92</v>
      </c>
      <c r="L198" s="231">
        <v>0</v>
      </c>
      <c r="M198" s="251">
        <v>0</v>
      </c>
      <c r="N198" s="251">
        <v>-446506.83</v>
      </c>
    </row>
    <row r="199" spans="1:14">
      <c r="A199" s="267" t="s">
        <v>639</v>
      </c>
      <c r="B199" s="268" t="s">
        <v>924</v>
      </c>
      <c r="C199" s="231" t="s">
        <v>701</v>
      </c>
      <c r="D199" s="231" t="s">
        <v>702</v>
      </c>
      <c r="E199" s="231">
        <v>30522428163</v>
      </c>
      <c r="F199" s="251">
        <v>-16727.099999999999</v>
      </c>
      <c r="G199" s="251">
        <v>0</v>
      </c>
      <c r="H199" s="231">
        <v>0</v>
      </c>
      <c r="I199" s="231">
        <v>0</v>
      </c>
      <c r="J199" s="231">
        <v>0</v>
      </c>
      <c r="K199" s="231">
        <v>-3512.69</v>
      </c>
      <c r="L199" s="231">
        <v>0</v>
      </c>
      <c r="M199" s="251">
        <v>0</v>
      </c>
      <c r="N199" s="251">
        <v>-20239.79</v>
      </c>
    </row>
    <row r="200" spans="1:14">
      <c r="A200" s="267" t="s">
        <v>639</v>
      </c>
      <c r="B200" s="268" t="s">
        <v>925</v>
      </c>
      <c r="C200" s="231" t="s">
        <v>926</v>
      </c>
      <c r="D200" s="231" t="s">
        <v>676</v>
      </c>
      <c r="E200" s="231">
        <v>12791306</v>
      </c>
      <c r="F200" s="251">
        <v>8677.68</v>
      </c>
      <c r="G200" s="251">
        <v>0</v>
      </c>
      <c r="H200" s="231">
        <v>0</v>
      </c>
      <c r="I200" s="231">
        <v>0</v>
      </c>
      <c r="J200" s="231">
        <v>0</v>
      </c>
      <c r="K200" s="231">
        <v>1822.32</v>
      </c>
      <c r="L200" s="231">
        <v>0</v>
      </c>
      <c r="M200" s="251">
        <v>0</v>
      </c>
      <c r="N200" s="251">
        <v>10500</v>
      </c>
    </row>
    <row r="201" spans="1:14">
      <c r="A201" s="267" t="s">
        <v>639</v>
      </c>
      <c r="B201" s="268" t="s">
        <v>927</v>
      </c>
      <c r="C201" s="231" t="s">
        <v>928</v>
      </c>
      <c r="D201" s="231" t="s">
        <v>676</v>
      </c>
      <c r="E201" s="231">
        <v>13699449</v>
      </c>
      <c r="F201" s="251">
        <v>33057.85</v>
      </c>
      <c r="G201" s="251">
        <v>0</v>
      </c>
      <c r="H201" s="231">
        <v>0</v>
      </c>
      <c r="I201" s="231">
        <v>0</v>
      </c>
      <c r="J201" s="231">
        <v>0</v>
      </c>
      <c r="K201" s="231">
        <v>6942.15</v>
      </c>
      <c r="L201" s="231">
        <v>0</v>
      </c>
      <c r="M201" s="251">
        <v>0</v>
      </c>
      <c r="N201" s="251">
        <v>40000</v>
      </c>
    </row>
    <row r="202" spans="1:14">
      <c r="A202" s="267" t="s">
        <v>639</v>
      </c>
      <c r="B202" s="268" t="s">
        <v>929</v>
      </c>
      <c r="C202" s="231" t="s">
        <v>930</v>
      </c>
      <c r="D202" s="231" t="s">
        <v>676</v>
      </c>
      <c r="E202" s="231">
        <v>22990821</v>
      </c>
      <c r="F202" s="251">
        <v>8264.4699999999993</v>
      </c>
      <c r="G202" s="251">
        <v>0</v>
      </c>
      <c r="H202" s="231">
        <v>0</v>
      </c>
      <c r="I202" s="231">
        <v>0</v>
      </c>
      <c r="J202" s="231">
        <v>0</v>
      </c>
      <c r="K202" s="231">
        <v>1735.53</v>
      </c>
      <c r="L202" s="231">
        <v>0</v>
      </c>
      <c r="M202" s="251">
        <v>0</v>
      </c>
      <c r="N202" s="251">
        <v>10000</v>
      </c>
    </row>
    <row r="203" spans="1:14">
      <c r="A203" s="267" t="s">
        <v>640</v>
      </c>
      <c r="B203" s="268" t="s">
        <v>931</v>
      </c>
      <c r="C203" s="231" t="s">
        <v>675</v>
      </c>
      <c r="D203" s="231" t="s">
        <v>676</v>
      </c>
      <c r="E203" s="231" t="s">
        <v>661</v>
      </c>
      <c r="F203" s="251">
        <v>4462.8100000000004</v>
      </c>
      <c r="G203" s="251">
        <v>0</v>
      </c>
      <c r="H203" s="231">
        <v>0</v>
      </c>
      <c r="I203" s="231">
        <v>0</v>
      </c>
      <c r="J203" s="231">
        <v>0</v>
      </c>
      <c r="K203" s="231">
        <v>937.19</v>
      </c>
      <c r="L203" s="231">
        <v>0</v>
      </c>
      <c r="M203" s="251">
        <v>0</v>
      </c>
      <c r="N203" s="251">
        <v>5400</v>
      </c>
    </row>
    <row r="204" spans="1:14">
      <c r="A204" s="267" t="s">
        <v>640</v>
      </c>
      <c r="B204" s="268" t="s">
        <v>932</v>
      </c>
      <c r="C204" s="231" t="s">
        <v>675</v>
      </c>
      <c r="D204" s="231" t="s">
        <v>676</v>
      </c>
      <c r="E204" s="231" t="s">
        <v>661</v>
      </c>
      <c r="F204" s="251">
        <v>9917.36</v>
      </c>
      <c r="G204" s="251">
        <v>0</v>
      </c>
      <c r="H204" s="231">
        <v>0</v>
      </c>
      <c r="I204" s="231">
        <v>0</v>
      </c>
      <c r="J204" s="231">
        <v>0</v>
      </c>
      <c r="K204" s="231">
        <v>2082.64</v>
      </c>
      <c r="L204" s="231">
        <v>0</v>
      </c>
      <c r="M204" s="251">
        <v>0</v>
      </c>
      <c r="N204" s="251">
        <v>12000</v>
      </c>
    </row>
    <row r="205" spans="1:14">
      <c r="A205" s="267" t="s">
        <v>640</v>
      </c>
      <c r="B205" s="268" t="s">
        <v>933</v>
      </c>
      <c r="C205" s="231" t="s">
        <v>675</v>
      </c>
      <c r="D205" s="231" t="s">
        <v>676</v>
      </c>
      <c r="E205" s="231" t="s">
        <v>661</v>
      </c>
      <c r="F205" s="251">
        <v>6776.86</v>
      </c>
      <c r="G205" s="251">
        <v>0</v>
      </c>
      <c r="H205" s="231">
        <v>0</v>
      </c>
      <c r="I205" s="231">
        <v>0</v>
      </c>
      <c r="J205" s="231">
        <v>0</v>
      </c>
      <c r="K205" s="231">
        <v>1423.14</v>
      </c>
      <c r="L205" s="231">
        <v>0</v>
      </c>
      <c r="M205" s="251">
        <v>0</v>
      </c>
      <c r="N205" s="251">
        <v>8200</v>
      </c>
    </row>
    <row r="206" spans="1:14">
      <c r="A206" s="267" t="s">
        <v>640</v>
      </c>
      <c r="B206" s="268" t="s">
        <v>934</v>
      </c>
      <c r="C206" s="231" t="s">
        <v>675</v>
      </c>
      <c r="D206" s="231" t="s">
        <v>676</v>
      </c>
      <c r="E206" s="231" t="s">
        <v>661</v>
      </c>
      <c r="F206" s="251">
        <v>6611.57</v>
      </c>
      <c r="G206" s="251">
        <v>0</v>
      </c>
      <c r="H206" s="231">
        <v>0</v>
      </c>
      <c r="I206" s="231">
        <v>0</v>
      </c>
      <c r="J206" s="231">
        <v>0</v>
      </c>
      <c r="K206" s="231">
        <v>1388.43</v>
      </c>
      <c r="L206" s="231">
        <v>0</v>
      </c>
      <c r="M206" s="251">
        <v>0</v>
      </c>
      <c r="N206" s="251">
        <v>8000</v>
      </c>
    </row>
    <row r="207" spans="1:14">
      <c r="A207" s="267" t="s">
        <v>640</v>
      </c>
      <c r="B207" s="268" t="s">
        <v>935</v>
      </c>
      <c r="C207" s="231" t="s">
        <v>675</v>
      </c>
      <c r="D207" s="231" t="s">
        <v>676</v>
      </c>
      <c r="E207" s="231" t="s">
        <v>661</v>
      </c>
      <c r="F207" s="251">
        <v>3016.53</v>
      </c>
      <c r="G207" s="251">
        <v>0</v>
      </c>
      <c r="H207" s="231">
        <v>0</v>
      </c>
      <c r="I207" s="231">
        <v>0</v>
      </c>
      <c r="J207" s="231">
        <v>0</v>
      </c>
      <c r="K207" s="231">
        <v>633.47</v>
      </c>
      <c r="L207" s="231">
        <v>0</v>
      </c>
      <c r="M207" s="251">
        <v>0</v>
      </c>
      <c r="N207" s="251">
        <v>3650</v>
      </c>
    </row>
    <row r="208" spans="1:14">
      <c r="A208" s="267" t="s">
        <v>640</v>
      </c>
      <c r="B208" s="268" t="s">
        <v>936</v>
      </c>
      <c r="C208" s="231" t="s">
        <v>675</v>
      </c>
      <c r="D208" s="231" t="s">
        <v>676</v>
      </c>
      <c r="E208" s="231" t="s">
        <v>661</v>
      </c>
      <c r="F208" s="251">
        <v>2066.12</v>
      </c>
      <c r="G208" s="251">
        <v>0</v>
      </c>
      <c r="H208" s="231">
        <v>0</v>
      </c>
      <c r="I208" s="231">
        <v>0</v>
      </c>
      <c r="J208" s="231">
        <v>0</v>
      </c>
      <c r="K208" s="231">
        <v>433.88</v>
      </c>
      <c r="L208" s="231">
        <v>0</v>
      </c>
      <c r="M208" s="251">
        <v>0</v>
      </c>
      <c r="N208" s="251">
        <v>2500</v>
      </c>
    </row>
    <row r="209" spans="1:14">
      <c r="A209" s="267" t="s">
        <v>640</v>
      </c>
      <c r="B209" s="268" t="s">
        <v>937</v>
      </c>
      <c r="C209" s="231" t="s">
        <v>675</v>
      </c>
      <c r="D209" s="231" t="s">
        <v>676</v>
      </c>
      <c r="E209" s="231" t="s">
        <v>661</v>
      </c>
      <c r="F209" s="251">
        <v>3471.07</v>
      </c>
      <c r="G209" s="251">
        <v>0</v>
      </c>
      <c r="H209" s="231">
        <v>0</v>
      </c>
      <c r="I209" s="231">
        <v>0</v>
      </c>
      <c r="J209" s="231">
        <v>0</v>
      </c>
      <c r="K209" s="231">
        <v>728.93</v>
      </c>
      <c r="L209" s="231">
        <v>0</v>
      </c>
      <c r="M209" s="251">
        <v>0</v>
      </c>
      <c r="N209" s="251">
        <v>4200</v>
      </c>
    </row>
    <row r="210" spans="1:14">
      <c r="A210" s="267" t="s">
        <v>640</v>
      </c>
      <c r="B210" s="268" t="s">
        <v>938</v>
      </c>
      <c r="C210" s="231" t="s">
        <v>675</v>
      </c>
      <c r="D210" s="231" t="s">
        <v>676</v>
      </c>
      <c r="E210" s="231" t="s">
        <v>661</v>
      </c>
      <c r="F210" s="251">
        <v>6033.06</v>
      </c>
      <c r="G210" s="251">
        <v>0</v>
      </c>
      <c r="H210" s="231">
        <v>0</v>
      </c>
      <c r="I210" s="231">
        <v>0</v>
      </c>
      <c r="J210" s="231">
        <v>0</v>
      </c>
      <c r="K210" s="231">
        <v>1266.94</v>
      </c>
      <c r="L210" s="231">
        <v>0</v>
      </c>
      <c r="M210" s="251">
        <v>0</v>
      </c>
      <c r="N210" s="251">
        <v>7300</v>
      </c>
    </row>
    <row r="211" spans="1:14">
      <c r="A211" s="267" t="s">
        <v>640</v>
      </c>
      <c r="B211" s="268" t="s">
        <v>939</v>
      </c>
      <c r="C211" s="231" t="s">
        <v>675</v>
      </c>
      <c r="D211" s="231" t="s">
        <v>676</v>
      </c>
      <c r="E211" s="231" t="s">
        <v>661</v>
      </c>
      <c r="F211" s="251">
        <v>7851.24</v>
      </c>
      <c r="G211" s="251">
        <v>0</v>
      </c>
      <c r="H211" s="231">
        <v>0</v>
      </c>
      <c r="I211" s="231">
        <v>0</v>
      </c>
      <c r="J211" s="231">
        <v>0</v>
      </c>
      <c r="K211" s="231">
        <v>1648.76</v>
      </c>
      <c r="L211" s="231">
        <v>0</v>
      </c>
      <c r="M211" s="251">
        <v>0</v>
      </c>
      <c r="N211" s="251">
        <v>9500</v>
      </c>
    </row>
    <row r="212" spans="1:14">
      <c r="A212" s="267" t="s">
        <v>640</v>
      </c>
      <c r="B212" s="268" t="s">
        <v>940</v>
      </c>
      <c r="C212" s="231" t="s">
        <v>675</v>
      </c>
      <c r="D212" s="231" t="s">
        <v>676</v>
      </c>
      <c r="E212" s="231" t="s">
        <v>661</v>
      </c>
      <c r="F212" s="251">
        <v>8925.6200000000008</v>
      </c>
      <c r="G212" s="251">
        <v>0</v>
      </c>
      <c r="H212" s="231">
        <v>0</v>
      </c>
      <c r="I212" s="231">
        <v>0</v>
      </c>
      <c r="J212" s="231">
        <v>0</v>
      </c>
      <c r="K212" s="231">
        <v>1874.38</v>
      </c>
      <c r="L212" s="231">
        <v>0</v>
      </c>
      <c r="M212" s="251">
        <v>0</v>
      </c>
      <c r="N212" s="251">
        <v>10800</v>
      </c>
    </row>
    <row r="213" spans="1:14">
      <c r="A213" s="267" t="s">
        <v>640</v>
      </c>
      <c r="B213" s="268" t="s">
        <v>941</v>
      </c>
      <c r="C213" s="231" t="s">
        <v>675</v>
      </c>
      <c r="D213" s="231" t="s">
        <v>676</v>
      </c>
      <c r="E213" s="231" t="s">
        <v>661</v>
      </c>
      <c r="F213" s="251">
        <v>6033.06</v>
      </c>
      <c r="G213" s="251">
        <v>0</v>
      </c>
      <c r="H213" s="231">
        <v>0</v>
      </c>
      <c r="I213" s="231">
        <v>0</v>
      </c>
      <c r="J213" s="231">
        <v>0</v>
      </c>
      <c r="K213" s="231">
        <v>1266.94</v>
      </c>
      <c r="L213" s="231">
        <v>0</v>
      </c>
      <c r="M213" s="251">
        <v>0</v>
      </c>
      <c r="N213" s="251">
        <v>7300</v>
      </c>
    </row>
    <row r="214" spans="1:14">
      <c r="A214" s="267" t="s">
        <v>640</v>
      </c>
      <c r="B214" s="268" t="s">
        <v>942</v>
      </c>
      <c r="C214" s="231" t="s">
        <v>675</v>
      </c>
      <c r="D214" s="231" t="s">
        <v>676</v>
      </c>
      <c r="E214" s="231" t="s">
        <v>661</v>
      </c>
      <c r="F214" s="251">
        <v>9504.130000000001</v>
      </c>
      <c r="G214" s="251">
        <v>0</v>
      </c>
      <c r="H214" s="231">
        <v>0</v>
      </c>
      <c r="I214" s="231">
        <v>0</v>
      </c>
      <c r="J214" s="231">
        <v>0</v>
      </c>
      <c r="K214" s="231">
        <v>1995.87</v>
      </c>
      <c r="L214" s="231">
        <v>0</v>
      </c>
      <c r="M214" s="251">
        <v>0</v>
      </c>
      <c r="N214" s="251">
        <v>11500</v>
      </c>
    </row>
    <row r="215" spans="1:14">
      <c r="A215" s="267" t="s">
        <v>640</v>
      </c>
      <c r="B215" s="268" t="s">
        <v>943</v>
      </c>
      <c r="C215" s="231" t="s">
        <v>704</v>
      </c>
      <c r="D215" s="231" t="s">
        <v>702</v>
      </c>
      <c r="E215" s="231">
        <v>30608716390</v>
      </c>
      <c r="F215" s="251">
        <v>4118.18</v>
      </c>
      <c r="G215" s="251">
        <v>0</v>
      </c>
      <c r="H215" s="231">
        <v>0</v>
      </c>
      <c r="I215" s="231">
        <v>0</v>
      </c>
      <c r="J215" s="231">
        <v>0</v>
      </c>
      <c r="K215" s="231">
        <v>864.81</v>
      </c>
      <c r="L215" s="231">
        <v>0</v>
      </c>
      <c r="M215" s="251">
        <v>0</v>
      </c>
      <c r="N215" s="251">
        <v>4982.99</v>
      </c>
    </row>
    <row r="216" spans="1:14">
      <c r="A216" s="267" t="s">
        <v>640</v>
      </c>
      <c r="B216" s="268" t="s">
        <v>944</v>
      </c>
      <c r="C216" s="231" t="s">
        <v>701</v>
      </c>
      <c r="D216" s="231" t="s">
        <v>702</v>
      </c>
      <c r="E216" s="231">
        <v>30522428163</v>
      </c>
      <c r="F216" s="251">
        <v>26199.3</v>
      </c>
      <c r="G216" s="251">
        <v>0</v>
      </c>
      <c r="H216" s="231">
        <v>0</v>
      </c>
      <c r="I216" s="231">
        <v>0</v>
      </c>
      <c r="J216" s="231">
        <v>0</v>
      </c>
      <c r="K216" s="231">
        <v>5501.85</v>
      </c>
      <c r="L216" s="231">
        <v>0</v>
      </c>
      <c r="M216" s="251">
        <v>0</v>
      </c>
      <c r="N216" s="251">
        <v>31701.15</v>
      </c>
    </row>
    <row r="217" spans="1:14">
      <c r="A217" s="267" t="s">
        <v>640</v>
      </c>
      <c r="B217" s="268" t="s">
        <v>945</v>
      </c>
      <c r="C217" s="231" t="s">
        <v>701</v>
      </c>
      <c r="D217" s="231" t="s">
        <v>702</v>
      </c>
      <c r="E217" s="231">
        <v>30522428163</v>
      </c>
      <c r="F217" s="251">
        <v>24290.7</v>
      </c>
      <c r="G217" s="251">
        <v>0</v>
      </c>
      <c r="H217" s="231">
        <v>0</v>
      </c>
      <c r="I217" s="231">
        <v>0</v>
      </c>
      <c r="J217" s="231">
        <v>0</v>
      </c>
      <c r="K217" s="231">
        <v>5101.05</v>
      </c>
      <c r="L217" s="231">
        <v>0</v>
      </c>
      <c r="M217" s="251">
        <v>0</v>
      </c>
      <c r="N217" s="251">
        <v>29391.75</v>
      </c>
    </row>
    <row r="218" spans="1:14">
      <c r="A218" s="267" t="s">
        <v>641</v>
      </c>
      <c r="B218" s="268" t="s">
        <v>946</v>
      </c>
      <c r="C218" s="231" t="s">
        <v>675</v>
      </c>
      <c r="D218" s="231" t="s">
        <v>676</v>
      </c>
      <c r="E218" s="231" t="s">
        <v>661</v>
      </c>
      <c r="F218" s="251">
        <v>-17355.37</v>
      </c>
      <c r="G218" s="251">
        <v>0</v>
      </c>
      <c r="H218" s="231">
        <v>0</v>
      </c>
      <c r="I218" s="231">
        <v>0</v>
      </c>
      <c r="J218" s="231">
        <v>0</v>
      </c>
      <c r="K218" s="231">
        <v>-3644.63</v>
      </c>
      <c r="L218" s="231">
        <v>0</v>
      </c>
      <c r="M218" s="251">
        <v>0</v>
      </c>
      <c r="N218" s="251">
        <v>-21000</v>
      </c>
    </row>
    <row r="219" spans="1:14">
      <c r="A219" s="267" t="s">
        <v>641</v>
      </c>
      <c r="B219" s="268" t="s">
        <v>947</v>
      </c>
      <c r="C219" s="231" t="s">
        <v>675</v>
      </c>
      <c r="D219" s="231" t="s">
        <v>676</v>
      </c>
      <c r="E219" s="231" t="s">
        <v>661</v>
      </c>
      <c r="F219" s="251">
        <v>3925.62</v>
      </c>
      <c r="G219" s="251">
        <v>0</v>
      </c>
      <c r="H219" s="231">
        <v>0</v>
      </c>
      <c r="I219" s="231">
        <v>0</v>
      </c>
      <c r="J219" s="231">
        <v>0</v>
      </c>
      <c r="K219" s="231">
        <v>824.38</v>
      </c>
      <c r="L219" s="231">
        <v>0</v>
      </c>
      <c r="M219" s="251">
        <v>0</v>
      </c>
      <c r="N219" s="251">
        <v>4750</v>
      </c>
    </row>
    <row r="220" spans="1:14">
      <c r="A220" s="267" t="s">
        <v>641</v>
      </c>
      <c r="B220" s="268" t="s">
        <v>948</v>
      </c>
      <c r="C220" s="231" t="s">
        <v>675</v>
      </c>
      <c r="D220" s="231" t="s">
        <v>676</v>
      </c>
      <c r="E220" s="231" t="s">
        <v>661</v>
      </c>
      <c r="F220" s="251">
        <v>7851.24</v>
      </c>
      <c r="G220" s="251">
        <v>0</v>
      </c>
      <c r="H220" s="231">
        <v>0</v>
      </c>
      <c r="I220" s="231">
        <v>0</v>
      </c>
      <c r="J220" s="231">
        <v>0</v>
      </c>
      <c r="K220" s="231">
        <v>1648.76</v>
      </c>
      <c r="L220" s="231">
        <v>0</v>
      </c>
      <c r="M220" s="251">
        <v>0</v>
      </c>
      <c r="N220" s="251">
        <v>9500</v>
      </c>
    </row>
    <row r="221" spans="1:14">
      <c r="A221" s="267" t="s">
        <v>641</v>
      </c>
      <c r="B221" s="268" t="s">
        <v>949</v>
      </c>
      <c r="C221" s="231" t="s">
        <v>675</v>
      </c>
      <c r="D221" s="231" t="s">
        <v>676</v>
      </c>
      <c r="E221" s="231" t="s">
        <v>661</v>
      </c>
      <c r="F221" s="251">
        <v>4132.2300000000005</v>
      </c>
      <c r="G221" s="251">
        <v>0</v>
      </c>
      <c r="H221" s="231">
        <v>0</v>
      </c>
      <c r="I221" s="231">
        <v>0</v>
      </c>
      <c r="J221" s="231">
        <v>0</v>
      </c>
      <c r="K221" s="231">
        <v>867.77</v>
      </c>
      <c r="L221" s="231">
        <v>0</v>
      </c>
      <c r="M221" s="251">
        <v>0</v>
      </c>
      <c r="N221" s="251">
        <v>5000</v>
      </c>
    </row>
    <row r="222" spans="1:14">
      <c r="A222" s="267" t="s">
        <v>641</v>
      </c>
      <c r="B222" s="268" t="s">
        <v>950</v>
      </c>
      <c r="C222" s="231" t="s">
        <v>675</v>
      </c>
      <c r="D222" s="231" t="s">
        <v>676</v>
      </c>
      <c r="E222" s="231" t="s">
        <v>661</v>
      </c>
      <c r="F222" s="251">
        <v>2892.56</v>
      </c>
      <c r="G222" s="251">
        <v>0</v>
      </c>
      <c r="H222" s="231">
        <v>0</v>
      </c>
      <c r="I222" s="231">
        <v>0</v>
      </c>
      <c r="J222" s="231">
        <v>0</v>
      </c>
      <c r="K222" s="231">
        <v>607.44000000000005</v>
      </c>
      <c r="L222" s="231">
        <v>0</v>
      </c>
      <c r="M222" s="251">
        <v>0</v>
      </c>
      <c r="N222" s="251">
        <v>3500</v>
      </c>
    </row>
    <row r="223" spans="1:14">
      <c r="A223" s="267" t="s">
        <v>641</v>
      </c>
      <c r="B223" s="268" t="s">
        <v>951</v>
      </c>
      <c r="C223" s="231" t="s">
        <v>675</v>
      </c>
      <c r="D223" s="231" t="s">
        <v>676</v>
      </c>
      <c r="E223" s="231" t="s">
        <v>661</v>
      </c>
      <c r="F223" s="251">
        <v>1983.47</v>
      </c>
      <c r="G223" s="251">
        <v>0</v>
      </c>
      <c r="H223" s="231">
        <v>0</v>
      </c>
      <c r="I223" s="231">
        <v>0</v>
      </c>
      <c r="J223" s="231">
        <v>0</v>
      </c>
      <c r="K223" s="231">
        <v>416.53</v>
      </c>
      <c r="L223" s="231">
        <v>0</v>
      </c>
      <c r="M223" s="251">
        <v>0</v>
      </c>
      <c r="N223" s="251">
        <v>2400</v>
      </c>
    </row>
    <row r="224" spans="1:14">
      <c r="A224" s="267" t="s">
        <v>641</v>
      </c>
      <c r="B224" s="268" t="s">
        <v>952</v>
      </c>
      <c r="C224" s="231" t="s">
        <v>675</v>
      </c>
      <c r="D224" s="231" t="s">
        <v>676</v>
      </c>
      <c r="E224" s="231" t="s">
        <v>661</v>
      </c>
      <c r="F224" s="251">
        <v>1983.47</v>
      </c>
      <c r="G224" s="251">
        <v>0</v>
      </c>
      <c r="H224" s="231">
        <v>0</v>
      </c>
      <c r="I224" s="231">
        <v>0</v>
      </c>
      <c r="J224" s="231">
        <v>0</v>
      </c>
      <c r="K224" s="231">
        <v>416.53</v>
      </c>
      <c r="L224" s="231">
        <v>0</v>
      </c>
      <c r="M224" s="251">
        <v>0</v>
      </c>
      <c r="N224" s="251">
        <v>2400</v>
      </c>
    </row>
    <row r="225" spans="1:14">
      <c r="A225" s="267" t="s">
        <v>641</v>
      </c>
      <c r="B225" s="268" t="s">
        <v>953</v>
      </c>
      <c r="C225" s="231" t="s">
        <v>675</v>
      </c>
      <c r="D225" s="231" t="s">
        <v>676</v>
      </c>
      <c r="E225" s="231" t="s">
        <v>661</v>
      </c>
      <c r="F225" s="251">
        <v>1900.83</v>
      </c>
      <c r="G225" s="251">
        <v>0</v>
      </c>
      <c r="H225" s="231">
        <v>0</v>
      </c>
      <c r="I225" s="231">
        <v>0</v>
      </c>
      <c r="J225" s="231">
        <v>0</v>
      </c>
      <c r="K225" s="231">
        <v>399.17</v>
      </c>
      <c r="L225" s="231">
        <v>0</v>
      </c>
      <c r="M225" s="251">
        <v>0</v>
      </c>
      <c r="N225" s="251">
        <v>2300</v>
      </c>
    </row>
    <row r="226" spans="1:14">
      <c r="A226" s="267" t="s">
        <v>641</v>
      </c>
      <c r="B226" s="268" t="s">
        <v>954</v>
      </c>
      <c r="C226" s="231" t="s">
        <v>675</v>
      </c>
      <c r="D226" s="231" t="s">
        <v>676</v>
      </c>
      <c r="E226" s="231" t="s">
        <v>661</v>
      </c>
      <c r="F226" s="251">
        <v>4132.2300000000005</v>
      </c>
      <c r="G226" s="251">
        <v>0</v>
      </c>
      <c r="H226" s="231">
        <v>0</v>
      </c>
      <c r="I226" s="231">
        <v>0</v>
      </c>
      <c r="J226" s="231">
        <v>0</v>
      </c>
      <c r="K226" s="231">
        <v>867.77</v>
      </c>
      <c r="L226" s="231">
        <v>0</v>
      </c>
      <c r="M226" s="251">
        <v>0</v>
      </c>
      <c r="N226" s="251">
        <v>5000</v>
      </c>
    </row>
    <row r="227" spans="1:14">
      <c r="A227" s="267" t="s">
        <v>641</v>
      </c>
      <c r="B227" s="268" t="s">
        <v>955</v>
      </c>
      <c r="C227" s="231" t="s">
        <v>675</v>
      </c>
      <c r="D227" s="231" t="s">
        <v>676</v>
      </c>
      <c r="E227" s="231" t="s">
        <v>661</v>
      </c>
      <c r="F227" s="251">
        <v>4132.2300000000005</v>
      </c>
      <c r="G227" s="251">
        <v>0</v>
      </c>
      <c r="H227" s="231">
        <v>0</v>
      </c>
      <c r="I227" s="231">
        <v>0</v>
      </c>
      <c r="J227" s="231">
        <v>0</v>
      </c>
      <c r="K227" s="231">
        <v>867.77</v>
      </c>
      <c r="L227" s="231">
        <v>0</v>
      </c>
      <c r="M227" s="251">
        <v>0</v>
      </c>
      <c r="N227" s="251">
        <v>5000</v>
      </c>
    </row>
    <row r="228" spans="1:14">
      <c r="A228" s="267" t="s">
        <v>641</v>
      </c>
      <c r="B228" s="268" t="s">
        <v>956</v>
      </c>
      <c r="C228" s="231" t="s">
        <v>675</v>
      </c>
      <c r="D228" s="231" t="s">
        <v>676</v>
      </c>
      <c r="E228" s="231" t="s">
        <v>661</v>
      </c>
      <c r="F228" s="251">
        <v>3305.79</v>
      </c>
      <c r="G228" s="251">
        <v>0</v>
      </c>
      <c r="H228" s="231">
        <v>0</v>
      </c>
      <c r="I228" s="231">
        <v>0</v>
      </c>
      <c r="J228" s="231">
        <v>0</v>
      </c>
      <c r="K228" s="231">
        <v>694.21</v>
      </c>
      <c r="L228" s="231">
        <v>0</v>
      </c>
      <c r="M228" s="251">
        <v>0</v>
      </c>
      <c r="N228" s="251">
        <v>4000</v>
      </c>
    </row>
    <row r="229" spans="1:14">
      <c r="A229" s="267" t="s">
        <v>641</v>
      </c>
      <c r="B229" s="268" t="s">
        <v>957</v>
      </c>
      <c r="C229" s="231" t="s">
        <v>675</v>
      </c>
      <c r="D229" s="231" t="s">
        <v>676</v>
      </c>
      <c r="E229" s="231" t="s">
        <v>661</v>
      </c>
      <c r="F229" s="251">
        <v>7851.24</v>
      </c>
      <c r="G229" s="251">
        <v>0</v>
      </c>
      <c r="H229" s="231">
        <v>0</v>
      </c>
      <c r="I229" s="231">
        <v>0</v>
      </c>
      <c r="J229" s="231">
        <v>0</v>
      </c>
      <c r="K229" s="231">
        <v>1648.76</v>
      </c>
      <c r="L229" s="231">
        <v>0</v>
      </c>
      <c r="M229" s="251">
        <v>0</v>
      </c>
      <c r="N229" s="251">
        <v>9500</v>
      </c>
    </row>
    <row r="230" spans="1:14">
      <c r="A230" s="267" t="s">
        <v>641</v>
      </c>
      <c r="B230" s="268" t="s">
        <v>958</v>
      </c>
      <c r="C230" s="231" t="s">
        <v>675</v>
      </c>
      <c r="D230" s="231" t="s">
        <v>676</v>
      </c>
      <c r="E230" s="231" t="s">
        <v>661</v>
      </c>
      <c r="F230" s="251">
        <v>6280.99</v>
      </c>
      <c r="G230" s="251">
        <v>0</v>
      </c>
      <c r="H230" s="231">
        <v>0</v>
      </c>
      <c r="I230" s="231">
        <v>0</v>
      </c>
      <c r="J230" s="231">
        <v>0</v>
      </c>
      <c r="K230" s="231">
        <v>1319.01</v>
      </c>
      <c r="L230" s="231">
        <v>0</v>
      </c>
      <c r="M230" s="251">
        <v>0</v>
      </c>
      <c r="N230" s="251">
        <v>7600</v>
      </c>
    </row>
    <row r="231" spans="1:14">
      <c r="A231" s="267" t="s">
        <v>641</v>
      </c>
      <c r="B231" s="268" t="s">
        <v>959</v>
      </c>
      <c r="C231" s="231" t="s">
        <v>675</v>
      </c>
      <c r="D231" s="231" t="s">
        <v>676</v>
      </c>
      <c r="E231" s="231" t="s">
        <v>661</v>
      </c>
      <c r="F231" s="251">
        <v>7107.44</v>
      </c>
      <c r="G231" s="251">
        <v>0</v>
      </c>
      <c r="H231" s="231">
        <v>0</v>
      </c>
      <c r="I231" s="231">
        <v>0</v>
      </c>
      <c r="J231" s="231">
        <v>0</v>
      </c>
      <c r="K231" s="231">
        <v>1492.56</v>
      </c>
      <c r="L231" s="231">
        <v>0</v>
      </c>
      <c r="M231" s="251">
        <v>0</v>
      </c>
      <c r="N231" s="251">
        <v>8600</v>
      </c>
    </row>
    <row r="232" spans="1:14">
      <c r="A232" s="267" t="s">
        <v>641</v>
      </c>
      <c r="B232" s="268" t="s">
        <v>960</v>
      </c>
      <c r="C232" s="231" t="s">
        <v>675</v>
      </c>
      <c r="D232" s="231" t="s">
        <v>676</v>
      </c>
      <c r="E232" s="231" t="s">
        <v>661</v>
      </c>
      <c r="F232" s="251">
        <v>3966.94</v>
      </c>
      <c r="G232" s="251">
        <v>0</v>
      </c>
      <c r="H232" s="231">
        <v>0</v>
      </c>
      <c r="I232" s="231">
        <v>0</v>
      </c>
      <c r="J232" s="231">
        <v>0</v>
      </c>
      <c r="K232" s="231">
        <v>833.06</v>
      </c>
      <c r="L232" s="231">
        <v>0</v>
      </c>
      <c r="M232" s="251">
        <v>0</v>
      </c>
      <c r="N232" s="251">
        <v>4800</v>
      </c>
    </row>
    <row r="233" spans="1:14">
      <c r="A233" s="267" t="s">
        <v>641</v>
      </c>
      <c r="B233" s="268" t="s">
        <v>961</v>
      </c>
      <c r="C233" s="231" t="s">
        <v>675</v>
      </c>
      <c r="D233" s="231" t="s">
        <v>676</v>
      </c>
      <c r="E233" s="231" t="s">
        <v>661</v>
      </c>
      <c r="F233" s="251">
        <v>8677.69</v>
      </c>
      <c r="G233" s="251">
        <v>0</v>
      </c>
      <c r="H233" s="231">
        <v>0</v>
      </c>
      <c r="I233" s="231">
        <v>0</v>
      </c>
      <c r="J233" s="231">
        <v>0</v>
      </c>
      <c r="K233" s="231">
        <v>1822.31</v>
      </c>
      <c r="L233" s="231">
        <v>0</v>
      </c>
      <c r="M233" s="251">
        <v>0</v>
      </c>
      <c r="N233" s="251">
        <v>10500</v>
      </c>
    </row>
    <row r="234" spans="1:14">
      <c r="A234" s="267" t="s">
        <v>641</v>
      </c>
      <c r="B234" s="268" t="s">
        <v>962</v>
      </c>
      <c r="C234" s="231" t="s">
        <v>783</v>
      </c>
      <c r="D234" s="231" t="s">
        <v>702</v>
      </c>
      <c r="E234" s="231">
        <v>30683032227</v>
      </c>
      <c r="F234" s="251">
        <v>114049.59</v>
      </c>
      <c r="G234" s="251">
        <v>0</v>
      </c>
      <c r="H234" s="231">
        <v>0</v>
      </c>
      <c r="I234" s="231">
        <v>0</v>
      </c>
      <c r="J234" s="231">
        <v>0</v>
      </c>
      <c r="K234" s="231">
        <v>23950.41</v>
      </c>
      <c r="L234" s="231">
        <v>0</v>
      </c>
      <c r="M234" s="251">
        <v>0</v>
      </c>
      <c r="N234" s="251">
        <v>138000</v>
      </c>
    </row>
    <row r="235" spans="1:14">
      <c r="A235" s="267" t="s">
        <v>641</v>
      </c>
      <c r="B235" s="268" t="s">
        <v>963</v>
      </c>
      <c r="C235" s="231" t="s">
        <v>704</v>
      </c>
      <c r="D235" s="231" t="s">
        <v>702</v>
      </c>
      <c r="E235" s="231">
        <v>30608716390</v>
      </c>
      <c r="F235" s="251">
        <v>867.77</v>
      </c>
      <c r="G235" s="251">
        <v>0</v>
      </c>
      <c r="H235" s="231">
        <v>0</v>
      </c>
      <c r="I235" s="231">
        <v>0</v>
      </c>
      <c r="J235" s="231">
        <v>0</v>
      </c>
      <c r="K235" s="231">
        <v>182.23</v>
      </c>
      <c r="L235" s="231">
        <v>0</v>
      </c>
      <c r="M235" s="251">
        <v>0</v>
      </c>
      <c r="N235" s="251">
        <v>1050</v>
      </c>
    </row>
    <row r="236" spans="1:14">
      <c r="A236" s="267" t="s">
        <v>641</v>
      </c>
      <c r="B236" s="268" t="s">
        <v>964</v>
      </c>
      <c r="C236" s="231" t="s">
        <v>701</v>
      </c>
      <c r="D236" s="231" t="s">
        <v>702</v>
      </c>
      <c r="E236" s="231">
        <v>30522428163</v>
      </c>
      <c r="F236" s="251">
        <v>75808.800000000003</v>
      </c>
      <c r="G236" s="251">
        <v>0</v>
      </c>
      <c r="H236" s="231">
        <v>0</v>
      </c>
      <c r="I236" s="231">
        <v>0</v>
      </c>
      <c r="J236" s="231">
        <v>0</v>
      </c>
      <c r="K236" s="231">
        <v>15919.85</v>
      </c>
      <c r="L236" s="231">
        <v>0</v>
      </c>
      <c r="M236" s="251">
        <v>0</v>
      </c>
      <c r="N236" s="251">
        <v>91728.65</v>
      </c>
    </row>
    <row r="237" spans="1:14">
      <c r="A237" s="267" t="s">
        <v>641</v>
      </c>
      <c r="B237" s="268" t="s">
        <v>965</v>
      </c>
      <c r="C237" s="231" t="s">
        <v>701</v>
      </c>
      <c r="D237" s="231" t="s">
        <v>702</v>
      </c>
      <c r="E237" s="231">
        <v>30522428163</v>
      </c>
      <c r="F237" s="251">
        <v>2832.6</v>
      </c>
      <c r="G237" s="251">
        <v>0</v>
      </c>
      <c r="H237" s="231">
        <v>0</v>
      </c>
      <c r="I237" s="231">
        <v>0</v>
      </c>
      <c r="J237" s="231">
        <v>0</v>
      </c>
      <c r="K237" s="231">
        <v>594.85</v>
      </c>
      <c r="L237" s="231">
        <v>0</v>
      </c>
      <c r="M237" s="251">
        <v>0</v>
      </c>
      <c r="N237" s="251">
        <v>3427.45</v>
      </c>
    </row>
    <row r="238" spans="1:14">
      <c r="A238" s="267" t="s">
        <v>641</v>
      </c>
      <c r="B238" s="268" t="s">
        <v>966</v>
      </c>
      <c r="C238" s="231" t="s">
        <v>701</v>
      </c>
      <c r="D238" s="231" t="s">
        <v>702</v>
      </c>
      <c r="E238" s="231">
        <v>30522428163</v>
      </c>
      <c r="F238" s="251">
        <v>103638</v>
      </c>
      <c r="G238" s="251">
        <v>0</v>
      </c>
      <c r="H238" s="231">
        <v>0</v>
      </c>
      <c r="I238" s="231">
        <v>0</v>
      </c>
      <c r="J238" s="231">
        <v>0</v>
      </c>
      <c r="K238" s="231">
        <v>21763.98</v>
      </c>
      <c r="L238" s="231">
        <v>0</v>
      </c>
      <c r="M238" s="251">
        <v>0</v>
      </c>
      <c r="N238" s="251">
        <v>125401.98</v>
      </c>
    </row>
    <row r="239" spans="1:14">
      <c r="A239" s="267" t="s">
        <v>641</v>
      </c>
      <c r="B239" s="268" t="s">
        <v>967</v>
      </c>
      <c r="C239" s="231" t="s">
        <v>701</v>
      </c>
      <c r="D239" s="231" t="s">
        <v>702</v>
      </c>
      <c r="E239" s="231">
        <v>30522428163</v>
      </c>
      <c r="F239" s="251">
        <v>176093.2</v>
      </c>
      <c r="G239" s="251">
        <v>0</v>
      </c>
      <c r="H239" s="231">
        <v>0</v>
      </c>
      <c r="I239" s="231">
        <v>0</v>
      </c>
      <c r="J239" s="231">
        <v>0</v>
      </c>
      <c r="K239" s="231">
        <v>36979.57</v>
      </c>
      <c r="L239" s="231">
        <v>0</v>
      </c>
      <c r="M239" s="251">
        <v>0</v>
      </c>
      <c r="N239" s="251">
        <v>213072.77</v>
      </c>
    </row>
    <row r="240" spans="1:14">
      <c r="A240" s="267" t="s">
        <v>641</v>
      </c>
      <c r="B240" s="268" t="s">
        <v>968</v>
      </c>
      <c r="C240" s="231" t="s">
        <v>701</v>
      </c>
      <c r="D240" s="231" t="s">
        <v>702</v>
      </c>
      <c r="E240" s="231">
        <v>30522428163</v>
      </c>
      <c r="F240" s="251">
        <v>7231.2</v>
      </c>
      <c r="G240" s="251">
        <v>0</v>
      </c>
      <c r="H240" s="231">
        <v>0</v>
      </c>
      <c r="I240" s="231">
        <v>0</v>
      </c>
      <c r="J240" s="231">
        <v>0</v>
      </c>
      <c r="K240" s="231">
        <v>1518.55</v>
      </c>
      <c r="L240" s="231">
        <v>0</v>
      </c>
      <c r="M240" s="251">
        <v>0</v>
      </c>
      <c r="N240" s="251">
        <v>8749.75</v>
      </c>
    </row>
    <row r="241" spans="1:14">
      <c r="A241" s="267" t="s">
        <v>641</v>
      </c>
      <c r="B241" s="268" t="s">
        <v>969</v>
      </c>
      <c r="C241" s="231" t="s">
        <v>675</v>
      </c>
      <c r="D241" s="231" t="s">
        <v>676</v>
      </c>
      <c r="E241" s="231" t="s">
        <v>661</v>
      </c>
      <c r="F241" s="251">
        <v>29669.42</v>
      </c>
      <c r="G241" s="251">
        <v>0</v>
      </c>
      <c r="H241" s="231">
        <v>0</v>
      </c>
      <c r="I241" s="231">
        <v>0</v>
      </c>
      <c r="J241" s="231">
        <v>0</v>
      </c>
      <c r="K241" s="231">
        <v>6230.58</v>
      </c>
      <c r="L241" s="231">
        <v>0</v>
      </c>
      <c r="M241" s="251">
        <v>0</v>
      </c>
      <c r="N241" s="251">
        <v>35900</v>
      </c>
    </row>
    <row r="242" spans="1:14">
      <c r="A242" s="267" t="s">
        <v>641</v>
      </c>
      <c r="B242" s="268" t="s">
        <v>970</v>
      </c>
      <c r="C242" s="231" t="s">
        <v>971</v>
      </c>
      <c r="D242" s="231" t="s">
        <v>676</v>
      </c>
      <c r="E242" s="231">
        <v>4826012</v>
      </c>
      <c r="F242" s="251">
        <v>798.34</v>
      </c>
      <c r="G242" s="251">
        <v>0</v>
      </c>
      <c r="H242" s="231">
        <v>0</v>
      </c>
      <c r="I242" s="231">
        <v>0</v>
      </c>
      <c r="J242" s="231">
        <v>0</v>
      </c>
      <c r="K242" s="231">
        <v>167.66</v>
      </c>
      <c r="L242" s="231">
        <v>0</v>
      </c>
      <c r="M242" s="251">
        <v>0</v>
      </c>
      <c r="N242" s="251">
        <v>966</v>
      </c>
    </row>
    <row r="243" spans="1:14">
      <c r="A243" s="267" t="s">
        <v>641</v>
      </c>
      <c r="B243" s="268" t="s">
        <v>972</v>
      </c>
      <c r="C243" s="231" t="s">
        <v>973</v>
      </c>
      <c r="D243" s="231" t="s">
        <v>676</v>
      </c>
      <c r="E243" s="231">
        <v>24554063</v>
      </c>
      <c r="F243" s="251">
        <v>8677.68</v>
      </c>
      <c r="G243" s="251">
        <v>0</v>
      </c>
      <c r="H243" s="231">
        <v>0</v>
      </c>
      <c r="I243" s="231">
        <v>0</v>
      </c>
      <c r="J243" s="231">
        <v>0</v>
      </c>
      <c r="K243" s="231">
        <v>1822.32</v>
      </c>
      <c r="L243" s="231">
        <v>0</v>
      </c>
      <c r="M243" s="251">
        <v>0</v>
      </c>
      <c r="N243" s="251">
        <v>10500</v>
      </c>
    </row>
    <row r="244" spans="1:14">
      <c r="A244" s="267" t="s">
        <v>641</v>
      </c>
      <c r="B244" s="268" t="s">
        <v>974</v>
      </c>
      <c r="C244" s="231" t="s">
        <v>975</v>
      </c>
      <c r="D244" s="231" t="s">
        <v>676</v>
      </c>
      <c r="E244" s="231">
        <v>93332052</v>
      </c>
      <c r="F244" s="251">
        <v>1072.72</v>
      </c>
      <c r="G244" s="251">
        <v>0</v>
      </c>
      <c r="H244" s="231">
        <v>0</v>
      </c>
      <c r="I244" s="231">
        <v>0</v>
      </c>
      <c r="J244" s="231">
        <v>0</v>
      </c>
      <c r="K244" s="231">
        <v>225.28</v>
      </c>
      <c r="L244" s="231">
        <v>0</v>
      </c>
      <c r="M244" s="251">
        <v>0</v>
      </c>
      <c r="N244" s="251">
        <v>1298</v>
      </c>
    </row>
    <row r="245" spans="1:14">
      <c r="A245" s="267" t="s">
        <v>641</v>
      </c>
      <c r="B245" s="268" t="s">
        <v>976</v>
      </c>
      <c r="C245" s="231" t="s">
        <v>977</v>
      </c>
      <c r="D245" s="231" t="s">
        <v>676</v>
      </c>
      <c r="E245" s="231">
        <v>11802503</v>
      </c>
      <c r="F245" s="251">
        <v>4462.8100000000004</v>
      </c>
      <c r="G245" s="251">
        <v>0</v>
      </c>
      <c r="H245" s="231">
        <v>0</v>
      </c>
      <c r="I245" s="231">
        <v>0</v>
      </c>
      <c r="J245" s="231">
        <v>0</v>
      </c>
      <c r="K245" s="231">
        <v>937.19</v>
      </c>
      <c r="L245" s="231">
        <v>0</v>
      </c>
      <c r="M245" s="251">
        <v>0</v>
      </c>
      <c r="N245" s="251">
        <v>5400</v>
      </c>
    </row>
    <row r="246" spans="1:14">
      <c r="A246" s="267" t="s">
        <v>642</v>
      </c>
      <c r="B246" s="268" t="s">
        <v>978</v>
      </c>
      <c r="C246" s="231" t="s">
        <v>675</v>
      </c>
      <c r="D246" s="231" t="s">
        <v>676</v>
      </c>
      <c r="E246" s="231" t="s">
        <v>661</v>
      </c>
      <c r="F246" s="251">
        <v>10743.8</v>
      </c>
      <c r="G246" s="251">
        <v>0</v>
      </c>
      <c r="H246" s="231">
        <v>0</v>
      </c>
      <c r="I246" s="231">
        <v>0</v>
      </c>
      <c r="J246" s="231">
        <v>0</v>
      </c>
      <c r="K246" s="231">
        <v>2256.2000000000003</v>
      </c>
      <c r="L246" s="231">
        <v>0</v>
      </c>
      <c r="M246" s="251">
        <v>0</v>
      </c>
      <c r="N246" s="251">
        <v>13000</v>
      </c>
    </row>
    <row r="247" spans="1:14">
      <c r="A247" s="267" t="s">
        <v>642</v>
      </c>
      <c r="B247" s="268" t="s">
        <v>979</v>
      </c>
      <c r="C247" s="231" t="s">
        <v>675</v>
      </c>
      <c r="D247" s="231" t="s">
        <v>676</v>
      </c>
      <c r="E247" s="231" t="s">
        <v>661</v>
      </c>
      <c r="F247" s="251">
        <v>4876.03</v>
      </c>
      <c r="G247" s="251">
        <v>0</v>
      </c>
      <c r="H247" s="231">
        <v>0</v>
      </c>
      <c r="I247" s="231">
        <v>0</v>
      </c>
      <c r="J247" s="231">
        <v>0</v>
      </c>
      <c r="K247" s="231">
        <v>1023.97</v>
      </c>
      <c r="L247" s="231">
        <v>0</v>
      </c>
      <c r="M247" s="251">
        <v>0</v>
      </c>
      <c r="N247" s="251">
        <v>5900</v>
      </c>
    </row>
    <row r="248" spans="1:14">
      <c r="A248" s="267" t="s">
        <v>642</v>
      </c>
      <c r="B248" s="268" t="s">
        <v>980</v>
      </c>
      <c r="C248" s="231" t="s">
        <v>675</v>
      </c>
      <c r="D248" s="231" t="s">
        <v>676</v>
      </c>
      <c r="E248" s="231" t="s">
        <v>661</v>
      </c>
      <c r="F248" s="251">
        <v>3719.01</v>
      </c>
      <c r="G248" s="251">
        <v>0</v>
      </c>
      <c r="H248" s="231">
        <v>0</v>
      </c>
      <c r="I248" s="231">
        <v>0</v>
      </c>
      <c r="J248" s="231">
        <v>0</v>
      </c>
      <c r="K248" s="231">
        <v>780.99</v>
      </c>
      <c r="L248" s="231">
        <v>0</v>
      </c>
      <c r="M248" s="251">
        <v>0</v>
      </c>
      <c r="N248" s="251">
        <v>4500</v>
      </c>
    </row>
    <row r="249" spans="1:14">
      <c r="A249" s="267" t="s">
        <v>642</v>
      </c>
      <c r="B249" s="268" t="s">
        <v>981</v>
      </c>
      <c r="C249" s="231" t="s">
        <v>675</v>
      </c>
      <c r="D249" s="231" t="s">
        <v>676</v>
      </c>
      <c r="E249" s="231" t="s">
        <v>661</v>
      </c>
      <c r="F249" s="251">
        <v>1900.83</v>
      </c>
      <c r="G249" s="251">
        <v>0</v>
      </c>
      <c r="H249" s="231">
        <v>0</v>
      </c>
      <c r="I249" s="231">
        <v>0</v>
      </c>
      <c r="J249" s="231">
        <v>0</v>
      </c>
      <c r="K249" s="231">
        <v>399.17</v>
      </c>
      <c r="L249" s="231">
        <v>0</v>
      </c>
      <c r="M249" s="251">
        <v>0</v>
      </c>
      <c r="N249" s="251">
        <v>2300</v>
      </c>
    </row>
    <row r="250" spans="1:14">
      <c r="A250" s="267" t="s">
        <v>642</v>
      </c>
      <c r="B250" s="268" t="s">
        <v>982</v>
      </c>
      <c r="C250" s="231" t="s">
        <v>675</v>
      </c>
      <c r="D250" s="231" t="s">
        <v>676</v>
      </c>
      <c r="E250" s="231" t="s">
        <v>661</v>
      </c>
      <c r="F250" s="251">
        <v>4132.2300000000005</v>
      </c>
      <c r="G250" s="251">
        <v>0</v>
      </c>
      <c r="H250" s="231">
        <v>0</v>
      </c>
      <c r="I250" s="231">
        <v>0</v>
      </c>
      <c r="J250" s="231">
        <v>0</v>
      </c>
      <c r="K250" s="231">
        <v>867.77</v>
      </c>
      <c r="L250" s="231">
        <v>0</v>
      </c>
      <c r="M250" s="251">
        <v>0</v>
      </c>
      <c r="N250" s="251">
        <v>5000</v>
      </c>
    </row>
    <row r="251" spans="1:14">
      <c r="A251" s="267" t="s">
        <v>642</v>
      </c>
      <c r="B251" s="268" t="s">
        <v>983</v>
      </c>
      <c r="C251" s="231" t="s">
        <v>675</v>
      </c>
      <c r="D251" s="231" t="s">
        <v>676</v>
      </c>
      <c r="E251" s="231" t="s">
        <v>661</v>
      </c>
      <c r="F251" s="251">
        <v>4380.17</v>
      </c>
      <c r="G251" s="251">
        <v>0</v>
      </c>
      <c r="H251" s="231">
        <v>0</v>
      </c>
      <c r="I251" s="231">
        <v>0</v>
      </c>
      <c r="J251" s="231">
        <v>0</v>
      </c>
      <c r="K251" s="231">
        <v>919.83</v>
      </c>
      <c r="L251" s="231">
        <v>0</v>
      </c>
      <c r="M251" s="251">
        <v>0</v>
      </c>
      <c r="N251" s="251">
        <v>5300</v>
      </c>
    </row>
    <row r="252" spans="1:14">
      <c r="A252" s="267" t="s">
        <v>642</v>
      </c>
      <c r="B252" s="268" t="s">
        <v>984</v>
      </c>
      <c r="C252" s="231" t="s">
        <v>701</v>
      </c>
      <c r="D252" s="231" t="s">
        <v>702</v>
      </c>
      <c r="E252" s="231">
        <v>30522428163</v>
      </c>
      <c r="F252" s="251">
        <v>4177272.72</v>
      </c>
      <c r="G252" s="251">
        <v>0</v>
      </c>
      <c r="H252" s="231">
        <v>0</v>
      </c>
      <c r="I252" s="231">
        <v>0</v>
      </c>
      <c r="J252" s="231">
        <v>0</v>
      </c>
      <c r="K252" s="231">
        <v>877227.28</v>
      </c>
      <c r="L252" s="231">
        <v>0</v>
      </c>
      <c r="M252" s="251">
        <v>0</v>
      </c>
      <c r="N252" s="251">
        <v>5054500</v>
      </c>
    </row>
    <row r="253" spans="1:14">
      <c r="A253" s="267" t="s">
        <v>642</v>
      </c>
      <c r="B253" s="268" t="s">
        <v>985</v>
      </c>
      <c r="C253" s="231" t="s">
        <v>701</v>
      </c>
      <c r="D253" s="231" t="s">
        <v>702</v>
      </c>
      <c r="E253" s="231">
        <v>30522428163</v>
      </c>
      <c r="F253" s="251">
        <v>7547.7</v>
      </c>
      <c r="G253" s="251">
        <v>0</v>
      </c>
      <c r="H253" s="231">
        <v>0</v>
      </c>
      <c r="I253" s="231">
        <v>0</v>
      </c>
      <c r="J253" s="231">
        <v>0</v>
      </c>
      <c r="K253" s="231">
        <v>1585.02</v>
      </c>
      <c r="L253" s="231">
        <v>0</v>
      </c>
      <c r="M253" s="251">
        <v>0</v>
      </c>
      <c r="N253" s="251">
        <v>9132.7199999999993</v>
      </c>
    </row>
    <row r="254" spans="1:14">
      <c r="A254" s="267" t="s">
        <v>642</v>
      </c>
      <c r="B254" s="268" t="s">
        <v>986</v>
      </c>
      <c r="C254" s="231" t="s">
        <v>930</v>
      </c>
      <c r="D254" s="231" t="s">
        <v>676</v>
      </c>
      <c r="E254" s="231">
        <v>22990821</v>
      </c>
      <c r="F254" s="251">
        <v>8264.4699999999993</v>
      </c>
      <c r="G254" s="251">
        <v>0</v>
      </c>
      <c r="H254" s="231">
        <v>0</v>
      </c>
      <c r="I254" s="231">
        <v>0</v>
      </c>
      <c r="J254" s="231">
        <v>0</v>
      </c>
      <c r="K254" s="231">
        <v>1735.53</v>
      </c>
      <c r="L254" s="231">
        <v>0</v>
      </c>
      <c r="M254" s="251">
        <v>0</v>
      </c>
      <c r="N254" s="251">
        <v>10000</v>
      </c>
    </row>
    <row r="255" spans="1:14">
      <c r="A255" s="267" t="s">
        <v>642</v>
      </c>
      <c r="B255" s="268" t="s">
        <v>987</v>
      </c>
      <c r="C255" s="231" t="s">
        <v>988</v>
      </c>
      <c r="D255" s="231" t="s">
        <v>676</v>
      </c>
      <c r="E255" s="231">
        <v>6412590</v>
      </c>
      <c r="F255" s="251">
        <v>991.73</v>
      </c>
      <c r="G255" s="251">
        <v>0</v>
      </c>
      <c r="H255" s="231">
        <v>0</v>
      </c>
      <c r="I255" s="231">
        <v>0</v>
      </c>
      <c r="J255" s="231">
        <v>0</v>
      </c>
      <c r="K255" s="231">
        <v>208.27</v>
      </c>
      <c r="L255" s="231">
        <v>0</v>
      </c>
      <c r="M255" s="251">
        <v>0</v>
      </c>
      <c r="N255" s="251">
        <v>1200</v>
      </c>
    </row>
    <row r="256" spans="1:14">
      <c r="A256" s="267" t="s">
        <v>642</v>
      </c>
      <c r="B256" s="268" t="s">
        <v>989</v>
      </c>
      <c r="C256" s="231" t="s">
        <v>990</v>
      </c>
      <c r="D256" s="231" t="s">
        <v>676</v>
      </c>
      <c r="E256" s="231">
        <v>25864351</v>
      </c>
      <c r="F256" s="251">
        <v>7024.79</v>
      </c>
      <c r="G256" s="251">
        <v>0</v>
      </c>
      <c r="H256" s="231">
        <v>0</v>
      </c>
      <c r="I256" s="231">
        <v>0</v>
      </c>
      <c r="J256" s="231">
        <v>0</v>
      </c>
      <c r="K256" s="231">
        <v>1475.21</v>
      </c>
      <c r="L256" s="231">
        <v>0</v>
      </c>
      <c r="M256" s="251">
        <v>0</v>
      </c>
      <c r="N256" s="251">
        <v>8500</v>
      </c>
    </row>
    <row r="257" spans="1:14">
      <c r="A257" s="267" t="s">
        <v>642</v>
      </c>
      <c r="B257" s="268" t="s">
        <v>991</v>
      </c>
      <c r="C257" s="231" t="s">
        <v>992</v>
      </c>
      <c r="D257" s="231" t="s">
        <v>676</v>
      </c>
      <c r="E257" s="231">
        <v>5274861</v>
      </c>
      <c r="F257" s="251">
        <v>8677.68</v>
      </c>
      <c r="G257" s="251">
        <v>0</v>
      </c>
      <c r="H257" s="231">
        <v>0</v>
      </c>
      <c r="I257" s="231">
        <v>0</v>
      </c>
      <c r="J257" s="231">
        <v>0</v>
      </c>
      <c r="K257" s="231">
        <v>1822.32</v>
      </c>
      <c r="L257" s="231">
        <v>0</v>
      </c>
      <c r="M257" s="251">
        <v>0</v>
      </c>
      <c r="N257" s="251">
        <v>10500</v>
      </c>
    </row>
    <row r="258" spans="1:14">
      <c r="A258" s="267" t="s">
        <v>642</v>
      </c>
      <c r="B258" s="268" t="s">
        <v>993</v>
      </c>
      <c r="C258" s="231" t="s">
        <v>994</v>
      </c>
      <c r="D258" s="231" t="s">
        <v>676</v>
      </c>
      <c r="E258" s="231">
        <v>32594734</v>
      </c>
      <c r="F258" s="251">
        <v>4214.88</v>
      </c>
      <c r="G258" s="251">
        <v>0</v>
      </c>
      <c r="H258" s="231">
        <v>0</v>
      </c>
      <c r="I258" s="231">
        <v>0</v>
      </c>
      <c r="J258" s="231">
        <v>0</v>
      </c>
      <c r="K258" s="231">
        <v>885.12</v>
      </c>
      <c r="L258" s="231">
        <v>0</v>
      </c>
      <c r="M258" s="251">
        <v>0</v>
      </c>
      <c r="N258" s="251">
        <v>5100</v>
      </c>
    </row>
    <row r="259" spans="1:14">
      <c r="A259" s="267" t="s">
        <v>643</v>
      </c>
      <c r="B259" s="268" t="s">
        <v>995</v>
      </c>
      <c r="C259" s="231" t="s">
        <v>675</v>
      </c>
      <c r="D259" s="231" t="s">
        <v>676</v>
      </c>
      <c r="E259" s="231" t="s">
        <v>661</v>
      </c>
      <c r="F259" s="251">
        <v>6942.15</v>
      </c>
      <c r="G259" s="251">
        <v>0</v>
      </c>
      <c r="H259" s="231">
        <v>0</v>
      </c>
      <c r="I259" s="231">
        <v>0</v>
      </c>
      <c r="J259" s="231">
        <v>0</v>
      </c>
      <c r="K259" s="231">
        <v>1457.85</v>
      </c>
      <c r="L259" s="231">
        <v>0</v>
      </c>
      <c r="M259" s="251">
        <v>0</v>
      </c>
      <c r="N259" s="251">
        <v>8400</v>
      </c>
    </row>
    <row r="260" spans="1:14">
      <c r="A260" s="267" t="s">
        <v>643</v>
      </c>
      <c r="B260" s="268" t="s">
        <v>996</v>
      </c>
      <c r="C260" s="231" t="s">
        <v>675</v>
      </c>
      <c r="D260" s="231" t="s">
        <v>676</v>
      </c>
      <c r="E260" s="231" t="s">
        <v>661</v>
      </c>
      <c r="F260" s="251">
        <v>4132.2300000000005</v>
      </c>
      <c r="G260" s="251">
        <v>0</v>
      </c>
      <c r="H260" s="231">
        <v>0</v>
      </c>
      <c r="I260" s="231">
        <v>0</v>
      </c>
      <c r="J260" s="231">
        <v>0</v>
      </c>
      <c r="K260" s="231">
        <v>867.77</v>
      </c>
      <c r="L260" s="231">
        <v>0</v>
      </c>
      <c r="M260" s="251">
        <v>0</v>
      </c>
      <c r="N260" s="251">
        <v>5000</v>
      </c>
    </row>
    <row r="261" spans="1:14">
      <c r="A261" s="267" t="s">
        <v>643</v>
      </c>
      <c r="B261" s="268" t="s">
        <v>997</v>
      </c>
      <c r="C261" s="231" t="s">
        <v>675</v>
      </c>
      <c r="D261" s="231" t="s">
        <v>676</v>
      </c>
      <c r="E261" s="231" t="s">
        <v>661</v>
      </c>
      <c r="F261" s="251">
        <v>20826.45</v>
      </c>
      <c r="G261" s="251">
        <v>0</v>
      </c>
      <c r="H261" s="231">
        <v>0</v>
      </c>
      <c r="I261" s="231">
        <v>0</v>
      </c>
      <c r="J261" s="231">
        <v>0</v>
      </c>
      <c r="K261" s="231">
        <v>4373.55</v>
      </c>
      <c r="L261" s="231">
        <v>0</v>
      </c>
      <c r="M261" s="251">
        <v>0</v>
      </c>
      <c r="N261" s="251">
        <v>25200</v>
      </c>
    </row>
    <row r="262" spans="1:14">
      <c r="A262" s="267" t="s">
        <v>643</v>
      </c>
      <c r="B262" s="268" t="s">
        <v>998</v>
      </c>
      <c r="C262" s="231" t="s">
        <v>675</v>
      </c>
      <c r="D262" s="231" t="s">
        <v>676</v>
      </c>
      <c r="E262" s="231" t="s">
        <v>661</v>
      </c>
      <c r="F262" s="251">
        <v>9917.36</v>
      </c>
      <c r="G262" s="251">
        <v>0</v>
      </c>
      <c r="H262" s="231">
        <v>0</v>
      </c>
      <c r="I262" s="231">
        <v>0</v>
      </c>
      <c r="J262" s="231">
        <v>0</v>
      </c>
      <c r="K262" s="231">
        <v>2082.64</v>
      </c>
      <c r="L262" s="231">
        <v>0</v>
      </c>
      <c r="M262" s="251">
        <v>0</v>
      </c>
      <c r="N262" s="251">
        <v>12000</v>
      </c>
    </row>
    <row r="263" spans="1:14">
      <c r="A263" s="267" t="s">
        <v>643</v>
      </c>
      <c r="B263" s="268" t="s">
        <v>999</v>
      </c>
      <c r="C263" s="231" t="s">
        <v>675</v>
      </c>
      <c r="D263" s="231" t="s">
        <v>676</v>
      </c>
      <c r="E263" s="231" t="s">
        <v>661</v>
      </c>
      <c r="F263" s="251">
        <v>3925.62</v>
      </c>
      <c r="G263" s="251">
        <v>0</v>
      </c>
      <c r="H263" s="231">
        <v>0</v>
      </c>
      <c r="I263" s="231">
        <v>0</v>
      </c>
      <c r="J263" s="231">
        <v>0</v>
      </c>
      <c r="K263" s="231">
        <v>824.38</v>
      </c>
      <c r="L263" s="231">
        <v>0</v>
      </c>
      <c r="M263" s="251">
        <v>0</v>
      </c>
      <c r="N263" s="251">
        <v>4750</v>
      </c>
    </row>
    <row r="264" spans="1:14">
      <c r="A264" s="267" t="s">
        <v>643</v>
      </c>
      <c r="B264" s="268" t="s">
        <v>1000</v>
      </c>
      <c r="C264" s="231" t="s">
        <v>675</v>
      </c>
      <c r="D264" s="231" t="s">
        <v>676</v>
      </c>
      <c r="E264" s="231" t="s">
        <v>661</v>
      </c>
      <c r="F264" s="251">
        <v>14876.03</v>
      </c>
      <c r="G264" s="251">
        <v>0</v>
      </c>
      <c r="H264" s="231">
        <v>0</v>
      </c>
      <c r="I264" s="231">
        <v>0</v>
      </c>
      <c r="J264" s="231">
        <v>0</v>
      </c>
      <c r="K264" s="231">
        <v>3123.97</v>
      </c>
      <c r="L264" s="231">
        <v>0</v>
      </c>
      <c r="M264" s="251">
        <v>0</v>
      </c>
      <c r="N264" s="251">
        <v>18000</v>
      </c>
    </row>
    <row r="265" spans="1:14">
      <c r="A265" s="267" t="s">
        <v>643</v>
      </c>
      <c r="B265" s="268" t="s">
        <v>1001</v>
      </c>
      <c r="C265" s="231" t="s">
        <v>675</v>
      </c>
      <c r="D265" s="231" t="s">
        <v>676</v>
      </c>
      <c r="E265" s="231" t="s">
        <v>661</v>
      </c>
      <c r="F265" s="251">
        <v>17355.37</v>
      </c>
      <c r="G265" s="251">
        <v>0</v>
      </c>
      <c r="H265" s="231">
        <v>0</v>
      </c>
      <c r="I265" s="231">
        <v>0</v>
      </c>
      <c r="J265" s="231">
        <v>0</v>
      </c>
      <c r="K265" s="231">
        <v>3644.63</v>
      </c>
      <c r="L265" s="231">
        <v>0</v>
      </c>
      <c r="M265" s="251">
        <v>0</v>
      </c>
      <c r="N265" s="251">
        <v>21000</v>
      </c>
    </row>
    <row r="266" spans="1:14">
      <c r="A266" s="267" t="s">
        <v>643</v>
      </c>
      <c r="B266" s="268" t="s">
        <v>1002</v>
      </c>
      <c r="C266" s="231" t="s">
        <v>675</v>
      </c>
      <c r="D266" s="231" t="s">
        <v>676</v>
      </c>
      <c r="E266" s="231" t="s">
        <v>661</v>
      </c>
      <c r="F266" s="251">
        <v>3140.5</v>
      </c>
      <c r="G266" s="251">
        <v>0</v>
      </c>
      <c r="H266" s="231">
        <v>0</v>
      </c>
      <c r="I266" s="231">
        <v>0</v>
      </c>
      <c r="J266" s="231">
        <v>0</v>
      </c>
      <c r="K266" s="231">
        <v>659.5</v>
      </c>
      <c r="L266" s="231">
        <v>0</v>
      </c>
      <c r="M266" s="251">
        <v>0</v>
      </c>
      <c r="N266" s="251">
        <v>3800</v>
      </c>
    </row>
    <row r="267" spans="1:14">
      <c r="A267" s="267" t="s">
        <v>643</v>
      </c>
      <c r="B267" s="268" t="s">
        <v>1003</v>
      </c>
      <c r="C267" s="231" t="s">
        <v>675</v>
      </c>
      <c r="D267" s="231" t="s">
        <v>676</v>
      </c>
      <c r="E267" s="231" t="s">
        <v>661</v>
      </c>
      <c r="F267" s="251">
        <v>7851.24</v>
      </c>
      <c r="G267" s="251">
        <v>0</v>
      </c>
      <c r="H267" s="231">
        <v>0</v>
      </c>
      <c r="I267" s="231">
        <v>0</v>
      </c>
      <c r="J267" s="231">
        <v>0</v>
      </c>
      <c r="K267" s="231">
        <v>1648.76</v>
      </c>
      <c r="L267" s="231">
        <v>0</v>
      </c>
      <c r="M267" s="251">
        <v>0</v>
      </c>
      <c r="N267" s="251">
        <v>9500</v>
      </c>
    </row>
    <row r="268" spans="1:14">
      <c r="A268" s="267" t="s">
        <v>643</v>
      </c>
      <c r="B268" s="268" t="s">
        <v>1004</v>
      </c>
      <c r="C268" s="231" t="s">
        <v>675</v>
      </c>
      <c r="D268" s="231" t="s">
        <v>676</v>
      </c>
      <c r="E268" s="231" t="s">
        <v>661</v>
      </c>
      <c r="F268" s="251">
        <v>2479.34</v>
      </c>
      <c r="G268" s="251">
        <v>0</v>
      </c>
      <c r="H268" s="231">
        <v>0</v>
      </c>
      <c r="I268" s="231">
        <v>0</v>
      </c>
      <c r="J268" s="231">
        <v>0</v>
      </c>
      <c r="K268" s="231">
        <v>520.66</v>
      </c>
      <c r="L268" s="231">
        <v>0</v>
      </c>
      <c r="M268" s="251">
        <v>0</v>
      </c>
      <c r="N268" s="251">
        <v>3000</v>
      </c>
    </row>
    <row r="269" spans="1:14">
      <c r="A269" s="267" t="s">
        <v>643</v>
      </c>
      <c r="B269" s="268" t="s">
        <v>1005</v>
      </c>
      <c r="C269" s="231" t="s">
        <v>701</v>
      </c>
      <c r="D269" s="231" t="s">
        <v>702</v>
      </c>
      <c r="E269" s="231">
        <v>30522428163</v>
      </c>
      <c r="F269" s="251">
        <v>1047024.8</v>
      </c>
      <c r="G269" s="251">
        <v>0</v>
      </c>
      <c r="H269" s="231">
        <v>0</v>
      </c>
      <c r="I269" s="231">
        <v>0</v>
      </c>
      <c r="J269" s="231">
        <v>0</v>
      </c>
      <c r="K269" s="231">
        <v>219875.21</v>
      </c>
      <c r="L269" s="231">
        <v>0</v>
      </c>
      <c r="M269" s="251">
        <v>0</v>
      </c>
      <c r="N269" s="251">
        <v>1266900.01</v>
      </c>
    </row>
    <row r="270" spans="1:14">
      <c r="A270" s="267" t="s">
        <v>643</v>
      </c>
      <c r="B270" s="268" t="s">
        <v>1006</v>
      </c>
      <c r="C270" s="231" t="s">
        <v>701</v>
      </c>
      <c r="D270" s="231" t="s">
        <v>702</v>
      </c>
      <c r="E270" s="231">
        <v>30522428163</v>
      </c>
      <c r="F270" s="251">
        <v>145413.22</v>
      </c>
      <c r="G270" s="251">
        <v>0</v>
      </c>
      <c r="H270" s="231">
        <v>0</v>
      </c>
      <c r="I270" s="231">
        <v>0</v>
      </c>
      <c r="J270" s="231">
        <v>0</v>
      </c>
      <c r="K270" s="231">
        <v>30536.78</v>
      </c>
      <c r="L270" s="231">
        <v>0</v>
      </c>
      <c r="M270" s="251">
        <v>0</v>
      </c>
      <c r="N270" s="251">
        <v>175950</v>
      </c>
    </row>
    <row r="271" spans="1:14">
      <c r="A271" s="267" t="s">
        <v>643</v>
      </c>
      <c r="B271" s="268" t="s">
        <v>1007</v>
      </c>
      <c r="C271" s="231" t="s">
        <v>1008</v>
      </c>
      <c r="D271" s="231" t="s">
        <v>702</v>
      </c>
      <c r="E271" s="231">
        <v>20223256393</v>
      </c>
      <c r="F271" s="251">
        <v>9917.36</v>
      </c>
      <c r="G271" s="251">
        <v>0</v>
      </c>
      <c r="H271" s="231">
        <v>0</v>
      </c>
      <c r="I271" s="231">
        <v>0</v>
      </c>
      <c r="J271" s="231">
        <v>0</v>
      </c>
      <c r="K271" s="231">
        <v>2082.64</v>
      </c>
      <c r="L271" s="231">
        <v>0</v>
      </c>
      <c r="M271" s="251">
        <v>0</v>
      </c>
      <c r="N271" s="251">
        <v>12000</v>
      </c>
    </row>
    <row r="272" spans="1:14">
      <c r="A272" s="267" t="s">
        <v>643</v>
      </c>
      <c r="B272" s="268" t="s">
        <v>1009</v>
      </c>
      <c r="C272" s="231" t="s">
        <v>704</v>
      </c>
      <c r="D272" s="231" t="s">
        <v>702</v>
      </c>
      <c r="E272" s="231">
        <v>30608716390</v>
      </c>
      <c r="F272" s="251">
        <v>25752.89</v>
      </c>
      <c r="G272" s="251">
        <v>0</v>
      </c>
      <c r="H272" s="231">
        <v>0</v>
      </c>
      <c r="I272" s="231">
        <v>0</v>
      </c>
      <c r="J272" s="231">
        <v>0</v>
      </c>
      <c r="K272" s="231">
        <v>5408.1</v>
      </c>
      <c r="L272" s="231">
        <v>0</v>
      </c>
      <c r="M272" s="251">
        <v>0</v>
      </c>
      <c r="N272" s="251">
        <v>31160.99</v>
      </c>
    </row>
    <row r="273" spans="1:14">
      <c r="A273" s="267" t="s">
        <v>643</v>
      </c>
      <c r="B273" s="268" t="s">
        <v>1010</v>
      </c>
      <c r="C273" s="231" t="s">
        <v>704</v>
      </c>
      <c r="D273" s="231" t="s">
        <v>702</v>
      </c>
      <c r="E273" s="231">
        <v>30608716390</v>
      </c>
      <c r="F273" s="251">
        <v>9572.7199999999993</v>
      </c>
      <c r="G273" s="251">
        <v>0</v>
      </c>
      <c r="H273" s="231">
        <v>0</v>
      </c>
      <c r="I273" s="231">
        <v>0</v>
      </c>
      <c r="J273" s="231">
        <v>0</v>
      </c>
      <c r="K273" s="231">
        <v>2010.26</v>
      </c>
      <c r="L273" s="231">
        <v>0</v>
      </c>
      <c r="M273" s="251">
        <v>0</v>
      </c>
      <c r="N273" s="251">
        <v>11582.98</v>
      </c>
    </row>
    <row r="274" spans="1:14">
      <c r="A274" s="267" t="s">
        <v>643</v>
      </c>
      <c r="B274" s="268" t="s">
        <v>1011</v>
      </c>
      <c r="C274" s="231" t="s">
        <v>1012</v>
      </c>
      <c r="D274" s="231" t="s">
        <v>702</v>
      </c>
      <c r="E274" s="231">
        <v>30590412631</v>
      </c>
      <c r="F274" s="251">
        <v>37024.79</v>
      </c>
      <c r="G274" s="251">
        <v>0</v>
      </c>
      <c r="H274" s="231">
        <v>0</v>
      </c>
      <c r="I274" s="231">
        <v>0</v>
      </c>
      <c r="J274" s="231">
        <v>0</v>
      </c>
      <c r="K274" s="231">
        <v>7775.21</v>
      </c>
      <c r="L274" s="231">
        <v>0</v>
      </c>
      <c r="M274" s="251">
        <v>0</v>
      </c>
      <c r="N274" s="251">
        <v>44800</v>
      </c>
    </row>
    <row r="275" spans="1:14">
      <c r="A275" s="267" t="s">
        <v>643</v>
      </c>
      <c r="B275" s="268" t="s">
        <v>1013</v>
      </c>
      <c r="C275" s="231" t="s">
        <v>783</v>
      </c>
      <c r="D275" s="231" t="s">
        <v>702</v>
      </c>
      <c r="E275" s="231">
        <v>30683032227</v>
      </c>
      <c r="F275" s="251">
        <v>76033.06</v>
      </c>
      <c r="G275" s="251">
        <v>0</v>
      </c>
      <c r="H275" s="231">
        <v>0</v>
      </c>
      <c r="I275" s="231">
        <v>0</v>
      </c>
      <c r="J275" s="231">
        <v>0</v>
      </c>
      <c r="K275" s="231">
        <v>15966.94</v>
      </c>
      <c r="L275" s="231">
        <v>0</v>
      </c>
      <c r="M275" s="251">
        <v>0</v>
      </c>
      <c r="N275" s="251">
        <v>92000</v>
      </c>
    </row>
    <row r="276" spans="1:14">
      <c r="A276" s="267" t="s">
        <v>643</v>
      </c>
      <c r="B276" s="268" t="s">
        <v>1014</v>
      </c>
      <c r="C276" s="231" t="s">
        <v>1015</v>
      </c>
      <c r="D276" s="231" t="s">
        <v>676</v>
      </c>
      <c r="E276" s="231">
        <v>92859461</v>
      </c>
      <c r="F276" s="251">
        <v>8760.33</v>
      </c>
      <c r="G276" s="251">
        <v>0</v>
      </c>
      <c r="H276" s="231">
        <v>0</v>
      </c>
      <c r="I276" s="231">
        <v>0</v>
      </c>
      <c r="J276" s="231">
        <v>0</v>
      </c>
      <c r="K276" s="231">
        <v>1839.67</v>
      </c>
      <c r="L276" s="231">
        <v>0</v>
      </c>
      <c r="M276" s="251">
        <v>0</v>
      </c>
      <c r="N276" s="251">
        <v>10600</v>
      </c>
    </row>
    <row r="277" spans="1:14">
      <c r="A277" s="267" t="s">
        <v>643</v>
      </c>
      <c r="B277" s="268" t="s">
        <v>1016</v>
      </c>
      <c r="C277" s="231" t="s">
        <v>1017</v>
      </c>
      <c r="D277" s="231" t="s">
        <v>676</v>
      </c>
      <c r="E277" s="231">
        <v>8607637</v>
      </c>
      <c r="F277" s="251">
        <v>16528.920000000002</v>
      </c>
      <c r="G277" s="251">
        <v>0</v>
      </c>
      <c r="H277" s="231">
        <v>0</v>
      </c>
      <c r="I277" s="231">
        <v>0</v>
      </c>
      <c r="J277" s="231">
        <v>0</v>
      </c>
      <c r="K277" s="231">
        <v>3471.08</v>
      </c>
      <c r="L277" s="231">
        <v>0</v>
      </c>
      <c r="M277" s="251">
        <v>0</v>
      </c>
      <c r="N277" s="251">
        <v>20000</v>
      </c>
    </row>
    <row r="278" spans="1:14">
      <c r="A278" s="267" t="s">
        <v>643</v>
      </c>
      <c r="B278" s="268" t="s">
        <v>1018</v>
      </c>
      <c r="C278" s="231" t="s">
        <v>1019</v>
      </c>
      <c r="D278" s="231" t="s">
        <v>676</v>
      </c>
      <c r="E278" s="231">
        <v>37904748</v>
      </c>
      <c r="F278" s="251">
        <v>7851.24</v>
      </c>
      <c r="G278" s="251">
        <v>0</v>
      </c>
      <c r="H278" s="231">
        <v>0</v>
      </c>
      <c r="I278" s="231">
        <v>0</v>
      </c>
      <c r="J278" s="231">
        <v>0</v>
      </c>
      <c r="K278" s="231">
        <v>1648.76</v>
      </c>
      <c r="L278" s="231">
        <v>0</v>
      </c>
      <c r="M278" s="251">
        <v>0</v>
      </c>
      <c r="N278" s="251">
        <v>9500</v>
      </c>
    </row>
    <row r="279" spans="1:14">
      <c r="A279" s="267" t="s">
        <v>643</v>
      </c>
      <c r="B279" s="268" t="s">
        <v>1020</v>
      </c>
      <c r="C279" s="231" t="s">
        <v>1021</v>
      </c>
      <c r="D279" s="231" t="s">
        <v>676</v>
      </c>
      <c r="E279" s="231">
        <v>17855620</v>
      </c>
      <c r="F279" s="251">
        <v>6611.57</v>
      </c>
      <c r="G279" s="251">
        <v>0</v>
      </c>
      <c r="H279" s="231">
        <v>0</v>
      </c>
      <c r="I279" s="231">
        <v>0</v>
      </c>
      <c r="J279" s="231">
        <v>0</v>
      </c>
      <c r="K279" s="231">
        <v>1388.43</v>
      </c>
      <c r="L279" s="231">
        <v>0</v>
      </c>
      <c r="M279" s="251">
        <v>0</v>
      </c>
      <c r="N279" s="251">
        <v>8000</v>
      </c>
    </row>
    <row r="280" spans="1:14">
      <c r="A280" s="267" t="s">
        <v>643</v>
      </c>
      <c r="B280" s="268" t="s">
        <v>1022</v>
      </c>
      <c r="C280" s="231" t="s">
        <v>802</v>
      </c>
      <c r="D280" s="231" t="s">
        <v>803</v>
      </c>
      <c r="E280" s="231">
        <v>30590354798</v>
      </c>
      <c r="F280" s="251">
        <v>13575.21</v>
      </c>
      <c r="G280" s="251">
        <v>0</v>
      </c>
      <c r="H280" s="231">
        <v>0</v>
      </c>
      <c r="I280" s="231">
        <v>0</v>
      </c>
      <c r="J280" s="231">
        <v>0</v>
      </c>
      <c r="K280" s="231">
        <v>2850.79</v>
      </c>
      <c r="L280" s="231">
        <v>0</v>
      </c>
      <c r="M280" s="251">
        <v>0</v>
      </c>
      <c r="N280" s="251">
        <v>16426</v>
      </c>
    </row>
    <row r="281" spans="1:14">
      <c r="A281" s="267" t="s">
        <v>646</v>
      </c>
      <c r="B281" s="268" t="s">
        <v>1023</v>
      </c>
      <c r="C281" s="231" t="s">
        <v>675</v>
      </c>
      <c r="D281" s="231" t="s">
        <v>676</v>
      </c>
      <c r="E281" s="231" t="s">
        <v>661</v>
      </c>
      <c r="F281" s="251">
        <v>17090.91</v>
      </c>
      <c r="G281" s="251">
        <v>0</v>
      </c>
      <c r="H281" s="231">
        <v>0</v>
      </c>
      <c r="I281" s="231">
        <v>0</v>
      </c>
      <c r="J281" s="231">
        <v>0</v>
      </c>
      <c r="K281" s="231">
        <v>3589.09</v>
      </c>
      <c r="L281" s="231">
        <v>0</v>
      </c>
      <c r="M281" s="251">
        <v>0</v>
      </c>
      <c r="N281" s="251">
        <v>20680</v>
      </c>
    </row>
    <row r="282" spans="1:14">
      <c r="A282" s="267" t="s">
        <v>646</v>
      </c>
      <c r="B282" s="268" t="s">
        <v>1024</v>
      </c>
      <c r="C282" s="231" t="s">
        <v>675</v>
      </c>
      <c r="D282" s="231" t="s">
        <v>676</v>
      </c>
      <c r="E282" s="231" t="s">
        <v>661</v>
      </c>
      <c r="F282" s="251">
        <v>3925.62</v>
      </c>
      <c r="G282" s="251">
        <v>0</v>
      </c>
      <c r="H282" s="231">
        <v>0</v>
      </c>
      <c r="I282" s="231">
        <v>0</v>
      </c>
      <c r="J282" s="231">
        <v>0</v>
      </c>
      <c r="K282" s="231">
        <v>824.38</v>
      </c>
      <c r="L282" s="231">
        <v>0</v>
      </c>
      <c r="M282" s="251">
        <v>0</v>
      </c>
      <c r="N282" s="251">
        <v>4750</v>
      </c>
    </row>
    <row r="283" spans="1:14">
      <c r="A283" s="267" t="s">
        <v>646</v>
      </c>
      <c r="B283" s="268" t="s">
        <v>1025</v>
      </c>
      <c r="C283" s="231" t="s">
        <v>675</v>
      </c>
      <c r="D283" s="231" t="s">
        <v>676</v>
      </c>
      <c r="E283" s="231" t="s">
        <v>661</v>
      </c>
      <c r="F283" s="251">
        <v>5371.9</v>
      </c>
      <c r="G283" s="251">
        <v>0</v>
      </c>
      <c r="H283" s="231">
        <v>0</v>
      </c>
      <c r="I283" s="231">
        <v>0</v>
      </c>
      <c r="J283" s="231">
        <v>0</v>
      </c>
      <c r="K283" s="231">
        <v>1128.1000000000001</v>
      </c>
      <c r="L283" s="231">
        <v>0</v>
      </c>
      <c r="M283" s="251">
        <v>0</v>
      </c>
      <c r="N283" s="251">
        <v>6500</v>
      </c>
    </row>
    <row r="284" spans="1:14">
      <c r="A284" s="267" t="s">
        <v>646</v>
      </c>
      <c r="B284" s="268" t="s">
        <v>1026</v>
      </c>
      <c r="C284" s="231" t="s">
        <v>1027</v>
      </c>
      <c r="D284" s="231" t="s">
        <v>676</v>
      </c>
      <c r="E284" s="231">
        <v>13655230</v>
      </c>
      <c r="F284" s="251">
        <v>19008.260000000002</v>
      </c>
      <c r="G284" s="251">
        <v>0</v>
      </c>
      <c r="H284" s="231">
        <v>0</v>
      </c>
      <c r="I284" s="231">
        <v>0</v>
      </c>
      <c r="J284" s="231">
        <v>0</v>
      </c>
      <c r="K284" s="231">
        <v>3991.74</v>
      </c>
      <c r="L284" s="231">
        <v>0</v>
      </c>
      <c r="M284" s="251">
        <v>0</v>
      </c>
      <c r="N284" s="251">
        <v>23000</v>
      </c>
    </row>
    <row r="285" spans="1:14">
      <c r="A285" s="267" t="s">
        <v>646</v>
      </c>
      <c r="B285" s="268" t="s">
        <v>1028</v>
      </c>
      <c r="C285" s="231" t="s">
        <v>675</v>
      </c>
      <c r="D285" s="231" t="s">
        <v>676</v>
      </c>
      <c r="E285" s="231" t="s">
        <v>661</v>
      </c>
      <c r="F285" s="251">
        <v>14214.88</v>
      </c>
      <c r="G285" s="251">
        <v>0</v>
      </c>
      <c r="H285" s="231">
        <v>0</v>
      </c>
      <c r="I285" s="231">
        <v>0</v>
      </c>
      <c r="J285" s="231">
        <v>0</v>
      </c>
      <c r="K285" s="231">
        <v>2985.12</v>
      </c>
      <c r="L285" s="231">
        <v>0</v>
      </c>
      <c r="M285" s="251">
        <v>0</v>
      </c>
      <c r="N285" s="251">
        <v>17200</v>
      </c>
    </row>
    <row r="286" spans="1:14">
      <c r="A286" s="267" t="s">
        <v>646</v>
      </c>
      <c r="B286" s="268" t="s">
        <v>1029</v>
      </c>
      <c r="C286" s="231" t="s">
        <v>675</v>
      </c>
      <c r="D286" s="231" t="s">
        <v>676</v>
      </c>
      <c r="E286" s="231" t="s">
        <v>661</v>
      </c>
      <c r="F286" s="251">
        <v>3628.1</v>
      </c>
      <c r="G286" s="251">
        <v>0</v>
      </c>
      <c r="H286" s="231">
        <v>0</v>
      </c>
      <c r="I286" s="231">
        <v>0</v>
      </c>
      <c r="J286" s="231">
        <v>0</v>
      </c>
      <c r="K286" s="231">
        <v>761.9</v>
      </c>
      <c r="L286" s="231">
        <v>0</v>
      </c>
      <c r="M286" s="251">
        <v>0</v>
      </c>
      <c r="N286" s="251">
        <v>4390</v>
      </c>
    </row>
    <row r="287" spans="1:14">
      <c r="A287" s="267" t="s">
        <v>646</v>
      </c>
      <c r="B287" s="268" t="s">
        <v>1030</v>
      </c>
      <c r="C287" s="231" t="s">
        <v>675</v>
      </c>
      <c r="D287" s="231" t="s">
        <v>676</v>
      </c>
      <c r="E287" s="231" t="s">
        <v>661</v>
      </c>
      <c r="F287" s="251">
        <v>3553.72</v>
      </c>
      <c r="G287" s="251">
        <v>0</v>
      </c>
      <c r="H287" s="231">
        <v>0</v>
      </c>
      <c r="I287" s="231">
        <v>0</v>
      </c>
      <c r="J287" s="231">
        <v>0</v>
      </c>
      <c r="K287" s="231">
        <v>746.28</v>
      </c>
      <c r="L287" s="231">
        <v>0</v>
      </c>
      <c r="M287" s="251">
        <v>0</v>
      </c>
      <c r="N287" s="251">
        <v>4300</v>
      </c>
    </row>
    <row r="288" spans="1:14">
      <c r="A288" s="267" t="s">
        <v>646</v>
      </c>
      <c r="B288" s="268" t="s">
        <v>1031</v>
      </c>
      <c r="C288" s="231" t="s">
        <v>675</v>
      </c>
      <c r="D288" s="231" t="s">
        <v>676</v>
      </c>
      <c r="E288" s="231" t="s">
        <v>661</v>
      </c>
      <c r="F288" s="251">
        <v>1652.89</v>
      </c>
      <c r="G288" s="251">
        <v>0</v>
      </c>
      <c r="H288" s="231">
        <v>0</v>
      </c>
      <c r="I288" s="231">
        <v>0</v>
      </c>
      <c r="J288" s="231">
        <v>0</v>
      </c>
      <c r="K288" s="231">
        <v>347.11</v>
      </c>
      <c r="L288" s="231">
        <v>0</v>
      </c>
      <c r="M288" s="251">
        <v>0</v>
      </c>
      <c r="N288" s="251">
        <v>2000</v>
      </c>
    </row>
    <row r="289" spans="1:14">
      <c r="A289" s="267" t="s">
        <v>646</v>
      </c>
      <c r="B289" s="268" t="s">
        <v>1032</v>
      </c>
      <c r="C289" s="231" t="s">
        <v>675</v>
      </c>
      <c r="D289" s="231" t="s">
        <v>676</v>
      </c>
      <c r="E289" s="231" t="s">
        <v>661</v>
      </c>
      <c r="F289" s="251">
        <v>3628.1</v>
      </c>
      <c r="G289" s="251">
        <v>0</v>
      </c>
      <c r="H289" s="231">
        <v>0</v>
      </c>
      <c r="I289" s="231">
        <v>0</v>
      </c>
      <c r="J289" s="231">
        <v>0</v>
      </c>
      <c r="K289" s="231">
        <v>761.9</v>
      </c>
      <c r="L289" s="231">
        <v>0</v>
      </c>
      <c r="M289" s="251">
        <v>0</v>
      </c>
      <c r="N289" s="251">
        <v>4390</v>
      </c>
    </row>
    <row r="290" spans="1:14">
      <c r="A290" s="267" t="s">
        <v>646</v>
      </c>
      <c r="B290" s="268" t="s">
        <v>1033</v>
      </c>
      <c r="C290" s="231" t="s">
        <v>675</v>
      </c>
      <c r="D290" s="231" t="s">
        <v>676</v>
      </c>
      <c r="E290" s="231" t="s">
        <v>661</v>
      </c>
      <c r="F290" s="251">
        <v>12396.69</v>
      </c>
      <c r="G290" s="251">
        <v>0</v>
      </c>
      <c r="H290" s="231">
        <v>0</v>
      </c>
      <c r="I290" s="231">
        <v>0</v>
      </c>
      <c r="J290" s="231">
        <v>0</v>
      </c>
      <c r="K290" s="231">
        <v>2603.31</v>
      </c>
      <c r="L290" s="231">
        <v>0</v>
      </c>
      <c r="M290" s="251">
        <v>0</v>
      </c>
      <c r="N290" s="251">
        <v>15000</v>
      </c>
    </row>
    <row r="291" spans="1:14">
      <c r="A291" s="267" t="s">
        <v>646</v>
      </c>
      <c r="B291" s="268" t="s">
        <v>1034</v>
      </c>
      <c r="C291" s="231" t="s">
        <v>675</v>
      </c>
      <c r="D291" s="231" t="s">
        <v>676</v>
      </c>
      <c r="E291" s="231" t="s">
        <v>661</v>
      </c>
      <c r="F291" s="251">
        <v>3305.79</v>
      </c>
      <c r="G291" s="251">
        <v>0</v>
      </c>
      <c r="H291" s="231">
        <v>0</v>
      </c>
      <c r="I291" s="231">
        <v>0</v>
      </c>
      <c r="J291" s="231">
        <v>0</v>
      </c>
      <c r="K291" s="231">
        <v>694.21</v>
      </c>
      <c r="L291" s="231">
        <v>0</v>
      </c>
      <c r="M291" s="251">
        <v>0</v>
      </c>
      <c r="N291" s="251">
        <v>4000</v>
      </c>
    </row>
    <row r="292" spans="1:14">
      <c r="A292" s="267" t="s">
        <v>646</v>
      </c>
      <c r="B292" s="268" t="s">
        <v>1035</v>
      </c>
      <c r="C292" s="231" t="s">
        <v>675</v>
      </c>
      <c r="D292" s="231" t="s">
        <v>676</v>
      </c>
      <c r="E292" s="231" t="s">
        <v>661</v>
      </c>
      <c r="F292" s="251">
        <v>3214.88</v>
      </c>
      <c r="G292" s="251">
        <v>0</v>
      </c>
      <c r="H292" s="231">
        <v>0</v>
      </c>
      <c r="I292" s="231">
        <v>0</v>
      </c>
      <c r="J292" s="231">
        <v>0</v>
      </c>
      <c r="K292" s="231">
        <v>675.12</v>
      </c>
      <c r="L292" s="231">
        <v>0</v>
      </c>
      <c r="M292" s="251">
        <v>0</v>
      </c>
      <c r="N292" s="251">
        <v>3890</v>
      </c>
    </row>
    <row r="293" spans="1:14">
      <c r="A293" s="267" t="s">
        <v>646</v>
      </c>
      <c r="B293" s="268" t="s">
        <v>1036</v>
      </c>
      <c r="C293" s="231" t="s">
        <v>675</v>
      </c>
      <c r="D293" s="231" t="s">
        <v>676</v>
      </c>
      <c r="E293" s="231" t="s">
        <v>661</v>
      </c>
      <c r="F293" s="251">
        <v>6611.57</v>
      </c>
      <c r="G293" s="251">
        <v>0</v>
      </c>
      <c r="H293" s="231">
        <v>0</v>
      </c>
      <c r="I293" s="231">
        <v>0</v>
      </c>
      <c r="J293" s="231">
        <v>0</v>
      </c>
      <c r="K293" s="231">
        <v>1388.43</v>
      </c>
      <c r="L293" s="231">
        <v>0</v>
      </c>
      <c r="M293" s="251">
        <v>0</v>
      </c>
      <c r="N293" s="251">
        <v>8000</v>
      </c>
    </row>
    <row r="294" spans="1:14">
      <c r="A294" s="267" t="s">
        <v>646</v>
      </c>
      <c r="B294" s="268" t="s">
        <v>1037</v>
      </c>
      <c r="C294" s="231" t="s">
        <v>675</v>
      </c>
      <c r="D294" s="231" t="s">
        <v>676</v>
      </c>
      <c r="E294" s="231" t="s">
        <v>661</v>
      </c>
      <c r="F294" s="251">
        <v>5785.12</v>
      </c>
      <c r="G294" s="251">
        <v>0</v>
      </c>
      <c r="H294" s="231">
        <v>0</v>
      </c>
      <c r="I294" s="231">
        <v>0</v>
      </c>
      <c r="J294" s="231">
        <v>0</v>
      </c>
      <c r="K294" s="231">
        <v>1214.8800000000001</v>
      </c>
      <c r="L294" s="231">
        <v>0</v>
      </c>
      <c r="M294" s="251">
        <v>0</v>
      </c>
      <c r="N294" s="251">
        <v>7000</v>
      </c>
    </row>
    <row r="295" spans="1:14">
      <c r="A295" s="267" t="s">
        <v>646</v>
      </c>
      <c r="B295" s="268" t="s">
        <v>1038</v>
      </c>
      <c r="C295" s="231" t="s">
        <v>701</v>
      </c>
      <c r="D295" s="231" t="s">
        <v>702</v>
      </c>
      <c r="E295" s="231">
        <v>30522428163</v>
      </c>
      <c r="F295" s="251">
        <v>4758512.3899999997</v>
      </c>
      <c r="G295" s="251">
        <v>0</v>
      </c>
      <c r="H295" s="231">
        <v>0</v>
      </c>
      <c r="I295" s="231">
        <v>0</v>
      </c>
      <c r="J295" s="231">
        <v>0</v>
      </c>
      <c r="K295" s="231">
        <v>999287.61</v>
      </c>
      <c r="L295" s="231">
        <v>0</v>
      </c>
      <c r="M295" s="251">
        <v>0</v>
      </c>
      <c r="N295" s="251">
        <v>5757800</v>
      </c>
    </row>
    <row r="296" spans="1:14">
      <c r="A296" s="267" t="s">
        <v>646</v>
      </c>
      <c r="B296" s="268" t="s">
        <v>1039</v>
      </c>
      <c r="C296" s="231" t="s">
        <v>701</v>
      </c>
      <c r="D296" s="231" t="s">
        <v>702</v>
      </c>
      <c r="E296" s="231">
        <v>30522428163</v>
      </c>
      <c r="F296" s="251">
        <v>11799.6</v>
      </c>
      <c r="G296" s="251">
        <v>0</v>
      </c>
      <c r="H296" s="231">
        <v>0</v>
      </c>
      <c r="I296" s="231">
        <v>0</v>
      </c>
      <c r="J296" s="231">
        <v>0</v>
      </c>
      <c r="K296" s="231">
        <v>2477.92</v>
      </c>
      <c r="L296" s="231">
        <v>0</v>
      </c>
      <c r="M296" s="251">
        <v>0</v>
      </c>
      <c r="N296" s="251">
        <v>14277.52</v>
      </c>
    </row>
    <row r="297" spans="1:14">
      <c r="A297" s="267" t="s">
        <v>646</v>
      </c>
      <c r="B297" s="268" t="s">
        <v>1040</v>
      </c>
      <c r="C297" s="231" t="s">
        <v>701</v>
      </c>
      <c r="D297" s="231" t="s">
        <v>702</v>
      </c>
      <c r="E297" s="231">
        <v>30522428163</v>
      </c>
      <c r="F297" s="251">
        <v>31814.7</v>
      </c>
      <c r="G297" s="251">
        <v>0</v>
      </c>
      <c r="H297" s="231">
        <v>0</v>
      </c>
      <c r="I297" s="231">
        <v>0</v>
      </c>
      <c r="J297" s="231">
        <v>0</v>
      </c>
      <c r="K297" s="231">
        <v>6681.09</v>
      </c>
      <c r="L297" s="231">
        <v>0</v>
      </c>
      <c r="M297" s="251">
        <v>0</v>
      </c>
      <c r="N297" s="251">
        <v>38495.79</v>
      </c>
    </row>
    <row r="298" spans="1:14">
      <c r="A298" s="267" t="s">
        <v>647</v>
      </c>
      <c r="B298" s="268" t="s">
        <v>1041</v>
      </c>
      <c r="C298" s="231" t="s">
        <v>675</v>
      </c>
      <c r="D298" s="231" t="s">
        <v>676</v>
      </c>
      <c r="E298" s="231" t="s">
        <v>661</v>
      </c>
      <c r="F298" s="251">
        <v>3012.4</v>
      </c>
      <c r="G298" s="251">
        <v>0</v>
      </c>
      <c r="H298" s="231">
        <v>0</v>
      </c>
      <c r="I298" s="231">
        <v>0</v>
      </c>
      <c r="J298" s="231">
        <v>0</v>
      </c>
      <c r="K298" s="231">
        <v>632.6</v>
      </c>
      <c r="L298" s="231">
        <v>0</v>
      </c>
      <c r="M298" s="251">
        <v>0</v>
      </c>
      <c r="N298" s="251">
        <v>3645</v>
      </c>
    </row>
    <row r="299" spans="1:14">
      <c r="A299" s="267" t="s">
        <v>647</v>
      </c>
      <c r="B299" s="268" t="s">
        <v>1042</v>
      </c>
      <c r="C299" s="231" t="s">
        <v>675</v>
      </c>
      <c r="D299" s="231" t="s">
        <v>676</v>
      </c>
      <c r="E299" s="231" t="s">
        <v>661</v>
      </c>
      <c r="F299" s="251">
        <v>7520.66</v>
      </c>
      <c r="G299" s="251">
        <v>0</v>
      </c>
      <c r="H299" s="231">
        <v>0</v>
      </c>
      <c r="I299" s="231">
        <v>0</v>
      </c>
      <c r="J299" s="231">
        <v>0</v>
      </c>
      <c r="K299" s="231">
        <v>1579.34</v>
      </c>
      <c r="L299" s="231">
        <v>0</v>
      </c>
      <c r="M299" s="251">
        <v>0</v>
      </c>
      <c r="N299" s="251">
        <v>9100</v>
      </c>
    </row>
    <row r="300" spans="1:14">
      <c r="A300" s="267" t="s">
        <v>647</v>
      </c>
      <c r="B300" s="268" t="s">
        <v>1043</v>
      </c>
      <c r="C300" s="231" t="s">
        <v>675</v>
      </c>
      <c r="D300" s="231" t="s">
        <v>676</v>
      </c>
      <c r="E300" s="231" t="s">
        <v>661</v>
      </c>
      <c r="F300" s="251">
        <v>12198.35</v>
      </c>
      <c r="G300" s="251">
        <v>0</v>
      </c>
      <c r="H300" s="231">
        <v>0</v>
      </c>
      <c r="I300" s="231">
        <v>0</v>
      </c>
      <c r="J300" s="231">
        <v>0</v>
      </c>
      <c r="K300" s="231">
        <v>2561.65</v>
      </c>
      <c r="L300" s="231">
        <v>0</v>
      </c>
      <c r="M300" s="251">
        <v>0</v>
      </c>
      <c r="N300" s="251">
        <v>14760</v>
      </c>
    </row>
    <row r="301" spans="1:14">
      <c r="A301" s="267" t="s">
        <v>647</v>
      </c>
      <c r="B301" s="268" t="s">
        <v>1044</v>
      </c>
      <c r="C301" s="231" t="s">
        <v>675</v>
      </c>
      <c r="D301" s="231" t="s">
        <v>676</v>
      </c>
      <c r="E301" s="231" t="s">
        <v>661</v>
      </c>
      <c r="F301" s="251">
        <v>26995.040000000001</v>
      </c>
      <c r="G301" s="251">
        <v>0</v>
      </c>
      <c r="H301" s="231">
        <v>0</v>
      </c>
      <c r="I301" s="231">
        <v>0</v>
      </c>
      <c r="J301" s="231">
        <v>0</v>
      </c>
      <c r="K301" s="231">
        <v>5668.96</v>
      </c>
      <c r="L301" s="231">
        <v>0</v>
      </c>
      <c r="M301" s="251">
        <v>0</v>
      </c>
      <c r="N301" s="251">
        <v>32664</v>
      </c>
    </row>
    <row r="302" spans="1:14">
      <c r="A302" s="267" t="s">
        <v>647</v>
      </c>
      <c r="B302" s="268" t="s">
        <v>1045</v>
      </c>
      <c r="C302" s="231" t="s">
        <v>675</v>
      </c>
      <c r="D302" s="231" t="s">
        <v>676</v>
      </c>
      <c r="E302" s="231" t="s">
        <v>661</v>
      </c>
      <c r="F302" s="251">
        <v>12198.35</v>
      </c>
      <c r="G302" s="251">
        <v>0</v>
      </c>
      <c r="H302" s="231">
        <v>0</v>
      </c>
      <c r="I302" s="231">
        <v>0</v>
      </c>
      <c r="J302" s="231">
        <v>0</v>
      </c>
      <c r="K302" s="231">
        <v>2561.65</v>
      </c>
      <c r="L302" s="231">
        <v>0</v>
      </c>
      <c r="M302" s="251">
        <v>0</v>
      </c>
      <c r="N302" s="251">
        <v>14760</v>
      </c>
    </row>
    <row r="303" spans="1:14">
      <c r="A303" s="267" t="s">
        <v>647</v>
      </c>
      <c r="B303" s="268" t="s">
        <v>1046</v>
      </c>
      <c r="C303" s="231" t="s">
        <v>675</v>
      </c>
      <c r="D303" s="231" t="s">
        <v>676</v>
      </c>
      <c r="E303" s="231" t="s">
        <v>661</v>
      </c>
      <c r="F303" s="251">
        <v>10826.45</v>
      </c>
      <c r="G303" s="251">
        <v>0</v>
      </c>
      <c r="H303" s="231">
        <v>0</v>
      </c>
      <c r="I303" s="231">
        <v>0</v>
      </c>
      <c r="J303" s="231">
        <v>0</v>
      </c>
      <c r="K303" s="231">
        <v>2273.5500000000002</v>
      </c>
      <c r="L303" s="231">
        <v>0</v>
      </c>
      <c r="M303" s="251">
        <v>0</v>
      </c>
      <c r="N303" s="251">
        <v>13100</v>
      </c>
    </row>
    <row r="304" spans="1:14">
      <c r="A304" s="267" t="s">
        <v>647</v>
      </c>
      <c r="B304" s="268" t="s">
        <v>1047</v>
      </c>
      <c r="C304" s="231" t="s">
        <v>675</v>
      </c>
      <c r="D304" s="231" t="s">
        <v>676</v>
      </c>
      <c r="E304" s="231" t="s">
        <v>661</v>
      </c>
      <c r="F304" s="251">
        <v>3925.62</v>
      </c>
      <c r="G304" s="251">
        <v>0</v>
      </c>
      <c r="H304" s="231">
        <v>0</v>
      </c>
      <c r="I304" s="231">
        <v>0</v>
      </c>
      <c r="J304" s="231">
        <v>0</v>
      </c>
      <c r="K304" s="231">
        <v>824.38</v>
      </c>
      <c r="L304" s="231">
        <v>0</v>
      </c>
      <c r="M304" s="251">
        <v>0</v>
      </c>
      <c r="N304" s="251">
        <v>4750</v>
      </c>
    </row>
    <row r="305" spans="1:14">
      <c r="A305" s="267" t="s">
        <v>647</v>
      </c>
      <c r="B305" s="268" t="s">
        <v>1048</v>
      </c>
      <c r="C305" s="231" t="s">
        <v>675</v>
      </c>
      <c r="D305" s="231" t="s">
        <v>676</v>
      </c>
      <c r="E305" s="231" t="s">
        <v>661</v>
      </c>
      <c r="F305" s="251">
        <v>15950.41</v>
      </c>
      <c r="G305" s="251">
        <v>0</v>
      </c>
      <c r="H305" s="231">
        <v>0</v>
      </c>
      <c r="I305" s="231">
        <v>0</v>
      </c>
      <c r="J305" s="231">
        <v>0</v>
      </c>
      <c r="K305" s="231">
        <v>3349.59</v>
      </c>
      <c r="L305" s="231">
        <v>0</v>
      </c>
      <c r="M305" s="251">
        <v>0</v>
      </c>
      <c r="N305" s="251">
        <v>19300</v>
      </c>
    </row>
    <row r="306" spans="1:14">
      <c r="A306" s="267" t="s">
        <v>647</v>
      </c>
      <c r="B306" s="268" t="s">
        <v>1049</v>
      </c>
      <c r="C306" s="231" t="s">
        <v>675</v>
      </c>
      <c r="D306" s="231" t="s">
        <v>676</v>
      </c>
      <c r="E306" s="231" t="s">
        <v>661</v>
      </c>
      <c r="F306" s="251">
        <v>4132.2300000000005</v>
      </c>
      <c r="G306" s="251">
        <v>0</v>
      </c>
      <c r="H306" s="231">
        <v>0</v>
      </c>
      <c r="I306" s="231">
        <v>0</v>
      </c>
      <c r="J306" s="231">
        <v>0</v>
      </c>
      <c r="K306" s="231">
        <v>867.77</v>
      </c>
      <c r="L306" s="231">
        <v>0</v>
      </c>
      <c r="M306" s="251">
        <v>0</v>
      </c>
      <c r="N306" s="251">
        <v>5000</v>
      </c>
    </row>
    <row r="307" spans="1:14">
      <c r="A307" s="267" t="s">
        <v>647</v>
      </c>
      <c r="B307" s="268" t="s">
        <v>1050</v>
      </c>
      <c r="C307" s="231" t="s">
        <v>675</v>
      </c>
      <c r="D307" s="231" t="s">
        <v>676</v>
      </c>
      <c r="E307" s="231" t="s">
        <v>661</v>
      </c>
      <c r="F307" s="251">
        <v>3012.4</v>
      </c>
      <c r="G307" s="251">
        <v>0</v>
      </c>
      <c r="H307" s="231">
        <v>0</v>
      </c>
      <c r="I307" s="231">
        <v>0</v>
      </c>
      <c r="J307" s="231">
        <v>0</v>
      </c>
      <c r="K307" s="231">
        <v>632.6</v>
      </c>
      <c r="L307" s="231">
        <v>0</v>
      </c>
      <c r="M307" s="251">
        <v>0</v>
      </c>
      <c r="N307" s="251">
        <v>3645</v>
      </c>
    </row>
    <row r="308" spans="1:14">
      <c r="A308" s="267" t="s">
        <v>647</v>
      </c>
      <c r="B308" s="268" t="s">
        <v>1051</v>
      </c>
      <c r="C308" s="231" t="s">
        <v>675</v>
      </c>
      <c r="D308" s="231" t="s">
        <v>676</v>
      </c>
      <c r="E308" s="231" t="s">
        <v>661</v>
      </c>
      <c r="F308" s="251">
        <v>12644.63</v>
      </c>
      <c r="G308" s="251">
        <v>0</v>
      </c>
      <c r="H308" s="231">
        <v>0</v>
      </c>
      <c r="I308" s="231">
        <v>0</v>
      </c>
      <c r="J308" s="231">
        <v>0</v>
      </c>
      <c r="K308" s="231">
        <v>2655.37</v>
      </c>
      <c r="L308" s="231">
        <v>0</v>
      </c>
      <c r="M308" s="251">
        <v>0</v>
      </c>
      <c r="N308" s="251">
        <v>15300</v>
      </c>
    </row>
    <row r="309" spans="1:14">
      <c r="A309" s="267" t="s">
        <v>647</v>
      </c>
      <c r="B309" s="268" t="s">
        <v>1052</v>
      </c>
      <c r="C309" s="231" t="s">
        <v>675</v>
      </c>
      <c r="D309" s="231" t="s">
        <v>676</v>
      </c>
      <c r="E309" s="231" t="s">
        <v>661</v>
      </c>
      <c r="F309" s="251">
        <v>16528.93</v>
      </c>
      <c r="G309" s="251">
        <v>0</v>
      </c>
      <c r="H309" s="231">
        <v>0</v>
      </c>
      <c r="I309" s="231">
        <v>0</v>
      </c>
      <c r="J309" s="231">
        <v>0</v>
      </c>
      <c r="K309" s="231">
        <v>3471.07</v>
      </c>
      <c r="L309" s="231">
        <v>0</v>
      </c>
      <c r="M309" s="251">
        <v>0</v>
      </c>
      <c r="N309" s="251">
        <v>20000</v>
      </c>
    </row>
    <row r="310" spans="1:14">
      <c r="A310" s="267" t="s">
        <v>647</v>
      </c>
      <c r="B310" s="268" t="s">
        <v>1053</v>
      </c>
      <c r="C310" s="231" t="s">
        <v>675</v>
      </c>
      <c r="D310" s="231" t="s">
        <v>676</v>
      </c>
      <c r="E310" s="231" t="s">
        <v>661</v>
      </c>
      <c r="F310" s="251">
        <v>10743.8</v>
      </c>
      <c r="G310" s="251">
        <v>0</v>
      </c>
      <c r="H310" s="231">
        <v>0</v>
      </c>
      <c r="I310" s="231">
        <v>0</v>
      </c>
      <c r="J310" s="231">
        <v>0</v>
      </c>
      <c r="K310" s="231">
        <v>2256.2000000000003</v>
      </c>
      <c r="L310" s="231">
        <v>0</v>
      </c>
      <c r="M310" s="251">
        <v>0</v>
      </c>
      <c r="N310" s="251">
        <v>13000</v>
      </c>
    </row>
    <row r="311" spans="1:14">
      <c r="A311" s="267" t="s">
        <v>647</v>
      </c>
      <c r="B311" s="268" t="s">
        <v>1054</v>
      </c>
      <c r="C311" s="231" t="s">
        <v>704</v>
      </c>
      <c r="D311" s="231" t="s">
        <v>702</v>
      </c>
      <c r="E311" s="231">
        <v>30608716390</v>
      </c>
      <c r="F311" s="251">
        <v>1838.02</v>
      </c>
      <c r="G311" s="251">
        <v>0</v>
      </c>
      <c r="H311" s="231">
        <v>0</v>
      </c>
      <c r="I311" s="231">
        <v>0</v>
      </c>
      <c r="J311" s="231">
        <v>0</v>
      </c>
      <c r="K311" s="231">
        <v>385.98</v>
      </c>
      <c r="L311" s="231">
        <v>0</v>
      </c>
      <c r="M311" s="251">
        <v>0</v>
      </c>
      <c r="N311" s="251">
        <v>2224</v>
      </c>
    </row>
    <row r="312" spans="1:14">
      <c r="A312" s="267" t="s">
        <v>647</v>
      </c>
      <c r="B312" s="268" t="s">
        <v>1055</v>
      </c>
      <c r="C312" s="231" t="s">
        <v>701</v>
      </c>
      <c r="D312" s="231" t="s">
        <v>702</v>
      </c>
      <c r="E312" s="231">
        <v>30522428163</v>
      </c>
      <c r="F312" s="251">
        <v>35795.39</v>
      </c>
      <c r="G312" s="251">
        <v>0</v>
      </c>
      <c r="H312" s="231">
        <v>0</v>
      </c>
      <c r="I312" s="231">
        <v>0</v>
      </c>
      <c r="J312" s="231">
        <v>0</v>
      </c>
      <c r="K312" s="231">
        <v>7517.03</v>
      </c>
      <c r="L312" s="231">
        <v>0</v>
      </c>
      <c r="M312" s="251">
        <v>0</v>
      </c>
      <c r="N312" s="251">
        <v>43312.42</v>
      </c>
    </row>
    <row r="313" spans="1:14">
      <c r="A313" s="267" t="s">
        <v>647</v>
      </c>
      <c r="B313" s="268" t="s">
        <v>1056</v>
      </c>
      <c r="C313" s="231" t="s">
        <v>701</v>
      </c>
      <c r="D313" s="231" t="s">
        <v>702</v>
      </c>
      <c r="E313" s="231">
        <v>30522428163</v>
      </c>
      <c r="F313" s="251">
        <v>18615.900000000001</v>
      </c>
      <c r="G313" s="251">
        <v>0</v>
      </c>
      <c r="H313" s="231">
        <v>0</v>
      </c>
      <c r="I313" s="231">
        <v>0</v>
      </c>
      <c r="J313" s="231">
        <v>0</v>
      </c>
      <c r="K313" s="231">
        <v>3909.34</v>
      </c>
      <c r="L313" s="231">
        <v>0</v>
      </c>
      <c r="M313" s="251">
        <v>0</v>
      </c>
      <c r="N313" s="251">
        <v>22525.24</v>
      </c>
    </row>
    <row r="314" spans="1:14">
      <c r="A314" s="267" t="s">
        <v>647</v>
      </c>
      <c r="B314" s="268" t="s">
        <v>1057</v>
      </c>
      <c r="C314" s="231" t="s">
        <v>704</v>
      </c>
      <c r="D314" s="231" t="s">
        <v>702</v>
      </c>
      <c r="E314" s="231">
        <v>30608716390</v>
      </c>
      <c r="F314" s="251">
        <v>11705.38</v>
      </c>
      <c r="G314" s="251">
        <v>0</v>
      </c>
      <c r="H314" s="231">
        <v>0</v>
      </c>
      <c r="I314" s="231">
        <v>0</v>
      </c>
      <c r="J314" s="231">
        <v>0</v>
      </c>
      <c r="K314" s="231">
        <v>2458.13</v>
      </c>
      <c r="L314" s="231">
        <v>0</v>
      </c>
      <c r="M314" s="251">
        <v>0</v>
      </c>
      <c r="N314" s="251">
        <v>14163.51</v>
      </c>
    </row>
    <row r="315" spans="1:14">
      <c r="A315" s="267" t="s">
        <v>647</v>
      </c>
      <c r="B315" s="268" t="s">
        <v>1058</v>
      </c>
      <c r="C315" s="231" t="s">
        <v>843</v>
      </c>
      <c r="D315" s="231" t="s">
        <v>676</v>
      </c>
      <c r="E315" s="231">
        <v>14123802</v>
      </c>
      <c r="F315" s="251">
        <v>6033.06</v>
      </c>
      <c r="G315" s="251">
        <v>0</v>
      </c>
      <c r="H315" s="231">
        <v>0</v>
      </c>
      <c r="I315" s="231">
        <v>0</v>
      </c>
      <c r="J315" s="231">
        <v>0</v>
      </c>
      <c r="K315" s="231">
        <v>1266.94</v>
      </c>
      <c r="L315" s="231">
        <v>0</v>
      </c>
      <c r="M315" s="251">
        <v>0</v>
      </c>
      <c r="N315" s="251">
        <v>7300</v>
      </c>
    </row>
    <row r="316" spans="1:14">
      <c r="A316" s="267" t="s">
        <v>647</v>
      </c>
      <c r="B316" s="268" t="s">
        <v>1059</v>
      </c>
      <c r="C316" s="231" t="s">
        <v>1060</v>
      </c>
      <c r="D316" s="231" t="s">
        <v>676</v>
      </c>
      <c r="E316" s="231">
        <v>20370805</v>
      </c>
      <c r="F316" s="251">
        <v>22561.99</v>
      </c>
      <c r="G316" s="251">
        <v>0</v>
      </c>
      <c r="H316" s="231">
        <v>0</v>
      </c>
      <c r="I316" s="231">
        <v>0</v>
      </c>
      <c r="J316" s="231">
        <v>0</v>
      </c>
      <c r="K316" s="231">
        <v>4738.01</v>
      </c>
      <c r="L316" s="231">
        <v>0</v>
      </c>
      <c r="M316" s="251">
        <v>0</v>
      </c>
      <c r="N316" s="251">
        <v>27300</v>
      </c>
    </row>
    <row r="317" spans="1:14">
      <c r="A317" s="267" t="s">
        <v>647</v>
      </c>
      <c r="B317" s="268" t="s">
        <v>1061</v>
      </c>
      <c r="C317" s="231" t="s">
        <v>717</v>
      </c>
      <c r="D317" s="231" t="s">
        <v>676</v>
      </c>
      <c r="E317" s="231">
        <v>382591</v>
      </c>
      <c r="F317" s="251">
        <v>6446.28</v>
      </c>
      <c r="G317" s="251">
        <v>0</v>
      </c>
      <c r="H317" s="231">
        <v>0</v>
      </c>
      <c r="I317" s="231">
        <v>0</v>
      </c>
      <c r="J317" s="231">
        <v>0</v>
      </c>
      <c r="K317" s="231">
        <v>1353.72</v>
      </c>
      <c r="L317" s="231">
        <v>0</v>
      </c>
      <c r="M317" s="251">
        <v>0</v>
      </c>
      <c r="N317" s="251">
        <v>7800</v>
      </c>
    </row>
    <row r="318" spans="1:14">
      <c r="A318" s="267" t="s">
        <v>648</v>
      </c>
      <c r="B318" s="268" t="s">
        <v>1062</v>
      </c>
      <c r="C318" s="231" t="s">
        <v>675</v>
      </c>
      <c r="D318" s="231" t="s">
        <v>676</v>
      </c>
      <c r="E318" s="231" t="s">
        <v>661</v>
      </c>
      <c r="F318" s="251">
        <v>3388.43</v>
      </c>
      <c r="G318" s="251">
        <v>0</v>
      </c>
      <c r="H318" s="231">
        <v>0</v>
      </c>
      <c r="I318" s="231">
        <v>0</v>
      </c>
      <c r="J318" s="231">
        <v>0</v>
      </c>
      <c r="K318" s="231">
        <v>711.57</v>
      </c>
      <c r="L318" s="231">
        <v>0</v>
      </c>
      <c r="M318" s="251">
        <v>0</v>
      </c>
      <c r="N318" s="251">
        <v>4100</v>
      </c>
    </row>
    <row r="319" spans="1:14">
      <c r="A319" s="267" t="s">
        <v>648</v>
      </c>
      <c r="B319" s="268" t="s">
        <v>1063</v>
      </c>
      <c r="C319" s="231" t="s">
        <v>675</v>
      </c>
      <c r="D319" s="231" t="s">
        <v>676</v>
      </c>
      <c r="E319" s="231" t="s">
        <v>661</v>
      </c>
      <c r="F319" s="251">
        <v>4132.2300000000005</v>
      </c>
      <c r="G319" s="251">
        <v>0</v>
      </c>
      <c r="H319" s="231">
        <v>0</v>
      </c>
      <c r="I319" s="231">
        <v>0</v>
      </c>
      <c r="J319" s="231">
        <v>0</v>
      </c>
      <c r="K319" s="231">
        <v>867.77</v>
      </c>
      <c r="L319" s="231">
        <v>0</v>
      </c>
      <c r="M319" s="251">
        <v>0</v>
      </c>
      <c r="N319" s="251">
        <v>5000</v>
      </c>
    </row>
    <row r="320" spans="1:14">
      <c r="A320" s="267" t="s">
        <v>648</v>
      </c>
      <c r="B320" s="268" t="s">
        <v>1064</v>
      </c>
      <c r="C320" s="231" t="s">
        <v>675</v>
      </c>
      <c r="D320" s="231" t="s">
        <v>676</v>
      </c>
      <c r="E320" s="231" t="s">
        <v>661</v>
      </c>
      <c r="F320" s="251">
        <v>8553.7199999999993</v>
      </c>
      <c r="G320" s="251">
        <v>0</v>
      </c>
      <c r="H320" s="231">
        <v>0</v>
      </c>
      <c r="I320" s="231">
        <v>0</v>
      </c>
      <c r="J320" s="231">
        <v>0</v>
      </c>
      <c r="K320" s="231">
        <v>1796.28</v>
      </c>
      <c r="L320" s="231">
        <v>0</v>
      </c>
      <c r="M320" s="251">
        <v>0</v>
      </c>
      <c r="N320" s="251">
        <v>10350</v>
      </c>
    </row>
    <row r="321" spans="1:14">
      <c r="A321" s="267" t="s">
        <v>648</v>
      </c>
      <c r="B321" s="268" t="s">
        <v>1065</v>
      </c>
      <c r="C321" s="231" t="s">
        <v>675</v>
      </c>
      <c r="D321" s="231" t="s">
        <v>676</v>
      </c>
      <c r="E321" s="231" t="s">
        <v>661</v>
      </c>
      <c r="F321" s="251">
        <v>4132.2300000000005</v>
      </c>
      <c r="G321" s="251">
        <v>0</v>
      </c>
      <c r="H321" s="231">
        <v>0</v>
      </c>
      <c r="I321" s="231">
        <v>0</v>
      </c>
      <c r="J321" s="231">
        <v>0</v>
      </c>
      <c r="K321" s="231">
        <v>867.77</v>
      </c>
      <c r="L321" s="231">
        <v>0</v>
      </c>
      <c r="M321" s="251">
        <v>0</v>
      </c>
      <c r="N321" s="251">
        <v>5000</v>
      </c>
    </row>
    <row r="322" spans="1:14">
      <c r="A322" s="267" t="s">
        <v>648</v>
      </c>
      <c r="B322" s="268" t="s">
        <v>1066</v>
      </c>
      <c r="C322" s="231" t="s">
        <v>675</v>
      </c>
      <c r="D322" s="231" t="s">
        <v>676</v>
      </c>
      <c r="E322" s="231" t="s">
        <v>661</v>
      </c>
      <c r="F322" s="251">
        <v>4132.2300000000005</v>
      </c>
      <c r="G322" s="251">
        <v>0</v>
      </c>
      <c r="H322" s="231">
        <v>0</v>
      </c>
      <c r="I322" s="231">
        <v>0</v>
      </c>
      <c r="J322" s="231">
        <v>0</v>
      </c>
      <c r="K322" s="231">
        <v>867.77</v>
      </c>
      <c r="L322" s="231">
        <v>0</v>
      </c>
      <c r="M322" s="251">
        <v>0</v>
      </c>
      <c r="N322" s="251">
        <v>5000</v>
      </c>
    </row>
    <row r="323" spans="1:14">
      <c r="A323" s="267" t="s">
        <v>648</v>
      </c>
      <c r="B323" s="268" t="s">
        <v>1067</v>
      </c>
      <c r="C323" s="231" t="s">
        <v>675</v>
      </c>
      <c r="D323" s="231" t="s">
        <v>676</v>
      </c>
      <c r="E323" s="231" t="s">
        <v>661</v>
      </c>
      <c r="F323" s="251">
        <v>3719.01</v>
      </c>
      <c r="G323" s="251">
        <v>0</v>
      </c>
      <c r="H323" s="231">
        <v>0</v>
      </c>
      <c r="I323" s="231">
        <v>0</v>
      </c>
      <c r="J323" s="231">
        <v>0</v>
      </c>
      <c r="K323" s="231">
        <v>780.99</v>
      </c>
      <c r="L323" s="231">
        <v>0</v>
      </c>
      <c r="M323" s="251">
        <v>0</v>
      </c>
      <c r="N323" s="251">
        <v>4500</v>
      </c>
    </row>
    <row r="324" spans="1:14">
      <c r="A324" s="267" t="s">
        <v>648</v>
      </c>
      <c r="B324" s="268" t="s">
        <v>1068</v>
      </c>
      <c r="C324" s="231" t="s">
        <v>675</v>
      </c>
      <c r="D324" s="231" t="s">
        <v>676</v>
      </c>
      <c r="E324" s="231" t="s">
        <v>661</v>
      </c>
      <c r="F324" s="251">
        <v>5537.19</v>
      </c>
      <c r="G324" s="251">
        <v>0</v>
      </c>
      <c r="H324" s="231">
        <v>0</v>
      </c>
      <c r="I324" s="231">
        <v>0</v>
      </c>
      <c r="J324" s="231">
        <v>0</v>
      </c>
      <c r="K324" s="231">
        <v>1162.81</v>
      </c>
      <c r="L324" s="231">
        <v>0</v>
      </c>
      <c r="M324" s="251">
        <v>0</v>
      </c>
      <c r="N324" s="251">
        <v>6700</v>
      </c>
    </row>
    <row r="325" spans="1:14">
      <c r="A325" s="267" t="s">
        <v>648</v>
      </c>
      <c r="B325" s="268" t="s">
        <v>1069</v>
      </c>
      <c r="C325" s="231" t="s">
        <v>675</v>
      </c>
      <c r="D325" s="231" t="s">
        <v>676</v>
      </c>
      <c r="E325" s="231" t="s">
        <v>661</v>
      </c>
      <c r="F325" s="251">
        <v>4793.3900000000003</v>
      </c>
      <c r="G325" s="251">
        <v>0</v>
      </c>
      <c r="H325" s="231">
        <v>0</v>
      </c>
      <c r="I325" s="231">
        <v>0</v>
      </c>
      <c r="J325" s="231">
        <v>0</v>
      </c>
      <c r="K325" s="231">
        <v>1006.61</v>
      </c>
      <c r="L325" s="231">
        <v>0</v>
      </c>
      <c r="M325" s="251">
        <v>0</v>
      </c>
      <c r="N325" s="251">
        <v>5800</v>
      </c>
    </row>
    <row r="326" spans="1:14">
      <c r="A326" s="267" t="s">
        <v>648</v>
      </c>
      <c r="B326" s="268" t="s">
        <v>1070</v>
      </c>
      <c r="C326" s="231" t="s">
        <v>675</v>
      </c>
      <c r="D326" s="231" t="s">
        <v>676</v>
      </c>
      <c r="E326" s="231" t="s">
        <v>661</v>
      </c>
      <c r="F326" s="251">
        <v>36363.64</v>
      </c>
      <c r="G326" s="251">
        <v>0</v>
      </c>
      <c r="H326" s="231">
        <v>0</v>
      </c>
      <c r="I326" s="231">
        <v>0</v>
      </c>
      <c r="J326" s="231">
        <v>0</v>
      </c>
      <c r="K326" s="231">
        <v>7636.36</v>
      </c>
      <c r="L326" s="231">
        <v>0</v>
      </c>
      <c r="M326" s="251">
        <v>0</v>
      </c>
      <c r="N326" s="251">
        <v>44000</v>
      </c>
    </row>
    <row r="327" spans="1:14">
      <c r="A327" s="267" t="s">
        <v>648</v>
      </c>
      <c r="B327" s="268" t="s">
        <v>1071</v>
      </c>
      <c r="C327" s="231" t="s">
        <v>675</v>
      </c>
      <c r="D327" s="231" t="s">
        <v>676</v>
      </c>
      <c r="E327" s="231" t="s">
        <v>661</v>
      </c>
      <c r="F327" s="251">
        <v>6280.99</v>
      </c>
      <c r="G327" s="251">
        <v>0</v>
      </c>
      <c r="H327" s="231">
        <v>0</v>
      </c>
      <c r="I327" s="231">
        <v>0</v>
      </c>
      <c r="J327" s="231">
        <v>0</v>
      </c>
      <c r="K327" s="231">
        <v>1319.01</v>
      </c>
      <c r="L327" s="231">
        <v>0</v>
      </c>
      <c r="M327" s="251">
        <v>0</v>
      </c>
      <c r="N327" s="251">
        <v>7600</v>
      </c>
    </row>
    <row r="328" spans="1:14">
      <c r="A328" s="267" t="s">
        <v>648</v>
      </c>
      <c r="B328" s="268" t="s">
        <v>1072</v>
      </c>
      <c r="C328" s="231" t="s">
        <v>675</v>
      </c>
      <c r="D328" s="231" t="s">
        <v>676</v>
      </c>
      <c r="E328" s="231" t="s">
        <v>661</v>
      </c>
      <c r="F328" s="251">
        <v>14462.81</v>
      </c>
      <c r="G328" s="251">
        <v>0</v>
      </c>
      <c r="H328" s="231">
        <v>0</v>
      </c>
      <c r="I328" s="231">
        <v>0</v>
      </c>
      <c r="J328" s="231">
        <v>0</v>
      </c>
      <c r="K328" s="231">
        <v>3037.19</v>
      </c>
      <c r="L328" s="231">
        <v>0</v>
      </c>
      <c r="M328" s="251">
        <v>0</v>
      </c>
      <c r="N328" s="251">
        <v>17500</v>
      </c>
    </row>
    <row r="329" spans="1:14">
      <c r="A329" s="267" t="s">
        <v>648</v>
      </c>
      <c r="B329" s="268" t="s">
        <v>1073</v>
      </c>
      <c r="C329" s="231" t="s">
        <v>675</v>
      </c>
      <c r="D329" s="231" t="s">
        <v>676</v>
      </c>
      <c r="E329" s="231" t="s">
        <v>661</v>
      </c>
      <c r="F329" s="251">
        <v>6942.15</v>
      </c>
      <c r="G329" s="251">
        <v>0</v>
      </c>
      <c r="H329" s="231">
        <v>0</v>
      </c>
      <c r="I329" s="231">
        <v>0</v>
      </c>
      <c r="J329" s="231">
        <v>0</v>
      </c>
      <c r="K329" s="231">
        <v>1457.85</v>
      </c>
      <c r="L329" s="231">
        <v>0</v>
      </c>
      <c r="M329" s="251">
        <v>0</v>
      </c>
      <c r="N329" s="251">
        <v>8400</v>
      </c>
    </row>
    <row r="330" spans="1:14">
      <c r="A330" s="267" t="s">
        <v>648</v>
      </c>
      <c r="B330" s="268" t="s">
        <v>1074</v>
      </c>
      <c r="C330" s="231" t="s">
        <v>675</v>
      </c>
      <c r="D330" s="231" t="s">
        <v>676</v>
      </c>
      <c r="E330" s="231" t="s">
        <v>661</v>
      </c>
      <c r="F330" s="251">
        <v>6033.06</v>
      </c>
      <c r="G330" s="251">
        <v>0</v>
      </c>
      <c r="H330" s="231">
        <v>0</v>
      </c>
      <c r="I330" s="231">
        <v>0</v>
      </c>
      <c r="J330" s="231">
        <v>0</v>
      </c>
      <c r="K330" s="231">
        <v>1266.94</v>
      </c>
      <c r="L330" s="231">
        <v>0</v>
      </c>
      <c r="M330" s="251">
        <v>0</v>
      </c>
      <c r="N330" s="251">
        <v>7300</v>
      </c>
    </row>
    <row r="331" spans="1:14">
      <c r="A331" s="267" t="s">
        <v>648</v>
      </c>
      <c r="B331" s="268" t="s">
        <v>1075</v>
      </c>
      <c r="C331" s="231" t="s">
        <v>675</v>
      </c>
      <c r="D331" s="231" t="s">
        <v>676</v>
      </c>
      <c r="E331" s="231" t="s">
        <v>661</v>
      </c>
      <c r="F331" s="251">
        <v>14049.59</v>
      </c>
      <c r="G331" s="251">
        <v>0</v>
      </c>
      <c r="H331" s="231">
        <v>0</v>
      </c>
      <c r="I331" s="231">
        <v>0</v>
      </c>
      <c r="J331" s="231">
        <v>0</v>
      </c>
      <c r="K331" s="231">
        <v>2950.41</v>
      </c>
      <c r="L331" s="231">
        <v>0</v>
      </c>
      <c r="M331" s="251">
        <v>0</v>
      </c>
      <c r="N331" s="251">
        <v>17000</v>
      </c>
    </row>
    <row r="332" spans="1:14">
      <c r="A332" s="267" t="s">
        <v>648</v>
      </c>
      <c r="B332" s="268" t="s">
        <v>1076</v>
      </c>
      <c r="C332" s="231" t="s">
        <v>675</v>
      </c>
      <c r="D332" s="231" t="s">
        <v>676</v>
      </c>
      <c r="E332" s="231" t="s">
        <v>661</v>
      </c>
      <c r="F332" s="251">
        <v>3925.62</v>
      </c>
      <c r="G332" s="251">
        <v>0</v>
      </c>
      <c r="H332" s="231">
        <v>0</v>
      </c>
      <c r="I332" s="231">
        <v>0</v>
      </c>
      <c r="J332" s="231">
        <v>0</v>
      </c>
      <c r="K332" s="231">
        <v>824.38</v>
      </c>
      <c r="L332" s="231">
        <v>0</v>
      </c>
      <c r="M332" s="251">
        <v>0</v>
      </c>
      <c r="N332" s="251">
        <v>4750</v>
      </c>
    </row>
    <row r="333" spans="1:14">
      <c r="A333" s="267" t="s">
        <v>648</v>
      </c>
      <c r="B333" s="268" t="s">
        <v>1077</v>
      </c>
      <c r="C333" s="231" t="s">
        <v>675</v>
      </c>
      <c r="D333" s="231" t="s">
        <v>676</v>
      </c>
      <c r="E333" s="231" t="s">
        <v>661</v>
      </c>
      <c r="F333" s="251">
        <v>2842.98</v>
      </c>
      <c r="G333" s="251">
        <v>0</v>
      </c>
      <c r="H333" s="231">
        <v>0</v>
      </c>
      <c r="I333" s="231">
        <v>0</v>
      </c>
      <c r="J333" s="231">
        <v>0</v>
      </c>
      <c r="K333" s="231">
        <v>597.02</v>
      </c>
      <c r="L333" s="231">
        <v>0</v>
      </c>
      <c r="M333" s="251">
        <v>0</v>
      </c>
      <c r="N333" s="251">
        <v>3440</v>
      </c>
    </row>
    <row r="334" spans="1:14">
      <c r="A334" s="267" t="s">
        <v>648</v>
      </c>
      <c r="B334" s="268" t="s">
        <v>1078</v>
      </c>
      <c r="C334" s="231" t="s">
        <v>1079</v>
      </c>
      <c r="D334" s="231" t="s">
        <v>676</v>
      </c>
      <c r="E334" s="231">
        <v>12453213</v>
      </c>
      <c r="F334" s="251">
        <v>9917.36</v>
      </c>
      <c r="G334" s="251">
        <v>0</v>
      </c>
      <c r="H334" s="231">
        <v>0</v>
      </c>
      <c r="I334" s="231">
        <v>0</v>
      </c>
      <c r="J334" s="231">
        <v>0</v>
      </c>
      <c r="K334" s="231">
        <v>2082.64</v>
      </c>
      <c r="L334" s="231">
        <v>0</v>
      </c>
      <c r="M334" s="251">
        <v>0</v>
      </c>
      <c r="N334" s="251">
        <v>12000</v>
      </c>
    </row>
    <row r="335" spans="1:14">
      <c r="A335" s="267" t="s">
        <v>648</v>
      </c>
      <c r="B335" s="268" t="s">
        <v>1080</v>
      </c>
      <c r="C335" s="231" t="s">
        <v>1081</v>
      </c>
      <c r="D335" s="231" t="s">
        <v>676</v>
      </c>
      <c r="E335" s="231">
        <v>24448662</v>
      </c>
      <c r="F335" s="251">
        <v>7685.95</v>
      </c>
      <c r="G335" s="251">
        <v>0</v>
      </c>
      <c r="H335" s="231">
        <v>0</v>
      </c>
      <c r="I335" s="231">
        <v>0</v>
      </c>
      <c r="J335" s="231">
        <v>0</v>
      </c>
      <c r="K335" s="231">
        <v>1614.05</v>
      </c>
      <c r="L335" s="231">
        <v>0</v>
      </c>
      <c r="M335" s="251">
        <v>0</v>
      </c>
      <c r="N335" s="251">
        <v>9300</v>
      </c>
    </row>
    <row r="336" spans="1:14">
      <c r="A336" s="267" t="s">
        <v>648</v>
      </c>
      <c r="B336" s="268" t="s">
        <v>1082</v>
      </c>
      <c r="C336" s="231" t="s">
        <v>1083</v>
      </c>
      <c r="D336" s="231" t="s">
        <v>676</v>
      </c>
      <c r="E336" s="231">
        <v>11383159</v>
      </c>
      <c r="F336" s="251">
        <v>19834.7</v>
      </c>
      <c r="G336" s="251">
        <v>0</v>
      </c>
      <c r="H336" s="231">
        <v>0</v>
      </c>
      <c r="I336" s="231">
        <v>0</v>
      </c>
      <c r="J336" s="231">
        <v>0</v>
      </c>
      <c r="K336" s="231">
        <v>4165.3</v>
      </c>
      <c r="L336" s="231">
        <v>0</v>
      </c>
      <c r="M336" s="251">
        <v>0</v>
      </c>
      <c r="N336" s="251">
        <v>24000</v>
      </c>
    </row>
    <row r="337" spans="1:14">
      <c r="A337" s="267" t="s">
        <v>648</v>
      </c>
      <c r="B337" s="268" t="s">
        <v>1084</v>
      </c>
      <c r="C337" s="231" t="s">
        <v>1085</v>
      </c>
      <c r="D337" s="231" t="s">
        <v>676</v>
      </c>
      <c r="E337" s="231">
        <v>3955768</v>
      </c>
      <c r="F337" s="251">
        <v>3677.69</v>
      </c>
      <c r="G337" s="251">
        <v>0</v>
      </c>
      <c r="H337" s="231">
        <v>0</v>
      </c>
      <c r="I337" s="231">
        <v>0</v>
      </c>
      <c r="J337" s="231">
        <v>0</v>
      </c>
      <c r="K337" s="231">
        <v>772.31</v>
      </c>
      <c r="L337" s="231">
        <v>0</v>
      </c>
      <c r="M337" s="251">
        <v>0</v>
      </c>
      <c r="N337" s="251">
        <v>4450</v>
      </c>
    </row>
    <row r="338" spans="1:14">
      <c r="A338" s="267" t="s">
        <v>648</v>
      </c>
      <c r="B338" s="268" t="s">
        <v>1086</v>
      </c>
      <c r="C338" s="231" t="s">
        <v>1085</v>
      </c>
      <c r="D338" s="231" t="s">
        <v>676</v>
      </c>
      <c r="E338" s="231">
        <v>3955768</v>
      </c>
      <c r="F338" s="251">
        <v>1487.6</v>
      </c>
      <c r="G338" s="251">
        <v>0</v>
      </c>
      <c r="H338" s="231">
        <v>0</v>
      </c>
      <c r="I338" s="231">
        <v>0</v>
      </c>
      <c r="J338" s="231">
        <v>0</v>
      </c>
      <c r="K338" s="231">
        <v>312.40000000000003</v>
      </c>
      <c r="L338" s="231">
        <v>0</v>
      </c>
      <c r="M338" s="251">
        <v>0</v>
      </c>
      <c r="N338" s="251">
        <v>1800</v>
      </c>
    </row>
    <row r="339" spans="1:14">
      <c r="A339" s="267" t="s">
        <v>648</v>
      </c>
      <c r="B339" s="268" t="s">
        <v>1087</v>
      </c>
      <c r="C339" s="231" t="s">
        <v>1088</v>
      </c>
      <c r="D339" s="231" t="s">
        <v>676</v>
      </c>
      <c r="E339" s="231">
        <v>28692323</v>
      </c>
      <c r="F339" s="251">
        <v>12727.27</v>
      </c>
      <c r="G339" s="251">
        <v>0</v>
      </c>
      <c r="H339" s="231">
        <v>0</v>
      </c>
      <c r="I339" s="231">
        <v>0</v>
      </c>
      <c r="J339" s="231">
        <v>0</v>
      </c>
      <c r="K339" s="231">
        <v>2672.73</v>
      </c>
      <c r="L339" s="231">
        <v>0</v>
      </c>
      <c r="M339" s="251">
        <v>0</v>
      </c>
      <c r="N339" s="251">
        <v>15400</v>
      </c>
    </row>
    <row r="340" spans="1:14">
      <c r="A340" s="267" t="s">
        <v>648</v>
      </c>
      <c r="B340" s="268" t="s">
        <v>1089</v>
      </c>
      <c r="C340" s="231" t="s">
        <v>1090</v>
      </c>
      <c r="D340" s="231" t="s">
        <v>676</v>
      </c>
      <c r="E340" s="231">
        <v>3633986</v>
      </c>
      <c r="F340" s="251">
        <v>5537.19</v>
      </c>
      <c r="G340" s="251">
        <v>0</v>
      </c>
      <c r="H340" s="231">
        <v>0</v>
      </c>
      <c r="I340" s="231">
        <v>0</v>
      </c>
      <c r="J340" s="231">
        <v>0</v>
      </c>
      <c r="K340" s="231">
        <v>1162.81</v>
      </c>
      <c r="L340" s="231">
        <v>0</v>
      </c>
      <c r="M340" s="251">
        <v>0</v>
      </c>
      <c r="N340" s="251">
        <v>6700</v>
      </c>
    </row>
    <row r="341" spans="1:14">
      <c r="A341" s="267" t="s">
        <v>648</v>
      </c>
      <c r="B341" s="268" t="s">
        <v>1091</v>
      </c>
      <c r="C341" s="231" t="s">
        <v>1092</v>
      </c>
      <c r="D341" s="231" t="s">
        <v>676</v>
      </c>
      <c r="E341" s="231">
        <v>30206585</v>
      </c>
      <c r="F341" s="251">
        <v>5950.41</v>
      </c>
      <c r="G341" s="251">
        <v>0</v>
      </c>
      <c r="H341" s="231">
        <v>0</v>
      </c>
      <c r="I341" s="231">
        <v>0</v>
      </c>
      <c r="J341" s="231">
        <v>0</v>
      </c>
      <c r="K341" s="231">
        <v>1249.5899999999999</v>
      </c>
      <c r="L341" s="231">
        <v>0</v>
      </c>
      <c r="M341" s="251">
        <v>0</v>
      </c>
      <c r="N341" s="251">
        <v>7200</v>
      </c>
    </row>
    <row r="342" spans="1:14">
      <c r="A342" s="267" t="s">
        <v>648</v>
      </c>
      <c r="B342" s="268" t="s">
        <v>1093</v>
      </c>
      <c r="C342" s="231" t="s">
        <v>1094</v>
      </c>
      <c r="D342" s="231" t="s">
        <v>676</v>
      </c>
      <c r="E342" s="231">
        <v>16481086</v>
      </c>
      <c r="F342" s="251">
        <v>8099.18</v>
      </c>
      <c r="G342" s="251">
        <v>0</v>
      </c>
      <c r="H342" s="231">
        <v>0</v>
      </c>
      <c r="I342" s="231">
        <v>0</v>
      </c>
      <c r="J342" s="231">
        <v>0</v>
      </c>
      <c r="K342" s="231">
        <v>1700.82</v>
      </c>
      <c r="L342" s="231">
        <v>0</v>
      </c>
      <c r="M342" s="251">
        <v>0</v>
      </c>
      <c r="N342" s="251">
        <v>9800</v>
      </c>
    </row>
    <row r="343" spans="1:14">
      <c r="A343" s="267" t="s">
        <v>649</v>
      </c>
      <c r="B343" s="268" t="s">
        <v>1095</v>
      </c>
      <c r="C343" s="231" t="s">
        <v>675</v>
      </c>
      <c r="D343" s="231" t="s">
        <v>676</v>
      </c>
      <c r="E343" s="231" t="s">
        <v>661</v>
      </c>
      <c r="F343" s="251">
        <v>7851.24</v>
      </c>
      <c r="G343" s="251">
        <v>0</v>
      </c>
      <c r="H343" s="231">
        <v>0</v>
      </c>
      <c r="I343" s="231">
        <v>0</v>
      </c>
      <c r="J343" s="231">
        <v>0</v>
      </c>
      <c r="K343" s="231">
        <v>1648.76</v>
      </c>
      <c r="L343" s="231">
        <v>0</v>
      </c>
      <c r="M343" s="251">
        <v>0</v>
      </c>
      <c r="N343" s="251">
        <v>9500</v>
      </c>
    </row>
    <row r="344" spans="1:14">
      <c r="A344" s="267" t="s">
        <v>649</v>
      </c>
      <c r="B344" s="268" t="s">
        <v>1096</v>
      </c>
      <c r="C344" s="231" t="s">
        <v>1097</v>
      </c>
      <c r="D344" s="231" t="s">
        <v>676</v>
      </c>
      <c r="E344" s="231">
        <v>38622353</v>
      </c>
      <c r="F344" s="251">
        <v>13884.3</v>
      </c>
      <c r="G344" s="251">
        <v>0</v>
      </c>
      <c r="H344" s="231">
        <v>0</v>
      </c>
      <c r="I344" s="231">
        <v>0</v>
      </c>
      <c r="J344" s="231">
        <v>0</v>
      </c>
      <c r="K344" s="231">
        <v>2915.7</v>
      </c>
      <c r="L344" s="231">
        <v>0</v>
      </c>
      <c r="M344" s="251">
        <v>0</v>
      </c>
      <c r="N344" s="251">
        <v>16800</v>
      </c>
    </row>
    <row r="345" spans="1:14">
      <c r="A345" s="267" t="s">
        <v>649</v>
      </c>
      <c r="B345" s="268" t="s">
        <v>1098</v>
      </c>
      <c r="C345" s="231" t="s">
        <v>675</v>
      </c>
      <c r="D345" s="231" t="s">
        <v>676</v>
      </c>
      <c r="E345" s="231" t="s">
        <v>661</v>
      </c>
      <c r="F345" s="251">
        <v>4132.2300000000005</v>
      </c>
      <c r="G345" s="251">
        <v>0</v>
      </c>
      <c r="H345" s="231">
        <v>0</v>
      </c>
      <c r="I345" s="231">
        <v>0</v>
      </c>
      <c r="J345" s="231">
        <v>0</v>
      </c>
      <c r="K345" s="231">
        <v>867.77</v>
      </c>
      <c r="L345" s="231">
        <v>0</v>
      </c>
      <c r="M345" s="251">
        <v>0</v>
      </c>
      <c r="N345" s="251">
        <v>5000</v>
      </c>
    </row>
    <row r="346" spans="1:14">
      <c r="A346" s="267" t="s">
        <v>649</v>
      </c>
      <c r="B346" s="268" t="s">
        <v>1099</v>
      </c>
      <c r="C346" s="231" t="s">
        <v>675</v>
      </c>
      <c r="D346" s="231" t="s">
        <v>676</v>
      </c>
      <c r="E346" s="231" t="s">
        <v>661</v>
      </c>
      <c r="F346" s="251">
        <v>8264.4600000000009</v>
      </c>
      <c r="G346" s="251">
        <v>0</v>
      </c>
      <c r="H346" s="231">
        <v>0</v>
      </c>
      <c r="I346" s="231">
        <v>0</v>
      </c>
      <c r="J346" s="231">
        <v>0</v>
      </c>
      <c r="K346" s="231">
        <v>1735.54</v>
      </c>
      <c r="L346" s="231">
        <v>0</v>
      </c>
      <c r="M346" s="251">
        <v>0</v>
      </c>
      <c r="N346" s="251">
        <v>10000</v>
      </c>
    </row>
    <row r="347" spans="1:14">
      <c r="A347" s="267" t="s">
        <v>649</v>
      </c>
      <c r="B347" s="268" t="s">
        <v>1100</v>
      </c>
      <c r="C347" s="231" t="s">
        <v>675</v>
      </c>
      <c r="D347" s="231" t="s">
        <v>676</v>
      </c>
      <c r="E347" s="231" t="s">
        <v>661</v>
      </c>
      <c r="F347" s="251">
        <v>1074.3800000000001</v>
      </c>
      <c r="G347" s="251">
        <v>0</v>
      </c>
      <c r="H347" s="231">
        <v>0</v>
      </c>
      <c r="I347" s="231">
        <v>0</v>
      </c>
      <c r="J347" s="231">
        <v>0</v>
      </c>
      <c r="K347" s="231">
        <v>225.62</v>
      </c>
      <c r="L347" s="231">
        <v>0</v>
      </c>
      <c r="M347" s="251">
        <v>0</v>
      </c>
      <c r="N347" s="251">
        <v>1300</v>
      </c>
    </row>
    <row r="348" spans="1:14">
      <c r="A348" s="267" t="s">
        <v>649</v>
      </c>
      <c r="B348" s="268" t="s">
        <v>1101</v>
      </c>
      <c r="C348" s="231" t="s">
        <v>675</v>
      </c>
      <c r="D348" s="231" t="s">
        <v>676</v>
      </c>
      <c r="E348" s="231" t="s">
        <v>661</v>
      </c>
      <c r="F348" s="251">
        <v>3884.3</v>
      </c>
      <c r="G348" s="251">
        <v>0</v>
      </c>
      <c r="H348" s="231">
        <v>0</v>
      </c>
      <c r="I348" s="231">
        <v>0</v>
      </c>
      <c r="J348" s="231">
        <v>0</v>
      </c>
      <c r="K348" s="231">
        <v>815.7</v>
      </c>
      <c r="L348" s="231">
        <v>0</v>
      </c>
      <c r="M348" s="251">
        <v>0</v>
      </c>
      <c r="N348" s="251">
        <v>4700</v>
      </c>
    </row>
    <row r="349" spans="1:14">
      <c r="A349" s="267" t="s">
        <v>649</v>
      </c>
      <c r="B349" s="268" t="s">
        <v>1102</v>
      </c>
      <c r="C349" s="231" t="s">
        <v>675</v>
      </c>
      <c r="D349" s="231" t="s">
        <v>676</v>
      </c>
      <c r="E349" s="231" t="s">
        <v>661</v>
      </c>
      <c r="F349" s="251">
        <v>3719.01</v>
      </c>
      <c r="G349" s="251">
        <v>0</v>
      </c>
      <c r="H349" s="231">
        <v>0</v>
      </c>
      <c r="I349" s="231">
        <v>0</v>
      </c>
      <c r="J349" s="231">
        <v>0</v>
      </c>
      <c r="K349" s="231">
        <v>780.99</v>
      </c>
      <c r="L349" s="231">
        <v>0</v>
      </c>
      <c r="M349" s="251">
        <v>0</v>
      </c>
      <c r="N349" s="251">
        <v>4500</v>
      </c>
    </row>
    <row r="350" spans="1:14">
      <c r="A350" s="267" t="s">
        <v>649</v>
      </c>
      <c r="B350" s="268" t="s">
        <v>1103</v>
      </c>
      <c r="C350" s="231" t="s">
        <v>675</v>
      </c>
      <c r="D350" s="231" t="s">
        <v>676</v>
      </c>
      <c r="E350" s="231" t="s">
        <v>661</v>
      </c>
      <c r="F350" s="251">
        <v>29404.959999999999</v>
      </c>
      <c r="G350" s="251">
        <v>0</v>
      </c>
      <c r="H350" s="231">
        <v>0</v>
      </c>
      <c r="I350" s="231">
        <v>0</v>
      </c>
      <c r="J350" s="231">
        <v>0</v>
      </c>
      <c r="K350" s="231">
        <v>6175.04</v>
      </c>
      <c r="L350" s="231">
        <v>0</v>
      </c>
      <c r="M350" s="251">
        <v>0</v>
      </c>
      <c r="N350" s="251">
        <v>35580</v>
      </c>
    </row>
    <row r="351" spans="1:14">
      <c r="A351" s="267" t="s">
        <v>649</v>
      </c>
      <c r="B351" s="268" t="s">
        <v>1104</v>
      </c>
      <c r="C351" s="231" t="s">
        <v>675</v>
      </c>
      <c r="D351" s="231" t="s">
        <v>676</v>
      </c>
      <c r="E351" s="231" t="s">
        <v>661</v>
      </c>
      <c r="F351" s="251">
        <v>7851.24</v>
      </c>
      <c r="G351" s="251">
        <v>0</v>
      </c>
      <c r="H351" s="231">
        <v>0</v>
      </c>
      <c r="I351" s="231">
        <v>0</v>
      </c>
      <c r="J351" s="231">
        <v>0</v>
      </c>
      <c r="K351" s="231">
        <v>1648.76</v>
      </c>
      <c r="L351" s="231">
        <v>0</v>
      </c>
      <c r="M351" s="251">
        <v>0</v>
      </c>
      <c r="N351" s="251">
        <v>9500</v>
      </c>
    </row>
    <row r="352" spans="1:14">
      <c r="A352" s="267" t="s">
        <v>649</v>
      </c>
      <c r="B352" s="268" t="s">
        <v>1105</v>
      </c>
      <c r="C352" s="231" t="s">
        <v>1106</v>
      </c>
      <c r="D352" s="231" t="s">
        <v>676</v>
      </c>
      <c r="E352" s="231">
        <v>14247119</v>
      </c>
      <c r="F352" s="251">
        <v>9421.49</v>
      </c>
      <c r="G352" s="251">
        <v>0</v>
      </c>
      <c r="H352" s="231">
        <v>0</v>
      </c>
      <c r="I352" s="231">
        <v>0</v>
      </c>
      <c r="J352" s="231">
        <v>0</v>
      </c>
      <c r="K352" s="231">
        <v>1978.51</v>
      </c>
      <c r="L352" s="231">
        <v>0</v>
      </c>
      <c r="M352" s="251">
        <v>0</v>
      </c>
      <c r="N352" s="251">
        <v>11400</v>
      </c>
    </row>
    <row r="353" spans="1:14">
      <c r="A353" s="267" t="s">
        <v>649</v>
      </c>
      <c r="B353" s="268" t="s">
        <v>1107</v>
      </c>
      <c r="C353" s="231" t="s">
        <v>675</v>
      </c>
      <c r="D353" s="231" t="s">
        <v>676</v>
      </c>
      <c r="E353" s="231" t="s">
        <v>661</v>
      </c>
      <c r="F353" s="251">
        <v>3925.62</v>
      </c>
      <c r="G353" s="251">
        <v>0</v>
      </c>
      <c r="H353" s="231">
        <v>0</v>
      </c>
      <c r="I353" s="231">
        <v>0</v>
      </c>
      <c r="J353" s="231">
        <v>0</v>
      </c>
      <c r="K353" s="231">
        <v>824.38</v>
      </c>
      <c r="L353" s="231">
        <v>0</v>
      </c>
      <c r="M353" s="251">
        <v>0</v>
      </c>
      <c r="N353" s="251">
        <v>4750</v>
      </c>
    </row>
    <row r="354" spans="1:14">
      <c r="A354" s="267" t="s">
        <v>649</v>
      </c>
      <c r="B354" s="268" t="s">
        <v>1108</v>
      </c>
      <c r="C354" s="231" t="s">
        <v>675</v>
      </c>
      <c r="D354" s="231" t="s">
        <v>676</v>
      </c>
      <c r="E354" s="231" t="s">
        <v>661</v>
      </c>
      <c r="F354" s="251">
        <v>4132.2300000000005</v>
      </c>
      <c r="G354" s="251">
        <v>0</v>
      </c>
      <c r="H354" s="231">
        <v>0</v>
      </c>
      <c r="I354" s="231">
        <v>0</v>
      </c>
      <c r="J354" s="231">
        <v>0</v>
      </c>
      <c r="K354" s="231">
        <v>867.77</v>
      </c>
      <c r="L354" s="231">
        <v>0</v>
      </c>
      <c r="M354" s="251">
        <v>0</v>
      </c>
      <c r="N354" s="251">
        <v>5000</v>
      </c>
    </row>
    <row r="355" spans="1:14">
      <c r="A355" s="267" t="s">
        <v>649</v>
      </c>
      <c r="B355" s="268" t="s">
        <v>1109</v>
      </c>
      <c r="C355" s="231" t="s">
        <v>675</v>
      </c>
      <c r="D355" s="231" t="s">
        <v>676</v>
      </c>
      <c r="E355" s="231" t="s">
        <v>661</v>
      </c>
      <c r="F355" s="251">
        <v>6938.02</v>
      </c>
      <c r="G355" s="251">
        <v>0</v>
      </c>
      <c r="H355" s="231">
        <v>0</v>
      </c>
      <c r="I355" s="231">
        <v>0</v>
      </c>
      <c r="J355" s="231">
        <v>0</v>
      </c>
      <c r="K355" s="231">
        <v>1456.98</v>
      </c>
      <c r="L355" s="231">
        <v>0</v>
      </c>
      <c r="M355" s="251">
        <v>0</v>
      </c>
      <c r="N355" s="251">
        <v>8395</v>
      </c>
    </row>
    <row r="356" spans="1:14">
      <c r="A356" s="267" t="s">
        <v>649</v>
      </c>
      <c r="B356" s="268" t="s">
        <v>1110</v>
      </c>
      <c r="C356" s="231" t="s">
        <v>675</v>
      </c>
      <c r="D356" s="231" t="s">
        <v>676</v>
      </c>
      <c r="E356" s="231" t="s">
        <v>661</v>
      </c>
      <c r="F356" s="251">
        <v>19115.7</v>
      </c>
      <c r="G356" s="251">
        <v>0</v>
      </c>
      <c r="H356" s="231">
        <v>0</v>
      </c>
      <c r="I356" s="231">
        <v>0</v>
      </c>
      <c r="J356" s="231">
        <v>0</v>
      </c>
      <c r="K356" s="231">
        <v>4014.3</v>
      </c>
      <c r="L356" s="231">
        <v>0</v>
      </c>
      <c r="M356" s="251">
        <v>0</v>
      </c>
      <c r="N356" s="251">
        <v>23130</v>
      </c>
    </row>
    <row r="357" spans="1:14">
      <c r="A357" s="267" t="s">
        <v>649</v>
      </c>
      <c r="B357" s="268" t="s">
        <v>1111</v>
      </c>
      <c r="C357" s="231" t="s">
        <v>675</v>
      </c>
      <c r="D357" s="231" t="s">
        <v>676</v>
      </c>
      <c r="E357" s="231" t="s">
        <v>661</v>
      </c>
      <c r="F357" s="251">
        <v>5785.12</v>
      </c>
      <c r="G357" s="251">
        <v>0</v>
      </c>
      <c r="H357" s="231">
        <v>0</v>
      </c>
      <c r="I357" s="231">
        <v>0</v>
      </c>
      <c r="J357" s="231">
        <v>0</v>
      </c>
      <c r="K357" s="231">
        <v>1214.8800000000001</v>
      </c>
      <c r="L357" s="231">
        <v>0</v>
      </c>
      <c r="M357" s="251">
        <v>0</v>
      </c>
      <c r="N357" s="251">
        <v>7000</v>
      </c>
    </row>
    <row r="358" spans="1:14">
      <c r="A358" s="267" t="s">
        <v>649</v>
      </c>
      <c r="B358" s="268" t="s">
        <v>1112</v>
      </c>
      <c r="C358" s="231" t="s">
        <v>675</v>
      </c>
      <c r="D358" s="231" t="s">
        <v>676</v>
      </c>
      <c r="E358" s="231" t="s">
        <v>661</v>
      </c>
      <c r="F358" s="251">
        <v>9917.36</v>
      </c>
      <c r="G358" s="251">
        <v>0</v>
      </c>
      <c r="H358" s="231">
        <v>0</v>
      </c>
      <c r="I358" s="231">
        <v>0</v>
      </c>
      <c r="J358" s="231">
        <v>0</v>
      </c>
      <c r="K358" s="231">
        <v>2082.64</v>
      </c>
      <c r="L358" s="231">
        <v>0</v>
      </c>
      <c r="M358" s="251">
        <v>0</v>
      </c>
      <c r="N358" s="251">
        <v>12000</v>
      </c>
    </row>
    <row r="359" spans="1:14">
      <c r="A359" s="267" t="s">
        <v>649</v>
      </c>
      <c r="B359" s="268" t="s">
        <v>1113</v>
      </c>
      <c r="C359" s="231" t="s">
        <v>675</v>
      </c>
      <c r="D359" s="231" t="s">
        <v>676</v>
      </c>
      <c r="E359" s="231" t="s">
        <v>661</v>
      </c>
      <c r="F359" s="251">
        <v>14462.81</v>
      </c>
      <c r="G359" s="251">
        <v>0</v>
      </c>
      <c r="H359" s="231">
        <v>0</v>
      </c>
      <c r="I359" s="231">
        <v>0</v>
      </c>
      <c r="J359" s="231">
        <v>0</v>
      </c>
      <c r="K359" s="231">
        <v>3037.19</v>
      </c>
      <c r="L359" s="231">
        <v>0</v>
      </c>
      <c r="M359" s="251">
        <v>0</v>
      </c>
      <c r="N359" s="251">
        <v>17500</v>
      </c>
    </row>
    <row r="360" spans="1:14">
      <c r="A360" s="267" t="s">
        <v>649</v>
      </c>
      <c r="B360" s="268" t="s">
        <v>1114</v>
      </c>
      <c r="C360" s="231" t="s">
        <v>675</v>
      </c>
      <c r="D360" s="231" t="s">
        <v>676</v>
      </c>
      <c r="E360" s="231" t="s">
        <v>661</v>
      </c>
      <c r="F360" s="251">
        <v>3305.79</v>
      </c>
      <c r="G360" s="251">
        <v>0</v>
      </c>
      <c r="H360" s="231">
        <v>0</v>
      </c>
      <c r="I360" s="231">
        <v>0</v>
      </c>
      <c r="J360" s="231">
        <v>0</v>
      </c>
      <c r="K360" s="231">
        <v>694.21</v>
      </c>
      <c r="L360" s="231">
        <v>0</v>
      </c>
      <c r="M360" s="251">
        <v>0</v>
      </c>
      <c r="N360" s="251">
        <v>4000</v>
      </c>
    </row>
    <row r="361" spans="1:14">
      <c r="A361" s="267" t="s">
        <v>649</v>
      </c>
      <c r="B361" s="268" t="s">
        <v>1115</v>
      </c>
      <c r="C361" s="231" t="s">
        <v>675</v>
      </c>
      <c r="D361" s="231" t="s">
        <v>676</v>
      </c>
      <c r="E361" s="231" t="s">
        <v>661</v>
      </c>
      <c r="F361" s="251">
        <v>9917.36</v>
      </c>
      <c r="G361" s="251">
        <v>0</v>
      </c>
      <c r="H361" s="231">
        <v>0</v>
      </c>
      <c r="I361" s="231">
        <v>0</v>
      </c>
      <c r="J361" s="231">
        <v>0</v>
      </c>
      <c r="K361" s="231">
        <v>2082.64</v>
      </c>
      <c r="L361" s="231">
        <v>0</v>
      </c>
      <c r="M361" s="251">
        <v>0</v>
      </c>
      <c r="N361" s="251">
        <v>12000</v>
      </c>
    </row>
    <row r="362" spans="1:14">
      <c r="A362" s="267" t="s">
        <v>649</v>
      </c>
      <c r="B362" s="268" t="s">
        <v>1116</v>
      </c>
      <c r="C362" s="231" t="s">
        <v>675</v>
      </c>
      <c r="D362" s="231" t="s">
        <v>676</v>
      </c>
      <c r="E362" s="231" t="s">
        <v>661</v>
      </c>
      <c r="F362" s="251">
        <v>6938.02</v>
      </c>
      <c r="G362" s="251">
        <v>0</v>
      </c>
      <c r="H362" s="231">
        <v>0</v>
      </c>
      <c r="I362" s="231">
        <v>0</v>
      </c>
      <c r="J362" s="231">
        <v>0</v>
      </c>
      <c r="K362" s="231">
        <v>1456.98</v>
      </c>
      <c r="L362" s="231">
        <v>0</v>
      </c>
      <c r="M362" s="251">
        <v>0</v>
      </c>
      <c r="N362" s="251">
        <v>8395</v>
      </c>
    </row>
    <row r="363" spans="1:14">
      <c r="A363" s="267" t="s">
        <v>649</v>
      </c>
      <c r="B363" s="268" t="s">
        <v>1117</v>
      </c>
      <c r="C363" s="231" t="s">
        <v>675</v>
      </c>
      <c r="D363" s="231" t="s">
        <v>676</v>
      </c>
      <c r="E363" s="231" t="s">
        <v>661</v>
      </c>
      <c r="F363" s="251">
        <v>6033.06</v>
      </c>
      <c r="G363" s="251">
        <v>0</v>
      </c>
      <c r="H363" s="231">
        <v>0</v>
      </c>
      <c r="I363" s="231">
        <v>0</v>
      </c>
      <c r="J363" s="231">
        <v>0</v>
      </c>
      <c r="K363" s="231">
        <v>1266.94</v>
      </c>
      <c r="L363" s="231">
        <v>0</v>
      </c>
      <c r="M363" s="251">
        <v>0</v>
      </c>
      <c r="N363" s="251">
        <v>7300</v>
      </c>
    </row>
    <row r="364" spans="1:14">
      <c r="A364" s="267" t="s">
        <v>649</v>
      </c>
      <c r="B364" s="268" t="s">
        <v>1118</v>
      </c>
      <c r="C364" s="231" t="s">
        <v>675</v>
      </c>
      <c r="D364" s="231" t="s">
        <v>676</v>
      </c>
      <c r="E364" s="231" t="s">
        <v>661</v>
      </c>
      <c r="F364" s="251">
        <v>7851.24</v>
      </c>
      <c r="G364" s="251">
        <v>0</v>
      </c>
      <c r="H364" s="231">
        <v>0</v>
      </c>
      <c r="I364" s="231">
        <v>0</v>
      </c>
      <c r="J364" s="231">
        <v>0</v>
      </c>
      <c r="K364" s="231">
        <v>1648.76</v>
      </c>
      <c r="L364" s="231">
        <v>0</v>
      </c>
      <c r="M364" s="251">
        <v>0</v>
      </c>
      <c r="N364" s="251">
        <v>9500</v>
      </c>
    </row>
    <row r="365" spans="1:14">
      <c r="A365" s="267" t="s">
        <v>649</v>
      </c>
      <c r="B365" s="268" t="s">
        <v>1119</v>
      </c>
      <c r="C365" s="231" t="s">
        <v>675</v>
      </c>
      <c r="D365" s="231" t="s">
        <v>676</v>
      </c>
      <c r="E365" s="231" t="s">
        <v>661</v>
      </c>
      <c r="F365" s="251">
        <v>4132.2300000000005</v>
      </c>
      <c r="G365" s="251">
        <v>0</v>
      </c>
      <c r="H365" s="231">
        <v>0</v>
      </c>
      <c r="I365" s="231">
        <v>0</v>
      </c>
      <c r="J365" s="231">
        <v>0</v>
      </c>
      <c r="K365" s="231">
        <v>867.77</v>
      </c>
      <c r="L365" s="231">
        <v>0</v>
      </c>
      <c r="M365" s="251">
        <v>0</v>
      </c>
      <c r="N365" s="251">
        <v>5000</v>
      </c>
    </row>
    <row r="366" spans="1:14">
      <c r="A366" s="267" t="s">
        <v>650</v>
      </c>
      <c r="B366" s="268" t="s">
        <v>1120</v>
      </c>
      <c r="C366" s="231" t="s">
        <v>675</v>
      </c>
      <c r="D366" s="231" t="s">
        <v>676</v>
      </c>
      <c r="E366" s="231" t="s">
        <v>661</v>
      </c>
      <c r="F366" s="251">
        <v>8148.76</v>
      </c>
      <c r="G366" s="251">
        <v>0</v>
      </c>
      <c r="H366" s="231">
        <v>0</v>
      </c>
      <c r="I366" s="231">
        <v>0</v>
      </c>
      <c r="J366" s="231">
        <v>0</v>
      </c>
      <c r="K366" s="231">
        <v>1711.24</v>
      </c>
      <c r="L366" s="231">
        <v>0</v>
      </c>
      <c r="M366" s="251">
        <v>0</v>
      </c>
      <c r="N366" s="251">
        <v>9860</v>
      </c>
    </row>
    <row r="367" spans="1:14">
      <c r="A367" s="267" t="s">
        <v>650</v>
      </c>
      <c r="B367" s="268" t="s">
        <v>1121</v>
      </c>
      <c r="C367" s="231" t="s">
        <v>675</v>
      </c>
      <c r="D367" s="231" t="s">
        <v>676</v>
      </c>
      <c r="E367" s="231" t="s">
        <v>661</v>
      </c>
      <c r="F367" s="251">
        <v>6033.06</v>
      </c>
      <c r="G367" s="251">
        <v>0</v>
      </c>
      <c r="H367" s="231">
        <v>0</v>
      </c>
      <c r="I367" s="231">
        <v>0</v>
      </c>
      <c r="J367" s="231">
        <v>0</v>
      </c>
      <c r="K367" s="231">
        <v>1266.94</v>
      </c>
      <c r="L367" s="231">
        <v>0</v>
      </c>
      <c r="M367" s="251">
        <v>0</v>
      </c>
      <c r="N367" s="251">
        <v>7300</v>
      </c>
    </row>
    <row r="368" spans="1:14">
      <c r="A368" s="267" t="s">
        <v>650</v>
      </c>
      <c r="B368" s="268" t="s">
        <v>1122</v>
      </c>
      <c r="C368" s="231" t="s">
        <v>675</v>
      </c>
      <c r="D368" s="231" t="s">
        <v>676</v>
      </c>
      <c r="E368" s="231" t="s">
        <v>661</v>
      </c>
      <c r="F368" s="251">
        <v>7272.73</v>
      </c>
      <c r="G368" s="251">
        <v>0</v>
      </c>
      <c r="H368" s="231">
        <v>0</v>
      </c>
      <c r="I368" s="231">
        <v>0</v>
      </c>
      <c r="J368" s="231">
        <v>0</v>
      </c>
      <c r="K368" s="231">
        <v>1527.27</v>
      </c>
      <c r="L368" s="231">
        <v>0</v>
      </c>
      <c r="M368" s="251">
        <v>0</v>
      </c>
      <c r="N368" s="251">
        <v>8800</v>
      </c>
    </row>
    <row r="369" spans="1:14">
      <c r="A369" s="267" t="s">
        <v>650</v>
      </c>
      <c r="B369" s="268" t="s">
        <v>1123</v>
      </c>
      <c r="C369" s="231" t="s">
        <v>675</v>
      </c>
      <c r="D369" s="231" t="s">
        <v>676</v>
      </c>
      <c r="E369" s="231" t="s">
        <v>661</v>
      </c>
      <c r="F369" s="251">
        <v>11363.64</v>
      </c>
      <c r="G369" s="251">
        <v>0</v>
      </c>
      <c r="H369" s="231">
        <v>0</v>
      </c>
      <c r="I369" s="231">
        <v>0</v>
      </c>
      <c r="J369" s="231">
        <v>0</v>
      </c>
      <c r="K369" s="231">
        <v>2386.36</v>
      </c>
      <c r="L369" s="231">
        <v>0</v>
      </c>
      <c r="M369" s="251">
        <v>0</v>
      </c>
      <c r="N369" s="251">
        <v>13750</v>
      </c>
    </row>
    <row r="370" spans="1:14">
      <c r="A370" s="267" t="s">
        <v>650</v>
      </c>
      <c r="B370" s="268" t="s">
        <v>1124</v>
      </c>
      <c r="C370" s="231" t="s">
        <v>675</v>
      </c>
      <c r="D370" s="231" t="s">
        <v>676</v>
      </c>
      <c r="E370" s="231" t="s">
        <v>661</v>
      </c>
      <c r="F370" s="251">
        <v>1239.67</v>
      </c>
      <c r="G370" s="251">
        <v>0</v>
      </c>
      <c r="H370" s="231">
        <v>0</v>
      </c>
      <c r="I370" s="231">
        <v>0</v>
      </c>
      <c r="J370" s="231">
        <v>0</v>
      </c>
      <c r="K370" s="231">
        <v>260.33</v>
      </c>
      <c r="L370" s="231">
        <v>0</v>
      </c>
      <c r="M370" s="251">
        <v>0</v>
      </c>
      <c r="N370" s="251">
        <v>1500</v>
      </c>
    </row>
    <row r="371" spans="1:14">
      <c r="A371" s="267" t="s">
        <v>650</v>
      </c>
      <c r="B371" s="268" t="s">
        <v>1125</v>
      </c>
      <c r="C371" s="231" t="s">
        <v>675</v>
      </c>
      <c r="D371" s="231" t="s">
        <v>676</v>
      </c>
      <c r="E371" s="231" t="s">
        <v>661</v>
      </c>
      <c r="F371" s="251">
        <v>9586.7800000000007</v>
      </c>
      <c r="G371" s="251">
        <v>0</v>
      </c>
      <c r="H371" s="231">
        <v>0</v>
      </c>
      <c r="I371" s="231">
        <v>0</v>
      </c>
      <c r="J371" s="231">
        <v>0</v>
      </c>
      <c r="K371" s="231">
        <v>2013.22</v>
      </c>
      <c r="L371" s="231">
        <v>0</v>
      </c>
      <c r="M371" s="251">
        <v>0</v>
      </c>
      <c r="N371" s="251">
        <v>11600</v>
      </c>
    </row>
    <row r="372" spans="1:14">
      <c r="A372" s="267" t="s">
        <v>650</v>
      </c>
      <c r="B372" s="268" t="s">
        <v>1126</v>
      </c>
      <c r="C372" s="231" t="s">
        <v>675</v>
      </c>
      <c r="D372" s="231" t="s">
        <v>676</v>
      </c>
      <c r="E372" s="231" t="s">
        <v>661</v>
      </c>
      <c r="F372" s="251">
        <v>7140.5</v>
      </c>
      <c r="G372" s="251">
        <v>0</v>
      </c>
      <c r="H372" s="231">
        <v>0</v>
      </c>
      <c r="I372" s="231">
        <v>0</v>
      </c>
      <c r="J372" s="231">
        <v>0</v>
      </c>
      <c r="K372" s="231">
        <v>1499.5</v>
      </c>
      <c r="L372" s="231">
        <v>0</v>
      </c>
      <c r="M372" s="251">
        <v>0</v>
      </c>
      <c r="N372" s="251">
        <v>8640</v>
      </c>
    </row>
    <row r="373" spans="1:14">
      <c r="A373" s="267" t="s">
        <v>650</v>
      </c>
      <c r="B373" s="268" t="s">
        <v>1127</v>
      </c>
      <c r="C373" s="231" t="s">
        <v>675</v>
      </c>
      <c r="D373" s="231" t="s">
        <v>676</v>
      </c>
      <c r="E373" s="231" t="s">
        <v>661</v>
      </c>
      <c r="F373" s="251">
        <v>3388.43</v>
      </c>
      <c r="G373" s="251">
        <v>0</v>
      </c>
      <c r="H373" s="231">
        <v>0</v>
      </c>
      <c r="I373" s="231">
        <v>0</v>
      </c>
      <c r="J373" s="231">
        <v>0</v>
      </c>
      <c r="K373" s="231">
        <v>711.57</v>
      </c>
      <c r="L373" s="231">
        <v>0</v>
      </c>
      <c r="M373" s="251">
        <v>0</v>
      </c>
      <c r="N373" s="251">
        <v>4100</v>
      </c>
    </row>
    <row r="374" spans="1:14">
      <c r="A374" s="267" t="s">
        <v>650</v>
      </c>
      <c r="B374" s="268" t="s">
        <v>1128</v>
      </c>
      <c r="C374" s="231" t="s">
        <v>675</v>
      </c>
      <c r="D374" s="231" t="s">
        <v>676</v>
      </c>
      <c r="E374" s="231" t="s">
        <v>661</v>
      </c>
      <c r="F374" s="251">
        <v>22975.21</v>
      </c>
      <c r="G374" s="251">
        <v>0</v>
      </c>
      <c r="H374" s="231">
        <v>0</v>
      </c>
      <c r="I374" s="231">
        <v>0</v>
      </c>
      <c r="J374" s="231">
        <v>0</v>
      </c>
      <c r="K374" s="231">
        <v>4824.79</v>
      </c>
      <c r="L374" s="231">
        <v>0</v>
      </c>
      <c r="M374" s="251">
        <v>0</v>
      </c>
      <c r="N374" s="251">
        <v>27800</v>
      </c>
    </row>
    <row r="375" spans="1:14">
      <c r="A375" s="267" t="s">
        <v>650</v>
      </c>
      <c r="B375" s="268" t="s">
        <v>1129</v>
      </c>
      <c r="C375" s="231" t="s">
        <v>675</v>
      </c>
      <c r="D375" s="231" t="s">
        <v>676</v>
      </c>
      <c r="E375" s="231" t="s">
        <v>661</v>
      </c>
      <c r="F375" s="251">
        <v>5239.67</v>
      </c>
      <c r="G375" s="251">
        <v>0</v>
      </c>
      <c r="H375" s="231">
        <v>0</v>
      </c>
      <c r="I375" s="231">
        <v>0</v>
      </c>
      <c r="J375" s="231">
        <v>0</v>
      </c>
      <c r="K375" s="231">
        <v>1100.33</v>
      </c>
      <c r="L375" s="231">
        <v>0</v>
      </c>
      <c r="M375" s="251">
        <v>0</v>
      </c>
      <c r="N375" s="251">
        <v>6340</v>
      </c>
    </row>
    <row r="376" spans="1:14">
      <c r="A376" s="267" t="s">
        <v>650</v>
      </c>
      <c r="B376" s="268" t="s">
        <v>1130</v>
      </c>
      <c r="C376" s="231" t="s">
        <v>675</v>
      </c>
      <c r="D376" s="231" t="s">
        <v>676</v>
      </c>
      <c r="E376" s="231" t="s">
        <v>661</v>
      </c>
      <c r="F376" s="251">
        <v>2231.41</v>
      </c>
      <c r="G376" s="251">
        <v>0</v>
      </c>
      <c r="H376" s="231">
        <v>0</v>
      </c>
      <c r="I376" s="231">
        <v>0</v>
      </c>
      <c r="J376" s="231">
        <v>0</v>
      </c>
      <c r="K376" s="231">
        <v>468.59</v>
      </c>
      <c r="L376" s="231">
        <v>0</v>
      </c>
      <c r="M376" s="251">
        <v>0</v>
      </c>
      <c r="N376" s="251">
        <v>2700</v>
      </c>
    </row>
    <row r="377" spans="1:14">
      <c r="A377" s="267" t="s">
        <v>650</v>
      </c>
      <c r="B377" s="268" t="s">
        <v>1131</v>
      </c>
      <c r="C377" s="231" t="s">
        <v>675</v>
      </c>
      <c r="D377" s="231" t="s">
        <v>676</v>
      </c>
      <c r="E377" s="231" t="s">
        <v>661</v>
      </c>
      <c r="F377" s="251">
        <v>11239.67</v>
      </c>
      <c r="G377" s="251">
        <v>0</v>
      </c>
      <c r="H377" s="231">
        <v>0</v>
      </c>
      <c r="I377" s="231">
        <v>0</v>
      </c>
      <c r="J377" s="231">
        <v>0</v>
      </c>
      <c r="K377" s="231">
        <v>2360.33</v>
      </c>
      <c r="L377" s="231">
        <v>0</v>
      </c>
      <c r="M377" s="251">
        <v>0</v>
      </c>
      <c r="N377" s="251">
        <v>13600</v>
      </c>
    </row>
    <row r="378" spans="1:14">
      <c r="A378" s="267" t="s">
        <v>650</v>
      </c>
      <c r="B378" s="268" t="s">
        <v>1132</v>
      </c>
      <c r="C378" s="231" t="s">
        <v>675</v>
      </c>
      <c r="D378" s="231" t="s">
        <v>676</v>
      </c>
      <c r="E378" s="231" t="s">
        <v>661</v>
      </c>
      <c r="F378" s="251">
        <v>4380.17</v>
      </c>
      <c r="G378" s="251">
        <v>0</v>
      </c>
      <c r="H378" s="231">
        <v>0</v>
      </c>
      <c r="I378" s="231">
        <v>0</v>
      </c>
      <c r="J378" s="231">
        <v>0</v>
      </c>
      <c r="K378" s="231">
        <v>919.83</v>
      </c>
      <c r="L378" s="231">
        <v>0</v>
      </c>
      <c r="M378" s="251">
        <v>0</v>
      </c>
      <c r="N378" s="251">
        <v>5300</v>
      </c>
    </row>
    <row r="379" spans="1:14">
      <c r="A379" s="267" t="s">
        <v>650</v>
      </c>
      <c r="B379" s="268" t="s">
        <v>1133</v>
      </c>
      <c r="C379" s="231" t="s">
        <v>675</v>
      </c>
      <c r="D379" s="231" t="s">
        <v>676</v>
      </c>
      <c r="E379" s="231" t="s">
        <v>661</v>
      </c>
      <c r="F379" s="251">
        <v>14876.03</v>
      </c>
      <c r="G379" s="251">
        <v>0</v>
      </c>
      <c r="H379" s="231">
        <v>0</v>
      </c>
      <c r="I379" s="231">
        <v>0</v>
      </c>
      <c r="J379" s="231">
        <v>0</v>
      </c>
      <c r="K379" s="231">
        <v>3123.97</v>
      </c>
      <c r="L379" s="231">
        <v>0</v>
      </c>
      <c r="M379" s="251">
        <v>0</v>
      </c>
      <c r="N379" s="251">
        <v>18000</v>
      </c>
    </row>
    <row r="380" spans="1:14">
      <c r="A380" s="267" t="s">
        <v>650</v>
      </c>
      <c r="B380" s="268" t="s">
        <v>1134</v>
      </c>
      <c r="C380" s="231" t="s">
        <v>675</v>
      </c>
      <c r="D380" s="231" t="s">
        <v>676</v>
      </c>
      <c r="E380" s="231" t="s">
        <v>661</v>
      </c>
      <c r="F380" s="251">
        <v>2727.27</v>
      </c>
      <c r="G380" s="251">
        <v>0</v>
      </c>
      <c r="H380" s="231">
        <v>0</v>
      </c>
      <c r="I380" s="231">
        <v>0</v>
      </c>
      <c r="J380" s="231">
        <v>0</v>
      </c>
      <c r="K380" s="231">
        <v>572.73</v>
      </c>
      <c r="L380" s="231">
        <v>0</v>
      </c>
      <c r="M380" s="251">
        <v>0</v>
      </c>
      <c r="N380" s="251">
        <v>3300</v>
      </c>
    </row>
    <row r="381" spans="1:14">
      <c r="A381" s="267" t="s">
        <v>650</v>
      </c>
      <c r="B381" s="268" t="s">
        <v>1135</v>
      </c>
      <c r="C381" s="231" t="s">
        <v>675</v>
      </c>
      <c r="D381" s="231" t="s">
        <v>676</v>
      </c>
      <c r="E381" s="231" t="s">
        <v>661</v>
      </c>
      <c r="F381" s="251">
        <v>12892.56</v>
      </c>
      <c r="G381" s="251">
        <v>0</v>
      </c>
      <c r="H381" s="231">
        <v>0</v>
      </c>
      <c r="I381" s="231">
        <v>0</v>
      </c>
      <c r="J381" s="231">
        <v>0</v>
      </c>
      <c r="K381" s="231">
        <v>2707.44</v>
      </c>
      <c r="L381" s="231">
        <v>0</v>
      </c>
      <c r="M381" s="251">
        <v>0</v>
      </c>
      <c r="N381" s="251">
        <v>15600</v>
      </c>
    </row>
    <row r="382" spans="1:14">
      <c r="A382" s="267" t="s">
        <v>650</v>
      </c>
      <c r="B382" s="268" t="s">
        <v>1136</v>
      </c>
      <c r="C382" s="231" t="s">
        <v>675</v>
      </c>
      <c r="D382" s="231" t="s">
        <v>676</v>
      </c>
      <c r="E382" s="231" t="s">
        <v>661</v>
      </c>
      <c r="F382" s="251">
        <v>8264.4600000000009</v>
      </c>
      <c r="G382" s="251">
        <v>0</v>
      </c>
      <c r="H382" s="231">
        <v>0</v>
      </c>
      <c r="I382" s="231">
        <v>0</v>
      </c>
      <c r="J382" s="231">
        <v>0</v>
      </c>
      <c r="K382" s="231">
        <v>1735.54</v>
      </c>
      <c r="L382" s="231">
        <v>0</v>
      </c>
      <c r="M382" s="251">
        <v>0</v>
      </c>
      <c r="N382" s="251">
        <v>10000</v>
      </c>
    </row>
    <row r="383" spans="1:14">
      <c r="A383" s="267" t="s">
        <v>650</v>
      </c>
      <c r="B383" s="268" t="s">
        <v>1137</v>
      </c>
      <c r="C383" s="231" t="s">
        <v>675</v>
      </c>
      <c r="D383" s="231" t="s">
        <v>676</v>
      </c>
      <c r="E383" s="231" t="s">
        <v>661</v>
      </c>
      <c r="F383" s="251">
        <v>3719.01</v>
      </c>
      <c r="G383" s="251">
        <v>0</v>
      </c>
      <c r="H383" s="231">
        <v>0</v>
      </c>
      <c r="I383" s="231">
        <v>0</v>
      </c>
      <c r="J383" s="231">
        <v>0</v>
      </c>
      <c r="K383" s="231">
        <v>780.99</v>
      </c>
      <c r="L383" s="231">
        <v>0</v>
      </c>
      <c r="M383" s="251">
        <v>0</v>
      </c>
      <c r="N383" s="251">
        <v>4500</v>
      </c>
    </row>
    <row r="384" spans="1:14">
      <c r="A384" s="267" t="s">
        <v>650</v>
      </c>
      <c r="B384" s="268" t="s">
        <v>1138</v>
      </c>
      <c r="C384" s="231" t="s">
        <v>675</v>
      </c>
      <c r="D384" s="231" t="s">
        <v>676</v>
      </c>
      <c r="E384" s="231" t="s">
        <v>661</v>
      </c>
      <c r="F384" s="251">
        <v>6942.15</v>
      </c>
      <c r="G384" s="251">
        <v>0</v>
      </c>
      <c r="H384" s="231">
        <v>0</v>
      </c>
      <c r="I384" s="231">
        <v>0</v>
      </c>
      <c r="J384" s="231">
        <v>0</v>
      </c>
      <c r="K384" s="231">
        <v>1457.85</v>
      </c>
      <c r="L384" s="231">
        <v>0</v>
      </c>
      <c r="M384" s="251">
        <v>0</v>
      </c>
      <c r="N384" s="251">
        <v>8400</v>
      </c>
    </row>
    <row r="385" spans="1:14">
      <c r="A385" s="267" t="s">
        <v>650</v>
      </c>
      <c r="B385" s="268" t="s">
        <v>1139</v>
      </c>
      <c r="C385" s="231" t="s">
        <v>675</v>
      </c>
      <c r="D385" s="231" t="s">
        <v>676</v>
      </c>
      <c r="E385" s="231" t="s">
        <v>661</v>
      </c>
      <c r="F385" s="251">
        <v>2479.34</v>
      </c>
      <c r="G385" s="251">
        <v>0</v>
      </c>
      <c r="H385" s="231">
        <v>0</v>
      </c>
      <c r="I385" s="231">
        <v>0</v>
      </c>
      <c r="J385" s="231">
        <v>0</v>
      </c>
      <c r="K385" s="231">
        <v>520.66</v>
      </c>
      <c r="L385" s="231">
        <v>0</v>
      </c>
      <c r="M385" s="251">
        <v>0</v>
      </c>
      <c r="N385" s="251">
        <v>3000</v>
      </c>
    </row>
    <row r="386" spans="1:14">
      <c r="A386" s="267" t="s">
        <v>650</v>
      </c>
      <c r="B386" s="268" t="s">
        <v>1140</v>
      </c>
      <c r="C386" s="231" t="s">
        <v>675</v>
      </c>
      <c r="D386" s="231" t="s">
        <v>676</v>
      </c>
      <c r="E386" s="231" t="s">
        <v>661</v>
      </c>
      <c r="F386" s="251">
        <v>3090.91</v>
      </c>
      <c r="G386" s="251">
        <v>0</v>
      </c>
      <c r="H386" s="231">
        <v>0</v>
      </c>
      <c r="I386" s="231">
        <v>0</v>
      </c>
      <c r="J386" s="231">
        <v>0</v>
      </c>
      <c r="K386" s="231">
        <v>649.09</v>
      </c>
      <c r="L386" s="231">
        <v>0</v>
      </c>
      <c r="M386" s="251">
        <v>0</v>
      </c>
      <c r="N386" s="251">
        <v>3740</v>
      </c>
    </row>
    <row r="387" spans="1:14">
      <c r="A387" s="267" t="s">
        <v>650</v>
      </c>
      <c r="B387" s="268" t="s">
        <v>1141</v>
      </c>
      <c r="C387" s="231" t="s">
        <v>675</v>
      </c>
      <c r="D387" s="231" t="s">
        <v>676</v>
      </c>
      <c r="E387" s="231" t="s">
        <v>661</v>
      </c>
      <c r="F387" s="251">
        <v>4132.2300000000005</v>
      </c>
      <c r="G387" s="251">
        <v>0</v>
      </c>
      <c r="H387" s="231">
        <v>0</v>
      </c>
      <c r="I387" s="231">
        <v>0</v>
      </c>
      <c r="J387" s="231">
        <v>0</v>
      </c>
      <c r="K387" s="231">
        <v>867.77</v>
      </c>
      <c r="L387" s="231">
        <v>0</v>
      </c>
      <c r="M387" s="251">
        <v>0</v>
      </c>
      <c r="N387" s="251">
        <v>5000</v>
      </c>
    </row>
    <row r="388" spans="1:14">
      <c r="A388" s="267" t="s">
        <v>651</v>
      </c>
      <c r="B388" s="268" t="s">
        <v>1142</v>
      </c>
      <c r="C388" s="231" t="s">
        <v>675</v>
      </c>
      <c r="D388" s="231" t="s">
        <v>676</v>
      </c>
      <c r="E388" s="231" t="s">
        <v>661</v>
      </c>
      <c r="F388" s="251">
        <v>7851.24</v>
      </c>
      <c r="G388" s="251">
        <v>0</v>
      </c>
      <c r="H388" s="231">
        <v>0</v>
      </c>
      <c r="I388" s="231">
        <v>0</v>
      </c>
      <c r="J388" s="231">
        <v>0</v>
      </c>
      <c r="K388" s="231">
        <v>1648.76</v>
      </c>
      <c r="L388" s="231">
        <v>0</v>
      </c>
      <c r="M388" s="251">
        <v>0</v>
      </c>
      <c r="N388" s="251">
        <v>9500</v>
      </c>
    </row>
    <row r="389" spans="1:14">
      <c r="A389" s="267" t="s">
        <v>651</v>
      </c>
      <c r="B389" s="268" t="s">
        <v>1143</v>
      </c>
      <c r="C389" s="231" t="s">
        <v>675</v>
      </c>
      <c r="D389" s="231" t="s">
        <v>676</v>
      </c>
      <c r="E389" s="231" t="s">
        <v>661</v>
      </c>
      <c r="F389" s="251">
        <v>3925.62</v>
      </c>
      <c r="G389" s="251">
        <v>0</v>
      </c>
      <c r="H389" s="231">
        <v>0</v>
      </c>
      <c r="I389" s="231">
        <v>0</v>
      </c>
      <c r="J389" s="231">
        <v>0</v>
      </c>
      <c r="K389" s="231">
        <v>824.38</v>
      </c>
      <c r="L389" s="231">
        <v>0</v>
      </c>
      <c r="M389" s="251">
        <v>0</v>
      </c>
      <c r="N389" s="251">
        <v>4750</v>
      </c>
    </row>
    <row r="390" spans="1:14">
      <c r="A390" s="267" t="s">
        <v>651</v>
      </c>
      <c r="B390" s="268" t="s">
        <v>1144</v>
      </c>
      <c r="C390" s="231" t="s">
        <v>675</v>
      </c>
      <c r="D390" s="231" t="s">
        <v>676</v>
      </c>
      <c r="E390" s="231" t="s">
        <v>661</v>
      </c>
      <c r="F390" s="251">
        <v>6942.15</v>
      </c>
      <c r="G390" s="251">
        <v>0</v>
      </c>
      <c r="H390" s="231">
        <v>0</v>
      </c>
      <c r="I390" s="231">
        <v>0</v>
      </c>
      <c r="J390" s="231">
        <v>0</v>
      </c>
      <c r="K390" s="231">
        <v>1457.85</v>
      </c>
      <c r="L390" s="231">
        <v>0</v>
      </c>
      <c r="M390" s="251">
        <v>0</v>
      </c>
      <c r="N390" s="251">
        <v>8400</v>
      </c>
    </row>
    <row r="391" spans="1:14">
      <c r="A391" s="267" t="s">
        <v>651</v>
      </c>
      <c r="B391" s="268" t="s">
        <v>1145</v>
      </c>
      <c r="C391" s="231" t="s">
        <v>675</v>
      </c>
      <c r="D391" s="231" t="s">
        <v>676</v>
      </c>
      <c r="E391" s="231" t="s">
        <v>661</v>
      </c>
      <c r="F391" s="251">
        <v>3016.53</v>
      </c>
      <c r="G391" s="251">
        <v>0</v>
      </c>
      <c r="H391" s="231">
        <v>0</v>
      </c>
      <c r="I391" s="231">
        <v>0</v>
      </c>
      <c r="J391" s="231">
        <v>0</v>
      </c>
      <c r="K391" s="231">
        <v>633.47</v>
      </c>
      <c r="L391" s="231">
        <v>0</v>
      </c>
      <c r="M391" s="251">
        <v>0</v>
      </c>
      <c r="N391" s="251">
        <v>3650</v>
      </c>
    </row>
    <row r="392" spans="1:14">
      <c r="A392" s="267" t="s">
        <v>651</v>
      </c>
      <c r="B392" s="268" t="s">
        <v>1146</v>
      </c>
      <c r="C392" s="231" t="s">
        <v>675</v>
      </c>
      <c r="D392" s="231" t="s">
        <v>676</v>
      </c>
      <c r="E392" s="231" t="s">
        <v>661</v>
      </c>
      <c r="F392" s="251">
        <v>7851.24</v>
      </c>
      <c r="G392" s="251">
        <v>0</v>
      </c>
      <c r="H392" s="231">
        <v>0</v>
      </c>
      <c r="I392" s="231">
        <v>0</v>
      </c>
      <c r="J392" s="231">
        <v>0</v>
      </c>
      <c r="K392" s="231">
        <v>1648.76</v>
      </c>
      <c r="L392" s="231">
        <v>0</v>
      </c>
      <c r="M392" s="251">
        <v>0</v>
      </c>
      <c r="N392" s="251">
        <v>9500</v>
      </c>
    </row>
    <row r="393" spans="1:14">
      <c r="A393" s="267" t="s">
        <v>651</v>
      </c>
      <c r="B393" s="268" t="s">
        <v>1147</v>
      </c>
      <c r="C393" s="231" t="s">
        <v>675</v>
      </c>
      <c r="D393" s="231" t="s">
        <v>676</v>
      </c>
      <c r="E393" s="231" t="s">
        <v>661</v>
      </c>
      <c r="F393" s="251">
        <v>6942.15</v>
      </c>
      <c r="G393" s="251">
        <v>0</v>
      </c>
      <c r="H393" s="231">
        <v>0</v>
      </c>
      <c r="I393" s="231">
        <v>0</v>
      </c>
      <c r="J393" s="231">
        <v>0</v>
      </c>
      <c r="K393" s="231">
        <v>1457.85</v>
      </c>
      <c r="L393" s="231">
        <v>0</v>
      </c>
      <c r="M393" s="251">
        <v>0</v>
      </c>
      <c r="N393" s="251">
        <v>8400</v>
      </c>
    </row>
    <row r="394" spans="1:14">
      <c r="A394" s="267" t="s">
        <v>651</v>
      </c>
      <c r="B394" s="268" t="s">
        <v>1148</v>
      </c>
      <c r="C394" s="231" t="s">
        <v>675</v>
      </c>
      <c r="D394" s="231" t="s">
        <v>676</v>
      </c>
      <c r="E394" s="231" t="s">
        <v>661</v>
      </c>
      <c r="F394" s="251">
        <v>6942.15</v>
      </c>
      <c r="G394" s="251">
        <v>0</v>
      </c>
      <c r="H394" s="231">
        <v>0</v>
      </c>
      <c r="I394" s="231">
        <v>0</v>
      </c>
      <c r="J394" s="231">
        <v>0</v>
      </c>
      <c r="K394" s="231">
        <v>1457.85</v>
      </c>
      <c r="L394" s="231">
        <v>0</v>
      </c>
      <c r="M394" s="251">
        <v>0</v>
      </c>
      <c r="N394" s="251">
        <v>8400</v>
      </c>
    </row>
    <row r="395" spans="1:14">
      <c r="A395" s="267" t="s">
        <v>651</v>
      </c>
      <c r="B395" s="268" t="s">
        <v>1149</v>
      </c>
      <c r="C395" s="231" t="s">
        <v>675</v>
      </c>
      <c r="D395" s="231" t="s">
        <v>676</v>
      </c>
      <c r="E395" s="231" t="s">
        <v>661</v>
      </c>
      <c r="F395" s="251">
        <v>2892.56</v>
      </c>
      <c r="G395" s="251">
        <v>0</v>
      </c>
      <c r="H395" s="231">
        <v>0</v>
      </c>
      <c r="I395" s="231">
        <v>0</v>
      </c>
      <c r="J395" s="231">
        <v>0</v>
      </c>
      <c r="K395" s="231">
        <v>607.44000000000005</v>
      </c>
      <c r="L395" s="231">
        <v>0</v>
      </c>
      <c r="M395" s="251">
        <v>0</v>
      </c>
      <c r="N395" s="251">
        <v>3500</v>
      </c>
    </row>
    <row r="396" spans="1:14">
      <c r="A396" s="267" t="s">
        <v>651</v>
      </c>
      <c r="B396" s="268" t="s">
        <v>1150</v>
      </c>
      <c r="C396" s="231" t="s">
        <v>675</v>
      </c>
      <c r="D396" s="231" t="s">
        <v>676</v>
      </c>
      <c r="E396" s="231" t="s">
        <v>661</v>
      </c>
      <c r="F396" s="251">
        <v>13553.72</v>
      </c>
      <c r="G396" s="251">
        <v>0</v>
      </c>
      <c r="H396" s="231">
        <v>0</v>
      </c>
      <c r="I396" s="231">
        <v>0</v>
      </c>
      <c r="J396" s="231">
        <v>0</v>
      </c>
      <c r="K396" s="231">
        <v>2846.28</v>
      </c>
      <c r="L396" s="231">
        <v>0</v>
      </c>
      <c r="M396" s="251">
        <v>0</v>
      </c>
      <c r="N396" s="251">
        <v>16400</v>
      </c>
    </row>
    <row r="397" spans="1:14">
      <c r="A397" s="267" t="s">
        <v>651</v>
      </c>
      <c r="B397" s="268" t="s">
        <v>1151</v>
      </c>
      <c r="C397" s="231" t="s">
        <v>675</v>
      </c>
      <c r="D397" s="231" t="s">
        <v>676</v>
      </c>
      <c r="E397" s="231" t="s">
        <v>661</v>
      </c>
      <c r="F397" s="251">
        <v>6611.57</v>
      </c>
      <c r="G397" s="251">
        <v>0</v>
      </c>
      <c r="H397" s="231">
        <v>0</v>
      </c>
      <c r="I397" s="231">
        <v>0</v>
      </c>
      <c r="J397" s="231">
        <v>0</v>
      </c>
      <c r="K397" s="231">
        <v>1388.43</v>
      </c>
      <c r="L397" s="231">
        <v>0</v>
      </c>
      <c r="M397" s="251">
        <v>0</v>
      </c>
      <c r="N397" s="251">
        <v>8000</v>
      </c>
    </row>
    <row r="398" spans="1:14">
      <c r="A398" s="267" t="s">
        <v>651</v>
      </c>
      <c r="B398" s="268" t="s">
        <v>1152</v>
      </c>
      <c r="C398" s="231" t="s">
        <v>675</v>
      </c>
      <c r="D398" s="231" t="s">
        <v>676</v>
      </c>
      <c r="E398" s="231" t="s">
        <v>661</v>
      </c>
      <c r="F398" s="251">
        <v>11363.64</v>
      </c>
      <c r="G398" s="251">
        <v>0</v>
      </c>
      <c r="H398" s="231">
        <v>0</v>
      </c>
      <c r="I398" s="231">
        <v>0</v>
      </c>
      <c r="J398" s="231">
        <v>0</v>
      </c>
      <c r="K398" s="231">
        <v>2386.36</v>
      </c>
      <c r="L398" s="231">
        <v>0</v>
      </c>
      <c r="M398" s="251">
        <v>0</v>
      </c>
      <c r="N398" s="251">
        <v>13750</v>
      </c>
    </row>
    <row r="399" spans="1:14">
      <c r="A399" s="267" t="s">
        <v>651</v>
      </c>
      <c r="B399" s="268" t="s">
        <v>1153</v>
      </c>
      <c r="C399" s="231" t="s">
        <v>675</v>
      </c>
      <c r="D399" s="231" t="s">
        <v>676</v>
      </c>
      <c r="E399" s="231" t="s">
        <v>661</v>
      </c>
      <c r="F399" s="251">
        <v>9917.36</v>
      </c>
      <c r="G399" s="251">
        <v>0</v>
      </c>
      <c r="H399" s="231">
        <v>0</v>
      </c>
      <c r="I399" s="231">
        <v>0</v>
      </c>
      <c r="J399" s="231">
        <v>0</v>
      </c>
      <c r="K399" s="231">
        <v>2082.64</v>
      </c>
      <c r="L399" s="231">
        <v>0</v>
      </c>
      <c r="M399" s="251">
        <v>0</v>
      </c>
      <c r="N399" s="251">
        <v>12000</v>
      </c>
    </row>
    <row r="400" spans="1:14">
      <c r="A400" s="267" t="s">
        <v>651</v>
      </c>
      <c r="B400" s="268" t="s">
        <v>1154</v>
      </c>
      <c r="C400" s="231" t="s">
        <v>675</v>
      </c>
      <c r="D400" s="231" t="s">
        <v>676</v>
      </c>
      <c r="E400" s="231" t="s">
        <v>661</v>
      </c>
      <c r="F400" s="251">
        <v>39867.770000000004</v>
      </c>
      <c r="G400" s="251">
        <v>0</v>
      </c>
      <c r="H400" s="231">
        <v>0</v>
      </c>
      <c r="I400" s="231">
        <v>0</v>
      </c>
      <c r="J400" s="231">
        <v>0</v>
      </c>
      <c r="K400" s="231">
        <v>8372.23</v>
      </c>
      <c r="L400" s="231">
        <v>0</v>
      </c>
      <c r="M400" s="251">
        <v>0</v>
      </c>
      <c r="N400" s="251">
        <v>48240</v>
      </c>
    </row>
    <row r="401" spans="1:14">
      <c r="A401" s="267" t="s">
        <v>651</v>
      </c>
      <c r="B401" s="268" t="s">
        <v>1155</v>
      </c>
      <c r="C401" s="231" t="s">
        <v>704</v>
      </c>
      <c r="D401" s="231" t="s">
        <v>702</v>
      </c>
      <c r="E401" s="231">
        <v>30608716390</v>
      </c>
      <c r="F401" s="251">
        <v>3676.03</v>
      </c>
      <c r="G401" s="251">
        <v>0</v>
      </c>
      <c r="H401" s="231">
        <v>0</v>
      </c>
      <c r="I401" s="231">
        <v>0</v>
      </c>
      <c r="J401" s="231">
        <v>0</v>
      </c>
      <c r="K401" s="231">
        <v>771.97</v>
      </c>
      <c r="L401" s="231">
        <v>0</v>
      </c>
      <c r="M401" s="251">
        <v>0</v>
      </c>
      <c r="N401" s="251">
        <v>4448</v>
      </c>
    </row>
    <row r="402" spans="1:14">
      <c r="A402" s="267" t="s">
        <v>651</v>
      </c>
      <c r="B402" s="268" t="s">
        <v>1156</v>
      </c>
      <c r="C402" s="231" t="s">
        <v>1157</v>
      </c>
      <c r="D402" s="231" t="s">
        <v>702</v>
      </c>
      <c r="E402" s="231">
        <v>30654144482</v>
      </c>
      <c r="F402" s="251">
        <v>9090.9</v>
      </c>
      <c r="G402" s="251">
        <v>0</v>
      </c>
      <c r="H402" s="231">
        <v>0</v>
      </c>
      <c r="I402" s="231">
        <v>0</v>
      </c>
      <c r="J402" s="231">
        <v>0</v>
      </c>
      <c r="K402" s="231">
        <v>1909.1</v>
      </c>
      <c r="L402" s="231">
        <v>0</v>
      </c>
      <c r="M402" s="251">
        <v>0</v>
      </c>
      <c r="N402" s="251">
        <v>11000</v>
      </c>
    </row>
    <row r="403" spans="1:14">
      <c r="A403" s="267" t="s">
        <v>651</v>
      </c>
      <c r="B403" s="268" t="s">
        <v>1158</v>
      </c>
      <c r="C403" s="231" t="s">
        <v>1159</v>
      </c>
      <c r="D403" s="231" t="s">
        <v>676</v>
      </c>
      <c r="E403" s="231" t="s">
        <v>661</v>
      </c>
      <c r="F403" s="251">
        <v>11570.24</v>
      </c>
      <c r="G403" s="251">
        <v>0</v>
      </c>
      <c r="H403" s="231">
        <v>0</v>
      </c>
      <c r="I403" s="231">
        <v>0</v>
      </c>
      <c r="J403" s="231">
        <v>0</v>
      </c>
      <c r="K403" s="231">
        <v>2429.7600000000002</v>
      </c>
      <c r="L403" s="231">
        <v>0</v>
      </c>
      <c r="M403" s="251">
        <v>0</v>
      </c>
      <c r="N403" s="251">
        <v>14000</v>
      </c>
    </row>
    <row r="404" spans="1:14">
      <c r="A404" s="267" t="s">
        <v>652</v>
      </c>
      <c r="B404" s="268" t="s">
        <v>1160</v>
      </c>
      <c r="C404" s="231" t="s">
        <v>1161</v>
      </c>
      <c r="D404" s="231" t="s">
        <v>702</v>
      </c>
      <c r="E404" s="231">
        <v>30711428603</v>
      </c>
      <c r="F404" s="251">
        <v>15123.97</v>
      </c>
      <c r="G404" s="251">
        <v>0</v>
      </c>
      <c r="H404" s="231">
        <v>0</v>
      </c>
      <c r="I404" s="231">
        <v>0</v>
      </c>
      <c r="J404" s="231">
        <v>0</v>
      </c>
      <c r="K404" s="231">
        <v>3176.03</v>
      </c>
      <c r="L404" s="231">
        <v>0</v>
      </c>
      <c r="M404" s="251">
        <v>0</v>
      </c>
      <c r="N404" s="251">
        <v>18300</v>
      </c>
    </row>
    <row r="405" spans="1:14">
      <c r="A405" s="267" t="s">
        <v>652</v>
      </c>
      <c r="B405" s="268" t="s">
        <v>1162</v>
      </c>
      <c r="C405" s="231" t="s">
        <v>675</v>
      </c>
      <c r="D405" s="231" t="s">
        <v>676</v>
      </c>
      <c r="E405" s="231" t="s">
        <v>661</v>
      </c>
      <c r="F405" s="251">
        <v>7024.79</v>
      </c>
      <c r="G405" s="251">
        <v>0</v>
      </c>
      <c r="H405" s="231">
        <v>0</v>
      </c>
      <c r="I405" s="231">
        <v>0</v>
      </c>
      <c r="J405" s="231">
        <v>0</v>
      </c>
      <c r="K405" s="231">
        <v>1475.21</v>
      </c>
      <c r="L405" s="231">
        <v>0</v>
      </c>
      <c r="M405" s="251">
        <v>0</v>
      </c>
      <c r="N405" s="251">
        <v>8500</v>
      </c>
    </row>
    <row r="406" spans="1:14">
      <c r="A406" s="267" t="s">
        <v>652</v>
      </c>
      <c r="B406" s="268" t="s">
        <v>1163</v>
      </c>
      <c r="C406" s="231" t="s">
        <v>675</v>
      </c>
      <c r="D406" s="231" t="s">
        <v>676</v>
      </c>
      <c r="E406" s="231" t="s">
        <v>661</v>
      </c>
      <c r="F406" s="251">
        <v>2314.0500000000002</v>
      </c>
      <c r="G406" s="251">
        <v>0</v>
      </c>
      <c r="H406" s="231">
        <v>0</v>
      </c>
      <c r="I406" s="231">
        <v>0</v>
      </c>
      <c r="J406" s="231">
        <v>0</v>
      </c>
      <c r="K406" s="231">
        <v>485.95</v>
      </c>
      <c r="L406" s="231">
        <v>0</v>
      </c>
      <c r="M406" s="251">
        <v>0</v>
      </c>
      <c r="N406" s="251">
        <v>2800</v>
      </c>
    </row>
    <row r="407" spans="1:14">
      <c r="A407" s="267" t="s">
        <v>652</v>
      </c>
      <c r="B407" s="268" t="s">
        <v>1164</v>
      </c>
      <c r="C407" s="231" t="s">
        <v>675</v>
      </c>
      <c r="D407" s="231" t="s">
        <v>676</v>
      </c>
      <c r="E407" s="231" t="s">
        <v>661</v>
      </c>
      <c r="F407" s="251">
        <v>3628.1</v>
      </c>
      <c r="G407" s="251">
        <v>0</v>
      </c>
      <c r="H407" s="231">
        <v>0</v>
      </c>
      <c r="I407" s="231">
        <v>0</v>
      </c>
      <c r="J407" s="231">
        <v>0</v>
      </c>
      <c r="K407" s="231">
        <v>761.9</v>
      </c>
      <c r="L407" s="231">
        <v>0</v>
      </c>
      <c r="M407" s="251">
        <v>0</v>
      </c>
      <c r="N407" s="251">
        <v>4390</v>
      </c>
    </row>
    <row r="408" spans="1:14">
      <c r="A408" s="267" t="s">
        <v>652</v>
      </c>
      <c r="B408" s="268" t="s">
        <v>1165</v>
      </c>
      <c r="C408" s="231" t="s">
        <v>675</v>
      </c>
      <c r="D408" s="231" t="s">
        <v>676</v>
      </c>
      <c r="E408" s="231" t="s">
        <v>661</v>
      </c>
      <c r="F408" s="251">
        <v>4132.2300000000005</v>
      </c>
      <c r="G408" s="251">
        <v>0</v>
      </c>
      <c r="H408" s="231">
        <v>0</v>
      </c>
      <c r="I408" s="231">
        <v>0</v>
      </c>
      <c r="J408" s="231">
        <v>0</v>
      </c>
      <c r="K408" s="231">
        <v>867.77</v>
      </c>
      <c r="L408" s="231">
        <v>0</v>
      </c>
      <c r="M408" s="251">
        <v>0</v>
      </c>
      <c r="N408" s="251">
        <v>5000</v>
      </c>
    </row>
    <row r="409" spans="1:14">
      <c r="A409" s="267" t="s">
        <v>652</v>
      </c>
      <c r="B409" s="268" t="s">
        <v>1166</v>
      </c>
      <c r="C409" s="231" t="s">
        <v>675</v>
      </c>
      <c r="D409" s="231" t="s">
        <v>676</v>
      </c>
      <c r="E409" s="231" t="s">
        <v>661</v>
      </c>
      <c r="F409" s="251">
        <v>10826.45</v>
      </c>
      <c r="G409" s="251">
        <v>0</v>
      </c>
      <c r="H409" s="231">
        <v>0</v>
      </c>
      <c r="I409" s="231">
        <v>0</v>
      </c>
      <c r="J409" s="231">
        <v>0</v>
      </c>
      <c r="K409" s="231">
        <v>2273.5500000000002</v>
      </c>
      <c r="L409" s="231">
        <v>0</v>
      </c>
      <c r="M409" s="251">
        <v>0</v>
      </c>
      <c r="N409" s="251">
        <v>13100</v>
      </c>
    </row>
    <row r="410" spans="1:14">
      <c r="A410" s="267" t="s">
        <v>652</v>
      </c>
      <c r="B410" s="268" t="s">
        <v>1167</v>
      </c>
      <c r="C410" s="231" t="s">
        <v>675</v>
      </c>
      <c r="D410" s="231" t="s">
        <v>676</v>
      </c>
      <c r="E410" s="231" t="s">
        <v>661</v>
      </c>
      <c r="F410" s="251">
        <v>9462.81</v>
      </c>
      <c r="G410" s="251">
        <v>0</v>
      </c>
      <c r="H410" s="231">
        <v>0</v>
      </c>
      <c r="I410" s="231">
        <v>0</v>
      </c>
      <c r="J410" s="231">
        <v>0</v>
      </c>
      <c r="K410" s="231">
        <v>1987.19</v>
      </c>
      <c r="L410" s="231">
        <v>0</v>
      </c>
      <c r="M410" s="251">
        <v>0</v>
      </c>
      <c r="N410" s="251">
        <v>11450</v>
      </c>
    </row>
    <row r="411" spans="1:14">
      <c r="A411" s="267" t="s">
        <v>652</v>
      </c>
      <c r="B411" s="268" t="s">
        <v>1168</v>
      </c>
      <c r="C411" s="231" t="s">
        <v>675</v>
      </c>
      <c r="D411" s="231" t="s">
        <v>676</v>
      </c>
      <c r="E411" s="231" t="s">
        <v>661</v>
      </c>
      <c r="F411" s="251">
        <v>15123.97</v>
      </c>
      <c r="G411" s="251">
        <v>0</v>
      </c>
      <c r="H411" s="231">
        <v>0</v>
      </c>
      <c r="I411" s="231">
        <v>0</v>
      </c>
      <c r="J411" s="231">
        <v>0</v>
      </c>
      <c r="K411" s="231">
        <v>3176.03</v>
      </c>
      <c r="L411" s="231">
        <v>0</v>
      </c>
      <c r="M411" s="251">
        <v>0</v>
      </c>
      <c r="N411" s="251">
        <v>18300</v>
      </c>
    </row>
    <row r="412" spans="1:14">
      <c r="A412" s="267" t="s">
        <v>652</v>
      </c>
      <c r="B412" s="268" t="s">
        <v>1169</v>
      </c>
      <c r="C412" s="231" t="s">
        <v>675</v>
      </c>
      <c r="D412" s="231" t="s">
        <v>676</v>
      </c>
      <c r="E412" s="231" t="s">
        <v>661</v>
      </c>
      <c r="F412" s="251">
        <v>3388.43</v>
      </c>
      <c r="G412" s="251">
        <v>0</v>
      </c>
      <c r="H412" s="231">
        <v>0</v>
      </c>
      <c r="I412" s="231">
        <v>0</v>
      </c>
      <c r="J412" s="231">
        <v>0</v>
      </c>
      <c r="K412" s="231">
        <v>711.57</v>
      </c>
      <c r="L412" s="231">
        <v>0</v>
      </c>
      <c r="M412" s="251">
        <v>0</v>
      </c>
      <c r="N412" s="251">
        <v>4100</v>
      </c>
    </row>
    <row r="413" spans="1:14">
      <c r="A413" s="267" t="s">
        <v>652</v>
      </c>
      <c r="B413" s="268" t="s">
        <v>1170</v>
      </c>
      <c r="C413" s="231" t="s">
        <v>675</v>
      </c>
      <c r="D413" s="231" t="s">
        <v>676</v>
      </c>
      <c r="E413" s="231" t="s">
        <v>661</v>
      </c>
      <c r="F413" s="251">
        <v>3719.01</v>
      </c>
      <c r="G413" s="251">
        <v>0</v>
      </c>
      <c r="H413" s="231">
        <v>0</v>
      </c>
      <c r="I413" s="231">
        <v>0</v>
      </c>
      <c r="J413" s="231">
        <v>0</v>
      </c>
      <c r="K413" s="231">
        <v>780.99</v>
      </c>
      <c r="L413" s="231">
        <v>0</v>
      </c>
      <c r="M413" s="251">
        <v>0</v>
      </c>
      <c r="N413" s="251">
        <v>4500</v>
      </c>
    </row>
    <row r="414" spans="1:14">
      <c r="A414" s="267" t="s">
        <v>652</v>
      </c>
      <c r="B414" s="268" t="s">
        <v>1171</v>
      </c>
      <c r="C414" s="231" t="s">
        <v>675</v>
      </c>
      <c r="D414" s="231" t="s">
        <v>676</v>
      </c>
      <c r="E414" s="231" t="s">
        <v>661</v>
      </c>
      <c r="F414" s="251">
        <v>3388.43</v>
      </c>
      <c r="G414" s="251">
        <v>0</v>
      </c>
      <c r="H414" s="231">
        <v>0</v>
      </c>
      <c r="I414" s="231">
        <v>0</v>
      </c>
      <c r="J414" s="231">
        <v>0</v>
      </c>
      <c r="K414" s="231">
        <v>711.57</v>
      </c>
      <c r="L414" s="231">
        <v>0</v>
      </c>
      <c r="M414" s="251">
        <v>0</v>
      </c>
      <c r="N414" s="251">
        <v>4100</v>
      </c>
    </row>
    <row r="415" spans="1:14">
      <c r="A415" s="267" t="s">
        <v>652</v>
      </c>
      <c r="B415" s="268" t="s">
        <v>1172</v>
      </c>
      <c r="C415" s="231" t="s">
        <v>675</v>
      </c>
      <c r="D415" s="231" t="s">
        <v>676</v>
      </c>
      <c r="E415" s="231" t="s">
        <v>661</v>
      </c>
      <c r="F415" s="251">
        <v>9421.49</v>
      </c>
      <c r="G415" s="251">
        <v>0</v>
      </c>
      <c r="H415" s="231">
        <v>0</v>
      </c>
      <c r="I415" s="231">
        <v>0</v>
      </c>
      <c r="J415" s="231">
        <v>0</v>
      </c>
      <c r="K415" s="231">
        <v>1978.51</v>
      </c>
      <c r="L415" s="231">
        <v>0</v>
      </c>
      <c r="M415" s="251">
        <v>0</v>
      </c>
      <c r="N415" s="251">
        <v>11400</v>
      </c>
    </row>
    <row r="416" spans="1:14">
      <c r="A416" s="267" t="s">
        <v>652</v>
      </c>
      <c r="B416" s="268" t="s">
        <v>1173</v>
      </c>
      <c r="C416" s="231" t="s">
        <v>704</v>
      </c>
      <c r="D416" s="231" t="s">
        <v>702</v>
      </c>
      <c r="E416" s="231">
        <v>30608716390</v>
      </c>
      <c r="F416" s="251">
        <v>5821.48</v>
      </c>
      <c r="G416" s="251">
        <v>0</v>
      </c>
      <c r="H416" s="231">
        <v>0</v>
      </c>
      <c r="I416" s="231">
        <v>0</v>
      </c>
      <c r="J416" s="231">
        <v>0</v>
      </c>
      <c r="K416" s="231">
        <v>1222.51</v>
      </c>
      <c r="L416" s="231">
        <v>0</v>
      </c>
      <c r="M416" s="251">
        <v>0</v>
      </c>
      <c r="N416" s="251">
        <v>7043.99</v>
      </c>
    </row>
    <row r="417" spans="1:14">
      <c r="A417" s="267" t="s">
        <v>652</v>
      </c>
      <c r="B417" s="268" t="s">
        <v>1174</v>
      </c>
      <c r="C417" s="231" t="s">
        <v>1175</v>
      </c>
      <c r="D417" s="231" t="s">
        <v>676</v>
      </c>
      <c r="E417" s="231">
        <v>16994318</v>
      </c>
      <c r="F417" s="251">
        <v>13553.72</v>
      </c>
      <c r="G417" s="251">
        <v>0</v>
      </c>
      <c r="H417" s="231">
        <v>0</v>
      </c>
      <c r="I417" s="231">
        <v>0</v>
      </c>
      <c r="J417" s="231">
        <v>0</v>
      </c>
      <c r="K417" s="231">
        <v>2846.28</v>
      </c>
      <c r="L417" s="231">
        <v>0</v>
      </c>
      <c r="M417" s="251">
        <v>0</v>
      </c>
      <c r="N417" s="251">
        <v>16400</v>
      </c>
    </row>
    <row r="418" spans="1:14">
      <c r="A418" s="267" t="s">
        <v>652</v>
      </c>
      <c r="B418" s="268" t="s">
        <v>1176</v>
      </c>
      <c r="C418" s="231" t="s">
        <v>1019</v>
      </c>
      <c r="D418" s="231" t="s">
        <v>676</v>
      </c>
      <c r="E418" s="231">
        <v>37904748</v>
      </c>
      <c r="F418" s="251">
        <v>7851.24</v>
      </c>
      <c r="G418" s="251">
        <v>0</v>
      </c>
      <c r="H418" s="231">
        <v>0</v>
      </c>
      <c r="I418" s="231">
        <v>0</v>
      </c>
      <c r="J418" s="231">
        <v>0</v>
      </c>
      <c r="K418" s="231">
        <v>1648.76</v>
      </c>
      <c r="L418" s="231">
        <v>0</v>
      </c>
      <c r="M418" s="251">
        <v>0</v>
      </c>
      <c r="N418" s="251">
        <v>9500</v>
      </c>
    </row>
    <row r="419" spans="1:14">
      <c r="A419" s="267" t="s">
        <v>652</v>
      </c>
      <c r="B419" s="268" t="s">
        <v>1177</v>
      </c>
      <c r="C419" s="231" t="s">
        <v>838</v>
      </c>
      <c r="D419" s="231" t="s">
        <v>676</v>
      </c>
      <c r="E419" s="231">
        <v>4648296</v>
      </c>
      <c r="F419" s="251">
        <v>7438.02</v>
      </c>
      <c r="G419" s="251">
        <v>0</v>
      </c>
      <c r="H419" s="231">
        <v>0</v>
      </c>
      <c r="I419" s="231">
        <v>0</v>
      </c>
      <c r="J419" s="231">
        <v>0</v>
      </c>
      <c r="K419" s="231">
        <v>1561.98</v>
      </c>
      <c r="L419" s="231">
        <v>0</v>
      </c>
      <c r="M419" s="251">
        <v>0</v>
      </c>
      <c r="N419" s="251">
        <v>9000</v>
      </c>
    </row>
    <row r="420" spans="1:14">
      <c r="A420" s="267" t="s">
        <v>652</v>
      </c>
      <c r="B420" s="268" t="s">
        <v>1178</v>
      </c>
      <c r="C420" s="231" t="s">
        <v>1179</v>
      </c>
      <c r="D420" s="231" t="s">
        <v>676</v>
      </c>
      <c r="E420" s="231">
        <v>643000</v>
      </c>
      <c r="F420" s="251">
        <v>867.76</v>
      </c>
      <c r="G420" s="251">
        <v>0</v>
      </c>
      <c r="H420" s="231">
        <v>0</v>
      </c>
      <c r="I420" s="231">
        <v>0</v>
      </c>
      <c r="J420" s="231">
        <v>0</v>
      </c>
      <c r="K420" s="231">
        <v>182.24</v>
      </c>
      <c r="L420" s="231">
        <v>0</v>
      </c>
      <c r="M420" s="251">
        <v>0</v>
      </c>
      <c r="N420" s="251">
        <v>1050</v>
      </c>
    </row>
    <row r="421" spans="1:14">
      <c r="A421" s="267" t="s">
        <v>653</v>
      </c>
      <c r="B421" s="268" t="s">
        <v>1180</v>
      </c>
      <c r="C421" s="231" t="s">
        <v>675</v>
      </c>
      <c r="D421" s="231" t="s">
        <v>676</v>
      </c>
      <c r="E421" s="231" t="s">
        <v>661</v>
      </c>
      <c r="F421" s="251">
        <v>-5239.67</v>
      </c>
      <c r="G421" s="251">
        <v>0</v>
      </c>
      <c r="H421" s="231">
        <v>0</v>
      </c>
      <c r="I421" s="231">
        <v>0</v>
      </c>
      <c r="J421" s="231">
        <v>0</v>
      </c>
      <c r="K421" s="231">
        <v>-1100.33</v>
      </c>
      <c r="L421" s="231">
        <v>0</v>
      </c>
      <c r="M421" s="251">
        <v>0</v>
      </c>
      <c r="N421" s="251">
        <v>-6340</v>
      </c>
    </row>
    <row r="422" spans="1:14">
      <c r="A422" s="267" t="s">
        <v>653</v>
      </c>
      <c r="B422" s="268" t="s">
        <v>1181</v>
      </c>
      <c r="C422" s="231" t="s">
        <v>675</v>
      </c>
      <c r="D422" s="231" t="s">
        <v>676</v>
      </c>
      <c r="E422" s="231" t="s">
        <v>661</v>
      </c>
      <c r="F422" s="251">
        <v>20495.87</v>
      </c>
      <c r="G422" s="251">
        <v>0</v>
      </c>
      <c r="H422" s="231">
        <v>0</v>
      </c>
      <c r="I422" s="231">
        <v>0</v>
      </c>
      <c r="J422" s="231">
        <v>0</v>
      </c>
      <c r="K422" s="231">
        <v>4304.13</v>
      </c>
      <c r="L422" s="231">
        <v>0</v>
      </c>
      <c r="M422" s="251">
        <v>0</v>
      </c>
      <c r="N422" s="251">
        <v>24800</v>
      </c>
    </row>
    <row r="423" spans="1:14">
      <c r="A423" s="267" t="s">
        <v>653</v>
      </c>
      <c r="B423" s="268" t="s">
        <v>1182</v>
      </c>
      <c r="C423" s="231" t="s">
        <v>675</v>
      </c>
      <c r="D423" s="231" t="s">
        <v>676</v>
      </c>
      <c r="E423" s="231" t="s">
        <v>661</v>
      </c>
      <c r="F423" s="251">
        <v>13884.3</v>
      </c>
      <c r="G423" s="251">
        <v>0</v>
      </c>
      <c r="H423" s="231">
        <v>0</v>
      </c>
      <c r="I423" s="231">
        <v>0</v>
      </c>
      <c r="J423" s="231">
        <v>0</v>
      </c>
      <c r="K423" s="231">
        <v>2915.7</v>
      </c>
      <c r="L423" s="231">
        <v>0</v>
      </c>
      <c r="M423" s="251">
        <v>0</v>
      </c>
      <c r="N423" s="251">
        <v>16800</v>
      </c>
    </row>
    <row r="424" spans="1:14">
      <c r="A424" s="267" t="s">
        <v>653</v>
      </c>
      <c r="B424" s="268" t="s">
        <v>1183</v>
      </c>
      <c r="C424" s="231" t="s">
        <v>675</v>
      </c>
      <c r="D424" s="231" t="s">
        <v>676</v>
      </c>
      <c r="E424" s="231" t="s">
        <v>661</v>
      </c>
      <c r="F424" s="251">
        <v>1553.72</v>
      </c>
      <c r="G424" s="251">
        <v>0</v>
      </c>
      <c r="H424" s="231">
        <v>0</v>
      </c>
      <c r="I424" s="231">
        <v>0</v>
      </c>
      <c r="J424" s="231">
        <v>0</v>
      </c>
      <c r="K424" s="231">
        <v>326.28000000000003</v>
      </c>
      <c r="L424" s="231">
        <v>0</v>
      </c>
      <c r="M424" s="251">
        <v>0</v>
      </c>
      <c r="N424" s="251">
        <v>1880</v>
      </c>
    </row>
    <row r="425" spans="1:14">
      <c r="A425" s="267" t="s">
        <v>653</v>
      </c>
      <c r="B425" s="268" t="s">
        <v>1184</v>
      </c>
      <c r="C425" s="231" t="s">
        <v>675</v>
      </c>
      <c r="D425" s="231" t="s">
        <v>676</v>
      </c>
      <c r="E425" s="231" t="s">
        <v>661</v>
      </c>
      <c r="F425" s="251">
        <v>6033.06</v>
      </c>
      <c r="G425" s="251">
        <v>0</v>
      </c>
      <c r="H425" s="231">
        <v>0</v>
      </c>
      <c r="I425" s="231">
        <v>0</v>
      </c>
      <c r="J425" s="231">
        <v>0</v>
      </c>
      <c r="K425" s="231">
        <v>1266.94</v>
      </c>
      <c r="L425" s="231">
        <v>0</v>
      </c>
      <c r="M425" s="251">
        <v>0</v>
      </c>
      <c r="N425" s="251">
        <v>7300</v>
      </c>
    </row>
    <row r="426" spans="1:14">
      <c r="A426" s="267" t="s">
        <v>653</v>
      </c>
      <c r="B426" s="268" t="s">
        <v>1185</v>
      </c>
      <c r="C426" s="231" t="s">
        <v>675</v>
      </c>
      <c r="D426" s="231" t="s">
        <v>676</v>
      </c>
      <c r="E426" s="231" t="s">
        <v>661</v>
      </c>
      <c r="F426" s="251">
        <v>13884.3</v>
      </c>
      <c r="G426" s="251">
        <v>0</v>
      </c>
      <c r="H426" s="231">
        <v>0</v>
      </c>
      <c r="I426" s="231">
        <v>0</v>
      </c>
      <c r="J426" s="231">
        <v>0</v>
      </c>
      <c r="K426" s="231">
        <v>2915.7</v>
      </c>
      <c r="L426" s="231">
        <v>0</v>
      </c>
      <c r="M426" s="251">
        <v>0</v>
      </c>
      <c r="N426" s="251">
        <v>16800</v>
      </c>
    </row>
    <row r="427" spans="1:14">
      <c r="A427" s="267" t="s">
        <v>653</v>
      </c>
      <c r="B427" s="268" t="s">
        <v>1186</v>
      </c>
      <c r="C427" s="231" t="s">
        <v>675</v>
      </c>
      <c r="D427" s="231" t="s">
        <v>676</v>
      </c>
      <c r="E427" s="231" t="s">
        <v>661</v>
      </c>
      <c r="F427" s="251">
        <v>826.45</v>
      </c>
      <c r="G427" s="251">
        <v>0</v>
      </c>
      <c r="H427" s="231">
        <v>0</v>
      </c>
      <c r="I427" s="231">
        <v>0</v>
      </c>
      <c r="J427" s="231">
        <v>0</v>
      </c>
      <c r="K427" s="231">
        <v>173.55</v>
      </c>
      <c r="L427" s="231">
        <v>0</v>
      </c>
      <c r="M427" s="251">
        <v>0</v>
      </c>
      <c r="N427" s="251">
        <v>1000</v>
      </c>
    </row>
    <row r="428" spans="1:14">
      <c r="A428" s="267" t="s">
        <v>653</v>
      </c>
      <c r="B428" s="268" t="s">
        <v>1187</v>
      </c>
      <c r="C428" s="231" t="s">
        <v>675</v>
      </c>
      <c r="D428" s="231" t="s">
        <v>676</v>
      </c>
      <c r="E428" s="231" t="s">
        <v>661</v>
      </c>
      <c r="F428" s="251">
        <v>6942.15</v>
      </c>
      <c r="G428" s="251">
        <v>0</v>
      </c>
      <c r="H428" s="231">
        <v>0</v>
      </c>
      <c r="I428" s="231">
        <v>0</v>
      </c>
      <c r="J428" s="231">
        <v>0</v>
      </c>
      <c r="K428" s="231">
        <v>1457.85</v>
      </c>
      <c r="L428" s="231">
        <v>0</v>
      </c>
      <c r="M428" s="251">
        <v>0</v>
      </c>
      <c r="N428" s="251">
        <v>8400</v>
      </c>
    </row>
    <row r="429" spans="1:14">
      <c r="A429" s="267" t="s">
        <v>653</v>
      </c>
      <c r="B429" s="268" t="s">
        <v>1188</v>
      </c>
      <c r="C429" s="231" t="s">
        <v>675</v>
      </c>
      <c r="D429" s="231" t="s">
        <v>676</v>
      </c>
      <c r="E429" s="231" t="s">
        <v>661</v>
      </c>
      <c r="F429" s="251">
        <v>21123.97</v>
      </c>
      <c r="G429" s="251">
        <v>0</v>
      </c>
      <c r="H429" s="231">
        <v>0</v>
      </c>
      <c r="I429" s="231">
        <v>0</v>
      </c>
      <c r="J429" s="231">
        <v>0</v>
      </c>
      <c r="K429" s="231">
        <v>4436.03</v>
      </c>
      <c r="L429" s="231">
        <v>0</v>
      </c>
      <c r="M429" s="251">
        <v>0</v>
      </c>
      <c r="N429" s="251">
        <v>25560</v>
      </c>
    </row>
    <row r="430" spans="1:14">
      <c r="A430" s="267" t="s">
        <v>653</v>
      </c>
      <c r="B430" s="268" t="s">
        <v>1189</v>
      </c>
      <c r="C430" s="231" t="s">
        <v>675</v>
      </c>
      <c r="D430" s="231" t="s">
        <v>676</v>
      </c>
      <c r="E430" s="231" t="s">
        <v>661</v>
      </c>
      <c r="F430" s="251">
        <v>12066.12</v>
      </c>
      <c r="G430" s="251">
        <v>0</v>
      </c>
      <c r="H430" s="231">
        <v>0</v>
      </c>
      <c r="I430" s="231">
        <v>0</v>
      </c>
      <c r="J430" s="231">
        <v>0</v>
      </c>
      <c r="K430" s="231">
        <v>2533.88</v>
      </c>
      <c r="L430" s="231">
        <v>0</v>
      </c>
      <c r="M430" s="251">
        <v>0</v>
      </c>
      <c r="N430" s="251">
        <v>14600</v>
      </c>
    </row>
    <row r="431" spans="1:14">
      <c r="A431" s="267" t="s">
        <v>653</v>
      </c>
      <c r="B431" s="268" t="s">
        <v>1190</v>
      </c>
      <c r="C431" s="231" t="s">
        <v>675</v>
      </c>
      <c r="D431" s="231" t="s">
        <v>676</v>
      </c>
      <c r="E431" s="231" t="s">
        <v>661</v>
      </c>
      <c r="F431" s="251">
        <v>2479.34</v>
      </c>
      <c r="G431" s="251">
        <v>0</v>
      </c>
      <c r="H431" s="231">
        <v>0</v>
      </c>
      <c r="I431" s="231">
        <v>0</v>
      </c>
      <c r="J431" s="231">
        <v>0</v>
      </c>
      <c r="K431" s="231">
        <v>520.66</v>
      </c>
      <c r="L431" s="231">
        <v>0</v>
      </c>
      <c r="M431" s="251">
        <v>0</v>
      </c>
      <c r="N431" s="251">
        <v>3000</v>
      </c>
    </row>
    <row r="432" spans="1:14">
      <c r="A432" s="267" t="s">
        <v>653</v>
      </c>
      <c r="B432" s="268" t="s">
        <v>1191</v>
      </c>
      <c r="C432" s="231" t="s">
        <v>675</v>
      </c>
      <c r="D432" s="231" t="s">
        <v>676</v>
      </c>
      <c r="E432" s="231" t="s">
        <v>661</v>
      </c>
      <c r="F432" s="251">
        <v>6694.21</v>
      </c>
      <c r="G432" s="251">
        <v>0</v>
      </c>
      <c r="H432" s="231">
        <v>0</v>
      </c>
      <c r="I432" s="231">
        <v>0</v>
      </c>
      <c r="J432" s="231">
        <v>0</v>
      </c>
      <c r="K432" s="231">
        <v>1405.79</v>
      </c>
      <c r="L432" s="231">
        <v>0</v>
      </c>
      <c r="M432" s="251">
        <v>0</v>
      </c>
      <c r="N432" s="251">
        <v>8100</v>
      </c>
    </row>
    <row r="433" spans="1:14">
      <c r="A433" s="267" t="s">
        <v>653</v>
      </c>
      <c r="B433" s="268" t="s">
        <v>1192</v>
      </c>
      <c r="C433" s="231" t="s">
        <v>675</v>
      </c>
      <c r="D433" s="231" t="s">
        <v>676</v>
      </c>
      <c r="E433" s="231" t="s">
        <v>661</v>
      </c>
      <c r="F433" s="251">
        <v>18752.07</v>
      </c>
      <c r="G433" s="251">
        <v>0</v>
      </c>
      <c r="H433" s="231">
        <v>0</v>
      </c>
      <c r="I433" s="231">
        <v>0</v>
      </c>
      <c r="J433" s="231">
        <v>0</v>
      </c>
      <c r="K433" s="231">
        <v>3937.93</v>
      </c>
      <c r="L433" s="231">
        <v>0</v>
      </c>
      <c r="M433" s="251">
        <v>0</v>
      </c>
      <c r="N433" s="251">
        <v>22690</v>
      </c>
    </row>
    <row r="434" spans="1:14">
      <c r="A434" s="267" t="s">
        <v>653</v>
      </c>
      <c r="B434" s="268" t="s">
        <v>1193</v>
      </c>
      <c r="C434" s="231" t="s">
        <v>675</v>
      </c>
      <c r="D434" s="231" t="s">
        <v>676</v>
      </c>
      <c r="E434" s="231" t="s">
        <v>661</v>
      </c>
      <c r="F434" s="251">
        <v>7851.24</v>
      </c>
      <c r="G434" s="251">
        <v>0</v>
      </c>
      <c r="H434" s="231">
        <v>0</v>
      </c>
      <c r="I434" s="231">
        <v>0</v>
      </c>
      <c r="J434" s="231">
        <v>0</v>
      </c>
      <c r="K434" s="231">
        <v>1648.76</v>
      </c>
      <c r="L434" s="231">
        <v>0</v>
      </c>
      <c r="M434" s="251">
        <v>0</v>
      </c>
      <c r="N434" s="251">
        <v>9500</v>
      </c>
    </row>
    <row r="435" spans="1:14">
      <c r="A435" s="267" t="s">
        <v>653</v>
      </c>
      <c r="B435" s="268" t="s">
        <v>1194</v>
      </c>
      <c r="C435" s="231" t="s">
        <v>675</v>
      </c>
      <c r="D435" s="231" t="s">
        <v>676</v>
      </c>
      <c r="E435" s="231" t="s">
        <v>661</v>
      </c>
      <c r="F435" s="251">
        <v>2892.56</v>
      </c>
      <c r="G435" s="251">
        <v>0</v>
      </c>
      <c r="H435" s="231">
        <v>0</v>
      </c>
      <c r="I435" s="231">
        <v>0</v>
      </c>
      <c r="J435" s="231">
        <v>0</v>
      </c>
      <c r="K435" s="231">
        <v>607.44000000000005</v>
      </c>
      <c r="L435" s="231">
        <v>0</v>
      </c>
      <c r="M435" s="251">
        <v>0</v>
      </c>
      <c r="N435" s="251">
        <v>3500</v>
      </c>
    </row>
    <row r="436" spans="1:14">
      <c r="A436" s="267" t="s">
        <v>653</v>
      </c>
      <c r="B436" s="268" t="s">
        <v>1195</v>
      </c>
      <c r="C436" s="231" t="s">
        <v>675</v>
      </c>
      <c r="D436" s="231" t="s">
        <v>676</v>
      </c>
      <c r="E436" s="231" t="s">
        <v>661</v>
      </c>
      <c r="F436" s="251">
        <v>4876.03</v>
      </c>
      <c r="G436" s="251">
        <v>0</v>
      </c>
      <c r="H436" s="231">
        <v>0</v>
      </c>
      <c r="I436" s="231">
        <v>0</v>
      </c>
      <c r="J436" s="231">
        <v>0</v>
      </c>
      <c r="K436" s="231">
        <v>1023.97</v>
      </c>
      <c r="L436" s="231">
        <v>0</v>
      </c>
      <c r="M436" s="251">
        <v>0</v>
      </c>
      <c r="N436" s="251">
        <v>5900</v>
      </c>
    </row>
    <row r="437" spans="1:14">
      <c r="A437" s="267" t="s">
        <v>653</v>
      </c>
      <c r="B437" s="268" t="s">
        <v>1196</v>
      </c>
      <c r="C437" s="231" t="s">
        <v>675</v>
      </c>
      <c r="D437" s="231" t="s">
        <v>676</v>
      </c>
      <c r="E437" s="231" t="s">
        <v>661</v>
      </c>
      <c r="F437" s="251">
        <v>6280.99</v>
      </c>
      <c r="G437" s="251">
        <v>0</v>
      </c>
      <c r="H437" s="231">
        <v>0</v>
      </c>
      <c r="I437" s="231">
        <v>0</v>
      </c>
      <c r="J437" s="231">
        <v>0</v>
      </c>
      <c r="K437" s="231">
        <v>1319.01</v>
      </c>
      <c r="L437" s="231">
        <v>0</v>
      </c>
      <c r="M437" s="251">
        <v>0</v>
      </c>
      <c r="N437" s="251">
        <v>7600</v>
      </c>
    </row>
    <row r="438" spans="1:14">
      <c r="A438" s="267" t="s">
        <v>653</v>
      </c>
      <c r="B438" s="268" t="s">
        <v>1197</v>
      </c>
      <c r="C438" s="231" t="s">
        <v>675</v>
      </c>
      <c r="D438" s="231" t="s">
        <v>676</v>
      </c>
      <c r="E438" s="231" t="s">
        <v>661</v>
      </c>
      <c r="F438" s="251">
        <v>3925.62</v>
      </c>
      <c r="G438" s="251">
        <v>0</v>
      </c>
      <c r="H438" s="231">
        <v>0</v>
      </c>
      <c r="I438" s="231">
        <v>0</v>
      </c>
      <c r="J438" s="231">
        <v>0</v>
      </c>
      <c r="K438" s="231">
        <v>824.38</v>
      </c>
      <c r="L438" s="231">
        <v>0</v>
      </c>
      <c r="M438" s="251">
        <v>0</v>
      </c>
      <c r="N438" s="251">
        <v>4750</v>
      </c>
    </row>
    <row r="439" spans="1:14">
      <c r="A439" s="267" t="s">
        <v>653</v>
      </c>
      <c r="B439" s="268" t="s">
        <v>1198</v>
      </c>
      <c r="C439" s="231" t="s">
        <v>675</v>
      </c>
      <c r="D439" s="231" t="s">
        <v>676</v>
      </c>
      <c r="E439" s="231" t="s">
        <v>661</v>
      </c>
      <c r="F439" s="251">
        <v>2380.17</v>
      </c>
      <c r="G439" s="251">
        <v>0</v>
      </c>
      <c r="H439" s="231">
        <v>0</v>
      </c>
      <c r="I439" s="231">
        <v>0</v>
      </c>
      <c r="J439" s="231">
        <v>0</v>
      </c>
      <c r="K439" s="231">
        <v>499.83</v>
      </c>
      <c r="L439" s="231">
        <v>0</v>
      </c>
      <c r="M439" s="251">
        <v>0</v>
      </c>
      <c r="N439" s="251">
        <v>2880</v>
      </c>
    </row>
    <row r="440" spans="1:14">
      <c r="A440" s="267" t="s">
        <v>653</v>
      </c>
      <c r="B440" s="268" t="s">
        <v>1199</v>
      </c>
      <c r="C440" s="231" t="s">
        <v>675</v>
      </c>
      <c r="D440" s="231" t="s">
        <v>676</v>
      </c>
      <c r="E440" s="231" t="s">
        <v>661</v>
      </c>
      <c r="F440" s="251">
        <v>7148.76</v>
      </c>
      <c r="G440" s="251">
        <v>0</v>
      </c>
      <c r="H440" s="231">
        <v>0</v>
      </c>
      <c r="I440" s="231">
        <v>0</v>
      </c>
      <c r="J440" s="231">
        <v>0</v>
      </c>
      <c r="K440" s="231">
        <v>1501.24</v>
      </c>
      <c r="L440" s="231">
        <v>0</v>
      </c>
      <c r="M440" s="251">
        <v>0</v>
      </c>
      <c r="N440" s="251">
        <v>8650</v>
      </c>
    </row>
    <row r="441" spans="1:14">
      <c r="A441" s="267" t="s">
        <v>653</v>
      </c>
      <c r="B441" s="268" t="s">
        <v>1200</v>
      </c>
      <c r="C441" s="231" t="s">
        <v>675</v>
      </c>
      <c r="D441" s="231" t="s">
        <v>676</v>
      </c>
      <c r="E441" s="231" t="s">
        <v>661</v>
      </c>
      <c r="F441" s="251">
        <v>3016.53</v>
      </c>
      <c r="G441" s="251">
        <v>0</v>
      </c>
      <c r="H441" s="231">
        <v>0</v>
      </c>
      <c r="I441" s="231">
        <v>0</v>
      </c>
      <c r="J441" s="231">
        <v>0</v>
      </c>
      <c r="K441" s="231">
        <v>633.47</v>
      </c>
      <c r="L441" s="231">
        <v>0</v>
      </c>
      <c r="M441" s="251">
        <v>0</v>
      </c>
      <c r="N441" s="251">
        <v>3650</v>
      </c>
    </row>
    <row r="442" spans="1:14">
      <c r="A442" s="267" t="s">
        <v>653</v>
      </c>
      <c r="B442" s="268" t="s">
        <v>1201</v>
      </c>
      <c r="C442" s="231" t="s">
        <v>701</v>
      </c>
      <c r="D442" s="231" t="s">
        <v>702</v>
      </c>
      <c r="E442" s="231">
        <v>30522428163</v>
      </c>
      <c r="F442" s="251">
        <v>5693057.8500000006</v>
      </c>
      <c r="G442" s="251">
        <v>0</v>
      </c>
      <c r="H442" s="231">
        <v>0</v>
      </c>
      <c r="I442" s="231">
        <v>0</v>
      </c>
      <c r="J442" s="231">
        <v>0</v>
      </c>
      <c r="K442" s="231">
        <v>1195542.1400000001</v>
      </c>
      <c r="L442" s="231">
        <v>0</v>
      </c>
      <c r="M442" s="251">
        <v>0</v>
      </c>
      <c r="N442" s="251">
        <v>6888599.9900000002</v>
      </c>
    </row>
    <row r="443" spans="1:14">
      <c r="A443" s="267" t="s">
        <v>653</v>
      </c>
      <c r="B443" s="268" t="s">
        <v>1202</v>
      </c>
      <c r="C443" s="231" t="s">
        <v>704</v>
      </c>
      <c r="D443" s="231" t="s">
        <v>702</v>
      </c>
      <c r="E443" s="231">
        <v>30608716390</v>
      </c>
      <c r="F443" s="251">
        <v>867.77</v>
      </c>
      <c r="G443" s="251">
        <v>0</v>
      </c>
      <c r="H443" s="231">
        <v>0</v>
      </c>
      <c r="I443" s="231">
        <v>0</v>
      </c>
      <c r="J443" s="231">
        <v>0</v>
      </c>
      <c r="K443" s="231">
        <v>182.23</v>
      </c>
      <c r="L443" s="231">
        <v>0</v>
      </c>
      <c r="M443" s="251">
        <v>0</v>
      </c>
      <c r="N443" s="251">
        <v>1050</v>
      </c>
    </row>
    <row r="444" spans="1:14">
      <c r="A444" s="267" t="s">
        <v>653</v>
      </c>
      <c r="B444" s="268" t="s">
        <v>1203</v>
      </c>
      <c r="C444" s="231" t="s">
        <v>704</v>
      </c>
      <c r="D444" s="231" t="s">
        <v>702</v>
      </c>
      <c r="E444" s="231">
        <v>30608716390</v>
      </c>
      <c r="F444" s="251">
        <v>2826.45</v>
      </c>
      <c r="G444" s="251">
        <v>0</v>
      </c>
      <c r="H444" s="231">
        <v>0</v>
      </c>
      <c r="I444" s="231">
        <v>0</v>
      </c>
      <c r="J444" s="231">
        <v>0</v>
      </c>
      <c r="K444" s="231">
        <v>593.55000000000007</v>
      </c>
      <c r="L444" s="231">
        <v>0</v>
      </c>
      <c r="M444" s="251">
        <v>0</v>
      </c>
      <c r="N444" s="251">
        <v>3420</v>
      </c>
    </row>
    <row r="445" spans="1:14">
      <c r="A445" s="267" t="s">
        <v>653</v>
      </c>
      <c r="B445" s="268" t="s">
        <v>1204</v>
      </c>
      <c r="C445" s="231" t="s">
        <v>701</v>
      </c>
      <c r="D445" s="231" t="s">
        <v>702</v>
      </c>
      <c r="E445" s="231">
        <v>30522428163</v>
      </c>
      <c r="F445" s="251">
        <v>60991.74</v>
      </c>
      <c r="G445" s="251">
        <v>0</v>
      </c>
      <c r="H445" s="231">
        <v>0</v>
      </c>
      <c r="I445" s="231">
        <v>0</v>
      </c>
      <c r="J445" s="231">
        <v>0</v>
      </c>
      <c r="K445" s="231">
        <v>12808.26</v>
      </c>
      <c r="L445" s="231">
        <v>0</v>
      </c>
      <c r="M445" s="251">
        <v>0</v>
      </c>
      <c r="N445" s="251">
        <v>73800</v>
      </c>
    </row>
    <row r="446" spans="1:14">
      <c r="A446" s="267" t="s">
        <v>653</v>
      </c>
      <c r="B446" s="268" t="s">
        <v>1205</v>
      </c>
      <c r="C446" s="231" t="s">
        <v>1206</v>
      </c>
      <c r="D446" s="231" t="s">
        <v>676</v>
      </c>
      <c r="E446" s="231" t="s">
        <v>661</v>
      </c>
      <c r="F446" s="251">
        <v>20578.510000000002</v>
      </c>
      <c r="G446" s="251">
        <v>0</v>
      </c>
      <c r="H446" s="231">
        <v>0</v>
      </c>
      <c r="I446" s="231">
        <v>0</v>
      </c>
      <c r="J446" s="231">
        <v>0</v>
      </c>
      <c r="K446" s="231">
        <v>4321.49</v>
      </c>
      <c r="L446" s="231">
        <v>0</v>
      </c>
      <c r="M446" s="251">
        <v>0</v>
      </c>
      <c r="N446" s="251">
        <v>24900</v>
      </c>
    </row>
    <row r="447" spans="1:14">
      <c r="A447" s="267" t="s">
        <v>653</v>
      </c>
      <c r="B447" s="268" t="s">
        <v>1207</v>
      </c>
      <c r="C447" s="231" t="s">
        <v>1085</v>
      </c>
      <c r="D447" s="231" t="s">
        <v>676</v>
      </c>
      <c r="E447" s="231">
        <v>3955768</v>
      </c>
      <c r="F447" s="251">
        <v>6511.57</v>
      </c>
      <c r="G447" s="251">
        <v>0</v>
      </c>
      <c r="H447" s="231">
        <v>0</v>
      </c>
      <c r="I447" s="231">
        <v>0</v>
      </c>
      <c r="J447" s="231">
        <v>0</v>
      </c>
      <c r="K447" s="231">
        <v>1367.43</v>
      </c>
      <c r="L447" s="231">
        <v>0</v>
      </c>
      <c r="M447" s="251">
        <v>0</v>
      </c>
      <c r="N447" s="251">
        <v>7879</v>
      </c>
    </row>
    <row r="448" spans="1:14">
      <c r="A448" s="267" t="s">
        <v>653</v>
      </c>
      <c r="B448" s="268" t="s">
        <v>1208</v>
      </c>
      <c r="C448" s="231" t="s">
        <v>1209</v>
      </c>
      <c r="D448" s="231" t="s">
        <v>676</v>
      </c>
      <c r="E448" s="231">
        <v>16246667</v>
      </c>
      <c r="F448" s="251">
        <v>11983.47</v>
      </c>
      <c r="G448" s="251">
        <v>0</v>
      </c>
      <c r="H448" s="231">
        <v>0</v>
      </c>
      <c r="I448" s="231">
        <v>0</v>
      </c>
      <c r="J448" s="231">
        <v>0</v>
      </c>
      <c r="K448" s="231">
        <v>2516.5300000000002</v>
      </c>
      <c r="L448" s="231">
        <v>0</v>
      </c>
      <c r="M448" s="251">
        <v>0</v>
      </c>
      <c r="N448" s="251">
        <v>14500</v>
      </c>
    </row>
    <row r="449" spans="1:14">
      <c r="A449" s="267" t="s">
        <v>653</v>
      </c>
      <c r="B449" s="268" t="s">
        <v>1210</v>
      </c>
      <c r="C449" s="231" t="s">
        <v>1211</v>
      </c>
      <c r="D449" s="231" t="s">
        <v>676</v>
      </c>
      <c r="E449" s="231">
        <v>42470342</v>
      </c>
      <c r="F449" s="251">
        <v>4214.88</v>
      </c>
      <c r="G449" s="251">
        <v>0</v>
      </c>
      <c r="H449" s="231">
        <v>0</v>
      </c>
      <c r="I449" s="231">
        <v>0</v>
      </c>
      <c r="J449" s="231">
        <v>0</v>
      </c>
      <c r="K449" s="231">
        <v>885.12</v>
      </c>
      <c r="L449" s="231">
        <v>0</v>
      </c>
      <c r="M449" s="251">
        <v>0</v>
      </c>
      <c r="N449" s="251">
        <v>5100</v>
      </c>
    </row>
    <row r="450" spans="1:14">
      <c r="A450" s="266" t="s">
        <v>1212</v>
      </c>
      <c r="B450" s="266" t="s">
        <v>1213</v>
      </c>
      <c r="C450" s="266" t="s">
        <v>1214</v>
      </c>
      <c r="D450" s="266" t="s">
        <v>1215</v>
      </c>
      <c r="E450" s="266" t="s">
        <v>1216</v>
      </c>
      <c r="F450" s="269">
        <f ca="1">SUM(OFFSET($A$1,5,COLUMN()-1):OFFSET($A$1,ROW()-2,COLUMN()-1))</f>
        <v>48264979.659999959</v>
      </c>
      <c r="G450" s="269">
        <f ca="1">SUM(OFFSET($A$1,5,COLUMN()-1):OFFSET($A$1,ROW()-2,COLUMN()-1))</f>
        <v>0</v>
      </c>
      <c r="H450" s="269">
        <f ca="1">SUM(OFFSET($A$1,5,COLUMN()-1):OFFSET($A$1,ROW()-2,COLUMN()-1))</f>
        <v>0</v>
      </c>
      <c r="I450" s="269">
        <f ca="1">SUM(OFFSET($A$1,5,COLUMN()-1):OFFSET($A$1,ROW()-2,COLUMN()-1))</f>
        <v>0</v>
      </c>
      <c r="J450" s="269">
        <f ca="1">SUM(OFFSET($A$1,5,COLUMN()-1):OFFSET($A$1,ROW()-2,COLUMN()-1))</f>
        <v>0</v>
      </c>
      <c r="K450" s="321">
        <f ca="1">SUM(OFFSET($A$1,5,COLUMN()-1):OFFSET($A$1,ROW()-2,COLUMN()-1))</f>
        <v>10135645.619999992</v>
      </c>
      <c r="L450" s="269">
        <f ca="1">SUM(OFFSET($A$1,5,COLUMN()-1):OFFSET($A$1,ROW()-2,COLUMN()-1))</f>
        <v>0</v>
      </c>
      <c r="M450" s="269">
        <f ca="1">SUM(OFFSET($A$1,5,COLUMN()-1):OFFSET($A$1,ROW()-2,COLUMN()-1))</f>
        <v>0</v>
      </c>
      <c r="N450" s="269">
        <f ca="1">SUM(OFFSET($A$1,5,COLUMN()-1):OFFSET($A$1,ROW()-2,COLUMN()-1))</f>
        <v>58400625.280000016</v>
      </c>
    </row>
    <row r="452" spans="1:14">
      <c r="K452" s="322"/>
    </row>
    <row r="453" spans="1:14">
      <c r="K453" s="3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Configuracion</vt:lpstr>
      <vt:lpstr>AGOSTO</vt:lpstr>
      <vt:lpstr>Calculo IVA</vt:lpstr>
      <vt:lpstr>Iva Ventas 08 2023</vt:lpstr>
      <vt:lpstr>AGOSTO!Área_de_impresión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2023-09-18T18:02:08Z</dcterms:modified>
</cp:coreProperties>
</file>