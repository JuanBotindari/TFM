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19440" windowHeight="11160" activeTab="1"/>
  </bookViews>
  <sheets>
    <sheet name="Configuracion" sheetId="23" r:id="rId1"/>
    <sheet name="Abril 2023" sheetId="22" r:id="rId2"/>
    <sheet name="Calculo IVA" sheetId="24" r:id="rId3"/>
    <sheet name="Ventas 04 2023" sheetId="26" r:id="rId4"/>
  </sheets>
  <definedNames>
    <definedName name="_xlnm._FilterDatabase" localSheetId="1" hidden="1">'Abril 2023'!$A$7:$P$169</definedName>
    <definedName name="_xlnm._FilterDatabase" localSheetId="0" hidden="1">Configuracion!$A$3:$C$491</definedName>
    <definedName name="_xlnm._FilterDatabase" localSheetId="3" hidden="1">'Ventas 04 2023'!$A$5:$N$325</definedName>
    <definedName name="_xlnm.Print_Area" localSheetId="1">'Abril 2023'!$A$1:$N$124</definedName>
    <definedName name="partner_id" localSheetId="0">Configuracion!$B$332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25" i="26"/>
  <c r="M325"/>
  <c r="L325"/>
  <c r="K325"/>
  <c r="J325"/>
  <c r="I325"/>
  <c r="H325"/>
  <c r="G325"/>
  <c r="F325"/>
  <c r="F169" i="22"/>
  <c r="I213" l="1"/>
  <c r="H213"/>
  <c r="G213"/>
  <c r="F213"/>
  <c r="G137" l="1"/>
  <c r="E137"/>
  <c r="G135"/>
  <c r="E135"/>
  <c r="G128"/>
  <c r="E128"/>
  <c r="G132"/>
  <c r="E132"/>
  <c r="G149"/>
  <c r="E149"/>
  <c r="G151"/>
  <c r="E151"/>
  <c r="G154"/>
  <c r="E154"/>
  <c r="G153"/>
  <c r="E153"/>
  <c r="G152"/>
  <c r="E152"/>
  <c r="G150"/>
  <c r="E150"/>
  <c r="G156"/>
  <c r="E156"/>
  <c r="G155"/>
  <c r="E155"/>
  <c r="G139"/>
  <c r="E139"/>
  <c r="G162"/>
  <c r="E162"/>
  <c r="G161"/>
  <c r="E161"/>
  <c r="G160"/>
  <c r="E160"/>
  <c r="G159"/>
  <c r="E159"/>
  <c r="G158"/>
  <c r="E158"/>
  <c r="G157"/>
  <c r="E157"/>
  <c r="G148"/>
  <c r="E148"/>
  <c r="G147"/>
  <c r="E147"/>
  <c r="G146"/>
  <c r="E146"/>
  <c r="G145"/>
  <c r="E145"/>
  <c r="G144"/>
  <c r="E144"/>
  <c r="G130"/>
  <c r="E130"/>
  <c r="G129"/>
  <c r="E129"/>
  <c r="G141"/>
  <c r="E141"/>
  <c r="G140"/>
  <c r="E140"/>
  <c r="G133"/>
  <c r="E133"/>
  <c r="G143"/>
  <c r="E143"/>
  <c r="G142"/>
  <c r="E142"/>
  <c r="G125"/>
  <c r="E125"/>
  <c r="P67" l="1"/>
  <c r="G67"/>
  <c r="O67" s="1"/>
  <c r="E67"/>
  <c r="P89"/>
  <c r="G89"/>
  <c r="O89" s="1"/>
  <c r="E89"/>
  <c r="P88"/>
  <c r="G88"/>
  <c r="O88" s="1"/>
  <c r="E88"/>
  <c r="P26"/>
  <c r="G26"/>
  <c r="O26" s="1"/>
  <c r="E26"/>
  <c r="P54"/>
  <c r="G54"/>
  <c r="O54" s="1"/>
  <c r="E54"/>
  <c r="P53"/>
  <c r="G53"/>
  <c r="O53" s="1"/>
  <c r="E53"/>
  <c r="P52"/>
  <c r="G52"/>
  <c r="O52" s="1"/>
  <c r="E52"/>
  <c r="P51"/>
  <c r="G51"/>
  <c r="O51" s="1"/>
  <c r="E51"/>
  <c r="P50"/>
  <c r="G50"/>
  <c r="O50" s="1"/>
  <c r="E50"/>
  <c r="P22"/>
  <c r="O22"/>
  <c r="E22"/>
  <c r="P92"/>
  <c r="G92"/>
  <c r="O92" s="1"/>
  <c r="E92"/>
  <c r="P37"/>
  <c r="G37"/>
  <c r="O37" s="1"/>
  <c r="E37"/>
  <c r="P70"/>
  <c r="G70"/>
  <c r="O70" s="1"/>
  <c r="E70"/>
  <c r="P72"/>
  <c r="G72"/>
  <c r="O72" s="1"/>
  <c r="E72"/>
  <c r="P97"/>
  <c r="G97"/>
  <c r="O97" s="1"/>
  <c r="E97"/>
  <c r="P57"/>
  <c r="G57"/>
  <c r="O57" s="1"/>
  <c r="E57"/>
  <c r="P103"/>
  <c r="G103"/>
  <c r="O103" s="1"/>
  <c r="E103"/>
  <c r="P66"/>
  <c r="G66"/>
  <c r="O66" s="1"/>
  <c r="E66"/>
  <c r="P33"/>
  <c r="G33"/>
  <c r="O33" s="1"/>
  <c r="E33"/>
  <c r="P32"/>
  <c r="G32"/>
  <c r="O32" s="1"/>
  <c r="E32"/>
  <c r="P95"/>
  <c r="G95"/>
  <c r="O95" s="1"/>
  <c r="E95"/>
  <c r="P60"/>
  <c r="G60"/>
  <c r="O60" s="1"/>
  <c r="E60"/>
  <c r="P19"/>
  <c r="G19"/>
  <c r="O19" s="1"/>
  <c r="E19"/>
  <c r="P68"/>
  <c r="G68"/>
  <c r="O68" s="1"/>
  <c r="E68"/>
  <c r="P71"/>
  <c r="G71"/>
  <c r="O71" s="1"/>
  <c r="E71"/>
  <c r="P31"/>
  <c r="G31"/>
  <c r="O31" s="1"/>
  <c r="E31"/>
  <c r="P74"/>
  <c r="G74"/>
  <c r="O74" s="1"/>
  <c r="E74"/>
  <c r="P49"/>
  <c r="G49"/>
  <c r="O49" s="1"/>
  <c r="E49"/>
  <c r="P69"/>
  <c r="G69"/>
  <c r="O69" s="1"/>
  <c r="E69"/>
  <c r="P55"/>
  <c r="G55"/>
  <c r="O55" s="1"/>
  <c r="E55"/>
  <c r="P65"/>
  <c r="G65"/>
  <c r="O65" s="1"/>
  <c r="E65"/>
  <c r="P21"/>
  <c r="G21"/>
  <c r="O21" s="1"/>
  <c r="E21"/>
  <c r="P18"/>
  <c r="G18"/>
  <c r="O18" s="1"/>
  <c r="E18"/>
  <c r="P30"/>
  <c r="G30"/>
  <c r="O30" s="1"/>
  <c r="E30"/>
  <c r="P102"/>
  <c r="G102"/>
  <c r="O102" s="1"/>
  <c r="E102"/>
  <c r="P42"/>
  <c r="G42"/>
  <c r="O42" s="1"/>
  <c r="E42"/>
  <c r="P73"/>
  <c r="G73"/>
  <c r="O73" s="1"/>
  <c r="E73"/>
  <c r="P25"/>
  <c r="G25"/>
  <c r="O25" s="1"/>
  <c r="E25"/>
  <c r="P24"/>
  <c r="G24"/>
  <c r="O24" s="1"/>
  <c r="E24"/>
  <c r="P36"/>
  <c r="G36"/>
  <c r="O36" s="1"/>
  <c r="E36"/>
  <c r="P94"/>
  <c r="G94"/>
  <c r="O94" s="1"/>
  <c r="E94"/>
  <c r="P58"/>
  <c r="G58"/>
  <c r="O58" s="1"/>
  <c r="E58"/>
  <c r="P13"/>
  <c r="G13"/>
  <c r="O13" s="1"/>
  <c r="E13"/>
  <c r="P12"/>
  <c r="G12"/>
  <c r="O12" s="1"/>
  <c r="E12"/>
  <c r="P29"/>
  <c r="G29"/>
  <c r="O29" s="1"/>
  <c r="E29"/>
  <c r="P48"/>
  <c r="G48"/>
  <c r="O48" s="1"/>
  <c r="E48"/>
  <c r="P47"/>
  <c r="G47"/>
  <c r="O47" s="1"/>
  <c r="E47"/>
  <c r="P14"/>
  <c r="G14"/>
  <c r="O14" s="1"/>
  <c r="E14"/>
  <c r="P64"/>
  <c r="G64"/>
  <c r="O64" s="1"/>
  <c r="E64"/>
  <c r="P34"/>
  <c r="G34"/>
  <c r="O34" s="1"/>
  <c r="E34"/>
  <c r="P98"/>
  <c r="O98"/>
  <c r="E98"/>
  <c r="P62"/>
  <c r="G62"/>
  <c r="O62" s="1"/>
  <c r="E62"/>
  <c r="P85"/>
  <c r="O85"/>
  <c r="E85"/>
  <c r="P84"/>
  <c r="O84"/>
  <c r="E84"/>
  <c r="P87"/>
  <c r="G87"/>
  <c r="O87" s="1"/>
  <c r="E87"/>
  <c r="P16"/>
  <c r="G16"/>
  <c r="O16" s="1"/>
  <c r="E16"/>
  <c r="P15"/>
  <c r="G15"/>
  <c r="O15" s="1"/>
  <c r="E15"/>
  <c r="P81"/>
  <c r="G81"/>
  <c r="O81" s="1"/>
  <c r="E81"/>
  <c r="P80"/>
  <c r="G80"/>
  <c r="O80" s="1"/>
  <c r="E80"/>
  <c r="P79"/>
  <c r="G79"/>
  <c r="O79" s="1"/>
  <c r="E79"/>
  <c r="P39"/>
  <c r="G39"/>
  <c r="O39" s="1"/>
  <c r="E39"/>
  <c r="P38"/>
  <c r="G38"/>
  <c r="O38" s="1"/>
  <c r="E38"/>
  <c r="P86"/>
  <c r="G86"/>
  <c r="O86" s="1"/>
  <c r="E86"/>
  <c r="P17"/>
  <c r="G17"/>
  <c r="O17" s="1"/>
  <c r="E17"/>
  <c r="P93"/>
  <c r="G93"/>
  <c r="O93" s="1"/>
  <c r="E93"/>
  <c r="P83"/>
  <c r="O83"/>
  <c r="E83"/>
  <c r="P82"/>
  <c r="O82"/>
  <c r="E82"/>
  <c r="P100"/>
  <c r="G100"/>
  <c r="O100" s="1"/>
  <c r="E100"/>
  <c r="P23"/>
  <c r="G23"/>
  <c r="O23" s="1"/>
  <c r="E23"/>
  <c r="P63"/>
  <c r="G63"/>
  <c r="O63" s="1"/>
  <c r="E63"/>
  <c r="P20"/>
  <c r="G20"/>
  <c r="O20" s="1"/>
  <c r="E20"/>
  <c r="P91"/>
  <c r="G91"/>
  <c r="O91" s="1"/>
  <c r="E91"/>
  <c r="P46"/>
  <c r="G46"/>
  <c r="O46" s="1"/>
  <c r="E46"/>
  <c r="P99"/>
  <c r="G99"/>
  <c r="O99" s="1"/>
  <c r="E99"/>
  <c r="P61"/>
  <c r="G61"/>
  <c r="O61" s="1"/>
  <c r="E61"/>
  <c r="P78"/>
  <c r="G78"/>
  <c r="O78" s="1"/>
  <c r="E78"/>
  <c r="P77"/>
  <c r="G77"/>
  <c r="O77" s="1"/>
  <c r="E77"/>
  <c r="P59"/>
  <c r="G59"/>
  <c r="O59" s="1"/>
  <c r="E59"/>
  <c r="P96"/>
  <c r="G96"/>
  <c r="O96" s="1"/>
  <c r="E96"/>
  <c r="P56"/>
  <c r="G56"/>
  <c r="O56" s="1"/>
  <c r="E56"/>
  <c r="G222"/>
  <c r="I222" s="1"/>
  <c r="E222"/>
  <c r="G221"/>
  <c r="I221" s="1"/>
  <c r="E221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I120"/>
  <c r="H120"/>
  <c r="G163" l="1"/>
  <c r="E163"/>
  <c r="G134"/>
  <c r="E134"/>
  <c r="G131"/>
  <c r="E131"/>
  <c r="G138"/>
  <c r="E138"/>
  <c r="G126"/>
  <c r="E126"/>
  <c r="G127"/>
  <c r="E127"/>
  <c r="G136"/>
  <c r="E136"/>
  <c r="F120" l="1"/>
  <c r="G224"/>
  <c r="I224" s="1"/>
  <c r="E224"/>
  <c r="G223"/>
  <c r="I223" s="1"/>
  <c r="E223"/>
  <c r="E164"/>
  <c r="G164"/>
  <c r="E165"/>
  <c r="G165"/>
  <c r="E166"/>
  <c r="G166"/>
  <c r="E167"/>
  <c r="G167"/>
  <c r="E168"/>
  <c r="G168"/>
  <c r="E209" l="1"/>
  <c r="E208"/>
  <c r="E207"/>
  <c r="P90"/>
  <c r="G90"/>
  <c r="O90" s="1"/>
  <c r="E90"/>
  <c r="P101"/>
  <c r="G101"/>
  <c r="O101" s="1"/>
  <c r="E101"/>
  <c r="P35"/>
  <c r="G35"/>
  <c r="O35" s="1"/>
  <c r="E35"/>
  <c r="P40"/>
  <c r="G40"/>
  <c r="O40" s="1"/>
  <c r="E40"/>
  <c r="E211"/>
  <c r="E210"/>
  <c r="E75" l="1"/>
  <c r="G75"/>
  <c r="O75" s="1"/>
  <c r="P75"/>
  <c r="E252" l="1"/>
  <c r="P10"/>
  <c r="G10"/>
  <c r="O10" s="1"/>
  <c r="E10"/>
  <c r="P9"/>
  <c r="G9"/>
  <c r="O9" s="1"/>
  <c r="E9"/>
  <c r="P8"/>
  <c r="G8"/>
  <c r="O8" s="1"/>
  <c r="E8"/>
  <c r="P76"/>
  <c r="G76"/>
  <c r="O76" s="1"/>
  <c r="E76"/>
  <c r="P45" l="1"/>
  <c r="G45"/>
  <c r="O45" s="1"/>
  <c r="E45"/>
  <c r="P44"/>
  <c r="G44"/>
  <c r="O44" s="1"/>
  <c r="E44"/>
  <c r="P43"/>
  <c r="G43"/>
  <c r="O43" s="1"/>
  <c r="E43"/>
  <c r="P28"/>
  <c r="G28"/>
  <c r="O28" s="1"/>
  <c r="E28"/>
  <c r="P27"/>
  <c r="G27"/>
  <c r="O27" s="1"/>
  <c r="E27"/>
  <c r="P41"/>
  <c r="G41"/>
  <c r="O41" s="1"/>
  <c r="E41"/>
  <c r="P11"/>
  <c r="G11"/>
  <c r="O11" s="1"/>
  <c r="E11"/>
  <c r="N120"/>
  <c r="M120"/>
  <c r="L120"/>
  <c r="K120"/>
  <c r="J120"/>
  <c r="B8" i="24" l="1"/>
  <c r="E104" i="22" l="1"/>
  <c r="G104"/>
  <c r="P104"/>
  <c r="E105"/>
  <c r="G105"/>
  <c r="O105" s="1"/>
  <c r="P105"/>
  <c r="E106"/>
  <c r="G106"/>
  <c r="O106" s="1"/>
  <c r="P106"/>
  <c r="O104" l="1"/>
  <c r="E107"/>
  <c r="G107"/>
  <c r="O107" s="1"/>
  <c r="P107"/>
  <c r="E108"/>
  <c r="G108"/>
  <c r="O108" s="1"/>
  <c r="P108"/>
  <c r="E109"/>
  <c r="G109"/>
  <c r="O109" s="1"/>
  <c r="P109"/>
  <c r="E110"/>
  <c r="G110"/>
  <c r="O110" s="1"/>
  <c r="P110"/>
  <c r="E111"/>
  <c r="G111"/>
  <c r="O111" s="1"/>
  <c r="P111"/>
  <c r="B252" l="1"/>
  <c r="C252" l="1"/>
  <c r="E212" l="1"/>
  <c r="E233" l="1"/>
  <c r="E232"/>
  <c r="G225"/>
  <c r="I225" s="1"/>
  <c r="E225"/>
  <c r="F227" l="1"/>
  <c r="B6" i="24" s="1"/>
  <c r="E112" i="22" l="1"/>
  <c r="G112"/>
  <c r="P112"/>
  <c r="E113"/>
  <c r="G113"/>
  <c r="O113" s="1"/>
  <c r="P113"/>
  <c r="E114"/>
  <c r="G114"/>
  <c r="O114" s="1"/>
  <c r="P114"/>
  <c r="E115"/>
  <c r="G115"/>
  <c r="O115" s="1"/>
  <c r="P115"/>
  <c r="E116"/>
  <c r="G116"/>
  <c r="O116" s="1"/>
  <c r="P116"/>
  <c r="E117"/>
  <c r="G117"/>
  <c r="O117" s="1"/>
  <c r="P117"/>
  <c r="E118"/>
  <c r="G118"/>
  <c r="O118" s="1"/>
  <c r="P118"/>
  <c r="O112" l="1"/>
  <c r="C8" i="24" l="1"/>
  <c r="E119" i="22"/>
  <c r="B9" i="24" l="1"/>
  <c r="C36" l="1"/>
  <c r="C56" l="1"/>
  <c r="C60" s="1"/>
  <c r="G119" i="22"/>
  <c r="G120" l="1"/>
  <c r="G121" s="1"/>
  <c r="O119"/>
  <c r="O120" s="1"/>
  <c r="B15" i="24" l="1"/>
  <c r="B17" s="1"/>
  <c r="D8" l="1"/>
  <c r="P119" i="22" l="1"/>
  <c r="C9" i="24" l="1"/>
  <c r="D9" l="1"/>
  <c r="E234" i="22" l="1"/>
  <c r="C42" i="24" l="1"/>
  <c r="C44" l="1"/>
  <c r="E235" i="22" l="1"/>
  <c r="E236"/>
  <c r="E226"/>
  <c r="G226"/>
  <c r="C6" i="24" l="1"/>
  <c r="I226" i="22"/>
  <c r="I227" s="1"/>
  <c r="G227"/>
  <c r="D6" i="24" l="1"/>
  <c r="C15"/>
  <c r="C17" s="1"/>
  <c r="D15" l="1"/>
  <c r="D17" s="1"/>
  <c r="F232" i="22" l="1"/>
  <c r="G232" l="1"/>
  <c r="H237"/>
  <c r="F236"/>
  <c r="G236" s="1"/>
  <c r="F234"/>
  <c r="G234" s="1"/>
  <c r="F235"/>
  <c r="G235" s="1"/>
  <c r="F233"/>
  <c r="F237" l="1"/>
  <c r="B7" i="24" s="1"/>
  <c r="B10" s="1"/>
  <c r="G233" i="22"/>
  <c r="G237" s="1"/>
  <c r="C7" i="24" l="1"/>
  <c r="C10" l="1"/>
  <c r="C48" s="1"/>
  <c r="D7"/>
  <c r="D10" s="1"/>
  <c r="C52" l="1"/>
  <c r="C63" s="1"/>
</calcChain>
</file>

<file path=xl/sharedStrings.xml><?xml version="1.0" encoding="utf-8"?>
<sst xmlns="http://schemas.openxmlformats.org/spreadsheetml/2006/main" count="2687" uniqueCount="1061">
  <si>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</si>
  <si>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</si>
  <si>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</si>
  <si>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</si>
  <si>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</si>
  <si>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</si>
  <si>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</si>
  <si>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</si>
  <si>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</si>
  <si>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</si>
  <si>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</si>
  <si>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</si>
  <si>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</si>
  <si>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</si>
  <si>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</si>
  <si>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</si>
  <si>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</si>
  <si>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</si>
  <si>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</si>
  <si>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</si>
  <si>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</si>
  <si>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</si>
  <si>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</si>
  <si>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</si>
  <si>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</si>
  <si>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</si>
  <si>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</si>
  <si>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</si>
  <si>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</si>
  <si>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</si>
  <si>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</si>
  <si>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</si>
  <si>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</si>
  <si>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</si>
  <si>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</si>
  <si>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</si>
  <si>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</si>
  <si>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</si>
  <si>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</si>
  <si>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</si>
  <si>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</si>
  <si>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</si>
  <si>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</si>
  <si>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</si>
  <si>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</si>
  <si>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</si>
  <si>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</si>
  <si>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</si>
  <si>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</si>
  <si>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</si>
  <si>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</si>
  <si>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</si>
  <si>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</si>
  <si>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</si>
  <si>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</si>
  <si>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</si>
  <si>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</si>
  <si>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</si>
  <si>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</si>
  <si>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</si>
  <si>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</si>
  <si>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</si>
  <si>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</si>
  <si>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</si>
  <si>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</si>
  <si>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</si>
  <si>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</si>
  <si>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</si>
  <si>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</si>
  <si>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</si>
  <si>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</si>
  <si>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</si>
  <si>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</si>
  <si>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</si>
  <si>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</si>
  <si>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</si>
  <si>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</si>
  <si>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</si>
  <si>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</si>
  <si>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</si>
  <si>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</si>
  <si>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</si>
  <si>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</si>
  <si>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</si>
  <si>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</si>
  <si>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</si>
  <si>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</si>
  <si>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</si>
  <si>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</si>
  <si>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</si>
  <si>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</si>
  <si>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</si>
  <si>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</si>
  <si>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</si>
  <si>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</si>
  <si>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</si>
  <si>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</si>
  <si>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</si>
  <si>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</si>
  <si>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</si>
  <si>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</si>
  <si>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</si>
  <si>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</si>
  <si>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</si>
  <si>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</si>
  <si>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</si>
  <si>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</si>
  <si>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</si>
  <si>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</si>
  <si>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</si>
  <si>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</si>
  <si>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</si>
  <si>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</si>
  <si>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</si>
  <si>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</si>
  <si>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</si>
  <si>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</si>
  <si>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</si>
  <si>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</si>
  <si>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</si>
  <si>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</si>
  <si>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</si>
  <si>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</si>
  <si>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</si>
  <si>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</si>
  <si>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</si>
  <si>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</si>
  <si>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</si>
  <si>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</si>
  <si>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</si>
  <si>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</si>
  <si>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</si>
  <si>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</si>
  <si>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</si>
  <si>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</si>
  <si>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</si>
  <si>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</si>
  <si>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</si>
  <si>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</si>
  <si>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</si>
  <si>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</si>
  <si>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</si>
  <si>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</si>
  <si>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</si>
  <si>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</si>
  <si>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</si>
  <si>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</si>
  <si>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</si>
  <si>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</si>
  <si>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</si>
  <si>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</si>
  <si>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</si>
  <si>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</si>
  <si>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</si>
  <si>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</si>
  <si>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</si>
  <si>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</si>
  <si>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</si>
  <si>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</si>
  <si>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</si>
  <si>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</si>
  <si>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</si>
  <si>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</si>
  <si>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</si>
  <si>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</si>
  <si>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</si>
  <si>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</si>
  <si>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</si>
  <si>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</si>
  <si>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</si>
  <si>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</si>
  <si>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</si>
  <si>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</si>
  <si>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</si>
  <si>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</si>
  <si>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</si>
  <si>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</si>
  <si>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</si>
  <si>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</si>
  <si>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</si>
  <si>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</si>
  <si>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</si>
  <si>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</si>
  <si>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</si>
  <si>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</si>
  <si>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</si>
  <si>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</si>
  <si>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</si>
  <si>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</si>
  <si>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</si>
  <si>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</si>
  <si>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</si>
  <si>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</si>
  <si>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</si>
  <si>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</si>
  <si>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</si>
  <si>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</si>
  <si>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</si>
  <si>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</si>
  <si>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</si>
  <si>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</si>
  <si>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</si>
  <si>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</si>
  <si>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</si>
  <si>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</si>
  <si>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</si>
  <si>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</si>
  <si>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</si>
  <si>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</si>
  <si>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</si>
  <si>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</si>
  <si>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</si>
  <si>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</si>
  <si>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</si>
  <si>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</si>
  <si>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</si>
  <si>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</si>
  <si>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</si>
  <si>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</si>
  <si>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</si>
  <si>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</si>
  <si>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</si>
  <si>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</si>
  <si>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</si>
  <si>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</si>
  <si>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</si>
  <si>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</si>
  <si>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</si>
  <si>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</si>
  <si>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</si>
  <si>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</si>
  <si>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</si>
  <si>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</si>
  <si>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</si>
  <si>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</si>
  <si>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</si>
  <si>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</si>
  <si>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</si>
  <si>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</si>
  <si>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</si>
  <si>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</si>
  <si>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</si>
  <si>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</si>
  <si>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</si>
  <si>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</si>
  <si>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</si>
  <si>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</si>
  <si>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</si>
  <si>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</si>
  <si>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</si>
  <si>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</si>
  <si>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</si>
  <si>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</si>
  <si>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</si>
  <si>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</si>
  <si>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</si>
  <si>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</si>
  <si>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</si>
  <si>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</si>
  <si>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</si>
  <si>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</si>
  <si>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</si>
  <si>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</si>
  <si>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</si>
  <si>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</si>
  <si>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</si>
  <si>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</si>
  <si>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</si>
  <si>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</si>
  <si>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</si>
  <si>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</si>
  <si>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</si>
  <si>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</si>
  <si>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</si>
  <si>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</si>
  <si>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</si>
  <si>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</si>
  <si>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</si>
  <si>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</si>
  <si>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</si>
  <si>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</si>
  <si>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</si>
  <si>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</si>
  <si>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</si>
  <si>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</si>
  <si>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</si>
  <si>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</si>
  <si>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</si>
  <si>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</si>
  <si>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</si>
  <si>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</si>
  <si>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</si>
  <si>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</si>
  <si>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</si>
  <si>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</si>
  <si>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</si>
  <si>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</si>
  <si>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</si>
  <si>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</si>
  <si>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</si>
  <si>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</si>
  <si>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</si>
  <si>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</si>
  <si>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</si>
  <si>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</si>
  <si>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</si>
  <si>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</si>
  <si>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</si>
  <si>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</si>
  <si>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</si>
  <si>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</si>
  <si>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</si>
  <si>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</si>
  <si>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</si>
  <si>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</si>
  <si>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</si>
  <si>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</si>
  <si>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</si>
  <si>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</si>
  <si>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</si>
  <si>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</si>
  <si>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</si>
  <si>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</si>
  <si>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</si>
  <si>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</si>
  <si>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</si>
  <si>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</si>
  <si>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</si>
  <si>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</si>
  <si>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</si>
  <si>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</si>
  <si>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</si>
  <si>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</si>
  <si>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</si>
  <si>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</si>
  <si>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</si>
  <si>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</si>
  <si>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</si>
  <si>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</si>
  <si>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</si>
  <si>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</si>
  <si>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</si>
  <si>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</si>
  <si>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</si>
  <si>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</si>
  <si>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</si>
  <si>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</si>
  <si>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</si>
  <si>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</si>
  <si>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</si>
  <si>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</si>
  <si>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</si>
  <si>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</si>
  <si>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</si>
  <si>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</si>
  <si>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</si>
  <si>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</si>
  <si>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</si>
  <si>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</si>
  <si>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</si>
  <si>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</si>
  <si>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</si>
  <si>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</si>
  <si>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</si>
  <si>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</si>
  <si>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</si>
  <si>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</si>
  <si>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</si>
  <si>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</si>
  <si>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</si>
  <si>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</si>
  <si>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</si>
  <si>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</si>
  <si>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</si>
  <si>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</si>
  <si>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</si>
  <si>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</si>
  <si>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</si>
  <si>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</si>
  <si>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</si>
  <si>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</si>
  <si>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</si>
  <si>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</si>
  <si>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</si>
  <si>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</si>
  <si>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</si>
  <si>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</si>
  <si>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</si>
  <si>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</si>
  <si>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</si>
  <si>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</si>
  <si>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</si>
  <si>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</si>
  <si>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</si>
  <si>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</si>
  <si>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</si>
  <si>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</si>
  <si>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</si>
  <si>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</si>
  <si>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</si>
  <si>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</si>
  <si>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</si>
  <si>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</si>
  <si>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</si>
  <si>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</si>
  <si>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</si>
  <si>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</si>
  <si>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</si>
  <si>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</si>
  <si>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</si>
  <si>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</si>
  <si>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</si>
  <si>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</si>
  <si>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</si>
  <si>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</si>
  <si>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</si>
  <si>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</si>
  <si>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</si>
  <si>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</si>
  <si>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</si>
  <si>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</si>
  <si>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</si>
  <si>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</si>
  <si>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</si>
  <si>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</si>
  <si>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</si>
  <si>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</si>
  <si>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</si>
  <si>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</si>
  <si>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</si>
  <si>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</si>
  <si>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</si>
  <si>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</si>
  <si>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</si>
  <si>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</si>
  <si>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</si>
  <si>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</si>
  <si>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</si>
  <si>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</si>
  <si>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</si>
  <si>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</si>
  <si>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</si>
  <si>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</si>
  <si>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</si>
  <si>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</si>
  <si>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</si>
  <si>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</si>
  <si>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</si>
  <si>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</si>
  <si>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</si>
  <si>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</si>
  <si>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</si>
  <si>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</si>
  <si>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</si>
  <si>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</si>
  <si>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</si>
  <si>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</si>
  <si>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</si>
  <si>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</si>
  <si>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</si>
  <si>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</si>
  <si>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</si>
  <si>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</si>
  <si>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</si>
  <si>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</si>
  <si>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</si>
  <si>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</si>
  <si>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</si>
  <si>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</si>
  <si>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</si>
  <si>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</si>
  <si>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</si>
  <si>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</si>
  <si>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</si>
  <si>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</si>
  <si>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</si>
  <si>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</si>
  <si>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</si>
  <si>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</si>
  <si>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</si>
  <si>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</si>
  <si>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</si>
  <si>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</si>
  <si>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</si>
  <si>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</si>
  <si>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</si>
  <si>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</si>
  <si>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</si>
  <si>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</si>
  <si>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</si>
  <si>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</si>
  <si>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</si>
  <si>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</si>
  <si>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</si>
  <si>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</si>
  <si>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</si>
  <si>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</si>
  <si>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</si>
  <si>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</si>
  <si>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</si>
  <si>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</si>
  <si>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</si>
  <si>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</si>
  <si>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</si>
  <si>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</si>
  <si>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</si>
  <si>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</si>
  <si>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</si>
  <si>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</si>
  <si>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</si>
  <si>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</si>
  <si>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</si>
  <si>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</si>
  <si>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</si>
  <si>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</si>
  <si>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</si>
  <si>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</si>
  <si>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</si>
  <si>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</si>
  <si>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</si>
  <si>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</si>
  <si>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</si>
  <si>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</si>
  <si>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</si>
  <si>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</si>
  <si>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</si>
  <si>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</si>
  <si>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</si>
  <si>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</si>
  <si>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</si>
  <si>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</si>
  <si>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</si>
  <si>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</si>
  <si>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</si>
  <si>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</si>
  <si>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</si>
  <si>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</si>
  <si>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</si>
  <si>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</si>
  <si>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</si>
  <si>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</si>
  <si>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</si>
  <si>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</si>
  <si>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</si>
  <si>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</si>
  <si>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</si>
  <si>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</si>
  <si>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</si>
  <si>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</si>
  <si>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</si>
  <si>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</si>
  <si>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</si>
  <si>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</si>
  <si>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</si>
  <si>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</si>
  <si>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</si>
  <si>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</si>
  <si>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</si>
  <si>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</si>
  <si>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</si>
  <si>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</si>
  <si>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</si>
  <si>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</si>
  <si>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</si>
  <si>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</si>
  <si>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</si>
  <si>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</si>
  <si>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</si>
  <si>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</si>
  <si>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</si>
  <si>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</si>
  <si>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</si>
  <si>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</si>
  <si>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</si>
  <si>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</si>
  <si>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</si>
  <si>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</si>
  <si>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</si>
  <si>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</si>
  <si>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</si>
  <si>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</si>
  <si>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</si>
  <si>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</si>
  <si>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</si>
  <si>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</si>
  <si>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</si>
  <si>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</si>
  <si>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</si>
  <si>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</si>
  <si>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</si>
  <si>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</si>
  <si>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</si>
  <si>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</si>
  <si>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</si>
  <si>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</si>
  <si>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</si>
  <si>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</si>
  <si>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</si>
  <si>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</si>
  <si>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</si>
  <si>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</si>
  <si>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</si>
  <si>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</si>
  <si>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</si>
  <si>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28/02/2023</t>
  </si>
  <si>
    <t>31/03/2023</t>
  </si>
  <si>
    <t>03/04/2023</t>
  </si>
  <si>
    <t>04/04/2023</t>
  </si>
  <si>
    <t>05/04/2023</t>
  </si>
  <si>
    <t>09/04/2023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</si>
  <si>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</si>
  <si>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</si>
  <si>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</si>
  <si>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</si>
  <si>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</si>
  <si>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</si>
  <si>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</si>
  <si>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</si>
  <si>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21/04/2023</t>
  </si>
  <si>
    <t>22/04/2023</t>
  </si>
  <si>
    <t>24/04/2023</t>
  </si>
  <si>
    <t>25/04/2023</t>
  </si>
  <si>
    <t>26/04/2023</t>
  </si>
  <si>
    <t>28/04/2023</t>
  </si>
  <si>
    <t>30/04/2023</t>
  </si>
  <si>
    <t>ROSARIO LOGISTICA SA</t>
  </si>
  <si>
    <t>EXPRESO RIVADAVIA SRL</t>
  </si>
  <si>
    <t>LOGISTICA DE LA COSTA SA</t>
  </si>
  <si>
    <t>VIA BARILOCHE SA</t>
  </si>
  <si>
    <t>BALINERO SRL</t>
  </si>
  <si>
    <t/>
  </si>
  <si>
    <t>Ventas Libro de IVA 01/04/2023 - 30/04/2023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</si>
  <si>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</si>
  <si>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</si>
  <si>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</si>
  <si>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</si>
  <si>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</si>
  <si>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</si>
  <si>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</si>
  <si>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</si>
  <si>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</si>
  <si>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</si>
  <si>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</si>
  <si>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FA-B 0005-00007644</t>
  </si>
  <si>
    <t>.CONSUMIDOR FINAL</t>
  </si>
  <si>
    <t>Consumidor Final</t>
  </si>
  <si>
    <t>FA-B 0005-00007645</t>
  </si>
  <si>
    <t>FA-B 0005-00007646</t>
  </si>
  <si>
    <t>FA-B 0005-00007647</t>
  </si>
  <si>
    <t>FA-B 0005-00007648</t>
  </si>
  <si>
    <t>FA-B 0005-00007649</t>
  </si>
  <si>
    <t>FA-B 0005-00007650</t>
  </si>
  <si>
    <t>FA-B 0005-00007651</t>
  </si>
  <si>
    <t>FA-B 0005-00007652</t>
  </si>
  <si>
    <t>FA-B 0005-00007653</t>
  </si>
  <si>
    <t>FA-B 0005-00007654</t>
  </si>
  <si>
    <t>FA-B 0005-00007655</t>
  </si>
  <si>
    <t>FA-A 0006-00000332</t>
  </si>
  <si>
    <t>Galeno Argentina Sociedad Anonima</t>
  </si>
  <si>
    <t>IVA Responsable Inscripto</t>
  </si>
  <si>
    <t>FA-A 0007-00001398</t>
  </si>
  <si>
    <t>Amparo Salud S.R.L.</t>
  </si>
  <si>
    <t>FA-A 0007-00001399</t>
  </si>
  <si>
    <t>FA-A 0007-00001400</t>
  </si>
  <si>
    <t>Centro Medico Amenabar Srl</t>
  </si>
  <si>
    <t>FA-A 0007-00001401</t>
  </si>
  <si>
    <t>Ensalud S.A</t>
  </si>
  <si>
    <t>FA-A 0007-00001402</t>
  </si>
  <si>
    <t>Obra Social Del Personal De Las Telecomunicaciones De La Republica Argentina</t>
  </si>
  <si>
    <t>FA-A 0007-00001403</t>
  </si>
  <si>
    <t>FA-B 0007-00004229</t>
  </si>
  <si>
    <t>GABRIELA VANINA GALLO</t>
  </si>
  <si>
    <t>FA-B 0007-00004230</t>
  </si>
  <si>
    <t>LOCOCO, CARMEN</t>
  </si>
  <si>
    <t>FA-B 0005-00007656</t>
  </si>
  <si>
    <t>FA-B 0005-00007657</t>
  </si>
  <si>
    <t>FA-B 0005-00007658</t>
  </si>
  <si>
    <t>FA-B 0005-00007659</t>
  </si>
  <si>
    <t>FA-B 0005-00007660</t>
  </si>
  <si>
    <t>GALLO, ANDREA</t>
  </si>
  <si>
    <t>FA-B 0005-00007661</t>
  </si>
  <si>
    <t>FA-B 0005-00007662</t>
  </si>
  <si>
    <t>FA-B 0005-00007663</t>
  </si>
  <si>
    <t>FA-B 0005-00007664</t>
  </si>
  <si>
    <t>FA-B 0005-00007665</t>
  </si>
  <si>
    <t>FA-B 0005-00007666</t>
  </si>
  <si>
    <t>FA-A 0006-00000333</t>
  </si>
  <si>
    <t>FA-A 0006-00000334</t>
  </si>
  <si>
    <t>NC-B 0007-00000136</t>
  </si>
  <si>
    <t>Asociacion Mutual Sancor Salud</t>
  </si>
  <si>
    <t>IVA Sujeto Exento</t>
  </si>
  <si>
    <t>FA-A 0007-00001404</t>
  </si>
  <si>
    <t>FA-B 0007-00004231</t>
  </si>
  <si>
    <t>COSTA, MARTA CRISTINA</t>
  </si>
  <si>
    <t>FA-B 0007-00004232</t>
  </si>
  <si>
    <t>HIDALGO OSCAR ATILIO</t>
  </si>
  <si>
    <t>FA-B 0007-00004233</t>
  </si>
  <si>
    <t>MAQUEIRA, ENZO SEBASTIAN</t>
  </si>
  <si>
    <t>NC-B 0005-00000111</t>
  </si>
  <si>
    <t>FA-B 0005-00007667</t>
  </si>
  <si>
    <t>FA-B 0005-00007668</t>
  </si>
  <si>
    <t>FA-B 0005-00007669</t>
  </si>
  <si>
    <t>FA-B 0005-00007670</t>
  </si>
  <si>
    <t>FA-B 0005-00007671</t>
  </si>
  <si>
    <t>FA-B 0005-00007672</t>
  </si>
  <si>
    <t>FA-B 0005-00007673</t>
  </si>
  <si>
    <t>FA-A 0006-00000335</t>
  </si>
  <si>
    <t>FA-A 0007-00001405</t>
  </si>
  <si>
    <t>FA-A 0007-00001406</t>
  </si>
  <si>
    <t>Hc Homecare Internacion Domiciliaria S.A.</t>
  </si>
  <si>
    <t>FA-A 0007-00001407</t>
  </si>
  <si>
    <t>Medicus Sociedad Anonima De Asistencia Medica Y Cientifica</t>
  </si>
  <si>
    <t>FA-A 0007-00001408</t>
  </si>
  <si>
    <t>Medincare Argentina S.A.</t>
  </si>
  <si>
    <t>FA-B 0007-00004234</t>
  </si>
  <si>
    <t>CORREA RICARDO</t>
  </si>
  <si>
    <t>FA-B 0005-00007674</t>
  </si>
  <si>
    <t>FA-B 0005-00007675</t>
  </si>
  <si>
    <t>FA-B 0005-00007676</t>
  </si>
  <si>
    <t>FA-B 0005-00007677</t>
  </si>
  <si>
    <t>FA-B 0005-00007678</t>
  </si>
  <si>
    <t>FA-B 0005-00007679</t>
  </si>
  <si>
    <t>FA-B 0005-00007680</t>
  </si>
  <si>
    <t>FA-B 0005-00007681</t>
  </si>
  <si>
    <t>FA-B 0005-00007682</t>
  </si>
  <si>
    <t>FA-B 0005-00007683</t>
  </si>
  <si>
    <t>FA-A 0007-00001409</t>
  </si>
  <si>
    <t>Obra Social Union Personal De La Union  Del Personal Civil De La Nacion</t>
  </si>
  <si>
    <t>FA-A 0007-00001410</t>
  </si>
  <si>
    <t>FA-A 0007-00001411</t>
  </si>
  <si>
    <t>FA-A 0007-00001412</t>
  </si>
  <si>
    <t>FA-B 0007-00004235</t>
  </si>
  <si>
    <t>LORENZO, MERCEDES DELFINA</t>
  </si>
  <si>
    <t>FA-B 0005-00007684</t>
  </si>
  <si>
    <t>FA-B 0005-00007685</t>
  </si>
  <si>
    <t>FA-B 0005-00007686</t>
  </si>
  <si>
    <t>FA-B 0005-00007687</t>
  </si>
  <si>
    <t>FA-B 0005-00007688</t>
  </si>
  <si>
    <t>FA-B 0005-00007689</t>
  </si>
  <si>
    <t>CORREA HERNÁN</t>
  </si>
  <si>
    <t>FA-B 0005-00007690</t>
  </si>
  <si>
    <t>FA-B 0005-00007691</t>
  </si>
  <si>
    <t>FA-B 0005-00007692</t>
  </si>
  <si>
    <t>FA-B 0005-00007693</t>
  </si>
  <si>
    <t>FA-B 0005-00007694</t>
  </si>
  <si>
    <t>FA-B 0005-00007695</t>
  </si>
  <si>
    <t>FA-B 0005-00007696</t>
  </si>
  <si>
    <t>FA-B 0007-00004236</t>
  </si>
  <si>
    <t>FA-A 0005-00000133</t>
  </si>
  <si>
    <t>Autonavi Srl</t>
  </si>
  <si>
    <t>FA-B 0005-00007697</t>
  </si>
  <si>
    <t>FA-B 0005-00007698</t>
  </si>
  <si>
    <t>FA-B 0005-00007699</t>
  </si>
  <si>
    <t>FA-B 0005-00007700</t>
  </si>
  <si>
    <t>FA-B 0005-00007701</t>
  </si>
  <si>
    <t>FA-B 0005-00007702</t>
  </si>
  <si>
    <t>FA-B 0005-00007703</t>
  </si>
  <si>
    <t>FA-B 0005-00007704</t>
  </si>
  <si>
    <t>FA-B 0005-00007705</t>
  </si>
  <si>
    <t>FA-B 0005-00007706</t>
  </si>
  <si>
    <t>FA-B 0005-00007707</t>
  </si>
  <si>
    <t>NC-A 0007-00000085</t>
  </si>
  <si>
    <t>NC-A 0007-00000086</t>
  </si>
  <si>
    <t>FA-A 0007-00001413</t>
  </si>
  <si>
    <t>Fundacion Empresaria Maderera</t>
  </si>
  <si>
    <t>FA-A 0007-00001414</t>
  </si>
  <si>
    <t>Login Door S.A</t>
  </si>
  <si>
    <t>FA-A 0007-00001415</t>
  </si>
  <si>
    <t>FA-A 0007-00001416</t>
  </si>
  <si>
    <t>FA-A 0007-00001417</t>
  </si>
  <si>
    <t>Alexander Fleming S A</t>
  </si>
  <si>
    <t>FA-A 0007-00001418</t>
  </si>
  <si>
    <t>Zc Diabetes Srl</t>
  </si>
  <si>
    <t>FA-B 0007-00004237</t>
  </si>
  <si>
    <t>FA-B 0007-00004238</t>
  </si>
  <si>
    <t>Obra Social De Los Trabajadores De La Industria Del Gas</t>
  </si>
  <si>
    <t>FA-B 0007-00004239</t>
  </si>
  <si>
    <t>COLINAS, DANIEL</t>
  </si>
  <si>
    <t>FA-B 0007-00004240</t>
  </si>
  <si>
    <t>FA-B 0007-00004241</t>
  </si>
  <si>
    <t>ALVIER GRADOS, JESUS ALBERTO</t>
  </si>
  <si>
    <t>FA-B 0007-00004242</t>
  </si>
  <si>
    <t>ANDREA SOTO</t>
  </si>
  <si>
    <t>FA-B 0007-00004243</t>
  </si>
  <si>
    <t xml:space="preserve">JURADO, MARIA ESTHER </t>
  </si>
  <si>
    <t>FA-B 0007-00004244</t>
  </si>
  <si>
    <t>FA-B 0007-00004245</t>
  </si>
  <si>
    <t>Obra Social Del Personal De La Industria Del Plastico</t>
  </si>
  <si>
    <t>FA-B 0007-00004246</t>
  </si>
  <si>
    <t>ABATI, NANCY LILIANA</t>
  </si>
  <si>
    <t>FA-B 0007-00004247</t>
  </si>
  <si>
    <t>Obra Social Del Personal De Imprentas Diarios Y Afines</t>
  </si>
  <si>
    <t>FA-B 0005-00007708</t>
  </si>
  <si>
    <t>FA-B 0005-00007709</t>
  </si>
  <si>
    <t>FA-B 0005-00007710</t>
  </si>
  <si>
    <t>FA-B 0005-00007711</t>
  </si>
  <si>
    <t>FA-B 0005-00007712</t>
  </si>
  <si>
    <t>FA-B 0005-00007713</t>
  </si>
  <si>
    <t>FA-B 0005-00007714</t>
  </si>
  <si>
    <t>FA-B 0005-00007715</t>
  </si>
  <si>
    <t>FA-B 0005-00007716</t>
  </si>
  <si>
    <t>MAUREL VERÓNICA</t>
  </si>
  <si>
    <t>FA-B 0005-00007717</t>
  </si>
  <si>
    <t>FA-B 0005-00007718</t>
  </si>
  <si>
    <t>FA-B 0005-00007719</t>
  </si>
  <si>
    <t>FA-B 0005-00007720</t>
  </si>
  <si>
    <t>FA-A 0006-00000336</t>
  </si>
  <si>
    <t>FA-B 0007-00004248</t>
  </si>
  <si>
    <t>Galeno A.R.T. S.A.</t>
  </si>
  <si>
    <t>FA-B 0005-00007721</t>
  </si>
  <si>
    <t>FA-B 0005-00007722</t>
  </si>
  <si>
    <t>GIBSON DIEGO</t>
  </si>
  <si>
    <t>FA-B 0005-00007723</t>
  </si>
  <si>
    <t>FA-B 0005-00007724</t>
  </si>
  <si>
    <t>FA-B 0005-00007725</t>
  </si>
  <si>
    <t>FA-B 0005-00007726</t>
  </si>
  <si>
    <t>FA-B 0005-00007727</t>
  </si>
  <si>
    <t>FA-B 0005-00007728</t>
  </si>
  <si>
    <t>FA-B 0005-00007729</t>
  </si>
  <si>
    <t>FA-B 0005-00007730</t>
  </si>
  <si>
    <t>FA-B 0005-00007731</t>
  </si>
  <si>
    <t>FA-B 0005-00007732</t>
  </si>
  <si>
    <t>FA-B 0005-00007733</t>
  </si>
  <si>
    <t>FA-B 0005-00007734</t>
  </si>
  <si>
    <t>FA-B 0005-00007735</t>
  </si>
  <si>
    <t>FA-B 0005-00007736</t>
  </si>
  <si>
    <t>ALFREDO VIZCARRA</t>
  </si>
  <si>
    <t>FA-A 0006-00000337</t>
  </si>
  <si>
    <t>NC-A 0007-00000087</t>
  </si>
  <si>
    <t>FA-B 0007-00004249</t>
  </si>
  <si>
    <t>Obra Social De Actores</t>
  </si>
  <si>
    <t>FA-B 0007-00004250</t>
  </si>
  <si>
    <t>FERRER JORGE</t>
  </si>
  <si>
    <t>FA-B 0007-00004251</t>
  </si>
  <si>
    <t>NIETO BARRIOS, YISLAINE YSABEL</t>
  </si>
  <si>
    <t>FA-B 0007-00004252</t>
  </si>
  <si>
    <t xml:space="preserve">DI PIERO, ROMEO                                                                                                                                  </t>
  </si>
  <si>
    <t>FA-B 0007-00004253</t>
  </si>
  <si>
    <t>GUALTIERI TIFFANY ZOE</t>
  </si>
  <si>
    <t>FA-B 0007-00004254</t>
  </si>
  <si>
    <t>SCHELGEL, LUIS ALBERTO</t>
  </si>
  <si>
    <t>FA-B 0007-00004255</t>
  </si>
  <si>
    <t>CEPEDA REYES, GONZALO OSCAR</t>
  </si>
  <si>
    <t>FA-B 0007-00004256</t>
  </si>
  <si>
    <t>FA-B 0007-00004257</t>
  </si>
  <si>
    <t>TORRES, ELISABET NELIDA</t>
  </si>
  <si>
    <t>FA-B 0007-00004258</t>
  </si>
  <si>
    <t>DE SALVO, BLAS DAVID</t>
  </si>
  <si>
    <t>FA-B 0005-00007737</t>
  </si>
  <si>
    <t>FA-B 0005-00007738</t>
  </si>
  <si>
    <t>FA-B 0005-00007739</t>
  </si>
  <si>
    <t>FA-B 0005-00007740</t>
  </si>
  <si>
    <t>FA-B 0005-00007741</t>
  </si>
  <si>
    <t>FA-B 0005-00007742</t>
  </si>
  <si>
    <t>FA-B 0005-00007743</t>
  </si>
  <si>
    <t>FA-B 0005-00007744</t>
  </si>
  <si>
    <t>FA-B 0005-00007745</t>
  </si>
  <si>
    <t>FA-B 0005-00007746</t>
  </si>
  <si>
    <t>FA-B 0005-00007747</t>
  </si>
  <si>
    <t>FA-B 0005-00007748</t>
  </si>
  <si>
    <t>FA-B 0005-00007749</t>
  </si>
  <si>
    <t>FA-B 0007-00004259</t>
  </si>
  <si>
    <t>VIDAL, ALINE CATIANE</t>
  </si>
  <si>
    <t>FA-B 0007-00004260</t>
  </si>
  <si>
    <t>SANZIO, INMACULADA CONCEPCION</t>
  </si>
  <si>
    <t>FA-B 0007-00004261</t>
  </si>
  <si>
    <t>ALEJANDRA SIFFREDI TORRES SANMARCO</t>
  </si>
  <si>
    <t>FA-B 0007-00004262</t>
  </si>
  <si>
    <t>ALBARO BRESCIANO</t>
  </si>
  <si>
    <t>FA-B 0007-00004263</t>
  </si>
  <si>
    <t>CAMPOBASSO, MARIANA LAURA</t>
  </si>
  <si>
    <t>FA-B 0007-00004264</t>
  </si>
  <si>
    <t>Aguirre Diego</t>
  </si>
  <si>
    <t>FA-B 0007-00004265</t>
  </si>
  <si>
    <t>ANTIVERO, LUISA</t>
  </si>
  <si>
    <t>FA-B 0007-00004266</t>
  </si>
  <si>
    <t>SAENZ, MAGDALENA.</t>
  </si>
  <si>
    <t>FA-B 0005-00007750</t>
  </si>
  <si>
    <t>FA-B 0005-00007751</t>
  </si>
  <si>
    <t>FA-B 0005-00007752</t>
  </si>
  <si>
    <t>FA-B 0005-00007753</t>
  </si>
  <si>
    <t>FA-B 0005-00007754</t>
  </si>
  <si>
    <t>FA-B 0005-00007755</t>
  </si>
  <si>
    <t>FA-B 0005-00007756</t>
  </si>
  <si>
    <t>FA-B 0005-00007757</t>
  </si>
  <si>
    <t>FA-B 0005-00007758</t>
  </si>
  <si>
    <t>FA-B 0005-00007759</t>
  </si>
  <si>
    <t>FA-B 0005-00007760</t>
  </si>
  <si>
    <t>FA-A 0007-00001419</t>
  </si>
  <si>
    <t>FA-A 0007-00001420</t>
  </si>
  <si>
    <t>FA-A 0007-00001421</t>
  </si>
  <si>
    <t>FA-B 0005-00007761</t>
  </si>
  <si>
    <t>FA-B 0005-00007762</t>
  </si>
  <si>
    <t>FA-B 0005-00007763</t>
  </si>
  <si>
    <t>FA-B 0005-00007764</t>
  </si>
  <si>
    <t>FA-B 0005-00007765</t>
  </si>
  <si>
    <t>FA-A 0007-00001422</t>
  </si>
  <si>
    <t>FA-A 0007-00001423</t>
  </si>
  <si>
    <t>FA-A 0007-00001424</t>
  </si>
  <si>
    <t>FA-A 0007-00001425</t>
  </si>
  <si>
    <t>FA-A 0007-00001426</t>
  </si>
  <si>
    <t>FA-A 0007-00001427</t>
  </si>
  <si>
    <t>FA-B 0007-00004267</t>
  </si>
  <si>
    <t>JUAN JOSE RADIVOJ</t>
  </si>
  <si>
    <t>FA-B 0007-00004268</t>
  </si>
  <si>
    <t>PAGLIERO YANINA/ FARIAS SOFÍA</t>
  </si>
  <si>
    <t>20/04/2023</t>
  </si>
  <si>
    <t>FA-B 0005-00007766</t>
  </si>
  <si>
    <t>FA-B 0005-00007767</t>
  </si>
  <si>
    <t>FA-B 0005-00007768</t>
  </si>
  <si>
    <t>FA-A 0006-00000338</t>
  </si>
  <si>
    <t>FA-A 0007-00001428</t>
  </si>
  <si>
    <t>FA-A 0007-00001429</t>
  </si>
  <si>
    <t>FA-B 0007-00004269</t>
  </si>
  <si>
    <t>CHAMOSA JOSE MARIA</t>
  </si>
  <si>
    <t>FA-B 0007-00004270</t>
  </si>
  <si>
    <t>FA-B 0007-00004271</t>
  </si>
  <si>
    <t>FOFFANO, MARIO DANIEL</t>
  </si>
  <si>
    <t>FA-B 0005-00007769</t>
  </si>
  <si>
    <t>FA-B 0005-00007770</t>
  </si>
  <si>
    <t>FA-B 0005-00007771</t>
  </si>
  <si>
    <t>FA-B 0005-00007772</t>
  </si>
  <si>
    <t>FA-B 0005-00007773</t>
  </si>
  <si>
    <t>FA-B 0005-00007774</t>
  </si>
  <si>
    <t>FA-B 0005-00007775</t>
  </si>
  <si>
    <t>FA-B 0005-00007776</t>
  </si>
  <si>
    <t>FA-B 0005-00007777</t>
  </si>
  <si>
    <t>FA-B 0005-00007778</t>
  </si>
  <si>
    <t>FA-B 0005-00007779</t>
  </si>
  <si>
    <t>FA-A 0006-00000339</t>
  </si>
  <si>
    <t>FA-A 0006-00000340</t>
  </si>
  <si>
    <t>FA-A 0006-00000341</t>
  </si>
  <si>
    <t>FA-B 0007-00004272</t>
  </si>
  <si>
    <t>FA-B 0007-00004273</t>
  </si>
  <si>
    <t>FA-B 0007-00004274</t>
  </si>
  <si>
    <t>ANDREOTTI, CECILIA BEATRIZ</t>
  </si>
  <si>
    <t>FA-B 0007-00004275</t>
  </si>
  <si>
    <t>TISSONE, JOSE ERNESTO</t>
  </si>
  <si>
    <t>FA-B 0007-00004276</t>
  </si>
  <si>
    <t>GLORIA FULLGRAFF</t>
  </si>
  <si>
    <t>FA-B 0007-00004277</t>
  </si>
  <si>
    <t>CARUSO LUCIA</t>
  </si>
  <si>
    <t>FA-B 0007-00004278</t>
  </si>
  <si>
    <t>RAQUEL DURAÑONA</t>
  </si>
  <si>
    <t>FA-B 0005-00007780</t>
  </si>
  <si>
    <t>FA-B 0005-00007781</t>
  </si>
  <si>
    <t>FA-B 0005-00007782</t>
  </si>
  <si>
    <t>FA-B 0005-00007783</t>
  </si>
  <si>
    <t>FA-B 0005-00007784</t>
  </si>
  <si>
    <t>FA-B 0005-00007785</t>
  </si>
  <si>
    <t>FA-B 0005-00007786</t>
  </si>
  <si>
    <t>FA-B 0005-00007787</t>
  </si>
  <si>
    <t>FA-B 0005-00007788</t>
  </si>
  <si>
    <t>FA-B 0005-00007789</t>
  </si>
  <si>
    <t>FA-B 0005-00007790</t>
  </si>
  <si>
    <t>FA-B 0005-00007791</t>
  </si>
  <si>
    <t>FA-B 0007-00004279</t>
  </si>
  <si>
    <t>GRACIELA NORMA GUIET</t>
  </si>
  <si>
    <t>FA-B 0007-00004280</t>
  </si>
  <si>
    <t>FA-B 0007-00004281</t>
  </si>
  <si>
    <t>BARATTINI, CESAR RUBEN</t>
  </si>
  <si>
    <t>FA-B 0007-00004282</t>
  </si>
  <si>
    <t>BUNCHICOFF, MARIA</t>
  </si>
  <si>
    <t>FA-B 0007-00004283</t>
  </si>
  <si>
    <t>MINERVINI, MARIA DEL CARMEN LILIANA</t>
  </si>
  <si>
    <t>FA-B 0005-00007792</t>
  </si>
  <si>
    <t>FA-B 0005-00007793</t>
  </si>
  <si>
    <t>FA-B 0005-00007794</t>
  </si>
  <si>
    <t>FA-B 0005-00007795</t>
  </si>
  <si>
    <t>FA-B 0005-00007796</t>
  </si>
  <si>
    <t>FA-B 0007-00004284</t>
  </si>
  <si>
    <t>RODRIGUEZ RICARDO</t>
  </si>
  <si>
    <t>FA-B 0007-00004285</t>
  </si>
  <si>
    <t>UMBRELLO ISAMARA</t>
  </si>
  <si>
    <t>FA-B 0007-00004286</t>
  </si>
  <si>
    <t>UMBRELLO MILAGRO</t>
  </si>
  <si>
    <t>FA-B 0007-00004287</t>
  </si>
  <si>
    <t>UMBRELLO VILMA</t>
  </si>
  <si>
    <t>FA-B 0007-00004288</t>
  </si>
  <si>
    <t>VEGA, PAULA VALERIA</t>
  </si>
  <si>
    <t>FA-B 0007-00004289</t>
  </si>
  <si>
    <t>CELI, LILIANA NOEMI</t>
  </si>
  <si>
    <t>FA-B 0007-00004290</t>
  </si>
  <si>
    <t>PEREZ, GABRIELA MAGDALENA</t>
  </si>
  <si>
    <t>FA-B 0007-00004291</t>
  </si>
  <si>
    <t xml:space="preserve">ARANA, MARCELLA OFELIA </t>
  </si>
  <si>
    <t>FA-B 0007-00004292</t>
  </si>
  <si>
    <t>FA-B 0007-00004293</t>
  </si>
  <si>
    <t>MARCOTE, VERONICA</t>
  </si>
  <si>
    <t>FA-B 0007-00004294</t>
  </si>
  <si>
    <t>FA-B 0007-00004295</t>
  </si>
  <si>
    <t>Suburu Monica</t>
  </si>
  <si>
    <t>FA-B 0007-00004296</t>
  </si>
  <si>
    <t>MARRAFFA VALERIA</t>
  </si>
  <si>
    <t>FA-B 0005-00007797</t>
  </si>
  <si>
    <t>FA-B 0005-00007798</t>
  </si>
  <si>
    <t>FA-B 0005-00007799</t>
  </si>
  <si>
    <t>FA-B 0005-00007800</t>
  </si>
  <si>
    <t>FA-B 0005-00007801</t>
  </si>
  <si>
    <t>FA-B 0005-00007802</t>
  </si>
  <si>
    <t>FA-B 0005-00007803</t>
  </si>
  <si>
    <t>FA-B 0005-00007804</t>
  </si>
  <si>
    <t>FA-B 0005-00007805</t>
  </si>
  <si>
    <t>FA-B 0005-00007806</t>
  </si>
  <si>
    <t>FA-B 0005-00007807</t>
  </si>
  <si>
    <t>FA-B 0005-00007808</t>
  </si>
  <si>
    <t>FA-B 0005-00007809</t>
  </si>
  <si>
    <t>FA-B 0005-00007810</t>
  </si>
  <si>
    <t>FA-B 0005-00007811</t>
  </si>
  <si>
    <t>FA-B 0005-00007812</t>
  </si>
  <si>
    <t>NC-A 0006-00000021</t>
  </si>
  <si>
    <t>NC-A 0006-00000022</t>
  </si>
  <si>
    <t>NC-A 0006-00000023</t>
  </si>
  <si>
    <t>NC-A 0006-00000024</t>
  </si>
  <si>
    <t>NC-A 0006-00000025</t>
  </si>
  <si>
    <t>NC-A 0006-00000026</t>
  </si>
  <si>
    <t>NC-A 0006-00000027</t>
  </si>
  <si>
    <t>NC-A 0006-00000028</t>
  </si>
  <si>
    <t>NC-A 0007-00000088</t>
  </si>
  <si>
    <t>NC-A 0007-00000089</t>
  </si>
  <si>
    <t>FA-B 0007-00004297</t>
  </si>
  <si>
    <t>REPETTO LYNCH, BENJAMIN MARIA</t>
  </si>
  <si>
    <t>FA-B 0007-00004298</t>
  </si>
  <si>
    <t>CORREA, PABLO FERNANDO</t>
  </si>
  <si>
    <t>27/04/2023</t>
  </si>
  <si>
    <t>FA-B 0005-00007813</t>
  </si>
  <si>
    <t>FA-B 0005-00007814</t>
  </si>
  <si>
    <t>DORA RIDOLFI</t>
  </si>
  <si>
    <t>FA-B 0005-00007815</t>
  </si>
  <si>
    <t>FA-B 0005-00007816</t>
  </si>
  <si>
    <t>FA-B 0005-00007817</t>
  </si>
  <si>
    <t>FA-B 0005-00007818</t>
  </si>
  <si>
    <t>FA-B 0005-00007819</t>
  </si>
  <si>
    <t>FA-B 0007-00004299</t>
  </si>
  <si>
    <t>CASTILLO, ADRIAN ERNESTO</t>
  </si>
  <si>
    <t>FA-B 0007-00004300</t>
  </si>
  <si>
    <t>FA-B 0007-00004301</t>
  </si>
  <si>
    <t>FA-B 0007-00004302</t>
  </si>
  <si>
    <t>SPADONI, ANALIA BEATRIZ</t>
  </si>
  <si>
    <t>FA-B 0007-00004303</t>
  </si>
  <si>
    <t>PASTOR ROSALES ROSA NOEMI</t>
  </si>
  <si>
    <t>FA-B 0007-00004304</t>
  </si>
  <si>
    <t>RAUL RUBEN BRACCHI</t>
  </si>
  <si>
    <t>FA-B 0007-00004305</t>
  </si>
  <si>
    <t>ZAIDMAN, CESAR JAVIER</t>
  </si>
  <si>
    <t>FA-B 0007-00004306</t>
  </si>
  <si>
    <t>MONTI, MARIA PAULA</t>
  </si>
  <si>
    <t>FA-B 0007-00004307</t>
  </si>
  <si>
    <t>MARIA ELENA RODRIGUEZ</t>
  </si>
  <si>
    <t>FA-B 0007-00004308</t>
  </si>
  <si>
    <t>MEDINA GOMEZ NAOMI</t>
  </si>
  <si>
    <t>FA-B 0005-00007820</t>
  </si>
  <si>
    <t>FA-B 0005-00007821</t>
  </si>
  <si>
    <t>FA-B 0005-00007822</t>
  </si>
  <si>
    <t>FA-B 0005-00007823</t>
  </si>
  <si>
    <t>FA-B 0005-00007824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</si>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</sst>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10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sz val="8"/>
      <name val="FreeSans"/>
      <family val="2"/>
    </font>
    <font>
      <b/>
      <sz val="10"/>
      <color indexed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2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43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4" fontId="29" fillId="0" borderId="0" applyFont="0" applyFill="0" applyBorder="0" applyAlignment="0" applyProtection="0"/>
    <xf numFmtId="0" fontId="60" fillId="15" borderId="0" applyNumberFormat="0" applyBorder="0" applyAlignment="0" applyProtection="0"/>
  </cellStyleXfs>
  <cellXfs count="295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16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16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4" fontId="0" fillId="0" borderId="0" xfId="0" applyNumberFormat="1" applyFill="1"/>
    <xf numFmtId="2" fontId="56" fillId="0" borderId="41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2" fontId="11" fillId="0" borderId="41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0" fontId="61" fillId="0" borderId="0" xfId="0" applyFont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62" fillId="0" borderId="0" xfId="0" applyFont="1" applyBorder="1"/>
    <xf numFmtId="0" fontId="60" fillId="15" borderId="1" xfId="11" applyBorder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2" fontId="60" fillId="15" borderId="1" xfId="11" applyNumberFormat="1" applyBorder="1" applyAlignment="1">
      <alignment horizontal="right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167" fontId="9" fillId="16" borderId="4" xfId="9" applyNumberFormat="1" applyFont="1" applyFill="1" applyBorder="1" applyAlignment="1">
      <alignment horizontal="center"/>
    </xf>
    <xf numFmtId="167" fontId="9" fillId="16" borderId="11" xfId="9" applyNumberFormat="1" applyFont="1" applyFill="1" applyBorder="1" applyAlignment="1">
      <alignment horizontal="center"/>
    </xf>
  </cellXfs>
  <cellStyles count="12">
    <cellStyle name="Buena" xfId="11" builtinId="26"/>
    <cellStyle name="Error" xfId="1"/>
    <cellStyle name="Error 2" xfId="2"/>
    <cellStyle name="Millares" xfId="3" builtinId="3"/>
    <cellStyle name="Moneda" xfId="10" builtinId="4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8"/>
  <sheetViews>
    <sheetView topLeftCell="A518" zoomScale="150" zoomScaleNormal="150" workbookViewId="0">
      <selection activeCell="C517" sqref="C517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45">
        <v>30711678820</v>
      </c>
      <c r="B5" s="79" t="s">
        <v>386</v>
      </c>
      <c r="C5" s="80" t="s">
        <v>41</v>
      </c>
    </row>
    <row r="6" spans="1:7">
      <c r="A6" s="208">
        <v>33716367539</v>
      </c>
      <c r="B6" s="77" t="s">
        <v>347</v>
      </c>
      <c r="C6" s="80" t="s">
        <v>41</v>
      </c>
    </row>
    <row r="7" spans="1:7">
      <c r="A7" s="84">
        <v>30660373108</v>
      </c>
      <c r="B7" s="77" t="s">
        <v>307</v>
      </c>
      <c r="C7" s="80" t="s">
        <v>54</v>
      </c>
    </row>
    <row r="8" spans="1:7">
      <c r="A8" s="84">
        <v>20300210881</v>
      </c>
      <c r="B8" s="77" t="s">
        <v>356</v>
      </c>
      <c r="C8" s="80" t="s">
        <v>41</v>
      </c>
    </row>
    <row r="9" spans="1:7">
      <c r="A9" s="84">
        <v>27229910782</v>
      </c>
      <c r="B9" s="77" t="s">
        <v>560</v>
      </c>
      <c r="C9" s="80" t="s">
        <v>41</v>
      </c>
    </row>
    <row r="10" spans="1:7">
      <c r="A10" s="84">
        <v>20242709897</v>
      </c>
      <c r="B10" s="77" t="s">
        <v>564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216</v>
      </c>
      <c r="C12" s="80" t="s">
        <v>54</v>
      </c>
    </row>
    <row r="13" spans="1:7">
      <c r="A13" s="84">
        <v>30641659106</v>
      </c>
      <c r="B13" s="77" t="s">
        <v>313</v>
      </c>
      <c r="C13" s="80" t="s">
        <v>54</v>
      </c>
    </row>
    <row r="14" spans="1:7">
      <c r="A14" s="84">
        <v>33709914109</v>
      </c>
      <c r="B14" s="77" t="s">
        <v>323</v>
      </c>
      <c r="C14" s="80" t="s">
        <v>54</v>
      </c>
    </row>
    <row r="15" spans="1:7">
      <c r="A15" s="208">
        <v>20267161616</v>
      </c>
      <c r="B15" s="77" t="s">
        <v>423</v>
      </c>
      <c r="C15" s="80" t="s">
        <v>54</v>
      </c>
    </row>
    <row r="16" spans="1:7">
      <c r="A16" s="92">
        <v>20110352108</v>
      </c>
      <c r="B16" s="77" t="s">
        <v>578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247</v>
      </c>
      <c r="C18" s="80" t="s">
        <v>43</v>
      </c>
    </row>
    <row r="19" spans="1:4">
      <c r="A19" s="84">
        <v>30707014756</v>
      </c>
      <c r="B19" s="77" t="s">
        <v>485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8">
        <v>30710406037</v>
      </c>
      <c r="B21" s="77" t="s">
        <v>460</v>
      </c>
      <c r="C21" s="80" t="s">
        <v>41</v>
      </c>
      <c r="D21" s="100"/>
    </row>
    <row r="22" spans="1:4">
      <c r="A22" s="208">
        <v>30715678310</v>
      </c>
      <c r="B22" s="77" t="s">
        <v>237</v>
      </c>
      <c r="C22" s="80" t="s">
        <v>54</v>
      </c>
      <c r="D22" s="100"/>
    </row>
    <row r="23" spans="1:4">
      <c r="A23" s="92">
        <v>27265533006</v>
      </c>
      <c r="B23" s="77" t="s">
        <v>519</v>
      </c>
      <c r="C23" s="80" t="s">
        <v>41</v>
      </c>
    </row>
    <row r="24" spans="1:4">
      <c r="A24" s="84">
        <v>27133963524</v>
      </c>
      <c r="B24" s="77" t="s">
        <v>401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273</v>
      </c>
      <c r="C27" s="80" t="s">
        <v>43</v>
      </c>
    </row>
    <row r="28" spans="1:4">
      <c r="A28" s="84">
        <v>30683702060</v>
      </c>
      <c r="B28" s="77" t="s">
        <v>488</v>
      </c>
      <c r="C28" s="80" t="s">
        <v>41</v>
      </c>
    </row>
    <row r="29" spans="1:4">
      <c r="A29" s="84">
        <v>27252316057</v>
      </c>
      <c r="B29" s="77" t="s">
        <v>522</v>
      </c>
      <c r="C29" s="80" t="s">
        <v>38</v>
      </c>
    </row>
    <row r="30" spans="1:4">
      <c r="A30" s="84">
        <v>30711492409</v>
      </c>
      <c r="B30" s="77" t="s">
        <v>410</v>
      </c>
      <c r="C30" s="80" t="s">
        <v>41</v>
      </c>
    </row>
    <row r="31" spans="1:4">
      <c r="A31" s="84">
        <v>30600907553</v>
      </c>
      <c r="B31" s="77" t="s">
        <v>209</v>
      </c>
      <c r="C31" s="80" t="s">
        <v>54</v>
      </c>
    </row>
    <row r="32" spans="1:4">
      <c r="A32" s="208">
        <v>30715290835</v>
      </c>
      <c r="B32" s="79" t="s">
        <v>422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352</v>
      </c>
      <c r="C35" s="80" t="s">
        <v>80</v>
      </c>
    </row>
    <row r="36" spans="1:7">
      <c r="A36" s="84">
        <v>30714416622</v>
      </c>
      <c r="B36" s="79" t="s">
        <v>257</v>
      </c>
      <c r="C36" s="80" t="s">
        <v>54</v>
      </c>
    </row>
    <row r="37" spans="1:7">
      <c r="A37" s="84">
        <v>30708436506</v>
      </c>
      <c r="B37" s="79" t="s">
        <v>285</v>
      </c>
      <c r="C37" s="80" t="s">
        <v>80</v>
      </c>
    </row>
    <row r="38" spans="1:7">
      <c r="A38" s="250">
        <v>30677237119</v>
      </c>
      <c r="B38" s="251" t="s">
        <v>432</v>
      </c>
      <c r="C38" s="252" t="s">
        <v>374</v>
      </c>
    </row>
    <row r="39" spans="1:7">
      <c r="A39" s="208">
        <v>30574876474</v>
      </c>
      <c r="B39" s="79" t="s">
        <v>373</v>
      </c>
      <c r="C39" s="80" t="s">
        <v>374</v>
      </c>
    </row>
    <row r="40" spans="1:7">
      <c r="A40" s="84">
        <v>20379223185</v>
      </c>
      <c r="B40" s="79" t="s">
        <v>409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223</v>
      </c>
      <c r="C43" s="80" t="s">
        <v>41</v>
      </c>
    </row>
    <row r="44" spans="1:7">
      <c r="A44" s="84">
        <v>33714642079</v>
      </c>
      <c r="B44" s="77" t="s">
        <v>212</v>
      </c>
      <c r="C44" s="82" t="s">
        <v>54</v>
      </c>
    </row>
    <row r="45" spans="1:7">
      <c r="A45" s="84">
        <v>33711430879</v>
      </c>
      <c r="B45" s="77" t="s">
        <v>280</v>
      </c>
      <c r="C45" s="82" t="s">
        <v>41</v>
      </c>
    </row>
    <row r="46" spans="1:7">
      <c r="A46" s="84">
        <v>33716391049</v>
      </c>
      <c r="B46" s="77" t="s">
        <v>284</v>
      </c>
      <c r="C46" s="82" t="s">
        <v>54</v>
      </c>
    </row>
    <row r="47" spans="1:7">
      <c r="A47" s="84">
        <v>30707267077</v>
      </c>
      <c r="B47" s="77" t="s">
        <v>408</v>
      </c>
      <c r="C47" s="82" t="s">
        <v>41</v>
      </c>
      <c r="F47"/>
      <c r="G47"/>
    </row>
    <row r="48" spans="1:7">
      <c r="A48" s="84">
        <v>20109274268</v>
      </c>
      <c r="B48" s="77" t="s">
        <v>270</v>
      </c>
      <c r="C48" s="82" t="s">
        <v>36</v>
      </c>
      <c r="F48"/>
      <c r="G48"/>
    </row>
    <row r="49" spans="1:7">
      <c r="A49" s="84">
        <v>20172955763</v>
      </c>
      <c r="B49" s="77" t="s">
        <v>415</v>
      </c>
      <c r="C49" s="82" t="s">
        <v>41</v>
      </c>
      <c r="F49"/>
      <c r="G49"/>
    </row>
    <row r="50" spans="1:7">
      <c r="A50" s="84">
        <v>20119743959</v>
      </c>
      <c r="B50" s="77" t="s">
        <v>338</v>
      </c>
      <c r="C50" s="82" t="s">
        <v>41</v>
      </c>
      <c r="F50"/>
      <c r="G50"/>
    </row>
    <row r="51" spans="1:7">
      <c r="A51" s="84">
        <v>30711091552</v>
      </c>
      <c r="B51" s="77" t="s">
        <v>245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481</v>
      </c>
      <c r="C54" s="82" t="s">
        <v>41</v>
      </c>
      <c r="F54"/>
      <c r="G54"/>
    </row>
    <row r="55" spans="1:7">
      <c r="A55" s="84">
        <v>20043137817</v>
      </c>
      <c r="B55" s="77" t="s">
        <v>535</v>
      </c>
      <c r="C55" s="82" t="s">
        <v>54</v>
      </c>
      <c r="F55"/>
      <c r="G55"/>
    </row>
    <row r="56" spans="1:7">
      <c r="A56" s="84">
        <v>20400104094</v>
      </c>
      <c r="B56" s="77" t="s">
        <v>236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281</v>
      </c>
      <c r="C58" s="82" t="s">
        <v>38</v>
      </c>
      <c r="F58"/>
      <c r="G58"/>
    </row>
    <row r="59" spans="1:7">
      <c r="A59" s="92">
        <v>33714174539</v>
      </c>
      <c r="B59" s="77" t="s">
        <v>366</v>
      </c>
      <c r="C59" s="82" t="s">
        <v>41</v>
      </c>
      <c r="F59"/>
      <c r="G59"/>
    </row>
    <row r="60" spans="1:7">
      <c r="A60" s="92">
        <v>20291406212</v>
      </c>
      <c r="B60" s="77" t="s">
        <v>403</v>
      </c>
      <c r="C60" s="82" t="s">
        <v>41</v>
      </c>
      <c r="F60"/>
      <c r="G60"/>
    </row>
    <row r="61" spans="1:7">
      <c r="A61" s="92">
        <v>30716371812</v>
      </c>
      <c r="B61" s="77" t="s">
        <v>549</v>
      </c>
      <c r="C61" s="82" t="s">
        <v>41</v>
      </c>
      <c r="F61"/>
      <c r="G61"/>
    </row>
    <row r="62" spans="1:7">
      <c r="A62" s="84">
        <v>27211511023</v>
      </c>
      <c r="B62" s="77" t="s">
        <v>262</v>
      </c>
      <c r="C62" s="82" t="s">
        <v>41</v>
      </c>
      <c r="F62"/>
      <c r="G62"/>
    </row>
    <row r="63" spans="1:7">
      <c r="A63" s="84">
        <v>30714295957</v>
      </c>
      <c r="B63" s="77" t="s">
        <v>439</v>
      </c>
      <c r="C63" s="82" t="s">
        <v>54</v>
      </c>
      <c r="F63"/>
      <c r="G63"/>
    </row>
    <row r="64" spans="1:7">
      <c r="A64" s="84">
        <v>27289847141</v>
      </c>
      <c r="B64" s="77" t="s">
        <v>290</v>
      </c>
      <c r="C64" s="82" t="s">
        <v>54</v>
      </c>
    </row>
    <row r="65" spans="1:3">
      <c r="A65" s="84">
        <v>23255855204</v>
      </c>
      <c r="B65" s="77" t="s">
        <v>509</v>
      </c>
      <c r="C65" s="82" t="s">
        <v>36</v>
      </c>
    </row>
    <row r="66" spans="1:3">
      <c r="A66" s="250">
        <v>27338342840</v>
      </c>
      <c r="B66" s="236" t="s">
        <v>435</v>
      </c>
      <c r="C66" s="237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581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507</v>
      </c>
      <c r="C71" s="82" t="s">
        <v>124</v>
      </c>
    </row>
    <row r="72" spans="1:3">
      <c r="A72" s="84">
        <v>20129871947</v>
      </c>
      <c r="B72" s="77" t="s">
        <v>213</v>
      </c>
      <c r="C72" s="82" t="s">
        <v>41</v>
      </c>
    </row>
    <row r="73" spans="1:3">
      <c r="A73" s="91">
        <v>30648604021</v>
      </c>
      <c r="B73" s="77" t="s">
        <v>495</v>
      </c>
      <c r="C73" s="82" t="s">
        <v>41</v>
      </c>
    </row>
    <row r="74" spans="1:3">
      <c r="A74" s="91">
        <v>20372769808</v>
      </c>
      <c r="B74" s="77" t="s">
        <v>436</v>
      </c>
      <c r="C74" s="82" t="s">
        <v>54</v>
      </c>
    </row>
    <row r="75" spans="1:3">
      <c r="A75" s="92">
        <v>30575818826</v>
      </c>
      <c r="B75" s="77" t="s">
        <v>275</v>
      </c>
      <c r="C75" s="82" t="s">
        <v>54</v>
      </c>
    </row>
    <row r="76" spans="1:3">
      <c r="A76" s="92">
        <v>30575945232</v>
      </c>
      <c r="B76" s="77" t="s">
        <v>211</v>
      </c>
      <c r="C76" s="82" t="s">
        <v>54</v>
      </c>
    </row>
    <row r="77" spans="1:3">
      <c r="A77" s="246">
        <v>33712276539</v>
      </c>
      <c r="B77" s="77" t="s">
        <v>355</v>
      </c>
      <c r="C77" s="82" t="s">
        <v>54</v>
      </c>
    </row>
    <row r="78" spans="1:3">
      <c r="A78" s="92">
        <v>30716174766</v>
      </c>
      <c r="B78" s="77" t="s">
        <v>342</v>
      </c>
      <c r="C78" s="82" t="s">
        <v>41</v>
      </c>
    </row>
    <row r="79" spans="1:3">
      <c r="A79" s="92">
        <v>33715179119</v>
      </c>
      <c r="B79" s="77" t="s">
        <v>361</v>
      </c>
      <c r="C79" s="82" t="s">
        <v>54</v>
      </c>
    </row>
    <row r="80" spans="1:3">
      <c r="A80" s="246">
        <v>30590360763</v>
      </c>
      <c r="B80" s="77" t="s">
        <v>354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561</v>
      </c>
      <c r="C82" s="82" t="s">
        <v>41</v>
      </c>
    </row>
    <row r="83" spans="1:3">
      <c r="A83" s="92">
        <v>27318630157</v>
      </c>
      <c r="B83" s="77" t="s">
        <v>596</v>
      </c>
      <c r="C83" s="82" t="s">
        <v>54</v>
      </c>
    </row>
    <row r="84" spans="1:3">
      <c r="A84" s="247">
        <v>30707535934</v>
      </c>
      <c r="B84" s="77" t="s">
        <v>306</v>
      </c>
      <c r="C84" s="82" t="s">
        <v>54</v>
      </c>
    </row>
    <row r="85" spans="1:3">
      <c r="A85" s="92">
        <v>30696692951</v>
      </c>
      <c r="B85" s="77" t="s">
        <v>577</v>
      </c>
      <c r="C85" s="82" t="s">
        <v>54</v>
      </c>
    </row>
    <row r="86" spans="1:3">
      <c r="A86" s="246">
        <v>30594832783</v>
      </c>
      <c r="B86" s="77" t="s">
        <v>392</v>
      </c>
      <c r="C86" s="82" t="s">
        <v>54</v>
      </c>
    </row>
    <row r="87" spans="1:3">
      <c r="A87" s="92">
        <v>30707986189</v>
      </c>
      <c r="B87" s="81" t="s">
        <v>231</v>
      </c>
      <c r="C87" s="82" t="s">
        <v>41</v>
      </c>
    </row>
    <row r="88" spans="1:3">
      <c r="A88" s="93">
        <v>23334822869</v>
      </c>
      <c r="B88" s="77" t="s">
        <v>483</v>
      </c>
      <c r="C88" s="82" t="s">
        <v>54</v>
      </c>
    </row>
    <row r="89" spans="1:3">
      <c r="A89" s="208">
        <v>23258785479</v>
      </c>
      <c r="B89" s="77" t="s">
        <v>459</v>
      </c>
      <c r="C89" s="82" t="s">
        <v>54</v>
      </c>
    </row>
    <row r="90" spans="1:3">
      <c r="A90" s="84">
        <v>20274215632</v>
      </c>
      <c r="B90" s="77" t="s">
        <v>587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8">
        <v>30708736186</v>
      </c>
      <c r="B92" s="77" t="s">
        <v>597</v>
      </c>
      <c r="C92" s="82" t="s">
        <v>54</v>
      </c>
    </row>
    <row r="93" spans="1:3">
      <c r="A93" s="84">
        <v>23359537069</v>
      </c>
      <c r="B93" s="77" t="s">
        <v>512</v>
      </c>
      <c r="C93" s="82" t="s">
        <v>41</v>
      </c>
    </row>
    <row r="94" spans="1:3">
      <c r="A94" s="92">
        <v>33710268059</v>
      </c>
      <c r="B94" s="77" t="s">
        <v>215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49">
        <v>30682998330</v>
      </c>
      <c r="B97" s="77" t="s">
        <v>365</v>
      </c>
      <c r="C97" s="82" t="s">
        <v>54</v>
      </c>
    </row>
    <row r="98" spans="1:3">
      <c r="A98" s="84">
        <v>20200212143</v>
      </c>
      <c r="B98" s="77" t="s">
        <v>310</v>
      </c>
      <c r="C98" s="82" t="s">
        <v>54</v>
      </c>
    </row>
    <row r="99" spans="1:3">
      <c r="A99" s="246">
        <v>20233248283</v>
      </c>
      <c r="B99" s="77" t="s">
        <v>345</v>
      </c>
      <c r="C99" s="82" t="s">
        <v>41</v>
      </c>
    </row>
    <row r="100" spans="1:3">
      <c r="A100" s="84">
        <v>33699685459</v>
      </c>
      <c r="B100" s="77" t="s">
        <v>335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318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375</v>
      </c>
      <c r="C104" s="82" t="s">
        <v>39</v>
      </c>
    </row>
    <row r="105" spans="1:3">
      <c r="A105" s="84">
        <v>30709175897</v>
      </c>
      <c r="B105" s="77" t="s">
        <v>377</v>
      </c>
      <c r="C105" s="82" t="s">
        <v>54</v>
      </c>
    </row>
    <row r="106" spans="1:3">
      <c r="A106" s="84">
        <v>30707833293</v>
      </c>
      <c r="B106" s="77" t="s">
        <v>437</v>
      </c>
      <c r="C106" s="82" t="s">
        <v>41</v>
      </c>
    </row>
    <row r="107" spans="1:3">
      <c r="A107" s="84">
        <v>33708543409</v>
      </c>
      <c r="B107" s="77" t="s">
        <v>538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334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8">
        <v>27340766445</v>
      </c>
      <c r="B111" s="77" t="s">
        <v>383</v>
      </c>
      <c r="C111" s="82" t="s">
        <v>54</v>
      </c>
    </row>
    <row r="112" spans="1:3">
      <c r="A112" s="202">
        <v>20403969886</v>
      </c>
      <c r="B112" s="77" t="s">
        <v>398</v>
      </c>
      <c r="C112" s="82" t="s">
        <v>41</v>
      </c>
    </row>
    <row r="113" spans="1:3">
      <c r="A113" s="84">
        <v>20253515512</v>
      </c>
      <c r="B113" s="77" t="s">
        <v>539</v>
      </c>
      <c r="C113" s="82" t="s">
        <v>41</v>
      </c>
    </row>
    <row r="114" spans="1:3">
      <c r="A114" s="84">
        <v>33716792299</v>
      </c>
      <c r="B114" s="77" t="s">
        <v>417</v>
      </c>
      <c r="C114" s="82" t="s">
        <v>54</v>
      </c>
    </row>
    <row r="115" spans="1:3">
      <c r="A115" s="84">
        <v>30708656018</v>
      </c>
      <c r="B115" s="77" t="s">
        <v>558</v>
      </c>
      <c r="C115" s="82" t="s">
        <v>54</v>
      </c>
    </row>
    <row r="116" spans="1:3">
      <c r="A116" s="84">
        <v>20167634436</v>
      </c>
      <c r="B116" s="77" t="s">
        <v>229</v>
      </c>
      <c r="C116" s="82" t="s">
        <v>54</v>
      </c>
    </row>
    <row r="117" spans="1:3">
      <c r="A117" s="92">
        <v>30701307115</v>
      </c>
      <c r="B117" s="77" t="s">
        <v>286</v>
      </c>
      <c r="C117" s="82" t="s">
        <v>36</v>
      </c>
    </row>
    <row r="118" spans="1:3">
      <c r="A118" s="92">
        <v>30708285818</v>
      </c>
      <c r="B118" s="77" t="s">
        <v>514</v>
      </c>
      <c r="C118" s="82" t="s">
        <v>41</v>
      </c>
    </row>
    <row r="119" spans="1:3">
      <c r="A119" s="247">
        <v>20325314983</v>
      </c>
      <c r="B119" s="77" t="s">
        <v>348</v>
      </c>
      <c r="C119" s="82" t="s">
        <v>41</v>
      </c>
    </row>
    <row r="120" spans="1:3">
      <c r="A120" s="94">
        <v>20107037021</v>
      </c>
      <c r="B120" s="77" t="s">
        <v>317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552</v>
      </c>
      <c r="C122" s="82" t="s">
        <v>54</v>
      </c>
    </row>
    <row r="123" spans="1:3">
      <c r="A123" s="92">
        <v>30708155795</v>
      </c>
      <c r="B123" s="77" t="s">
        <v>528</v>
      </c>
      <c r="C123" s="82" t="s">
        <v>41</v>
      </c>
    </row>
    <row r="124" spans="1:3">
      <c r="A124" s="92">
        <v>27948446168</v>
      </c>
      <c r="B124" s="77" t="s">
        <v>282</v>
      </c>
      <c r="C124" s="82" t="s">
        <v>41</v>
      </c>
    </row>
    <row r="125" spans="1:3">
      <c r="A125" s="92">
        <v>20219935464</v>
      </c>
      <c r="B125" s="77" t="s">
        <v>276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287</v>
      </c>
      <c r="C127" s="82" t="s">
        <v>54</v>
      </c>
    </row>
    <row r="128" spans="1:3">
      <c r="A128" s="92">
        <v>20243132852</v>
      </c>
      <c r="B128" s="77" t="s">
        <v>591</v>
      </c>
      <c r="C128" s="82" t="s">
        <v>592</v>
      </c>
    </row>
    <row r="129" spans="1:3">
      <c r="A129" s="246">
        <v>30711510822</v>
      </c>
      <c r="B129" s="77" t="s">
        <v>454</v>
      </c>
      <c r="C129" s="82" t="s">
        <v>54</v>
      </c>
    </row>
    <row r="130" spans="1:3">
      <c r="A130" s="92">
        <v>30694549817</v>
      </c>
      <c r="B130" s="77" t="s">
        <v>251</v>
      </c>
      <c r="C130" s="82" t="s">
        <v>41</v>
      </c>
    </row>
    <row r="131" spans="1:3">
      <c r="A131" s="92">
        <v>30715819461</v>
      </c>
      <c r="B131" s="77" t="s">
        <v>533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536</v>
      </c>
      <c r="C133" s="78" t="s">
        <v>54</v>
      </c>
    </row>
    <row r="134" spans="1:3">
      <c r="A134" s="92">
        <v>27206941419</v>
      </c>
      <c r="B134" s="77" t="s">
        <v>520</v>
      </c>
      <c r="C134" s="82" t="s">
        <v>38</v>
      </c>
    </row>
    <row r="135" spans="1:3">
      <c r="A135" s="92">
        <v>30702966066</v>
      </c>
      <c r="B135" s="77" t="s">
        <v>240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387</v>
      </c>
      <c r="C137" s="82" t="s">
        <v>41</v>
      </c>
    </row>
    <row r="138" spans="1:3">
      <c r="A138" s="246">
        <v>30711727236</v>
      </c>
      <c r="B138" s="77" t="s">
        <v>349</v>
      </c>
      <c r="C138" s="82" t="s">
        <v>54</v>
      </c>
    </row>
    <row r="139" spans="1:3">
      <c r="A139" s="92">
        <v>30714318221</v>
      </c>
      <c r="B139" s="77" t="s">
        <v>292</v>
      </c>
      <c r="C139" s="82" t="s">
        <v>54</v>
      </c>
    </row>
    <row r="140" spans="1:3">
      <c r="A140" s="92">
        <v>20083442612</v>
      </c>
      <c r="B140" s="77" t="s">
        <v>442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393</v>
      </c>
      <c r="C142" s="82" t="s">
        <v>54</v>
      </c>
    </row>
    <row r="143" spans="1:3">
      <c r="A143" s="92">
        <v>30696676026</v>
      </c>
      <c r="B143" s="77" t="s">
        <v>541</v>
      </c>
      <c r="C143" s="82" t="s">
        <v>41</v>
      </c>
    </row>
    <row r="144" spans="1:3">
      <c r="A144" s="92">
        <v>30686489325</v>
      </c>
      <c r="B144" s="77" t="s">
        <v>471</v>
      </c>
      <c r="C144" s="82" t="s">
        <v>54</v>
      </c>
    </row>
    <row r="145" spans="1:3">
      <c r="A145" s="92">
        <v>30709131865</v>
      </c>
      <c r="B145" s="77" t="s">
        <v>265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341</v>
      </c>
      <c r="C147" s="82" t="s">
        <v>54</v>
      </c>
    </row>
    <row r="148" spans="1:3">
      <c r="A148" s="92">
        <v>30707118454</v>
      </c>
      <c r="B148" s="77" t="s">
        <v>462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406</v>
      </c>
      <c r="C150" s="82" t="s">
        <v>41</v>
      </c>
    </row>
    <row r="151" spans="1:3">
      <c r="A151" s="92">
        <v>30659276964</v>
      </c>
      <c r="B151" s="77" t="s">
        <v>531</v>
      </c>
      <c r="C151" s="82" t="s">
        <v>532</v>
      </c>
    </row>
    <row r="152" spans="1:3">
      <c r="A152" s="92">
        <v>20145036101</v>
      </c>
      <c r="B152" s="77" t="s">
        <v>289</v>
      </c>
      <c r="C152" s="82" t="s">
        <v>36</v>
      </c>
    </row>
    <row r="153" spans="1:3">
      <c r="A153" s="92">
        <v>30711328498</v>
      </c>
      <c r="B153" s="77" t="s">
        <v>599</v>
      </c>
      <c r="C153" s="82" t="s">
        <v>592</v>
      </c>
    </row>
    <row r="154" spans="1:3">
      <c r="A154" s="92">
        <v>30715537512</v>
      </c>
      <c r="B154" s="77" t="s">
        <v>444</v>
      </c>
      <c r="C154" s="82" t="s">
        <v>54</v>
      </c>
    </row>
    <row r="155" spans="1:3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46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>
      <c r="A160" s="92">
        <v>30715949292</v>
      </c>
      <c r="B160" s="77" t="s">
        <v>511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572</v>
      </c>
      <c r="C162" s="82" t="s">
        <v>54</v>
      </c>
    </row>
    <row r="163" spans="1:3">
      <c r="A163" s="92">
        <v>30643518364</v>
      </c>
      <c r="B163" s="77" t="s">
        <v>562</v>
      </c>
      <c r="C163" s="82" t="s">
        <v>41</v>
      </c>
    </row>
    <row r="164" spans="1:3">
      <c r="A164" s="92">
        <v>30692138747</v>
      </c>
      <c r="B164" s="77" t="s">
        <v>332</v>
      </c>
      <c r="C164" s="82" t="s">
        <v>54</v>
      </c>
    </row>
    <row r="165" spans="1:3">
      <c r="A165" s="246">
        <v>33712234429</v>
      </c>
      <c r="B165" s="77" t="s">
        <v>453</v>
      </c>
      <c r="C165" s="82" t="s">
        <v>54</v>
      </c>
    </row>
    <row r="166" spans="1:3">
      <c r="A166" s="92">
        <v>20353576012</v>
      </c>
      <c r="B166" s="77" t="s">
        <v>234</v>
      </c>
      <c r="C166" s="82" t="s">
        <v>54</v>
      </c>
    </row>
    <row r="167" spans="1:3">
      <c r="A167" s="92">
        <v>20343766441</v>
      </c>
      <c r="B167" s="77" t="s">
        <v>218</v>
      </c>
      <c r="C167" s="82" t="s">
        <v>177</v>
      </c>
    </row>
    <row r="168" spans="1:3">
      <c r="A168" s="89">
        <v>27062343449</v>
      </c>
      <c r="B168" s="81" t="s">
        <v>407</v>
      </c>
      <c r="C168" s="82" t="s">
        <v>36</v>
      </c>
    </row>
    <row r="169" spans="1:3">
      <c r="A169" s="92">
        <v>30676642230</v>
      </c>
      <c r="B169" s="77" t="s">
        <v>463</v>
      </c>
      <c r="C169" s="82" t="s">
        <v>54</v>
      </c>
    </row>
    <row r="170" spans="1:3">
      <c r="A170" s="92">
        <v>30709453293</v>
      </c>
      <c r="B170" s="77" t="s">
        <v>217</v>
      </c>
      <c r="C170" s="82" t="s">
        <v>54</v>
      </c>
    </row>
    <row r="171" spans="1:3">
      <c r="A171" s="246">
        <v>30714690554</v>
      </c>
      <c r="B171" s="77" t="s">
        <v>427</v>
      </c>
      <c r="C171" s="82" t="s">
        <v>54</v>
      </c>
    </row>
    <row r="172" spans="1:3">
      <c r="A172" s="92">
        <v>30716620634</v>
      </c>
      <c r="B172" s="77" t="s">
        <v>566</v>
      </c>
      <c r="C172" s="82" t="s">
        <v>54</v>
      </c>
    </row>
    <row r="173" spans="1:3">
      <c r="A173" s="246">
        <v>30705466021</v>
      </c>
      <c r="B173" s="77" t="s">
        <v>428</v>
      </c>
      <c r="C173" s="82" t="s">
        <v>41</v>
      </c>
    </row>
    <row r="174" spans="1:3">
      <c r="A174" s="92">
        <v>27301358852</v>
      </c>
      <c r="B174" s="77" t="s">
        <v>461</v>
      </c>
      <c r="C174" s="82" t="s">
        <v>36</v>
      </c>
    </row>
    <row r="175" spans="1:3">
      <c r="A175" s="92">
        <v>20314536852</v>
      </c>
      <c r="B175" s="77" t="s">
        <v>546</v>
      </c>
      <c r="C175" s="82" t="s">
        <v>36</v>
      </c>
    </row>
    <row r="176" spans="1:3">
      <c r="A176" s="92">
        <v>30710657250</v>
      </c>
      <c r="B176" s="77" t="s">
        <v>466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449</v>
      </c>
      <c r="C178" s="82" t="s">
        <v>80</v>
      </c>
    </row>
    <row r="179" spans="1:3">
      <c r="A179" s="92">
        <v>20284183534</v>
      </c>
      <c r="B179" s="77" t="s">
        <v>451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487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364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224</v>
      </c>
      <c r="C187" s="82" t="s">
        <v>41</v>
      </c>
    </row>
    <row r="188" spans="1:3">
      <c r="A188" s="92">
        <v>27121544917</v>
      </c>
      <c r="B188" s="77" t="s">
        <v>321</v>
      </c>
      <c r="C188" s="82" t="s">
        <v>38</v>
      </c>
    </row>
    <row r="189" spans="1:3">
      <c r="A189" s="92">
        <v>30715567578</v>
      </c>
      <c r="B189" s="77" t="s">
        <v>244</v>
      </c>
      <c r="C189" s="82" t="s">
        <v>54</v>
      </c>
    </row>
    <row r="190" spans="1:3">
      <c r="A190" s="92">
        <v>20186809565</v>
      </c>
      <c r="B190" s="77" t="s">
        <v>214</v>
      </c>
      <c r="C190" s="82" t="s">
        <v>41</v>
      </c>
    </row>
    <row r="191" spans="1:3">
      <c r="A191" s="92">
        <v>23405137119</v>
      </c>
      <c r="B191" s="77" t="s">
        <v>465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330</v>
      </c>
      <c r="C195" s="82" t="s">
        <v>41</v>
      </c>
    </row>
    <row r="196" spans="1:3">
      <c r="A196" s="92">
        <v>30690212265</v>
      </c>
      <c r="B196" s="77" t="s">
        <v>584</v>
      </c>
      <c r="C196" s="82" t="s">
        <v>36</v>
      </c>
    </row>
    <row r="197" spans="1:3">
      <c r="A197" s="92">
        <v>27304678165</v>
      </c>
      <c r="B197" s="77" t="s">
        <v>556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235</v>
      </c>
      <c r="C199" s="82" t="s">
        <v>54</v>
      </c>
    </row>
    <row r="200" spans="1:3">
      <c r="A200" s="246">
        <v>33709997489</v>
      </c>
      <c r="B200" s="77" t="s">
        <v>396</v>
      </c>
      <c r="C200" s="82" t="s">
        <v>41</v>
      </c>
    </row>
    <row r="201" spans="1:3">
      <c r="A201" s="92">
        <v>30715621866</v>
      </c>
      <c r="B201" s="77" t="s">
        <v>506</v>
      </c>
      <c r="C201" s="82" t="s">
        <v>124</v>
      </c>
    </row>
    <row r="202" spans="1:3">
      <c r="A202" s="92">
        <v>33710427629</v>
      </c>
      <c r="B202" s="77" t="s">
        <v>585</v>
      </c>
      <c r="C202" s="82" t="s">
        <v>36</v>
      </c>
    </row>
    <row r="203" spans="1:3">
      <c r="A203" s="92">
        <v>20323836427</v>
      </c>
      <c r="B203" s="77" t="s">
        <v>447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414</v>
      </c>
      <c r="C205" s="82" t="s">
        <v>54</v>
      </c>
    </row>
    <row r="206" spans="1:3">
      <c r="A206" s="92">
        <v>20410525888</v>
      </c>
      <c r="B206" s="77" t="s">
        <v>537</v>
      </c>
      <c r="C206" s="82" t="s">
        <v>41</v>
      </c>
    </row>
    <row r="207" spans="1:3">
      <c r="A207" s="92">
        <v>20239531963</v>
      </c>
      <c r="B207" s="77" t="s">
        <v>504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299</v>
      </c>
      <c r="C209" s="82" t="s">
        <v>54</v>
      </c>
    </row>
    <row r="210" spans="1:3">
      <c r="A210" s="92">
        <v>27365928016</v>
      </c>
      <c r="B210" s="77" t="s">
        <v>302</v>
      </c>
      <c r="C210" s="82" t="s">
        <v>177</v>
      </c>
    </row>
    <row r="211" spans="1:3">
      <c r="A211" s="246">
        <v>30712097600</v>
      </c>
      <c r="B211" s="77" t="s">
        <v>343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46">
        <v>20181426846</v>
      </c>
      <c r="B213" s="77" t="s">
        <v>457</v>
      </c>
      <c r="C213" s="82" t="s">
        <v>54</v>
      </c>
    </row>
    <row r="214" spans="1:3">
      <c r="A214" s="235">
        <v>30663498513</v>
      </c>
      <c r="B214" s="236" t="s">
        <v>433</v>
      </c>
      <c r="C214" s="237" t="s">
        <v>374</v>
      </c>
    </row>
    <row r="215" spans="1:3">
      <c r="A215" s="246">
        <v>30671637689</v>
      </c>
      <c r="B215" s="77" t="s">
        <v>390</v>
      </c>
      <c r="C215" s="82" t="s">
        <v>54</v>
      </c>
    </row>
    <row r="216" spans="1:3">
      <c r="A216" s="92">
        <v>27147827682</v>
      </c>
      <c r="B216" s="81" t="s">
        <v>258</v>
      </c>
      <c r="C216" s="82" t="s">
        <v>38</v>
      </c>
    </row>
    <row r="217" spans="1:3">
      <c r="A217" s="92">
        <v>23175716009</v>
      </c>
      <c r="B217" s="77" t="s">
        <v>473</v>
      </c>
      <c r="C217" s="82" t="s">
        <v>36</v>
      </c>
    </row>
    <row r="218" spans="1:3">
      <c r="A218" s="92">
        <v>30715210904</v>
      </c>
      <c r="B218" s="77" t="s">
        <v>230</v>
      </c>
      <c r="C218" s="82" t="s">
        <v>41</v>
      </c>
    </row>
    <row r="219" spans="1:3">
      <c r="A219" s="92">
        <v>30716770881</v>
      </c>
      <c r="B219" s="77" t="s">
        <v>534</v>
      </c>
      <c r="C219" s="82" t="s">
        <v>54</v>
      </c>
    </row>
    <row r="220" spans="1:3">
      <c r="A220" s="92">
        <v>30710538014</v>
      </c>
      <c r="B220" s="77" t="s">
        <v>372</v>
      </c>
      <c r="C220" s="82" t="s">
        <v>80</v>
      </c>
    </row>
    <row r="221" spans="1:3">
      <c r="A221" s="246">
        <v>20351722585</v>
      </c>
      <c r="B221" s="77" t="s">
        <v>456</v>
      </c>
      <c r="C221" s="82" t="s">
        <v>41</v>
      </c>
    </row>
    <row r="222" spans="1:3">
      <c r="A222" s="246">
        <v>27165813893</v>
      </c>
      <c r="B222" s="77" t="s">
        <v>458</v>
      </c>
      <c r="C222" s="82" t="s">
        <v>41</v>
      </c>
    </row>
    <row r="223" spans="1:3">
      <c r="A223" s="84">
        <v>23219640269</v>
      </c>
      <c r="B223" s="77" t="s">
        <v>241</v>
      </c>
      <c r="C223" s="82" t="s">
        <v>41</v>
      </c>
    </row>
    <row r="224" spans="1:3">
      <c r="A224" s="92">
        <v>30710095171</v>
      </c>
      <c r="B224" s="77" t="s">
        <v>225</v>
      </c>
      <c r="C224" s="82" t="s">
        <v>41</v>
      </c>
    </row>
    <row r="225" spans="1:3">
      <c r="A225" s="92">
        <v>20295867931</v>
      </c>
      <c r="B225" s="77" t="s">
        <v>430</v>
      </c>
      <c r="C225" s="82" t="s">
        <v>54</v>
      </c>
    </row>
    <row r="226" spans="1:3">
      <c r="A226" s="92">
        <v>20361556691</v>
      </c>
      <c r="B226" s="77" t="s">
        <v>337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491</v>
      </c>
      <c r="C228" s="82" t="s">
        <v>41</v>
      </c>
    </row>
    <row r="229" spans="1:3">
      <c r="A229" s="92">
        <v>30576630057</v>
      </c>
      <c r="B229" s="77" t="s">
        <v>331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357</v>
      </c>
      <c r="C232" s="82" t="s">
        <v>41</v>
      </c>
    </row>
    <row r="233" spans="1:3">
      <c r="A233" s="92">
        <v>20309759444</v>
      </c>
      <c r="B233" s="77" t="s">
        <v>575</v>
      </c>
      <c r="C233" s="82" t="s">
        <v>41</v>
      </c>
    </row>
    <row r="234" spans="1:3">
      <c r="A234" s="92">
        <v>30712289046</v>
      </c>
      <c r="B234" s="77" t="s">
        <v>369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304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263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46">
        <v>30554807301</v>
      </c>
      <c r="B240" s="77" t="s">
        <v>238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249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294</v>
      </c>
      <c r="C244" s="82" t="s">
        <v>41</v>
      </c>
    </row>
    <row r="245" spans="1:3">
      <c r="A245" s="92">
        <v>23368458449</v>
      </c>
      <c r="B245" s="77" t="s">
        <v>443</v>
      </c>
      <c r="C245" s="82" t="s">
        <v>36</v>
      </c>
    </row>
    <row r="246" spans="1:3">
      <c r="A246" s="92">
        <v>30707758682</v>
      </c>
      <c r="B246" s="77" t="s">
        <v>208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269</v>
      </c>
      <c r="C248" s="82" t="s">
        <v>54</v>
      </c>
    </row>
    <row r="249" spans="1:3">
      <c r="A249" s="92">
        <v>30715123483</v>
      </c>
      <c r="B249" s="77" t="s">
        <v>278</v>
      </c>
      <c r="C249" s="82" t="s">
        <v>36</v>
      </c>
    </row>
    <row r="250" spans="1:3">
      <c r="A250" s="92">
        <v>30708936762</v>
      </c>
      <c r="B250" s="77" t="s">
        <v>267</v>
      </c>
      <c r="C250" s="82" t="s">
        <v>54</v>
      </c>
    </row>
    <row r="251" spans="1:3">
      <c r="A251" s="92">
        <v>30715937006</v>
      </c>
      <c r="B251" s="77" t="s">
        <v>293</v>
      </c>
      <c r="C251" s="82" t="s">
        <v>41</v>
      </c>
    </row>
    <row r="252" spans="1:3">
      <c r="A252" s="92">
        <v>20167226524</v>
      </c>
      <c r="B252" s="77" t="s">
        <v>469</v>
      </c>
      <c r="C252" s="82" t="s">
        <v>54</v>
      </c>
    </row>
    <row r="253" spans="1:3">
      <c r="A253" s="92">
        <v>33707660509</v>
      </c>
      <c r="B253" s="77" t="s">
        <v>503</v>
      </c>
      <c r="C253" s="82" t="s">
        <v>54</v>
      </c>
    </row>
    <row r="254" spans="1:3">
      <c r="A254" s="92">
        <v>20244271740</v>
      </c>
      <c r="B254" s="77" t="s">
        <v>288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232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567</v>
      </c>
      <c r="C258" s="82" t="s">
        <v>41</v>
      </c>
    </row>
    <row r="259" spans="1:3">
      <c r="A259" s="84">
        <v>30709046779</v>
      </c>
      <c r="B259" s="77" t="s">
        <v>296</v>
      </c>
      <c r="C259" s="82" t="s">
        <v>41</v>
      </c>
    </row>
    <row r="260" spans="1:3">
      <c r="A260" s="84">
        <v>30711645884</v>
      </c>
      <c r="B260" s="77" t="s">
        <v>598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8">
        <v>20393873583</v>
      </c>
      <c r="B263" s="77" t="s">
        <v>582</v>
      </c>
      <c r="C263" s="82" t="s">
        <v>54</v>
      </c>
    </row>
    <row r="264" spans="1:3">
      <c r="A264" s="84">
        <v>30525468956</v>
      </c>
      <c r="B264" s="77" t="s">
        <v>295</v>
      </c>
      <c r="C264" s="82" t="s">
        <v>41</v>
      </c>
    </row>
    <row r="265" spans="1:3">
      <c r="A265" s="208">
        <v>30701950883</v>
      </c>
      <c r="B265" s="77" t="s">
        <v>353</v>
      </c>
      <c r="C265" s="82" t="s">
        <v>54</v>
      </c>
    </row>
    <row r="266" spans="1:3">
      <c r="A266" s="92">
        <v>30540019297</v>
      </c>
      <c r="B266" s="77" t="s">
        <v>498</v>
      </c>
      <c r="C266" s="82" t="s">
        <v>54</v>
      </c>
    </row>
    <row r="267" spans="1:3">
      <c r="A267" s="84">
        <v>30686525607</v>
      </c>
      <c r="B267" s="77" t="s">
        <v>500</v>
      </c>
      <c r="C267" s="82" t="s">
        <v>54</v>
      </c>
    </row>
    <row r="268" spans="1:3">
      <c r="A268" s="92">
        <v>23945201304</v>
      </c>
      <c r="B268" s="77" t="s">
        <v>368</v>
      </c>
      <c r="C268" s="82" t="s">
        <v>41</v>
      </c>
    </row>
    <row r="269" spans="1:3">
      <c r="A269" s="208">
        <v>30712019359</v>
      </c>
      <c r="B269" s="77" t="s">
        <v>395</v>
      </c>
      <c r="C269" s="82" t="s">
        <v>41</v>
      </c>
    </row>
    <row r="270" spans="1:3">
      <c r="A270" s="84">
        <v>20160503336</v>
      </c>
      <c r="B270" s="77" t="s">
        <v>590</v>
      </c>
      <c r="C270" s="82" t="s">
        <v>54</v>
      </c>
    </row>
    <row r="271" spans="1:3">
      <c r="A271" s="84">
        <v>27129657710</v>
      </c>
      <c r="B271" s="77" t="s">
        <v>579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486</v>
      </c>
      <c r="C273" s="82" t="s">
        <v>36</v>
      </c>
    </row>
    <row r="274" spans="1:3">
      <c r="A274" s="92">
        <v>20180429388</v>
      </c>
      <c r="B274" s="77" t="s">
        <v>448</v>
      </c>
      <c r="C274" s="82" t="s">
        <v>41</v>
      </c>
    </row>
    <row r="275" spans="1:3">
      <c r="A275" s="92">
        <v>30716229552</v>
      </c>
      <c r="B275" s="77" t="s">
        <v>576</v>
      </c>
      <c r="C275" s="82" t="s">
        <v>54</v>
      </c>
    </row>
    <row r="276" spans="1:3">
      <c r="A276" s="92">
        <v>30643700952</v>
      </c>
      <c r="B276" s="77" t="s">
        <v>515</v>
      </c>
      <c r="C276" s="82" t="s">
        <v>41</v>
      </c>
    </row>
    <row r="277" spans="1:3">
      <c r="A277" s="92">
        <v>30712448586</v>
      </c>
      <c r="B277" s="77" t="s">
        <v>441</v>
      </c>
      <c r="C277" s="82" t="s">
        <v>54</v>
      </c>
    </row>
    <row r="278" spans="1:3">
      <c r="A278" s="92">
        <v>20929183143</v>
      </c>
      <c r="B278" s="77" t="s">
        <v>472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594</v>
      </c>
      <c r="C280" s="82" t="s">
        <v>54</v>
      </c>
    </row>
    <row r="281" spans="1:3">
      <c r="A281" s="92">
        <v>30715589032</v>
      </c>
      <c r="B281" s="77" t="s">
        <v>351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529</v>
      </c>
      <c r="C283" s="82" t="s">
        <v>54</v>
      </c>
    </row>
    <row r="284" spans="1:3">
      <c r="A284" s="92">
        <v>27251466756</v>
      </c>
      <c r="B284" s="77" t="s">
        <v>327</v>
      </c>
      <c r="C284" s="82" t="s">
        <v>38</v>
      </c>
    </row>
    <row r="285" spans="1:3">
      <c r="A285" s="92">
        <v>27101420391</v>
      </c>
      <c r="B285" s="77" t="s">
        <v>228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540</v>
      </c>
      <c r="C288" s="82" t="s">
        <v>38</v>
      </c>
    </row>
    <row r="289" spans="1:3">
      <c r="A289" s="92">
        <v>30678628324</v>
      </c>
      <c r="B289" s="77" t="s">
        <v>328</v>
      </c>
      <c r="C289" s="82" t="s">
        <v>54</v>
      </c>
    </row>
    <row r="290" spans="1:3">
      <c r="A290" s="246">
        <v>27232408737</v>
      </c>
      <c r="B290" s="77" t="s">
        <v>389</v>
      </c>
      <c r="C290" s="82" t="s">
        <v>54</v>
      </c>
    </row>
    <row r="291" spans="1:3">
      <c r="A291" s="92">
        <v>30705740670</v>
      </c>
      <c r="B291" s="77" t="s">
        <v>324</v>
      </c>
      <c r="C291" s="82" t="s">
        <v>54</v>
      </c>
    </row>
    <row r="292" spans="1:3">
      <c r="A292" s="92">
        <v>30710361351</v>
      </c>
      <c r="B292" s="77" t="s">
        <v>490</v>
      </c>
      <c r="C292" s="82" t="s">
        <v>54</v>
      </c>
    </row>
    <row r="293" spans="1:3">
      <c r="A293" s="92">
        <v>30612865333</v>
      </c>
      <c r="B293" s="77" t="s">
        <v>367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46">
        <v>30710912579</v>
      </c>
      <c r="B295" s="77" t="s">
        <v>394</v>
      </c>
      <c r="C295" s="82" t="s">
        <v>41</v>
      </c>
    </row>
    <row r="296" spans="1:3">
      <c r="A296" s="84">
        <v>30658035033</v>
      </c>
      <c r="B296" s="77" t="s">
        <v>543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526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226</v>
      </c>
      <c r="C300" s="82" t="s">
        <v>41</v>
      </c>
    </row>
    <row r="301" spans="1:3">
      <c r="A301" s="92">
        <v>30711350213</v>
      </c>
      <c r="B301" s="77" t="s">
        <v>255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204</v>
      </c>
      <c r="C303" s="82" t="s">
        <v>205</v>
      </c>
    </row>
    <row r="304" spans="1:3">
      <c r="A304" s="202">
        <v>20265153209</v>
      </c>
      <c r="B304" s="77" t="s">
        <v>397</v>
      </c>
      <c r="C304" s="82" t="s">
        <v>36</v>
      </c>
    </row>
    <row r="305" spans="1:3">
      <c r="A305" s="84">
        <v>30685116657</v>
      </c>
      <c r="B305" s="77" t="s">
        <v>322</v>
      </c>
      <c r="C305" s="82" t="s">
        <v>54</v>
      </c>
    </row>
    <row r="306" spans="1:3">
      <c r="A306" s="84">
        <v>30715224468</v>
      </c>
      <c r="B306" s="77" t="s">
        <v>551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431</v>
      </c>
      <c r="C308" s="82" t="s">
        <v>54</v>
      </c>
    </row>
    <row r="309" spans="1:3">
      <c r="A309" s="84">
        <v>30708150351</v>
      </c>
      <c r="B309" s="77" t="s">
        <v>523</v>
      </c>
      <c r="C309" s="82" t="s">
        <v>54</v>
      </c>
    </row>
    <row r="310" spans="1:3">
      <c r="A310" s="84">
        <v>20127096733</v>
      </c>
      <c r="B310" s="77" t="s">
        <v>440</v>
      </c>
      <c r="C310" s="82" t="s">
        <v>41</v>
      </c>
    </row>
    <row r="311" spans="1:3">
      <c r="A311" s="84">
        <v>27202892936</v>
      </c>
      <c r="B311" s="77" t="s">
        <v>376</v>
      </c>
      <c r="C311" s="82" t="s">
        <v>41</v>
      </c>
    </row>
    <row r="312" spans="1:3">
      <c r="A312" s="84">
        <v>30709242888</v>
      </c>
      <c r="B312" s="77" t="s">
        <v>312</v>
      </c>
      <c r="C312" s="82" t="s">
        <v>41</v>
      </c>
    </row>
    <row r="313" spans="1:3">
      <c r="A313" s="84">
        <v>30708823151</v>
      </c>
      <c r="B313" s="77" t="s">
        <v>518</v>
      </c>
      <c r="C313" s="82" t="s">
        <v>41</v>
      </c>
    </row>
    <row r="314" spans="1:3">
      <c r="A314" s="84">
        <v>20045461611</v>
      </c>
      <c r="B314" s="77" t="s">
        <v>479</v>
      </c>
      <c r="C314" s="82" t="s">
        <v>54</v>
      </c>
    </row>
    <row r="315" spans="1:3">
      <c r="A315" s="247">
        <v>23306035444</v>
      </c>
      <c r="B315" s="77" t="s">
        <v>350</v>
      </c>
      <c r="C315" s="82" t="s">
        <v>41</v>
      </c>
    </row>
    <row r="316" spans="1:3">
      <c r="A316" s="92">
        <v>20174004146</v>
      </c>
      <c r="B316" s="77" t="s">
        <v>399</v>
      </c>
      <c r="C316" s="82" t="s">
        <v>36</v>
      </c>
    </row>
    <row r="317" spans="1:3">
      <c r="A317" s="92">
        <v>20334976433</v>
      </c>
      <c r="B317" s="77" t="s">
        <v>501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325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548</v>
      </c>
      <c r="C321" s="82" t="s">
        <v>124</v>
      </c>
    </row>
    <row r="322" spans="1:3">
      <c r="A322" s="92">
        <v>30714773255</v>
      </c>
      <c r="B322" s="77" t="s">
        <v>253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586</v>
      </c>
      <c r="C324" s="82" t="s">
        <v>54</v>
      </c>
    </row>
    <row r="325" spans="1:3">
      <c r="A325" s="92">
        <v>20171082464</v>
      </c>
      <c r="B325" s="77" t="s">
        <v>464</v>
      </c>
      <c r="C325" s="82" t="s">
        <v>54</v>
      </c>
    </row>
    <row r="326" spans="1:3">
      <c r="A326" s="84">
        <v>30709318965</v>
      </c>
      <c r="B326" s="77" t="s">
        <v>445</v>
      </c>
      <c r="C326" s="82" t="s">
        <v>41</v>
      </c>
    </row>
    <row r="327" spans="1:3">
      <c r="A327" s="92">
        <v>30702652975</v>
      </c>
      <c r="B327" s="77" t="s">
        <v>303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565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47">
        <v>27209647252</v>
      </c>
      <c r="B331" s="77" t="s">
        <v>413</v>
      </c>
      <c r="C331" s="82" t="s">
        <v>41</v>
      </c>
    </row>
    <row r="332" spans="1:3">
      <c r="A332" s="92">
        <v>30646217977</v>
      </c>
      <c r="B332" s="77" t="s">
        <v>482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254</v>
      </c>
      <c r="C334" s="82" t="s">
        <v>80</v>
      </c>
    </row>
    <row r="335" spans="1:3">
      <c r="A335" s="84">
        <v>30717024393</v>
      </c>
      <c r="B335" s="77" t="s">
        <v>542</v>
      </c>
      <c r="C335" s="82" t="s">
        <v>54</v>
      </c>
    </row>
    <row r="336" spans="1:3">
      <c r="A336" s="84">
        <v>27405786066</v>
      </c>
      <c r="B336" s="77" t="s">
        <v>300</v>
      </c>
      <c r="C336" s="82" t="s">
        <v>54</v>
      </c>
    </row>
    <row r="337" spans="1:3">
      <c r="A337" s="84">
        <v>23383224829</v>
      </c>
      <c r="B337" s="77" t="s">
        <v>502</v>
      </c>
      <c r="C337" s="82" t="s">
        <v>38</v>
      </c>
    </row>
    <row r="338" spans="1:3">
      <c r="A338" s="84">
        <v>23411502619</v>
      </c>
      <c r="B338" s="77" t="s">
        <v>493</v>
      </c>
      <c r="C338" s="82" t="s">
        <v>38</v>
      </c>
    </row>
    <row r="339" spans="1:3">
      <c r="A339" s="84">
        <v>30711377944</v>
      </c>
      <c r="B339" s="77" t="s">
        <v>274</v>
      </c>
      <c r="C339" s="82" t="s">
        <v>54</v>
      </c>
    </row>
    <row r="340" spans="1:3">
      <c r="A340" s="84">
        <v>30678774495</v>
      </c>
      <c r="B340" s="77" t="s">
        <v>277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555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242</v>
      </c>
      <c r="C344" s="82" t="s">
        <v>41</v>
      </c>
    </row>
    <row r="345" spans="1:3">
      <c r="A345" s="246">
        <v>30661498575</v>
      </c>
      <c r="B345" s="81" t="s">
        <v>203</v>
      </c>
      <c r="C345" s="82" t="s">
        <v>41</v>
      </c>
    </row>
    <row r="346" spans="1:3">
      <c r="A346" s="246">
        <v>33716711469</v>
      </c>
      <c r="B346" s="77" t="s">
        <v>568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574</v>
      </c>
      <c r="C349" s="82" t="s">
        <v>80</v>
      </c>
    </row>
    <row r="350" spans="1:3">
      <c r="A350" s="92">
        <v>30683032227</v>
      </c>
      <c r="B350" s="77" t="s">
        <v>544</v>
      </c>
      <c r="C350" s="82" t="s">
        <v>80</v>
      </c>
    </row>
    <row r="351" spans="1:3">
      <c r="A351" s="92">
        <v>30585412453</v>
      </c>
      <c r="B351" s="77" t="s">
        <v>248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370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210</v>
      </c>
      <c r="C360" s="82" t="s">
        <v>41</v>
      </c>
    </row>
    <row r="361" spans="1:3">
      <c r="A361" s="92">
        <v>20275351254</v>
      </c>
      <c r="B361" s="77" t="s">
        <v>446</v>
      </c>
      <c r="C361" s="82" t="s">
        <v>41</v>
      </c>
    </row>
    <row r="362" spans="1:3">
      <c r="A362" s="92">
        <v>30695542476</v>
      </c>
      <c r="B362" s="77" t="s">
        <v>291</v>
      </c>
      <c r="C362" s="82" t="s">
        <v>43</v>
      </c>
    </row>
    <row r="363" spans="1:3">
      <c r="A363" s="92">
        <v>30587197215</v>
      </c>
      <c r="B363" s="77" t="s">
        <v>496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360</v>
      </c>
      <c r="C365" s="82" t="s">
        <v>51</v>
      </c>
    </row>
    <row r="366" spans="1:3">
      <c r="A366" s="84">
        <v>30605041287</v>
      </c>
      <c r="B366" s="77" t="s">
        <v>272</v>
      </c>
      <c r="C366" s="82" t="s">
        <v>54</v>
      </c>
    </row>
    <row r="367" spans="1:3">
      <c r="A367" s="84">
        <v>27218733803</v>
      </c>
      <c r="B367" s="77" t="s">
        <v>329</v>
      </c>
      <c r="C367" s="82" t="s">
        <v>51</v>
      </c>
    </row>
    <row r="368" spans="1:3">
      <c r="A368" s="208">
        <v>33693786369</v>
      </c>
      <c r="B368" s="77" t="s">
        <v>424</v>
      </c>
      <c r="C368" s="82" t="s">
        <v>54</v>
      </c>
    </row>
    <row r="369" spans="1:3">
      <c r="A369" s="84">
        <v>30627583873</v>
      </c>
      <c r="B369" s="77" t="s">
        <v>260</v>
      </c>
      <c r="C369" s="82" t="s">
        <v>54</v>
      </c>
    </row>
    <row r="370" spans="1:3">
      <c r="A370" s="84">
        <v>30715413678</v>
      </c>
      <c r="B370" s="77" t="s">
        <v>380</v>
      </c>
      <c r="C370" s="82" t="s">
        <v>54</v>
      </c>
    </row>
    <row r="371" spans="1:3">
      <c r="A371" s="84">
        <v>20108555417</v>
      </c>
      <c r="B371" s="77" t="s">
        <v>468</v>
      </c>
      <c r="C371" s="82" t="s">
        <v>41</v>
      </c>
    </row>
    <row r="372" spans="1:3">
      <c r="A372" s="84">
        <v>20280154602</v>
      </c>
      <c r="B372" s="77" t="s">
        <v>320</v>
      </c>
      <c r="C372" s="82" t="s">
        <v>36</v>
      </c>
    </row>
    <row r="373" spans="1:3">
      <c r="A373" s="202">
        <v>23282830299</v>
      </c>
      <c r="B373" s="236" t="s">
        <v>434</v>
      </c>
      <c r="C373" s="237" t="s">
        <v>41</v>
      </c>
    </row>
    <row r="374" spans="1:3">
      <c r="A374" s="92">
        <v>27316249154</v>
      </c>
      <c r="B374" s="77" t="s">
        <v>513</v>
      </c>
      <c r="C374" s="82" t="s">
        <v>41</v>
      </c>
    </row>
    <row r="375" spans="1:3">
      <c r="A375" s="92">
        <v>20274327678</v>
      </c>
      <c r="B375" s="77" t="s">
        <v>429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271</v>
      </c>
      <c r="C377" s="82" t="s">
        <v>54</v>
      </c>
    </row>
    <row r="378" spans="1:3">
      <c r="A378" s="92">
        <v>20113613646</v>
      </c>
      <c r="B378" s="77" t="s">
        <v>418</v>
      </c>
      <c r="C378" s="82" t="s">
        <v>54</v>
      </c>
    </row>
    <row r="379" spans="1:3">
      <c r="A379" s="92">
        <v>30601502085</v>
      </c>
      <c r="B379" s="77" t="s">
        <v>478</v>
      </c>
      <c r="C379" s="82" t="s">
        <v>54</v>
      </c>
    </row>
    <row r="380" spans="1:3">
      <c r="A380" s="92">
        <v>20184015820</v>
      </c>
      <c r="B380" s="77" t="s">
        <v>492</v>
      </c>
      <c r="C380" s="82" t="s">
        <v>54</v>
      </c>
    </row>
    <row r="381" spans="1:3">
      <c r="A381" s="92">
        <v>30646512952</v>
      </c>
      <c r="B381" s="77" t="s">
        <v>477</v>
      </c>
      <c r="C381" s="82" t="s">
        <v>54</v>
      </c>
    </row>
    <row r="382" spans="1:3">
      <c r="A382" s="92">
        <v>27279386715</v>
      </c>
      <c r="B382" s="77" t="s">
        <v>261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489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494</v>
      </c>
      <c r="C386" s="82" t="s">
        <v>36</v>
      </c>
    </row>
    <row r="387" spans="1:3">
      <c r="A387" s="92">
        <v>30577428618</v>
      </c>
      <c r="B387" s="77" t="s">
        <v>571</v>
      </c>
      <c r="C387" s="82" t="s">
        <v>54</v>
      </c>
    </row>
    <row r="388" spans="1:3">
      <c r="A388" s="92">
        <v>30715740806</v>
      </c>
      <c r="B388" s="77" t="s">
        <v>266</v>
      </c>
      <c r="C388" s="82" t="s">
        <v>54</v>
      </c>
    </row>
    <row r="389" spans="1:3">
      <c r="A389" s="92">
        <v>20362272441</v>
      </c>
      <c r="B389" s="77" t="s">
        <v>521</v>
      </c>
      <c r="C389" s="82" t="s">
        <v>41</v>
      </c>
    </row>
    <row r="390" spans="1:3">
      <c r="A390" s="92">
        <v>20253804336</v>
      </c>
      <c r="B390" s="77" t="s">
        <v>419</v>
      </c>
      <c r="C390" s="82" t="s">
        <v>41</v>
      </c>
    </row>
    <row r="391" spans="1:3">
      <c r="A391" s="92">
        <v>30707970010</v>
      </c>
      <c r="B391" s="77" t="s">
        <v>250</v>
      </c>
      <c r="C391" s="82" t="s">
        <v>41</v>
      </c>
    </row>
    <row r="392" spans="1:3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46">
        <v>20285597405</v>
      </c>
      <c r="B394" s="77" t="s">
        <v>385</v>
      </c>
      <c r="C394" s="82" t="s">
        <v>54</v>
      </c>
    </row>
    <row r="395" spans="1:3">
      <c r="A395" s="246">
        <v>30716821478</v>
      </c>
      <c r="B395" s="77" t="s">
        <v>425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470</v>
      </c>
      <c r="C397" s="82" t="s">
        <v>41</v>
      </c>
    </row>
    <row r="398" spans="1:3">
      <c r="A398" s="92">
        <v>27233748205</v>
      </c>
      <c r="B398" s="77" t="s">
        <v>301</v>
      </c>
      <c r="C398" s="82" t="s">
        <v>41</v>
      </c>
    </row>
    <row r="399" spans="1:3">
      <c r="A399" s="92">
        <v>30707370552</v>
      </c>
      <c r="B399" s="77" t="s">
        <v>297</v>
      </c>
      <c r="C399" s="82" t="s">
        <v>41</v>
      </c>
    </row>
    <row r="400" spans="1:3">
      <c r="A400" s="92">
        <v>20142643384</v>
      </c>
      <c r="B400" s="77" t="s">
        <v>583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508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589</v>
      </c>
      <c r="C407" s="82" t="s">
        <v>36</v>
      </c>
    </row>
    <row r="408" spans="1:3">
      <c r="A408" s="92">
        <v>20319885812</v>
      </c>
      <c r="B408" s="77" t="s">
        <v>319</v>
      </c>
      <c r="C408" s="82" t="s">
        <v>41</v>
      </c>
    </row>
    <row r="409" spans="1:3">
      <c r="A409" s="92">
        <v>23106878269</v>
      </c>
      <c r="B409" s="77" t="s">
        <v>516</v>
      </c>
      <c r="C409" s="82" t="s">
        <v>41</v>
      </c>
    </row>
    <row r="410" spans="1:3">
      <c r="A410" s="92">
        <v>20133694146</v>
      </c>
      <c r="B410" s="77" t="s">
        <v>346</v>
      </c>
      <c r="C410" s="82" t="s">
        <v>54</v>
      </c>
    </row>
    <row r="411" spans="1:3">
      <c r="A411" s="92">
        <v>20117741398</v>
      </c>
      <c r="B411" s="77" t="s">
        <v>388</v>
      </c>
      <c r="C411" s="82" t="s">
        <v>54</v>
      </c>
    </row>
    <row r="412" spans="1:3">
      <c r="A412" s="92">
        <v>33716449829</v>
      </c>
      <c r="B412" s="77" t="s">
        <v>279</v>
      </c>
      <c r="C412" s="82" t="s">
        <v>36</v>
      </c>
    </row>
    <row r="413" spans="1:3">
      <c r="A413" s="246">
        <v>30642659312</v>
      </c>
      <c r="B413" s="77" t="s">
        <v>344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371</v>
      </c>
      <c r="C415" s="82" t="s">
        <v>38</v>
      </c>
    </row>
    <row r="416" spans="1:3">
      <c r="A416" s="92">
        <v>27313805293</v>
      </c>
      <c r="B416" s="77" t="s">
        <v>382</v>
      </c>
      <c r="C416" s="82" t="s">
        <v>54</v>
      </c>
    </row>
    <row r="417" spans="1:3">
      <c r="A417" s="92">
        <v>30708552808</v>
      </c>
      <c r="B417" s="77" t="s">
        <v>379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476</v>
      </c>
      <c r="C419" s="82" t="s">
        <v>54</v>
      </c>
    </row>
    <row r="420" spans="1:3">
      <c r="A420" s="92">
        <v>30710638973</v>
      </c>
      <c r="B420" s="77" t="s">
        <v>525</v>
      </c>
      <c r="C420" s="82" t="s">
        <v>54</v>
      </c>
    </row>
    <row r="421" spans="1:3">
      <c r="A421" s="89">
        <v>30595553535</v>
      </c>
      <c r="B421" s="81" t="s">
        <v>207</v>
      </c>
      <c r="C421" s="82" t="s">
        <v>181</v>
      </c>
    </row>
    <row r="422" spans="1:3">
      <c r="A422" s="92">
        <v>20044272009</v>
      </c>
      <c r="B422" s="77" t="s">
        <v>359</v>
      </c>
      <c r="C422" s="82" t="s">
        <v>51</v>
      </c>
    </row>
    <row r="423" spans="1:3">
      <c r="A423" s="92">
        <v>20254412490</v>
      </c>
      <c r="B423" s="77" t="s">
        <v>305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553</v>
      </c>
      <c r="C425" s="82" t="s">
        <v>54</v>
      </c>
    </row>
    <row r="426" spans="1:3">
      <c r="A426" s="92">
        <v>30711553564</v>
      </c>
      <c r="B426" s="77" t="s">
        <v>239</v>
      </c>
      <c r="C426" s="82" t="s">
        <v>41</v>
      </c>
    </row>
    <row r="427" spans="1:3">
      <c r="A427" s="92">
        <v>30588919826</v>
      </c>
      <c r="B427" s="77" t="s">
        <v>475</v>
      </c>
      <c r="C427" s="82" t="s">
        <v>54</v>
      </c>
    </row>
    <row r="428" spans="1:3">
      <c r="A428" s="92">
        <v>30586172308</v>
      </c>
      <c r="B428" s="77" t="s">
        <v>252</v>
      </c>
      <c r="C428" s="82" t="s">
        <v>51</v>
      </c>
    </row>
    <row r="429" spans="1:3">
      <c r="A429" s="92">
        <v>27217606255</v>
      </c>
      <c r="B429" s="77" t="s">
        <v>362</v>
      </c>
      <c r="C429" s="82" t="s">
        <v>41</v>
      </c>
    </row>
    <row r="430" spans="1:3">
      <c r="A430" s="92">
        <v>23255491784</v>
      </c>
      <c r="B430" s="77" t="s">
        <v>358</v>
      </c>
      <c r="C430" s="82" t="s">
        <v>41</v>
      </c>
    </row>
    <row r="431" spans="1:3">
      <c r="A431" s="92">
        <v>33693506099</v>
      </c>
      <c r="B431" s="77" t="s">
        <v>336</v>
      </c>
      <c r="C431" s="82" t="s">
        <v>54</v>
      </c>
    </row>
    <row r="432" spans="1:3">
      <c r="A432" s="92">
        <v>20268417762</v>
      </c>
      <c r="B432" s="77" t="s">
        <v>595</v>
      </c>
      <c r="C432" s="82" t="s">
        <v>54</v>
      </c>
    </row>
    <row r="433" spans="1:3">
      <c r="A433" s="92">
        <v>33710130189</v>
      </c>
      <c r="B433" s="77" t="s">
        <v>550</v>
      </c>
      <c r="C433" s="82" t="s">
        <v>41</v>
      </c>
    </row>
    <row r="434" spans="1:3">
      <c r="A434" s="92">
        <v>30690142860</v>
      </c>
      <c r="B434" s="77" t="s">
        <v>233</v>
      </c>
      <c r="C434" s="82" t="s">
        <v>36</v>
      </c>
    </row>
    <row r="435" spans="1:3">
      <c r="A435" s="92">
        <v>30710276273</v>
      </c>
      <c r="B435" s="77" t="s">
        <v>484</v>
      </c>
      <c r="C435" s="82" t="s">
        <v>36</v>
      </c>
    </row>
    <row r="436" spans="1:3">
      <c r="A436" s="92">
        <v>30709570664</v>
      </c>
      <c r="B436" s="77" t="s">
        <v>517</v>
      </c>
      <c r="C436" s="82" t="s">
        <v>41</v>
      </c>
    </row>
    <row r="437" spans="1:3">
      <c r="A437" s="92">
        <v>30638340689</v>
      </c>
      <c r="B437" s="77" t="s">
        <v>340</v>
      </c>
      <c r="C437" s="82" t="s">
        <v>41</v>
      </c>
    </row>
    <row r="438" spans="1:3">
      <c r="A438" s="92">
        <v>30709525839</v>
      </c>
      <c r="B438" s="77" t="s">
        <v>545</v>
      </c>
      <c r="C438" s="82" t="s">
        <v>41</v>
      </c>
    </row>
    <row r="439" spans="1:3">
      <c r="A439" s="246">
        <v>30710682026</v>
      </c>
      <c r="B439" s="77" t="s">
        <v>391</v>
      </c>
      <c r="C439" s="82" t="s">
        <v>54</v>
      </c>
    </row>
    <row r="440" spans="1:3">
      <c r="A440" s="92">
        <v>33709619719</v>
      </c>
      <c r="B440" s="77" t="s">
        <v>530</v>
      </c>
      <c r="C440" s="82" t="s">
        <v>54</v>
      </c>
    </row>
    <row r="441" spans="1:3">
      <c r="A441" s="92">
        <v>30645722554</v>
      </c>
      <c r="B441" s="77" t="s">
        <v>378</v>
      </c>
      <c r="C441" s="82" t="s">
        <v>54</v>
      </c>
    </row>
    <row r="442" spans="1:3">
      <c r="A442" s="92">
        <v>30715753541</v>
      </c>
      <c r="B442" s="77" t="s">
        <v>497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227</v>
      </c>
      <c r="C444" s="82" t="s">
        <v>41</v>
      </c>
    </row>
    <row r="445" spans="1:3">
      <c r="A445" s="92">
        <v>30702071506</v>
      </c>
      <c r="B445" s="77" t="s">
        <v>309</v>
      </c>
      <c r="C445" s="82" t="s">
        <v>54</v>
      </c>
    </row>
    <row r="446" spans="1:3">
      <c r="A446" s="92">
        <v>30711842809</v>
      </c>
      <c r="B446" s="77" t="s">
        <v>381</v>
      </c>
      <c r="C446" s="82" t="s">
        <v>54</v>
      </c>
    </row>
    <row r="447" spans="1:3">
      <c r="A447" s="92">
        <v>30654118767</v>
      </c>
      <c r="B447" s="77" t="s">
        <v>268</v>
      </c>
      <c r="C447" s="82" t="s">
        <v>41</v>
      </c>
    </row>
    <row r="448" spans="1:3">
      <c r="A448" s="248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569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570</v>
      </c>
      <c r="C451" s="82" t="s">
        <v>124</v>
      </c>
    </row>
    <row r="452" spans="1:3">
      <c r="A452" s="246">
        <v>20300821872</v>
      </c>
      <c r="B452" s="77" t="s">
        <v>455</v>
      </c>
      <c r="C452" s="82" t="s">
        <v>54</v>
      </c>
    </row>
    <row r="453" spans="1:3">
      <c r="A453" s="92">
        <v>30715668994</v>
      </c>
      <c r="B453" s="77" t="s">
        <v>593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246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308</v>
      </c>
      <c r="C457" s="82" t="s">
        <v>54</v>
      </c>
    </row>
    <row r="458" spans="1:3">
      <c r="A458" s="247">
        <v>27267575997</v>
      </c>
      <c r="B458" s="77" t="s">
        <v>363</v>
      </c>
      <c r="C458" s="82" t="s">
        <v>36</v>
      </c>
    </row>
    <row r="459" spans="1:3">
      <c r="A459" s="92">
        <v>20310122212</v>
      </c>
      <c r="B459" s="77" t="s">
        <v>363</v>
      </c>
      <c r="C459" s="82" t="s">
        <v>41</v>
      </c>
    </row>
    <row r="460" spans="1:3">
      <c r="A460" s="92">
        <v>20229905199</v>
      </c>
      <c r="B460" s="77" t="s">
        <v>600</v>
      </c>
      <c r="C460" s="82" t="s">
        <v>54</v>
      </c>
    </row>
    <row r="461" spans="1:3">
      <c r="A461" s="92">
        <v>30505459179</v>
      </c>
      <c r="B461" s="77" t="s">
        <v>283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438</v>
      </c>
      <c r="C463" s="82" t="s">
        <v>54</v>
      </c>
    </row>
    <row r="464" spans="1:3">
      <c r="A464" s="92">
        <v>30700939797</v>
      </c>
      <c r="B464" s="77" t="s">
        <v>559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499</v>
      </c>
      <c r="C466" s="82" t="s">
        <v>36</v>
      </c>
    </row>
    <row r="467" spans="1:3">
      <c r="A467" s="246">
        <v>20283639941</v>
      </c>
      <c r="B467" s="77" t="s">
        <v>384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311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404</v>
      </c>
      <c r="C473" s="82" t="s">
        <v>54</v>
      </c>
    </row>
    <row r="474" spans="1:3">
      <c r="A474" s="92">
        <v>30716018373</v>
      </c>
      <c r="B474" s="77" t="s">
        <v>298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580</v>
      </c>
      <c r="C476" s="82" t="s">
        <v>36</v>
      </c>
    </row>
    <row r="477" spans="1:3">
      <c r="A477" s="92">
        <v>30711188416</v>
      </c>
      <c r="B477" s="77" t="s">
        <v>421</v>
      </c>
      <c r="C477" s="82" t="s">
        <v>36</v>
      </c>
    </row>
    <row r="478" spans="1:3">
      <c r="A478" s="92">
        <v>30711811253</v>
      </c>
      <c r="B478" s="77" t="s">
        <v>416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420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524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47">
        <v>30556565798</v>
      </c>
      <c r="B484" s="77" t="s">
        <v>243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480</v>
      </c>
      <c r="C486" s="82" t="s">
        <v>41</v>
      </c>
    </row>
    <row r="487" spans="1:3">
      <c r="A487" s="246">
        <v>27415594742</v>
      </c>
      <c r="B487" s="77" t="s">
        <v>426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450</v>
      </c>
      <c r="C489" s="82" t="s">
        <v>54</v>
      </c>
    </row>
    <row r="490" spans="1:3">
      <c r="A490" s="92">
        <v>27247019370</v>
      </c>
      <c r="B490" s="77" t="s">
        <v>474</v>
      </c>
      <c r="C490" s="82" t="s">
        <v>41</v>
      </c>
    </row>
    <row r="491" spans="1:3">
      <c r="A491" s="92">
        <v>30707977120</v>
      </c>
      <c r="B491" s="77" t="s">
        <v>573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527</v>
      </c>
      <c r="C493" s="82" t="s">
        <v>54</v>
      </c>
    </row>
    <row r="494" spans="1:3">
      <c r="A494" s="92">
        <v>30714950750</v>
      </c>
      <c r="B494" s="77" t="s">
        <v>339</v>
      </c>
      <c r="C494" s="82" t="s">
        <v>41</v>
      </c>
    </row>
    <row r="495" spans="1:3">
      <c r="A495" s="92">
        <v>20317488476</v>
      </c>
      <c r="B495" s="77" t="s">
        <v>259</v>
      </c>
      <c r="C495" s="82" t="s">
        <v>41</v>
      </c>
    </row>
    <row r="496" spans="1:3">
      <c r="A496" s="92">
        <v>27256759646</v>
      </c>
      <c r="B496" s="77" t="s">
        <v>505</v>
      </c>
      <c r="C496" s="82" t="s">
        <v>41</v>
      </c>
    </row>
    <row r="497" spans="1:3">
      <c r="A497" s="247">
        <v>20321447997</v>
      </c>
      <c r="B497" s="77" t="s">
        <v>400</v>
      </c>
      <c r="C497" s="82" t="s">
        <v>54</v>
      </c>
    </row>
    <row r="498" spans="1:3">
      <c r="A498" s="92">
        <v>27237719145</v>
      </c>
      <c r="B498" s="77" t="s">
        <v>547</v>
      </c>
      <c r="C498" s="82" t="s">
        <v>41</v>
      </c>
    </row>
    <row r="499" spans="1:3">
      <c r="A499" s="92">
        <v>27169596439</v>
      </c>
      <c r="B499" s="77" t="s">
        <v>467</v>
      </c>
      <c r="C499" s="82" t="s">
        <v>54</v>
      </c>
    </row>
    <row r="500" spans="1:3">
      <c r="A500" s="89">
        <v>23929701364</v>
      </c>
      <c r="B500" s="81" t="s">
        <v>206</v>
      </c>
      <c r="C500" s="82" t="s">
        <v>36</v>
      </c>
    </row>
    <row r="501" spans="1:3">
      <c r="A501" s="92">
        <v>30714867349</v>
      </c>
      <c r="B501" s="77" t="s">
        <v>264</v>
      </c>
      <c r="C501" s="82" t="s">
        <v>54</v>
      </c>
    </row>
    <row r="502" spans="1:3">
      <c r="A502" s="92">
        <v>30708534907</v>
      </c>
      <c r="B502" s="77" t="s">
        <v>510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554</v>
      </c>
      <c r="C504" s="82" t="s">
        <v>41</v>
      </c>
    </row>
    <row r="505" spans="1:3">
      <c r="A505" s="84">
        <v>20332986636</v>
      </c>
      <c r="B505" s="77" t="s">
        <v>452</v>
      </c>
      <c r="C505" s="82" t="s">
        <v>36</v>
      </c>
    </row>
    <row r="506" spans="1:3">
      <c r="A506" s="92">
        <v>20167787372</v>
      </c>
      <c r="B506" s="77" t="s">
        <v>588</v>
      </c>
      <c r="C506" s="82" t="s">
        <v>36</v>
      </c>
    </row>
    <row r="507" spans="1:3">
      <c r="A507" s="92">
        <v>20921994908</v>
      </c>
      <c r="B507" s="77" t="s">
        <v>557</v>
      </c>
      <c r="C507" s="82" t="s">
        <v>54</v>
      </c>
    </row>
    <row r="508" spans="1:3">
      <c r="A508" s="92">
        <v>20168475803</v>
      </c>
      <c r="B508" s="77" t="s">
        <v>314</v>
      </c>
      <c r="C508" s="82" t="s">
        <v>54</v>
      </c>
    </row>
    <row r="509" spans="1:3">
      <c r="A509" s="92">
        <v>27944827345</v>
      </c>
      <c r="B509" s="77" t="s">
        <v>601</v>
      </c>
      <c r="C509" s="82" t="s">
        <v>54</v>
      </c>
    </row>
    <row r="510" spans="1:3">
      <c r="A510" s="92">
        <v>30708375582</v>
      </c>
      <c r="B510" s="77" t="s">
        <v>602</v>
      </c>
      <c r="C510" s="82" t="s">
        <v>36</v>
      </c>
    </row>
    <row r="511" spans="1:3">
      <c r="A511" s="92">
        <v>23936845509</v>
      </c>
      <c r="B511" s="77" t="s">
        <v>603</v>
      </c>
      <c r="C511" s="82" t="s">
        <v>54</v>
      </c>
    </row>
    <row r="512" spans="1:3">
      <c r="A512" s="92">
        <v>30707927409</v>
      </c>
      <c r="B512" s="77" t="s">
        <v>625</v>
      </c>
      <c r="C512" s="82" t="s">
        <v>36</v>
      </c>
    </row>
    <row r="513" spans="1:3">
      <c r="A513" s="92">
        <v>30626009618</v>
      </c>
      <c r="B513" s="77" t="s">
        <v>626</v>
      </c>
      <c r="C513" s="82" t="s">
        <v>36</v>
      </c>
    </row>
    <row r="514" spans="1:3">
      <c r="A514" s="92">
        <v>30709904872</v>
      </c>
      <c r="B514" s="77" t="s">
        <v>627</v>
      </c>
      <c r="C514" s="82" t="s">
        <v>36</v>
      </c>
    </row>
    <row r="515" spans="1:3">
      <c r="A515" s="92">
        <v>30643922157</v>
      </c>
      <c r="B515" s="77" t="s">
        <v>628</v>
      </c>
      <c r="C515" s="82" t="s">
        <v>36</v>
      </c>
    </row>
    <row r="516" spans="1:3">
      <c r="A516" s="92">
        <v>33717383139</v>
      </c>
      <c r="B516" s="77" t="s">
        <v>629</v>
      </c>
      <c r="C516" s="82" t="s">
        <v>54</v>
      </c>
    </row>
    <row r="517" spans="1:3">
      <c r="A517" s="92"/>
      <c r="B517" s="77"/>
      <c r="C517" s="82"/>
    </row>
    <row r="518" spans="1:3">
      <c r="A518" s="92"/>
      <c r="B518" s="77"/>
      <c r="C518" s="82"/>
    </row>
    <row r="519" spans="1:3">
      <c r="A519" s="92"/>
      <c r="B519" s="77"/>
      <c r="C519" s="82"/>
    </row>
    <row r="520" spans="1:3">
      <c r="A520" s="92"/>
      <c r="B520" s="77"/>
      <c r="C520" s="82"/>
    </row>
    <row r="521" spans="1:3">
      <c r="A521" s="92"/>
      <c r="B521" s="77"/>
      <c r="C521" s="82"/>
    </row>
    <row r="522" spans="1:3">
      <c r="A522" s="92"/>
      <c r="B522" s="77"/>
      <c r="C522" s="82"/>
    </row>
    <row r="523" spans="1:3">
      <c r="A523" s="92"/>
      <c r="B523" s="77"/>
      <c r="C523" s="82"/>
    </row>
    <row r="524" spans="1:3">
      <c r="A524" s="92"/>
      <c r="B524" s="77"/>
      <c r="C524" s="82"/>
    </row>
    <row r="525" spans="1:3">
      <c r="A525" s="92"/>
      <c r="B525" s="77"/>
      <c r="C525" s="82"/>
    </row>
    <row r="526" spans="1:3">
      <c r="A526" s="92"/>
      <c r="B526" s="77"/>
      <c r="C526" s="82"/>
    </row>
    <row r="527" spans="1:3">
      <c r="A527" s="92"/>
      <c r="B527" s="77"/>
      <c r="C527" s="82"/>
    </row>
    <row r="528" spans="1:3">
      <c r="A528" s="92"/>
      <c r="B528" s="77"/>
      <c r="C528" s="82"/>
    </row>
    <row r="529" spans="1:3">
      <c r="A529" s="92"/>
      <c r="B529" s="77"/>
      <c r="C529" s="82"/>
    </row>
    <row r="530" spans="1:3">
      <c r="A530" s="92"/>
      <c r="B530" s="77"/>
      <c r="C530" s="82"/>
    </row>
    <row r="531" spans="1:3">
      <c r="A531" s="92"/>
      <c r="B531" s="77"/>
      <c r="C531" s="82"/>
    </row>
    <row r="532" spans="1:3">
      <c r="A532" s="92"/>
      <c r="B532" s="77"/>
      <c r="C532" s="82"/>
    </row>
    <row r="533" spans="1:3">
      <c r="A533" s="92"/>
      <c r="B533" s="77"/>
      <c r="C533" s="82"/>
    </row>
    <row r="534" spans="1:3">
      <c r="A534" s="92"/>
      <c r="B534" s="77"/>
      <c r="C534" s="82"/>
    </row>
    <row r="535" spans="1:3">
      <c r="A535" s="92"/>
      <c r="B535" s="77"/>
      <c r="C535" s="82"/>
    </row>
    <row r="536" spans="1:3">
      <c r="A536" s="92"/>
      <c r="B536" s="77"/>
      <c r="C536" s="82"/>
    </row>
    <row r="537" spans="1:3">
      <c r="A537" s="92"/>
      <c r="B537" s="77"/>
      <c r="C537" s="82"/>
    </row>
    <row r="538" spans="1:3">
      <c r="A538" s="92"/>
      <c r="B538" s="77"/>
      <c r="C538" s="82"/>
    </row>
    <row r="539" spans="1:3">
      <c r="A539" s="92"/>
      <c r="B539" s="77"/>
      <c r="C539" s="82"/>
    </row>
    <row r="540" spans="1:3">
      <c r="A540" s="92"/>
      <c r="B540" s="77"/>
      <c r="C540" s="82"/>
    </row>
    <row r="541" spans="1:3">
      <c r="A541" s="92"/>
      <c r="B541" s="77"/>
      <c r="C541" s="82"/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491">
    <filterColumn colId="1"/>
    <filterColumn colId="2"/>
  </autoFilter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53"/>
  <sheetViews>
    <sheetView tabSelected="1" topLeftCell="A151" zoomScale="110" zoomScaleNormal="110" workbookViewId="0">
      <selection activeCell="A10" sqref="A10:A40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77" t="s">
        <v>28</v>
      </c>
      <c r="B1" s="277"/>
      <c r="C1" s="277"/>
      <c r="D1" s="277"/>
      <c r="E1" s="277"/>
      <c r="F1" s="277"/>
      <c r="G1" s="277"/>
      <c r="H1" s="277"/>
      <c r="I1" s="277"/>
      <c r="J1" s="278">
        <v>45017</v>
      </c>
      <c r="K1" s="278"/>
      <c r="L1" s="278"/>
      <c r="M1" s="278"/>
      <c r="N1" s="278"/>
    </row>
    <row r="2" spans="1:16" ht="18.75">
      <c r="A2" s="57"/>
      <c r="B2" s="9"/>
      <c r="C2" s="9"/>
      <c r="D2" s="35"/>
      <c r="E2" s="218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79" t="s">
        <v>6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1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73" t="s">
        <v>20</v>
      </c>
      <c r="B6" s="274"/>
      <c r="C6" s="275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93">
        <v>44998</v>
      </c>
      <c r="B8" s="21">
        <v>13</v>
      </c>
      <c r="C8" s="206">
        <v>1119</v>
      </c>
      <c r="D8" s="208">
        <v>33709914109</v>
      </c>
      <c r="E8" s="207" t="str">
        <f>VLOOKUP(D8,Configuracion!$A$4:$C$591,2,FALSE)</f>
        <v>ALAN COLLECTION SA</v>
      </c>
      <c r="F8" s="211">
        <v>5289.26</v>
      </c>
      <c r="G8" s="50">
        <f t="shared" ref="G8:G21" si="0">F8*21%</f>
        <v>1110.7446</v>
      </c>
      <c r="H8" s="50"/>
      <c r="I8" s="50"/>
      <c r="J8" s="50"/>
      <c r="K8" s="227"/>
      <c r="L8" s="50"/>
      <c r="M8" s="233"/>
      <c r="N8" s="50"/>
      <c r="O8" s="209">
        <f t="shared" ref="O8:O39" si="1">SUM(F8:N8)</f>
        <v>6400.0046000000002</v>
      </c>
      <c r="P8" s="214" t="str">
        <f>VLOOKUP(D8,Configuracion!$A$4:$C$591,3,FALSE)</f>
        <v>VARIOS</v>
      </c>
    </row>
    <row r="9" spans="1:16" ht="15" customHeight="1">
      <c r="A9" s="293">
        <v>44973</v>
      </c>
      <c r="B9" s="21">
        <v>13</v>
      </c>
      <c r="C9" s="206">
        <v>1095</v>
      </c>
      <c r="D9" s="208">
        <v>33709914109</v>
      </c>
      <c r="E9" s="207" t="str">
        <f>VLOOKUP(D9,Configuracion!$A$4:$C$591,2,FALSE)</f>
        <v>ALAN COLLECTION SA</v>
      </c>
      <c r="F9" s="211">
        <v>1322.31</v>
      </c>
      <c r="G9" s="50">
        <f t="shared" si="0"/>
        <v>277.68509999999998</v>
      </c>
      <c r="H9" s="50"/>
      <c r="I9" s="50"/>
      <c r="J9" s="50"/>
      <c r="K9" s="227"/>
      <c r="L9" s="50"/>
      <c r="M9" s="233"/>
      <c r="N9" s="50"/>
      <c r="O9" s="209">
        <f t="shared" si="1"/>
        <v>1599.9950999999999</v>
      </c>
      <c r="P9" s="214" t="str">
        <f>VLOOKUP(D9,Configuracion!$A$4:$C$591,3,FALSE)</f>
        <v>VARIOS</v>
      </c>
    </row>
    <row r="10" spans="1:16" ht="15" customHeight="1">
      <c r="A10" s="204">
        <v>45028</v>
      </c>
      <c r="B10" s="21">
        <v>13</v>
      </c>
      <c r="C10" s="206">
        <v>1140</v>
      </c>
      <c r="D10" s="208">
        <v>33709914109</v>
      </c>
      <c r="E10" s="207" t="str">
        <f>VLOOKUP(D10,Configuracion!$A$4:$C$591,2,FALSE)</f>
        <v>ALAN COLLECTION SA</v>
      </c>
      <c r="F10" s="211">
        <v>2892.56</v>
      </c>
      <c r="G10" s="50">
        <f t="shared" si="0"/>
        <v>607.43759999999997</v>
      </c>
      <c r="H10" s="50"/>
      <c r="I10" s="50"/>
      <c r="J10" s="50"/>
      <c r="K10" s="227"/>
      <c r="L10" s="50"/>
      <c r="M10" s="233"/>
      <c r="N10" s="50"/>
      <c r="O10" s="209">
        <f t="shared" si="1"/>
        <v>3499.9975999999997</v>
      </c>
      <c r="P10" s="214" t="str">
        <f>VLOOKUP(D10,Configuracion!$A$4:$C$591,3,FALSE)</f>
        <v>VARIOS</v>
      </c>
    </row>
    <row r="11" spans="1:16" s="23" customFormat="1" ht="15" customHeight="1">
      <c r="A11" s="204">
        <v>45036</v>
      </c>
      <c r="B11" s="21">
        <v>13</v>
      </c>
      <c r="C11" s="206">
        <v>1150</v>
      </c>
      <c r="D11" s="208">
        <v>33709914109</v>
      </c>
      <c r="E11" s="207" t="str">
        <f>VLOOKUP(D11,Configuracion!$A$4:$C$591,2,FALSE)</f>
        <v>ALAN COLLECTION SA</v>
      </c>
      <c r="F11" s="211">
        <v>2561.98</v>
      </c>
      <c r="G11" s="50">
        <f t="shared" si="0"/>
        <v>538.01580000000001</v>
      </c>
      <c r="H11" s="50"/>
      <c r="I11" s="50"/>
      <c r="J11" s="50"/>
      <c r="K11" s="227"/>
      <c r="L11" s="50"/>
      <c r="M11" s="233"/>
      <c r="N11" s="50"/>
      <c r="O11" s="209">
        <f t="shared" si="1"/>
        <v>3099.9958000000001</v>
      </c>
      <c r="P11" s="214" t="str">
        <f>VLOOKUP(D11,Configuracion!$A$4:$C$591,3,FALSE)</f>
        <v>VARIOS</v>
      </c>
    </row>
    <row r="12" spans="1:16" ht="15" customHeight="1">
      <c r="A12" s="204" t="s">
        <v>611</v>
      </c>
      <c r="B12" s="21">
        <v>8</v>
      </c>
      <c r="C12" s="206">
        <v>1430</v>
      </c>
      <c r="D12" s="246">
        <v>30708973501</v>
      </c>
      <c r="E12" s="207" t="str">
        <f>VLOOKUP(D12,Configuracion!$A$4:$C$591,2,FALSE)</f>
        <v>ASIAL SRL</v>
      </c>
      <c r="F12" s="211">
        <v>239840</v>
      </c>
      <c r="G12" s="50">
        <f t="shared" si="0"/>
        <v>50366.400000000001</v>
      </c>
      <c r="H12" s="50"/>
      <c r="I12" s="50"/>
      <c r="J12" s="50"/>
      <c r="K12" s="227"/>
      <c r="L12" s="50"/>
      <c r="M12" s="233"/>
      <c r="N12" s="50"/>
      <c r="O12" s="209">
        <f t="shared" si="1"/>
        <v>290206.40000000002</v>
      </c>
      <c r="P12" s="214" t="str">
        <f>VLOOKUP(D12,Configuracion!$A$4:$C$591,3,FALSE)</f>
        <v>INSUMOS</v>
      </c>
    </row>
    <row r="13" spans="1:16" ht="15" customHeight="1">
      <c r="A13" s="204" t="s">
        <v>611</v>
      </c>
      <c r="B13" s="21">
        <v>8</v>
      </c>
      <c r="C13" s="206">
        <v>1431</v>
      </c>
      <c r="D13" s="208">
        <v>30708973501</v>
      </c>
      <c r="E13" s="207" t="str">
        <f>VLOOKUP(D13,Configuracion!$A$4:$C$591,2,FALSE)</f>
        <v>ASIAL SRL</v>
      </c>
      <c r="F13" s="211">
        <v>221022</v>
      </c>
      <c r="G13" s="50">
        <f t="shared" si="0"/>
        <v>46414.619999999995</v>
      </c>
      <c r="H13" s="50"/>
      <c r="I13" s="50"/>
      <c r="J13" s="50"/>
      <c r="K13" s="227"/>
      <c r="L13" s="50"/>
      <c r="M13" s="233"/>
      <c r="N13" s="50"/>
      <c r="O13" s="209">
        <f t="shared" si="1"/>
        <v>267436.62</v>
      </c>
      <c r="P13" s="214" t="str">
        <f>VLOOKUP(D13,Configuracion!$A$4:$C$591,3,FALSE)</f>
        <v>INSUMOS</v>
      </c>
    </row>
    <row r="14" spans="1:16" ht="15" customHeight="1">
      <c r="A14" s="204" t="s">
        <v>610</v>
      </c>
      <c r="B14" s="21">
        <v>4</v>
      </c>
      <c r="C14" s="206">
        <v>376</v>
      </c>
      <c r="D14" s="208">
        <v>20379223185</v>
      </c>
      <c r="E14" s="207" t="str">
        <f>VLOOKUP(D14,Configuracion!$A$4:$C$591,2,FALSE)</f>
        <v>AYALA MAURICIO JUAN JOSE</v>
      </c>
      <c r="F14" s="211">
        <v>47380</v>
      </c>
      <c r="G14" s="50">
        <f t="shared" si="0"/>
        <v>9949.7999999999993</v>
      </c>
      <c r="H14" s="50"/>
      <c r="I14" s="50"/>
      <c r="J14" s="50"/>
      <c r="K14" s="227"/>
      <c r="L14" s="50"/>
      <c r="M14" s="233"/>
      <c r="N14" s="50"/>
      <c r="O14" s="209">
        <f t="shared" si="1"/>
        <v>57329.8</v>
      </c>
      <c r="P14" s="214" t="str">
        <f>VLOOKUP(D14,Configuracion!$A$4:$C$591,3,FALSE)</f>
        <v>PROVEEDOR</v>
      </c>
    </row>
    <row r="15" spans="1:16" ht="15" customHeight="1">
      <c r="A15" s="204" t="s">
        <v>607</v>
      </c>
      <c r="B15" s="21">
        <v>5</v>
      </c>
      <c r="C15" s="206">
        <v>2458</v>
      </c>
      <c r="D15" s="208">
        <v>33714662819</v>
      </c>
      <c r="E15" s="207" t="str">
        <f>VLOOKUP(D15,Configuracion!$A$4:$C$591,2,FALSE)</f>
        <v>AYUDAS TECNICAS SRL</v>
      </c>
      <c r="F15" s="211">
        <v>510444</v>
      </c>
      <c r="G15" s="50">
        <f t="shared" si="0"/>
        <v>107193.23999999999</v>
      </c>
      <c r="H15" s="50"/>
      <c r="I15" s="50"/>
      <c r="J15" s="50"/>
      <c r="K15" s="227"/>
      <c r="L15" s="50"/>
      <c r="M15" s="233"/>
      <c r="N15" s="50"/>
      <c r="O15" s="209">
        <f t="shared" si="1"/>
        <v>617637.24</v>
      </c>
      <c r="P15" s="214" t="str">
        <f>VLOOKUP(D15,Configuracion!$A$4:$C$591,3,FALSE)</f>
        <v>PROVEEDOR</v>
      </c>
    </row>
    <row r="16" spans="1:16" ht="15" customHeight="1">
      <c r="A16" s="204" t="s">
        <v>607</v>
      </c>
      <c r="B16" s="21">
        <v>6</v>
      </c>
      <c r="C16" s="206">
        <v>167</v>
      </c>
      <c r="D16" s="208">
        <v>33717383139</v>
      </c>
      <c r="E16" s="207" t="str">
        <f>VLOOKUP(D16,Configuracion!$A$4:$C$591,2,FALSE)</f>
        <v>BALINERO SRL</v>
      </c>
      <c r="F16" s="211">
        <v>9330.58</v>
      </c>
      <c r="G16" s="50">
        <f t="shared" si="0"/>
        <v>1959.4217999999998</v>
      </c>
      <c r="H16" s="50"/>
      <c r="I16" s="50"/>
      <c r="J16" s="50"/>
      <c r="K16" s="227"/>
      <c r="L16" s="50"/>
      <c r="M16" s="233"/>
      <c r="N16" s="50"/>
      <c r="O16" s="209">
        <f t="shared" si="1"/>
        <v>11290.0018</v>
      </c>
      <c r="P16" s="214" t="str">
        <f>VLOOKUP(D16,Configuracion!$A$4:$C$591,3,FALSE)</f>
        <v>VARIOS</v>
      </c>
    </row>
    <row r="17" spans="1:16" ht="15" customHeight="1">
      <c r="A17" s="204" t="s">
        <v>606</v>
      </c>
      <c r="B17" s="21">
        <v>15</v>
      </c>
      <c r="C17" s="206">
        <v>4280</v>
      </c>
      <c r="D17" s="208">
        <v>33712276539</v>
      </c>
      <c r="E17" s="207" t="str">
        <f>VLOOKUP(D17,Configuracion!$A$4:$C$591,2,FALSE)</f>
        <v>CASTAÑO AUTOVOX SRL</v>
      </c>
      <c r="F17" s="211">
        <v>10155.9</v>
      </c>
      <c r="G17" s="50">
        <f t="shared" si="0"/>
        <v>2132.739</v>
      </c>
      <c r="H17" s="50"/>
      <c r="I17" s="50"/>
      <c r="J17" s="50"/>
      <c r="K17" s="227">
        <v>355.46</v>
      </c>
      <c r="L17" s="50"/>
      <c r="M17" s="233">
        <v>612.54999999999995</v>
      </c>
      <c r="N17" s="50"/>
      <c r="O17" s="209">
        <f t="shared" si="1"/>
        <v>13256.648999999998</v>
      </c>
      <c r="P17" s="214" t="str">
        <f>VLOOKUP(D17,Configuracion!$A$4:$C$591,3,FALSE)</f>
        <v>VARIOS</v>
      </c>
    </row>
    <row r="18" spans="1:16" ht="15" customHeight="1">
      <c r="A18" s="204" t="s">
        <v>614</v>
      </c>
      <c r="B18" s="21">
        <v>15</v>
      </c>
      <c r="C18" s="206">
        <v>4365</v>
      </c>
      <c r="D18" s="208">
        <v>33712276539</v>
      </c>
      <c r="E18" s="207" t="str">
        <f>VLOOKUP(D18,Configuracion!$A$4:$C$591,2,FALSE)</f>
        <v>CASTAÑO AUTOVOX SRL</v>
      </c>
      <c r="F18" s="211">
        <v>12910.24</v>
      </c>
      <c r="G18" s="50">
        <f t="shared" si="0"/>
        <v>2711.1504</v>
      </c>
      <c r="H18" s="50"/>
      <c r="I18" s="50"/>
      <c r="J18" s="50"/>
      <c r="K18" s="227">
        <v>451.86</v>
      </c>
      <c r="L18" s="50"/>
      <c r="M18" s="233">
        <v>778.67</v>
      </c>
      <c r="N18" s="50"/>
      <c r="O18" s="209">
        <f t="shared" si="1"/>
        <v>16851.920399999999</v>
      </c>
      <c r="P18" s="214" t="str">
        <f>VLOOKUP(D18,Configuracion!$A$4:$C$591,3,FALSE)</f>
        <v>VARIOS</v>
      </c>
    </row>
    <row r="19" spans="1:16" ht="15" customHeight="1">
      <c r="A19" s="204" t="s">
        <v>619</v>
      </c>
      <c r="B19" s="21">
        <v>27</v>
      </c>
      <c r="C19" s="206">
        <v>4512</v>
      </c>
      <c r="D19" s="208">
        <v>33712276539</v>
      </c>
      <c r="E19" s="207" t="str">
        <f>VLOOKUP(D19,Configuracion!$A$4:$C$591,2,FALSE)</f>
        <v>CASTAÑO AUTOVOX SRL</v>
      </c>
      <c r="F19" s="211">
        <v>2662.46</v>
      </c>
      <c r="G19" s="50">
        <f t="shared" si="0"/>
        <v>559.11659999999995</v>
      </c>
      <c r="H19" s="50"/>
      <c r="I19" s="50"/>
      <c r="J19" s="50"/>
      <c r="K19" s="227">
        <v>93.19</v>
      </c>
      <c r="L19" s="50"/>
      <c r="M19" s="233"/>
      <c r="N19" s="50">
        <v>155.28</v>
      </c>
      <c r="O19" s="209">
        <f t="shared" si="1"/>
        <v>3470.0466000000001</v>
      </c>
      <c r="P19" s="214" t="str">
        <f>VLOOKUP(D19,Configuracion!$A$4:$C$591,3,FALSE)</f>
        <v>VARIOS</v>
      </c>
    </row>
    <row r="20" spans="1:16" ht="15" customHeight="1">
      <c r="A20" s="204" t="s">
        <v>606</v>
      </c>
      <c r="B20" s="21">
        <v>2</v>
      </c>
      <c r="C20" s="206">
        <v>182</v>
      </c>
      <c r="D20" s="208">
        <v>30605344352</v>
      </c>
      <c r="E20" s="207" t="str">
        <f>VLOOKUP(D20,Configuracion!$A$4:$C$591,2,FALSE)</f>
        <v>CONSORCIO BARTOLME MITRE 2466</v>
      </c>
      <c r="F20" s="211">
        <v>187880</v>
      </c>
      <c r="G20" s="50">
        <f t="shared" si="0"/>
        <v>39454.799999999996</v>
      </c>
      <c r="H20" s="50"/>
      <c r="I20" s="50"/>
      <c r="J20" s="50"/>
      <c r="K20" s="227"/>
      <c r="L20" s="50"/>
      <c r="M20" s="233"/>
      <c r="N20" s="50"/>
      <c r="O20" s="209">
        <f t="shared" si="1"/>
        <v>227334.8</v>
      </c>
      <c r="P20" s="214" t="str">
        <f>VLOOKUP(D20,Configuracion!$A$4:$C$591,3,FALSE)</f>
        <v>CONSORCIO</v>
      </c>
    </row>
    <row r="21" spans="1:16" ht="15" customHeight="1">
      <c r="A21" s="204" t="s">
        <v>614</v>
      </c>
      <c r="B21" s="21">
        <v>2635</v>
      </c>
      <c r="C21" s="206">
        <v>964</v>
      </c>
      <c r="D21" s="208">
        <v>33699685459</v>
      </c>
      <c r="E21" s="207" t="str">
        <f>VLOOKUP(D21,Configuracion!$A$4:$C$591,2,FALSE)</f>
        <v>CORREO ANDREANI SA</v>
      </c>
      <c r="F21" s="211">
        <v>1734.39</v>
      </c>
      <c r="G21" s="50">
        <f t="shared" si="0"/>
        <v>364.22190000000001</v>
      </c>
      <c r="H21" s="50"/>
      <c r="I21" s="50"/>
      <c r="J21" s="50"/>
      <c r="K21" s="227"/>
      <c r="L21" s="50"/>
      <c r="M21" s="233"/>
      <c r="N21" s="50"/>
      <c r="O21" s="209">
        <f t="shared" si="1"/>
        <v>2098.6118999999999</v>
      </c>
      <c r="P21" s="214" t="str">
        <f>VLOOKUP(D21,Configuracion!$A$4:$C$591,3,FALSE)</f>
        <v>VARIOS</v>
      </c>
    </row>
    <row r="22" spans="1:16" ht="15" customHeight="1">
      <c r="A22" s="204" t="s">
        <v>624</v>
      </c>
      <c r="B22" s="21">
        <v>20</v>
      </c>
      <c r="C22" s="206">
        <v>146748</v>
      </c>
      <c r="D22" s="208">
        <v>30696850972</v>
      </c>
      <c r="E22" s="207" t="str">
        <f>VLOOKUP(D22,Configuracion!$A$4:$C$591,2,FALSE)</f>
        <v>CPS COMUNICACIONES SA</v>
      </c>
      <c r="F22" s="211">
        <v>3290.91</v>
      </c>
      <c r="G22" s="50"/>
      <c r="H22" s="50">
        <v>888.55</v>
      </c>
      <c r="I22" s="50"/>
      <c r="J22" s="50"/>
      <c r="K22" s="227">
        <v>115.17</v>
      </c>
      <c r="L22" s="50"/>
      <c r="M22" s="233"/>
      <c r="N22" s="50"/>
      <c r="O22" s="209">
        <f t="shared" si="1"/>
        <v>4294.63</v>
      </c>
      <c r="P22" s="214" t="str">
        <f>VLOOKUP(D22,Configuracion!$A$4:$C$591,3,FALSE)</f>
        <v>SERVICIO</v>
      </c>
    </row>
    <row r="23" spans="1:16" ht="15" customHeight="1">
      <c r="A23" s="204" t="s">
        <v>606</v>
      </c>
      <c r="B23" s="21">
        <v>3</v>
      </c>
      <c r="C23" s="206">
        <v>7688</v>
      </c>
      <c r="D23" s="208">
        <v>20045615473</v>
      </c>
      <c r="E23" s="207" t="str">
        <f>VLOOKUP(D23,Configuracion!$A$4:$C$591,2,FALSE)</f>
        <v>DI FEO HUGO PASCUAL GUILLERMO</v>
      </c>
      <c r="F23" s="211">
        <v>28600</v>
      </c>
      <c r="G23" s="50">
        <f t="shared" ref="G23:G54" si="2">F23*21%</f>
        <v>6006</v>
      </c>
      <c r="H23" s="50"/>
      <c r="I23" s="50"/>
      <c r="J23" s="50"/>
      <c r="K23" s="227"/>
      <c r="L23" s="50"/>
      <c r="M23" s="233"/>
      <c r="N23" s="50"/>
      <c r="O23" s="209">
        <f t="shared" si="1"/>
        <v>34606</v>
      </c>
      <c r="P23" s="214" t="str">
        <f>VLOOKUP(D23,Configuracion!$A$4:$C$591,3,FALSE)</f>
        <v>INSUMOS</v>
      </c>
    </row>
    <row r="24" spans="1:16" ht="15" customHeight="1">
      <c r="A24" s="204" t="s">
        <v>613</v>
      </c>
      <c r="B24" s="21">
        <v>3</v>
      </c>
      <c r="C24" s="206">
        <v>7710</v>
      </c>
      <c r="D24" s="208">
        <v>20045615473</v>
      </c>
      <c r="E24" s="207" t="str">
        <f>VLOOKUP(D24,Configuracion!$A$4:$C$591,2,FALSE)</f>
        <v>DI FEO HUGO PASCUAL GUILLERMO</v>
      </c>
      <c r="F24" s="211">
        <v>15050</v>
      </c>
      <c r="G24" s="50">
        <f t="shared" si="2"/>
        <v>3160.5</v>
      </c>
      <c r="H24" s="50"/>
      <c r="I24" s="50"/>
      <c r="J24" s="50"/>
      <c r="K24" s="227"/>
      <c r="L24" s="50"/>
      <c r="M24" s="233"/>
      <c r="N24" s="50"/>
      <c r="O24" s="209">
        <f t="shared" si="1"/>
        <v>18210.5</v>
      </c>
      <c r="P24" s="214" t="str">
        <f>VLOOKUP(D24,Configuracion!$A$4:$C$591,3,FALSE)</f>
        <v>INSUMOS</v>
      </c>
    </row>
    <row r="25" spans="1:16" ht="15" customHeight="1">
      <c r="A25" s="204" t="s">
        <v>613</v>
      </c>
      <c r="B25" s="21">
        <v>3</v>
      </c>
      <c r="C25" s="206">
        <v>7713</v>
      </c>
      <c r="D25" s="208">
        <v>20045615473</v>
      </c>
      <c r="E25" s="207" t="str">
        <f>VLOOKUP(D25,Configuracion!$A$4:$C$591,2,FALSE)</f>
        <v>DI FEO HUGO PASCUAL GUILLERMO</v>
      </c>
      <c r="F25" s="211">
        <v>2795</v>
      </c>
      <c r="G25" s="50">
        <f t="shared" si="2"/>
        <v>586.94999999999993</v>
      </c>
      <c r="H25" s="50"/>
      <c r="I25" s="50"/>
      <c r="J25" s="50"/>
      <c r="K25" s="227"/>
      <c r="L25" s="50"/>
      <c r="M25" s="233"/>
      <c r="N25" s="50"/>
      <c r="O25" s="209">
        <f t="shared" si="1"/>
        <v>3381.95</v>
      </c>
      <c r="P25" s="214" t="str">
        <f>VLOOKUP(D25,Configuracion!$A$4:$C$591,3,FALSE)</f>
        <v>INSUMOS</v>
      </c>
    </row>
    <row r="26" spans="1:16">
      <c r="A26" s="293">
        <v>44987</v>
      </c>
      <c r="B26" s="21">
        <v>3</v>
      </c>
      <c r="C26" s="206">
        <v>7605</v>
      </c>
      <c r="D26" s="208">
        <v>20045615473</v>
      </c>
      <c r="E26" s="207" t="str">
        <f>VLOOKUP(D26,Configuracion!$A$4:$C$591,2,FALSE)</f>
        <v>DI FEO HUGO PASCUAL GUILLERMO</v>
      </c>
      <c r="F26" s="211">
        <v>11415</v>
      </c>
      <c r="G26" s="50">
        <f t="shared" si="2"/>
        <v>2397.15</v>
      </c>
      <c r="H26" s="50"/>
      <c r="I26" s="50"/>
      <c r="J26" s="50"/>
      <c r="K26" s="227"/>
      <c r="L26" s="50"/>
      <c r="M26" s="233"/>
      <c r="N26" s="50"/>
      <c r="O26" s="209">
        <f t="shared" si="1"/>
        <v>13812.15</v>
      </c>
      <c r="P26" s="214" t="str">
        <f>VLOOKUP(D26,Configuracion!$A$4:$C$591,3,FALSE)</f>
        <v>INSUMOS</v>
      </c>
    </row>
    <row r="27" spans="1:16" ht="15" customHeight="1">
      <c r="A27" s="293">
        <v>44980</v>
      </c>
      <c r="B27" s="21">
        <v>907</v>
      </c>
      <c r="C27" s="206">
        <v>206</v>
      </c>
      <c r="D27" s="208">
        <v>30685849751</v>
      </c>
      <c r="E27" s="207" t="str">
        <f>VLOOKUP(D27,Configuracion!$A$4:$C$591,2,FALSE)</f>
        <v>DIA ARGENTINA SA</v>
      </c>
      <c r="F27" s="211">
        <v>415.37</v>
      </c>
      <c r="G27" s="50">
        <f t="shared" si="2"/>
        <v>87.227699999999999</v>
      </c>
      <c r="H27" s="50"/>
      <c r="I27" s="50"/>
      <c r="J27" s="50"/>
      <c r="K27" s="227"/>
      <c r="L27" s="50"/>
      <c r="M27" s="233"/>
      <c r="N27" s="50"/>
      <c r="O27" s="209">
        <f t="shared" si="1"/>
        <v>502.59770000000003</v>
      </c>
      <c r="P27" s="214" t="str">
        <f>VLOOKUP(D27,Configuracion!$A$4:$C$591,3,FALSE)</f>
        <v>VARIOS</v>
      </c>
    </row>
    <row r="28" spans="1:16" ht="15" customHeight="1">
      <c r="A28" s="293">
        <v>44942</v>
      </c>
      <c r="B28" s="21">
        <v>10845</v>
      </c>
      <c r="C28" s="206">
        <v>63</v>
      </c>
      <c r="D28" s="208">
        <v>30685849751</v>
      </c>
      <c r="E28" s="207" t="str">
        <f>VLOOKUP(D28,Configuracion!$A$4:$C$591,2,FALSE)</f>
        <v>DIA ARGENTINA SA</v>
      </c>
      <c r="F28" s="211">
        <v>1023.6</v>
      </c>
      <c r="G28" s="50">
        <f t="shared" si="2"/>
        <v>214.95599999999999</v>
      </c>
      <c r="H28" s="50"/>
      <c r="I28" s="50"/>
      <c r="J28" s="50"/>
      <c r="K28" s="227"/>
      <c r="L28" s="50"/>
      <c r="M28" s="233"/>
      <c r="N28" s="50"/>
      <c r="O28" s="209">
        <f t="shared" si="1"/>
        <v>1238.556</v>
      </c>
      <c r="P28" s="214" t="str">
        <f>VLOOKUP(D28,Configuracion!$A$4:$C$591,3,FALSE)</f>
        <v>VARIOS</v>
      </c>
    </row>
    <row r="29" spans="1:16" ht="15" customHeight="1">
      <c r="A29" s="204" t="s">
        <v>611</v>
      </c>
      <c r="B29" s="21">
        <v>7</v>
      </c>
      <c r="C29" s="206">
        <v>26677</v>
      </c>
      <c r="D29" s="208">
        <v>20271532483</v>
      </c>
      <c r="E29" s="207" t="str">
        <f>VLOOKUP(D29,Configuracion!$A$4:$C$591,2,FALSE)</f>
        <v>DIEGO MARTIN RIOS</v>
      </c>
      <c r="F29" s="211">
        <v>1508857.87</v>
      </c>
      <c r="G29" s="50">
        <f t="shared" si="2"/>
        <v>316860.15270000004</v>
      </c>
      <c r="H29" s="50"/>
      <c r="I29" s="50"/>
      <c r="J29" s="50"/>
      <c r="K29" s="227">
        <v>52810.03</v>
      </c>
      <c r="L29" s="50"/>
      <c r="M29" s="233"/>
      <c r="N29" s="50"/>
      <c r="O29" s="209">
        <f t="shared" si="1"/>
        <v>1878528.0527000001</v>
      </c>
      <c r="P29" s="214" t="str">
        <f>VLOOKUP(D29,Configuracion!$A$4:$C$591,3,FALSE)</f>
        <v>PROVEEDOR</v>
      </c>
    </row>
    <row r="30" spans="1:16" ht="15" customHeight="1">
      <c r="A30" s="204" t="s">
        <v>614</v>
      </c>
      <c r="B30" s="21">
        <v>7</v>
      </c>
      <c r="C30" s="206">
        <v>26710</v>
      </c>
      <c r="D30" s="208">
        <v>20271532483</v>
      </c>
      <c r="E30" s="207" t="str">
        <f>VLOOKUP(D30,Configuracion!$A$4:$C$591,2,FALSE)</f>
        <v>DIEGO MARTIN RIOS</v>
      </c>
      <c r="F30" s="211">
        <v>1085101.32</v>
      </c>
      <c r="G30" s="50">
        <f t="shared" si="2"/>
        <v>227871.27720000001</v>
      </c>
      <c r="H30" s="50"/>
      <c r="I30" s="50"/>
      <c r="J30" s="50"/>
      <c r="K30" s="227">
        <v>37978.550000000003</v>
      </c>
      <c r="L30" s="50"/>
      <c r="M30" s="233"/>
      <c r="N30" s="50"/>
      <c r="O30" s="209">
        <f t="shared" si="1"/>
        <v>1350951.1472000002</v>
      </c>
      <c r="P30" s="214" t="str">
        <f>VLOOKUP(D30,Configuracion!$A$4:$C$591,3,FALSE)</f>
        <v>PROVEEDOR</v>
      </c>
    </row>
    <row r="31" spans="1:16" ht="15" customHeight="1">
      <c r="A31" s="204" t="s">
        <v>617</v>
      </c>
      <c r="B31" s="21">
        <v>7</v>
      </c>
      <c r="C31" s="206">
        <v>26744</v>
      </c>
      <c r="D31" s="208">
        <v>20271532483</v>
      </c>
      <c r="E31" s="207" t="str">
        <f>VLOOKUP(D31,Configuracion!$A$4:$C$591,2,FALSE)</f>
        <v>DIEGO MARTIN RIOS</v>
      </c>
      <c r="F31" s="211">
        <v>561704.07999999996</v>
      </c>
      <c r="G31" s="50">
        <f t="shared" si="2"/>
        <v>117957.85679999998</v>
      </c>
      <c r="H31" s="50"/>
      <c r="I31" s="50"/>
      <c r="J31" s="50"/>
      <c r="K31" s="227">
        <v>19659.64</v>
      </c>
      <c r="L31" s="50"/>
      <c r="M31" s="233"/>
      <c r="N31" s="50"/>
      <c r="O31" s="209">
        <f t="shared" si="1"/>
        <v>699321.57679999992</v>
      </c>
      <c r="P31" s="214" t="str">
        <f>VLOOKUP(D31,Configuracion!$A$4:$C$591,3,FALSE)</f>
        <v>PROVEEDOR</v>
      </c>
    </row>
    <row r="32" spans="1:16" ht="15" customHeight="1">
      <c r="A32" s="204" t="s">
        <v>620</v>
      </c>
      <c r="B32" s="21">
        <v>7</v>
      </c>
      <c r="C32" s="206">
        <v>26800</v>
      </c>
      <c r="D32" s="208">
        <v>20271532483</v>
      </c>
      <c r="E32" s="207" t="str">
        <f>VLOOKUP(D32,Configuracion!$A$4:$C$591,2,FALSE)</f>
        <v>DIEGO MARTIN RIOS</v>
      </c>
      <c r="F32" s="211">
        <v>1942261.39</v>
      </c>
      <c r="G32" s="50">
        <f t="shared" si="2"/>
        <v>407874.89189999999</v>
      </c>
      <c r="H32" s="50"/>
      <c r="I32" s="50"/>
      <c r="J32" s="50"/>
      <c r="K32" s="227">
        <v>67979.149999999994</v>
      </c>
      <c r="L32" s="50"/>
      <c r="M32" s="233"/>
      <c r="N32" s="50"/>
      <c r="O32" s="209">
        <f t="shared" si="1"/>
        <v>2418115.4318999997</v>
      </c>
      <c r="P32" s="214" t="str">
        <f>VLOOKUP(D32,Configuracion!$A$4:$C$591,3,FALSE)</f>
        <v>PROVEEDOR</v>
      </c>
    </row>
    <row r="33" spans="1:16" ht="15" customHeight="1">
      <c r="A33" s="204" t="s">
        <v>621</v>
      </c>
      <c r="B33" s="21">
        <v>2</v>
      </c>
      <c r="C33" s="206">
        <v>7247</v>
      </c>
      <c r="D33" s="208">
        <v>30694549817</v>
      </c>
      <c r="E33" s="207" t="str">
        <f>VLOOKUP(D33,Configuracion!$A$4:$C$591,2,FALSE)</f>
        <v>DISEÑOS JERY SRL</v>
      </c>
      <c r="F33" s="211">
        <v>364800</v>
      </c>
      <c r="G33" s="50">
        <f t="shared" si="2"/>
        <v>76608</v>
      </c>
      <c r="H33" s="50"/>
      <c r="I33" s="50"/>
      <c r="J33" s="50"/>
      <c r="K33" s="227"/>
      <c r="L33" s="50"/>
      <c r="M33" s="233"/>
      <c r="N33" s="50"/>
      <c r="O33" s="209">
        <f t="shared" si="1"/>
        <v>441408</v>
      </c>
      <c r="P33" s="214" t="str">
        <f>VLOOKUP(D33,Configuracion!$A$4:$C$591,3,FALSE)</f>
        <v>PROVEEDOR</v>
      </c>
    </row>
    <row r="34" spans="1:16" ht="15" customHeight="1">
      <c r="A34" s="204" t="s">
        <v>610</v>
      </c>
      <c r="B34" s="21">
        <v>2</v>
      </c>
      <c r="C34" s="206">
        <v>671</v>
      </c>
      <c r="D34" s="208">
        <v>20140958213</v>
      </c>
      <c r="E34" s="207" t="str">
        <f>VLOOKUP(D34,Configuracion!$A$4:$C$591,2,FALSE)</f>
        <v>ESPAÑA ALEJANDRO JORGE</v>
      </c>
      <c r="F34" s="211">
        <v>97107.44</v>
      </c>
      <c r="G34" s="50">
        <f t="shared" si="2"/>
        <v>20392.562399999999</v>
      </c>
      <c r="H34" s="50"/>
      <c r="I34" s="50"/>
      <c r="J34" s="50"/>
      <c r="K34" s="227"/>
      <c r="L34" s="50"/>
      <c r="M34" s="233"/>
      <c r="N34" s="50"/>
      <c r="O34" s="209">
        <f t="shared" si="1"/>
        <v>117500.0024</v>
      </c>
      <c r="P34" s="214" t="str">
        <f>VLOOKUP(D34,Configuracion!$A$4:$C$591,3,FALSE)</f>
        <v>PROVEEDOR</v>
      </c>
    </row>
    <row r="35" spans="1:16" ht="15" customHeight="1">
      <c r="A35" s="204">
        <v>45026</v>
      </c>
      <c r="B35" s="21">
        <v>2</v>
      </c>
      <c r="C35" s="206">
        <v>671</v>
      </c>
      <c r="D35" s="208">
        <v>20140958213</v>
      </c>
      <c r="E35" s="207" t="str">
        <f>VLOOKUP(D35,Configuracion!$A$4:$C$591,2,FALSE)</f>
        <v>ESPAÑA ALEJANDRO JORGE</v>
      </c>
      <c r="F35" s="211">
        <v>97107.44</v>
      </c>
      <c r="G35" s="50">
        <f t="shared" si="2"/>
        <v>20392.562399999999</v>
      </c>
      <c r="H35" s="50"/>
      <c r="I35" s="50"/>
      <c r="J35" s="50"/>
      <c r="K35" s="227"/>
      <c r="L35" s="50"/>
      <c r="M35" s="233"/>
      <c r="N35" s="50"/>
      <c r="O35" s="209">
        <f t="shared" si="1"/>
        <v>117500.0024</v>
      </c>
      <c r="P35" s="214" t="str">
        <f>VLOOKUP(D35,Configuracion!$A$4:$C$591,3,FALSE)</f>
        <v>PROVEEDOR</v>
      </c>
    </row>
    <row r="36" spans="1:16" ht="15" customHeight="1">
      <c r="A36" s="204" t="s">
        <v>612</v>
      </c>
      <c r="B36" s="21">
        <v>7</v>
      </c>
      <c r="C36" s="206">
        <v>381</v>
      </c>
      <c r="D36" s="208">
        <v>30711328498</v>
      </c>
      <c r="E36" s="207" t="str">
        <f>VLOOKUP(D36,Configuracion!$A$4:$C$591,2,FALSE)</f>
        <v>ESPOSITO FRANCISCO ANT Y OT SH</v>
      </c>
      <c r="F36" s="211">
        <v>16363.640000000001</v>
      </c>
      <c r="G36" s="50">
        <f t="shared" si="2"/>
        <v>3436.3643999999999</v>
      </c>
      <c r="H36" s="50"/>
      <c r="I36" s="50"/>
      <c r="J36" s="50"/>
      <c r="K36" s="227"/>
      <c r="L36" s="50"/>
      <c r="M36" s="233"/>
      <c r="N36" s="50"/>
      <c r="O36" s="209">
        <f t="shared" si="1"/>
        <v>19800.004400000002</v>
      </c>
      <c r="P36" s="214" t="str">
        <f>VLOOKUP(D36,Configuracion!$A$4:$C$591,3,FALSE)</f>
        <v>GASTOS MOVILIDAD</v>
      </c>
    </row>
    <row r="37" spans="1:16" ht="15" customHeight="1">
      <c r="A37" s="204" t="s">
        <v>622</v>
      </c>
      <c r="B37" s="21">
        <v>11</v>
      </c>
      <c r="C37" s="206">
        <v>81644</v>
      </c>
      <c r="D37" s="208">
        <v>30526582884</v>
      </c>
      <c r="E37" s="207" t="str">
        <f>VLOOKUP(D37,Configuracion!$A$4:$C$591,2,FALSE)</f>
        <v>EXPRESO MAR DEL PLATA SA</v>
      </c>
      <c r="F37" s="211">
        <v>3826.45</v>
      </c>
      <c r="G37" s="50">
        <f t="shared" si="2"/>
        <v>803.55449999999996</v>
      </c>
      <c r="H37" s="50"/>
      <c r="I37" s="50"/>
      <c r="J37" s="50"/>
      <c r="K37" s="227"/>
      <c r="L37" s="50"/>
      <c r="M37" s="233"/>
      <c r="N37" s="50"/>
      <c r="O37" s="209">
        <f t="shared" si="1"/>
        <v>4630.0045</v>
      </c>
      <c r="P37" s="214" t="str">
        <f>VLOOKUP(D37,Configuracion!$A$4:$C$591,3,FALSE)</f>
        <v>FLETE</v>
      </c>
    </row>
    <row r="38" spans="1:16" ht="15" customHeight="1">
      <c r="A38" s="204" t="s">
        <v>606</v>
      </c>
      <c r="B38" s="21">
        <v>44</v>
      </c>
      <c r="C38" s="206">
        <v>20505</v>
      </c>
      <c r="D38" s="208">
        <v>30626009618</v>
      </c>
      <c r="E38" s="207" t="str">
        <f>VLOOKUP(D38,Configuracion!$A$4:$C$591,2,FALSE)</f>
        <v>EXPRESO RIVADAVIA SRL</v>
      </c>
      <c r="F38" s="211">
        <v>1499.07</v>
      </c>
      <c r="G38" s="50">
        <f t="shared" si="2"/>
        <v>314.80469999999997</v>
      </c>
      <c r="H38" s="50"/>
      <c r="I38" s="50"/>
      <c r="J38" s="50"/>
      <c r="K38" s="227"/>
      <c r="L38" s="50"/>
      <c r="M38" s="233"/>
      <c r="N38" s="50"/>
      <c r="O38" s="209">
        <f t="shared" si="1"/>
        <v>1813.8746999999998</v>
      </c>
      <c r="P38" s="214" t="str">
        <f>VLOOKUP(D38,Configuracion!$A$4:$C$591,3,FALSE)</f>
        <v>FLETE</v>
      </c>
    </row>
    <row r="39" spans="1:16" ht="15" customHeight="1">
      <c r="A39" s="204" t="s">
        <v>606</v>
      </c>
      <c r="B39" s="21">
        <v>48</v>
      </c>
      <c r="C39" s="206">
        <v>368332</v>
      </c>
      <c r="D39" s="208">
        <v>30626009618</v>
      </c>
      <c r="E39" s="207" t="str">
        <f>VLOOKUP(D39,Configuracion!$A$4:$C$591,2,FALSE)</f>
        <v>EXPRESO RIVADAVIA SRL</v>
      </c>
      <c r="F39" s="211">
        <v>5646.21</v>
      </c>
      <c r="G39" s="50">
        <f t="shared" si="2"/>
        <v>1185.7040999999999</v>
      </c>
      <c r="H39" s="50"/>
      <c r="I39" s="50"/>
      <c r="J39" s="50"/>
      <c r="K39" s="227"/>
      <c r="L39" s="50"/>
      <c r="M39" s="233"/>
      <c r="N39" s="50"/>
      <c r="O39" s="209">
        <f t="shared" si="1"/>
        <v>6831.9141</v>
      </c>
      <c r="P39" s="214" t="str">
        <f>VLOOKUP(D39,Configuracion!$A$4:$C$591,3,FALSE)</f>
        <v>FLETE</v>
      </c>
    </row>
    <row r="40" spans="1:16" ht="15" customHeight="1">
      <c r="A40" s="204">
        <v>45035</v>
      </c>
      <c r="B40" s="21">
        <v>48</v>
      </c>
      <c r="C40" s="206">
        <v>371809</v>
      </c>
      <c r="D40" s="208">
        <v>30626009618</v>
      </c>
      <c r="E40" s="207" t="str">
        <f>VLOOKUP(D40,Configuracion!$A$4:$C$591,2,FALSE)</f>
        <v>EXPRESO RIVADAVIA SRL</v>
      </c>
      <c r="F40" s="211">
        <v>5239.67</v>
      </c>
      <c r="G40" s="50">
        <f t="shared" si="2"/>
        <v>1100.3307</v>
      </c>
      <c r="H40" s="50"/>
      <c r="I40" s="50"/>
      <c r="J40" s="50"/>
      <c r="K40" s="227"/>
      <c r="L40" s="50"/>
      <c r="M40" s="233"/>
      <c r="N40" s="50"/>
      <c r="O40" s="209">
        <f t="shared" ref="O40:O71" si="3">SUM(F40:N40)</f>
        <v>6340.0007000000005</v>
      </c>
      <c r="P40" s="214" t="str">
        <f>VLOOKUP(D40,Configuracion!$A$4:$C$591,3,FALSE)</f>
        <v>FLETE</v>
      </c>
    </row>
    <row r="41" spans="1:16" ht="15" customHeight="1">
      <c r="A41" s="293">
        <v>44971</v>
      </c>
      <c r="B41" s="21">
        <v>2398</v>
      </c>
      <c r="C41" s="206">
        <v>669</v>
      </c>
      <c r="D41" s="208">
        <v>30692138747</v>
      </c>
      <c r="E41" s="207" t="str">
        <f>VLOOKUP(D41,Configuracion!$A$4:$C$591,2,FALSE)</f>
        <v>FARMACITY SA</v>
      </c>
      <c r="F41" s="211">
        <v>2295.0500000000002</v>
      </c>
      <c r="G41" s="50">
        <f t="shared" si="2"/>
        <v>481.96050000000002</v>
      </c>
      <c r="H41" s="50"/>
      <c r="I41" s="50"/>
      <c r="J41" s="50"/>
      <c r="K41" s="227">
        <v>68.849999999999994</v>
      </c>
      <c r="L41" s="50"/>
      <c r="M41" s="233"/>
      <c r="N41" s="50"/>
      <c r="O41" s="209">
        <f t="shared" si="3"/>
        <v>2845.8605000000002</v>
      </c>
      <c r="P41" s="214" t="str">
        <f>VLOOKUP(D41,Configuracion!$A$4:$C$591,3,FALSE)</f>
        <v>VARIOS</v>
      </c>
    </row>
    <row r="42" spans="1:16" ht="15" customHeight="1">
      <c r="A42" s="204" t="s">
        <v>613</v>
      </c>
      <c r="B42" s="21">
        <v>7</v>
      </c>
      <c r="C42" s="206">
        <v>1719</v>
      </c>
      <c r="D42" s="208">
        <v>20284183534</v>
      </c>
      <c r="E42" s="207" t="str">
        <f>VLOOKUP(D42,Configuracion!$A$4:$C$591,2,FALSE)</f>
        <v>FURLANETTO MARTIN</v>
      </c>
      <c r="F42" s="211">
        <v>1735.54</v>
      </c>
      <c r="G42" s="50">
        <f t="shared" si="2"/>
        <v>364.46339999999998</v>
      </c>
      <c r="H42" s="50"/>
      <c r="I42" s="50"/>
      <c r="J42" s="50"/>
      <c r="K42" s="227"/>
      <c r="L42" s="50"/>
      <c r="M42" s="233"/>
      <c r="N42" s="50"/>
      <c r="O42" s="209">
        <f t="shared" si="3"/>
        <v>2100.0034000000001</v>
      </c>
      <c r="P42" s="214" t="str">
        <f>VLOOKUP(D42,Configuracion!$A$4:$C$591,3,FALSE)</f>
        <v>VARIOS</v>
      </c>
    </row>
    <row r="43" spans="1:16" ht="15" customHeight="1">
      <c r="A43" s="204">
        <v>45033</v>
      </c>
      <c r="B43" s="21">
        <v>7</v>
      </c>
      <c r="C43" s="206">
        <v>1730</v>
      </c>
      <c r="D43" s="208">
        <v>20284183534</v>
      </c>
      <c r="E43" s="207" t="str">
        <f>VLOOKUP(D43,Configuracion!$A$4:$C$591,2,FALSE)</f>
        <v>FURLANETTO MARTIN</v>
      </c>
      <c r="F43" s="211">
        <v>2743.84</v>
      </c>
      <c r="G43" s="50">
        <f t="shared" si="2"/>
        <v>576.20640000000003</v>
      </c>
      <c r="H43" s="50"/>
      <c r="I43" s="50"/>
      <c r="J43" s="50"/>
      <c r="K43" s="227"/>
      <c r="L43" s="50"/>
      <c r="M43" s="233"/>
      <c r="N43" s="50"/>
      <c r="O43" s="209">
        <f t="shared" si="3"/>
        <v>3320.0464000000002</v>
      </c>
      <c r="P43" s="214" t="str">
        <f>VLOOKUP(D43,Configuracion!$A$4:$C$591,3,FALSE)</f>
        <v>VARIOS</v>
      </c>
    </row>
    <row r="44" spans="1:16" ht="15" customHeight="1">
      <c r="A44" s="293">
        <v>44953</v>
      </c>
      <c r="B44" s="21">
        <v>7</v>
      </c>
      <c r="C44" s="206">
        <v>1511</v>
      </c>
      <c r="D44" s="208">
        <v>20284183534</v>
      </c>
      <c r="E44" s="207" t="str">
        <f>VLOOKUP(D44,Configuracion!$A$4:$C$591,2,FALSE)</f>
        <v>FURLANETTO MARTIN</v>
      </c>
      <c r="F44" s="211">
        <v>2975.21</v>
      </c>
      <c r="G44" s="50">
        <f t="shared" si="2"/>
        <v>624.79409999999996</v>
      </c>
      <c r="H44" s="50"/>
      <c r="I44" s="50"/>
      <c r="J44" s="50"/>
      <c r="K44" s="227"/>
      <c r="L44" s="50"/>
      <c r="M44" s="233"/>
      <c r="N44" s="50"/>
      <c r="O44" s="209">
        <f t="shared" si="3"/>
        <v>3600.0041000000001</v>
      </c>
      <c r="P44" s="214" t="str">
        <f>VLOOKUP(D44,Configuracion!$A$4:$C$591,3,FALSE)</f>
        <v>VARIOS</v>
      </c>
    </row>
    <row r="45" spans="1:16" ht="15" customHeight="1">
      <c r="A45" s="293">
        <v>44958</v>
      </c>
      <c r="B45" s="21">
        <v>7</v>
      </c>
      <c r="C45" s="206">
        <v>1522</v>
      </c>
      <c r="D45" s="208">
        <v>20284183534</v>
      </c>
      <c r="E45" s="207" t="str">
        <f>VLOOKUP(D45,Configuracion!$A$4:$C$591,2,FALSE)</f>
        <v>FURLANETTO MARTIN</v>
      </c>
      <c r="F45" s="211">
        <v>3115.7</v>
      </c>
      <c r="G45" s="50">
        <f t="shared" si="2"/>
        <v>654.29699999999991</v>
      </c>
      <c r="H45" s="50"/>
      <c r="I45" s="50"/>
      <c r="J45" s="50"/>
      <c r="K45" s="227"/>
      <c r="L45" s="50"/>
      <c r="M45" s="233"/>
      <c r="N45" s="50"/>
      <c r="O45" s="209">
        <f t="shared" si="3"/>
        <v>3769.9969999999998</v>
      </c>
      <c r="P45" s="214" t="str">
        <f>VLOOKUP(D45,Configuracion!$A$4:$C$591,3,FALSE)</f>
        <v>VARIOS</v>
      </c>
    </row>
    <row r="46" spans="1:16" s="23" customFormat="1" ht="15" customHeight="1">
      <c r="A46" s="204" t="s">
        <v>604</v>
      </c>
      <c r="B46" s="21">
        <v>5</v>
      </c>
      <c r="C46" s="206">
        <v>1116</v>
      </c>
      <c r="D46" s="208">
        <v>30712187316</v>
      </c>
      <c r="E46" s="207" t="str">
        <f>VLOOKUP(D46,Configuracion!$A$4:$C$591,2,FALSE)</f>
        <v>ITALOMED PRODUCTOS SRL</v>
      </c>
      <c r="F46" s="211">
        <v>50933.599999999999</v>
      </c>
      <c r="G46" s="50">
        <f t="shared" si="2"/>
        <v>10696.055999999999</v>
      </c>
      <c r="H46" s="50"/>
      <c r="I46" s="50"/>
      <c r="J46" s="50"/>
      <c r="K46" s="227"/>
      <c r="L46" s="50"/>
      <c r="M46" s="233"/>
      <c r="N46" s="50"/>
      <c r="O46" s="209">
        <f t="shared" si="3"/>
        <v>61629.655999999995</v>
      </c>
      <c r="P46" s="214" t="str">
        <f>VLOOKUP(D46,Configuracion!$A$4:$C$591,3,FALSE)</f>
        <v>PROVEEDOR</v>
      </c>
    </row>
    <row r="47" spans="1:16" ht="15" customHeight="1">
      <c r="A47" s="204" t="s">
        <v>611</v>
      </c>
      <c r="B47" s="21">
        <v>7</v>
      </c>
      <c r="C47" s="206">
        <v>781</v>
      </c>
      <c r="D47" s="208">
        <v>30712187316</v>
      </c>
      <c r="E47" s="207" t="str">
        <f>VLOOKUP(D47,Configuracion!$A$4:$C$591,2,FALSE)</f>
        <v>ITALOMED PRODUCTOS SRL</v>
      </c>
      <c r="F47" s="211">
        <v>37778.22</v>
      </c>
      <c r="G47" s="50">
        <f t="shared" si="2"/>
        <v>7933.4261999999999</v>
      </c>
      <c r="H47" s="50"/>
      <c r="I47" s="50"/>
      <c r="J47" s="50"/>
      <c r="K47" s="227"/>
      <c r="L47" s="50"/>
      <c r="M47" s="233"/>
      <c r="N47" s="50"/>
      <c r="O47" s="209">
        <f t="shared" si="3"/>
        <v>45711.646200000003</v>
      </c>
      <c r="P47" s="214" t="str">
        <f>VLOOKUP(D47,Configuracion!$A$4:$C$591,3,FALSE)</f>
        <v>PROVEEDOR</v>
      </c>
    </row>
    <row r="48" spans="1:16" ht="15" customHeight="1">
      <c r="A48" s="204" t="s">
        <v>611</v>
      </c>
      <c r="B48" s="21">
        <v>7</v>
      </c>
      <c r="C48" s="206">
        <v>782</v>
      </c>
      <c r="D48" s="208">
        <v>30712187316</v>
      </c>
      <c r="E48" s="207" t="str">
        <f>VLOOKUP(D48,Configuracion!$A$4:$C$591,2,FALSE)</f>
        <v>ITALOMED PRODUCTOS SRL</v>
      </c>
      <c r="F48" s="211">
        <v>39239.64</v>
      </c>
      <c r="G48" s="50">
        <f t="shared" si="2"/>
        <v>8240.3243999999995</v>
      </c>
      <c r="H48" s="50"/>
      <c r="I48" s="50"/>
      <c r="J48" s="50"/>
      <c r="K48" s="227"/>
      <c r="L48" s="50"/>
      <c r="M48" s="233"/>
      <c r="N48" s="50"/>
      <c r="O48" s="209">
        <f t="shared" si="3"/>
        <v>47479.964399999997</v>
      </c>
      <c r="P48" s="214" t="str">
        <f>VLOOKUP(D48,Configuracion!$A$4:$C$591,3,FALSE)</f>
        <v>PROVEEDOR</v>
      </c>
    </row>
    <row r="49" spans="1:16" ht="15" customHeight="1">
      <c r="A49" s="204" t="s">
        <v>617</v>
      </c>
      <c r="B49" s="21">
        <v>5</v>
      </c>
      <c r="C49" s="206">
        <v>1184</v>
      </c>
      <c r="D49" s="208">
        <v>30712187316</v>
      </c>
      <c r="E49" s="207" t="str">
        <f>VLOOKUP(D49,Configuracion!$A$4:$C$591,2,FALSE)</f>
        <v>ITALOMED PRODUCTOS SRL</v>
      </c>
      <c r="F49" s="211">
        <v>53197.13</v>
      </c>
      <c r="G49" s="50">
        <f t="shared" si="2"/>
        <v>11171.397299999999</v>
      </c>
      <c r="H49" s="50"/>
      <c r="I49" s="50"/>
      <c r="J49" s="50"/>
      <c r="K49" s="227"/>
      <c r="L49" s="50"/>
      <c r="M49" s="233"/>
      <c r="N49" s="50"/>
      <c r="O49" s="209">
        <f t="shared" si="3"/>
        <v>64368.527299999994</v>
      </c>
      <c r="P49" s="214" t="str">
        <f>VLOOKUP(D49,Configuracion!$A$4:$C$591,3,FALSE)</f>
        <v>PROVEEDOR</v>
      </c>
    </row>
    <row r="50" spans="1:16" ht="15" customHeight="1">
      <c r="A50" s="293">
        <v>45013</v>
      </c>
      <c r="B50" s="21">
        <v>7</v>
      </c>
      <c r="C50" s="206">
        <v>768</v>
      </c>
      <c r="D50" s="208">
        <v>30712187316</v>
      </c>
      <c r="E50" s="207" t="str">
        <f>VLOOKUP(D50,Configuracion!$A$4:$C$591,2,FALSE)</f>
        <v>ITALOMED PRODUCTOS SRL</v>
      </c>
      <c r="F50" s="211">
        <v>39239.64</v>
      </c>
      <c r="G50" s="50">
        <f t="shared" si="2"/>
        <v>8240.3243999999995</v>
      </c>
      <c r="H50" s="50"/>
      <c r="I50" s="50"/>
      <c r="J50" s="50"/>
      <c r="K50" s="227"/>
      <c r="L50" s="50"/>
      <c r="M50" s="233"/>
      <c r="N50" s="50"/>
      <c r="O50" s="209">
        <f t="shared" si="3"/>
        <v>47479.964399999997</v>
      </c>
      <c r="P50" s="214" t="str">
        <f>VLOOKUP(D50,Configuracion!$A$4:$C$591,3,FALSE)</f>
        <v>PROVEEDOR</v>
      </c>
    </row>
    <row r="51" spans="1:16" ht="15" customHeight="1">
      <c r="A51" s="293">
        <v>44964</v>
      </c>
      <c r="B51" s="21">
        <v>5</v>
      </c>
      <c r="C51" s="206">
        <v>1091</v>
      </c>
      <c r="D51" s="208">
        <v>30712187316</v>
      </c>
      <c r="E51" s="207" t="str">
        <f>VLOOKUP(D51,Configuracion!$A$4:$C$591,2,FALSE)</f>
        <v>ITALOMED PRODUCTOS SRL</v>
      </c>
      <c r="F51" s="211">
        <v>45822.29</v>
      </c>
      <c r="G51" s="50">
        <f t="shared" si="2"/>
        <v>9622.6808999999994</v>
      </c>
      <c r="H51" s="50"/>
      <c r="I51" s="50"/>
      <c r="J51" s="50"/>
      <c r="K51" s="227"/>
      <c r="L51" s="50"/>
      <c r="M51" s="233"/>
      <c r="N51" s="50"/>
      <c r="O51" s="209">
        <f t="shared" si="3"/>
        <v>55444.9709</v>
      </c>
      <c r="P51" s="214" t="str">
        <f>VLOOKUP(D51,Configuracion!$A$4:$C$591,3,FALSE)</f>
        <v>PROVEEDOR</v>
      </c>
    </row>
    <row r="52" spans="1:16" ht="15" customHeight="1">
      <c r="A52" s="293">
        <v>44970</v>
      </c>
      <c r="B52" s="21">
        <v>5</v>
      </c>
      <c r="C52" s="206">
        <v>1099</v>
      </c>
      <c r="D52" s="208">
        <v>30712187316</v>
      </c>
      <c r="E52" s="207" t="str">
        <f>VLOOKUP(D52,Configuracion!$A$4:$C$591,2,FALSE)</f>
        <v>ITALOMED PRODUCTOS SRL</v>
      </c>
      <c r="F52" s="211">
        <v>46362.8</v>
      </c>
      <c r="G52" s="50">
        <f t="shared" si="2"/>
        <v>9736.1880000000001</v>
      </c>
      <c r="H52" s="50"/>
      <c r="I52" s="50"/>
      <c r="J52" s="50"/>
      <c r="K52" s="227"/>
      <c r="L52" s="50"/>
      <c r="M52" s="233"/>
      <c r="N52" s="50"/>
      <c r="O52" s="209">
        <f t="shared" si="3"/>
        <v>56098.988000000005</v>
      </c>
      <c r="P52" s="214" t="str">
        <f>VLOOKUP(D52,Configuracion!$A$4:$C$591,3,FALSE)</f>
        <v>PROVEEDOR</v>
      </c>
    </row>
    <row r="53" spans="1:16" ht="15" customHeight="1">
      <c r="A53" s="293">
        <v>44970</v>
      </c>
      <c r="B53" s="21">
        <v>5</v>
      </c>
      <c r="C53" s="206">
        <v>1100</v>
      </c>
      <c r="D53" s="208">
        <v>30712187316</v>
      </c>
      <c r="E53" s="207" t="str">
        <f>VLOOKUP(D53,Configuracion!$A$4:$C$591,2,FALSE)</f>
        <v>ITALOMED PRODUCTOS SRL</v>
      </c>
      <c r="F53" s="211">
        <v>39239.64</v>
      </c>
      <c r="G53" s="50">
        <f t="shared" si="2"/>
        <v>8240.3243999999995</v>
      </c>
      <c r="H53" s="50"/>
      <c r="I53" s="50"/>
      <c r="J53" s="50"/>
      <c r="K53" s="227"/>
      <c r="L53" s="50"/>
      <c r="M53" s="233"/>
      <c r="N53" s="50"/>
      <c r="O53" s="209">
        <f t="shared" si="3"/>
        <v>47479.964399999997</v>
      </c>
      <c r="P53" s="214" t="str">
        <f>VLOOKUP(D53,Configuracion!$A$4:$C$591,3,FALSE)</f>
        <v>PROVEEDOR</v>
      </c>
    </row>
    <row r="54" spans="1:16" ht="15" customHeight="1">
      <c r="A54" s="293">
        <v>45013</v>
      </c>
      <c r="B54" s="21">
        <v>7</v>
      </c>
      <c r="C54" s="206">
        <v>767</v>
      </c>
      <c r="D54" s="208">
        <v>30712187316</v>
      </c>
      <c r="E54" s="207" t="str">
        <f>VLOOKUP(D54,Configuracion!$A$4:$C$591,2,FALSE)</f>
        <v>ITALOMED PRODUCTOS SRL</v>
      </c>
      <c r="F54" s="211">
        <v>39239.64</v>
      </c>
      <c r="G54" s="50">
        <f t="shared" si="2"/>
        <v>8240.3243999999995</v>
      </c>
      <c r="H54" s="50"/>
      <c r="I54" s="50"/>
      <c r="J54" s="50"/>
      <c r="K54" s="227"/>
      <c r="L54" s="50"/>
      <c r="M54" s="233"/>
      <c r="N54" s="50"/>
      <c r="O54" s="209">
        <f t="shared" si="3"/>
        <v>47479.964399999997</v>
      </c>
      <c r="P54" s="214" t="str">
        <f>VLOOKUP(D54,Configuracion!$A$4:$C$591,3,FALSE)</f>
        <v>PROVEEDOR</v>
      </c>
    </row>
    <row r="55" spans="1:16" ht="15" customHeight="1">
      <c r="A55" s="204" t="s">
        <v>616</v>
      </c>
      <c r="B55" s="21">
        <v>7</v>
      </c>
      <c r="C55" s="206">
        <v>3721</v>
      </c>
      <c r="D55" s="208">
        <v>30709904872</v>
      </c>
      <c r="E55" s="207" t="str">
        <f>VLOOKUP(D55,Configuracion!$A$4:$C$591,2,FALSE)</f>
        <v>LOGISTICA DE LA COSTA SA</v>
      </c>
      <c r="F55" s="211">
        <v>5785.12</v>
      </c>
      <c r="G55" s="50">
        <f t="shared" ref="G55:G81" si="4">F55*21%</f>
        <v>1214.8751999999999</v>
      </c>
      <c r="H55" s="50"/>
      <c r="I55" s="50"/>
      <c r="J55" s="50"/>
      <c r="K55" s="227"/>
      <c r="L55" s="50"/>
      <c r="M55" s="233"/>
      <c r="N55" s="50"/>
      <c r="O55" s="209">
        <f t="shared" si="3"/>
        <v>6999.9951999999994</v>
      </c>
      <c r="P55" s="214" t="str">
        <f>VLOOKUP(D55,Configuracion!$A$4:$C$591,3,FALSE)</f>
        <v>FLETE</v>
      </c>
    </row>
    <row r="56" spans="1:16" ht="15" customHeight="1">
      <c r="A56" s="293">
        <v>45005</v>
      </c>
      <c r="B56" s="21">
        <v>10</v>
      </c>
      <c r="C56" s="206">
        <v>91</v>
      </c>
      <c r="D56" s="208">
        <v>30716229552</v>
      </c>
      <c r="E56" s="207" t="str">
        <f>VLOOKUP(D56,Configuracion!$A$4:$C$591,2,FALSE)</f>
        <v>LUBRICANTES RUTA DE P e H SRL</v>
      </c>
      <c r="F56" s="211">
        <v>1892.56</v>
      </c>
      <c r="G56" s="50">
        <f t="shared" si="4"/>
        <v>397.43759999999997</v>
      </c>
      <c r="H56" s="50"/>
      <c r="I56" s="50"/>
      <c r="J56" s="50"/>
      <c r="K56" s="227"/>
      <c r="L56" s="50"/>
      <c r="M56" s="233"/>
      <c r="N56" s="50"/>
      <c r="O56" s="209">
        <f t="shared" si="3"/>
        <v>2289.9975999999997</v>
      </c>
      <c r="P56" s="214" t="str">
        <f>VLOOKUP(D56,Configuracion!$A$4:$C$591,3,FALSE)</f>
        <v>VARIOS</v>
      </c>
    </row>
    <row r="57" spans="1:16" ht="15" customHeight="1">
      <c r="A57" s="204" t="s">
        <v>621</v>
      </c>
      <c r="B57" s="21">
        <v>5</v>
      </c>
      <c r="C57" s="206">
        <v>15</v>
      </c>
      <c r="D57" s="208">
        <v>20929183143</v>
      </c>
      <c r="E57" s="207" t="str">
        <f>VLOOKUP(D57,Configuracion!$A$4:$C$591,2,FALSE)</f>
        <v>MA JUN</v>
      </c>
      <c r="F57" s="211">
        <v>9500</v>
      </c>
      <c r="G57" s="50">
        <f t="shared" si="4"/>
        <v>1995</v>
      </c>
      <c r="H57" s="50"/>
      <c r="I57" s="50"/>
      <c r="J57" s="50"/>
      <c r="K57" s="227"/>
      <c r="L57" s="50"/>
      <c r="M57" s="233"/>
      <c r="N57" s="50"/>
      <c r="O57" s="209">
        <f t="shared" si="3"/>
        <v>11495</v>
      </c>
      <c r="P57" s="214" t="str">
        <f>VLOOKUP(D57,Configuracion!$A$4:$C$591,3,FALSE)</f>
        <v>VARIOS</v>
      </c>
    </row>
    <row r="58" spans="1:16" ht="15" customHeight="1">
      <c r="A58" s="204" t="s">
        <v>611</v>
      </c>
      <c r="B58" s="21">
        <v>14</v>
      </c>
      <c r="C58" s="206">
        <v>29971</v>
      </c>
      <c r="D58" s="208">
        <v>30657715383</v>
      </c>
      <c r="E58" s="207" t="str">
        <f>VLOOKUP(D58,Configuracion!$A$4:$C$591,2,FALSE)</f>
        <v>MADERERA LLAVALLOL SA</v>
      </c>
      <c r="F58" s="211">
        <v>51084.01</v>
      </c>
      <c r="G58" s="50">
        <f t="shared" si="4"/>
        <v>10727.642100000001</v>
      </c>
      <c r="H58" s="50"/>
      <c r="I58" s="50"/>
      <c r="J58" s="50"/>
      <c r="K58" s="227">
        <v>1787.94</v>
      </c>
      <c r="L58" s="50"/>
      <c r="M58" s="233"/>
      <c r="N58" s="50"/>
      <c r="O58" s="209">
        <f t="shared" si="3"/>
        <v>63599.592100000009</v>
      </c>
      <c r="P58" s="214" t="str">
        <f>VLOOKUP(D58,Configuracion!$A$4:$C$591,3,FALSE)</f>
        <v>VARIOS</v>
      </c>
    </row>
    <row r="59" spans="1:16" ht="15" customHeight="1">
      <c r="A59" s="293">
        <v>45008</v>
      </c>
      <c r="B59" s="21">
        <v>3</v>
      </c>
      <c r="C59" s="206">
        <v>5478</v>
      </c>
      <c r="D59" s="208">
        <v>33708218699</v>
      </c>
      <c r="E59" s="207" t="str">
        <f>VLOOKUP(D59,Configuracion!$A$4:$C$591,2,FALSE)</f>
        <v>MANGGINI PABLO Y M ULISES SH</v>
      </c>
      <c r="F59" s="211">
        <v>3500</v>
      </c>
      <c r="G59" s="50">
        <f t="shared" si="4"/>
        <v>735</v>
      </c>
      <c r="H59" s="50"/>
      <c r="I59" s="50"/>
      <c r="J59" s="50"/>
      <c r="K59" s="227"/>
      <c r="L59" s="50"/>
      <c r="M59" s="233"/>
      <c r="N59" s="50"/>
      <c r="O59" s="209">
        <f t="shared" si="3"/>
        <v>4235</v>
      </c>
      <c r="P59" s="214" t="str">
        <f>VLOOKUP(D59,Configuracion!$A$4:$C$591,3,FALSE)</f>
        <v>VARIOS</v>
      </c>
    </row>
    <row r="60" spans="1:16" ht="15" customHeight="1">
      <c r="A60" s="204" t="s">
        <v>620</v>
      </c>
      <c r="B60" s="21">
        <v>3</v>
      </c>
      <c r="C60" s="206">
        <v>5582</v>
      </c>
      <c r="D60" s="208">
        <v>33708218699</v>
      </c>
      <c r="E60" s="207" t="str">
        <f>VLOOKUP(D60,Configuracion!$A$4:$C$591,2,FALSE)</f>
        <v>MANGGINI PABLO Y M ULISES SH</v>
      </c>
      <c r="F60" s="211">
        <v>3500</v>
      </c>
      <c r="G60" s="50">
        <f t="shared" si="4"/>
        <v>735</v>
      </c>
      <c r="H60" s="50"/>
      <c r="I60" s="50"/>
      <c r="J60" s="50"/>
      <c r="K60" s="227"/>
      <c r="L60" s="50"/>
      <c r="M60" s="233"/>
      <c r="N60" s="50"/>
      <c r="O60" s="209">
        <f t="shared" si="3"/>
        <v>4235</v>
      </c>
      <c r="P60" s="214" t="str">
        <f>VLOOKUP(D60,Configuracion!$A$4:$C$591,3,FALSE)</f>
        <v>VARIOS</v>
      </c>
    </row>
    <row r="61" spans="1:16" ht="15" customHeight="1">
      <c r="A61" s="293">
        <v>45016</v>
      </c>
      <c r="B61" s="21">
        <v>3</v>
      </c>
      <c r="C61" s="206">
        <v>2886</v>
      </c>
      <c r="D61" s="208">
        <v>27944827345</v>
      </c>
      <c r="E61" s="207" t="str">
        <f>VLOOKUP(D61,Configuracion!$A$4:$C$591,2,FALSE)</f>
        <v>MARLENE ALONZO SANTANDER</v>
      </c>
      <c r="F61" s="211">
        <v>1652.89</v>
      </c>
      <c r="G61" s="50">
        <f t="shared" si="4"/>
        <v>347.1069</v>
      </c>
      <c r="H61" s="50"/>
      <c r="I61" s="50"/>
      <c r="J61" s="50"/>
      <c r="K61" s="227"/>
      <c r="L61" s="50"/>
      <c r="M61" s="233"/>
      <c r="N61" s="50"/>
      <c r="O61" s="209">
        <f t="shared" si="3"/>
        <v>1999.9969000000001</v>
      </c>
      <c r="P61" s="214" t="str">
        <f>VLOOKUP(D61,Configuracion!$A$4:$C$591,3,FALSE)</f>
        <v>VARIOS</v>
      </c>
    </row>
    <row r="62" spans="1:16" ht="15" customHeight="1">
      <c r="A62" s="204" t="s">
        <v>608</v>
      </c>
      <c r="B62" s="21">
        <v>12</v>
      </c>
      <c r="C62" s="206">
        <v>14</v>
      </c>
      <c r="D62" s="208">
        <v>27202892936</v>
      </c>
      <c r="E62" s="207" t="str">
        <f>VLOOKUP(D62,Configuracion!$A$4:$C$591,2,FALSE)</f>
        <v>MORIONDO ADRIANA INES</v>
      </c>
      <c r="F62" s="211">
        <v>894121.78</v>
      </c>
      <c r="G62" s="50">
        <f t="shared" si="4"/>
        <v>187765.57380000001</v>
      </c>
      <c r="H62" s="50"/>
      <c r="I62" s="50"/>
      <c r="J62" s="50"/>
      <c r="K62" s="227"/>
      <c r="L62" s="50"/>
      <c r="M62" s="233"/>
      <c r="N62" s="50"/>
      <c r="O62" s="209">
        <f t="shared" si="3"/>
        <v>1081887.3538000002</v>
      </c>
      <c r="P62" s="214" t="str">
        <f>VLOOKUP(D62,Configuracion!$A$4:$C$591,3,FALSE)</f>
        <v>PROVEEDOR</v>
      </c>
    </row>
    <row r="63" spans="1:16" ht="15" customHeight="1">
      <c r="A63" s="204" t="s">
        <v>606</v>
      </c>
      <c r="B63" s="21">
        <v>3</v>
      </c>
      <c r="C63" s="206">
        <v>61</v>
      </c>
      <c r="D63" s="208">
        <v>20334976433</v>
      </c>
      <c r="E63" s="207" t="str">
        <f>VLOOKUP(D63,Configuracion!$A$4:$C$591,2,FALSE)</f>
        <v>NARDOMARINO EZEQUIEL EDUARDO</v>
      </c>
      <c r="F63" s="211">
        <v>119574.38</v>
      </c>
      <c r="G63" s="50">
        <f t="shared" si="4"/>
        <v>25110.6198</v>
      </c>
      <c r="H63" s="50"/>
      <c r="I63" s="50"/>
      <c r="J63" s="50"/>
      <c r="K63" s="227"/>
      <c r="L63" s="50"/>
      <c r="M63" s="233"/>
      <c r="N63" s="50"/>
      <c r="O63" s="209">
        <f t="shared" si="3"/>
        <v>144684.99979999999</v>
      </c>
      <c r="P63" s="214" t="str">
        <f>VLOOKUP(D63,Configuracion!$A$4:$C$591,3,FALSE)</f>
        <v>FLETE</v>
      </c>
    </row>
    <row r="64" spans="1:16" ht="15" customHeight="1">
      <c r="A64" s="204" t="s">
        <v>610</v>
      </c>
      <c r="B64" s="21">
        <v>3</v>
      </c>
      <c r="C64" s="206">
        <v>63</v>
      </c>
      <c r="D64" s="208">
        <v>20334976433</v>
      </c>
      <c r="E64" s="207" t="str">
        <f>VLOOKUP(D64,Configuracion!$A$4:$C$591,2,FALSE)</f>
        <v>NARDOMARINO EZEQUIEL EDUARDO</v>
      </c>
      <c r="F64" s="211">
        <v>54749.59</v>
      </c>
      <c r="G64" s="50">
        <f t="shared" si="4"/>
        <v>11497.4139</v>
      </c>
      <c r="H64" s="50"/>
      <c r="I64" s="50"/>
      <c r="J64" s="50"/>
      <c r="K64" s="227"/>
      <c r="L64" s="50"/>
      <c r="M64" s="233"/>
      <c r="N64" s="50"/>
      <c r="O64" s="209">
        <f t="shared" si="3"/>
        <v>66247.003899999996</v>
      </c>
      <c r="P64" s="214" t="str">
        <f>VLOOKUP(D64,Configuracion!$A$4:$C$591,3,FALSE)</f>
        <v>FLETE</v>
      </c>
    </row>
    <row r="65" spans="1:16" ht="15" customHeight="1">
      <c r="A65" s="204" t="s">
        <v>615</v>
      </c>
      <c r="B65" s="21">
        <v>3</v>
      </c>
      <c r="C65" s="206">
        <v>65</v>
      </c>
      <c r="D65" s="208">
        <v>20334976433</v>
      </c>
      <c r="E65" s="207" t="str">
        <f>VLOOKUP(D65,Configuracion!$A$4:$C$591,2,FALSE)</f>
        <v>NARDOMARINO EZEQUIEL EDUARDO</v>
      </c>
      <c r="F65" s="211">
        <v>80161.16</v>
      </c>
      <c r="G65" s="50">
        <f t="shared" si="4"/>
        <v>16833.8436</v>
      </c>
      <c r="H65" s="50"/>
      <c r="I65" s="50"/>
      <c r="J65" s="50"/>
      <c r="K65" s="227"/>
      <c r="L65" s="50"/>
      <c r="M65" s="233"/>
      <c r="N65" s="50"/>
      <c r="O65" s="209">
        <f t="shared" si="3"/>
        <v>96995.003599999996</v>
      </c>
      <c r="P65" s="214" t="str">
        <f>VLOOKUP(D65,Configuracion!$A$4:$C$591,3,FALSE)</f>
        <v>FLETE</v>
      </c>
    </row>
    <row r="66" spans="1:16" ht="15" customHeight="1">
      <c r="A66" s="204" t="s">
        <v>621</v>
      </c>
      <c r="B66" s="21">
        <v>3</v>
      </c>
      <c r="C66" s="206">
        <v>67</v>
      </c>
      <c r="D66" s="208">
        <v>20334976433</v>
      </c>
      <c r="E66" s="207" t="str">
        <f>VLOOKUP(D66,Configuracion!$A$4:$C$591,2,FALSE)</f>
        <v>NARDOMARINO EZEQUIEL EDUARDO</v>
      </c>
      <c r="F66" s="211">
        <v>98491</v>
      </c>
      <c r="G66" s="50">
        <f t="shared" si="4"/>
        <v>20683.11</v>
      </c>
      <c r="H66" s="50"/>
      <c r="I66" s="50"/>
      <c r="J66" s="50"/>
      <c r="K66" s="227"/>
      <c r="L66" s="50"/>
      <c r="M66" s="233"/>
      <c r="N66" s="50"/>
      <c r="O66" s="209">
        <f t="shared" si="3"/>
        <v>119174.11</v>
      </c>
      <c r="P66" s="214" t="str">
        <f>VLOOKUP(D66,Configuracion!$A$4:$C$591,3,FALSE)</f>
        <v>FLETE</v>
      </c>
    </row>
    <row r="67" spans="1:16" ht="15" customHeight="1">
      <c r="A67" s="293">
        <v>44998</v>
      </c>
      <c r="B67" s="21">
        <v>3</v>
      </c>
      <c r="C67" s="206">
        <v>52</v>
      </c>
      <c r="D67" s="208">
        <v>20334976433</v>
      </c>
      <c r="E67" s="207" t="str">
        <f>VLOOKUP(D67,Configuracion!$A$4:$C$591,2,FALSE)</f>
        <v>NARDOMARINO EZEQUIEL EDUARDO</v>
      </c>
      <c r="F67" s="211">
        <v>93318.18</v>
      </c>
      <c r="G67" s="50">
        <f t="shared" si="4"/>
        <v>19596.817799999997</v>
      </c>
      <c r="H67" s="50"/>
      <c r="I67" s="50"/>
      <c r="J67" s="50"/>
      <c r="K67" s="227"/>
      <c r="L67" s="50"/>
      <c r="M67" s="233"/>
      <c r="N67" s="50"/>
      <c r="O67" s="209">
        <f t="shared" si="3"/>
        <v>112914.99779999998</v>
      </c>
      <c r="P67" s="214" t="str">
        <f>VLOOKUP(D67,Configuracion!$A$4:$C$591,3,FALSE)</f>
        <v>FLETE</v>
      </c>
    </row>
    <row r="68" spans="1:16" ht="15" customHeight="1">
      <c r="A68" s="204" t="s">
        <v>618</v>
      </c>
      <c r="B68" s="21">
        <v>5</v>
      </c>
      <c r="C68" s="206">
        <v>2756625</v>
      </c>
      <c r="D68" s="208">
        <v>30702652975</v>
      </c>
      <c r="E68" s="207" t="str">
        <f>VLOOKUP(D68,Configuracion!$A$4:$C$591,2,FALSE)</f>
        <v>NSS SA - IPLAN</v>
      </c>
      <c r="F68" s="211">
        <v>6248.38</v>
      </c>
      <c r="G68" s="50">
        <f t="shared" si="4"/>
        <v>1312.1597999999999</v>
      </c>
      <c r="H68" s="50"/>
      <c r="I68" s="50"/>
      <c r="J68" s="50"/>
      <c r="K68" s="227">
        <v>218.69</v>
      </c>
      <c r="L68" s="50"/>
      <c r="M68" s="233"/>
      <c r="N68" s="50"/>
      <c r="O68" s="209">
        <f t="shared" si="3"/>
        <v>7779.2298000000001</v>
      </c>
      <c r="P68" s="214" t="str">
        <f>VLOOKUP(D68,Configuracion!$A$4:$C$591,3,FALSE)</f>
        <v>SERVICIO</v>
      </c>
    </row>
    <row r="69" spans="1:16" ht="15" customHeight="1">
      <c r="A69" s="204" t="s">
        <v>617</v>
      </c>
      <c r="B69" s="21">
        <v>1</v>
      </c>
      <c r="C69" s="206">
        <v>451</v>
      </c>
      <c r="D69" s="208">
        <v>33716711469</v>
      </c>
      <c r="E69" s="207" t="str">
        <f>VLOOKUP(D69,Configuracion!$A$4:$C$591,2,FALSE)</f>
        <v>ORTOPEDIA SOLER SRL</v>
      </c>
      <c r="F69" s="211">
        <v>80000</v>
      </c>
      <c r="G69" s="50">
        <f t="shared" si="4"/>
        <v>16800</v>
      </c>
      <c r="H69" s="50"/>
      <c r="I69" s="50"/>
      <c r="J69" s="50"/>
      <c r="K69" s="227"/>
      <c r="L69" s="50"/>
      <c r="M69" s="233"/>
      <c r="N69" s="50"/>
      <c r="O69" s="209">
        <f t="shared" si="3"/>
        <v>96800</v>
      </c>
      <c r="P69" s="214" t="str">
        <f>VLOOKUP(D69,Configuracion!$A$4:$C$591,3,FALSE)</f>
        <v>PROVEEDOR</v>
      </c>
    </row>
    <row r="70" spans="1:16" ht="15" customHeight="1">
      <c r="A70" s="204" t="s">
        <v>622</v>
      </c>
      <c r="B70" s="21">
        <v>4</v>
      </c>
      <c r="C70" s="206">
        <v>63589</v>
      </c>
      <c r="D70" s="208">
        <v>33709738459</v>
      </c>
      <c r="E70" s="207" t="str">
        <f>VLOOKUP(D70,Configuracion!$A$4:$C$591,2,FALSE)</f>
        <v>ORTOPEDICOS ALFOLATEX SA</v>
      </c>
      <c r="F70" s="211">
        <v>196213.45</v>
      </c>
      <c r="G70" s="50">
        <f t="shared" si="4"/>
        <v>41204.824500000002</v>
      </c>
      <c r="H70" s="50"/>
      <c r="I70" s="50"/>
      <c r="J70" s="50"/>
      <c r="K70" s="227"/>
      <c r="L70" s="50"/>
      <c r="M70" s="233"/>
      <c r="N70" s="50"/>
      <c r="O70" s="209">
        <f t="shared" si="3"/>
        <v>237418.2745</v>
      </c>
      <c r="P70" s="214" t="str">
        <f>VLOOKUP(D70,Configuracion!$A$4:$C$591,3,FALSE)</f>
        <v>PROVEEDOR</v>
      </c>
    </row>
    <row r="71" spans="1:16">
      <c r="A71" s="204" t="s">
        <v>617</v>
      </c>
      <c r="B71" s="21">
        <v>120</v>
      </c>
      <c r="C71" s="206">
        <v>2449</v>
      </c>
      <c r="D71" s="208">
        <v>30587197215</v>
      </c>
      <c r="E71" s="207" t="str">
        <f>VLOOKUP(D71,Configuracion!$A$4:$C$591,2,FALSE)</f>
        <v>PANATEL SOCIEDAD ANONIMA</v>
      </c>
      <c r="F71" s="211">
        <v>16528.93</v>
      </c>
      <c r="G71" s="50">
        <f t="shared" si="4"/>
        <v>3471.0753</v>
      </c>
      <c r="H71" s="50"/>
      <c r="I71" s="50"/>
      <c r="J71" s="50"/>
      <c r="K71" s="227"/>
      <c r="L71" s="50"/>
      <c r="M71" s="233"/>
      <c r="N71" s="50"/>
      <c r="O71" s="209">
        <f t="shared" si="3"/>
        <v>20000.005300000001</v>
      </c>
      <c r="P71" s="214" t="str">
        <f>VLOOKUP(D71,Configuracion!$A$4:$C$591,3,FALSE)</f>
        <v>VARIOS</v>
      </c>
    </row>
    <row r="72" spans="1:16">
      <c r="A72" s="204" t="s">
        <v>621</v>
      </c>
      <c r="B72" s="21">
        <v>6</v>
      </c>
      <c r="C72" s="206">
        <v>57287</v>
      </c>
      <c r="D72" s="208">
        <v>30591633984</v>
      </c>
      <c r="E72" s="207" t="str">
        <f>VLOOKUP(D72,Configuracion!$A$4:$C$591,2,FALSE)</f>
        <v>PANTYMED SA</v>
      </c>
      <c r="F72" s="211">
        <v>147364</v>
      </c>
      <c r="G72" s="50">
        <f t="shared" si="4"/>
        <v>30946.44</v>
      </c>
      <c r="H72" s="50"/>
      <c r="I72" s="50"/>
      <c r="J72" s="50"/>
      <c r="K72" s="227"/>
      <c r="L72" s="50"/>
      <c r="M72" s="233"/>
      <c r="N72" s="50"/>
      <c r="O72" s="209">
        <f t="shared" ref="O72:O103" si="5">SUM(F72:N72)</f>
        <v>178310.44</v>
      </c>
      <c r="P72" s="214" t="str">
        <f>VLOOKUP(D72,Configuracion!$A$4:$C$591,3,FALSE)</f>
        <v>PROVEEDOR</v>
      </c>
    </row>
    <row r="73" spans="1:16">
      <c r="A73" s="204" t="s">
        <v>613</v>
      </c>
      <c r="B73" s="21">
        <v>6</v>
      </c>
      <c r="C73" s="206">
        <v>897</v>
      </c>
      <c r="D73" s="208">
        <v>30716815710</v>
      </c>
      <c r="E73" s="207" t="str">
        <f>VLOOKUP(D73,Configuracion!$A$4:$C$591,2,FALSE)</f>
        <v>PAPELERA GEOPEL SRL</v>
      </c>
      <c r="F73" s="211">
        <v>9629.75</v>
      </c>
      <c r="G73" s="50">
        <f t="shared" si="4"/>
        <v>2022.2474999999999</v>
      </c>
      <c r="H73" s="50"/>
      <c r="I73" s="50"/>
      <c r="J73" s="50"/>
      <c r="K73" s="227"/>
      <c r="L73" s="50"/>
      <c r="M73" s="233"/>
      <c r="N73" s="50"/>
      <c r="O73" s="209">
        <f t="shared" si="5"/>
        <v>11651.997499999999</v>
      </c>
      <c r="P73" s="214" t="str">
        <f>VLOOKUP(D73,Configuracion!$A$4:$C$591,3,FALSE)</f>
        <v>LIBRERÍA</v>
      </c>
    </row>
    <row r="74" spans="1:16">
      <c r="A74" s="204" t="s">
        <v>617</v>
      </c>
      <c r="B74" s="21">
        <v>6</v>
      </c>
      <c r="C74" s="206">
        <v>907</v>
      </c>
      <c r="D74" s="208">
        <v>30716815710</v>
      </c>
      <c r="E74" s="207" t="str">
        <f>VLOOKUP(D74,Configuracion!$A$4:$C$591,2,FALSE)</f>
        <v>PAPELERA GEOPEL SRL</v>
      </c>
      <c r="F74" s="211">
        <v>3217.14</v>
      </c>
      <c r="G74" s="50">
        <f t="shared" si="4"/>
        <v>675.59939999999995</v>
      </c>
      <c r="H74" s="50"/>
      <c r="I74" s="50"/>
      <c r="J74" s="50"/>
      <c r="K74" s="227"/>
      <c r="L74" s="50"/>
      <c r="M74" s="233"/>
      <c r="N74" s="50"/>
      <c r="O74" s="209">
        <f t="shared" si="5"/>
        <v>3892.7393999999999</v>
      </c>
      <c r="P74" s="214" t="str">
        <f>VLOOKUP(D74,Configuracion!$A$4:$C$591,3,FALSE)</f>
        <v>LIBRERÍA</v>
      </c>
    </row>
    <row r="75" spans="1:16">
      <c r="A75" s="293">
        <v>44939</v>
      </c>
      <c r="B75" s="21">
        <v>6</v>
      </c>
      <c r="C75" s="206">
        <v>788</v>
      </c>
      <c r="D75" s="208">
        <v>30716815710</v>
      </c>
      <c r="E75" s="207" t="str">
        <f>VLOOKUP(D75,Configuracion!$A$4:$C$591,2,FALSE)</f>
        <v>PAPELERA GEOPEL SRL</v>
      </c>
      <c r="F75" s="211">
        <v>930</v>
      </c>
      <c r="G75" s="50">
        <f t="shared" si="4"/>
        <v>195.29999999999998</v>
      </c>
      <c r="H75" s="50"/>
      <c r="I75" s="50"/>
      <c r="J75" s="50"/>
      <c r="K75" s="227"/>
      <c r="L75" s="50"/>
      <c r="M75" s="233"/>
      <c r="N75" s="50"/>
      <c r="O75" s="209">
        <f t="shared" si="5"/>
        <v>1125.3</v>
      </c>
      <c r="P75" s="214" t="str">
        <f>VLOOKUP(D75,Configuracion!$A$4:$C$591,3,FALSE)</f>
        <v>LIBRERÍA</v>
      </c>
    </row>
    <row r="76" spans="1:16">
      <c r="A76" s="293">
        <v>44966</v>
      </c>
      <c r="B76" s="21">
        <v>6</v>
      </c>
      <c r="C76" s="206">
        <v>827</v>
      </c>
      <c r="D76" s="208">
        <v>30716815710</v>
      </c>
      <c r="E76" s="207" t="str">
        <f>VLOOKUP(D76,Configuracion!$A$4:$C$591,2,FALSE)</f>
        <v>PAPELERA GEOPEL SRL</v>
      </c>
      <c r="F76" s="211">
        <v>1360</v>
      </c>
      <c r="G76" s="50">
        <f t="shared" si="4"/>
        <v>285.59999999999997</v>
      </c>
      <c r="H76" s="50"/>
      <c r="I76" s="50"/>
      <c r="J76" s="50"/>
      <c r="K76" s="227"/>
      <c r="L76" s="50"/>
      <c r="M76" s="233"/>
      <c r="N76" s="50"/>
      <c r="O76" s="209">
        <f t="shared" si="5"/>
        <v>1645.6</v>
      </c>
      <c r="P76" s="214" t="str">
        <f>VLOOKUP(D76,Configuracion!$A$4:$C$591,3,FALSE)</f>
        <v>LIBRERÍA</v>
      </c>
    </row>
    <row r="77" spans="1:16">
      <c r="A77" s="293">
        <v>45008</v>
      </c>
      <c r="B77" s="21">
        <v>4</v>
      </c>
      <c r="C77" s="206">
        <v>4082</v>
      </c>
      <c r="D77" s="208">
        <v>20113613646</v>
      </c>
      <c r="E77" s="207" t="str">
        <f>VLOOKUP(D77,Configuracion!$A$4:$C$591,2,FALSE)</f>
        <v>PIETRUSZKA ALBERTO DANIEL</v>
      </c>
      <c r="F77" s="211">
        <v>3438.02</v>
      </c>
      <c r="G77" s="50">
        <f t="shared" si="4"/>
        <v>721.98419999999999</v>
      </c>
      <c r="H77" s="50"/>
      <c r="I77" s="50"/>
      <c r="J77" s="50"/>
      <c r="K77" s="227"/>
      <c r="L77" s="50"/>
      <c r="M77" s="233"/>
      <c r="N77" s="50"/>
      <c r="O77" s="209">
        <f t="shared" si="5"/>
        <v>4160.0042000000003</v>
      </c>
      <c r="P77" s="214" t="str">
        <f>VLOOKUP(D77,Configuracion!$A$4:$C$591,3,FALSE)</f>
        <v>VARIOS</v>
      </c>
    </row>
    <row r="78" spans="1:16">
      <c r="A78" s="293">
        <v>44992</v>
      </c>
      <c r="B78" s="21">
        <v>12</v>
      </c>
      <c r="C78" s="206">
        <v>1584245</v>
      </c>
      <c r="D78" s="250">
        <v>30709776564</v>
      </c>
      <c r="E78" s="207" t="str">
        <f>VLOOKUP(D78,Configuracion!$A$4:$C$591,2,FALSE)</f>
        <v>PROSEGUR ACTIVA ARG SA</v>
      </c>
      <c r="F78" s="211">
        <v>13629.92</v>
      </c>
      <c r="G78" s="50">
        <f t="shared" si="4"/>
        <v>2862.2831999999999</v>
      </c>
      <c r="H78" s="50"/>
      <c r="I78" s="50"/>
      <c r="J78" s="50"/>
      <c r="K78" s="227">
        <v>477.05</v>
      </c>
      <c r="L78" s="50"/>
      <c r="M78" s="233"/>
      <c r="N78" s="50"/>
      <c r="O78" s="209">
        <f t="shared" si="5"/>
        <v>16969.253199999999</v>
      </c>
      <c r="P78" s="214" t="str">
        <f>VLOOKUP(D78,Configuracion!$A$4:$C$591,3,FALSE)</f>
        <v>SEGUROS</v>
      </c>
    </row>
    <row r="79" spans="1:16">
      <c r="A79" s="204" t="s">
        <v>606</v>
      </c>
      <c r="B79" s="21">
        <v>1001</v>
      </c>
      <c r="C79" s="206">
        <v>234</v>
      </c>
      <c r="D79" s="208">
        <v>30707370552</v>
      </c>
      <c r="E79" s="207" t="str">
        <f>VLOOKUP(D79,Configuracion!$A$4:$C$591,2,FALSE)</f>
        <v>RAKE SA</v>
      </c>
      <c r="F79" s="211">
        <v>257396.7</v>
      </c>
      <c r="G79" s="50">
        <f t="shared" si="4"/>
        <v>54053.307000000001</v>
      </c>
      <c r="H79" s="50"/>
      <c r="I79" s="50"/>
      <c r="J79" s="50"/>
      <c r="K79" s="227"/>
      <c r="L79" s="50"/>
      <c r="M79" s="233"/>
      <c r="N79" s="50"/>
      <c r="O79" s="209">
        <f t="shared" si="5"/>
        <v>311450.00699999998</v>
      </c>
      <c r="P79" s="214" t="str">
        <f>VLOOKUP(D79,Configuracion!$A$4:$C$591,3,FALSE)</f>
        <v>PROVEEDOR</v>
      </c>
    </row>
    <row r="80" spans="1:16">
      <c r="A80" s="204" t="s">
        <v>606</v>
      </c>
      <c r="B80" s="21">
        <v>1001</v>
      </c>
      <c r="C80" s="206">
        <v>235</v>
      </c>
      <c r="D80" s="208">
        <v>30707370552</v>
      </c>
      <c r="E80" s="207" t="str">
        <f>VLOOKUP(D80,Configuracion!$A$4:$C$591,2,FALSE)</f>
        <v>RAKE SA</v>
      </c>
      <c r="F80" s="211">
        <v>80991.740000000005</v>
      </c>
      <c r="G80" s="50">
        <f t="shared" si="4"/>
        <v>17008.2654</v>
      </c>
      <c r="H80" s="50"/>
      <c r="I80" s="50"/>
      <c r="J80" s="50"/>
      <c r="K80" s="227"/>
      <c r="L80" s="50"/>
      <c r="M80" s="233"/>
      <c r="N80" s="50"/>
      <c r="O80" s="209">
        <f t="shared" si="5"/>
        <v>98000.005400000009</v>
      </c>
      <c r="P80" s="214" t="str">
        <f>VLOOKUP(D80,Configuracion!$A$4:$C$591,3,FALSE)</f>
        <v>PROVEEDOR</v>
      </c>
    </row>
    <row r="81" spans="1:16">
      <c r="A81" s="204" t="s">
        <v>606</v>
      </c>
      <c r="B81" s="21">
        <v>1001</v>
      </c>
      <c r="C81" s="206">
        <v>236</v>
      </c>
      <c r="D81" s="208">
        <v>30707370552</v>
      </c>
      <c r="E81" s="207" t="str">
        <f>VLOOKUP(D81,Configuracion!$A$4:$C$591,2,FALSE)</f>
        <v>RAKE SA</v>
      </c>
      <c r="F81" s="211">
        <v>260330.58</v>
      </c>
      <c r="G81" s="50">
        <f t="shared" si="4"/>
        <v>54669.421799999996</v>
      </c>
      <c r="H81" s="50"/>
      <c r="I81" s="50"/>
      <c r="J81" s="50"/>
      <c r="K81" s="227"/>
      <c r="L81" s="50"/>
      <c r="M81" s="233"/>
      <c r="N81" s="50"/>
      <c r="O81" s="209">
        <f t="shared" si="5"/>
        <v>315000.00179999997</v>
      </c>
      <c r="P81" s="214" t="str">
        <f>VLOOKUP(D81,Configuracion!$A$4:$C$591,3,FALSE)</f>
        <v>PROVEEDOR</v>
      </c>
    </row>
    <row r="82" spans="1:16" ht="15" customHeight="1">
      <c r="A82" s="204" t="s">
        <v>606</v>
      </c>
      <c r="B82" s="21">
        <v>7</v>
      </c>
      <c r="C82" s="206">
        <v>15022</v>
      </c>
      <c r="D82" s="208">
        <v>30709214078</v>
      </c>
      <c r="E82" s="207" t="str">
        <f>VLOOKUP(D82,Configuracion!$A$4:$C$591,2,FALSE)</f>
        <v>REHAVITA SA</v>
      </c>
      <c r="F82" s="211">
        <v>98652</v>
      </c>
      <c r="G82" s="50"/>
      <c r="H82" s="50"/>
      <c r="I82" s="50">
        <v>10358.459999999999</v>
      </c>
      <c r="J82" s="50"/>
      <c r="K82" s="227"/>
      <c r="L82" s="50"/>
      <c r="M82" s="233"/>
      <c r="N82" s="50"/>
      <c r="O82" s="209">
        <f t="shared" si="5"/>
        <v>109010.45999999999</v>
      </c>
      <c r="P82" s="214" t="str">
        <f>VLOOKUP(D82,Configuracion!$A$4:$C$591,3,FALSE)</f>
        <v>PROVEEDOR</v>
      </c>
    </row>
    <row r="83" spans="1:16" ht="15" customHeight="1">
      <c r="A83" s="204" t="s">
        <v>606</v>
      </c>
      <c r="B83" s="21">
        <v>7</v>
      </c>
      <c r="C83" s="206">
        <v>15023</v>
      </c>
      <c r="D83" s="208">
        <v>30709214078</v>
      </c>
      <c r="E83" s="207" t="str">
        <f>VLOOKUP(D83,Configuracion!$A$4:$C$591,2,FALSE)</f>
        <v>REHAVITA SA</v>
      </c>
      <c r="F83" s="211">
        <v>98652</v>
      </c>
      <c r="G83" s="50"/>
      <c r="H83" s="50"/>
      <c r="I83" s="50">
        <v>10358.446</v>
      </c>
      <c r="J83" s="50"/>
      <c r="K83" s="227"/>
      <c r="L83" s="50"/>
      <c r="M83" s="233"/>
      <c r="N83" s="50"/>
      <c r="O83" s="209">
        <f t="shared" si="5"/>
        <v>109010.446</v>
      </c>
      <c r="P83" s="214" t="str">
        <f>VLOOKUP(D83,Configuracion!$A$4:$C$591,3,FALSE)</f>
        <v>PROVEEDOR</v>
      </c>
    </row>
    <row r="84" spans="1:16" ht="15" customHeight="1">
      <c r="A84" s="204" t="s">
        <v>608</v>
      </c>
      <c r="B84" s="21">
        <v>7</v>
      </c>
      <c r="C84" s="206">
        <v>15122</v>
      </c>
      <c r="D84" s="208">
        <v>30709214078</v>
      </c>
      <c r="E84" s="207" t="str">
        <f>VLOOKUP(D84,Configuracion!$A$4:$C$591,2,FALSE)</f>
        <v>REHAVITA SA</v>
      </c>
      <c r="F84" s="211">
        <v>106144</v>
      </c>
      <c r="G84" s="50"/>
      <c r="H84" s="50"/>
      <c r="I84" s="50">
        <v>11145.12</v>
      </c>
      <c r="J84" s="50"/>
      <c r="K84" s="227"/>
      <c r="L84" s="50"/>
      <c r="M84" s="233"/>
      <c r="N84" s="50"/>
      <c r="O84" s="209">
        <f t="shared" si="5"/>
        <v>117289.12</v>
      </c>
      <c r="P84" s="214" t="str">
        <f>VLOOKUP(D84,Configuracion!$A$4:$C$591,3,FALSE)</f>
        <v>PROVEEDOR</v>
      </c>
    </row>
    <row r="85" spans="1:16" ht="15" customHeight="1">
      <c r="A85" s="204" t="s">
        <v>608</v>
      </c>
      <c r="B85" s="21">
        <v>7</v>
      </c>
      <c r="C85" s="206">
        <v>15134</v>
      </c>
      <c r="D85" s="208">
        <v>30709214078</v>
      </c>
      <c r="E85" s="207" t="str">
        <f>VLOOKUP(D85,Configuracion!$A$4:$C$591,2,FALSE)</f>
        <v>REHAVITA SA</v>
      </c>
      <c r="F85" s="211">
        <v>98652</v>
      </c>
      <c r="G85" s="50"/>
      <c r="H85" s="50"/>
      <c r="I85" s="50">
        <v>10358.459999999999</v>
      </c>
      <c r="J85" s="50"/>
      <c r="K85" s="227"/>
      <c r="L85" s="50"/>
      <c r="M85" s="233"/>
      <c r="N85" s="50"/>
      <c r="O85" s="209">
        <f t="shared" si="5"/>
        <v>109010.45999999999</v>
      </c>
      <c r="P85" s="214" t="str">
        <f>VLOOKUP(D85,Configuracion!$A$4:$C$591,3,FALSE)</f>
        <v>PROVEEDOR</v>
      </c>
    </row>
    <row r="86" spans="1:16" ht="15" customHeight="1">
      <c r="A86" s="204" t="s">
        <v>606</v>
      </c>
      <c r="B86" s="21">
        <v>17</v>
      </c>
      <c r="C86" s="206">
        <v>876</v>
      </c>
      <c r="D86" s="208">
        <v>30711764921</v>
      </c>
      <c r="E86" s="207" t="str">
        <f>VLOOKUP(D86,Configuracion!$A$4:$C$591,2,FALSE)</f>
        <v>RELIEF CENTER SRL</v>
      </c>
      <c r="F86" s="211">
        <v>10550</v>
      </c>
      <c r="G86" s="50">
        <f t="shared" ref="G86:G97" si="6">F86*21%</f>
        <v>2215.5</v>
      </c>
      <c r="H86" s="50"/>
      <c r="I86" s="50"/>
      <c r="J86" s="50"/>
      <c r="K86" s="227"/>
      <c r="L86" s="50"/>
      <c r="M86" s="233"/>
      <c r="N86" s="50"/>
      <c r="O86" s="209">
        <f t="shared" si="5"/>
        <v>12765.5</v>
      </c>
      <c r="P86" s="214" t="str">
        <f>VLOOKUP(D86,Configuracion!$A$4:$C$591,3,FALSE)</f>
        <v>PROVEEDOR</v>
      </c>
    </row>
    <row r="87" spans="1:16" ht="15" customHeight="1">
      <c r="A87" s="204" t="s">
        <v>607</v>
      </c>
      <c r="B87" s="21">
        <v>17</v>
      </c>
      <c r="C87" s="206">
        <v>878</v>
      </c>
      <c r="D87" s="208">
        <v>30711764921</v>
      </c>
      <c r="E87" s="207" t="str">
        <f>VLOOKUP(D87,Configuracion!$A$4:$C$591,2,FALSE)</f>
        <v>RELIEF CENTER SRL</v>
      </c>
      <c r="F87" s="211">
        <v>58680</v>
      </c>
      <c r="G87" s="50">
        <f t="shared" si="6"/>
        <v>12322.8</v>
      </c>
      <c r="H87" s="50"/>
      <c r="I87" s="50"/>
      <c r="J87" s="50"/>
      <c r="K87" s="227"/>
      <c r="L87" s="50"/>
      <c r="M87" s="233"/>
      <c r="N87" s="50"/>
      <c r="O87" s="209">
        <f t="shared" si="5"/>
        <v>71002.8</v>
      </c>
      <c r="P87" s="214" t="str">
        <f>VLOOKUP(D87,Configuracion!$A$4:$C$591,3,FALSE)</f>
        <v>PROVEEDOR</v>
      </c>
    </row>
    <row r="88" spans="1:16" ht="15" customHeight="1">
      <c r="A88" s="293">
        <v>44998</v>
      </c>
      <c r="B88" s="21">
        <v>17</v>
      </c>
      <c r="C88" s="206">
        <v>826</v>
      </c>
      <c r="D88" s="208">
        <v>30711764921</v>
      </c>
      <c r="E88" s="207" t="str">
        <f>VLOOKUP(D88,Configuracion!$A$4:$C$591,2,FALSE)</f>
        <v>RELIEF CENTER SRL</v>
      </c>
      <c r="F88" s="211">
        <v>34652</v>
      </c>
      <c r="G88" s="50">
        <f t="shared" si="6"/>
        <v>7276.92</v>
      </c>
      <c r="H88" s="50"/>
      <c r="I88" s="50"/>
      <c r="J88" s="50"/>
      <c r="K88" s="227"/>
      <c r="L88" s="50"/>
      <c r="M88" s="233"/>
      <c r="N88" s="50"/>
      <c r="O88" s="209">
        <f t="shared" si="5"/>
        <v>41928.92</v>
      </c>
      <c r="P88" s="214" t="str">
        <f>VLOOKUP(D88,Configuracion!$A$4:$C$591,3,FALSE)</f>
        <v>PROVEEDOR</v>
      </c>
    </row>
    <row r="89" spans="1:16" ht="15" customHeight="1">
      <c r="A89" s="293">
        <v>45000</v>
      </c>
      <c r="B89" s="21">
        <v>17</v>
      </c>
      <c r="C89" s="206">
        <v>833</v>
      </c>
      <c r="D89" s="208">
        <v>30711764921</v>
      </c>
      <c r="E89" s="207" t="str">
        <f>VLOOKUP(D89,Configuracion!$A$4:$C$591,2,FALSE)</f>
        <v>RELIEF CENTER SRL</v>
      </c>
      <c r="F89" s="211">
        <v>35335</v>
      </c>
      <c r="G89" s="50">
        <f t="shared" si="6"/>
        <v>7420.3499999999995</v>
      </c>
      <c r="H89" s="50"/>
      <c r="I89" s="50"/>
      <c r="J89" s="50"/>
      <c r="K89" s="227"/>
      <c r="L89" s="50"/>
      <c r="M89" s="233"/>
      <c r="N89" s="50"/>
      <c r="O89" s="209">
        <f t="shared" si="5"/>
        <v>42755.35</v>
      </c>
      <c r="P89" s="214" t="str">
        <f>VLOOKUP(D89,Configuracion!$A$4:$C$591,3,FALSE)</f>
        <v>PROVEEDOR</v>
      </c>
    </row>
    <row r="90" spans="1:16" ht="15" customHeight="1">
      <c r="A90" s="293">
        <v>45007</v>
      </c>
      <c r="B90" s="21">
        <v>17</v>
      </c>
      <c r="C90" s="206">
        <v>842</v>
      </c>
      <c r="D90" s="208">
        <v>30711764921</v>
      </c>
      <c r="E90" s="207" t="str">
        <f>VLOOKUP(D90,Configuracion!$A$4:$C$591,2,FALSE)</f>
        <v>RELIEF CENTER SRL</v>
      </c>
      <c r="F90" s="211">
        <v>21194</v>
      </c>
      <c r="G90" s="50">
        <f t="shared" si="6"/>
        <v>4450.74</v>
      </c>
      <c r="H90" s="50"/>
      <c r="I90" s="50"/>
      <c r="J90" s="50"/>
      <c r="K90" s="227"/>
      <c r="L90" s="50"/>
      <c r="M90" s="233"/>
      <c r="N90" s="50"/>
      <c r="O90" s="209">
        <f t="shared" si="5"/>
        <v>25644.739999999998</v>
      </c>
      <c r="P90" s="214" t="str">
        <f>VLOOKUP(D90,Configuracion!$A$4:$C$591,3,FALSE)</f>
        <v>PROVEEDOR</v>
      </c>
    </row>
    <row r="91" spans="1:16" ht="15" customHeight="1">
      <c r="A91" s="204" t="s">
        <v>605</v>
      </c>
      <c r="B91" s="21">
        <v>1</v>
      </c>
      <c r="C91" s="206">
        <v>577</v>
      </c>
      <c r="D91" s="208">
        <v>30715048066</v>
      </c>
      <c r="E91" s="207" t="str">
        <f>VLOOKUP(D91,Configuracion!$A$4:$C$591,2,FALSE)</f>
        <v>ROLLS Y EMPANADAS SA</v>
      </c>
      <c r="F91" s="211">
        <v>300340</v>
      </c>
      <c r="G91" s="50">
        <f t="shared" si="6"/>
        <v>63071.399999999994</v>
      </c>
      <c r="H91" s="50"/>
      <c r="I91" s="50"/>
      <c r="J91" s="50"/>
      <c r="K91" s="227"/>
      <c r="L91" s="50"/>
      <c r="M91" s="233"/>
      <c r="N91" s="50"/>
      <c r="O91" s="209">
        <f t="shared" si="5"/>
        <v>363411.4</v>
      </c>
      <c r="P91" s="214" t="str">
        <f>VLOOKUP(D91,Configuracion!$A$4:$C$591,3,FALSE)</f>
        <v>VARIOS</v>
      </c>
    </row>
    <row r="92" spans="1:16" ht="15" customHeight="1">
      <c r="A92" s="204" t="s">
        <v>623</v>
      </c>
      <c r="B92" s="21">
        <v>1</v>
      </c>
      <c r="C92" s="206">
        <v>591</v>
      </c>
      <c r="D92" s="208">
        <v>30715048066</v>
      </c>
      <c r="E92" s="207" t="str">
        <f>VLOOKUP(D92,Configuracion!$A$4:$C$591,2,FALSE)</f>
        <v>ROLLS Y EMPANADAS SA</v>
      </c>
      <c r="F92" s="211">
        <v>313910</v>
      </c>
      <c r="G92" s="50">
        <f t="shared" si="6"/>
        <v>65921.099999999991</v>
      </c>
      <c r="H92" s="50"/>
      <c r="I92" s="50"/>
      <c r="J92" s="50"/>
      <c r="K92" s="227"/>
      <c r="L92" s="50"/>
      <c r="M92" s="233"/>
      <c r="N92" s="50"/>
      <c r="O92" s="209">
        <f t="shared" si="5"/>
        <v>379831.1</v>
      </c>
      <c r="P92" s="214" t="str">
        <f>VLOOKUP(D92,Configuracion!$A$4:$C$591,3,FALSE)</f>
        <v>VARIOS</v>
      </c>
    </row>
    <row r="93" spans="1:16" ht="15" customHeight="1">
      <c r="A93" s="204" t="s">
        <v>606</v>
      </c>
      <c r="B93" s="21">
        <v>8</v>
      </c>
      <c r="C93" s="206">
        <v>133545</v>
      </c>
      <c r="D93" s="208">
        <v>30707927409</v>
      </c>
      <c r="E93" s="207" t="str">
        <f>VLOOKUP(D93,Configuracion!$A$4:$C$591,2,FALSE)</f>
        <v>ROSARIO LOGISTICA SA</v>
      </c>
      <c r="F93" s="211">
        <v>4245</v>
      </c>
      <c r="G93" s="50">
        <f t="shared" si="6"/>
        <v>891.44999999999993</v>
      </c>
      <c r="H93" s="50"/>
      <c r="I93" s="50"/>
      <c r="J93" s="50"/>
      <c r="K93" s="227"/>
      <c r="L93" s="50"/>
      <c r="M93" s="233"/>
      <c r="N93" s="50"/>
      <c r="O93" s="209">
        <f t="shared" si="5"/>
        <v>5136.45</v>
      </c>
      <c r="P93" s="214" t="str">
        <f>VLOOKUP(D93,Configuracion!$A$4:$C$591,3,FALSE)</f>
        <v>FLETE</v>
      </c>
    </row>
    <row r="94" spans="1:16" ht="15" customHeight="1">
      <c r="A94" s="204" t="s">
        <v>612</v>
      </c>
      <c r="B94" s="21">
        <v>6</v>
      </c>
      <c r="C94" s="206">
        <v>72430</v>
      </c>
      <c r="D94" s="208">
        <v>30711553564</v>
      </c>
      <c r="E94" s="207" t="str">
        <f>VLOOKUP(D94,Configuracion!$A$4:$C$591,2,FALSE)</f>
        <v>SALUDTEX SA</v>
      </c>
      <c r="F94" s="211">
        <v>279838</v>
      </c>
      <c r="G94" s="50">
        <f t="shared" si="6"/>
        <v>58765.979999999996</v>
      </c>
      <c r="H94" s="50"/>
      <c r="I94" s="50"/>
      <c r="J94" s="50"/>
      <c r="K94" s="227"/>
      <c r="L94" s="50"/>
      <c r="M94" s="233"/>
      <c r="N94" s="50"/>
      <c r="O94" s="209">
        <f t="shared" si="5"/>
        <v>338603.98</v>
      </c>
      <c r="P94" s="214" t="str">
        <f>VLOOKUP(D94,Configuracion!$A$4:$C$591,3,FALSE)</f>
        <v>PROVEEDOR</v>
      </c>
    </row>
    <row r="95" spans="1:16" ht="15" customHeight="1">
      <c r="A95" s="204" t="s">
        <v>620</v>
      </c>
      <c r="B95" s="21">
        <v>6</v>
      </c>
      <c r="C95" s="206">
        <v>72802</v>
      </c>
      <c r="D95" s="208">
        <v>30711553564</v>
      </c>
      <c r="E95" s="207" t="str">
        <f>VLOOKUP(D95,Configuracion!$A$4:$C$591,2,FALSE)</f>
        <v>SALUDTEX SA</v>
      </c>
      <c r="F95" s="211">
        <v>60918</v>
      </c>
      <c r="G95" s="50">
        <f t="shared" si="6"/>
        <v>12792.779999999999</v>
      </c>
      <c r="H95" s="50"/>
      <c r="I95" s="50"/>
      <c r="J95" s="50"/>
      <c r="K95" s="227"/>
      <c r="L95" s="50"/>
      <c r="M95" s="233"/>
      <c r="N95" s="50"/>
      <c r="O95" s="209">
        <f t="shared" si="5"/>
        <v>73710.78</v>
      </c>
      <c r="P95" s="214" t="str">
        <f>VLOOKUP(D95,Configuracion!$A$4:$C$591,3,FALSE)</f>
        <v>PROVEEDOR</v>
      </c>
    </row>
    <row r="96" spans="1:16" ht="15" customHeight="1">
      <c r="A96" s="293">
        <v>45006</v>
      </c>
      <c r="B96" s="21">
        <v>4</v>
      </c>
      <c r="C96" s="206">
        <v>6878</v>
      </c>
      <c r="D96" s="208">
        <v>20229905199</v>
      </c>
      <c r="E96" s="207" t="str">
        <f>VLOOKUP(D96,Configuracion!$A$4:$C$591,2,FALSE)</f>
        <v>SURDO HERNAN OMAR</v>
      </c>
      <c r="F96" s="211">
        <v>917.4</v>
      </c>
      <c r="G96" s="50">
        <f t="shared" si="6"/>
        <v>192.654</v>
      </c>
      <c r="H96" s="50"/>
      <c r="I96" s="50"/>
      <c r="J96" s="50"/>
      <c r="K96" s="227"/>
      <c r="L96" s="50"/>
      <c r="M96" s="233"/>
      <c r="N96" s="50"/>
      <c r="O96" s="209">
        <f t="shared" si="5"/>
        <v>1110.0540000000001</v>
      </c>
      <c r="P96" s="214" t="str">
        <f>VLOOKUP(D96,Configuracion!$A$4:$C$591,3,FALSE)</f>
        <v>VARIOS</v>
      </c>
    </row>
    <row r="97" spans="1:16" ht="15" customHeight="1">
      <c r="A97" s="204" t="s">
        <v>621</v>
      </c>
      <c r="B97" s="21">
        <v>6</v>
      </c>
      <c r="C97" s="206">
        <v>48008</v>
      </c>
      <c r="D97" s="208">
        <v>30710177658</v>
      </c>
      <c r="E97" s="207" t="str">
        <f>VLOOKUP(D97,Configuracion!$A$4:$C$591,2,FALSE)</f>
        <v>TARGET MEDICAL SA</v>
      </c>
      <c r="F97" s="211">
        <v>254528</v>
      </c>
      <c r="G97" s="50">
        <f t="shared" si="6"/>
        <v>53450.879999999997</v>
      </c>
      <c r="H97" s="50"/>
      <c r="I97" s="50"/>
      <c r="J97" s="50"/>
      <c r="K97" s="227"/>
      <c r="L97" s="50"/>
      <c r="M97" s="233"/>
      <c r="N97" s="50"/>
      <c r="O97" s="209">
        <f t="shared" si="5"/>
        <v>307978.88</v>
      </c>
      <c r="P97" s="214" t="str">
        <f>VLOOKUP(D97,Configuracion!$A$4:$C$591,3,FALSE)</f>
        <v>PROVEEDOR</v>
      </c>
    </row>
    <row r="98" spans="1:16" ht="15" customHeight="1">
      <c r="A98" s="204" t="s">
        <v>609</v>
      </c>
      <c r="B98" s="21">
        <v>948</v>
      </c>
      <c r="C98" s="206">
        <v>942368</v>
      </c>
      <c r="D98" s="208">
        <v>30639453975</v>
      </c>
      <c r="E98" s="207" t="str">
        <f>VLOOKUP(D98,Configuracion!$A$4:$C$591,2,FALSE)</f>
        <v>TELEFONICA ARG SA</v>
      </c>
      <c r="F98" s="211">
        <v>9354.2199999999993</v>
      </c>
      <c r="G98" s="50"/>
      <c r="H98" s="50">
        <v>2525.64</v>
      </c>
      <c r="I98" s="50"/>
      <c r="J98" s="50">
        <v>280.63</v>
      </c>
      <c r="K98" s="227">
        <v>327.39999999999998</v>
      </c>
      <c r="L98" s="50"/>
      <c r="M98" s="233"/>
      <c r="N98" s="50"/>
      <c r="O98" s="209">
        <f t="shared" si="5"/>
        <v>12487.889999999998</v>
      </c>
      <c r="P98" s="214" t="str">
        <f>VLOOKUP(D98,Configuracion!$A$4:$C$591,3,FALSE)</f>
        <v>SERVICIO</v>
      </c>
    </row>
    <row r="99" spans="1:16" ht="15" customHeight="1">
      <c r="A99" s="293">
        <v>44965</v>
      </c>
      <c r="B99" s="21">
        <v>31</v>
      </c>
      <c r="C99" s="206">
        <v>12098</v>
      </c>
      <c r="D99" s="208">
        <v>30708375582</v>
      </c>
      <c r="E99" s="207" t="str">
        <f>VLOOKUP(D99,Configuracion!$A$4:$C$591,2,FALSE)</f>
        <v>TRANSPORTES E.G. SRL</v>
      </c>
      <c r="F99" s="211">
        <v>6702.48</v>
      </c>
      <c r="G99" s="50">
        <f>F99*21%</f>
        <v>1407.5207999999998</v>
      </c>
      <c r="H99" s="50"/>
      <c r="I99" s="50"/>
      <c r="J99" s="50"/>
      <c r="K99" s="227"/>
      <c r="L99" s="50"/>
      <c r="M99" s="233"/>
      <c r="N99" s="50"/>
      <c r="O99" s="209">
        <f t="shared" si="5"/>
        <v>8110.0007999999998</v>
      </c>
      <c r="P99" s="214" t="str">
        <f>VLOOKUP(D99,Configuracion!$A$4:$C$591,3,FALSE)</f>
        <v>FLETE</v>
      </c>
    </row>
    <row r="100" spans="1:16" ht="15" customHeight="1">
      <c r="A100" s="204" t="s">
        <v>606</v>
      </c>
      <c r="B100" s="21">
        <v>4</v>
      </c>
      <c r="C100" s="206">
        <v>24600</v>
      </c>
      <c r="D100" s="208">
        <v>30646150406</v>
      </c>
      <c r="E100" s="207" t="str">
        <f>VLOOKUP(D100,Configuracion!$A$4:$C$591,2,FALSE)</f>
        <v>TRUST SRL</v>
      </c>
      <c r="F100" s="211">
        <v>7449</v>
      </c>
      <c r="G100" s="50">
        <f>F100*21%</f>
        <v>1564.29</v>
      </c>
      <c r="H100" s="50"/>
      <c r="I100" s="50"/>
      <c r="J100" s="50"/>
      <c r="K100" s="227"/>
      <c r="L100" s="50"/>
      <c r="M100" s="233"/>
      <c r="N100" s="50"/>
      <c r="O100" s="209">
        <f t="shared" si="5"/>
        <v>9013.2900000000009</v>
      </c>
      <c r="P100" s="214" t="str">
        <f>VLOOKUP(D100,Configuracion!$A$4:$C$591,3,FALSE)</f>
        <v>PROVEEDOR</v>
      </c>
    </row>
    <row r="101" spans="1:16" ht="15" customHeight="1">
      <c r="A101" s="293">
        <v>45005</v>
      </c>
      <c r="B101" s="21">
        <v>6442</v>
      </c>
      <c r="C101" s="206">
        <v>2066</v>
      </c>
      <c r="D101" s="208">
        <v>30643922157</v>
      </c>
      <c r="E101" s="207" t="str">
        <f>VLOOKUP(D101,Configuracion!$A$4:$C$591,2,FALSE)</f>
        <v>VIA BARILOCHE SA</v>
      </c>
      <c r="F101" s="211">
        <v>1685.95</v>
      </c>
      <c r="G101" s="50">
        <f>F101*21%</f>
        <v>354.04950000000002</v>
      </c>
      <c r="H101" s="50"/>
      <c r="I101" s="50"/>
      <c r="J101" s="50"/>
      <c r="K101" s="227"/>
      <c r="L101" s="50"/>
      <c r="M101" s="233"/>
      <c r="N101" s="50"/>
      <c r="O101" s="209">
        <f t="shared" si="5"/>
        <v>2039.9995000000001</v>
      </c>
      <c r="P101" s="214" t="str">
        <f>VLOOKUP(D101,Configuracion!$A$4:$C$591,3,FALSE)</f>
        <v>FLETE</v>
      </c>
    </row>
    <row r="102" spans="1:16" ht="15" customHeight="1">
      <c r="A102" s="204" t="s">
        <v>614</v>
      </c>
      <c r="B102" s="21">
        <v>4</v>
      </c>
      <c r="C102" s="206">
        <v>35</v>
      </c>
      <c r="D102" s="208">
        <v>20317488476</v>
      </c>
      <c r="E102" s="207" t="str">
        <f>VLOOKUP(D102,Configuracion!$A$4:$C$591,2,FALSE)</f>
        <v>VILLALBA MIGUEL ANGEL</v>
      </c>
      <c r="F102" s="211">
        <v>61600</v>
      </c>
      <c r="G102" s="50">
        <f>F102*21%</f>
        <v>12936</v>
      </c>
      <c r="H102" s="50"/>
      <c r="I102" s="50"/>
      <c r="J102" s="50"/>
      <c r="K102" s="227"/>
      <c r="L102" s="50"/>
      <c r="M102" s="233"/>
      <c r="N102" s="50"/>
      <c r="O102" s="209">
        <f t="shared" si="5"/>
        <v>74536</v>
      </c>
      <c r="P102" s="214" t="str">
        <f>VLOOKUP(D102,Configuracion!$A$4:$C$591,3,FALSE)</f>
        <v>PROVEEDOR</v>
      </c>
    </row>
    <row r="103" spans="1:16" ht="15" customHeight="1">
      <c r="A103" s="204" t="s">
        <v>621</v>
      </c>
      <c r="B103" s="21">
        <v>4</v>
      </c>
      <c r="C103" s="206">
        <v>36</v>
      </c>
      <c r="D103" s="208">
        <v>20317488476</v>
      </c>
      <c r="E103" s="207" t="str">
        <f>VLOOKUP(D103,Configuracion!$A$4:$C$591,2,FALSE)</f>
        <v>VILLALBA MIGUEL ANGEL</v>
      </c>
      <c r="F103" s="211">
        <v>89300</v>
      </c>
      <c r="G103" s="50">
        <f>F103*21%</f>
        <v>18753</v>
      </c>
      <c r="H103" s="50"/>
      <c r="I103" s="50"/>
      <c r="J103" s="50"/>
      <c r="K103" s="227"/>
      <c r="L103" s="50"/>
      <c r="M103" s="233"/>
      <c r="N103" s="50"/>
      <c r="O103" s="209">
        <f t="shared" si="5"/>
        <v>108053</v>
      </c>
      <c r="P103" s="214" t="str">
        <f>VLOOKUP(D103,Configuracion!$A$4:$C$591,3,FALSE)</f>
        <v>PROVEEDOR</v>
      </c>
    </row>
    <row r="104" spans="1:16" ht="15" customHeight="1">
      <c r="A104" s="204"/>
      <c r="B104" s="21"/>
      <c r="C104" s="206"/>
      <c r="D104" s="208"/>
      <c r="E104" s="207" t="e">
        <f>VLOOKUP(D104,Configuracion!$A$4:$C$591,2,FALSE)</f>
        <v>#N/A</v>
      </c>
      <c r="F104" s="211"/>
      <c r="G104" s="50">
        <f t="shared" ref="G104:G106" si="7">F104*21%</f>
        <v>0</v>
      </c>
      <c r="H104" s="50"/>
      <c r="I104" s="50"/>
      <c r="J104" s="50"/>
      <c r="K104" s="227"/>
      <c r="L104" s="50"/>
      <c r="M104" s="233"/>
      <c r="N104" s="50"/>
      <c r="O104" s="209">
        <f t="shared" ref="O104:O106" si="8">SUM(F104:N104)</f>
        <v>0</v>
      </c>
      <c r="P104" s="214" t="e">
        <f>VLOOKUP(D104,Configuracion!$A$4:$C$591,3,FALSE)</f>
        <v>#N/A</v>
      </c>
    </row>
    <row r="105" spans="1:16" ht="15" customHeight="1">
      <c r="A105" s="204"/>
      <c r="B105" s="21"/>
      <c r="C105" s="206"/>
      <c r="D105" s="208"/>
      <c r="E105" s="207" t="e">
        <f>VLOOKUP(D105,Configuracion!$A$4:$C$591,2,FALSE)</f>
        <v>#N/A</v>
      </c>
      <c r="F105" s="211"/>
      <c r="G105" s="50">
        <f t="shared" si="7"/>
        <v>0</v>
      </c>
      <c r="H105" s="50"/>
      <c r="I105" s="50"/>
      <c r="J105" s="50"/>
      <c r="K105" s="227"/>
      <c r="L105" s="50"/>
      <c r="M105" s="233"/>
      <c r="N105" s="50"/>
      <c r="O105" s="209">
        <f t="shared" si="8"/>
        <v>0</v>
      </c>
      <c r="P105" s="214" t="e">
        <f>VLOOKUP(D105,Configuracion!$A$4:$C$591,3,FALSE)</f>
        <v>#N/A</v>
      </c>
    </row>
    <row r="106" spans="1:16" ht="15" customHeight="1">
      <c r="A106" s="204"/>
      <c r="B106" s="21"/>
      <c r="C106" s="206"/>
      <c r="D106" s="208"/>
      <c r="E106" s="207" t="e">
        <f>VLOOKUP(D106,Configuracion!$A$4:$C$591,2,FALSE)</f>
        <v>#N/A</v>
      </c>
      <c r="F106" s="211"/>
      <c r="G106" s="50">
        <f t="shared" si="7"/>
        <v>0</v>
      </c>
      <c r="H106" s="50"/>
      <c r="I106" s="50"/>
      <c r="J106" s="50"/>
      <c r="K106" s="227"/>
      <c r="L106" s="50"/>
      <c r="M106" s="233"/>
      <c r="N106" s="50"/>
      <c r="O106" s="209">
        <f t="shared" si="8"/>
        <v>0</v>
      </c>
      <c r="P106" s="214" t="e">
        <f>VLOOKUP(D106,Configuracion!$A$4:$C$591,3,FALSE)</f>
        <v>#N/A</v>
      </c>
    </row>
    <row r="107" spans="1:16" ht="15" customHeight="1">
      <c r="A107" s="204"/>
      <c r="B107" s="21"/>
      <c r="C107" s="206"/>
      <c r="D107" s="208"/>
      <c r="E107" s="207" t="e">
        <f>VLOOKUP(D107,Configuracion!$A$4:$C$591,2,FALSE)</f>
        <v>#N/A</v>
      </c>
      <c r="F107" s="211"/>
      <c r="G107" s="50">
        <f t="shared" ref="G107:G111" si="9">F107*21%</f>
        <v>0</v>
      </c>
      <c r="H107" s="50"/>
      <c r="I107" s="50"/>
      <c r="J107" s="50"/>
      <c r="K107" s="227"/>
      <c r="L107" s="50"/>
      <c r="M107" s="233"/>
      <c r="N107" s="50"/>
      <c r="O107" s="209">
        <f t="shared" ref="O107:O111" si="10">SUM(F107:N107)</f>
        <v>0</v>
      </c>
      <c r="P107" s="214" t="e">
        <f>VLOOKUP(D107,Configuracion!$A$4:$C$591,3,FALSE)</f>
        <v>#N/A</v>
      </c>
    </row>
    <row r="108" spans="1:16" ht="15" customHeight="1">
      <c r="A108" s="204"/>
      <c r="B108" s="21"/>
      <c r="C108" s="206"/>
      <c r="D108" s="208"/>
      <c r="E108" s="207" t="e">
        <f>VLOOKUP(D108,Configuracion!$A$4:$C$591,2,FALSE)</f>
        <v>#N/A</v>
      </c>
      <c r="F108" s="211"/>
      <c r="G108" s="50">
        <f t="shared" si="9"/>
        <v>0</v>
      </c>
      <c r="H108" s="50"/>
      <c r="I108" s="50"/>
      <c r="J108" s="50"/>
      <c r="K108" s="227"/>
      <c r="L108" s="50"/>
      <c r="M108" s="233"/>
      <c r="N108" s="50"/>
      <c r="O108" s="209">
        <f t="shared" si="10"/>
        <v>0</v>
      </c>
      <c r="P108" s="214" t="e">
        <f>VLOOKUP(D108,Configuracion!$A$4:$C$591,3,FALSE)</f>
        <v>#N/A</v>
      </c>
    </row>
    <row r="109" spans="1:16" ht="15" customHeight="1">
      <c r="A109" s="204"/>
      <c r="B109" s="21"/>
      <c r="C109" s="206"/>
      <c r="D109" s="208"/>
      <c r="E109" s="207" t="e">
        <f>VLOOKUP(D109,Configuracion!$A$4:$C$591,2,FALSE)</f>
        <v>#N/A</v>
      </c>
      <c r="F109" s="211"/>
      <c r="G109" s="50">
        <f t="shared" si="9"/>
        <v>0</v>
      </c>
      <c r="H109" s="50"/>
      <c r="I109" s="50"/>
      <c r="J109" s="50"/>
      <c r="K109" s="227"/>
      <c r="L109" s="50"/>
      <c r="M109" s="233"/>
      <c r="N109" s="50"/>
      <c r="O109" s="209">
        <f t="shared" si="10"/>
        <v>0</v>
      </c>
      <c r="P109" s="214" t="e">
        <f>VLOOKUP(D109,Configuracion!$A$4:$C$591,3,FALSE)</f>
        <v>#N/A</v>
      </c>
    </row>
    <row r="110" spans="1:16" ht="15" customHeight="1">
      <c r="A110" s="204"/>
      <c r="B110" s="21"/>
      <c r="C110" s="206"/>
      <c r="D110" s="208"/>
      <c r="E110" s="207" t="e">
        <f>VLOOKUP(D110,Configuracion!$A$4:$C$591,2,FALSE)</f>
        <v>#N/A</v>
      </c>
      <c r="F110" s="211"/>
      <c r="G110" s="50">
        <f t="shared" si="9"/>
        <v>0</v>
      </c>
      <c r="H110" s="50"/>
      <c r="I110" s="50"/>
      <c r="J110" s="50"/>
      <c r="K110" s="227"/>
      <c r="L110" s="50"/>
      <c r="M110" s="233"/>
      <c r="N110" s="50"/>
      <c r="O110" s="209">
        <f t="shared" si="10"/>
        <v>0</v>
      </c>
      <c r="P110" s="214" t="e">
        <f>VLOOKUP(D110,Configuracion!$A$4:$C$591,3,FALSE)</f>
        <v>#N/A</v>
      </c>
    </row>
    <row r="111" spans="1:16" ht="15" customHeight="1">
      <c r="A111" s="204"/>
      <c r="B111" s="21"/>
      <c r="C111" s="206"/>
      <c r="D111" s="208"/>
      <c r="E111" s="207" t="e">
        <f>VLOOKUP(D111,Configuracion!$A$4:$C$591,2,FALSE)</f>
        <v>#N/A</v>
      </c>
      <c r="F111" s="211"/>
      <c r="G111" s="50">
        <f t="shared" si="9"/>
        <v>0</v>
      </c>
      <c r="H111" s="50"/>
      <c r="I111" s="50"/>
      <c r="J111" s="50"/>
      <c r="K111" s="227"/>
      <c r="L111" s="50"/>
      <c r="M111" s="233"/>
      <c r="N111" s="50"/>
      <c r="O111" s="209">
        <f t="shared" si="10"/>
        <v>0</v>
      </c>
      <c r="P111" s="214" t="e">
        <f>VLOOKUP(D111,Configuracion!$A$4:$C$591,3,FALSE)</f>
        <v>#N/A</v>
      </c>
    </row>
    <row r="112" spans="1:16" ht="15" customHeight="1">
      <c r="A112" s="204"/>
      <c r="B112" s="21"/>
      <c r="C112" s="206"/>
      <c r="D112" s="208"/>
      <c r="E112" s="207" t="e">
        <f>VLOOKUP(D112,Configuracion!$A$4:$C$591,2,FALSE)</f>
        <v>#N/A</v>
      </c>
      <c r="F112" s="211"/>
      <c r="G112" s="50">
        <f t="shared" ref="G112:G119" si="11">F112*21%</f>
        <v>0</v>
      </c>
      <c r="H112" s="50"/>
      <c r="I112" s="50"/>
      <c r="J112" s="50"/>
      <c r="K112" s="227"/>
      <c r="L112" s="50"/>
      <c r="M112" s="233"/>
      <c r="N112" s="50"/>
      <c r="O112" s="209">
        <f t="shared" ref="O112:O119" si="12">SUM(F112:N112)</f>
        <v>0</v>
      </c>
      <c r="P112" s="214" t="e">
        <f>VLOOKUP(D112,Configuracion!$A$4:$C$591,3,FALSE)</f>
        <v>#N/A</v>
      </c>
    </row>
    <row r="113" spans="1:16" ht="15" customHeight="1">
      <c r="A113" s="204"/>
      <c r="B113" s="21"/>
      <c r="C113" s="206"/>
      <c r="D113" s="208"/>
      <c r="E113" s="207" t="e">
        <f>VLOOKUP(D113,Configuracion!$A$4:$C$591,2,FALSE)</f>
        <v>#N/A</v>
      </c>
      <c r="F113" s="211"/>
      <c r="G113" s="50">
        <f t="shared" si="11"/>
        <v>0</v>
      </c>
      <c r="H113" s="50"/>
      <c r="I113" s="50"/>
      <c r="J113" s="50"/>
      <c r="K113" s="227"/>
      <c r="L113" s="50"/>
      <c r="M113" s="233"/>
      <c r="N113" s="50"/>
      <c r="O113" s="209">
        <f t="shared" si="12"/>
        <v>0</v>
      </c>
      <c r="P113" s="214" t="e">
        <f>VLOOKUP(D113,Configuracion!$A$4:$C$591,3,FALSE)</f>
        <v>#N/A</v>
      </c>
    </row>
    <row r="114" spans="1:16" ht="15" customHeight="1">
      <c r="A114" s="204"/>
      <c r="B114" s="21"/>
      <c r="C114" s="206"/>
      <c r="D114" s="208"/>
      <c r="E114" s="207" t="e">
        <f>VLOOKUP(D114,Configuracion!$A$4:$C$591,2,FALSE)</f>
        <v>#N/A</v>
      </c>
      <c r="F114" s="211"/>
      <c r="G114" s="50">
        <f t="shared" si="11"/>
        <v>0</v>
      </c>
      <c r="H114" s="50"/>
      <c r="I114" s="50"/>
      <c r="J114" s="50"/>
      <c r="K114" s="227"/>
      <c r="L114" s="50"/>
      <c r="M114" s="233"/>
      <c r="N114" s="50"/>
      <c r="O114" s="209">
        <f t="shared" si="12"/>
        <v>0</v>
      </c>
      <c r="P114" s="214" t="e">
        <f>VLOOKUP(D114,Configuracion!$A$4:$C$591,3,FALSE)</f>
        <v>#N/A</v>
      </c>
    </row>
    <row r="115" spans="1:16" ht="15" customHeight="1">
      <c r="A115" s="204"/>
      <c r="B115" s="21"/>
      <c r="C115" s="206"/>
      <c r="D115" s="208"/>
      <c r="E115" s="207" t="e">
        <f>VLOOKUP(D115,Configuracion!$A$4:$C$591,2,FALSE)</f>
        <v>#N/A</v>
      </c>
      <c r="F115" s="211"/>
      <c r="G115" s="50">
        <f t="shared" si="11"/>
        <v>0</v>
      </c>
      <c r="H115" s="50"/>
      <c r="I115" s="50"/>
      <c r="J115" s="50"/>
      <c r="K115" s="227"/>
      <c r="L115" s="50"/>
      <c r="M115" s="233"/>
      <c r="N115" s="50"/>
      <c r="O115" s="209">
        <f t="shared" si="12"/>
        <v>0</v>
      </c>
      <c r="P115" s="214" t="e">
        <f>VLOOKUP(D115,Configuracion!$A$4:$C$591,3,FALSE)</f>
        <v>#N/A</v>
      </c>
    </row>
    <row r="116" spans="1:16" ht="15" customHeight="1">
      <c r="A116" s="204"/>
      <c r="B116" s="21"/>
      <c r="C116" s="206"/>
      <c r="D116" s="208"/>
      <c r="E116" s="207" t="e">
        <f>VLOOKUP(D116,Configuracion!$A$4:$C$591,2,FALSE)</f>
        <v>#N/A</v>
      </c>
      <c r="F116" s="211"/>
      <c r="G116" s="50">
        <f t="shared" si="11"/>
        <v>0</v>
      </c>
      <c r="H116" s="50"/>
      <c r="I116" s="50"/>
      <c r="J116" s="50"/>
      <c r="K116" s="227"/>
      <c r="L116" s="50"/>
      <c r="M116" s="233"/>
      <c r="N116" s="50"/>
      <c r="O116" s="209">
        <f t="shared" si="12"/>
        <v>0</v>
      </c>
      <c r="P116" s="214" t="e">
        <f>VLOOKUP(D116,Configuracion!$A$4:$C$591,3,FALSE)</f>
        <v>#N/A</v>
      </c>
    </row>
    <row r="117" spans="1:16" ht="15" customHeight="1">
      <c r="A117" s="204"/>
      <c r="B117" s="21"/>
      <c r="C117" s="206"/>
      <c r="D117" s="208"/>
      <c r="E117" s="207" t="e">
        <f>VLOOKUP(D117,Configuracion!$A$4:$C$591,2,FALSE)</f>
        <v>#N/A</v>
      </c>
      <c r="F117" s="211"/>
      <c r="G117" s="50">
        <f t="shared" si="11"/>
        <v>0</v>
      </c>
      <c r="H117" s="50"/>
      <c r="I117" s="50"/>
      <c r="J117" s="50"/>
      <c r="K117" s="227"/>
      <c r="L117" s="50"/>
      <c r="M117" s="233"/>
      <c r="N117" s="50"/>
      <c r="O117" s="209">
        <f t="shared" si="12"/>
        <v>0</v>
      </c>
      <c r="P117" s="214" t="e">
        <f>VLOOKUP(D117,Configuracion!$A$4:$C$591,3,FALSE)</f>
        <v>#N/A</v>
      </c>
    </row>
    <row r="118" spans="1:16" ht="15" customHeight="1">
      <c r="A118" s="204"/>
      <c r="B118" s="21"/>
      <c r="C118" s="206"/>
      <c r="D118" s="208"/>
      <c r="E118" s="207" t="e">
        <f>VLOOKUP(D118,Configuracion!$A$4:$C$591,2,FALSE)</f>
        <v>#N/A</v>
      </c>
      <c r="F118" s="211"/>
      <c r="G118" s="50">
        <f t="shared" si="11"/>
        <v>0</v>
      </c>
      <c r="H118" s="50"/>
      <c r="I118" s="50"/>
      <c r="J118" s="50"/>
      <c r="K118" s="227"/>
      <c r="L118" s="50"/>
      <c r="M118" s="233"/>
      <c r="N118" s="50"/>
      <c r="O118" s="209">
        <f t="shared" si="12"/>
        <v>0</v>
      </c>
      <c r="P118" s="214" t="e">
        <f>VLOOKUP(D118,Configuracion!$A$4:$C$591,3,FALSE)</f>
        <v>#N/A</v>
      </c>
    </row>
    <row r="119" spans="1:16" ht="15" customHeight="1" thickBot="1">
      <c r="A119" s="204"/>
      <c r="B119" s="21"/>
      <c r="C119" s="206"/>
      <c r="D119" s="208"/>
      <c r="E119" s="207" t="e">
        <f>VLOOKUP(D119,Configuracion!$A$4:$C$591,2,FALSE)</f>
        <v>#N/A</v>
      </c>
      <c r="F119" s="211"/>
      <c r="G119" s="50">
        <f t="shared" si="11"/>
        <v>0</v>
      </c>
      <c r="H119" s="50"/>
      <c r="I119" s="50"/>
      <c r="J119" s="50"/>
      <c r="K119" s="227"/>
      <c r="L119" s="50"/>
      <c r="M119" s="233"/>
      <c r="N119" s="50"/>
      <c r="O119" s="209">
        <f t="shared" si="12"/>
        <v>0</v>
      </c>
      <c r="P119" s="214" t="e">
        <f>VLOOKUP(D119,Configuracion!$A$4:$C$591,3,FALSE)</f>
        <v>#N/A</v>
      </c>
    </row>
    <row r="120" spans="1:16" ht="15.75" customHeight="1" thickBot="1">
      <c r="A120" s="263" t="s">
        <v>4</v>
      </c>
      <c r="B120" s="264"/>
      <c r="C120" s="264"/>
      <c r="D120" s="264"/>
      <c r="E120" s="285"/>
      <c r="F120" s="34">
        <f>SUM(F8:F119)</f>
        <v>11859356.409999998</v>
      </c>
      <c r="G120" s="34">
        <f>SUM(G8:G119)</f>
        <v>2403368.3688000017</v>
      </c>
      <c r="H120" s="34">
        <f>SUM(H8:H119)</f>
        <v>3414.1899999999996</v>
      </c>
      <c r="I120" s="34">
        <f>SUM(I8:I119)</f>
        <v>42220.485999999997</v>
      </c>
      <c r="J120" s="34">
        <f t="shared" ref="J120:O120" si="13">SUM(J8:J119)</f>
        <v>280.63</v>
      </c>
      <c r="K120" s="34">
        <f t="shared" si="13"/>
        <v>182322.97999999998</v>
      </c>
      <c r="L120" s="34">
        <f t="shared" si="13"/>
        <v>0</v>
      </c>
      <c r="M120" s="34">
        <f t="shared" si="13"/>
        <v>1391.2199999999998</v>
      </c>
      <c r="N120" s="34">
        <f t="shared" si="13"/>
        <v>155.28</v>
      </c>
      <c r="O120" s="34">
        <f t="shared" si="13"/>
        <v>14492509.564800007</v>
      </c>
    </row>
    <row r="121" spans="1:16" ht="15.75" customHeight="1" thickBot="1">
      <c r="F121" s="25" t="s">
        <v>3</v>
      </c>
      <c r="G121" s="286">
        <f>G120+H120+I120</f>
        <v>2449003.0448000017</v>
      </c>
      <c r="H121" s="287"/>
      <c r="I121" s="288"/>
    </row>
    <row r="122" spans="1:16" ht="15.75" thickBot="1">
      <c r="K122" t="s">
        <v>104</v>
      </c>
    </row>
    <row r="123" spans="1:16" ht="16.5" thickBot="1">
      <c r="A123" s="273" t="s">
        <v>29</v>
      </c>
      <c r="B123" s="274"/>
      <c r="C123" s="275"/>
      <c r="F123" s="4"/>
      <c r="G123" s="5"/>
      <c r="H123" s="5"/>
      <c r="I123" s="5"/>
    </row>
    <row r="124" spans="1:16" ht="15.75" thickBot="1">
      <c r="A124" s="61" t="s">
        <v>1</v>
      </c>
      <c r="B124" s="26" t="s">
        <v>17</v>
      </c>
      <c r="C124" s="26" t="s">
        <v>16</v>
      </c>
      <c r="D124" s="40" t="s">
        <v>7</v>
      </c>
      <c r="E124" s="26" t="s">
        <v>19</v>
      </c>
      <c r="F124" s="26" t="s">
        <v>4</v>
      </c>
      <c r="G124" s="30" t="s">
        <v>2</v>
      </c>
      <c r="H124" s="5"/>
      <c r="I124" s="5"/>
      <c r="J124" s="234"/>
      <c r="K124" s="234"/>
    </row>
    <row r="125" spans="1:16">
      <c r="A125" s="294">
        <v>44987</v>
      </c>
      <c r="B125" s="20">
        <v>2</v>
      </c>
      <c r="C125" s="210">
        <v>484</v>
      </c>
      <c r="D125" s="202">
        <v>23936845509</v>
      </c>
      <c r="E125" s="202" t="str">
        <f>VLOOKUP(D125,Configuracion!$A$4:$C$591,2,FALSE)</f>
        <v>ALVAREZ CONTRERAS REYNALDO</v>
      </c>
      <c r="F125" s="22">
        <v>2200</v>
      </c>
      <c r="G125" s="214" t="str">
        <f>VLOOKUP(D125,Configuracion!$A$4:$C$591,3,FALSE)</f>
        <v>VARIOS</v>
      </c>
      <c r="H125" s="242"/>
      <c r="J125" s="148"/>
      <c r="K125" s="234"/>
    </row>
    <row r="126" spans="1:16">
      <c r="A126" s="215">
        <v>45019</v>
      </c>
      <c r="B126" s="20">
        <v>2</v>
      </c>
      <c r="C126" s="210">
        <v>177</v>
      </c>
      <c r="D126" s="202">
        <v>27265832178</v>
      </c>
      <c r="E126" s="202" t="str">
        <f>VLOOKUP(D126,Configuracion!$A$4:$C$591,2,FALSE)</f>
        <v>BLASCO MARIA GUADALUPE</v>
      </c>
      <c r="F126" s="22">
        <v>60000</v>
      </c>
      <c r="G126" s="214" t="str">
        <f>VLOOKUP(D126,Configuracion!$A$4:$C$591,3,FALSE)</f>
        <v>PROVEEDOR</v>
      </c>
      <c r="H126" s="242"/>
      <c r="J126" s="148"/>
      <c r="K126" s="234"/>
    </row>
    <row r="127" spans="1:16">
      <c r="A127" s="215">
        <v>45019</v>
      </c>
      <c r="B127" s="20">
        <v>3</v>
      </c>
      <c r="C127" s="210">
        <v>710</v>
      </c>
      <c r="D127" s="202">
        <v>20086277523</v>
      </c>
      <c r="E127" s="202" t="str">
        <f>VLOOKUP(D127,Configuracion!$A$4:$C$591,2,FALSE)</f>
        <v>BOTINDARI JUAN CARLOS</v>
      </c>
      <c r="F127" s="22">
        <v>98500</v>
      </c>
      <c r="G127" s="214" t="str">
        <f>VLOOKUP(D127,Configuracion!$A$4:$C$591,3,FALSE)</f>
        <v>HONORARIOS</v>
      </c>
      <c r="H127" s="242"/>
      <c r="J127" s="148"/>
      <c r="K127" s="234"/>
    </row>
    <row r="128" spans="1:16">
      <c r="A128" s="215">
        <v>45027</v>
      </c>
      <c r="B128" s="20">
        <v>1</v>
      </c>
      <c r="C128" s="210">
        <v>197</v>
      </c>
      <c r="D128" s="202">
        <v>23255855204</v>
      </c>
      <c r="E128" s="202" t="str">
        <f>VLOOKUP(D128,Configuracion!$A$4:$C$591,2,FALSE)</f>
        <v>CABELLO LETICIA JESICA</v>
      </c>
      <c r="F128" s="22">
        <v>9000</v>
      </c>
      <c r="G128" s="214" t="str">
        <f>VLOOKUP(D128,Configuracion!$A$4:$C$591,3,FALSE)</f>
        <v>FLETE</v>
      </c>
      <c r="H128" s="242"/>
      <c r="J128" s="148"/>
      <c r="K128" s="234"/>
    </row>
    <row r="129" spans="1:11">
      <c r="A129" s="215">
        <v>45043</v>
      </c>
      <c r="B129" s="20">
        <v>1</v>
      </c>
      <c r="C129" s="210">
        <v>93</v>
      </c>
      <c r="D129" s="202">
        <v>27338342840</v>
      </c>
      <c r="E129" s="202" t="str">
        <f>VLOOKUP(D129,Configuracion!$A$4:$C$591,2,FALSE)</f>
        <v>CANCINO PAMELA RITA</v>
      </c>
      <c r="F129" s="22">
        <v>15000</v>
      </c>
      <c r="G129" s="214" t="str">
        <f>VLOOKUP(D129,Configuracion!$A$4:$C$591,3,FALSE)</f>
        <v>PROVEEDOR</v>
      </c>
      <c r="H129" s="242"/>
      <c r="J129" s="148"/>
      <c r="K129" s="234"/>
    </row>
    <row r="130" spans="1:11">
      <c r="A130" s="215">
        <v>45043</v>
      </c>
      <c r="B130" s="20">
        <v>1</v>
      </c>
      <c r="C130" s="210">
        <v>92</v>
      </c>
      <c r="D130" s="202">
        <v>27338342840</v>
      </c>
      <c r="E130" s="202" t="str">
        <f>VLOOKUP(D130,Configuracion!$A$4:$C$591,2,FALSE)</f>
        <v>CANCINO PAMELA RITA</v>
      </c>
      <c r="F130" s="22">
        <v>18000</v>
      </c>
      <c r="G130" s="214" t="str">
        <f>VLOOKUP(D130,Configuracion!$A$4:$C$591,3,FALSE)</f>
        <v>PROVEEDOR</v>
      </c>
      <c r="H130" s="242"/>
      <c r="J130" s="148"/>
      <c r="K130" s="234"/>
    </row>
    <row r="131" spans="1:11">
      <c r="A131" s="215">
        <v>45036</v>
      </c>
      <c r="B131" s="20">
        <v>6</v>
      </c>
      <c r="C131" s="210">
        <v>9</v>
      </c>
      <c r="D131" s="202">
        <v>27318630157</v>
      </c>
      <c r="E131" s="202" t="str">
        <f>VLOOKUP(D131,Configuracion!$A$4:$C$591,2,FALSE)</f>
        <v>CENTURION JACQUELINE ESTEFANIA</v>
      </c>
      <c r="F131" s="22">
        <v>100000</v>
      </c>
      <c r="G131" s="214" t="str">
        <f>VLOOKUP(D131,Configuracion!$A$4:$C$591,3,FALSE)</f>
        <v>VARIOS</v>
      </c>
      <c r="H131" s="242"/>
      <c r="J131" s="148"/>
      <c r="K131" s="234"/>
    </row>
    <row r="132" spans="1:11">
      <c r="A132" s="215">
        <v>45027</v>
      </c>
      <c r="B132" s="20">
        <v>9</v>
      </c>
      <c r="C132" s="210">
        <v>87</v>
      </c>
      <c r="D132" s="202">
        <v>20233248283</v>
      </c>
      <c r="E132" s="202" t="str">
        <f>VLOOKUP(D132,Configuracion!$A$4:$C$591,2,FALSE)</f>
        <v>CORRAO HECTOR RUBEN</v>
      </c>
      <c r="F132" s="22">
        <v>85000</v>
      </c>
      <c r="G132" s="214" t="str">
        <f>VLOOKUP(D132,Configuracion!$A$4:$C$591,3,FALSE)</f>
        <v>PROVEEDOR</v>
      </c>
      <c r="H132" s="242"/>
      <c r="J132" s="148"/>
      <c r="K132" s="234"/>
    </row>
    <row r="133" spans="1:11">
      <c r="A133" s="294">
        <v>45012</v>
      </c>
      <c r="B133" s="20">
        <v>1</v>
      </c>
      <c r="C133" s="210">
        <v>33</v>
      </c>
      <c r="D133" s="202">
        <v>20403969886</v>
      </c>
      <c r="E133" s="202" t="str">
        <f>VLOOKUP(D133,Configuracion!$A$4:$C$591,2,FALSE)</f>
        <v>DEL GESSO FRANCO JESUS</v>
      </c>
      <c r="F133" s="22">
        <v>248830</v>
      </c>
      <c r="G133" s="214" t="str">
        <f>VLOOKUP(D133,Configuracion!$A$4:$C$591,3,FALSE)</f>
        <v>PROVEEDOR</v>
      </c>
      <c r="H133" s="242"/>
      <c r="J133" s="148"/>
      <c r="K133" s="234"/>
    </row>
    <row r="134" spans="1:11">
      <c r="A134" s="215">
        <v>45034</v>
      </c>
      <c r="B134" s="20">
        <v>1</v>
      </c>
      <c r="C134" s="210">
        <v>53</v>
      </c>
      <c r="D134" s="202">
        <v>23281233084</v>
      </c>
      <c r="E134" s="202" t="str">
        <f>VLOOKUP(D134,Configuracion!$A$4:$C$591,2,FALSE)</f>
        <v>DRUETTA ANDREA MARIEL</v>
      </c>
      <c r="F134" s="22">
        <v>43850</v>
      </c>
      <c r="G134" s="214" t="str">
        <f>VLOOKUP(D134,Configuracion!$A$4:$C$591,3,FALSE)</f>
        <v>TECNICO</v>
      </c>
      <c r="H134" s="242"/>
      <c r="J134" s="148"/>
      <c r="K134" s="234"/>
    </row>
    <row r="135" spans="1:11">
      <c r="A135" s="294">
        <v>44998</v>
      </c>
      <c r="B135" s="20">
        <v>2</v>
      </c>
      <c r="C135" s="210">
        <v>36</v>
      </c>
      <c r="D135" s="202">
        <v>20314536852</v>
      </c>
      <c r="E135" s="202" t="str">
        <f>VLOOKUP(D135,Configuracion!$A$4:$C$591,2,FALSE)</f>
        <v>FRANCESE GONZALO ROMAN</v>
      </c>
      <c r="F135" s="22">
        <v>26300</v>
      </c>
      <c r="G135" s="214" t="str">
        <f>VLOOKUP(D135,Configuracion!$A$4:$C$591,3,FALSE)</f>
        <v>FLETE</v>
      </c>
      <c r="H135" s="242"/>
      <c r="J135" s="148"/>
      <c r="K135" s="234"/>
    </row>
    <row r="136" spans="1:11">
      <c r="A136" s="215">
        <v>45019</v>
      </c>
      <c r="B136" s="20">
        <v>2</v>
      </c>
      <c r="C136" s="210">
        <v>38</v>
      </c>
      <c r="D136" s="202">
        <v>20314536852</v>
      </c>
      <c r="E136" s="202" t="str">
        <f>VLOOKUP(D136,Configuracion!$A$4:$C$591,2,FALSE)</f>
        <v>FRANCESE GONZALO ROMAN</v>
      </c>
      <c r="F136" s="22">
        <v>28200</v>
      </c>
      <c r="G136" s="214" t="str">
        <f>VLOOKUP(D136,Configuracion!$A$4:$C$591,3,FALSE)</f>
        <v>FLETE</v>
      </c>
      <c r="H136" s="242"/>
      <c r="J136" s="148"/>
      <c r="K136" s="234"/>
    </row>
    <row r="137" spans="1:11">
      <c r="A137" s="215">
        <v>45026</v>
      </c>
      <c r="B137" s="20">
        <v>2</v>
      </c>
      <c r="C137" s="210">
        <v>39</v>
      </c>
      <c r="D137" s="202">
        <v>20314536852</v>
      </c>
      <c r="E137" s="202" t="str">
        <f>VLOOKUP(D137,Configuracion!$A$4:$C$591,2,FALSE)</f>
        <v>FRANCESE GONZALO ROMAN</v>
      </c>
      <c r="F137" s="22">
        <v>29300</v>
      </c>
      <c r="G137" s="214" t="str">
        <f>VLOOKUP(D137,Configuracion!$A$4:$C$591,3,FALSE)</f>
        <v>FLETE</v>
      </c>
      <c r="H137" s="242"/>
      <c r="J137" s="148"/>
      <c r="K137" s="234"/>
    </row>
    <row r="138" spans="1:11">
      <c r="A138" s="215">
        <v>45033</v>
      </c>
      <c r="B138" s="20">
        <v>2</v>
      </c>
      <c r="C138" s="210">
        <v>40</v>
      </c>
      <c r="D138" s="202">
        <v>20314536852</v>
      </c>
      <c r="E138" s="202" t="str">
        <f>VLOOKUP(D138,Configuracion!$A$4:$C$591,2,FALSE)</f>
        <v>FRANCESE GONZALO ROMAN</v>
      </c>
      <c r="F138" s="22">
        <v>29500</v>
      </c>
      <c r="G138" s="214" t="str">
        <f>VLOOKUP(D138,Configuracion!$A$4:$C$591,3,FALSE)</f>
        <v>FLETE</v>
      </c>
      <c r="H138" s="242"/>
      <c r="J138" s="148"/>
      <c r="K138" s="234"/>
    </row>
    <row r="139" spans="1:11">
      <c r="A139" s="215">
        <v>45041</v>
      </c>
      <c r="B139" s="20">
        <v>2</v>
      </c>
      <c r="C139" s="210">
        <v>42</v>
      </c>
      <c r="D139" s="202">
        <v>20314536852</v>
      </c>
      <c r="E139" s="202" t="str">
        <f>VLOOKUP(D139,Configuracion!$A$4:$C$591,2,FALSE)</f>
        <v>FRANCESE GONZALO ROMAN</v>
      </c>
      <c r="F139" s="22">
        <v>26000</v>
      </c>
      <c r="G139" s="214" t="str">
        <f>VLOOKUP(D139,Configuracion!$A$4:$C$591,3,FALSE)</f>
        <v>FLETE</v>
      </c>
      <c r="H139" s="242"/>
      <c r="J139" s="148"/>
      <c r="K139" s="234"/>
    </row>
    <row r="140" spans="1:11">
      <c r="A140" s="294">
        <v>45012</v>
      </c>
      <c r="B140" s="20">
        <v>2</v>
      </c>
      <c r="C140" s="210">
        <v>88</v>
      </c>
      <c r="D140" s="202">
        <v>20220423655</v>
      </c>
      <c r="E140" s="202" t="str">
        <f>VLOOKUP(D140,Configuracion!$A$4:$C$591,2,FALSE)</f>
        <v>LANDRO FERNANDO GABRIEL</v>
      </c>
      <c r="F140" s="22">
        <v>188485</v>
      </c>
      <c r="G140" s="214" t="str">
        <f>VLOOKUP(D140,Configuracion!$A$4:$C$591,3,FALSE)</f>
        <v>PROVEEDOR</v>
      </c>
      <c r="H140" s="242"/>
      <c r="J140" s="148"/>
      <c r="K140" s="234"/>
    </row>
    <row r="141" spans="1:11">
      <c r="A141" s="294">
        <v>45012</v>
      </c>
      <c r="B141" s="20">
        <v>2</v>
      </c>
      <c r="C141" s="210">
        <v>87</v>
      </c>
      <c r="D141" s="202">
        <v>20220423655</v>
      </c>
      <c r="E141" s="202" t="str">
        <f>VLOOKUP(D141,Configuracion!$A$4:$C$591,2,FALSE)</f>
        <v>LANDRO FERNANDO GABRIEL</v>
      </c>
      <c r="F141" s="22">
        <v>196420</v>
      </c>
      <c r="G141" s="214" t="str">
        <f>VLOOKUP(D141,Configuracion!$A$4:$C$591,3,FALSE)</f>
        <v>PROVEEDOR</v>
      </c>
      <c r="H141" s="242"/>
      <c r="J141" s="148"/>
      <c r="K141" s="234"/>
    </row>
    <row r="142" spans="1:11">
      <c r="A142" s="215">
        <v>45021</v>
      </c>
      <c r="B142" s="20">
        <v>1</v>
      </c>
      <c r="C142" s="210">
        <v>77</v>
      </c>
      <c r="D142" s="202">
        <v>27385671526</v>
      </c>
      <c r="E142" s="202" t="str">
        <f>VLOOKUP(D142,Configuracion!$A$4:$C$591,2,FALSE)</f>
        <v>MACHADO ELIANA NOEMI</v>
      </c>
      <c r="F142" s="22">
        <v>129225</v>
      </c>
      <c r="G142" s="214" t="str">
        <f>VLOOKUP(D142,Configuracion!$A$4:$C$591,3,FALSE)</f>
        <v>PROVEEDOR</v>
      </c>
      <c r="H142" s="5"/>
      <c r="J142" s="148"/>
      <c r="K142" s="234"/>
    </row>
    <row r="143" spans="1:11">
      <c r="A143" s="215">
        <v>45021</v>
      </c>
      <c r="B143" s="20">
        <v>1</v>
      </c>
      <c r="C143" s="210">
        <v>76</v>
      </c>
      <c r="D143" s="202">
        <v>27385671526</v>
      </c>
      <c r="E143" s="202" t="str">
        <f>VLOOKUP(D143,Configuracion!$A$4:$C$591,2,FALSE)</f>
        <v>MACHADO ELIANA NOEMI</v>
      </c>
      <c r="F143" s="22">
        <v>161090</v>
      </c>
      <c r="G143" s="214" t="str">
        <f>VLOOKUP(D143,Configuracion!$A$4:$C$591,3,FALSE)</f>
        <v>PROVEEDOR</v>
      </c>
      <c r="H143" s="5"/>
      <c r="J143" s="148"/>
      <c r="K143" s="234"/>
    </row>
    <row r="144" spans="1:11">
      <c r="A144" s="215">
        <v>45043</v>
      </c>
      <c r="B144" s="20">
        <v>1</v>
      </c>
      <c r="C144" s="210">
        <v>51</v>
      </c>
      <c r="D144" s="202">
        <v>20299835260</v>
      </c>
      <c r="E144" s="202" t="str">
        <f>VLOOKUP(D144,Configuracion!$A$4:$C$591,2,FALSE)</f>
        <v>MELGAREJO NICOLAS EMILIO</v>
      </c>
      <c r="F144" s="22">
        <v>58000</v>
      </c>
      <c r="G144" s="214" t="str">
        <f>VLOOKUP(D144,Configuracion!$A$4:$C$591,3,FALSE)</f>
        <v>PROVEEDOR</v>
      </c>
      <c r="H144" s="5"/>
      <c r="J144" s="148"/>
      <c r="K144" s="234"/>
    </row>
    <row r="145" spans="1:11">
      <c r="A145" s="215">
        <v>45043</v>
      </c>
      <c r="B145" s="20">
        <v>1</v>
      </c>
      <c r="C145" s="210">
        <v>50</v>
      </c>
      <c r="D145" s="202">
        <v>20299835260</v>
      </c>
      <c r="E145" s="202" t="str">
        <f>VLOOKUP(D145,Configuracion!$A$4:$C$591,2,FALSE)</f>
        <v>MELGAREJO NICOLAS EMILIO</v>
      </c>
      <c r="F145" s="22">
        <v>74000</v>
      </c>
      <c r="G145" s="214" t="str">
        <f>VLOOKUP(D145,Configuracion!$A$4:$C$591,3,FALSE)</f>
        <v>PROVEEDOR</v>
      </c>
      <c r="H145" s="5"/>
      <c r="J145" s="148"/>
      <c r="K145" s="234"/>
    </row>
    <row r="146" spans="1:11">
      <c r="A146" s="215">
        <v>45043</v>
      </c>
      <c r="B146" s="20">
        <v>1</v>
      </c>
      <c r="C146" s="210">
        <v>49</v>
      </c>
      <c r="D146" s="202">
        <v>20299835260</v>
      </c>
      <c r="E146" s="202" t="str">
        <f>VLOOKUP(D146,Configuracion!$A$4:$C$591,2,FALSE)</f>
        <v>MELGAREJO NICOLAS EMILIO</v>
      </c>
      <c r="F146" s="22">
        <v>28000</v>
      </c>
      <c r="G146" s="214" t="str">
        <f>VLOOKUP(D146,Configuracion!$A$4:$C$591,3,FALSE)</f>
        <v>PROVEEDOR</v>
      </c>
      <c r="H146" s="5"/>
      <c r="J146" s="148"/>
      <c r="K146" s="234"/>
    </row>
    <row r="147" spans="1:11">
      <c r="A147" s="215">
        <v>45043</v>
      </c>
      <c r="B147" s="20">
        <v>1</v>
      </c>
      <c r="C147" s="210">
        <v>48</v>
      </c>
      <c r="D147" s="202">
        <v>20299835260</v>
      </c>
      <c r="E147" s="202" t="str">
        <f>VLOOKUP(D147,Configuracion!$A$4:$C$591,2,FALSE)</f>
        <v>MELGAREJO NICOLAS EMILIO</v>
      </c>
      <c r="F147" s="22">
        <v>66000</v>
      </c>
      <c r="G147" s="214" t="str">
        <f>VLOOKUP(D147,Configuracion!$A$4:$C$591,3,FALSE)</f>
        <v>PROVEEDOR</v>
      </c>
      <c r="H147" s="5"/>
      <c r="J147" s="148"/>
      <c r="K147" s="234"/>
    </row>
    <row r="148" spans="1:11">
      <c r="A148" s="215">
        <v>45043</v>
      </c>
      <c r="B148" s="20">
        <v>1</v>
      </c>
      <c r="C148" s="210">
        <v>47</v>
      </c>
      <c r="D148" s="202">
        <v>20299835260</v>
      </c>
      <c r="E148" s="202" t="str">
        <f>VLOOKUP(D148,Configuracion!$A$4:$C$591,2,FALSE)</f>
        <v>MELGAREJO NICOLAS EMILIO</v>
      </c>
      <c r="F148" s="22">
        <v>40000</v>
      </c>
      <c r="G148" s="214" t="str">
        <f>VLOOKUP(D148,Configuracion!$A$4:$C$591,3,FALSE)</f>
        <v>PROVEEDOR</v>
      </c>
      <c r="H148" s="5"/>
      <c r="J148" s="148"/>
      <c r="K148" s="234"/>
    </row>
    <row r="149" spans="1:11">
      <c r="A149" s="215">
        <v>45028</v>
      </c>
      <c r="B149" s="20">
        <v>2019</v>
      </c>
      <c r="C149" s="210">
        <v>2110</v>
      </c>
      <c r="D149" s="202">
        <v>20277164192</v>
      </c>
      <c r="E149" s="202" t="str">
        <f>VLOOKUP(D149,Configuracion!$A$4:$C$591,2,FALSE)</f>
        <v>PABLO ROBERTO MURUA POU</v>
      </c>
      <c r="F149" s="22">
        <v>2500</v>
      </c>
      <c r="G149" s="214" t="str">
        <f>VLOOKUP(D149,Configuracion!$A$4:$C$591,3,FALSE)</f>
        <v>INSUMOS</v>
      </c>
      <c r="H149" s="5"/>
      <c r="J149" s="148"/>
      <c r="K149" s="234"/>
    </row>
    <row r="150" spans="1:11">
      <c r="A150" s="294">
        <v>44991</v>
      </c>
      <c r="B150" s="20">
        <v>1</v>
      </c>
      <c r="C150" s="210">
        <v>126</v>
      </c>
      <c r="D150" s="202">
        <v>27217606255</v>
      </c>
      <c r="E150" s="202" t="str">
        <f>VLOOKUP(D150,Configuracion!$A$4:$C$591,2,FALSE)</f>
        <v>SAPUNA MIRIAN KARINA</v>
      </c>
      <c r="F150" s="22">
        <v>35700</v>
      </c>
      <c r="G150" s="214" t="str">
        <f>VLOOKUP(D150,Configuracion!$A$4:$C$591,3,FALSE)</f>
        <v>PROVEEDOR</v>
      </c>
      <c r="H150" s="5"/>
      <c r="J150" s="148"/>
      <c r="K150" s="234"/>
    </row>
    <row r="151" spans="1:11">
      <c r="A151" s="294">
        <v>44991</v>
      </c>
      <c r="B151" s="20">
        <v>1</v>
      </c>
      <c r="C151" s="210">
        <v>125</v>
      </c>
      <c r="D151" s="202">
        <v>27217606255</v>
      </c>
      <c r="E151" s="202" t="str">
        <f>VLOOKUP(D151,Configuracion!$A$4:$C$591,2,FALSE)</f>
        <v>SAPUNA MIRIAN KARINA</v>
      </c>
      <c r="F151" s="22">
        <v>41950</v>
      </c>
      <c r="G151" s="214" t="str">
        <f>VLOOKUP(D151,Configuracion!$A$4:$C$591,3,FALSE)</f>
        <v>PROVEEDOR</v>
      </c>
      <c r="H151" s="5"/>
    </row>
    <row r="152" spans="1:11">
      <c r="A152" s="294">
        <v>44993</v>
      </c>
      <c r="B152" s="20">
        <v>1</v>
      </c>
      <c r="C152" s="210">
        <v>127</v>
      </c>
      <c r="D152" s="202">
        <v>27217606255</v>
      </c>
      <c r="E152" s="202" t="str">
        <f>VLOOKUP(D152,Configuracion!$A$4:$C$591,2,FALSE)</f>
        <v>SAPUNA MIRIAN KARINA</v>
      </c>
      <c r="F152" s="22">
        <v>45980</v>
      </c>
      <c r="G152" s="214" t="str">
        <f>VLOOKUP(D152,Configuracion!$A$4:$C$591,3,FALSE)</f>
        <v>PROVEEDOR</v>
      </c>
      <c r="H152" s="5"/>
      <c r="I152" s="5"/>
    </row>
    <row r="153" spans="1:11">
      <c r="A153" s="294">
        <v>44993</v>
      </c>
      <c r="B153" s="20">
        <v>1</v>
      </c>
      <c r="C153" s="210">
        <v>128</v>
      </c>
      <c r="D153" s="202">
        <v>27217606255</v>
      </c>
      <c r="E153" s="202" t="str">
        <f>VLOOKUP(D153,Configuracion!$A$4:$C$591,2,FALSE)</f>
        <v>SAPUNA MIRIAN KARINA</v>
      </c>
      <c r="F153" s="22">
        <v>48258</v>
      </c>
      <c r="G153" s="214" t="str">
        <f>VLOOKUP(D153,Configuracion!$A$4:$C$591,3,FALSE)</f>
        <v>PROVEEDOR</v>
      </c>
      <c r="H153" s="5"/>
      <c r="I153" s="5"/>
    </row>
    <row r="154" spans="1:11">
      <c r="A154" s="294">
        <v>44999</v>
      </c>
      <c r="B154" s="20">
        <v>1</v>
      </c>
      <c r="C154" s="210">
        <v>129</v>
      </c>
      <c r="D154" s="202">
        <v>27217606255</v>
      </c>
      <c r="E154" s="202" t="str">
        <f>VLOOKUP(D154,Configuracion!$A$4:$C$591,2,FALSE)</f>
        <v>SAPUNA MIRIAN KARINA</v>
      </c>
      <c r="F154" s="22">
        <v>43785</v>
      </c>
      <c r="G154" s="214" t="str">
        <f>VLOOKUP(D154,Configuracion!$A$4:$C$591,3,FALSE)</f>
        <v>PROVEEDOR</v>
      </c>
      <c r="H154" s="5"/>
      <c r="I154" s="5"/>
    </row>
    <row r="155" spans="1:11">
      <c r="A155" s="215">
        <v>45029</v>
      </c>
      <c r="B155" s="20">
        <v>2</v>
      </c>
      <c r="C155" s="210">
        <v>451</v>
      </c>
      <c r="D155" s="202">
        <v>27299725761</v>
      </c>
      <c r="E155" s="202" t="str">
        <f>VLOOKUP(D155,Configuracion!$A$4:$C$591,2,FALSE)</f>
        <v>TURSARKISIAN MISISIAN VERONICA</v>
      </c>
      <c r="F155" s="22">
        <v>56000</v>
      </c>
      <c r="G155" s="214" t="str">
        <f>VLOOKUP(D155,Configuracion!$A$4:$C$591,3,FALSE)</f>
        <v>PROVEEDOR</v>
      </c>
      <c r="H155" s="5"/>
      <c r="I155" s="5"/>
    </row>
    <row r="156" spans="1:11">
      <c r="A156" s="215">
        <v>45029</v>
      </c>
      <c r="B156" s="20">
        <v>2</v>
      </c>
      <c r="C156" s="210">
        <v>450</v>
      </c>
      <c r="D156" s="202">
        <v>27299725761</v>
      </c>
      <c r="E156" s="202" t="str">
        <f>VLOOKUP(D156,Configuracion!$A$4:$C$591,2,FALSE)</f>
        <v>TURSARKISIAN MISISIAN VERONICA</v>
      </c>
      <c r="F156" s="22">
        <v>44000</v>
      </c>
      <c r="G156" s="214" t="str">
        <f>VLOOKUP(D156,Configuracion!$A$4:$C$591,3,FALSE)</f>
        <v>PROVEEDOR</v>
      </c>
      <c r="H156" s="5"/>
      <c r="I156" s="5"/>
    </row>
    <row r="157" spans="1:11">
      <c r="A157" s="215">
        <v>45043</v>
      </c>
      <c r="B157" s="20">
        <v>2</v>
      </c>
      <c r="C157" s="210">
        <v>457</v>
      </c>
      <c r="D157" s="202">
        <v>27299725761</v>
      </c>
      <c r="E157" s="202" t="str">
        <f>VLOOKUP(D157,Configuracion!$A$4:$C$591,2,FALSE)</f>
        <v>TURSARKISIAN MISISIAN VERONICA</v>
      </c>
      <c r="F157" s="22">
        <v>25000</v>
      </c>
      <c r="G157" s="214" t="str">
        <f>VLOOKUP(D157,Configuracion!$A$4:$C$591,3,FALSE)</f>
        <v>PROVEEDOR</v>
      </c>
      <c r="H157" s="5"/>
      <c r="I157" s="5"/>
    </row>
    <row r="158" spans="1:11">
      <c r="A158" s="215">
        <v>45043</v>
      </c>
      <c r="B158" s="20">
        <v>2</v>
      </c>
      <c r="C158" s="210">
        <v>456</v>
      </c>
      <c r="D158" s="202">
        <v>27299725761</v>
      </c>
      <c r="E158" s="202" t="str">
        <f>VLOOKUP(D158,Configuracion!$A$4:$C$591,2,FALSE)</f>
        <v>TURSARKISIAN MISISIAN VERONICA</v>
      </c>
      <c r="F158" s="22">
        <v>48000</v>
      </c>
      <c r="G158" s="214" t="str">
        <f>VLOOKUP(D158,Configuracion!$A$4:$C$591,3,FALSE)</f>
        <v>PROVEEDOR</v>
      </c>
      <c r="H158" s="5"/>
      <c r="I158" s="5"/>
    </row>
    <row r="159" spans="1:11">
      <c r="A159" s="215">
        <v>45043</v>
      </c>
      <c r="B159" s="20">
        <v>2</v>
      </c>
      <c r="C159" s="210">
        <v>455</v>
      </c>
      <c r="D159" s="202">
        <v>27299725761</v>
      </c>
      <c r="E159" s="202" t="str">
        <f>VLOOKUP(D159,Configuracion!$A$4:$C$591,2,FALSE)</f>
        <v>TURSARKISIAN MISISIAN VERONICA</v>
      </c>
      <c r="F159" s="22">
        <v>10000</v>
      </c>
      <c r="G159" s="214" t="str">
        <f>VLOOKUP(D159,Configuracion!$A$4:$C$591,3,FALSE)</f>
        <v>PROVEEDOR</v>
      </c>
      <c r="H159" s="5"/>
      <c r="I159" s="5"/>
    </row>
    <row r="160" spans="1:11">
      <c r="A160" s="215">
        <v>45043</v>
      </c>
      <c r="B160" s="20">
        <v>2</v>
      </c>
      <c r="C160" s="210">
        <v>454</v>
      </c>
      <c r="D160" s="202">
        <v>27299725761</v>
      </c>
      <c r="E160" s="202" t="str">
        <f>VLOOKUP(D160,Configuracion!$A$4:$C$591,2,FALSE)</f>
        <v>TURSARKISIAN MISISIAN VERONICA</v>
      </c>
      <c r="F160" s="22">
        <v>24000</v>
      </c>
      <c r="G160" s="214" t="str">
        <f>VLOOKUP(D160,Configuracion!$A$4:$C$591,3,FALSE)</f>
        <v>PROVEEDOR</v>
      </c>
      <c r="H160" s="5"/>
      <c r="I160" s="5"/>
    </row>
    <row r="161" spans="1:14">
      <c r="A161" s="215">
        <v>45043</v>
      </c>
      <c r="B161" s="20">
        <v>2</v>
      </c>
      <c r="C161" s="210">
        <v>453</v>
      </c>
      <c r="D161" s="202">
        <v>27299725761</v>
      </c>
      <c r="E161" s="202" t="str">
        <f>VLOOKUP(D161,Configuracion!$A$4:$C$591,2,FALSE)</f>
        <v>TURSARKISIAN MISISIAN VERONICA</v>
      </c>
      <c r="F161" s="22">
        <v>48000</v>
      </c>
      <c r="G161" s="214" t="str">
        <f>VLOOKUP(D161,Configuracion!$A$4:$C$591,3,FALSE)</f>
        <v>PROVEEDOR</v>
      </c>
      <c r="H161" s="5"/>
      <c r="I161" s="5"/>
    </row>
    <row r="162" spans="1:14">
      <c r="A162" s="294">
        <v>45012</v>
      </c>
      <c r="B162" s="20">
        <v>3</v>
      </c>
      <c r="C162" s="210">
        <v>666</v>
      </c>
      <c r="D162" s="202">
        <v>20216451679</v>
      </c>
      <c r="E162" s="202" t="str">
        <f>VLOOKUP(D162,Configuracion!$A$4:$C$591,2,FALSE)</f>
        <v>VAZQUEZ RICARDO OSCAR</v>
      </c>
      <c r="F162" s="22">
        <v>20000</v>
      </c>
      <c r="G162" s="214" t="str">
        <f>VLOOKUP(D162,Configuracion!$A$4:$C$591,3,FALSE)</f>
        <v>PROVEEDOR</v>
      </c>
      <c r="H162" s="5"/>
      <c r="I162" s="5"/>
    </row>
    <row r="163" spans="1:14">
      <c r="A163" s="215"/>
      <c r="B163" s="20"/>
      <c r="C163" s="210"/>
      <c r="D163" s="202"/>
      <c r="E163" s="202" t="e">
        <f>VLOOKUP(D163,Configuracion!$A$4:$C$591,2,FALSE)</f>
        <v>#N/A</v>
      </c>
      <c r="F163" s="22"/>
      <c r="G163" s="214" t="e">
        <f>VLOOKUP(D163,Configuracion!$A$4:$C$591,3,FALSE)</f>
        <v>#N/A</v>
      </c>
      <c r="H163" s="5"/>
      <c r="I163" s="5"/>
    </row>
    <row r="164" spans="1:14">
      <c r="A164" s="215"/>
      <c r="B164" s="20"/>
      <c r="C164" s="210"/>
      <c r="D164" s="202"/>
      <c r="E164" s="202" t="e">
        <f>VLOOKUP(D164,Configuracion!$A$4:$C$591,2,FALSE)</f>
        <v>#N/A</v>
      </c>
      <c r="F164" s="22"/>
      <c r="G164" s="214" t="e">
        <f>VLOOKUP(D164,Configuracion!$A$4:$C$591,3,FALSE)</f>
        <v>#N/A</v>
      </c>
      <c r="H164" s="5"/>
      <c r="I164" s="5"/>
    </row>
    <row r="165" spans="1:14">
      <c r="A165" s="215"/>
      <c r="B165" s="20"/>
      <c r="C165" s="210"/>
      <c r="D165" s="202"/>
      <c r="E165" s="202" t="e">
        <f>VLOOKUP(D165,Configuracion!$A$4:$C$591,2,FALSE)</f>
        <v>#N/A</v>
      </c>
      <c r="F165" s="22"/>
      <c r="G165" s="214" t="e">
        <f>VLOOKUP(D165,Configuracion!$A$4:$C$591,3,FALSE)</f>
        <v>#N/A</v>
      </c>
      <c r="H165" s="5"/>
      <c r="I165" s="5"/>
    </row>
    <row r="166" spans="1:14">
      <c r="A166" s="215"/>
      <c r="B166" s="20"/>
      <c r="C166" s="210"/>
      <c r="D166" s="202"/>
      <c r="E166" s="202" t="e">
        <f>VLOOKUP(D166,Configuracion!$A$4:$C$591,2,FALSE)</f>
        <v>#N/A</v>
      </c>
      <c r="F166" s="22"/>
      <c r="G166" s="214" t="e">
        <f>VLOOKUP(D166,Configuracion!$A$4:$C$591,3,FALSE)</f>
        <v>#N/A</v>
      </c>
      <c r="H166" s="5"/>
      <c r="I166" s="5"/>
    </row>
    <row r="167" spans="1:14">
      <c r="A167" s="215"/>
      <c r="B167" s="20"/>
      <c r="C167" s="210"/>
      <c r="D167" s="202"/>
      <c r="E167" s="202" t="e">
        <f>VLOOKUP(D167,Configuracion!$A$4:$C$591,2,FALSE)</f>
        <v>#N/A</v>
      </c>
      <c r="F167" s="22"/>
      <c r="G167" s="214" t="e">
        <f>VLOOKUP(D167,Configuracion!$A$4:$C$591,3,FALSE)</f>
        <v>#N/A</v>
      </c>
      <c r="H167" s="5"/>
      <c r="I167" s="5"/>
    </row>
    <row r="168" spans="1:14">
      <c r="A168" s="215"/>
      <c r="B168" s="20"/>
      <c r="C168" s="210"/>
      <c r="D168" s="202"/>
      <c r="E168" s="202" t="e">
        <f>VLOOKUP(D168,Configuracion!$A$4:$C$591,2,FALSE)</f>
        <v>#N/A</v>
      </c>
      <c r="F168" s="22"/>
      <c r="G168" s="214" t="e">
        <f>VLOOKUP(D168,Configuracion!$A$4:$C$591,3,FALSE)</f>
        <v>#N/A</v>
      </c>
      <c r="H168" s="5"/>
      <c r="I168" s="5"/>
    </row>
    <row r="169" spans="1:14" ht="15.75" thickBot="1">
      <c r="A169" s="282" t="s">
        <v>4</v>
      </c>
      <c r="B169" s="283"/>
      <c r="C169" s="283"/>
      <c r="D169" s="283"/>
      <c r="E169" s="284"/>
      <c r="F169" s="34">
        <f>SUM(F125:F168)</f>
        <v>2254073</v>
      </c>
      <c r="G169" s="5"/>
      <c r="H169" s="5"/>
      <c r="I169" s="5"/>
    </row>
    <row r="170" spans="1:14" ht="15.75" thickBot="1">
      <c r="A170" s="32"/>
      <c r="B170" s="32"/>
      <c r="D170" s="41"/>
      <c r="E170" s="33"/>
      <c r="F170" s="51"/>
      <c r="G170" s="5"/>
      <c r="H170" s="5"/>
      <c r="I170" s="5"/>
    </row>
    <row r="171" spans="1:14" ht="16.5" thickBot="1">
      <c r="A171" s="273" t="s">
        <v>22</v>
      </c>
      <c r="B171" s="274"/>
      <c r="C171" s="275"/>
      <c r="D171" s="95"/>
      <c r="E171" s="56"/>
      <c r="F171" s="55"/>
      <c r="G171" s="5"/>
      <c r="H171" s="5"/>
      <c r="I171" s="5"/>
    </row>
    <row r="172" spans="1:14">
      <c r="A172" s="67" t="s">
        <v>1</v>
      </c>
      <c r="B172" s="276" t="s">
        <v>24</v>
      </c>
      <c r="C172" s="276"/>
      <c r="D172" s="68" t="s">
        <v>7</v>
      </c>
      <c r="E172" s="69" t="s">
        <v>19</v>
      </c>
      <c r="F172" s="69" t="s">
        <v>25</v>
      </c>
      <c r="G172" s="69" t="s">
        <v>3</v>
      </c>
      <c r="H172" s="69" t="s">
        <v>21</v>
      </c>
      <c r="I172" s="70" t="s">
        <v>23</v>
      </c>
      <c r="J172" s="234"/>
      <c r="K172" s="234"/>
      <c r="L172" s="234"/>
      <c r="M172" s="234"/>
    </row>
    <row r="173" spans="1:14" ht="15.75">
      <c r="A173" s="226">
        <v>45019</v>
      </c>
      <c r="B173" s="289">
        <v>90563</v>
      </c>
      <c r="C173" s="289"/>
      <c r="D173" s="39">
        <v>30710657250</v>
      </c>
      <c r="E173" s="39" t="str">
        <f>VLOOKUP(D173,Configuracion!$A$4:$C$591,2,FALSE)</f>
        <v>FRATERNA COOP DE PROVISION</v>
      </c>
      <c r="F173" s="224"/>
      <c r="G173" s="224"/>
      <c r="H173" s="224">
        <v>1000</v>
      </c>
      <c r="I173" s="225"/>
      <c r="J173" s="12"/>
      <c r="K173" s="12"/>
      <c r="L173" s="13"/>
      <c r="M173" s="2"/>
      <c r="N173" s="2"/>
    </row>
    <row r="174" spans="1:14" ht="15.75">
      <c r="A174" s="226">
        <v>45020</v>
      </c>
      <c r="B174" s="289">
        <v>4895</v>
      </c>
      <c r="C174" s="289"/>
      <c r="D174" s="39">
        <v>30608716390</v>
      </c>
      <c r="E174" s="39" t="str">
        <f>VLOOKUP(D174,Configuracion!$A$4:$C$591,2,FALSE)</f>
        <v>OSTEL</v>
      </c>
      <c r="F174" s="224"/>
      <c r="G174" s="224"/>
      <c r="H174" s="224">
        <v>95.45</v>
      </c>
      <c r="I174" s="225"/>
      <c r="J174" s="12"/>
      <c r="K174" s="12"/>
      <c r="L174" s="13"/>
      <c r="M174" s="2"/>
      <c r="N174" s="2"/>
    </row>
    <row r="175" spans="1:14" ht="15.75">
      <c r="A175" s="226">
        <v>45001</v>
      </c>
      <c r="B175" s="289">
        <v>944040</v>
      </c>
      <c r="C175" s="289"/>
      <c r="D175" s="39">
        <v>30710538014</v>
      </c>
      <c r="E175" s="39" t="str">
        <f>VLOOKUP(D175,Configuracion!$A$4:$C$591,2,FALSE)</f>
        <v>HC HOMECARE INT DOM SA</v>
      </c>
      <c r="F175" s="224"/>
      <c r="G175" s="224"/>
      <c r="H175" s="224">
        <v>448.35</v>
      </c>
      <c r="I175" s="225"/>
      <c r="J175" s="12"/>
      <c r="K175" s="12"/>
      <c r="L175" s="13"/>
      <c r="M175" s="2"/>
      <c r="N175" s="2"/>
    </row>
    <row r="176" spans="1:14" ht="15.75">
      <c r="A176" s="226">
        <v>44939</v>
      </c>
      <c r="B176" s="289">
        <v>1746053</v>
      </c>
      <c r="C176" s="289"/>
      <c r="D176" s="39">
        <v>30685228501</v>
      </c>
      <c r="E176" s="39" t="str">
        <f>VLOOKUP(D176,Configuracion!$A$4:$C$591,2,FALSE)</f>
        <v>GALENO ART SA</v>
      </c>
      <c r="F176" s="224">
        <v>8346.6</v>
      </c>
      <c r="G176" s="224"/>
      <c r="H176" s="224">
        <v>16957.7</v>
      </c>
      <c r="I176" s="225"/>
      <c r="J176" s="12"/>
      <c r="K176" s="12"/>
      <c r="L176" s="13"/>
      <c r="M176" s="2"/>
      <c r="N176" s="2"/>
    </row>
    <row r="177" spans="1:14" ht="15.75">
      <c r="A177" s="226">
        <v>45042</v>
      </c>
      <c r="B177" s="289">
        <v>4998</v>
      </c>
      <c r="C177" s="289"/>
      <c r="D177" s="39">
        <v>30608716390</v>
      </c>
      <c r="E177" s="39" t="str">
        <f>VLOOKUP(D177,Configuracion!$A$4:$C$591,2,FALSE)</f>
        <v>OSTEL</v>
      </c>
      <c r="F177" s="224"/>
      <c r="G177" s="224"/>
      <c r="H177" s="224">
        <v>300.83</v>
      </c>
      <c r="I177" s="225"/>
      <c r="J177" s="12"/>
      <c r="K177" s="12"/>
      <c r="L177" s="13"/>
      <c r="M177" s="2"/>
      <c r="N177" s="2"/>
    </row>
    <row r="178" spans="1:14" ht="15.75">
      <c r="A178" s="226">
        <v>45040</v>
      </c>
      <c r="B178" s="289">
        <v>87260</v>
      </c>
      <c r="C178" s="289"/>
      <c r="D178" s="39">
        <v>30500053522</v>
      </c>
      <c r="E178" s="39" t="str">
        <f>VLOOKUP(D178,Configuracion!$A$4:$C$591,2,FALSE)</f>
        <v>OBRA SOCIAL DE LA ACTIVIDAD DE SEGUROS, REASEGUROS, CAPITALIZACION Y AHORRO Y PRESTAMO  PARA LA VIVIENDA</v>
      </c>
      <c r="F178" s="224"/>
      <c r="G178" s="224"/>
      <c r="H178" s="224">
        <v>55.79</v>
      </c>
      <c r="I178" s="225"/>
      <c r="J178" s="12"/>
      <c r="K178" s="12"/>
      <c r="L178" s="13"/>
      <c r="M178" s="2"/>
      <c r="N178" s="2"/>
    </row>
    <row r="179" spans="1:14" ht="15.75">
      <c r="A179" s="226">
        <v>45030</v>
      </c>
      <c r="B179" s="289">
        <v>1773981</v>
      </c>
      <c r="C179" s="289"/>
      <c r="D179" s="39">
        <v>30685228501</v>
      </c>
      <c r="E179" s="39" t="str">
        <f>VLOOKUP(D179,Configuracion!$A$4:$C$591,2,FALSE)</f>
        <v>GALENO ART SA</v>
      </c>
      <c r="F179" s="224"/>
      <c r="G179" s="224"/>
      <c r="H179" s="224">
        <v>630</v>
      </c>
      <c r="I179" s="225"/>
      <c r="J179" s="12"/>
      <c r="K179" s="12"/>
      <c r="L179" s="13"/>
      <c r="M179" s="2"/>
      <c r="N179" s="2"/>
    </row>
    <row r="180" spans="1:14" ht="15.75">
      <c r="A180" s="226">
        <v>45006</v>
      </c>
      <c r="B180" s="289">
        <v>245572</v>
      </c>
      <c r="C180" s="289"/>
      <c r="D180" s="39">
        <v>30546771314</v>
      </c>
      <c r="E180" s="39" t="str">
        <f>VLOOKUP(D180,Configuracion!$A$4:$C$591,2,FALSE)</f>
        <v>MEDICUS SA</v>
      </c>
      <c r="F180" s="224"/>
      <c r="G180" s="224">
        <v>6664.46</v>
      </c>
      <c r="H180" s="224"/>
      <c r="I180" s="225"/>
      <c r="J180" s="12"/>
      <c r="K180" s="13"/>
      <c r="L180" s="2"/>
      <c r="M180" s="2"/>
    </row>
    <row r="181" spans="1:14" ht="15.75">
      <c r="A181" s="226">
        <v>45006</v>
      </c>
      <c r="B181" s="289">
        <v>284736</v>
      </c>
      <c r="C181" s="289"/>
      <c r="D181" s="39">
        <v>30546771314</v>
      </c>
      <c r="E181" s="39" t="str">
        <f>VLOOKUP(D181,Configuracion!$A$4:$C$591,2,FALSE)</f>
        <v>MEDICUS SA</v>
      </c>
      <c r="F181" s="224">
        <v>332.63</v>
      </c>
      <c r="G181" s="224"/>
      <c r="H181" s="224"/>
      <c r="I181" s="225"/>
      <c r="J181" s="12"/>
      <c r="K181" s="13"/>
      <c r="L181" s="2"/>
      <c r="M181" s="2"/>
    </row>
    <row r="182" spans="1:14" ht="15.75">
      <c r="A182" s="226">
        <v>45006</v>
      </c>
      <c r="B182" s="289">
        <v>196603</v>
      </c>
      <c r="C182" s="289"/>
      <c r="D182" s="39">
        <v>30546771314</v>
      </c>
      <c r="E182" s="39" t="str">
        <f>VLOOKUP(D182,Configuracion!$A$4:$C$591,2,FALSE)</f>
        <v>MEDICUS SA</v>
      </c>
      <c r="F182" s="224"/>
      <c r="G182" s="224"/>
      <c r="H182" s="224">
        <v>2776.86</v>
      </c>
      <c r="I182" s="225"/>
      <c r="J182" s="12"/>
      <c r="K182" s="13"/>
      <c r="L182" s="2"/>
      <c r="M182" s="2"/>
    </row>
    <row r="183" spans="1:14" ht="15.75">
      <c r="A183" s="226">
        <v>45020</v>
      </c>
      <c r="B183" s="289">
        <v>2300</v>
      </c>
      <c r="C183" s="289"/>
      <c r="D183" s="39">
        <v>30683032227</v>
      </c>
      <c r="E183" s="39" t="str">
        <f>VLOOKUP(D183,Configuracion!$A$4:$C$591,2,FALSE)</f>
        <v>OS UNION PERSONAL</v>
      </c>
      <c r="F183" s="224"/>
      <c r="G183" s="224"/>
      <c r="H183" s="224">
        <v>6098.31</v>
      </c>
      <c r="I183" s="225"/>
      <c r="J183" s="12"/>
      <c r="K183" s="13"/>
      <c r="L183" s="2"/>
      <c r="M183" s="2"/>
    </row>
    <row r="184" spans="1:14" ht="15.75">
      <c r="A184" s="226">
        <v>45030</v>
      </c>
      <c r="B184" s="289">
        <v>32876</v>
      </c>
      <c r="C184" s="289"/>
      <c r="D184" s="39">
        <v>30710538014</v>
      </c>
      <c r="E184" s="39" t="str">
        <f>VLOOKUP(D184,Configuracion!$A$4:$C$591,2,FALSE)</f>
        <v>HC HOMECARE INT DOM SA</v>
      </c>
      <c r="F184" s="224"/>
      <c r="G184" s="224"/>
      <c r="H184" s="224">
        <v>393.52</v>
      </c>
      <c r="I184" s="225"/>
      <c r="J184" s="12"/>
      <c r="K184" s="13"/>
      <c r="L184" s="2"/>
      <c r="M184" s="2"/>
    </row>
    <row r="185" spans="1:14" ht="15.75">
      <c r="A185" s="226">
        <v>45042</v>
      </c>
      <c r="B185" s="289">
        <v>2324</v>
      </c>
      <c r="C185" s="289"/>
      <c r="D185" s="39">
        <v>30683032227</v>
      </c>
      <c r="E185" s="39" t="str">
        <f>VLOOKUP(D185,Configuracion!$A$4:$C$591,2,FALSE)</f>
        <v>OS UNION PERSONAL</v>
      </c>
      <c r="F185" s="224"/>
      <c r="G185" s="224"/>
      <c r="H185" s="224">
        <v>1388.43</v>
      </c>
      <c r="I185" s="225"/>
      <c r="J185" s="12"/>
      <c r="K185" s="13"/>
      <c r="L185" s="2"/>
      <c r="M185" s="2"/>
    </row>
    <row r="186" spans="1:14" ht="15.75">
      <c r="A186" s="226">
        <v>45044</v>
      </c>
      <c r="B186" s="289">
        <v>74013</v>
      </c>
      <c r="C186" s="289"/>
      <c r="D186" s="39">
        <v>30590354798</v>
      </c>
      <c r="E186" s="39" t="str">
        <f>VLOOKUP(D186,Configuracion!$A$4:$C$591,2,FALSE)</f>
        <v>ASOCIACION MUTUAL SANCOR SALUD</v>
      </c>
      <c r="F186" s="224">
        <v>37156.42</v>
      </c>
      <c r="G186" s="224"/>
      <c r="H186" s="224"/>
      <c r="I186" s="225"/>
      <c r="J186" s="12"/>
      <c r="K186" s="13"/>
      <c r="L186" s="2"/>
      <c r="M186" s="2"/>
    </row>
    <row r="187" spans="1:14" ht="15.75">
      <c r="A187" s="226">
        <v>45049</v>
      </c>
      <c r="B187" s="289">
        <v>31814</v>
      </c>
      <c r="C187" s="289"/>
      <c r="D187" s="39">
        <v>30522428163</v>
      </c>
      <c r="E187" s="39" t="str">
        <f>VLOOKUP(D187,Configuracion!$A$4:$C$591,2,FALSE)</f>
        <v>GALENO ARGENTINA SA</v>
      </c>
      <c r="F187" s="224">
        <v>3236.52</v>
      </c>
      <c r="G187" s="224">
        <v>18637.830000000002</v>
      </c>
      <c r="H187" s="224">
        <v>1618.26</v>
      </c>
      <c r="I187" s="225">
        <v>1811.84</v>
      </c>
      <c r="J187" s="12"/>
      <c r="K187" s="13"/>
      <c r="L187" s="2"/>
      <c r="M187" s="2"/>
    </row>
    <row r="188" spans="1:14" ht="15.75">
      <c r="A188" s="226">
        <v>45049</v>
      </c>
      <c r="B188" s="289">
        <v>31816</v>
      </c>
      <c r="C188" s="289"/>
      <c r="D188" s="39">
        <v>30522428163</v>
      </c>
      <c r="E188" s="39" t="str">
        <f>VLOOKUP(D188,Configuracion!$A$4:$C$591,2,FALSE)</f>
        <v>GALENO ARGENTINA SA</v>
      </c>
      <c r="F188" s="224">
        <v>3489.23</v>
      </c>
      <c r="G188" s="224">
        <v>18319.22</v>
      </c>
      <c r="H188" s="224">
        <v>1744.69</v>
      </c>
      <c r="I188" s="225">
        <v>1744.69</v>
      </c>
      <c r="J188" s="12"/>
      <c r="K188" s="13"/>
      <c r="L188" s="2"/>
      <c r="M188" s="2"/>
    </row>
    <row r="189" spans="1:14" ht="15.75">
      <c r="A189" s="226">
        <v>45028</v>
      </c>
      <c r="B189" s="289">
        <v>26506</v>
      </c>
      <c r="C189" s="289"/>
      <c r="D189" s="39">
        <v>30522428163</v>
      </c>
      <c r="E189" s="39" t="str">
        <f>VLOOKUP(D189,Configuracion!$A$4:$C$591,2,FALSE)</f>
        <v>GALENO ARGENTINA SA</v>
      </c>
      <c r="F189" s="224">
        <v>40859.279999999999</v>
      </c>
      <c r="G189" s="224">
        <v>214512.39</v>
      </c>
      <c r="H189" s="224">
        <v>20429.75</v>
      </c>
      <c r="I189" s="225">
        <v>20429.75</v>
      </c>
      <c r="J189" s="12"/>
      <c r="K189" s="13"/>
      <c r="L189" s="2"/>
      <c r="M189" s="2"/>
    </row>
    <row r="190" spans="1:14" ht="15.75">
      <c r="A190" s="226">
        <v>45044</v>
      </c>
      <c r="B190" s="289">
        <v>31374</v>
      </c>
      <c r="C190" s="289"/>
      <c r="D190" s="39">
        <v>30522428163</v>
      </c>
      <c r="E190" s="39" t="str">
        <f>VLOOKUP(D190,Configuracion!$A$4:$C$591,2,FALSE)</f>
        <v>GALENO ARGENTINA SA</v>
      </c>
      <c r="F190" s="224">
        <v>82282.16</v>
      </c>
      <c r="G190" s="224">
        <v>441056.4</v>
      </c>
      <c r="H190" s="224">
        <v>41141.08</v>
      </c>
      <c r="I190" s="225">
        <v>42005.37</v>
      </c>
      <c r="J190" s="12"/>
      <c r="K190" s="13"/>
      <c r="L190" s="2"/>
      <c r="M190" s="2"/>
    </row>
    <row r="191" spans="1:14" ht="15.75">
      <c r="A191" s="226">
        <v>45044</v>
      </c>
      <c r="B191" s="289">
        <v>31386</v>
      </c>
      <c r="C191" s="289"/>
      <c r="D191" s="39">
        <v>30522428163</v>
      </c>
      <c r="E191" s="39" t="str">
        <f>VLOOKUP(D191,Configuracion!$A$4:$C$591,2,FALSE)</f>
        <v>GALENO ARGENTINA SA</v>
      </c>
      <c r="F191" s="224">
        <v>49599.61</v>
      </c>
      <c r="G191" s="224">
        <v>298069.82</v>
      </c>
      <c r="H191" s="224">
        <v>24800.82</v>
      </c>
      <c r="I191" s="225">
        <v>28387.599999999999</v>
      </c>
      <c r="J191" s="12"/>
      <c r="K191" s="13"/>
      <c r="L191" s="2"/>
      <c r="M191" s="2"/>
    </row>
    <row r="192" spans="1:14" ht="15.75">
      <c r="A192" s="226">
        <v>45030</v>
      </c>
      <c r="B192" s="289">
        <v>27051</v>
      </c>
      <c r="C192" s="289"/>
      <c r="D192" s="39">
        <v>30522428163</v>
      </c>
      <c r="E192" s="39" t="str">
        <f>VLOOKUP(D192,Configuracion!$A$4:$C$591,2,FALSE)</f>
        <v>GALENO ARGENTINA SA</v>
      </c>
      <c r="F192" s="224">
        <v>87970.25</v>
      </c>
      <c r="G192" s="224">
        <v>461843.8</v>
      </c>
      <c r="H192" s="224">
        <v>43985.120000000003</v>
      </c>
      <c r="I192" s="225">
        <v>43985.120000000003</v>
      </c>
      <c r="J192" s="12"/>
      <c r="K192" s="13"/>
      <c r="L192" s="2"/>
      <c r="M192" s="2"/>
    </row>
    <row r="193" spans="1:14" ht="15.75">
      <c r="A193" s="226">
        <v>45049</v>
      </c>
      <c r="B193" s="289">
        <v>31818</v>
      </c>
      <c r="C193" s="289"/>
      <c r="D193" s="39">
        <v>30522428163</v>
      </c>
      <c r="E193" s="39" t="str">
        <f>VLOOKUP(D193,Configuracion!$A$4:$C$591,2,FALSE)</f>
        <v>GALENO ARGENTINA SA</v>
      </c>
      <c r="F193" s="224">
        <v>195532.46</v>
      </c>
      <c r="G193" s="224">
        <v>1182217.83</v>
      </c>
      <c r="H193" s="224">
        <v>100006.23</v>
      </c>
      <c r="I193" s="225">
        <v>112592.17</v>
      </c>
      <c r="J193" s="12"/>
      <c r="K193" s="13"/>
      <c r="L193" s="2"/>
      <c r="M193" s="2"/>
    </row>
    <row r="194" spans="1:14" ht="15.75">
      <c r="A194" s="226"/>
      <c r="B194" s="289"/>
      <c r="C194" s="289"/>
      <c r="D194" s="39"/>
      <c r="E194" s="39" t="e">
        <f>VLOOKUP(D194,Configuracion!$A$4:$C$591,2,FALSE)</f>
        <v>#N/A</v>
      </c>
      <c r="F194" s="224"/>
      <c r="G194" s="224"/>
      <c r="H194" s="224"/>
      <c r="I194" s="225"/>
      <c r="J194" s="12"/>
      <c r="K194" s="13"/>
      <c r="L194" s="2"/>
      <c r="M194" s="2"/>
    </row>
    <row r="195" spans="1:14" ht="15.75">
      <c r="A195" s="226"/>
      <c r="B195" s="289"/>
      <c r="C195" s="289"/>
      <c r="D195" s="39"/>
      <c r="E195" s="39" t="e">
        <f>VLOOKUP(D195,Configuracion!$A$4:$C$591,2,FALSE)</f>
        <v>#N/A</v>
      </c>
      <c r="F195" s="224"/>
      <c r="G195" s="224"/>
      <c r="H195" s="224"/>
      <c r="I195" s="225"/>
      <c r="J195" s="12"/>
      <c r="K195" s="13"/>
      <c r="L195" s="2"/>
      <c r="M195" s="2"/>
    </row>
    <row r="196" spans="1:14" ht="15.75">
      <c r="A196" s="226"/>
      <c r="B196" s="289"/>
      <c r="C196" s="289"/>
      <c r="D196" s="39"/>
      <c r="E196" s="39" t="e">
        <f>VLOOKUP(D196,Configuracion!$A$4:$C$591,2,FALSE)</f>
        <v>#N/A</v>
      </c>
      <c r="F196" s="224"/>
      <c r="G196" s="224"/>
      <c r="H196" s="224"/>
      <c r="I196" s="225"/>
      <c r="J196" s="12"/>
      <c r="K196" s="13"/>
      <c r="L196" s="2"/>
      <c r="M196" s="2"/>
    </row>
    <row r="197" spans="1:14" ht="15.75">
      <c r="A197" s="226"/>
      <c r="B197" s="289"/>
      <c r="C197" s="289"/>
      <c r="D197" s="39"/>
      <c r="E197" s="39" t="e">
        <f>VLOOKUP(D197,Configuracion!$A$4:$C$591,2,FALSE)</f>
        <v>#N/A</v>
      </c>
      <c r="F197" s="224"/>
      <c r="G197" s="224"/>
      <c r="H197" s="224"/>
      <c r="I197" s="225"/>
      <c r="J197" s="12"/>
      <c r="K197" s="13"/>
      <c r="L197" s="2"/>
      <c r="M197" s="2"/>
    </row>
    <row r="198" spans="1:14" ht="15.75">
      <c r="A198" s="226"/>
      <c r="B198" s="289"/>
      <c r="C198" s="289"/>
      <c r="D198" s="39"/>
      <c r="E198" s="39" t="e">
        <f>VLOOKUP(D198,Configuracion!$A$4:$C$591,2,FALSE)</f>
        <v>#N/A</v>
      </c>
      <c r="F198" s="224"/>
      <c r="G198" s="224"/>
      <c r="H198" s="224"/>
      <c r="I198" s="225"/>
      <c r="J198" s="12"/>
      <c r="K198" s="13"/>
      <c r="L198" s="2"/>
      <c r="M198" s="2"/>
    </row>
    <row r="199" spans="1:14" ht="15.75">
      <c r="A199" s="226"/>
      <c r="B199" s="289"/>
      <c r="C199" s="289"/>
      <c r="D199" s="39"/>
      <c r="E199" s="39" t="e">
        <f>VLOOKUP(D199,Configuracion!$A$4:$C$591,2,FALSE)</f>
        <v>#N/A</v>
      </c>
      <c r="F199" s="224"/>
      <c r="G199" s="224"/>
      <c r="H199" s="224"/>
      <c r="I199" s="225"/>
      <c r="J199" s="12"/>
      <c r="K199" s="13"/>
      <c r="L199" s="2"/>
      <c r="M199" s="2"/>
    </row>
    <row r="200" spans="1:14" ht="15.75">
      <c r="A200" s="226"/>
      <c r="B200" s="289"/>
      <c r="C200" s="289"/>
      <c r="D200" s="39"/>
      <c r="E200" s="39" t="e">
        <f>VLOOKUP(D200,Configuracion!$A$4:$C$591,2,FALSE)</f>
        <v>#N/A</v>
      </c>
      <c r="F200" s="224"/>
      <c r="G200" s="224"/>
      <c r="H200" s="224"/>
      <c r="I200" s="225"/>
      <c r="J200" s="12"/>
      <c r="K200" s="12"/>
      <c r="L200" s="13"/>
      <c r="M200" s="2"/>
      <c r="N200" s="2"/>
    </row>
    <row r="201" spans="1:14" ht="15.75">
      <c r="A201" s="226"/>
      <c r="B201" s="289"/>
      <c r="C201" s="289"/>
      <c r="D201" s="39"/>
      <c r="E201" s="39" t="e">
        <f>VLOOKUP(D201,Configuracion!$A$4:$C$591,2,FALSE)</f>
        <v>#N/A</v>
      </c>
      <c r="F201" s="224"/>
      <c r="G201" s="224"/>
      <c r="H201" s="224"/>
      <c r="I201" s="225"/>
      <c r="J201" s="12"/>
      <c r="K201" s="12"/>
      <c r="L201" s="13"/>
      <c r="M201" s="2"/>
      <c r="N201" s="2"/>
    </row>
    <row r="202" spans="1:14" ht="15.75">
      <c r="A202" s="226"/>
      <c r="B202" s="289"/>
      <c r="C202" s="289"/>
      <c r="D202" s="39"/>
      <c r="E202" s="39" t="e">
        <f>VLOOKUP(D202,Configuracion!$A$4:$C$591,2,FALSE)</f>
        <v>#N/A</v>
      </c>
      <c r="F202" s="224"/>
      <c r="G202" s="224"/>
      <c r="H202" s="224"/>
      <c r="I202" s="225"/>
      <c r="J202" s="12"/>
      <c r="K202" s="12"/>
      <c r="L202" s="13"/>
      <c r="M202" s="2"/>
      <c r="N202" s="2"/>
    </row>
    <row r="203" spans="1:14" ht="15.75">
      <c r="A203" s="226"/>
      <c r="B203" s="289"/>
      <c r="C203" s="289"/>
      <c r="D203" s="39"/>
      <c r="E203" s="39" t="e">
        <f>VLOOKUP(D203,Configuracion!$A$4:$C$591,2,FALSE)</f>
        <v>#N/A</v>
      </c>
      <c r="F203" s="224"/>
      <c r="G203" s="224"/>
      <c r="H203" s="224"/>
      <c r="I203" s="225"/>
      <c r="J203" s="12"/>
      <c r="K203" s="12"/>
      <c r="L203" s="13"/>
      <c r="M203" s="2"/>
      <c r="N203" s="2"/>
    </row>
    <row r="204" spans="1:14" ht="15.75">
      <c r="A204" s="226"/>
      <c r="B204" s="289"/>
      <c r="C204" s="289"/>
      <c r="D204" s="39"/>
      <c r="E204" s="39" t="e">
        <f>VLOOKUP(D204,Configuracion!$A$4:$C$591,2,FALSE)</f>
        <v>#N/A</v>
      </c>
      <c r="F204" s="224"/>
      <c r="G204" s="224"/>
      <c r="H204" s="224"/>
      <c r="I204" s="225"/>
      <c r="J204" s="12"/>
      <c r="K204" s="12"/>
      <c r="L204" s="13"/>
      <c r="M204" s="2"/>
      <c r="N204" s="2"/>
    </row>
    <row r="205" spans="1:14" ht="15.75">
      <c r="A205" s="226"/>
      <c r="B205" s="289"/>
      <c r="C205" s="289"/>
      <c r="D205" s="39"/>
      <c r="E205" s="39" t="e">
        <f>VLOOKUP(D205,Configuracion!$A$4:$C$591,2,FALSE)</f>
        <v>#N/A</v>
      </c>
      <c r="F205" s="224"/>
      <c r="G205" s="224"/>
      <c r="H205" s="224"/>
      <c r="I205" s="225"/>
      <c r="J205" s="12"/>
      <c r="K205" s="12"/>
      <c r="L205" s="13"/>
      <c r="M205" s="2"/>
      <c r="N205" s="2"/>
    </row>
    <row r="206" spans="1:14" ht="15.75">
      <c r="A206" s="226"/>
      <c r="B206" s="289"/>
      <c r="C206" s="289"/>
      <c r="D206" s="39"/>
      <c r="E206" s="39" t="e">
        <f>VLOOKUP(D206,Configuracion!$A$4:$C$591,2,FALSE)</f>
        <v>#N/A</v>
      </c>
      <c r="F206" s="224"/>
      <c r="G206" s="224"/>
      <c r="H206" s="224"/>
      <c r="I206" s="225"/>
      <c r="J206" s="12"/>
      <c r="K206" s="12"/>
      <c r="L206" s="13"/>
      <c r="M206" s="2"/>
      <c r="N206" s="2"/>
    </row>
    <row r="207" spans="1:14" ht="15.75">
      <c r="A207" s="226"/>
      <c r="B207" s="289"/>
      <c r="C207" s="289"/>
      <c r="D207" s="39"/>
      <c r="E207" s="39" t="e">
        <f>VLOOKUP(D207,Configuracion!$A$4:$C$591,2,FALSE)</f>
        <v>#N/A</v>
      </c>
      <c r="F207" s="224"/>
      <c r="G207" s="224"/>
      <c r="H207" s="224"/>
      <c r="I207" s="225"/>
      <c r="J207" s="12"/>
      <c r="K207" s="12"/>
      <c r="L207" s="13"/>
      <c r="M207" s="2"/>
      <c r="N207" s="2"/>
    </row>
    <row r="208" spans="1:14" ht="15.75">
      <c r="A208" s="226"/>
      <c r="B208" s="289"/>
      <c r="C208" s="289"/>
      <c r="D208" s="39"/>
      <c r="E208" s="39" t="e">
        <f>VLOOKUP(D208,Configuracion!$A$4:$C$591,2,FALSE)</f>
        <v>#N/A</v>
      </c>
      <c r="F208" s="224"/>
      <c r="G208" s="224"/>
      <c r="H208" s="224"/>
      <c r="I208" s="225"/>
      <c r="J208" s="12"/>
      <c r="K208" s="12"/>
      <c r="L208" s="13"/>
      <c r="M208" s="2"/>
      <c r="N208" s="2"/>
    </row>
    <row r="209" spans="1:14" ht="15.75">
      <c r="A209" s="226"/>
      <c r="B209" s="289"/>
      <c r="C209" s="289"/>
      <c r="D209" s="39"/>
      <c r="E209" s="39" t="e">
        <f>VLOOKUP(D209,Configuracion!$A$4:$C$591,2,FALSE)</f>
        <v>#N/A</v>
      </c>
      <c r="F209" s="224"/>
      <c r="G209" s="224"/>
      <c r="H209" s="224"/>
      <c r="I209" s="225"/>
      <c r="J209" s="12"/>
      <c r="K209" s="12"/>
      <c r="L209" s="13"/>
      <c r="M209" s="2"/>
      <c r="N209" s="2"/>
    </row>
    <row r="210" spans="1:14" ht="15.75">
      <c r="A210" s="226"/>
      <c r="B210" s="289"/>
      <c r="C210" s="289"/>
      <c r="D210" s="39"/>
      <c r="E210" s="39" t="e">
        <f>VLOOKUP(D210,Configuracion!$A$4:$C$591,2,FALSE)</f>
        <v>#N/A</v>
      </c>
      <c r="F210" s="224"/>
      <c r="G210" s="224"/>
      <c r="H210" s="224"/>
      <c r="I210" s="225"/>
      <c r="J210" s="12"/>
      <c r="K210" s="12"/>
      <c r="L210" s="13"/>
      <c r="M210" s="2"/>
      <c r="N210" s="2"/>
    </row>
    <row r="211" spans="1:14" ht="15.75">
      <c r="A211" s="226"/>
      <c r="B211" s="289"/>
      <c r="C211" s="289"/>
      <c r="D211" s="39"/>
      <c r="E211" s="39" t="e">
        <f>VLOOKUP(D211,Configuracion!$A$4:$C$591,2,FALSE)</f>
        <v>#N/A</v>
      </c>
      <c r="F211" s="224"/>
      <c r="G211" s="224"/>
      <c r="H211" s="224"/>
      <c r="I211" s="225"/>
      <c r="J211" s="12"/>
      <c r="K211" s="12"/>
      <c r="L211" s="13"/>
      <c r="M211" s="2"/>
      <c r="N211" s="2"/>
    </row>
    <row r="212" spans="1:14" ht="15.75">
      <c r="A212" s="226"/>
      <c r="B212" s="289"/>
      <c r="C212" s="289"/>
      <c r="D212" s="39"/>
      <c r="E212" s="39" t="e">
        <f>VLOOKUP(D212,Configuracion!$A$4:$C$591,2,FALSE)</f>
        <v>#N/A</v>
      </c>
      <c r="F212" s="224"/>
      <c r="G212" s="224"/>
      <c r="H212" s="224"/>
      <c r="I212" s="225"/>
      <c r="J212" s="12"/>
      <c r="K212" s="12"/>
      <c r="L212" s="13"/>
      <c r="M212" s="2"/>
      <c r="N212" s="2"/>
    </row>
    <row r="213" spans="1:14" ht="16.5" thickBot="1">
      <c r="A213" s="270" t="s">
        <v>4</v>
      </c>
      <c r="B213" s="271"/>
      <c r="C213" s="271"/>
      <c r="D213" s="271"/>
      <c r="E213" s="272"/>
      <c r="F213" s="74">
        <f>SUM(F173:F212)</f>
        <v>508805.16000000003</v>
      </c>
      <c r="G213" s="74">
        <f>SUM(G173:G212)</f>
        <v>2641321.75</v>
      </c>
      <c r="H213" s="74">
        <f>SUM(H173:H212)</f>
        <v>263871.19</v>
      </c>
      <c r="I213" s="74">
        <f>SUM(I173:I212)</f>
        <v>250956.53999999998</v>
      </c>
      <c r="J213" s="12"/>
      <c r="K213" s="12"/>
      <c r="L213" s="13"/>
      <c r="M213" s="2"/>
      <c r="N213" s="2"/>
    </row>
    <row r="214" spans="1:14">
      <c r="A214" s="32"/>
      <c r="B214" s="32"/>
      <c r="D214" s="41"/>
      <c r="E214" s="33"/>
      <c r="F214" s="51"/>
      <c r="G214" s="5"/>
      <c r="H214" s="5"/>
      <c r="I214" s="5"/>
      <c r="J214" s="14"/>
      <c r="K214" s="15"/>
      <c r="L214" s="11"/>
    </row>
    <row r="215" spans="1:14">
      <c r="A215" s="32"/>
      <c r="B215" s="32"/>
      <c r="D215" s="41"/>
      <c r="E215" s="33"/>
      <c r="F215" s="51"/>
      <c r="G215" s="5"/>
      <c r="H215" s="5"/>
      <c r="I215" s="5"/>
      <c r="J215" s="14"/>
      <c r="K215" s="15"/>
      <c r="L215" s="11"/>
    </row>
    <row r="216" spans="1:14" ht="15.75" thickBot="1">
      <c r="J216" s="14"/>
      <c r="K216" s="15"/>
      <c r="L216" s="11"/>
    </row>
    <row r="217" spans="1:14" ht="16.5" thickBot="1">
      <c r="A217" s="267" t="s">
        <v>0</v>
      </c>
      <c r="B217" s="268"/>
      <c r="C217" s="268"/>
      <c r="D217" s="268"/>
      <c r="E217" s="268"/>
      <c r="F217" s="268"/>
      <c r="G217" s="268"/>
      <c r="H217" s="268"/>
      <c r="I217" s="269"/>
      <c r="J217" s="14"/>
      <c r="K217" s="15"/>
      <c r="L217" s="11"/>
    </row>
    <row r="218" spans="1:14" ht="16.5" thickBot="1">
      <c r="A218" s="62"/>
      <c r="B218" s="12"/>
      <c r="C218" s="12"/>
      <c r="D218" s="96"/>
      <c r="E218" s="12"/>
      <c r="F218" s="12"/>
      <c r="G218" s="12"/>
      <c r="H218" s="12"/>
      <c r="I218" s="12"/>
      <c r="J218" s="14"/>
      <c r="K218" s="15"/>
      <c r="L218" s="11"/>
    </row>
    <row r="219" spans="1:14" ht="16.5" thickBot="1">
      <c r="A219" s="273" t="s">
        <v>26</v>
      </c>
      <c r="B219" s="274"/>
      <c r="C219" s="275"/>
      <c r="D219" s="96"/>
      <c r="E219" s="12"/>
      <c r="F219" s="12"/>
      <c r="G219" s="12"/>
      <c r="H219" s="12"/>
      <c r="I219" s="12"/>
      <c r="J219" s="14"/>
      <c r="K219" s="15"/>
      <c r="L219" s="11"/>
    </row>
    <row r="220" spans="1:14" ht="15.75" thickBot="1">
      <c r="A220" s="63" t="s">
        <v>1</v>
      </c>
      <c r="B220" s="24" t="s">
        <v>17</v>
      </c>
      <c r="C220" s="24" t="s">
        <v>18</v>
      </c>
      <c r="D220" s="42" t="s">
        <v>7</v>
      </c>
      <c r="E220" s="24" t="s">
        <v>19</v>
      </c>
      <c r="F220" s="24" t="s">
        <v>8</v>
      </c>
      <c r="G220" s="24" t="s">
        <v>3</v>
      </c>
      <c r="H220" s="24" t="s">
        <v>31</v>
      </c>
      <c r="I220" s="24" t="s">
        <v>4</v>
      </c>
      <c r="J220" s="14"/>
      <c r="K220" s="15"/>
      <c r="L220" s="11"/>
    </row>
    <row r="221" spans="1:14" ht="15.75" thickBot="1">
      <c r="A221" s="64"/>
      <c r="B221" s="27"/>
      <c r="C221" s="16"/>
      <c r="D221" s="39"/>
      <c r="E221" s="39" t="e">
        <f>VLOOKUP(D221,Configuracion!$A$4:$C$591,2,FALSE)</f>
        <v>#N/A</v>
      </c>
      <c r="F221" s="203"/>
      <c r="G221" s="19">
        <f t="shared" ref="G221:G222" si="14">F221*0.21</f>
        <v>0</v>
      </c>
      <c r="H221" s="75"/>
      <c r="I221" s="54">
        <f t="shared" ref="I221:I222" si="15">SUM(F221:H221)</f>
        <v>0</v>
      </c>
      <c r="J221" s="14"/>
      <c r="K221" s="15"/>
      <c r="L221" s="11"/>
    </row>
    <row r="222" spans="1:14" ht="15.75" thickBot="1">
      <c r="A222" s="64"/>
      <c r="B222" s="27"/>
      <c r="C222" s="16"/>
      <c r="D222" s="39"/>
      <c r="E222" s="39" t="e">
        <f>VLOOKUP(D222,Configuracion!$A$4:$C$591,2,FALSE)</f>
        <v>#N/A</v>
      </c>
      <c r="F222" s="203"/>
      <c r="G222" s="19">
        <f t="shared" si="14"/>
        <v>0</v>
      </c>
      <c r="H222" s="75"/>
      <c r="I222" s="54">
        <f t="shared" si="15"/>
        <v>0</v>
      </c>
      <c r="J222" s="14"/>
      <c r="K222" s="15"/>
      <c r="L222" s="11"/>
    </row>
    <row r="223" spans="1:14" ht="15.75" thickBot="1">
      <c r="A223" s="64"/>
      <c r="B223" s="27"/>
      <c r="C223" s="16"/>
      <c r="D223" s="39"/>
      <c r="E223" s="39" t="e">
        <f>VLOOKUP(D223,Configuracion!$A$4:$C$591,2,FALSE)</f>
        <v>#N/A</v>
      </c>
      <c r="F223" s="203"/>
      <c r="G223" s="19">
        <f t="shared" ref="G223:G224" si="16">F223*0.21</f>
        <v>0</v>
      </c>
      <c r="H223" s="75"/>
      <c r="I223" s="54">
        <f t="shared" ref="I223:I224" si="17">SUM(F223:H223)</f>
        <v>0</v>
      </c>
      <c r="J223" s="14"/>
      <c r="K223" s="15"/>
      <c r="L223" s="11"/>
    </row>
    <row r="224" spans="1:14" ht="15.75" thickBot="1">
      <c r="A224" s="64"/>
      <c r="B224" s="27"/>
      <c r="C224" s="16"/>
      <c r="D224" s="39"/>
      <c r="E224" s="39" t="e">
        <f>VLOOKUP(D224,Configuracion!$A$4:$C$591,2,FALSE)</f>
        <v>#N/A</v>
      </c>
      <c r="F224" s="203"/>
      <c r="G224" s="19">
        <f t="shared" si="16"/>
        <v>0</v>
      </c>
      <c r="H224" s="75"/>
      <c r="I224" s="54">
        <f t="shared" si="17"/>
        <v>0</v>
      </c>
      <c r="J224" s="14"/>
      <c r="K224" s="15"/>
      <c r="L224" s="11"/>
    </row>
    <row r="225" spans="1:12" ht="15.75" thickBot="1">
      <c r="A225" s="64"/>
      <c r="B225" s="27"/>
      <c r="C225" s="16"/>
      <c r="D225" s="39"/>
      <c r="E225" s="39" t="e">
        <f>VLOOKUP(D225,Configuracion!$A$4:$C$591,2,FALSE)</f>
        <v>#N/A</v>
      </c>
      <c r="F225" s="203"/>
      <c r="G225" s="19">
        <f t="shared" ref="G225" si="18">F225*0.21</f>
        <v>0</v>
      </c>
      <c r="H225" s="75"/>
      <c r="I225" s="54">
        <f t="shared" ref="I225" si="19">SUM(F225:H225)</f>
        <v>0</v>
      </c>
      <c r="J225" s="14"/>
      <c r="K225" s="15"/>
      <c r="L225" s="11"/>
    </row>
    <row r="226" spans="1:12" ht="15.75" thickBot="1">
      <c r="A226" s="64"/>
      <c r="B226" s="27"/>
      <c r="C226" s="16"/>
      <c r="D226" s="39"/>
      <c r="E226" s="39" t="e">
        <f>VLOOKUP(D226,Configuracion!$A$4:$C$591,2,FALSE)</f>
        <v>#N/A</v>
      </c>
      <c r="F226" s="203"/>
      <c r="G226" s="19">
        <f t="shared" ref="G226" si="20">F226*0.21</f>
        <v>0</v>
      </c>
      <c r="H226" s="75"/>
      <c r="I226" s="54">
        <f t="shared" ref="I226" si="21">SUM(F226:H226)</f>
        <v>0</v>
      </c>
      <c r="J226" s="14"/>
      <c r="K226" s="15"/>
      <c r="L226" s="11"/>
    </row>
    <row r="227" spans="1:12" ht="15.75" thickBot="1">
      <c r="A227" s="263" t="s">
        <v>4</v>
      </c>
      <c r="B227" s="264"/>
      <c r="C227" s="265"/>
      <c r="D227" s="265"/>
      <c r="E227" s="266"/>
      <c r="F227" s="52">
        <f>SUM(F221:F226)</f>
        <v>0</v>
      </c>
      <c r="G227" s="52">
        <f>SUM(G221:G226)</f>
        <v>0</v>
      </c>
      <c r="H227" s="52"/>
      <c r="I227" s="52">
        <f>SUM(I221:I226)</f>
        <v>0</v>
      </c>
    </row>
    <row r="228" spans="1:12">
      <c r="A228" s="66"/>
      <c r="B228" s="6"/>
      <c r="C228" s="17"/>
      <c r="D228" s="44"/>
      <c r="E228" s="17"/>
      <c r="F228" s="53"/>
      <c r="G228" s="53"/>
      <c r="H228" s="53"/>
      <c r="I228" s="11"/>
    </row>
    <row r="229" spans="1:12" ht="15.75" thickBot="1"/>
    <row r="230" spans="1:12" ht="16.5" thickBot="1">
      <c r="A230" s="273" t="s">
        <v>27</v>
      </c>
      <c r="B230" s="274"/>
      <c r="C230" s="275"/>
      <c r="D230" s="96"/>
      <c r="E230" s="12"/>
      <c r="F230" s="12"/>
      <c r="G230" s="12"/>
      <c r="H230" s="12"/>
    </row>
    <row r="231" spans="1:12" ht="15.75" thickBot="1">
      <c r="A231" s="63" t="s">
        <v>1</v>
      </c>
      <c r="B231" s="24" t="s">
        <v>17</v>
      </c>
      <c r="C231" s="24" t="s">
        <v>18</v>
      </c>
      <c r="D231" s="42" t="s">
        <v>7</v>
      </c>
      <c r="E231" s="24" t="s">
        <v>19</v>
      </c>
      <c r="F231" s="24" t="s">
        <v>8</v>
      </c>
      <c r="G231" s="24" t="s">
        <v>3</v>
      </c>
      <c r="H231" s="24" t="s">
        <v>4</v>
      </c>
    </row>
    <row r="232" spans="1:12">
      <c r="A232" s="64"/>
      <c r="B232" s="20"/>
      <c r="C232" s="16"/>
      <c r="D232" s="39"/>
      <c r="E232" s="39" t="e">
        <f>VLOOKUP(D232,Configuracion!$A$4:$C$591,2,FALSE)</f>
        <v>#N/A</v>
      </c>
      <c r="F232" s="19">
        <f t="shared" ref="F232:F233" si="22">H232/1.21</f>
        <v>0</v>
      </c>
      <c r="G232" s="19">
        <f t="shared" ref="G232:G233" si="23">F232*0.21</f>
        <v>0</v>
      </c>
      <c r="H232" s="205"/>
    </row>
    <row r="233" spans="1:12">
      <c r="A233" s="64"/>
      <c r="B233" s="20"/>
      <c r="C233" s="16"/>
      <c r="D233" s="39"/>
      <c r="E233" s="39" t="e">
        <f>VLOOKUP(D233,Configuracion!$A$4:$C$591,2,FALSE)</f>
        <v>#N/A</v>
      </c>
      <c r="F233" s="19">
        <f t="shared" si="22"/>
        <v>0</v>
      </c>
      <c r="G233" s="19">
        <f t="shared" si="23"/>
        <v>0</v>
      </c>
      <c r="H233" s="205"/>
    </row>
    <row r="234" spans="1:12">
      <c r="A234" s="64"/>
      <c r="B234" s="20"/>
      <c r="C234" s="16"/>
      <c r="D234" s="39"/>
      <c r="E234" s="39" t="e">
        <f>VLOOKUP(D234,Configuracion!$A$4:$C$591,2,FALSE)</f>
        <v>#N/A</v>
      </c>
      <c r="F234" s="19">
        <f t="shared" ref="F234:F236" si="24">H234/1.21</f>
        <v>0</v>
      </c>
      <c r="G234" s="19">
        <f t="shared" ref="G234:G236" si="25">F234*0.21</f>
        <v>0</v>
      </c>
      <c r="H234" s="205"/>
    </row>
    <row r="235" spans="1:12">
      <c r="A235" s="64"/>
      <c r="B235" s="20"/>
      <c r="C235" s="16"/>
      <c r="D235" s="39"/>
      <c r="E235" s="39" t="e">
        <f>VLOOKUP(D235,Configuracion!$A$4:$C$591,2,FALSE)</f>
        <v>#N/A</v>
      </c>
      <c r="F235" s="19">
        <f t="shared" si="24"/>
        <v>0</v>
      </c>
      <c r="G235" s="19">
        <f t="shared" si="25"/>
        <v>0</v>
      </c>
      <c r="H235" s="205"/>
    </row>
    <row r="236" spans="1:12" ht="15.75" thickBot="1">
      <c r="A236" s="65"/>
      <c r="B236" s="28"/>
      <c r="C236" s="29"/>
      <c r="D236" s="43"/>
      <c r="E236" s="39" t="e">
        <f>VLOOKUP(D236,Configuracion!$A$4:$C$591,2,FALSE)</f>
        <v>#N/A</v>
      </c>
      <c r="F236" s="19">
        <f t="shared" si="24"/>
        <v>0</v>
      </c>
      <c r="G236" s="19">
        <f t="shared" si="25"/>
        <v>0</v>
      </c>
      <c r="H236" s="205"/>
    </row>
    <row r="237" spans="1:12" ht="15.75" thickBot="1">
      <c r="A237" s="263" t="s">
        <v>4</v>
      </c>
      <c r="B237" s="264"/>
      <c r="C237" s="265"/>
      <c r="D237" s="265"/>
      <c r="E237" s="266"/>
      <c r="F237" s="52">
        <f>SUM(F232:F236)</f>
        <v>0</v>
      </c>
      <c r="G237" s="52">
        <f>SUM(G232:G236)</f>
        <v>0</v>
      </c>
      <c r="H237" s="52">
        <f>SUM(H232:H236)</f>
        <v>0</v>
      </c>
    </row>
    <row r="244" spans="1:6" ht="15.75">
      <c r="A244" s="262" t="s">
        <v>222</v>
      </c>
      <c r="B244" s="262"/>
      <c r="C244" s="262"/>
      <c r="D244" s="262"/>
      <c r="E244" s="262"/>
    </row>
    <row r="245" spans="1:6">
      <c r="A245" s="216"/>
      <c r="B245" s="217" t="s">
        <v>219</v>
      </c>
      <c r="C245" s="217" t="s">
        <v>3</v>
      </c>
      <c r="D245" s="217" t="s">
        <v>220</v>
      </c>
      <c r="E245" s="217" t="s">
        <v>221</v>
      </c>
      <c r="F245" s="240"/>
    </row>
    <row r="246" spans="1:6">
      <c r="A246" s="230" t="s">
        <v>333</v>
      </c>
      <c r="B246" s="244">
        <v>27214979.250000004</v>
      </c>
      <c r="C246" s="244">
        <v>5715145.6600000001</v>
      </c>
      <c r="D246" s="244">
        <v>0</v>
      </c>
      <c r="E246" s="244">
        <v>32930124.909999996</v>
      </c>
    </row>
    <row r="247" spans="1:6">
      <c r="A247" s="230" t="s">
        <v>402</v>
      </c>
      <c r="B247" s="244">
        <v>-459015.84999999992</v>
      </c>
      <c r="C247" s="244">
        <v>-96393.34</v>
      </c>
      <c r="D247" s="244">
        <v>0</v>
      </c>
      <c r="E247" s="244">
        <v>-555409.18999999994</v>
      </c>
      <c r="F247" s="239"/>
    </row>
    <row r="248" spans="1:6">
      <c r="A248" s="230" t="s">
        <v>20</v>
      </c>
      <c r="B248" s="244">
        <v>931444.4</v>
      </c>
      <c r="C248" s="244">
        <v>195603.34999999998</v>
      </c>
      <c r="D248" s="244">
        <v>0</v>
      </c>
      <c r="E248" s="244">
        <v>1127047.75</v>
      </c>
    </row>
    <row r="249" spans="1:6">
      <c r="A249" s="230" t="s">
        <v>316</v>
      </c>
      <c r="B249" s="244">
        <v>-89995.04</v>
      </c>
      <c r="C249" s="244">
        <v>-18898.960000000003</v>
      </c>
      <c r="D249" s="244">
        <v>0</v>
      </c>
      <c r="E249" s="244">
        <v>-108894</v>
      </c>
    </row>
    <row r="250" spans="1:6">
      <c r="A250" s="231" t="s">
        <v>256</v>
      </c>
      <c r="B250" s="244">
        <v>2583803.38</v>
      </c>
      <c r="C250" s="244">
        <v>542598.6399999999</v>
      </c>
      <c r="D250" s="244">
        <v>0</v>
      </c>
      <c r="E250" s="244">
        <v>3126402.02</v>
      </c>
    </row>
    <row r="251" spans="1:6">
      <c r="A251" s="231" t="s">
        <v>315</v>
      </c>
      <c r="B251" s="244">
        <v>-25161.51</v>
      </c>
      <c r="C251" s="244">
        <v>-5283.92</v>
      </c>
      <c r="D251" s="244">
        <v>0</v>
      </c>
      <c r="E251" s="244">
        <v>-30445.43</v>
      </c>
    </row>
    <row r="252" spans="1:6">
      <c r="A252" s="219"/>
      <c r="B252" s="220">
        <f>SUM(B246:B251)</f>
        <v>30156054.629999999</v>
      </c>
      <c r="C252" s="220">
        <f>SUM(C246:C251)</f>
        <v>6332771.4299999997</v>
      </c>
      <c r="D252" s="220">
        <v>0</v>
      </c>
      <c r="E252" s="220">
        <f>SUM(E246:E251)</f>
        <v>36488826.059999995</v>
      </c>
      <c r="F252" s="243"/>
    </row>
    <row r="253" spans="1:6">
      <c r="A253" s="221"/>
      <c r="B253" s="222"/>
      <c r="C253" s="222"/>
      <c r="D253" s="222"/>
      <c r="E253" s="222"/>
    </row>
  </sheetData>
  <autoFilter ref="A7:P169"/>
  <sortState ref="A8:P103">
    <sortCondition ref="E8:E103"/>
  </sortState>
  <mergeCells count="57">
    <mergeCell ref="B208:C208"/>
    <mergeCell ref="B209:C209"/>
    <mergeCell ref="B210:C210"/>
    <mergeCell ref="B211:C211"/>
    <mergeCell ref="B200:C200"/>
    <mergeCell ref="B201:C201"/>
    <mergeCell ref="B202:C202"/>
    <mergeCell ref="B206:C206"/>
    <mergeCell ref="B203:C203"/>
    <mergeCell ref="B204:C204"/>
    <mergeCell ref="B205:C205"/>
    <mergeCell ref="B195:C195"/>
    <mergeCell ref="B196:C196"/>
    <mergeCell ref="B197:C197"/>
    <mergeCell ref="B198:C198"/>
    <mergeCell ref="B199:C199"/>
    <mergeCell ref="B212:C212"/>
    <mergeCell ref="B187:C187"/>
    <mergeCell ref="B207:C207"/>
    <mergeCell ref="B174:C174"/>
    <mergeCell ref="B176:C176"/>
    <mergeCell ref="B177:C177"/>
    <mergeCell ref="B183:C183"/>
    <mergeCell ref="B184:C184"/>
    <mergeCell ref="B185:C185"/>
    <mergeCell ref="B188:C188"/>
    <mergeCell ref="B189:C189"/>
    <mergeCell ref="B190:C190"/>
    <mergeCell ref="B191:C191"/>
    <mergeCell ref="B192:C192"/>
    <mergeCell ref="B193:C193"/>
    <mergeCell ref="B194:C194"/>
    <mergeCell ref="B173:C173"/>
    <mergeCell ref="B186:C186"/>
    <mergeCell ref="B180:C180"/>
    <mergeCell ref="B181:C181"/>
    <mergeCell ref="B182:C182"/>
    <mergeCell ref="B178:C178"/>
    <mergeCell ref="B179:C179"/>
    <mergeCell ref="B175:C175"/>
    <mergeCell ref="B172:C172"/>
    <mergeCell ref="A1:I1"/>
    <mergeCell ref="J1:N1"/>
    <mergeCell ref="A6:C6"/>
    <mergeCell ref="A123:C123"/>
    <mergeCell ref="A171:C171"/>
    <mergeCell ref="A4:N4"/>
    <mergeCell ref="A169:E169"/>
    <mergeCell ref="A120:E120"/>
    <mergeCell ref="G121:I121"/>
    <mergeCell ref="A244:E244"/>
    <mergeCell ref="A227:E227"/>
    <mergeCell ref="A217:I217"/>
    <mergeCell ref="A213:E213"/>
    <mergeCell ref="A219:C219"/>
    <mergeCell ref="A230:C230"/>
    <mergeCell ref="A237:E237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topLeftCell="A28" workbookViewId="0">
      <selection activeCell="H8" sqref="H8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</cols>
  <sheetData>
    <row r="1" spans="1:5" ht="18.75" thickBot="1">
      <c r="A1" s="102"/>
      <c r="B1" s="290" t="s">
        <v>90</v>
      </c>
      <c r="C1" s="291"/>
      <c r="D1" s="292"/>
      <c r="E1" s="103"/>
    </row>
    <row r="2" spans="1:5" ht="18.75" thickBot="1">
      <c r="A2" s="104" t="s">
        <v>91</v>
      </c>
      <c r="B2" s="103"/>
      <c r="C2" s="102"/>
      <c r="D2" s="228">
        <v>45017</v>
      </c>
      <c r="E2" s="105"/>
    </row>
    <row r="3" spans="1:5" ht="18.75" thickBot="1">
      <c r="A3" s="102"/>
      <c r="B3" s="106"/>
      <c r="C3" s="102"/>
      <c r="D3" s="102"/>
      <c r="E3" s="107"/>
    </row>
    <row r="4" spans="1:5" ht="15.75" thickBot="1">
      <c r="A4" s="108"/>
      <c r="B4" s="109" t="s">
        <v>92</v>
      </c>
      <c r="C4" s="232"/>
      <c r="D4" s="110"/>
      <c r="E4" s="111"/>
    </row>
    <row r="5" spans="1:5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5">
      <c r="A6" s="115" t="s">
        <v>96</v>
      </c>
      <c r="B6" s="116">
        <f>+'Abril 2023'!F227</f>
        <v>0</v>
      </c>
      <c r="C6" s="117">
        <f>(B6*0.21)</f>
        <v>0</v>
      </c>
      <c r="D6" s="117">
        <f>(B6+C6)</f>
        <v>0</v>
      </c>
      <c r="E6" s="223"/>
    </row>
    <row r="7" spans="1:5">
      <c r="A7" s="115" t="s">
        <v>97</v>
      </c>
      <c r="B7" s="116">
        <f>+'Abril 2023'!F237</f>
        <v>0</v>
      </c>
      <c r="C7" s="117">
        <f>(B7*0.21)</f>
        <v>0</v>
      </c>
      <c r="D7" s="117">
        <f t="shared" ref="D7" si="0">(B7+C7)</f>
        <v>0</v>
      </c>
      <c r="E7" s="7"/>
    </row>
    <row r="8" spans="1:5">
      <c r="A8" s="115" t="s">
        <v>201</v>
      </c>
      <c r="B8" s="118">
        <f>+'Abril 2023'!B246+'Abril 2023'!B248+'Abril 2023'!B249+'Abril 2023'!B247</f>
        <v>27597412.760000002</v>
      </c>
      <c r="C8" s="117">
        <f>+B8*0.21</f>
        <v>5795456.6796000004</v>
      </c>
      <c r="D8" s="117">
        <f>(B8+C8)</f>
        <v>33392869.439600002</v>
      </c>
      <c r="E8" s="7"/>
    </row>
    <row r="9" spans="1:5">
      <c r="A9" s="115" t="s">
        <v>202</v>
      </c>
      <c r="B9" s="118">
        <f>+'Abril 2023'!B250+'Abril 2023'!B251</f>
        <v>2558641.87</v>
      </c>
      <c r="C9" s="117">
        <f t="shared" ref="C9" si="1">+B9*0.21</f>
        <v>537314.79269999999</v>
      </c>
      <c r="D9" s="117">
        <f>(B9+C9)</f>
        <v>3095956.6627000002</v>
      </c>
      <c r="E9" s="7"/>
    </row>
    <row r="10" spans="1:5" ht="15.75" thickBot="1">
      <c r="A10" s="119"/>
      <c r="B10" s="212">
        <f>SUM(B6:B9)</f>
        <v>30156054.630000003</v>
      </c>
      <c r="C10" s="212">
        <f>SUM(C6:C9)</f>
        <v>6332771.4723000005</v>
      </c>
      <c r="D10" s="213">
        <f>SUM(D6:D9)</f>
        <v>36488826.102300003</v>
      </c>
      <c r="E10" s="229"/>
    </row>
    <row r="11" spans="1:5">
      <c r="A11" s="119"/>
      <c r="B11" s="120"/>
      <c r="C11" s="120"/>
      <c r="D11" s="120"/>
      <c r="E11" s="7"/>
    </row>
    <row r="12" spans="1:5" ht="15.75" thickBot="1">
      <c r="A12" s="119"/>
      <c r="B12" s="121"/>
      <c r="C12" s="122"/>
      <c r="D12" s="123"/>
      <c r="E12" s="7"/>
    </row>
    <row r="13" spans="1:5" ht="15.75" thickBot="1">
      <c r="A13" s="124"/>
      <c r="B13" s="125" t="s">
        <v>98</v>
      </c>
      <c r="C13" s="110"/>
      <c r="D13" s="110"/>
      <c r="E13" s="126"/>
    </row>
    <row r="14" spans="1:5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5">
      <c r="A15" s="119"/>
      <c r="B15" s="117">
        <f>+'Abril 2023'!F120</f>
        <v>11859356.409999998</v>
      </c>
      <c r="C15" s="117">
        <f>+'Abril 2023'!G120+'Abril 2023'!H120+'Abril 2023'!I120</f>
        <v>2449003.0448000017</v>
      </c>
      <c r="D15" s="117">
        <f t="shared" ref="D15" si="2">(B15+C15)</f>
        <v>14308359.4548</v>
      </c>
      <c r="E15" s="127"/>
    </row>
    <row r="16" spans="1:5" ht="15.75" thickBot="1">
      <c r="A16" s="119"/>
      <c r="B16" s="128"/>
      <c r="C16" s="129"/>
      <c r="D16" s="117"/>
      <c r="E16" s="130"/>
    </row>
    <row r="17" spans="1:5" ht="15.75" thickBot="1">
      <c r="A17" s="119"/>
      <c r="B17" s="131">
        <f>SUM(B15:B16)</f>
        <v>11859356.409999998</v>
      </c>
      <c r="C17" s="132">
        <f>SUM(C15:C16)</f>
        <v>2449003.0448000017</v>
      </c>
      <c r="D17" s="133">
        <f>SUM(D15:D16)</f>
        <v>14308359.4548</v>
      </c>
      <c r="E17" s="7"/>
    </row>
    <row r="18" spans="1:5">
      <c r="A18" s="119"/>
      <c r="B18" s="134"/>
      <c r="C18" s="134"/>
      <c r="D18" s="134"/>
      <c r="E18" s="7"/>
    </row>
    <row r="19" spans="1:5" ht="15.75" thickBot="1">
      <c r="A19" s="119"/>
      <c r="C19" s="135"/>
      <c r="D19" s="135"/>
      <c r="E19" s="136"/>
    </row>
    <row r="20" spans="1:5" ht="15.75" thickBot="1">
      <c r="A20" s="125" t="s">
        <v>22</v>
      </c>
      <c r="B20" s="137" t="s">
        <v>99</v>
      </c>
      <c r="C20" s="137" t="s">
        <v>100</v>
      </c>
      <c r="D20" s="137" t="s">
        <v>101</v>
      </c>
      <c r="E20" s="137" t="s">
        <v>102</v>
      </c>
    </row>
    <row r="21" spans="1:5">
      <c r="A21" s="138" t="s">
        <v>103</v>
      </c>
      <c r="B21" s="139"/>
      <c r="C21" s="140"/>
      <c r="D21" s="141"/>
      <c r="E21" s="142"/>
    </row>
    <row r="22" spans="1:5">
      <c r="A22" s="138"/>
      <c r="B22" s="143"/>
      <c r="C22" s="72"/>
      <c r="D22" s="144"/>
      <c r="E22" s="71"/>
    </row>
    <row r="23" spans="1:5">
      <c r="A23" s="138"/>
      <c r="B23" s="143"/>
      <c r="C23" s="72"/>
      <c r="D23" s="144"/>
      <c r="E23" s="71"/>
    </row>
    <row r="24" spans="1:5">
      <c r="A24" s="138"/>
      <c r="B24" s="143"/>
      <c r="C24" s="72"/>
      <c r="D24" s="144"/>
      <c r="E24" s="71"/>
    </row>
    <row r="25" spans="1:5">
      <c r="A25" s="138"/>
      <c r="B25" s="143"/>
      <c r="C25" s="140"/>
      <c r="D25" s="141"/>
      <c r="E25" s="142"/>
    </row>
    <row r="26" spans="1:5">
      <c r="A26" s="138"/>
      <c r="B26" s="143"/>
      <c r="C26" s="140"/>
      <c r="D26" s="141"/>
      <c r="E26" s="142"/>
    </row>
    <row r="27" spans="1:5">
      <c r="A27" s="138"/>
      <c r="B27" s="143"/>
      <c r="C27" s="140"/>
      <c r="D27" s="141"/>
      <c r="E27" s="142"/>
    </row>
    <row r="28" spans="1:5">
      <c r="A28" s="138"/>
      <c r="B28" s="143"/>
      <c r="C28" s="140"/>
      <c r="D28" s="141"/>
      <c r="E28" s="142"/>
    </row>
    <row r="29" spans="1:5">
      <c r="A29" s="138"/>
      <c r="B29" s="145"/>
      <c r="C29" s="140"/>
      <c r="D29" s="141"/>
      <c r="E29" s="142"/>
    </row>
    <row r="30" spans="1:5">
      <c r="A30" s="138"/>
      <c r="B30" s="143"/>
      <c r="C30" s="140"/>
      <c r="D30" s="141"/>
      <c r="E30" s="142"/>
    </row>
    <row r="31" spans="1:5">
      <c r="A31" s="138"/>
      <c r="B31" s="145"/>
      <c r="C31" s="140"/>
      <c r="D31" s="141"/>
      <c r="E31" s="142"/>
    </row>
    <row r="32" spans="1:5">
      <c r="A32" s="138"/>
      <c r="B32" s="145"/>
      <c r="C32" s="140"/>
      <c r="D32" s="141"/>
      <c r="E32" s="142"/>
    </row>
    <row r="33" spans="1:6">
      <c r="A33" s="138"/>
      <c r="B33" s="145"/>
      <c r="C33" s="140"/>
      <c r="D33" s="141"/>
      <c r="E33" s="142"/>
    </row>
    <row r="34" spans="1:6">
      <c r="A34" s="138"/>
      <c r="B34" s="145"/>
      <c r="C34" s="140"/>
      <c r="D34" s="141"/>
      <c r="E34" s="142"/>
    </row>
    <row r="35" spans="1:6" ht="15.75" thickBot="1">
      <c r="A35" s="138"/>
      <c r="B35" s="145"/>
      <c r="C35" s="146"/>
      <c r="D35" s="147"/>
      <c r="E35" s="142"/>
      <c r="F35" t="s">
        <v>104</v>
      </c>
    </row>
    <row r="36" spans="1:6" ht="15.75" thickBot="1">
      <c r="A36" s="148"/>
      <c r="B36" s="6"/>
      <c r="C36" s="149">
        <f>+'Abril 2023'!G213</f>
        <v>2641321.75</v>
      </c>
      <c r="D36" s="6"/>
      <c r="E36" s="150"/>
    </row>
    <row r="37" spans="1:6" ht="15.75" thickBot="1">
      <c r="B37" s="7"/>
      <c r="C37" s="151"/>
      <c r="D37" s="7"/>
    </row>
    <row r="38" spans="1:6">
      <c r="A38" s="152" t="s">
        <v>105</v>
      </c>
      <c r="B38" s="153" t="s">
        <v>99</v>
      </c>
      <c r="C38" s="154" t="s">
        <v>100</v>
      </c>
      <c r="D38" s="153" t="s">
        <v>101</v>
      </c>
      <c r="E38" s="153" t="s">
        <v>102</v>
      </c>
    </row>
    <row r="39" spans="1:6">
      <c r="A39" s="155"/>
      <c r="B39" s="156"/>
      <c r="C39" s="157"/>
      <c r="D39" s="146"/>
      <c r="E39" s="142"/>
    </row>
    <row r="40" spans="1:6">
      <c r="A40" s="138"/>
      <c r="B40" s="158"/>
      <c r="C40" s="146"/>
      <c r="D40" s="146"/>
      <c r="E40" s="142"/>
    </row>
    <row r="41" spans="1:6" ht="15.75" thickBot="1">
      <c r="A41" s="159"/>
      <c r="B41" s="160"/>
      <c r="C41" s="161"/>
      <c r="D41" s="162"/>
      <c r="E41" s="163"/>
    </row>
    <row r="42" spans="1:6" ht="15.75" thickBot="1">
      <c r="A42" s="164"/>
      <c r="B42" s="121"/>
      <c r="C42" s="165">
        <f>SUM(C39:C41)</f>
        <v>0</v>
      </c>
      <c r="D42" s="6"/>
      <c r="E42" s="150"/>
    </row>
    <row r="43" spans="1:6">
      <c r="C43" s="151"/>
      <c r="E43" s="7"/>
    </row>
    <row r="44" spans="1:6">
      <c r="A44" s="166" t="s">
        <v>106</v>
      </c>
      <c r="B44" s="167"/>
      <c r="C44" s="73">
        <f>+C42+C36</f>
        <v>2641321.75</v>
      </c>
      <c r="E44" s="7"/>
    </row>
    <row r="45" spans="1:6">
      <c r="A45" s="168"/>
      <c r="B45" s="168"/>
      <c r="C45" s="123"/>
      <c r="E45" s="7"/>
    </row>
    <row r="46" spans="1:6">
      <c r="A46" s="168"/>
      <c r="B46" s="168"/>
      <c r="C46" s="123"/>
      <c r="E46" s="7"/>
    </row>
    <row r="47" spans="1:6" ht="15.75" thickBot="1">
      <c r="C47" s="169" t="s">
        <v>107</v>
      </c>
      <c r="E47" s="7"/>
    </row>
    <row r="48" spans="1:6">
      <c r="A48" s="170" t="s">
        <v>108</v>
      </c>
      <c r="B48" s="171"/>
      <c r="C48" s="172">
        <f>+C10-C17</f>
        <v>3883768.4274999988</v>
      </c>
      <c r="D48" s="173"/>
      <c r="E48" s="7"/>
    </row>
    <row r="49" spans="1:5">
      <c r="A49" s="174"/>
      <c r="B49" s="168"/>
      <c r="C49" s="175"/>
      <c r="D49" s="173"/>
      <c r="E49" s="7"/>
    </row>
    <row r="50" spans="1:5">
      <c r="A50" s="176" t="s">
        <v>109</v>
      </c>
      <c r="B50" s="167"/>
      <c r="C50" s="177"/>
      <c r="D50" s="178" t="s">
        <v>110</v>
      </c>
      <c r="E50" s="7"/>
    </row>
    <row r="51" spans="1:5" ht="15.75" thickBot="1">
      <c r="A51" s="174"/>
      <c r="B51" s="168"/>
      <c r="C51" s="175"/>
      <c r="D51" s="173"/>
      <c r="E51" s="7"/>
    </row>
    <row r="52" spans="1:5" ht="15.75" thickBot="1">
      <c r="A52" s="179" t="s">
        <v>111</v>
      </c>
      <c r="B52" s="180"/>
      <c r="C52" s="181">
        <f>+C48-C50</f>
        <v>3883768.4274999988</v>
      </c>
      <c r="D52" s="182"/>
      <c r="E52" s="183"/>
    </row>
    <row r="53" spans="1:5">
      <c r="A53" s="184"/>
      <c r="B53" s="184"/>
      <c r="C53" s="185"/>
      <c r="D53" s="186"/>
      <c r="E53" s="183"/>
    </row>
    <row r="54" spans="1:5">
      <c r="A54" s="184"/>
      <c r="B54" s="184"/>
      <c r="C54" s="185"/>
      <c r="D54" s="186"/>
      <c r="E54" s="183"/>
    </row>
    <row r="55" spans="1:5" ht="15.75" thickBot="1">
      <c r="A55" s="184"/>
      <c r="B55" s="184"/>
      <c r="C55" s="185"/>
      <c r="D55" s="186"/>
      <c r="E55" s="183"/>
    </row>
    <row r="56" spans="1:5">
      <c r="A56" s="187" t="s">
        <v>112</v>
      </c>
      <c r="B56" s="188"/>
      <c r="C56" s="189">
        <f>+C42+C36</f>
        <v>2641321.75</v>
      </c>
      <c r="D56" s="190"/>
      <c r="E56" s="7"/>
    </row>
    <row r="57" spans="1:5">
      <c r="A57" s="174"/>
      <c r="B57" s="168"/>
      <c r="C57" s="175"/>
      <c r="D57" s="173"/>
      <c r="E57" s="7"/>
    </row>
    <row r="58" spans="1:5">
      <c r="A58" s="191" t="s">
        <v>113</v>
      </c>
      <c r="B58" s="192"/>
      <c r="C58" s="241"/>
      <c r="D58" s="7"/>
    </row>
    <row r="59" spans="1:5" ht="15.75" thickBot="1">
      <c r="A59" s="193"/>
      <c r="B59" s="194"/>
      <c r="C59" s="175"/>
      <c r="D59" s="173"/>
      <c r="E59" s="7"/>
    </row>
    <row r="60" spans="1:5" ht="15.75" thickBot="1">
      <c r="A60" s="179" t="s">
        <v>114</v>
      </c>
      <c r="B60" s="180"/>
      <c r="C60" s="181">
        <f>+C56+C58</f>
        <v>2641321.75</v>
      </c>
      <c r="D60" s="173"/>
      <c r="E60" s="7"/>
    </row>
    <row r="61" spans="1:5">
      <c r="A61" s="195"/>
      <c r="B61" s="119"/>
      <c r="C61" s="122"/>
      <c r="D61" s="173"/>
      <c r="E61" s="7"/>
    </row>
    <row r="62" spans="1:5" ht="15.75" thickBot="1">
      <c r="A62" s="108"/>
      <c r="B62" s="119"/>
      <c r="C62" s="151"/>
      <c r="D62" s="173"/>
      <c r="E62" s="7"/>
    </row>
    <row r="63" spans="1:5" ht="18.75" thickBot="1">
      <c r="A63" s="196" t="s">
        <v>115</v>
      </c>
      <c r="B63" s="197"/>
      <c r="C63" s="198">
        <f>+C52-C60</f>
        <v>1242446.6774999988</v>
      </c>
      <c r="D63" s="199"/>
      <c r="E63" s="200"/>
    </row>
    <row r="64" spans="1:5" ht="18">
      <c r="A64" s="201" t="s">
        <v>116</v>
      </c>
    </row>
    <row r="66" spans="3:3">
      <c r="C66" s="151"/>
    </row>
    <row r="67" spans="3:3">
      <c r="C67" s="234"/>
    </row>
    <row r="68" spans="3:3">
      <c r="C68" s="234"/>
    </row>
    <row r="69" spans="3:3">
      <c r="C69" s="234"/>
    </row>
    <row r="70" spans="3:3">
      <c r="C70" s="234"/>
    </row>
    <row r="71" spans="3:3">
      <c r="C71" s="234"/>
    </row>
    <row r="72" spans="3:3">
      <c r="C72" s="238"/>
    </row>
    <row r="73" spans="3:3">
      <c r="C73" s="234"/>
    </row>
    <row r="74" spans="3:3">
      <c r="C74" s="234"/>
    </row>
    <row r="75" spans="3:3">
      <c r="C75" s="234"/>
    </row>
    <row r="76" spans="3:3">
      <c r="C76" s="234"/>
    </row>
    <row r="77" spans="3:3">
      <c r="C77" s="234"/>
    </row>
    <row r="78" spans="3:3">
      <c r="C78" s="234"/>
    </row>
    <row r="79" spans="3:3">
      <c r="C79" s="234"/>
    </row>
    <row r="80" spans="3:3">
      <c r="C80" s="238"/>
    </row>
    <row r="81" spans="3:3">
      <c r="C81" s="234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5"/>
  <sheetViews>
    <sheetView topLeftCell="A298" workbookViewId="0">
      <selection activeCell="F292" sqref="F292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2.14062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53" t="s">
        <v>630</v>
      </c>
    </row>
    <row r="2" spans="1:14" ht="18">
      <c r="A2" s="254" t="s">
        <v>631</v>
      </c>
    </row>
    <row r="3" spans="1:14" ht="15.75">
      <c r="A3" s="255" t="s">
        <v>632</v>
      </c>
      <c r="L3" s="256"/>
    </row>
    <row r="5" spans="1:14">
      <c r="A5" s="258" t="s">
        <v>102</v>
      </c>
      <c r="B5" s="258" t="s">
        <v>633</v>
      </c>
      <c r="C5" s="258" t="s">
        <v>634</v>
      </c>
      <c r="D5" s="258" t="s">
        <v>635</v>
      </c>
      <c r="E5" s="258" t="s">
        <v>636</v>
      </c>
      <c r="F5" s="258" t="s">
        <v>637</v>
      </c>
      <c r="G5" s="258" t="s">
        <v>638</v>
      </c>
      <c r="H5" s="258" t="s">
        <v>639</v>
      </c>
      <c r="I5" s="258" t="s">
        <v>640</v>
      </c>
      <c r="J5" s="258" t="s">
        <v>641</v>
      </c>
      <c r="K5" s="258" t="s">
        <v>9</v>
      </c>
      <c r="L5" s="258" t="s">
        <v>10</v>
      </c>
      <c r="M5" s="258" t="s">
        <v>642</v>
      </c>
      <c r="N5" s="258" t="s">
        <v>221</v>
      </c>
    </row>
    <row r="6" spans="1:14">
      <c r="A6" s="259" t="s">
        <v>606</v>
      </c>
      <c r="B6" s="260" t="s">
        <v>643</v>
      </c>
      <c r="C6" s="231" t="s">
        <v>644</v>
      </c>
      <c r="D6" s="231" t="s">
        <v>645</v>
      </c>
      <c r="E6" s="231" t="s">
        <v>630</v>
      </c>
      <c r="F6" s="244">
        <v>3884.3</v>
      </c>
      <c r="G6" s="244">
        <v>0</v>
      </c>
      <c r="H6" s="231">
        <v>0</v>
      </c>
      <c r="I6" s="231">
        <v>0</v>
      </c>
      <c r="J6" s="231">
        <v>0</v>
      </c>
      <c r="K6" s="231">
        <v>815.7</v>
      </c>
      <c r="L6" s="231">
        <v>0</v>
      </c>
      <c r="M6" s="244">
        <v>0</v>
      </c>
      <c r="N6" s="244">
        <v>4700</v>
      </c>
    </row>
    <row r="7" spans="1:14">
      <c r="A7" s="259" t="s">
        <v>606</v>
      </c>
      <c r="B7" s="260" t="s">
        <v>646</v>
      </c>
      <c r="C7" s="231" t="s">
        <v>644</v>
      </c>
      <c r="D7" s="231" t="s">
        <v>645</v>
      </c>
      <c r="E7" s="231" t="s">
        <v>630</v>
      </c>
      <c r="F7" s="244">
        <v>4958.68</v>
      </c>
      <c r="G7" s="244">
        <v>0</v>
      </c>
      <c r="H7" s="231">
        <v>0</v>
      </c>
      <c r="I7" s="231">
        <v>0</v>
      </c>
      <c r="J7" s="231">
        <v>0</v>
      </c>
      <c r="K7" s="231">
        <v>1041.32</v>
      </c>
      <c r="L7" s="231">
        <v>0</v>
      </c>
      <c r="M7" s="244">
        <v>0</v>
      </c>
      <c r="N7" s="244">
        <v>6000</v>
      </c>
    </row>
    <row r="8" spans="1:14">
      <c r="A8" s="259" t="s">
        <v>606</v>
      </c>
      <c r="B8" s="260" t="s">
        <v>647</v>
      </c>
      <c r="C8" s="231" t="s">
        <v>644</v>
      </c>
      <c r="D8" s="231" t="s">
        <v>645</v>
      </c>
      <c r="E8" s="231" t="s">
        <v>630</v>
      </c>
      <c r="F8" s="244">
        <v>9710.75</v>
      </c>
      <c r="G8" s="244">
        <v>0</v>
      </c>
      <c r="H8" s="231">
        <v>0</v>
      </c>
      <c r="I8" s="231">
        <v>0</v>
      </c>
      <c r="J8" s="231">
        <v>0</v>
      </c>
      <c r="K8" s="231">
        <v>2039.25</v>
      </c>
      <c r="L8" s="231">
        <v>0</v>
      </c>
      <c r="M8" s="244">
        <v>0</v>
      </c>
      <c r="N8" s="244">
        <v>11750</v>
      </c>
    </row>
    <row r="9" spans="1:14">
      <c r="A9" s="259" t="s">
        <v>606</v>
      </c>
      <c r="B9" s="260" t="s">
        <v>648</v>
      </c>
      <c r="C9" s="231" t="s">
        <v>644</v>
      </c>
      <c r="D9" s="231" t="s">
        <v>645</v>
      </c>
      <c r="E9" s="231" t="s">
        <v>630</v>
      </c>
      <c r="F9" s="244">
        <v>7272.73</v>
      </c>
      <c r="G9" s="244">
        <v>0</v>
      </c>
      <c r="H9" s="231">
        <v>0</v>
      </c>
      <c r="I9" s="231">
        <v>0</v>
      </c>
      <c r="J9" s="231">
        <v>0</v>
      </c>
      <c r="K9" s="231">
        <v>1527.27</v>
      </c>
      <c r="L9" s="231">
        <v>0</v>
      </c>
      <c r="M9" s="244">
        <v>0</v>
      </c>
      <c r="N9" s="244">
        <v>8800</v>
      </c>
    </row>
    <row r="10" spans="1:14">
      <c r="A10" s="259" t="s">
        <v>606</v>
      </c>
      <c r="B10" s="260" t="s">
        <v>649</v>
      </c>
      <c r="C10" s="231" t="s">
        <v>644</v>
      </c>
      <c r="D10" s="231" t="s">
        <v>645</v>
      </c>
      <c r="E10" s="231" t="s">
        <v>630</v>
      </c>
      <c r="F10" s="244">
        <v>6446.28</v>
      </c>
      <c r="G10" s="244">
        <v>0</v>
      </c>
      <c r="H10" s="231">
        <v>0</v>
      </c>
      <c r="I10" s="231">
        <v>0</v>
      </c>
      <c r="J10" s="231">
        <v>0</v>
      </c>
      <c r="K10" s="231">
        <v>1353.72</v>
      </c>
      <c r="L10" s="231">
        <v>0</v>
      </c>
      <c r="M10" s="244">
        <v>0</v>
      </c>
      <c r="N10" s="244">
        <v>7800</v>
      </c>
    </row>
    <row r="11" spans="1:14">
      <c r="A11" s="259" t="s">
        <v>606</v>
      </c>
      <c r="B11" s="260" t="s">
        <v>650</v>
      </c>
      <c r="C11" s="231" t="s">
        <v>644</v>
      </c>
      <c r="D11" s="231" t="s">
        <v>645</v>
      </c>
      <c r="E11" s="231" t="s">
        <v>630</v>
      </c>
      <c r="F11" s="244">
        <v>2314.0500000000002</v>
      </c>
      <c r="G11" s="244">
        <v>0</v>
      </c>
      <c r="H11" s="231">
        <v>0</v>
      </c>
      <c r="I11" s="231">
        <v>0</v>
      </c>
      <c r="J11" s="231">
        <v>0</v>
      </c>
      <c r="K11" s="231">
        <v>485.95</v>
      </c>
      <c r="L11" s="231">
        <v>0</v>
      </c>
      <c r="M11" s="244">
        <v>0</v>
      </c>
      <c r="N11" s="244">
        <v>2800</v>
      </c>
    </row>
    <row r="12" spans="1:14">
      <c r="A12" s="259" t="s">
        <v>606</v>
      </c>
      <c r="B12" s="260" t="s">
        <v>651</v>
      </c>
      <c r="C12" s="231" t="s">
        <v>644</v>
      </c>
      <c r="D12" s="231" t="s">
        <v>645</v>
      </c>
      <c r="E12" s="231" t="s">
        <v>630</v>
      </c>
      <c r="F12" s="244">
        <v>8264.4699999999993</v>
      </c>
      <c r="G12" s="244">
        <v>0</v>
      </c>
      <c r="H12" s="231">
        <v>0</v>
      </c>
      <c r="I12" s="231">
        <v>0</v>
      </c>
      <c r="J12" s="231">
        <v>0</v>
      </c>
      <c r="K12" s="231">
        <v>1735.53</v>
      </c>
      <c r="L12" s="231">
        <v>0</v>
      </c>
      <c r="M12" s="244">
        <v>0</v>
      </c>
      <c r="N12" s="244">
        <v>10000</v>
      </c>
    </row>
    <row r="13" spans="1:14">
      <c r="A13" s="259" t="s">
        <v>606</v>
      </c>
      <c r="B13" s="260" t="s">
        <v>652</v>
      </c>
      <c r="C13" s="231" t="s">
        <v>644</v>
      </c>
      <c r="D13" s="231" t="s">
        <v>645</v>
      </c>
      <c r="E13" s="231" t="s">
        <v>630</v>
      </c>
      <c r="F13" s="244">
        <v>2231.4</v>
      </c>
      <c r="G13" s="244">
        <v>0</v>
      </c>
      <c r="H13" s="231">
        <v>0</v>
      </c>
      <c r="I13" s="231">
        <v>0</v>
      </c>
      <c r="J13" s="231">
        <v>0</v>
      </c>
      <c r="K13" s="231">
        <v>468.6</v>
      </c>
      <c r="L13" s="231">
        <v>0</v>
      </c>
      <c r="M13" s="244">
        <v>0</v>
      </c>
      <c r="N13" s="244">
        <v>2700</v>
      </c>
    </row>
    <row r="14" spans="1:14">
      <c r="A14" s="259" t="s">
        <v>606</v>
      </c>
      <c r="B14" s="260" t="s">
        <v>653</v>
      </c>
      <c r="C14" s="231" t="s">
        <v>644</v>
      </c>
      <c r="D14" s="231" t="s">
        <v>645</v>
      </c>
      <c r="E14" s="231" t="s">
        <v>630</v>
      </c>
      <c r="F14" s="244">
        <v>7768.6</v>
      </c>
      <c r="G14" s="244">
        <v>0</v>
      </c>
      <c r="H14" s="231">
        <v>0</v>
      </c>
      <c r="I14" s="231">
        <v>0</v>
      </c>
      <c r="J14" s="231">
        <v>0</v>
      </c>
      <c r="K14" s="231">
        <v>1631.4</v>
      </c>
      <c r="L14" s="231">
        <v>0</v>
      </c>
      <c r="M14" s="244">
        <v>0</v>
      </c>
      <c r="N14" s="244">
        <v>9400</v>
      </c>
    </row>
    <row r="15" spans="1:14">
      <c r="A15" s="259" t="s">
        <v>606</v>
      </c>
      <c r="B15" s="260" t="s">
        <v>654</v>
      </c>
      <c r="C15" s="231" t="s">
        <v>644</v>
      </c>
      <c r="D15" s="231" t="s">
        <v>645</v>
      </c>
      <c r="E15" s="231" t="s">
        <v>630</v>
      </c>
      <c r="F15" s="244">
        <v>15694.21</v>
      </c>
      <c r="G15" s="244">
        <v>0</v>
      </c>
      <c r="H15" s="231">
        <v>0</v>
      </c>
      <c r="I15" s="231">
        <v>0</v>
      </c>
      <c r="J15" s="231">
        <v>0</v>
      </c>
      <c r="K15" s="231">
        <v>3295.79</v>
      </c>
      <c r="L15" s="231">
        <v>0</v>
      </c>
      <c r="M15" s="244">
        <v>0</v>
      </c>
      <c r="N15" s="244">
        <v>18990</v>
      </c>
    </row>
    <row r="16" spans="1:14">
      <c r="A16" s="259" t="s">
        <v>606</v>
      </c>
      <c r="B16" s="260" t="s">
        <v>655</v>
      </c>
      <c r="C16" s="231" t="s">
        <v>644</v>
      </c>
      <c r="D16" s="231" t="s">
        <v>645</v>
      </c>
      <c r="E16" s="231" t="s">
        <v>630</v>
      </c>
      <c r="F16" s="244">
        <v>12892.56</v>
      </c>
      <c r="G16" s="244">
        <v>0</v>
      </c>
      <c r="H16" s="231">
        <v>0</v>
      </c>
      <c r="I16" s="231">
        <v>0</v>
      </c>
      <c r="J16" s="231">
        <v>0</v>
      </c>
      <c r="K16" s="231">
        <v>2707.44</v>
      </c>
      <c r="L16" s="231">
        <v>0</v>
      </c>
      <c r="M16" s="244">
        <v>0</v>
      </c>
      <c r="N16" s="244">
        <v>15600</v>
      </c>
    </row>
    <row r="17" spans="1:14">
      <c r="A17" s="259" t="s">
        <v>606</v>
      </c>
      <c r="B17" s="260" t="s">
        <v>656</v>
      </c>
      <c r="C17" s="231" t="s">
        <v>644</v>
      </c>
      <c r="D17" s="231" t="s">
        <v>645</v>
      </c>
      <c r="E17" s="231" t="s">
        <v>630</v>
      </c>
      <c r="F17" s="244">
        <v>4504.13</v>
      </c>
      <c r="G17" s="244">
        <v>0</v>
      </c>
      <c r="H17" s="231">
        <v>0</v>
      </c>
      <c r="I17" s="231">
        <v>0</v>
      </c>
      <c r="J17" s="231">
        <v>0</v>
      </c>
      <c r="K17" s="231">
        <v>945.87</v>
      </c>
      <c r="L17" s="231">
        <v>0</v>
      </c>
      <c r="M17" s="244">
        <v>0</v>
      </c>
      <c r="N17" s="244">
        <v>5450</v>
      </c>
    </row>
    <row r="18" spans="1:14">
      <c r="A18" s="259" t="s">
        <v>606</v>
      </c>
      <c r="B18" s="260" t="s">
        <v>657</v>
      </c>
      <c r="C18" s="231" t="s">
        <v>658</v>
      </c>
      <c r="D18" s="231" t="s">
        <v>659</v>
      </c>
      <c r="E18" s="231">
        <v>30522428163</v>
      </c>
      <c r="F18" s="244">
        <v>2042975.19</v>
      </c>
      <c r="G18" s="244">
        <v>0</v>
      </c>
      <c r="H18" s="231">
        <v>0</v>
      </c>
      <c r="I18" s="231">
        <v>0</v>
      </c>
      <c r="J18" s="231">
        <v>0</v>
      </c>
      <c r="K18" s="231">
        <v>429024.8</v>
      </c>
      <c r="L18" s="231">
        <v>0</v>
      </c>
      <c r="M18" s="244">
        <v>0</v>
      </c>
      <c r="N18" s="244">
        <v>2471999.9900000002</v>
      </c>
    </row>
    <row r="19" spans="1:14">
      <c r="A19" s="259" t="s">
        <v>606</v>
      </c>
      <c r="B19" s="260" t="s">
        <v>660</v>
      </c>
      <c r="C19" s="231" t="s">
        <v>661</v>
      </c>
      <c r="D19" s="231" t="s">
        <v>659</v>
      </c>
      <c r="E19" s="231">
        <v>30715186655</v>
      </c>
      <c r="F19" s="244">
        <v>58674.1</v>
      </c>
      <c r="G19" s="244">
        <v>0</v>
      </c>
      <c r="H19" s="231">
        <v>0</v>
      </c>
      <c r="I19" s="231">
        <v>0</v>
      </c>
      <c r="J19" s="231">
        <v>0</v>
      </c>
      <c r="K19" s="231">
        <v>12321.56</v>
      </c>
      <c r="L19" s="231">
        <v>0</v>
      </c>
      <c r="M19" s="244">
        <v>0</v>
      </c>
      <c r="N19" s="244">
        <v>70995.66</v>
      </c>
    </row>
    <row r="20" spans="1:14">
      <c r="A20" s="259" t="s">
        <v>606</v>
      </c>
      <c r="B20" s="260" t="s">
        <v>662</v>
      </c>
      <c r="C20" s="231" t="s">
        <v>661</v>
      </c>
      <c r="D20" s="231" t="s">
        <v>659</v>
      </c>
      <c r="E20" s="231">
        <v>30715186655</v>
      </c>
      <c r="F20" s="244">
        <v>3512.4</v>
      </c>
      <c r="G20" s="244">
        <v>0</v>
      </c>
      <c r="H20" s="231">
        <v>0</v>
      </c>
      <c r="I20" s="231">
        <v>0</v>
      </c>
      <c r="J20" s="231">
        <v>0</v>
      </c>
      <c r="K20" s="231">
        <v>737.6</v>
      </c>
      <c r="L20" s="231">
        <v>0</v>
      </c>
      <c r="M20" s="244">
        <v>0</v>
      </c>
      <c r="N20" s="244">
        <v>4250</v>
      </c>
    </row>
    <row r="21" spans="1:14">
      <c r="A21" s="259" t="s">
        <v>606</v>
      </c>
      <c r="B21" s="260" t="s">
        <v>663</v>
      </c>
      <c r="C21" s="231" t="s">
        <v>664</v>
      </c>
      <c r="D21" s="231" t="s">
        <v>659</v>
      </c>
      <c r="E21" s="231">
        <v>30707612971</v>
      </c>
      <c r="F21" s="244">
        <v>8796.31</v>
      </c>
      <c r="G21" s="244">
        <v>0</v>
      </c>
      <c r="H21" s="231">
        <v>0</v>
      </c>
      <c r="I21" s="231">
        <v>0</v>
      </c>
      <c r="J21" s="231">
        <v>0</v>
      </c>
      <c r="K21" s="231">
        <v>1847.23</v>
      </c>
      <c r="L21" s="231">
        <v>0</v>
      </c>
      <c r="M21" s="244">
        <v>0</v>
      </c>
      <c r="N21" s="244">
        <v>10643.54</v>
      </c>
    </row>
    <row r="22" spans="1:14">
      <c r="A22" s="259" t="s">
        <v>606</v>
      </c>
      <c r="B22" s="260" t="s">
        <v>665</v>
      </c>
      <c r="C22" s="231" t="s">
        <v>666</v>
      </c>
      <c r="D22" s="231" t="s">
        <v>659</v>
      </c>
      <c r="E22" s="231">
        <v>30707118454</v>
      </c>
      <c r="F22" s="244">
        <v>4003.3</v>
      </c>
      <c r="G22" s="244">
        <v>0</v>
      </c>
      <c r="H22" s="231">
        <v>0</v>
      </c>
      <c r="I22" s="231">
        <v>0</v>
      </c>
      <c r="J22" s="231">
        <v>0</v>
      </c>
      <c r="K22" s="231">
        <v>840.69</v>
      </c>
      <c r="L22" s="231">
        <v>0</v>
      </c>
      <c r="M22" s="244">
        <v>0</v>
      </c>
      <c r="N22" s="244">
        <v>4843.99</v>
      </c>
    </row>
    <row r="23" spans="1:14">
      <c r="A23" s="259" t="s">
        <v>606</v>
      </c>
      <c r="B23" s="260" t="s">
        <v>667</v>
      </c>
      <c r="C23" s="231" t="s">
        <v>668</v>
      </c>
      <c r="D23" s="231" t="s">
        <v>659</v>
      </c>
      <c r="E23" s="231">
        <v>30608716390</v>
      </c>
      <c r="F23" s="244">
        <v>1487.6</v>
      </c>
      <c r="G23" s="244">
        <v>0</v>
      </c>
      <c r="H23" s="231">
        <v>0</v>
      </c>
      <c r="I23" s="231">
        <v>0</v>
      </c>
      <c r="J23" s="231">
        <v>0</v>
      </c>
      <c r="K23" s="231">
        <v>312.40000000000003</v>
      </c>
      <c r="L23" s="231">
        <v>0</v>
      </c>
      <c r="M23" s="244">
        <v>0</v>
      </c>
      <c r="N23" s="244">
        <v>1800</v>
      </c>
    </row>
    <row r="24" spans="1:14">
      <c r="A24" s="259" t="s">
        <v>606</v>
      </c>
      <c r="B24" s="260" t="s">
        <v>669</v>
      </c>
      <c r="C24" s="231" t="s">
        <v>668</v>
      </c>
      <c r="D24" s="231" t="s">
        <v>659</v>
      </c>
      <c r="E24" s="231">
        <v>30608716390</v>
      </c>
      <c r="F24" s="244">
        <v>6033.06</v>
      </c>
      <c r="G24" s="244">
        <v>0</v>
      </c>
      <c r="H24" s="231">
        <v>0</v>
      </c>
      <c r="I24" s="231">
        <v>0</v>
      </c>
      <c r="J24" s="231">
        <v>0</v>
      </c>
      <c r="K24" s="231">
        <v>1266.94</v>
      </c>
      <c r="L24" s="231">
        <v>0</v>
      </c>
      <c r="M24" s="244">
        <v>0</v>
      </c>
      <c r="N24" s="244">
        <v>7300</v>
      </c>
    </row>
    <row r="25" spans="1:14">
      <c r="A25" s="259" t="s">
        <v>606</v>
      </c>
      <c r="B25" s="260" t="s">
        <v>670</v>
      </c>
      <c r="C25" s="231" t="s">
        <v>671</v>
      </c>
      <c r="D25" s="231" t="s">
        <v>645</v>
      </c>
      <c r="E25" s="231">
        <v>26542077</v>
      </c>
      <c r="F25" s="244">
        <v>8677.69</v>
      </c>
      <c r="G25" s="244">
        <v>0</v>
      </c>
      <c r="H25" s="231">
        <v>0</v>
      </c>
      <c r="I25" s="231">
        <v>0</v>
      </c>
      <c r="J25" s="231">
        <v>0</v>
      </c>
      <c r="K25" s="231">
        <v>1822.31</v>
      </c>
      <c r="L25" s="231">
        <v>0</v>
      </c>
      <c r="M25" s="244">
        <v>0</v>
      </c>
      <c r="N25" s="244">
        <v>10500</v>
      </c>
    </row>
    <row r="26" spans="1:14">
      <c r="A26" s="259" t="s">
        <v>606</v>
      </c>
      <c r="B26" s="260" t="s">
        <v>672</v>
      </c>
      <c r="C26" s="231" t="s">
        <v>673</v>
      </c>
      <c r="D26" s="231" t="s">
        <v>645</v>
      </c>
      <c r="E26" s="231">
        <v>17198648</v>
      </c>
      <c r="F26" s="244">
        <v>5950.41</v>
      </c>
      <c r="G26" s="244">
        <v>0</v>
      </c>
      <c r="H26" s="231">
        <v>0</v>
      </c>
      <c r="I26" s="231">
        <v>0</v>
      </c>
      <c r="J26" s="231">
        <v>0</v>
      </c>
      <c r="K26" s="231">
        <v>1249.5899999999999</v>
      </c>
      <c r="L26" s="231">
        <v>0</v>
      </c>
      <c r="M26" s="244">
        <v>0</v>
      </c>
      <c r="N26" s="244">
        <v>7200</v>
      </c>
    </row>
    <row r="27" spans="1:14">
      <c r="A27" s="259" t="s">
        <v>607</v>
      </c>
      <c r="B27" s="260" t="s">
        <v>674</v>
      </c>
      <c r="C27" s="231" t="s">
        <v>644</v>
      </c>
      <c r="D27" s="231" t="s">
        <v>645</v>
      </c>
      <c r="E27" s="231" t="s">
        <v>630</v>
      </c>
      <c r="F27" s="244">
        <v>3884.3</v>
      </c>
      <c r="G27" s="244">
        <v>0</v>
      </c>
      <c r="H27" s="231">
        <v>0</v>
      </c>
      <c r="I27" s="231">
        <v>0</v>
      </c>
      <c r="J27" s="231">
        <v>0</v>
      </c>
      <c r="K27" s="231">
        <v>815.7</v>
      </c>
      <c r="L27" s="231">
        <v>0</v>
      </c>
      <c r="M27" s="244">
        <v>0</v>
      </c>
      <c r="N27" s="244">
        <v>4700</v>
      </c>
    </row>
    <row r="28" spans="1:14">
      <c r="A28" s="259" t="s">
        <v>607</v>
      </c>
      <c r="B28" s="260" t="s">
        <v>675</v>
      </c>
      <c r="C28" s="231" t="s">
        <v>644</v>
      </c>
      <c r="D28" s="231" t="s">
        <v>645</v>
      </c>
      <c r="E28" s="231" t="s">
        <v>630</v>
      </c>
      <c r="F28" s="244">
        <v>5537.19</v>
      </c>
      <c r="G28" s="244">
        <v>0</v>
      </c>
      <c r="H28" s="231">
        <v>0</v>
      </c>
      <c r="I28" s="231">
        <v>0</v>
      </c>
      <c r="J28" s="231">
        <v>0</v>
      </c>
      <c r="K28" s="231">
        <v>1162.81</v>
      </c>
      <c r="L28" s="231">
        <v>0</v>
      </c>
      <c r="M28" s="244">
        <v>0</v>
      </c>
      <c r="N28" s="244">
        <v>6700</v>
      </c>
    </row>
    <row r="29" spans="1:14">
      <c r="A29" s="259" t="s">
        <v>607</v>
      </c>
      <c r="B29" s="260" t="s">
        <v>676</v>
      </c>
      <c r="C29" s="231" t="s">
        <v>644</v>
      </c>
      <c r="D29" s="231" t="s">
        <v>645</v>
      </c>
      <c r="E29" s="231" t="s">
        <v>630</v>
      </c>
      <c r="F29" s="244">
        <v>6198.35</v>
      </c>
      <c r="G29" s="244">
        <v>0</v>
      </c>
      <c r="H29" s="231">
        <v>0</v>
      </c>
      <c r="I29" s="231">
        <v>0</v>
      </c>
      <c r="J29" s="231">
        <v>0</v>
      </c>
      <c r="K29" s="231">
        <v>1301.6500000000001</v>
      </c>
      <c r="L29" s="231">
        <v>0</v>
      </c>
      <c r="M29" s="244">
        <v>0</v>
      </c>
      <c r="N29" s="244">
        <v>7500</v>
      </c>
    </row>
    <row r="30" spans="1:14">
      <c r="A30" s="259" t="s">
        <v>607</v>
      </c>
      <c r="B30" s="260" t="s">
        <v>677</v>
      </c>
      <c r="C30" s="231" t="s">
        <v>644</v>
      </c>
      <c r="D30" s="231" t="s">
        <v>645</v>
      </c>
      <c r="E30" s="231" t="s">
        <v>630</v>
      </c>
      <c r="F30" s="244">
        <v>3884.3</v>
      </c>
      <c r="G30" s="244">
        <v>0</v>
      </c>
      <c r="H30" s="231">
        <v>0</v>
      </c>
      <c r="I30" s="231">
        <v>0</v>
      </c>
      <c r="J30" s="231">
        <v>0</v>
      </c>
      <c r="K30" s="231">
        <v>815.7</v>
      </c>
      <c r="L30" s="231">
        <v>0</v>
      </c>
      <c r="M30" s="244">
        <v>0</v>
      </c>
      <c r="N30" s="244">
        <v>4700</v>
      </c>
    </row>
    <row r="31" spans="1:14">
      <c r="A31" s="259" t="s">
        <v>607</v>
      </c>
      <c r="B31" s="260" t="s">
        <v>678</v>
      </c>
      <c r="C31" s="231" t="s">
        <v>679</v>
      </c>
      <c r="D31" s="231" t="s">
        <v>645</v>
      </c>
      <c r="E31" s="231">
        <v>32315178</v>
      </c>
      <c r="F31" s="244">
        <v>21074.38</v>
      </c>
      <c r="G31" s="244">
        <v>0</v>
      </c>
      <c r="H31" s="231">
        <v>0</v>
      </c>
      <c r="I31" s="231">
        <v>0</v>
      </c>
      <c r="J31" s="231">
        <v>0</v>
      </c>
      <c r="K31" s="231">
        <v>4425.62</v>
      </c>
      <c r="L31" s="231">
        <v>0</v>
      </c>
      <c r="M31" s="244">
        <v>0</v>
      </c>
      <c r="N31" s="244">
        <v>25500</v>
      </c>
    </row>
    <row r="32" spans="1:14">
      <c r="A32" s="259" t="s">
        <v>607</v>
      </c>
      <c r="B32" s="260" t="s">
        <v>680</v>
      </c>
      <c r="C32" s="231" t="s">
        <v>644</v>
      </c>
      <c r="D32" s="231" t="s">
        <v>645</v>
      </c>
      <c r="E32" s="231" t="s">
        <v>630</v>
      </c>
      <c r="F32" s="244">
        <v>7727.27</v>
      </c>
      <c r="G32" s="244">
        <v>0</v>
      </c>
      <c r="H32" s="231">
        <v>0</v>
      </c>
      <c r="I32" s="231">
        <v>0</v>
      </c>
      <c r="J32" s="231">
        <v>0</v>
      </c>
      <c r="K32" s="231">
        <v>1622.73</v>
      </c>
      <c r="L32" s="231">
        <v>0</v>
      </c>
      <c r="M32" s="244">
        <v>0</v>
      </c>
      <c r="N32" s="244">
        <v>9350</v>
      </c>
    </row>
    <row r="33" spans="1:14">
      <c r="A33" s="259" t="s">
        <v>607</v>
      </c>
      <c r="B33" s="260" t="s">
        <v>681</v>
      </c>
      <c r="C33" s="231" t="s">
        <v>644</v>
      </c>
      <c r="D33" s="231" t="s">
        <v>645</v>
      </c>
      <c r="E33" s="231" t="s">
        <v>630</v>
      </c>
      <c r="F33" s="244">
        <v>2727.27</v>
      </c>
      <c r="G33" s="244">
        <v>0</v>
      </c>
      <c r="H33" s="231">
        <v>0</v>
      </c>
      <c r="I33" s="231">
        <v>0</v>
      </c>
      <c r="J33" s="231">
        <v>0</v>
      </c>
      <c r="K33" s="231">
        <v>572.73</v>
      </c>
      <c r="L33" s="231">
        <v>0</v>
      </c>
      <c r="M33" s="244">
        <v>0</v>
      </c>
      <c r="N33" s="244">
        <v>3300</v>
      </c>
    </row>
    <row r="34" spans="1:14">
      <c r="A34" s="259" t="s">
        <v>607</v>
      </c>
      <c r="B34" s="260" t="s">
        <v>682</v>
      </c>
      <c r="C34" s="231" t="s">
        <v>644</v>
      </c>
      <c r="D34" s="231" t="s">
        <v>645</v>
      </c>
      <c r="E34" s="231" t="s">
        <v>630</v>
      </c>
      <c r="F34" s="244">
        <v>1735.54</v>
      </c>
      <c r="G34" s="244">
        <v>0</v>
      </c>
      <c r="H34" s="231">
        <v>0</v>
      </c>
      <c r="I34" s="231">
        <v>0</v>
      </c>
      <c r="J34" s="231">
        <v>0</v>
      </c>
      <c r="K34" s="231">
        <v>364.46</v>
      </c>
      <c r="L34" s="231">
        <v>0</v>
      </c>
      <c r="M34" s="244">
        <v>0</v>
      </c>
      <c r="N34" s="244">
        <v>2100</v>
      </c>
    </row>
    <row r="35" spans="1:14">
      <c r="A35" s="259" t="s">
        <v>607</v>
      </c>
      <c r="B35" s="260" t="s">
        <v>683</v>
      </c>
      <c r="C35" s="231" t="s">
        <v>644</v>
      </c>
      <c r="D35" s="231" t="s">
        <v>645</v>
      </c>
      <c r="E35" s="231" t="s">
        <v>630</v>
      </c>
      <c r="F35" s="244">
        <v>4132.2300000000005</v>
      </c>
      <c r="G35" s="244">
        <v>0</v>
      </c>
      <c r="H35" s="231">
        <v>0</v>
      </c>
      <c r="I35" s="231">
        <v>0</v>
      </c>
      <c r="J35" s="231">
        <v>0</v>
      </c>
      <c r="K35" s="231">
        <v>867.77</v>
      </c>
      <c r="L35" s="231">
        <v>0</v>
      </c>
      <c r="M35" s="244">
        <v>0</v>
      </c>
      <c r="N35" s="244">
        <v>5000</v>
      </c>
    </row>
    <row r="36" spans="1:14">
      <c r="A36" s="259" t="s">
        <v>607</v>
      </c>
      <c r="B36" s="260" t="s">
        <v>684</v>
      </c>
      <c r="C36" s="231" t="s">
        <v>644</v>
      </c>
      <c r="D36" s="231" t="s">
        <v>645</v>
      </c>
      <c r="E36" s="231" t="s">
        <v>630</v>
      </c>
      <c r="F36" s="244">
        <v>2727.27</v>
      </c>
      <c r="G36" s="244">
        <v>0</v>
      </c>
      <c r="H36" s="231">
        <v>0</v>
      </c>
      <c r="I36" s="231">
        <v>0</v>
      </c>
      <c r="J36" s="231">
        <v>0</v>
      </c>
      <c r="K36" s="231">
        <v>572.73</v>
      </c>
      <c r="L36" s="231">
        <v>0</v>
      </c>
      <c r="M36" s="244">
        <v>0</v>
      </c>
      <c r="N36" s="244">
        <v>3300</v>
      </c>
    </row>
    <row r="37" spans="1:14">
      <c r="A37" s="259" t="s">
        <v>607</v>
      </c>
      <c r="B37" s="260" t="s">
        <v>685</v>
      </c>
      <c r="C37" s="231" t="s">
        <v>644</v>
      </c>
      <c r="D37" s="231" t="s">
        <v>645</v>
      </c>
      <c r="E37" s="231" t="s">
        <v>630</v>
      </c>
      <c r="F37" s="244">
        <v>4132.2300000000005</v>
      </c>
      <c r="G37" s="244">
        <v>0</v>
      </c>
      <c r="H37" s="231">
        <v>0</v>
      </c>
      <c r="I37" s="231">
        <v>0</v>
      </c>
      <c r="J37" s="231">
        <v>0</v>
      </c>
      <c r="K37" s="231">
        <v>867.77</v>
      </c>
      <c r="L37" s="231">
        <v>0</v>
      </c>
      <c r="M37" s="244">
        <v>0</v>
      </c>
      <c r="N37" s="244">
        <v>5000</v>
      </c>
    </row>
    <row r="38" spans="1:14">
      <c r="A38" s="259" t="s">
        <v>607</v>
      </c>
      <c r="B38" s="260" t="s">
        <v>686</v>
      </c>
      <c r="C38" s="231" t="s">
        <v>658</v>
      </c>
      <c r="D38" s="231" t="s">
        <v>659</v>
      </c>
      <c r="E38" s="231">
        <v>30522428163</v>
      </c>
      <c r="F38" s="244">
        <v>297527.82</v>
      </c>
      <c r="G38" s="244">
        <v>0</v>
      </c>
      <c r="H38" s="231">
        <v>0</v>
      </c>
      <c r="I38" s="231">
        <v>0</v>
      </c>
      <c r="J38" s="231">
        <v>0</v>
      </c>
      <c r="K38" s="231">
        <v>62480.84</v>
      </c>
      <c r="L38" s="231">
        <v>0</v>
      </c>
      <c r="M38" s="244">
        <v>0</v>
      </c>
      <c r="N38" s="244">
        <v>360008.66</v>
      </c>
    </row>
    <row r="39" spans="1:14">
      <c r="A39" s="259" t="s">
        <v>607</v>
      </c>
      <c r="B39" s="260" t="s">
        <v>687</v>
      </c>
      <c r="C39" s="231" t="s">
        <v>658</v>
      </c>
      <c r="D39" s="231" t="s">
        <v>659</v>
      </c>
      <c r="E39" s="231">
        <v>30522428163</v>
      </c>
      <c r="F39" s="244">
        <v>4398512.4000000004</v>
      </c>
      <c r="G39" s="244">
        <v>0</v>
      </c>
      <c r="H39" s="231">
        <v>0</v>
      </c>
      <c r="I39" s="231">
        <v>0</v>
      </c>
      <c r="J39" s="231">
        <v>0</v>
      </c>
      <c r="K39" s="231">
        <v>923687.6</v>
      </c>
      <c r="L39" s="231">
        <v>0</v>
      </c>
      <c r="M39" s="244">
        <v>0</v>
      </c>
      <c r="N39" s="244">
        <v>5322200</v>
      </c>
    </row>
    <row r="40" spans="1:14">
      <c r="A40" s="259" t="s">
        <v>607</v>
      </c>
      <c r="B40" s="260" t="s">
        <v>688</v>
      </c>
      <c r="C40" s="231" t="s">
        <v>689</v>
      </c>
      <c r="D40" s="231" t="s">
        <v>690</v>
      </c>
      <c r="E40" s="231">
        <v>30590354798</v>
      </c>
      <c r="F40" s="244">
        <v>-4087.13</v>
      </c>
      <c r="G40" s="244">
        <v>0</v>
      </c>
      <c r="H40" s="231">
        <v>0</v>
      </c>
      <c r="I40" s="231">
        <v>0</v>
      </c>
      <c r="J40" s="231">
        <v>0</v>
      </c>
      <c r="K40" s="231">
        <v>-858.3</v>
      </c>
      <c r="L40" s="231">
        <v>0</v>
      </c>
      <c r="M40" s="244">
        <v>0</v>
      </c>
      <c r="N40" s="244">
        <v>-4945.43</v>
      </c>
    </row>
    <row r="41" spans="1:14">
      <c r="A41" s="259" t="s">
        <v>607</v>
      </c>
      <c r="B41" s="260" t="s">
        <v>691</v>
      </c>
      <c r="C41" s="231" t="s">
        <v>658</v>
      </c>
      <c r="D41" s="231" t="s">
        <v>659</v>
      </c>
      <c r="E41" s="231">
        <v>30522428163</v>
      </c>
      <c r="F41" s="244">
        <v>3681.09</v>
      </c>
      <c r="G41" s="244">
        <v>0</v>
      </c>
      <c r="H41" s="231">
        <v>0</v>
      </c>
      <c r="I41" s="231">
        <v>0</v>
      </c>
      <c r="J41" s="231">
        <v>0</v>
      </c>
      <c r="K41" s="231">
        <v>773.03</v>
      </c>
      <c r="L41" s="231">
        <v>0</v>
      </c>
      <c r="M41" s="244">
        <v>0</v>
      </c>
      <c r="N41" s="244">
        <v>4454.12</v>
      </c>
    </row>
    <row r="42" spans="1:14">
      <c r="A42" s="259" t="s">
        <v>607</v>
      </c>
      <c r="B42" s="260" t="s">
        <v>692</v>
      </c>
      <c r="C42" s="231" t="s">
        <v>693</v>
      </c>
      <c r="D42" s="231" t="s">
        <v>645</v>
      </c>
      <c r="E42" s="231">
        <v>10093884</v>
      </c>
      <c r="F42" s="244">
        <v>3471.07</v>
      </c>
      <c r="G42" s="244">
        <v>0</v>
      </c>
      <c r="H42" s="231">
        <v>0</v>
      </c>
      <c r="I42" s="231">
        <v>0</v>
      </c>
      <c r="J42" s="231">
        <v>0</v>
      </c>
      <c r="K42" s="231">
        <v>728.93</v>
      </c>
      <c r="L42" s="231">
        <v>0</v>
      </c>
      <c r="M42" s="244">
        <v>0</v>
      </c>
      <c r="N42" s="244">
        <v>4200</v>
      </c>
    </row>
    <row r="43" spans="1:14">
      <c r="A43" s="259" t="s">
        <v>607</v>
      </c>
      <c r="B43" s="260" t="s">
        <v>694</v>
      </c>
      <c r="C43" s="231" t="s">
        <v>695</v>
      </c>
      <c r="D43" s="231" t="s">
        <v>645</v>
      </c>
      <c r="E43" s="231" t="s">
        <v>630</v>
      </c>
      <c r="F43" s="244">
        <v>1487.6</v>
      </c>
      <c r="G43" s="244">
        <v>0</v>
      </c>
      <c r="H43" s="231">
        <v>0</v>
      </c>
      <c r="I43" s="231">
        <v>0</v>
      </c>
      <c r="J43" s="231">
        <v>0</v>
      </c>
      <c r="K43" s="231">
        <v>312.40000000000003</v>
      </c>
      <c r="L43" s="231">
        <v>0</v>
      </c>
      <c r="M43" s="244">
        <v>0</v>
      </c>
      <c r="N43" s="244">
        <v>1800</v>
      </c>
    </row>
    <row r="44" spans="1:14">
      <c r="A44" s="259" t="s">
        <v>607</v>
      </c>
      <c r="B44" s="260" t="s">
        <v>696</v>
      </c>
      <c r="C44" s="231" t="s">
        <v>697</v>
      </c>
      <c r="D44" s="231" t="s">
        <v>645</v>
      </c>
      <c r="E44" s="231">
        <v>26317300</v>
      </c>
      <c r="F44" s="244">
        <v>6446.28</v>
      </c>
      <c r="G44" s="244">
        <v>0</v>
      </c>
      <c r="H44" s="231">
        <v>0</v>
      </c>
      <c r="I44" s="231">
        <v>0</v>
      </c>
      <c r="J44" s="231">
        <v>0</v>
      </c>
      <c r="K44" s="231">
        <v>1353.72</v>
      </c>
      <c r="L44" s="231">
        <v>0</v>
      </c>
      <c r="M44" s="244">
        <v>0</v>
      </c>
      <c r="N44" s="244">
        <v>7800</v>
      </c>
    </row>
    <row r="45" spans="1:14">
      <c r="A45" s="259" t="s">
        <v>608</v>
      </c>
      <c r="B45" s="260" t="s">
        <v>698</v>
      </c>
      <c r="C45" s="231" t="s">
        <v>679</v>
      </c>
      <c r="D45" s="231" t="s">
        <v>645</v>
      </c>
      <c r="E45" s="231">
        <v>32315178</v>
      </c>
      <c r="F45" s="244">
        <v>-21074.38</v>
      </c>
      <c r="G45" s="244">
        <v>0</v>
      </c>
      <c r="H45" s="231">
        <v>0</v>
      </c>
      <c r="I45" s="231">
        <v>0</v>
      </c>
      <c r="J45" s="231">
        <v>0</v>
      </c>
      <c r="K45" s="231">
        <v>-4425.62</v>
      </c>
      <c r="L45" s="231">
        <v>0</v>
      </c>
      <c r="M45" s="244">
        <v>0</v>
      </c>
      <c r="N45" s="244">
        <v>-25500</v>
      </c>
    </row>
    <row r="46" spans="1:14">
      <c r="A46" s="259" t="s">
        <v>608</v>
      </c>
      <c r="B46" s="260" t="s">
        <v>699</v>
      </c>
      <c r="C46" s="231" t="s">
        <v>679</v>
      </c>
      <c r="D46" s="231" t="s">
        <v>645</v>
      </c>
      <c r="E46" s="231">
        <v>32315178</v>
      </c>
      <c r="F46" s="244">
        <v>21074.38</v>
      </c>
      <c r="G46" s="244">
        <v>0</v>
      </c>
      <c r="H46" s="231">
        <v>0</v>
      </c>
      <c r="I46" s="231">
        <v>0</v>
      </c>
      <c r="J46" s="231">
        <v>0</v>
      </c>
      <c r="K46" s="231">
        <v>4425.62</v>
      </c>
      <c r="L46" s="231">
        <v>0</v>
      </c>
      <c r="M46" s="244">
        <v>0</v>
      </c>
      <c r="N46" s="244">
        <v>25500</v>
      </c>
    </row>
    <row r="47" spans="1:14">
      <c r="A47" s="259" t="s">
        <v>608</v>
      </c>
      <c r="B47" s="260" t="s">
        <v>700</v>
      </c>
      <c r="C47" s="231" t="s">
        <v>644</v>
      </c>
      <c r="D47" s="231" t="s">
        <v>645</v>
      </c>
      <c r="E47" s="231" t="s">
        <v>630</v>
      </c>
      <c r="F47" s="244">
        <v>4132.2300000000005</v>
      </c>
      <c r="G47" s="244">
        <v>0</v>
      </c>
      <c r="H47" s="231">
        <v>0</v>
      </c>
      <c r="I47" s="231">
        <v>0</v>
      </c>
      <c r="J47" s="231">
        <v>0</v>
      </c>
      <c r="K47" s="231">
        <v>867.77</v>
      </c>
      <c r="L47" s="231">
        <v>0</v>
      </c>
      <c r="M47" s="244">
        <v>0</v>
      </c>
      <c r="N47" s="244">
        <v>5000</v>
      </c>
    </row>
    <row r="48" spans="1:14">
      <c r="A48" s="259" t="s">
        <v>608</v>
      </c>
      <c r="B48" s="260" t="s">
        <v>701</v>
      </c>
      <c r="C48" s="231" t="s">
        <v>644</v>
      </c>
      <c r="D48" s="231" t="s">
        <v>645</v>
      </c>
      <c r="E48" s="231" t="s">
        <v>630</v>
      </c>
      <c r="F48" s="244">
        <v>2842.97</v>
      </c>
      <c r="G48" s="244">
        <v>0</v>
      </c>
      <c r="H48" s="231">
        <v>0</v>
      </c>
      <c r="I48" s="231">
        <v>0</v>
      </c>
      <c r="J48" s="231">
        <v>0</v>
      </c>
      <c r="K48" s="231">
        <v>597.03</v>
      </c>
      <c r="L48" s="231">
        <v>0</v>
      </c>
      <c r="M48" s="244">
        <v>0</v>
      </c>
      <c r="N48" s="244">
        <v>3440</v>
      </c>
    </row>
    <row r="49" spans="1:14">
      <c r="A49" s="259" t="s">
        <v>608</v>
      </c>
      <c r="B49" s="260" t="s">
        <v>702</v>
      </c>
      <c r="C49" s="231" t="s">
        <v>644</v>
      </c>
      <c r="D49" s="231" t="s">
        <v>645</v>
      </c>
      <c r="E49" s="231" t="s">
        <v>630</v>
      </c>
      <c r="F49" s="244">
        <v>23041.32</v>
      </c>
      <c r="G49" s="244">
        <v>0</v>
      </c>
      <c r="H49" s="231">
        <v>0</v>
      </c>
      <c r="I49" s="231">
        <v>0</v>
      </c>
      <c r="J49" s="231">
        <v>0</v>
      </c>
      <c r="K49" s="231">
        <v>4838.68</v>
      </c>
      <c r="L49" s="231">
        <v>0</v>
      </c>
      <c r="M49" s="244">
        <v>0</v>
      </c>
      <c r="N49" s="244">
        <v>27880</v>
      </c>
    </row>
    <row r="50" spans="1:14">
      <c r="A50" s="259" t="s">
        <v>608</v>
      </c>
      <c r="B50" s="260" t="s">
        <v>703</v>
      </c>
      <c r="C50" s="231" t="s">
        <v>644</v>
      </c>
      <c r="D50" s="231" t="s">
        <v>645</v>
      </c>
      <c r="E50" s="231" t="s">
        <v>630</v>
      </c>
      <c r="F50" s="244">
        <v>6198.35</v>
      </c>
      <c r="G50" s="244">
        <v>0</v>
      </c>
      <c r="H50" s="231">
        <v>0</v>
      </c>
      <c r="I50" s="231">
        <v>0</v>
      </c>
      <c r="J50" s="231">
        <v>0</v>
      </c>
      <c r="K50" s="231">
        <v>1301.6500000000001</v>
      </c>
      <c r="L50" s="231">
        <v>0</v>
      </c>
      <c r="M50" s="244">
        <v>0</v>
      </c>
      <c r="N50" s="244">
        <v>7500</v>
      </c>
    </row>
    <row r="51" spans="1:14">
      <c r="A51" s="259" t="s">
        <v>608</v>
      </c>
      <c r="B51" s="260" t="s">
        <v>704</v>
      </c>
      <c r="C51" s="231" t="s">
        <v>644</v>
      </c>
      <c r="D51" s="231" t="s">
        <v>645</v>
      </c>
      <c r="E51" s="231" t="s">
        <v>630</v>
      </c>
      <c r="F51" s="244">
        <v>3884.3</v>
      </c>
      <c r="G51" s="244">
        <v>0</v>
      </c>
      <c r="H51" s="231">
        <v>0</v>
      </c>
      <c r="I51" s="231">
        <v>0</v>
      </c>
      <c r="J51" s="231">
        <v>0</v>
      </c>
      <c r="K51" s="231">
        <v>815.7</v>
      </c>
      <c r="L51" s="231">
        <v>0</v>
      </c>
      <c r="M51" s="244">
        <v>0</v>
      </c>
      <c r="N51" s="244">
        <v>4700</v>
      </c>
    </row>
    <row r="52" spans="1:14">
      <c r="A52" s="259" t="s">
        <v>608</v>
      </c>
      <c r="B52" s="260" t="s">
        <v>705</v>
      </c>
      <c r="C52" s="231" t="s">
        <v>644</v>
      </c>
      <c r="D52" s="231" t="s">
        <v>645</v>
      </c>
      <c r="E52" s="231" t="s">
        <v>630</v>
      </c>
      <c r="F52" s="244">
        <v>4876.03</v>
      </c>
      <c r="G52" s="244">
        <v>0</v>
      </c>
      <c r="H52" s="231">
        <v>0</v>
      </c>
      <c r="I52" s="231">
        <v>0</v>
      </c>
      <c r="J52" s="231">
        <v>0</v>
      </c>
      <c r="K52" s="231">
        <v>1023.97</v>
      </c>
      <c r="L52" s="231">
        <v>0</v>
      </c>
      <c r="M52" s="244">
        <v>0</v>
      </c>
      <c r="N52" s="244">
        <v>5900</v>
      </c>
    </row>
    <row r="53" spans="1:14">
      <c r="A53" s="259" t="s">
        <v>608</v>
      </c>
      <c r="B53" s="260" t="s">
        <v>706</v>
      </c>
      <c r="C53" s="231" t="s">
        <v>658</v>
      </c>
      <c r="D53" s="231" t="s">
        <v>659</v>
      </c>
      <c r="E53" s="231">
        <v>30522428163</v>
      </c>
      <c r="F53" s="244">
        <v>2177449.15</v>
      </c>
      <c r="G53" s="244">
        <v>0</v>
      </c>
      <c r="H53" s="231">
        <v>0</v>
      </c>
      <c r="I53" s="231">
        <v>0</v>
      </c>
      <c r="J53" s="231">
        <v>0</v>
      </c>
      <c r="K53" s="231">
        <v>457264.32</v>
      </c>
      <c r="L53" s="231">
        <v>0</v>
      </c>
      <c r="M53" s="244">
        <v>0</v>
      </c>
      <c r="N53" s="244">
        <v>2634713.4700000002</v>
      </c>
    </row>
    <row r="54" spans="1:14">
      <c r="A54" s="259" t="s">
        <v>608</v>
      </c>
      <c r="B54" s="260" t="s">
        <v>707</v>
      </c>
      <c r="C54" s="231" t="s">
        <v>658</v>
      </c>
      <c r="D54" s="231" t="s">
        <v>659</v>
      </c>
      <c r="E54" s="231">
        <v>30522428163</v>
      </c>
      <c r="F54" s="244">
        <v>177503.17</v>
      </c>
      <c r="G54" s="244">
        <v>0</v>
      </c>
      <c r="H54" s="231">
        <v>0</v>
      </c>
      <c r="I54" s="231">
        <v>0</v>
      </c>
      <c r="J54" s="231">
        <v>0</v>
      </c>
      <c r="K54" s="231">
        <v>37275.67</v>
      </c>
      <c r="L54" s="231">
        <v>0</v>
      </c>
      <c r="M54" s="244">
        <v>0</v>
      </c>
      <c r="N54" s="244">
        <v>214778.84</v>
      </c>
    </row>
    <row r="55" spans="1:14">
      <c r="A55" s="259" t="s">
        <v>608</v>
      </c>
      <c r="B55" s="260" t="s">
        <v>708</v>
      </c>
      <c r="C55" s="231" t="s">
        <v>709</v>
      </c>
      <c r="D55" s="231" t="s">
        <v>659</v>
      </c>
      <c r="E55" s="231">
        <v>30710538014</v>
      </c>
      <c r="F55" s="244">
        <v>23828.93</v>
      </c>
      <c r="G55" s="244">
        <v>0</v>
      </c>
      <c r="H55" s="231">
        <v>0</v>
      </c>
      <c r="I55" s="231">
        <v>0</v>
      </c>
      <c r="J55" s="231">
        <v>0</v>
      </c>
      <c r="K55" s="231">
        <v>5004.08</v>
      </c>
      <c r="L55" s="231">
        <v>0</v>
      </c>
      <c r="M55" s="244">
        <v>0</v>
      </c>
      <c r="N55" s="244">
        <v>28833.01</v>
      </c>
    </row>
    <row r="56" spans="1:14">
      <c r="A56" s="259" t="s">
        <v>608</v>
      </c>
      <c r="B56" s="260" t="s">
        <v>710</v>
      </c>
      <c r="C56" s="231" t="s">
        <v>711</v>
      </c>
      <c r="D56" s="231" t="s">
        <v>659</v>
      </c>
      <c r="E56" s="231">
        <v>30546771314</v>
      </c>
      <c r="F56" s="244">
        <v>9813.2199999999993</v>
      </c>
      <c r="G56" s="244">
        <v>0</v>
      </c>
      <c r="H56" s="231">
        <v>0</v>
      </c>
      <c r="I56" s="231">
        <v>0</v>
      </c>
      <c r="J56" s="231">
        <v>0</v>
      </c>
      <c r="K56" s="231">
        <v>2060.7800000000002</v>
      </c>
      <c r="L56" s="231">
        <v>0</v>
      </c>
      <c r="M56" s="244">
        <v>0</v>
      </c>
      <c r="N56" s="244">
        <v>11874</v>
      </c>
    </row>
    <row r="57" spans="1:14">
      <c r="A57" s="259" t="s">
        <v>608</v>
      </c>
      <c r="B57" s="260" t="s">
        <v>712</v>
      </c>
      <c r="C57" s="231" t="s">
        <v>713</v>
      </c>
      <c r="D57" s="231" t="s">
        <v>659</v>
      </c>
      <c r="E57" s="231">
        <v>30713669004</v>
      </c>
      <c r="F57" s="244">
        <v>13541.32</v>
      </c>
      <c r="G57" s="244">
        <v>0</v>
      </c>
      <c r="H57" s="231">
        <v>0</v>
      </c>
      <c r="I57" s="231">
        <v>0</v>
      </c>
      <c r="J57" s="231">
        <v>0</v>
      </c>
      <c r="K57" s="231">
        <v>2843.68</v>
      </c>
      <c r="L57" s="231">
        <v>0</v>
      </c>
      <c r="M57" s="244">
        <v>0</v>
      </c>
      <c r="N57" s="244">
        <v>16385</v>
      </c>
    </row>
    <row r="58" spans="1:14">
      <c r="A58" s="259" t="s">
        <v>608</v>
      </c>
      <c r="B58" s="260" t="s">
        <v>714</v>
      </c>
      <c r="C58" s="231" t="s">
        <v>715</v>
      </c>
      <c r="D58" s="231" t="s">
        <v>645</v>
      </c>
      <c r="E58" s="231">
        <v>4918632</v>
      </c>
      <c r="F58" s="244">
        <v>4628.1000000000004</v>
      </c>
      <c r="G58" s="244">
        <v>0</v>
      </c>
      <c r="H58" s="231">
        <v>0</v>
      </c>
      <c r="I58" s="231">
        <v>0</v>
      </c>
      <c r="J58" s="231">
        <v>0</v>
      </c>
      <c r="K58" s="231">
        <v>971.9</v>
      </c>
      <c r="L58" s="231">
        <v>0</v>
      </c>
      <c r="M58" s="244">
        <v>0</v>
      </c>
      <c r="N58" s="244">
        <v>5600</v>
      </c>
    </row>
    <row r="59" spans="1:14">
      <c r="A59" s="259" t="s">
        <v>610</v>
      </c>
      <c r="B59" s="260" t="s">
        <v>716</v>
      </c>
      <c r="C59" s="231" t="s">
        <v>644</v>
      </c>
      <c r="D59" s="231" t="s">
        <v>645</v>
      </c>
      <c r="E59" s="231" t="s">
        <v>630</v>
      </c>
      <c r="F59" s="244">
        <v>1322.31</v>
      </c>
      <c r="G59" s="244">
        <v>0</v>
      </c>
      <c r="H59" s="231">
        <v>0</v>
      </c>
      <c r="I59" s="231">
        <v>0</v>
      </c>
      <c r="J59" s="231">
        <v>0</v>
      </c>
      <c r="K59" s="231">
        <v>277.69</v>
      </c>
      <c r="L59" s="231">
        <v>0</v>
      </c>
      <c r="M59" s="244">
        <v>0</v>
      </c>
      <c r="N59" s="244">
        <v>1600</v>
      </c>
    </row>
    <row r="60" spans="1:14">
      <c r="A60" s="259" t="s">
        <v>610</v>
      </c>
      <c r="B60" s="260" t="s">
        <v>717</v>
      </c>
      <c r="C60" s="231" t="s">
        <v>644</v>
      </c>
      <c r="D60" s="231" t="s">
        <v>645</v>
      </c>
      <c r="E60" s="231" t="s">
        <v>630</v>
      </c>
      <c r="F60" s="244">
        <v>15289.26</v>
      </c>
      <c r="G60" s="244">
        <v>0</v>
      </c>
      <c r="H60" s="231">
        <v>0</v>
      </c>
      <c r="I60" s="231">
        <v>0</v>
      </c>
      <c r="J60" s="231">
        <v>0</v>
      </c>
      <c r="K60" s="231">
        <v>3210.74</v>
      </c>
      <c r="L60" s="231">
        <v>0</v>
      </c>
      <c r="M60" s="244">
        <v>0</v>
      </c>
      <c r="N60" s="244">
        <v>18500</v>
      </c>
    </row>
    <row r="61" spans="1:14">
      <c r="A61" s="259" t="s">
        <v>610</v>
      </c>
      <c r="B61" s="260" t="s">
        <v>718</v>
      </c>
      <c r="C61" s="231" t="s">
        <v>644</v>
      </c>
      <c r="D61" s="231" t="s">
        <v>645</v>
      </c>
      <c r="E61" s="231" t="s">
        <v>630</v>
      </c>
      <c r="F61" s="244">
        <v>5851.24</v>
      </c>
      <c r="G61" s="244">
        <v>0</v>
      </c>
      <c r="H61" s="231">
        <v>0</v>
      </c>
      <c r="I61" s="231">
        <v>0</v>
      </c>
      <c r="J61" s="231">
        <v>0</v>
      </c>
      <c r="K61" s="231">
        <v>1228.76</v>
      </c>
      <c r="L61" s="231">
        <v>0</v>
      </c>
      <c r="M61" s="244">
        <v>0</v>
      </c>
      <c r="N61" s="244">
        <v>7080</v>
      </c>
    </row>
    <row r="62" spans="1:14">
      <c r="A62" s="259" t="s">
        <v>610</v>
      </c>
      <c r="B62" s="260" t="s">
        <v>719</v>
      </c>
      <c r="C62" s="231" t="s">
        <v>644</v>
      </c>
      <c r="D62" s="231" t="s">
        <v>645</v>
      </c>
      <c r="E62" s="231" t="s">
        <v>630</v>
      </c>
      <c r="F62" s="244">
        <v>2644.63</v>
      </c>
      <c r="G62" s="244">
        <v>0</v>
      </c>
      <c r="H62" s="231">
        <v>0</v>
      </c>
      <c r="I62" s="231">
        <v>0</v>
      </c>
      <c r="J62" s="231">
        <v>0</v>
      </c>
      <c r="K62" s="231">
        <v>555.37</v>
      </c>
      <c r="L62" s="231">
        <v>0</v>
      </c>
      <c r="M62" s="244">
        <v>0</v>
      </c>
      <c r="N62" s="244">
        <v>3200</v>
      </c>
    </row>
    <row r="63" spans="1:14">
      <c r="A63" s="259" t="s">
        <v>610</v>
      </c>
      <c r="B63" s="260" t="s">
        <v>720</v>
      </c>
      <c r="C63" s="231" t="s">
        <v>644</v>
      </c>
      <c r="D63" s="231" t="s">
        <v>645</v>
      </c>
      <c r="E63" s="231" t="s">
        <v>630</v>
      </c>
      <c r="F63" s="244">
        <v>2727.27</v>
      </c>
      <c r="G63" s="244">
        <v>0</v>
      </c>
      <c r="H63" s="231">
        <v>0</v>
      </c>
      <c r="I63" s="231">
        <v>0</v>
      </c>
      <c r="J63" s="231">
        <v>0</v>
      </c>
      <c r="K63" s="231">
        <v>572.73</v>
      </c>
      <c r="L63" s="231">
        <v>0</v>
      </c>
      <c r="M63" s="244">
        <v>0</v>
      </c>
      <c r="N63" s="244">
        <v>3300</v>
      </c>
    </row>
    <row r="64" spans="1:14">
      <c r="A64" s="259" t="s">
        <v>610</v>
      </c>
      <c r="B64" s="260" t="s">
        <v>721</v>
      </c>
      <c r="C64" s="231" t="s">
        <v>644</v>
      </c>
      <c r="D64" s="231" t="s">
        <v>645</v>
      </c>
      <c r="E64" s="231" t="s">
        <v>630</v>
      </c>
      <c r="F64" s="244">
        <v>4876.03</v>
      </c>
      <c r="G64" s="244">
        <v>0</v>
      </c>
      <c r="H64" s="231">
        <v>0</v>
      </c>
      <c r="I64" s="231">
        <v>0</v>
      </c>
      <c r="J64" s="231">
        <v>0</v>
      </c>
      <c r="K64" s="231">
        <v>1023.97</v>
      </c>
      <c r="L64" s="231">
        <v>0</v>
      </c>
      <c r="M64" s="244">
        <v>0</v>
      </c>
      <c r="N64" s="244">
        <v>5900</v>
      </c>
    </row>
    <row r="65" spans="1:14">
      <c r="A65" s="259" t="s">
        <v>610</v>
      </c>
      <c r="B65" s="260" t="s">
        <v>722</v>
      </c>
      <c r="C65" s="231" t="s">
        <v>644</v>
      </c>
      <c r="D65" s="231" t="s">
        <v>645</v>
      </c>
      <c r="E65" s="231" t="s">
        <v>630</v>
      </c>
      <c r="F65" s="244">
        <v>3884.3</v>
      </c>
      <c r="G65" s="244">
        <v>0</v>
      </c>
      <c r="H65" s="231">
        <v>0</v>
      </c>
      <c r="I65" s="231">
        <v>0</v>
      </c>
      <c r="J65" s="231">
        <v>0</v>
      </c>
      <c r="K65" s="231">
        <v>815.7</v>
      </c>
      <c r="L65" s="231">
        <v>0</v>
      </c>
      <c r="M65" s="244">
        <v>0</v>
      </c>
      <c r="N65" s="244">
        <v>4700</v>
      </c>
    </row>
    <row r="66" spans="1:14">
      <c r="A66" s="259" t="s">
        <v>610</v>
      </c>
      <c r="B66" s="260" t="s">
        <v>723</v>
      </c>
      <c r="C66" s="231" t="s">
        <v>644</v>
      </c>
      <c r="D66" s="231" t="s">
        <v>645</v>
      </c>
      <c r="E66" s="231" t="s">
        <v>630</v>
      </c>
      <c r="F66" s="244">
        <v>4132.2300000000005</v>
      </c>
      <c r="G66" s="244">
        <v>0</v>
      </c>
      <c r="H66" s="231">
        <v>0</v>
      </c>
      <c r="I66" s="231">
        <v>0</v>
      </c>
      <c r="J66" s="231">
        <v>0</v>
      </c>
      <c r="K66" s="231">
        <v>867.77</v>
      </c>
      <c r="L66" s="231">
        <v>0</v>
      </c>
      <c r="M66" s="244">
        <v>0</v>
      </c>
      <c r="N66" s="244">
        <v>5000</v>
      </c>
    </row>
    <row r="67" spans="1:14">
      <c r="A67" s="259" t="s">
        <v>610</v>
      </c>
      <c r="B67" s="260" t="s">
        <v>724</v>
      </c>
      <c r="C67" s="231" t="s">
        <v>644</v>
      </c>
      <c r="D67" s="231" t="s">
        <v>645</v>
      </c>
      <c r="E67" s="231" t="s">
        <v>630</v>
      </c>
      <c r="F67" s="244">
        <v>5785.12</v>
      </c>
      <c r="G67" s="244">
        <v>0</v>
      </c>
      <c r="H67" s="231">
        <v>0</v>
      </c>
      <c r="I67" s="231">
        <v>0</v>
      </c>
      <c r="J67" s="231">
        <v>0</v>
      </c>
      <c r="K67" s="231">
        <v>1214.8800000000001</v>
      </c>
      <c r="L67" s="231">
        <v>0</v>
      </c>
      <c r="M67" s="244">
        <v>0</v>
      </c>
      <c r="N67" s="244">
        <v>7000</v>
      </c>
    </row>
    <row r="68" spans="1:14">
      <c r="A68" s="259" t="s">
        <v>610</v>
      </c>
      <c r="B68" s="260" t="s">
        <v>725</v>
      </c>
      <c r="C68" s="231" t="s">
        <v>644</v>
      </c>
      <c r="D68" s="231" t="s">
        <v>645</v>
      </c>
      <c r="E68" s="231" t="s">
        <v>630</v>
      </c>
      <c r="F68" s="244">
        <v>6280.99</v>
      </c>
      <c r="G68" s="244">
        <v>0</v>
      </c>
      <c r="H68" s="231">
        <v>0</v>
      </c>
      <c r="I68" s="231">
        <v>0</v>
      </c>
      <c r="J68" s="231">
        <v>0</v>
      </c>
      <c r="K68" s="231">
        <v>1319.01</v>
      </c>
      <c r="L68" s="231">
        <v>0</v>
      </c>
      <c r="M68" s="244">
        <v>0</v>
      </c>
      <c r="N68" s="244">
        <v>7600</v>
      </c>
    </row>
    <row r="69" spans="1:14">
      <c r="A69" s="259" t="s">
        <v>610</v>
      </c>
      <c r="B69" s="260" t="s">
        <v>726</v>
      </c>
      <c r="C69" s="231" t="s">
        <v>727</v>
      </c>
      <c r="D69" s="231" t="s">
        <v>659</v>
      </c>
      <c r="E69" s="231">
        <v>30683032227</v>
      </c>
      <c r="F69" s="244">
        <v>245305.54</v>
      </c>
      <c r="G69" s="244">
        <v>0</v>
      </c>
      <c r="H69" s="231">
        <v>0</v>
      </c>
      <c r="I69" s="231">
        <v>0</v>
      </c>
      <c r="J69" s="231">
        <v>0</v>
      </c>
      <c r="K69" s="231">
        <v>51514.16</v>
      </c>
      <c r="L69" s="231">
        <v>0</v>
      </c>
      <c r="M69" s="244">
        <v>0</v>
      </c>
      <c r="N69" s="244">
        <v>296819.7</v>
      </c>
    </row>
    <row r="70" spans="1:14">
      <c r="A70" s="259" t="s">
        <v>610</v>
      </c>
      <c r="B70" s="260" t="s">
        <v>728</v>
      </c>
      <c r="C70" s="231" t="s">
        <v>727</v>
      </c>
      <c r="D70" s="231" t="s">
        <v>659</v>
      </c>
      <c r="E70" s="231">
        <v>30683032227</v>
      </c>
      <c r="F70" s="244">
        <v>21671.65</v>
      </c>
      <c r="G70" s="244">
        <v>0</v>
      </c>
      <c r="H70" s="231">
        <v>0</v>
      </c>
      <c r="I70" s="231">
        <v>0</v>
      </c>
      <c r="J70" s="231">
        <v>0</v>
      </c>
      <c r="K70" s="231">
        <v>4551.05</v>
      </c>
      <c r="L70" s="231">
        <v>0</v>
      </c>
      <c r="M70" s="244">
        <v>0</v>
      </c>
      <c r="N70" s="244">
        <v>26222.7</v>
      </c>
    </row>
    <row r="71" spans="1:14">
      <c r="A71" s="259" t="s">
        <v>610</v>
      </c>
      <c r="B71" s="260" t="s">
        <v>729</v>
      </c>
      <c r="C71" s="231" t="s">
        <v>711</v>
      </c>
      <c r="D71" s="231" t="s">
        <v>659</v>
      </c>
      <c r="E71" s="231">
        <v>30546771314</v>
      </c>
      <c r="F71" s="244">
        <v>10247.92</v>
      </c>
      <c r="G71" s="244">
        <v>0</v>
      </c>
      <c r="H71" s="231">
        <v>0</v>
      </c>
      <c r="I71" s="231">
        <v>0</v>
      </c>
      <c r="J71" s="231">
        <v>0</v>
      </c>
      <c r="K71" s="231">
        <v>2152.06</v>
      </c>
      <c r="L71" s="231">
        <v>0</v>
      </c>
      <c r="M71" s="244">
        <v>0</v>
      </c>
      <c r="N71" s="244">
        <v>12399.98</v>
      </c>
    </row>
    <row r="72" spans="1:14">
      <c r="A72" s="259" t="s">
        <v>610</v>
      </c>
      <c r="B72" s="260" t="s">
        <v>730</v>
      </c>
      <c r="C72" s="231" t="s">
        <v>668</v>
      </c>
      <c r="D72" s="231" t="s">
        <v>659</v>
      </c>
      <c r="E72" s="231">
        <v>30608716390</v>
      </c>
      <c r="F72" s="244">
        <v>1280.99</v>
      </c>
      <c r="G72" s="244">
        <v>0</v>
      </c>
      <c r="H72" s="231">
        <v>0</v>
      </c>
      <c r="I72" s="231">
        <v>0</v>
      </c>
      <c r="J72" s="231">
        <v>0</v>
      </c>
      <c r="K72" s="231">
        <v>269.01</v>
      </c>
      <c r="L72" s="231">
        <v>0</v>
      </c>
      <c r="M72" s="244">
        <v>0</v>
      </c>
      <c r="N72" s="244">
        <v>1550</v>
      </c>
    </row>
    <row r="73" spans="1:14">
      <c r="A73" s="259" t="s">
        <v>610</v>
      </c>
      <c r="B73" s="260" t="s">
        <v>731</v>
      </c>
      <c r="C73" s="231" t="s">
        <v>732</v>
      </c>
      <c r="D73" s="231" t="s">
        <v>645</v>
      </c>
      <c r="E73" s="231">
        <v>5077002</v>
      </c>
      <c r="F73" s="244">
        <v>3719.01</v>
      </c>
      <c r="G73" s="244">
        <v>0</v>
      </c>
      <c r="H73" s="231">
        <v>0</v>
      </c>
      <c r="I73" s="231">
        <v>0</v>
      </c>
      <c r="J73" s="231">
        <v>0</v>
      </c>
      <c r="K73" s="231">
        <v>780.99</v>
      </c>
      <c r="L73" s="231">
        <v>0</v>
      </c>
      <c r="M73" s="244">
        <v>0</v>
      </c>
      <c r="N73" s="244">
        <v>4500</v>
      </c>
    </row>
    <row r="74" spans="1:14">
      <c r="A74" s="259" t="s">
        <v>611</v>
      </c>
      <c r="B74" s="260" t="s">
        <v>733</v>
      </c>
      <c r="C74" s="231" t="s">
        <v>644</v>
      </c>
      <c r="D74" s="231" t="s">
        <v>645</v>
      </c>
      <c r="E74" s="231" t="s">
        <v>630</v>
      </c>
      <c r="F74" s="244">
        <v>4330.58</v>
      </c>
      <c r="G74" s="244">
        <v>0</v>
      </c>
      <c r="H74" s="231">
        <v>0</v>
      </c>
      <c r="I74" s="231">
        <v>0</v>
      </c>
      <c r="J74" s="231">
        <v>0</v>
      </c>
      <c r="K74" s="231">
        <v>909.42</v>
      </c>
      <c r="L74" s="231">
        <v>0</v>
      </c>
      <c r="M74" s="244">
        <v>0</v>
      </c>
      <c r="N74" s="244">
        <v>5240</v>
      </c>
    </row>
    <row r="75" spans="1:14">
      <c r="A75" s="259" t="s">
        <v>611</v>
      </c>
      <c r="B75" s="260" t="s">
        <v>734</v>
      </c>
      <c r="C75" s="231" t="s">
        <v>644</v>
      </c>
      <c r="D75" s="231" t="s">
        <v>645</v>
      </c>
      <c r="E75" s="231" t="s">
        <v>630</v>
      </c>
      <c r="F75" s="244">
        <v>5702.48</v>
      </c>
      <c r="G75" s="244">
        <v>0</v>
      </c>
      <c r="H75" s="231">
        <v>0</v>
      </c>
      <c r="I75" s="231">
        <v>0</v>
      </c>
      <c r="J75" s="231">
        <v>0</v>
      </c>
      <c r="K75" s="231">
        <v>1197.52</v>
      </c>
      <c r="L75" s="231">
        <v>0</v>
      </c>
      <c r="M75" s="244">
        <v>0</v>
      </c>
      <c r="N75" s="244">
        <v>6900</v>
      </c>
    </row>
    <row r="76" spans="1:14">
      <c r="A76" s="259" t="s">
        <v>611</v>
      </c>
      <c r="B76" s="260" t="s">
        <v>735</v>
      </c>
      <c r="C76" s="231" t="s">
        <v>644</v>
      </c>
      <c r="D76" s="231" t="s">
        <v>645</v>
      </c>
      <c r="E76" s="231" t="s">
        <v>630</v>
      </c>
      <c r="F76" s="244">
        <v>7768.6</v>
      </c>
      <c r="G76" s="244">
        <v>0</v>
      </c>
      <c r="H76" s="231">
        <v>0</v>
      </c>
      <c r="I76" s="231">
        <v>0</v>
      </c>
      <c r="J76" s="231">
        <v>0</v>
      </c>
      <c r="K76" s="231">
        <v>1631.4</v>
      </c>
      <c r="L76" s="231">
        <v>0</v>
      </c>
      <c r="M76" s="244">
        <v>0</v>
      </c>
      <c r="N76" s="244">
        <v>9400</v>
      </c>
    </row>
    <row r="77" spans="1:14">
      <c r="A77" s="259" t="s">
        <v>611</v>
      </c>
      <c r="B77" s="260" t="s">
        <v>736</v>
      </c>
      <c r="C77" s="231" t="s">
        <v>644</v>
      </c>
      <c r="D77" s="231" t="s">
        <v>645</v>
      </c>
      <c r="E77" s="231" t="s">
        <v>630</v>
      </c>
      <c r="F77" s="244">
        <v>6297.52</v>
      </c>
      <c r="G77" s="244">
        <v>0</v>
      </c>
      <c r="H77" s="231">
        <v>0</v>
      </c>
      <c r="I77" s="231">
        <v>0</v>
      </c>
      <c r="J77" s="231">
        <v>0</v>
      </c>
      <c r="K77" s="231">
        <v>1322.48</v>
      </c>
      <c r="L77" s="231">
        <v>0</v>
      </c>
      <c r="M77" s="244">
        <v>0</v>
      </c>
      <c r="N77" s="244">
        <v>7620</v>
      </c>
    </row>
    <row r="78" spans="1:14">
      <c r="A78" s="259" t="s">
        <v>611</v>
      </c>
      <c r="B78" s="260" t="s">
        <v>737</v>
      </c>
      <c r="C78" s="231" t="s">
        <v>644</v>
      </c>
      <c r="D78" s="231" t="s">
        <v>645</v>
      </c>
      <c r="E78" s="231" t="s">
        <v>630</v>
      </c>
      <c r="F78" s="244">
        <v>15041.33</v>
      </c>
      <c r="G78" s="244">
        <v>0</v>
      </c>
      <c r="H78" s="231">
        <v>0</v>
      </c>
      <c r="I78" s="231">
        <v>0</v>
      </c>
      <c r="J78" s="231">
        <v>0</v>
      </c>
      <c r="K78" s="231">
        <v>3158.67</v>
      </c>
      <c r="L78" s="231">
        <v>0</v>
      </c>
      <c r="M78" s="244">
        <v>0</v>
      </c>
      <c r="N78" s="244">
        <v>18200</v>
      </c>
    </row>
    <row r="79" spans="1:14">
      <c r="A79" s="259" t="s">
        <v>611</v>
      </c>
      <c r="B79" s="260" t="s">
        <v>738</v>
      </c>
      <c r="C79" s="231" t="s">
        <v>739</v>
      </c>
      <c r="D79" s="231" t="s">
        <v>645</v>
      </c>
      <c r="E79" s="231">
        <v>21851552</v>
      </c>
      <c r="F79" s="244">
        <v>7272.73</v>
      </c>
      <c r="G79" s="244">
        <v>0</v>
      </c>
      <c r="H79" s="231">
        <v>0</v>
      </c>
      <c r="I79" s="231">
        <v>0</v>
      </c>
      <c r="J79" s="231">
        <v>0</v>
      </c>
      <c r="K79" s="231">
        <v>1527.27</v>
      </c>
      <c r="L79" s="231">
        <v>0</v>
      </c>
      <c r="M79" s="244">
        <v>0</v>
      </c>
      <c r="N79" s="244">
        <v>8800</v>
      </c>
    </row>
    <row r="80" spans="1:14">
      <c r="A80" s="259" t="s">
        <v>611</v>
      </c>
      <c r="B80" s="260" t="s">
        <v>740</v>
      </c>
      <c r="C80" s="231" t="s">
        <v>644</v>
      </c>
      <c r="D80" s="231" t="s">
        <v>645</v>
      </c>
      <c r="E80" s="231" t="s">
        <v>630</v>
      </c>
      <c r="F80" s="244">
        <v>2396.69</v>
      </c>
      <c r="G80" s="244">
        <v>0</v>
      </c>
      <c r="H80" s="231">
        <v>0</v>
      </c>
      <c r="I80" s="231">
        <v>0</v>
      </c>
      <c r="J80" s="231">
        <v>0</v>
      </c>
      <c r="K80" s="231">
        <v>503.31</v>
      </c>
      <c r="L80" s="231">
        <v>0</v>
      </c>
      <c r="M80" s="244">
        <v>0</v>
      </c>
      <c r="N80" s="244">
        <v>2900</v>
      </c>
    </row>
    <row r="81" spans="1:14">
      <c r="A81" s="259" t="s">
        <v>611</v>
      </c>
      <c r="B81" s="260" t="s">
        <v>741</v>
      </c>
      <c r="C81" s="231" t="s">
        <v>644</v>
      </c>
      <c r="D81" s="231" t="s">
        <v>645</v>
      </c>
      <c r="E81" s="231" t="s">
        <v>630</v>
      </c>
      <c r="F81" s="244">
        <v>2479.34</v>
      </c>
      <c r="G81" s="244">
        <v>0</v>
      </c>
      <c r="H81" s="231">
        <v>0</v>
      </c>
      <c r="I81" s="231">
        <v>0</v>
      </c>
      <c r="J81" s="231">
        <v>0</v>
      </c>
      <c r="K81" s="231">
        <v>520.66</v>
      </c>
      <c r="L81" s="231">
        <v>0</v>
      </c>
      <c r="M81" s="244">
        <v>0</v>
      </c>
      <c r="N81" s="244">
        <v>3000</v>
      </c>
    </row>
    <row r="82" spans="1:14">
      <c r="A82" s="259" t="s">
        <v>611</v>
      </c>
      <c r="B82" s="260" t="s">
        <v>742</v>
      </c>
      <c r="C82" s="231" t="s">
        <v>644</v>
      </c>
      <c r="D82" s="231" t="s">
        <v>645</v>
      </c>
      <c r="E82" s="231" t="s">
        <v>630</v>
      </c>
      <c r="F82" s="244">
        <v>7024.79</v>
      </c>
      <c r="G82" s="244">
        <v>0</v>
      </c>
      <c r="H82" s="231">
        <v>0</v>
      </c>
      <c r="I82" s="231">
        <v>0</v>
      </c>
      <c r="J82" s="231">
        <v>0</v>
      </c>
      <c r="K82" s="231">
        <v>1475.21</v>
      </c>
      <c r="L82" s="231">
        <v>0</v>
      </c>
      <c r="M82" s="244">
        <v>0</v>
      </c>
      <c r="N82" s="244">
        <v>8500</v>
      </c>
    </row>
    <row r="83" spans="1:14">
      <c r="A83" s="259" t="s">
        <v>611</v>
      </c>
      <c r="B83" s="260" t="s">
        <v>743</v>
      </c>
      <c r="C83" s="231" t="s">
        <v>644</v>
      </c>
      <c r="D83" s="231" t="s">
        <v>645</v>
      </c>
      <c r="E83" s="231" t="s">
        <v>630</v>
      </c>
      <c r="F83" s="244">
        <v>7272.73</v>
      </c>
      <c r="G83" s="244">
        <v>0</v>
      </c>
      <c r="H83" s="231">
        <v>0</v>
      </c>
      <c r="I83" s="231">
        <v>0</v>
      </c>
      <c r="J83" s="231">
        <v>0</v>
      </c>
      <c r="K83" s="231">
        <v>1527.27</v>
      </c>
      <c r="L83" s="231">
        <v>0</v>
      </c>
      <c r="M83" s="244">
        <v>0</v>
      </c>
      <c r="N83" s="244">
        <v>8800</v>
      </c>
    </row>
    <row r="84" spans="1:14">
      <c r="A84" s="259" t="s">
        <v>611</v>
      </c>
      <c r="B84" s="260" t="s">
        <v>744</v>
      </c>
      <c r="C84" s="231" t="s">
        <v>644</v>
      </c>
      <c r="D84" s="231" t="s">
        <v>645</v>
      </c>
      <c r="E84" s="231" t="s">
        <v>630</v>
      </c>
      <c r="F84" s="244">
        <v>2231.4</v>
      </c>
      <c r="G84" s="244">
        <v>0</v>
      </c>
      <c r="H84" s="231">
        <v>0</v>
      </c>
      <c r="I84" s="231">
        <v>0</v>
      </c>
      <c r="J84" s="231">
        <v>0</v>
      </c>
      <c r="K84" s="231">
        <v>468.6</v>
      </c>
      <c r="L84" s="231">
        <v>0</v>
      </c>
      <c r="M84" s="244">
        <v>0</v>
      </c>
      <c r="N84" s="244">
        <v>2700</v>
      </c>
    </row>
    <row r="85" spans="1:14">
      <c r="A85" s="259" t="s">
        <v>611</v>
      </c>
      <c r="B85" s="260" t="s">
        <v>745</v>
      </c>
      <c r="C85" s="231" t="s">
        <v>644</v>
      </c>
      <c r="D85" s="231" t="s">
        <v>645</v>
      </c>
      <c r="E85" s="231" t="s">
        <v>630</v>
      </c>
      <c r="F85" s="244">
        <v>1652.89</v>
      </c>
      <c r="G85" s="244">
        <v>0</v>
      </c>
      <c r="H85" s="231">
        <v>0</v>
      </c>
      <c r="I85" s="231">
        <v>0</v>
      </c>
      <c r="J85" s="231">
        <v>0</v>
      </c>
      <c r="K85" s="231">
        <v>347.11</v>
      </c>
      <c r="L85" s="231">
        <v>0</v>
      </c>
      <c r="M85" s="244">
        <v>0</v>
      </c>
      <c r="N85" s="244">
        <v>2000</v>
      </c>
    </row>
    <row r="86" spans="1:14">
      <c r="A86" s="259" t="s">
        <v>611</v>
      </c>
      <c r="B86" s="260" t="s">
        <v>746</v>
      </c>
      <c r="C86" s="231" t="s">
        <v>644</v>
      </c>
      <c r="D86" s="231" t="s">
        <v>645</v>
      </c>
      <c r="E86" s="231" t="s">
        <v>630</v>
      </c>
      <c r="F86" s="244">
        <v>10000</v>
      </c>
      <c r="G86" s="244">
        <v>0</v>
      </c>
      <c r="H86" s="231">
        <v>0</v>
      </c>
      <c r="I86" s="231">
        <v>0</v>
      </c>
      <c r="J86" s="231">
        <v>0</v>
      </c>
      <c r="K86" s="231">
        <v>2100</v>
      </c>
      <c r="L86" s="231">
        <v>0</v>
      </c>
      <c r="M86" s="244">
        <v>0</v>
      </c>
      <c r="N86" s="244">
        <v>12100</v>
      </c>
    </row>
    <row r="87" spans="1:14">
      <c r="A87" s="259" t="s">
        <v>611</v>
      </c>
      <c r="B87" s="260" t="s">
        <v>747</v>
      </c>
      <c r="C87" s="231" t="s">
        <v>689</v>
      </c>
      <c r="D87" s="231" t="s">
        <v>690</v>
      </c>
      <c r="E87" s="231">
        <v>30590354798</v>
      </c>
      <c r="F87" s="244">
        <v>218291.75</v>
      </c>
      <c r="G87" s="244">
        <v>0</v>
      </c>
      <c r="H87" s="231">
        <v>0</v>
      </c>
      <c r="I87" s="231">
        <v>0</v>
      </c>
      <c r="J87" s="231">
        <v>0</v>
      </c>
      <c r="K87" s="231">
        <v>45841.27</v>
      </c>
      <c r="L87" s="231">
        <v>0</v>
      </c>
      <c r="M87" s="244">
        <v>0</v>
      </c>
      <c r="N87" s="244">
        <v>264133.02</v>
      </c>
    </row>
    <row r="88" spans="1:14">
      <c r="A88" s="259" t="s">
        <v>612</v>
      </c>
      <c r="B88" s="260" t="s">
        <v>748</v>
      </c>
      <c r="C88" s="231" t="s">
        <v>749</v>
      </c>
      <c r="D88" s="231" t="s">
        <v>659</v>
      </c>
      <c r="E88" s="231">
        <v>30708436506</v>
      </c>
      <c r="F88" s="244">
        <v>8033.06</v>
      </c>
      <c r="G88" s="244">
        <v>0</v>
      </c>
      <c r="H88" s="231">
        <v>0</v>
      </c>
      <c r="I88" s="231">
        <v>0</v>
      </c>
      <c r="J88" s="231">
        <v>0</v>
      </c>
      <c r="K88" s="231">
        <v>1686.94</v>
      </c>
      <c r="L88" s="231">
        <v>0</v>
      </c>
      <c r="M88" s="244">
        <v>0</v>
      </c>
      <c r="N88" s="244">
        <v>9720</v>
      </c>
    </row>
    <row r="89" spans="1:14">
      <c r="A89" s="259" t="s">
        <v>612</v>
      </c>
      <c r="B89" s="260" t="s">
        <v>750</v>
      </c>
      <c r="C89" s="231" t="s">
        <v>644</v>
      </c>
      <c r="D89" s="231" t="s">
        <v>645</v>
      </c>
      <c r="E89" s="231" t="s">
        <v>630</v>
      </c>
      <c r="F89" s="244">
        <v>6198.35</v>
      </c>
      <c r="G89" s="244">
        <v>0</v>
      </c>
      <c r="H89" s="231">
        <v>0</v>
      </c>
      <c r="I89" s="231">
        <v>0</v>
      </c>
      <c r="J89" s="231">
        <v>0</v>
      </c>
      <c r="K89" s="231">
        <v>1301.6500000000001</v>
      </c>
      <c r="L89" s="231">
        <v>0</v>
      </c>
      <c r="M89" s="244">
        <v>0</v>
      </c>
      <c r="N89" s="244">
        <v>7500</v>
      </c>
    </row>
    <row r="90" spans="1:14">
      <c r="A90" s="259" t="s">
        <v>612</v>
      </c>
      <c r="B90" s="260" t="s">
        <v>751</v>
      </c>
      <c r="C90" s="231" t="s">
        <v>644</v>
      </c>
      <c r="D90" s="231" t="s">
        <v>645</v>
      </c>
      <c r="E90" s="231" t="s">
        <v>630</v>
      </c>
      <c r="F90" s="244">
        <v>3884.3</v>
      </c>
      <c r="G90" s="244">
        <v>0</v>
      </c>
      <c r="H90" s="231">
        <v>0</v>
      </c>
      <c r="I90" s="231">
        <v>0</v>
      </c>
      <c r="J90" s="231">
        <v>0</v>
      </c>
      <c r="K90" s="231">
        <v>815.7</v>
      </c>
      <c r="L90" s="231">
        <v>0</v>
      </c>
      <c r="M90" s="244">
        <v>0</v>
      </c>
      <c r="N90" s="244">
        <v>4700</v>
      </c>
    </row>
    <row r="91" spans="1:14">
      <c r="A91" s="259" t="s">
        <v>612</v>
      </c>
      <c r="B91" s="260" t="s">
        <v>752</v>
      </c>
      <c r="C91" s="231" t="s">
        <v>644</v>
      </c>
      <c r="D91" s="231" t="s">
        <v>645</v>
      </c>
      <c r="E91" s="231" t="s">
        <v>630</v>
      </c>
      <c r="F91" s="244">
        <v>2314.0500000000002</v>
      </c>
      <c r="G91" s="244">
        <v>0</v>
      </c>
      <c r="H91" s="231">
        <v>0</v>
      </c>
      <c r="I91" s="231">
        <v>0</v>
      </c>
      <c r="J91" s="231">
        <v>0</v>
      </c>
      <c r="K91" s="231">
        <v>485.95</v>
      </c>
      <c r="L91" s="231">
        <v>0</v>
      </c>
      <c r="M91" s="244">
        <v>0</v>
      </c>
      <c r="N91" s="244">
        <v>2800</v>
      </c>
    </row>
    <row r="92" spans="1:14">
      <c r="A92" s="259" t="s">
        <v>612</v>
      </c>
      <c r="B92" s="260" t="s">
        <v>753</v>
      </c>
      <c r="C92" s="231" t="s">
        <v>644</v>
      </c>
      <c r="D92" s="231" t="s">
        <v>645</v>
      </c>
      <c r="E92" s="231" t="s">
        <v>630</v>
      </c>
      <c r="F92" s="244">
        <v>12148.76</v>
      </c>
      <c r="G92" s="244">
        <v>0</v>
      </c>
      <c r="H92" s="231">
        <v>0</v>
      </c>
      <c r="I92" s="231">
        <v>0</v>
      </c>
      <c r="J92" s="231">
        <v>0</v>
      </c>
      <c r="K92" s="231">
        <v>2551.2400000000002</v>
      </c>
      <c r="L92" s="231">
        <v>0</v>
      </c>
      <c r="M92" s="244">
        <v>0</v>
      </c>
      <c r="N92" s="244">
        <v>14700</v>
      </c>
    </row>
    <row r="93" spans="1:14">
      <c r="A93" s="259" t="s">
        <v>612</v>
      </c>
      <c r="B93" s="260" t="s">
        <v>754</v>
      </c>
      <c r="C93" s="231" t="s">
        <v>644</v>
      </c>
      <c r="D93" s="231" t="s">
        <v>645</v>
      </c>
      <c r="E93" s="231" t="s">
        <v>630</v>
      </c>
      <c r="F93" s="244">
        <v>12148.76</v>
      </c>
      <c r="G93" s="244">
        <v>0</v>
      </c>
      <c r="H93" s="231">
        <v>0</v>
      </c>
      <c r="I93" s="231">
        <v>0</v>
      </c>
      <c r="J93" s="231">
        <v>0</v>
      </c>
      <c r="K93" s="231">
        <v>2551.2400000000002</v>
      </c>
      <c r="L93" s="231">
        <v>0</v>
      </c>
      <c r="M93" s="244">
        <v>0</v>
      </c>
      <c r="N93" s="244">
        <v>14700</v>
      </c>
    </row>
    <row r="94" spans="1:14">
      <c r="A94" s="259" t="s">
        <v>612</v>
      </c>
      <c r="B94" s="260" t="s">
        <v>755</v>
      </c>
      <c r="C94" s="231" t="s">
        <v>644</v>
      </c>
      <c r="D94" s="231" t="s">
        <v>645</v>
      </c>
      <c r="E94" s="231" t="s">
        <v>630</v>
      </c>
      <c r="F94" s="244">
        <v>6652.89</v>
      </c>
      <c r="G94" s="244">
        <v>0</v>
      </c>
      <c r="H94" s="231">
        <v>0</v>
      </c>
      <c r="I94" s="231">
        <v>0</v>
      </c>
      <c r="J94" s="231">
        <v>0</v>
      </c>
      <c r="K94" s="231">
        <v>1397.11</v>
      </c>
      <c r="L94" s="231">
        <v>0</v>
      </c>
      <c r="M94" s="244">
        <v>0</v>
      </c>
      <c r="N94" s="244">
        <v>8050</v>
      </c>
    </row>
    <row r="95" spans="1:14">
      <c r="A95" s="259" t="s">
        <v>612</v>
      </c>
      <c r="B95" s="260" t="s">
        <v>756</v>
      </c>
      <c r="C95" s="231" t="s">
        <v>644</v>
      </c>
      <c r="D95" s="231" t="s">
        <v>645</v>
      </c>
      <c r="E95" s="231" t="s">
        <v>630</v>
      </c>
      <c r="F95" s="244">
        <v>2396.69</v>
      </c>
      <c r="G95" s="244">
        <v>0</v>
      </c>
      <c r="H95" s="231">
        <v>0</v>
      </c>
      <c r="I95" s="231">
        <v>0</v>
      </c>
      <c r="J95" s="231">
        <v>0</v>
      </c>
      <c r="K95" s="231">
        <v>503.31</v>
      </c>
      <c r="L95" s="231">
        <v>0</v>
      </c>
      <c r="M95" s="244">
        <v>0</v>
      </c>
      <c r="N95" s="244">
        <v>2900</v>
      </c>
    </row>
    <row r="96" spans="1:14">
      <c r="A96" s="259" t="s">
        <v>612</v>
      </c>
      <c r="B96" s="260" t="s">
        <v>757</v>
      </c>
      <c r="C96" s="231" t="s">
        <v>644</v>
      </c>
      <c r="D96" s="231" t="s">
        <v>645</v>
      </c>
      <c r="E96" s="231" t="s">
        <v>630</v>
      </c>
      <c r="F96" s="244">
        <v>3223.14</v>
      </c>
      <c r="G96" s="244">
        <v>0</v>
      </c>
      <c r="H96" s="231">
        <v>0</v>
      </c>
      <c r="I96" s="231">
        <v>0</v>
      </c>
      <c r="J96" s="231">
        <v>0</v>
      </c>
      <c r="K96" s="231">
        <v>676.86</v>
      </c>
      <c r="L96" s="231">
        <v>0</v>
      </c>
      <c r="M96" s="244">
        <v>0</v>
      </c>
      <c r="N96" s="244">
        <v>3900</v>
      </c>
    </row>
    <row r="97" spans="1:14">
      <c r="A97" s="259" t="s">
        <v>612</v>
      </c>
      <c r="B97" s="260" t="s">
        <v>758</v>
      </c>
      <c r="C97" s="231" t="s">
        <v>644</v>
      </c>
      <c r="D97" s="231" t="s">
        <v>645</v>
      </c>
      <c r="E97" s="231" t="s">
        <v>630</v>
      </c>
      <c r="F97" s="244">
        <v>5785.12</v>
      </c>
      <c r="G97" s="244">
        <v>0</v>
      </c>
      <c r="H97" s="231">
        <v>0</v>
      </c>
      <c r="I97" s="231">
        <v>0</v>
      </c>
      <c r="J97" s="231">
        <v>0</v>
      </c>
      <c r="K97" s="231">
        <v>1214.8800000000001</v>
      </c>
      <c r="L97" s="231">
        <v>0</v>
      </c>
      <c r="M97" s="244">
        <v>0</v>
      </c>
      <c r="N97" s="244">
        <v>7000</v>
      </c>
    </row>
    <row r="98" spans="1:14">
      <c r="A98" s="259" t="s">
        <v>612</v>
      </c>
      <c r="B98" s="260" t="s">
        <v>759</v>
      </c>
      <c r="C98" s="231" t="s">
        <v>644</v>
      </c>
      <c r="D98" s="231" t="s">
        <v>645</v>
      </c>
      <c r="E98" s="231" t="s">
        <v>630</v>
      </c>
      <c r="F98" s="244">
        <v>2066.12</v>
      </c>
      <c r="G98" s="244">
        <v>0</v>
      </c>
      <c r="H98" s="231">
        <v>0</v>
      </c>
      <c r="I98" s="231">
        <v>0</v>
      </c>
      <c r="J98" s="231">
        <v>0</v>
      </c>
      <c r="K98" s="231">
        <v>433.88</v>
      </c>
      <c r="L98" s="231">
        <v>0</v>
      </c>
      <c r="M98" s="244">
        <v>0</v>
      </c>
      <c r="N98" s="244">
        <v>2500</v>
      </c>
    </row>
    <row r="99" spans="1:14">
      <c r="A99" s="259" t="s">
        <v>612</v>
      </c>
      <c r="B99" s="260" t="s">
        <v>760</v>
      </c>
      <c r="C99" s="231" t="s">
        <v>644</v>
      </c>
      <c r="D99" s="231" t="s">
        <v>645</v>
      </c>
      <c r="E99" s="231" t="s">
        <v>630</v>
      </c>
      <c r="F99" s="244">
        <v>2066.12</v>
      </c>
      <c r="G99" s="244">
        <v>0</v>
      </c>
      <c r="H99" s="231">
        <v>0</v>
      </c>
      <c r="I99" s="231">
        <v>0</v>
      </c>
      <c r="J99" s="231">
        <v>0</v>
      </c>
      <c r="K99" s="231">
        <v>433.88</v>
      </c>
      <c r="L99" s="231">
        <v>0</v>
      </c>
      <c r="M99" s="244">
        <v>0</v>
      </c>
      <c r="N99" s="244">
        <v>2500</v>
      </c>
    </row>
    <row r="100" spans="1:14">
      <c r="A100" s="259" t="s">
        <v>612</v>
      </c>
      <c r="B100" s="260" t="s">
        <v>761</v>
      </c>
      <c r="C100" s="231" t="s">
        <v>668</v>
      </c>
      <c r="D100" s="231" t="s">
        <v>659</v>
      </c>
      <c r="E100" s="231">
        <v>30608716390</v>
      </c>
      <c r="F100" s="244">
        <v>-19421.490000000002</v>
      </c>
      <c r="G100" s="244">
        <v>0</v>
      </c>
      <c r="H100" s="231">
        <v>0</v>
      </c>
      <c r="I100" s="231">
        <v>0</v>
      </c>
      <c r="J100" s="231">
        <v>0</v>
      </c>
      <c r="K100" s="231">
        <v>-4078.51</v>
      </c>
      <c r="L100" s="231">
        <v>0</v>
      </c>
      <c r="M100" s="244">
        <v>0</v>
      </c>
      <c r="N100" s="244">
        <v>-23500</v>
      </c>
    </row>
    <row r="101" spans="1:14">
      <c r="A101" s="259" t="s">
        <v>612</v>
      </c>
      <c r="B101" s="260" t="s">
        <v>762</v>
      </c>
      <c r="C101" s="231" t="s">
        <v>668</v>
      </c>
      <c r="D101" s="231" t="s">
        <v>659</v>
      </c>
      <c r="E101" s="231">
        <v>30608716390</v>
      </c>
      <c r="F101" s="244">
        <v>-1239.67</v>
      </c>
      <c r="G101" s="244">
        <v>0</v>
      </c>
      <c r="H101" s="231">
        <v>0</v>
      </c>
      <c r="I101" s="231">
        <v>0</v>
      </c>
      <c r="J101" s="231">
        <v>0</v>
      </c>
      <c r="K101" s="231">
        <v>-260.33</v>
      </c>
      <c r="L101" s="231">
        <v>0</v>
      </c>
      <c r="M101" s="244">
        <v>0</v>
      </c>
      <c r="N101" s="244">
        <v>-1500</v>
      </c>
    </row>
    <row r="102" spans="1:14">
      <c r="A102" s="259" t="s">
        <v>612</v>
      </c>
      <c r="B102" s="260" t="s">
        <v>763</v>
      </c>
      <c r="C102" s="231" t="s">
        <v>764</v>
      </c>
      <c r="D102" s="231" t="s">
        <v>659</v>
      </c>
      <c r="E102" s="231">
        <v>30657418877</v>
      </c>
      <c r="F102" s="244">
        <v>2892.56</v>
      </c>
      <c r="G102" s="244">
        <v>0</v>
      </c>
      <c r="H102" s="231">
        <v>0</v>
      </c>
      <c r="I102" s="231">
        <v>0</v>
      </c>
      <c r="J102" s="231">
        <v>0</v>
      </c>
      <c r="K102" s="231">
        <v>607.44000000000005</v>
      </c>
      <c r="L102" s="231">
        <v>0</v>
      </c>
      <c r="M102" s="244">
        <v>0</v>
      </c>
      <c r="N102" s="244">
        <v>3500</v>
      </c>
    </row>
    <row r="103" spans="1:14">
      <c r="A103" s="259" t="s">
        <v>612</v>
      </c>
      <c r="B103" s="260" t="s">
        <v>765</v>
      </c>
      <c r="C103" s="231" t="s">
        <v>766</v>
      </c>
      <c r="D103" s="231" t="s">
        <v>659</v>
      </c>
      <c r="E103" s="231">
        <v>30711244383</v>
      </c>
      <c r="F103" s="244">
        <v>5623.97</v>
      </c>
      <c r="G103" s="244">
        <v>0</v>
      </c>
      <c r="H103" s="231">
        <v>0</v>
      </c>
      <c r="I103" s="231">
        <v>0</v>
      </c>
      <c r="J103" s="231">
        <v>0</v>
      </c>
      <c r="K103" s="231">
        <v>1181.03</v>
      </c>
      <c r="L103" s="231">
        <v>0</v>
      </c>
      <c r="M103" s="244">
        <v>0</v>
      </c>
      <c r="N103" s="244">
        <v>6805</v>
      </c>
    </row>
    <row r="104" spans="1:14">
      <c r="A104" s="259" t="s">
        <v>612</v>
      </c>
      <c r="B104" s="260" t="s">
        <v>767</v>
      </c>
      <c r="C104" s="231" t="s">
        <v>668</v>
      </c>
      <c r="D104" s="231" t="s">
        <v>659</v>
      </c>
      <c r="E104" s="231">
        <v>30608716390</v>
      </c>
      <c r="F104" s="244">
        <v>19421.490000000002</v>
      </c>
      <c r="G104" s="244">
        <v>0</v>
      </c>
      <c r="H104" s="231">
        <v>0</v>
      </c>
      <c r="I104" s="231">
        <v>0</v>
      </c>
      <c r="J104" s="231">
        <v>0</v>
      </c>
      <c r="K104" s="231">
        <v>4078.51</v>
      </c>
      <c r="L104" s="231">
        <v>0</v>
      </c>
      <c r="M104" s="244">
        <v>0</v>
      </c>
      <c r="N104" s="244">
        <v>23500</v>
      </c>
    </row>
    <row r="105" spans="1:14">
      <c r="A105" s="259" t="s">
        <v>612</v>
      </c>
      <c r="B105" s="260" t="s">
        <v>768</v>
      </c>
      <c r="C105" s="231" t="s">
        <v>668</v>
      </c>
      <c r="D105" s="231" t="s">
        <v>659</v>
      </c>
      <c r="E105" s="231">
        <v>30608716390</v>
      </c>
      <c r="F105" s="244">
        <v>1239.67</v>
      </c>
      <c r="G105" s="244">
        <v>0</v>
      </c>
      <c r="H105" s="231">
        <v>0</v>
      </c>
      <c r="I105" s="231">
        <v>0</v>
      </c>
      <c r="J105" s="231">
        <v>0</v>
      </c>
      <c r="K105" s="231">
        <v>260.33</v>
      </c>
      <c r="L105" s="231">
        <v>0</v>
      </c>
      <c r="M105" s="244">
        <v>0</v>
      </c>
      <c r="N105" s="244">
        <v>1500</v>
      </c>
    </row>
    <row r="106" spans="1:14">
      <c r="A106" s="259" t="s">
        <v>612</v>
      </c>
      <c r="B106" s="260" t="s">
        <v>769</v>
      </c>
      <c r="C106" s="231" t="s">
        <v>770</v>
      </c>
      <c r="D106" s="231" t="s">
        <v>659</v>
      </c>
      <c r="E106" s="231">
        <v>30645337979</v>
      </c>
      <c r="F106" s="244">
        <v>10705.79</v>
      </c>
      <c r="G106" s="244">
        <v>0</v>
      </c>
      <c r="H106" s="231">
        <v>0</v>
      </c>
      <c r="I106" s="231">
        <v>0</v>
      </c>
      <c r="J106" s="231">
        <v>0</v>
      </c>
      <c r="K106" s="231">
        <v>2248.2200000000003</v>
      </c>
      <c r="L106" s="231">
        <v>0</v>
      </c>
      <c r="M106" s="244">
        <v>0</v>
      </c>
      <c r="N106" s="244">
        <v>12954.01</v>
      </c>
    </row>
    <row r="107" spans="1:14">
      <c r="A107" s="259" t="s">
        <v>612</v>
      </c>
      <c r="B107" s="260" t="s">
        <v>771</v>
      </c>
      <c r="C107" s="231" t="s">
        <v>772</v>
      </c>
      <c r="D107" s="231" t="s">
        <v>659</v>
      </c>
      <c r="E107" s="231">
        <v>30710961790</v>
      </c>
      <c r="F107" s="244">
        <v>45380.99</v>
      </c>
      <c r="G107" s="244">
        <v>0</v>
      </c>
      <c r="H107" s="231">
        <v>0</v>
      </c>
      <c r="I107" s="231">
        <v>0</v>
      </c>
      <c r="J107" s="231">
        <v>0</v>
      </c>
      <c r="K107" s="231">
        <v>9530.01</v>
      </c>
      <c r="L107" s="231">
        <v>0</v>
      </c>
      <c r="M107" s="244">
        <v>0</v>
      </c>
      <c r="N107" s="244">
        <v>54911</v>
      </c>
    </row>
    <row r="108" spans="1:14">
      <c r="A108" s="259" t="s">
        <v>612</v>
      </c>
      <c r="B108" s="260" t="s">
        <v>773</v>
      </c>
      <c r="C108" s="231" t="s">
        <v>689</v>
      </c>
      <c r="D108" s="231" t="s">
        <v>690</v>
      </c>
      <c r="E108" s="231">
        <v>30590354798</v>
      </c>
      <c r="F108" s="244">
        <v>314049.59000000003</v>
      </c>
      <c r="G108" s="244">
        <v>0</v>
      </c>
      <c r="H108" s="231">
        <v>0</v>
      </c>
      <c r="I108" s="231">
        <v>0</v>
      </c>
      <c r="J108" s="231">
        <v>0</v>
      </c>
      <c r="K108" s="231">
        <v>65950.41</v>
      </c>
      <c r="L108" s="231">
        <v>0</v>
      </c>
      <c r="M108" s="244">
        <v>0</v>
      </c>
      <c r="N108" s="244">
        <v>380000</v>
      </c>
    </row>
    <row r="109" spans="1:14">
      <c r="A109" s="259" t="s">
        <v>612</v>
      </c>
      <c r="B109" s="260" t="s">
        <v>774</v>
      </c>
      <c r="C109" s="231" t="s">
        <v>775</v>
      </c>
      <c r="D109" s="231" t="s">
        <v>690</v>
      </c>
      <c r="E109" s="231">
        <v>30658137642</v>
      </c>
      <c r="F109" s="244">
        <v>46649.59</v>
      </c>
      <c r="G109" s="244">
        <v>0</v>
      </c>
      <c r="H109" s="231">
        <v>0</v>
      </c>
      <c r="I109" s="231">
        <v>0</v>
      </c>
      <c r="J109" s="231">
        <v>0</v>
      </c>
      <c r="K109" s="231">
        <v>9796.41</v>
      </c>
      <c r="L109" s="231">
        <v>0</v>
      </c>
      <c r="M109" s="244">
        <v>0</v>
      </c>
      <c r="N109" s="244">
        <v>56446</v>
      </c>
    </row>
    <row r="110" spans="1:14">
      <c r="A110" s="259" t="s">
        <v>612</v>
      </c>
      <c r="B110" s="260" t="s">
        <v>776</v>
      </c>
      <c r="C110" s="231" t="s">
        <v>777</v>
      </c>
      <c r="D110" s="231" t="s">
        <v>645</v>
      </c>
      <c r="E110" s="231">
        <v>13214933</v>
      </c>
      <c r="F110" s="244">
        <v>5454.54</v>
      </c>
      <c r="G110" s="244">
        <v>0</v>
      </c>
      <c r="H110" s="231">
        <v>0</v>
      </c>
      <c r="I110" s="231">
        <v>0</v>
      </c>
      <c r="J110" s="231">
        <v>0</v>
      </c>
      <c r="K110" s="231">
        <v>1145.46</v>
      </c>
      <c r="L110" s="231">
        <v>0</v>
      </c>
      <c r="M110" s="244">
        <v>0</v>
      </c>
      <c r="N110" s="244">
        <v>6600</v>
      </c>
    </row>
    <row r="111" spans="1:14">
      <c r="A111" s="259" t="s">
        <v>612</v>
      </c>
      <c r="B111" s="260" t="s">
        <v>778</v>
      </c>
      <c r="C111" s="231" t="s">
        <v>777</v>
      </c>
      <c r="D111" s="231" t="s">
        <v>645</v>
      </c>
      <c r="E111" s="231">
        <v>13214933</v>
      </c>
      <c r="F111" s="244">
        <v>3140.5</v>
      </c>
      <c r="G111" s="244">
        <v>0</v>
      </c>
      <c r="H111" s="231">
        <v>0</v>
      </c>
      <c r="I111" s="231">
        <v>0</v>
      </c>
      <c r="J111" s="231">
        <v>0</v>
      </c>
      <c r="K111" s="231">
        <v>659.5</v>
      </c>
      <c r="L111" s="231">
        <v>0</v>
      </c>
      <c r="M111" s="244">
        <v>0</v>
      </c>
      <c r="N111" s="244">
        <v>3800</v>
      </c>
    </row>
    <row r="112" spans="1:14">
      <c r="A112" s="259" t="s">
        <v>612</v>
      </c>
      <c r="B112" s="260" t="s">
        <v>779</v>
      </c>
      <c r="C112" s="231" t="s">
        <v>780</v>
      </c>
      <c r="D112" s="231" t="s">
        <v>645</v>
      </c>
      <c r="E112" s="231">
        <v>94008078</v>
      </c>
      <c r="F112" s="244">
        <v>3471.08</v>
      </c>
      <c r="G112" s="244">
        <v>0</v>
      </c>
      <c r="H112" s="231">
        <v>0</v>
      </c>
      <c r="I112" s="231">
        <v>0</v>
      </c>
      <c r="J112" s="231">
        <v>0</v>
      </c>
      <c r="K112" s="231">
        <v>728.92</v>
      </c>
      <c r="L112" s="231">
        <v>0</v>
      </c>
      <c r="M112" s="244">
        <v>0</v>
      </c>
      <c r="N112" s="244">
        <v>4200</v>
      </c>
    </row>
    <row r="113" spans="1:14">
      <c r="A113" s="259" t="s">
        <v>612</v>
      </c>
      <c r="B113" s="260" t="s">
        <v>781</v>
      </c>
      <c r="C113" s="231" t="s">
        <v>782</v>
      </c>
      <c r="D113" s="231" t="s">
        <v>645</v>
      </c>
      <c r="E113" s="231">
        <v>27312091</v>
      </c>
      <c r="F113" s="244">
        <v>5371.9</v>
      </c>
      <c r="G113" s="244">
        <v>0</v>
      </c>
      <c r="H113" s="231">
        <v>0</v>
      </c>
      <c r="I113" s="231">
        <v>0</v>
      </c>
      <c r="J113" s="231">
        <v>0</v>
      </c>
      <c r="K113" s="231">
        <v>1128.1000000000001</v>
      </c>
      <c r="L113" s="231">
        <v>0</v>
      </c>
      <c r="M113" s="244">
        <v>0</v>
      </c>
      <c r="N113" s="244">
        <v>6500</v>
      </c>
    </row>
    <row r="114" spans="1:14">
      <c r="A114" s="259" t="s">
        <v>612</v>
      </c>
      <c r="B114" s="260" t="s">
        <v>783</v>
      </c>
      <c r="C114" s="231" t="s">
        <v>784</v>
      </c>
      <c r="D114" s="231" t="s">
        <v>645</v>
      </c>
      <c r="E114" s="231" t="s">
        <v>630</v>
      </c>
      <c r="F114" s="244">
        <v>2479.34</v>
      </c>
      <c r="G114" s="244">
        <v>0</v>
      </c>
      <c r="H114" s="231">
        <v>0</v>
      </c>
      <c r="I114" s="231">
        <v>0</v>
      </c>
      <c r="J114" s="231">
        <v>0</v>
      </c>
      <c r="K114" s="231">
        <v>520.66</v>
      </c>
      <c r="L114" s="231">
        <v>0</v>
      </c>
      <c r="M114" s="244">
        <v>0</v>
      </c>
      <c r="N114" s="244">
        <v>3000</v>
      </c>
    </row>
    <row r="115" spans="1:14">
      <c r="A115" s="259" t="s">
        <v>612</v>
      </c>
      <c r="B115" s="260" t="s">
        <v>785</v>
      </c>
      <c r="C115" s="231" t="s">
        <v>784</v>
      </c>
      <c r="D115" s="231" t="s">
        <v>645</v>
      </c>
      <c r="E115" s="231" t="s">
        <v>630</v>
      </c>
      <c r="F115" s="244">
        <v>14876.03</v>
      </c>
      <c r="G115" s="244">
        <v>0</v>
      </c>
      <c r="H115" s="231">
        <v>0</v>
      </c>
      <c r="I115" s="231">
        <v>0</v>
      </c>
      <c r="J115" s="231">
        <v>0</v>
      </c>
      <c r="K115" s="231">
        <v>3123.97</v>
      </c>
      <c r="L115" s="231">
        <v>0</v>
      </c>
      <c r="M115" s="244">
        <v>0</v>
      </c>
      <c r="N115" s="244">
        <v>18000</v>
      </c>
    </row>
    <row r="116" spans="1:14">
      <c r="A116" s="259" t="s">
        <v>612</v>
      </c>
      <c r="B116" s="260" t="s">
        <v>786</v>
      </c>
      <c r="C116" s="231" t="s">
        <v>787</v>
      </c>
      <c r="D116" s="231" t="s">
        <v>690</v>
      </c>
      <c r="E116" s="231">
        <v>30571766287</v>
      </c>
      <c r="F116" s="244">
        <v>21742.15</v>
      </c>
      <c r="G116" s="244">
        <v>0</v>
      </c>
      <c r="H116" s="231">
        <v>0</v>
      </c>
      <c r="I116" s="231">
        <v>0</v>
      </c>
      <c r="J116" s="231">
        <v>0</v>
      </c>
      <c r="K116" s="231">
        <v>4565.8500000000004</v>
      </c>
      <c r="L116" s="231">
        <v>0</v>
      </c>
      <c r="M116" s="244">
        <v>0</v>
      </c>
      <c r="N116" s="244">
        <v>26308</v>
      </c>
    </row>
    <row r="117" spans="1:14">
      <c r="A117" s="259" t="s">
        <v>612</v>
      </c>
      <c r="B117" s="260" t="s">
        <v>788</v>
      </c>
      <c r="C117" s="231" t="s">
        <v>789</v>
      </c>
      <c r="D117" s="231" t="s">
        <v>645</v>
      </c>
      <c r="E117" s="231">
        <v>13741680</v>
      </c>
      <c r="F117" s="244">
        <v>21942.16</v>
      </c>
      <c r="G117" s="244">
        <v>0</v>
      </c>
      <c r="H117" s="231">
        <v>0</v>
      </c>
      <c r="I117" s="231">
        <v>0</v>
      </c>
      <c r="J117" s="231">
        <v>0</v>
      </c>
      <c r="K117" s="231">
        <v>4607.84</v>
      </c>
      <c r="L117" s="231">
        <v>0</v>
      </c>
      <c r="M117" s="244">
        <v>0</v>
      </c>
      <c r="N117" s="244">
        <v>26550</v>
      </c>
    </row>
    <row r="118" spans="1:14">
      <c r="A118" s="259" t="s">
        <v>612</v>
      </c>
      <c r="B118" s="260" t="s">
        <v>790</v>
      </c>
      <c r="C118" s="231" t="s">
        <v>791</v>
      </c>
      <c r="D118" s="231" t="s">
        <v>690</v>
      </c>
      <c r="E118" s="231">
        <v>30609521941</v>
      </c>
      <c r="F118" s="244">
        <v>3305.79</v>
      </c>
      <c r="G118" s="244">
        <v>0</v>
      </c>
      <c r="H118" s="231">
        <v>0</v>
      </c>
      <c r="I118" s="231">
        <v>0</v>
      </c>
      <c r="J118" s="231">
        <v>0</v>
      </c>
      <c r="K118" s="231">
        <v>694.21</v>
      </c>
      <c r="L118" s="231">
        <v>0</v>
      </c>
      <c r="M118" s="244">
        <v>0</v>
      </c>
      <c r="N118" s="244">
        <v>4000</v>
      </c>
    </row>
    <row r="119" spans="1:14">
      <c r="A119" s="259" t="s">
        <v>613</v>
      </c>
      <c r="B119" s="260" t="s">
        <v>792</v>
      </c>
      <c r="C119" s="231" t="s">
        <v>644</v>
      </c>
      <c r="D119" s="231" t="s">
        <v>645</v>
      </c>
      <c r="E119" s="231" t="s">
        <v>630</v>
      </c>
      <c r="F119" s="244">
        <v>9090.91</v>
      </c>
      <c r="G119" s="244">
        <v>0</v>
      </c>
      <c r="H119" s="231">
        <v>0</v>
      </c>
      <c r="I119" s="231">
        <v>0</v>
      </c>
      <c r="J119" s="231">
        <v>0</v>
      </c>
      <c r="K119" s="231">
        <v>1909.09</v>
      </c>
      <c r="L119" s="231">
        <v>0</v>
      </c>
      <c r="M119" s="244">
        <v>0</v>
      </c>
      <c r="N119" s="244">
        <v>11000</v>
      </c>
    </row>
    <row r="120" spans="1:14">
      <c r="A120" s="259" t="s">
        <v>613</v>
      </c>
      <c r="B120" s="260" t="s">
        <v>793</v>
      </c>
      <c r="C120" s="231" t="s">
        <v>644</v>
      </c>
      <c r="D120" s="231" t="s">
        <v>645</v>
      </c>
      <c r="E120" s="231" t="s">
        <v>630</v>
      </c>
      <c r="F120" s="244">
        <v>7851.24</v>
      </c>
      <c r="G120" s="244">
        <v>0</v>
      </c>
      <c r="H120" s="231">
        <v>0</v>
      </c>
      <c r="I120" s="231">
        <v>0</v>
      </c>
      <c r="J120" s="231">
        <v>0</v>
      </c>
      <c r="K120" s="231">
        <v>1648.76</v>
      </c>
      <c r="L120" s="231">
        <v>0</v>
      </c>
      <c r="M120" s="244">
        <v>0</v>
      </c>
      <c r="N120" s="244">
        <v>9500</v>
      </c>
    </row>
    <row r="121" spans="1:14">
      <c r="A121" s="259" t="s">
        <v>613</v>
      </c>
      <c r="B121" s="260" t="s">
        <v>794</v>
      </c>
      <c r="C121" s="231" t="s">
        <v>644</v>
      </c>
      <c r="D121" s="231" t="s">
        <v>645</v>
      </c>
      <c r="E121" s="231" t="s">
        <v>630</v>
      </c>
      <c r="F121" s="244">
        <v>7768.6</v>
      </c>
      <c r="G121" s="244">
        <v>0</v>
      </c>
      <c r="H121" s="231">
        <v>0</v>
      </c>
      <c r="I121" s="231">
        <v>0</v>
      </c>
      <c r="J121" s="231">
        <v>0</v>
      </c>
      <c r="K121" s="231">
        <v>1631.4</v>
      </c>
      <c r="L121" s="231">
        <v>0</v>
      </c>
      <c r="M121" s="244">
        <v>0</v>
      </c>
      <c r="N121" s="244">
        <v>9400</v>
      </c>
    </row>
    <row r="122" spans="1:14">
      <c r="A122" s="259" t="s">
        <v>613</v>
      </c>
      <c r="B122" s="260" t="s">
        <v>795</v>
      </c>
      <c r="C122" s="231" t="s">
        <v>644</v>
      </c>
      <c r="D122" s="231" t="s">
        <v>645</v>
      </c>
      <c r="E122" s="231" t="s">
        <v>630</v>
      </c>
      <c r="F122" s="244">
        <v>3966.94</v>
      </c>
      <c r="G122" s="244">
        <v>0</v>
      </c>
      <c r="H122" s="231">
        <v>0</v>
      </c>
      <c r="I122" s="231">
        <v>0</v>
      </c>
      <c r="J122" s="231">
        <v>0</v>
      </c>
      <c r="K122" s="231">
        <v>833.06</v>
      </c>
      <c r="L122" s="231">
        <v>0</v>
      </c>
      <c r="M122" s="244">
        <v>0</v>
      </c>
      <c r="N122" s="244">
        <v>4800</v>
      </c>
    </row>
    <row r="123" spans="1:14">
      <c r="A123" s="259" t="s">
        <v>613</v>
      </c>
      <c r="B123" s="260" t="s">
        <v>796</v>
      </c>
      <c r="C123" s="231" t="s">
        <v>644</v>
      </c>
      <c r="D123" s="231" t="s">
        <v>645</v>
      </c>
      <c r="E123" s="231" t="s">
        <v>630</v>
      </c>
      <c r="F123" s="244">
        <v>6198.35</v>
      </c>
      <c r="G123" s="244">
        <v>0</v>
      </c>
      <c r="H123" s="231">
        <v>0</v>
      </c>
      <c r="I123" s="231">
        <v>0</v>
      </c>
      <c r="J123" s="231">
        <v>0</v>
      </c>
      <c r="K123" s="231">
        <v>1301.6500000000001</v>
      </c>
      <c r="L123" s="231">
        <v>0</v>
      </c>
      <c r="M123" s="244">
        <v>0</v>
      </c>
      <c r="N123" s="244">
        <v>7500</v>
      </c>
    </row>
    <row r="124" spans="1:14">
      <c r="A124" s="259" t="s">
        <v>613</v>
      </c>
      <c r="B124" s="260" t="s">
        <v>797</v>
      </c>
      <c r="C124" s="231" t="s">
        <v>644</v>
      </c>
      <c r="D124" s="231" t="s">
        <v>645</v>
      </c>
      <c r="E124" s="231" t="s">
        <v>630</v>
      </c>
      <c r="F124" s="244">
        <v>4462.8100000000004</v>
      </c>
      <c r="G124" s="244">
        <v>0</v>
      </c>
      <c r="H124" s="231">
        <v>0</v>
      </c>
      <c r="I124" s="231">
        <v>0</v>
      </c>
      <c r="J124" s="231">
        <v>0</v>
      </c>
      <c r="K124" s="231">
        <v>937.19</v>
      </c>
      <c r="L124" s="231">
        <v>0</v>
      </c>
      <c r="M124" s="244">
        <v>0</v>
      </c>
      <c r="N124" s="244">
        <v>5400</v>
      </c>
    </row>
    <row r="125" spans="1:14">
      <c r="A125" s="259" t="s">
        <v>613</v>
      </c>
      <c r="B125" s="260" t="s">
        <v>798</v>
      </c>
      <c r="C125" s="231" t="s">
        <v>644</v>
      </c>
      <c r="D125" s="231" t="s">
        <v>645</v>
      </c>
      <c r="E125" s="231" t="s">
        <v>630</v>
      </c>
      <c r="F125" s="244">
        <v>5867.77</v>
      </c>
      <c r="G125" s="244">
        <v>0</v>
      </c>
      <c r="H125" s="231">
        <v>0</v>
      </c>
      <c r="I125" s="231">
        <v>0</v>
      </c>
      <c r="J125" s="231">
        <v>0</v>
      </c>
      <c r="K125" s="231">
        <v>1232.23</v>
      </c>
      <c r="L125" s="231">
        <v>0</v>
      </c>
      <c r="M125" s="244">
        <v>0</v>
      </c>
      <c r="N125" s="244">
        <v>7100</v>
      </c>
    </row>
    <row r="126" spans="1:14">
      <c r="A126" s="259" t="s">
        <v>613</v>
      </c>
      <c r="B126" s="260" t="s">
        <v>799</v>
      </c>
      <c r="C126" s="231" t="s">
        <v>644</v>
      </c>
      <c r="D126" s="231" t="s">
        <v>645</v>
      </c>
      <c r="E126" s="231" t="s">
        <v>630</v>
      </c>
      <c r="F126" s="244">
        <v>4876.03</v>
      </c>
      <c r="G126" s="244">
        <v>0</v>
      </c>
      <c r="H126" s="231">
        <v>0</v>
      </c>
      <c r="I126" s="231">
        <v>0</v>
      </c>
      <c r="J126" s="231">
        <v>0</v>
      </c>
      <c r="K126" s="231">
        <v>1023.97</v>
      </c>
      <c r="L126" s="231">
        <v>0</v>
      </c>
      <c r="M126" s="244">
        <v>0</v>
      </c>
      <c r="N126" s="244">
        <v>5900</v>
      </c>
    </row>
    <row r="127" spans="1:14">
      <c r="A127" s="259" t="s">
        <v>613</v>
      </c>
      <c r="B127" s="260" t="s">
        <v>800</v>
      </c>
      <c r="C127" s="231" t="s">
        <v>801</v>
      </c>
      <c r="D127" s="231" t="s">
        <v>645</v>
      </c>
      <c r="E127" s="231">
        <v>38774398</v>
      </c>
      <c r="F127" s="244">
        <v>11157.02</v>
      </c>
      <c r="G127" s="244">
        <v>0</v>
      </c>
      <c r="H127" s="231">
        <v>0</v>
      </c>
      <c r="I127" s="231">
        <v>0</v>
      </c>
      <c r="J127" s="231">
        <v>0</v>
      </c>
      <c r="K127" s="231">
        <v>2342.98</v>
      </c>
      <c r="L127" s="231">
        <v>0</v>
      </c>
      <c r="M127" s="244">
        <v>0</v>
      </c>
      <c r="N127" s="244">
        <v>13500</v>
      </c>
    </row>
    <row r="128" spans="1:14">
      <c r="A128" s="259" t="s">
        <v>613</v>
      </c>
      <c r="B128" s="260" t="s">
        <v>802</v>
      </c>
      <c r="C128" s="231" t="s">
        <v>644</v>
      </c>
      <c r="D128" s="231" t="s">
        <v>645</v>
      </c>
      <c r="E128" s="231" t="s">
        <v>630</v>
      </c>
      <c r="F128" s="244">
        <v>4876.03</v>
      </c>
      <c r="G128" s="244">
        <v>0</v>
      </c>
      <c r="H128" s="231">
        <v>0</v>
      </c>
      <c r="I128" s="231">
        <v>0</v>
      </c>
      <c r="J128" s="231">
        <v>0</v>
      </c>
      <c r="K128" s="231">
        <v>1023.97</v>
      </c>
      <c r="L128" s="231">
        <v>0</v>
      </c>
      <c r="M128" s="244">
        <v>0</v>
      </c>
      <c r="N128" s="244">
        <v>5900</v>
      </c>
    </row>
    <row r="129" spans="1:14">
      <c r="A129" s="259" t="s">
        <v>613</v>
      </c>
      <c r="B129" s="260" t="s">
        <v>803</v>
      </c>
      <c r="C129" s="231" t="s">
        <v>644</v>
      </c>
      <c r="D129" s="231" t="s">
        <v>645</v>
      </c>
      <c r="E129" s="231" t="s">
        <v>630</v>
      </c>
      <c r="F129" s="244">
        <v>4793.3900000000003</v>
      </c>
      <c r="G129" s="244">
        <v>0</v>
      </c>
      <c r="H129" s="231">
        <v>0</v>
      </c>
      <c r="I129" s="231">
        <v>0</v>
      </c>
      <c r="J129" s="231">
        <v>0</v>
      </c>
      <c r="K129" s="231">
        <v>1006.61</v>
      </c>
      <c r="L129" s="231">
        <v>0</v>
      </c>
      <c r="M129" s="244">
        <v>0</v>
      </c>
      <c r="N129" s="244">
        <v>5800</v>
      </c>
    </row>
    <row r="130" spans="1:14">
      <c r="A130" s="259" t="s">
        <v>613</v>
      </c>
      <c r="B130" s="260" t="s">
        <v>804</v>
      </c>
      <c r="C130" s="231" t="s">
        <v>644</v>
      </c>
      <c r="D130" s="231" t="s">
        <v>645</v>
      </c>
      <c r="E130" s="231" t="s">
        <v>630</v>
      </c>
      <c r="F130" s="244">
        <v>2396.69</v>
      </c>
      <c r="G130" s="244">
        <v>0</v>
      </c>
      <c r="H130" s="231">
        <v>0</v>
      </c>
      <c r="I130" s="231">
        <v>0</v>
      </c>
      <c r="J130" s="231">
        <v>0</v>
      </c>
      <c r="K130" s="231">
        <v>503.31</v>
      </c>
      <c r="L130" s="231">
        <v>0</v>
      </c>
      <c r="M130" s="244">
        <v>0</v>
      </c>
      <c r="N130" s="244">
        <v>2900</v>
      </c>
    </row>
    <row r="131" spans="1:14">
      <c r="A131" s="259" t="s">
        <v>613</v>
      </c>
      <c r="B131" s="260" t="s">
        <v>805</v>
      </c>
      <c r="C131" s="231" t="s">
        <v>644</v>
      </c>
      <c r="D131" s="231" t="s">
        <v>645</v>
      </c>
      <c r="E131" s="231" t="s">
        <v>630</v>
      </c>
      <c r="F131" s="244">
        <v>2396.69</v>
      </c>
      <c r="G131" s="244">
        <v>0</v>
      </c>
      <c r="H131" s="231">
        <v>0</v>
      </c>
      <c r="I131" s="231">
        <v>0</v>
      </c>
      <c r="J131" s="231">
        <v>0</v>
      </c>
      <c r="K131" s="231">
        <v>503.31</v>
      </c>
      <c r="L131" s="231">
        <v>0</v>
      </c>
      <c r="M131" s="244">
        <v>0</v>
      </c>
      <c r="N131" s="244">
        <v>2900</v>
      </c>
    </row>
    <row r="132" spans="1:14">
      <c r="A132" s="259" t="s">
        <v>613</v>
      </c>
      <c r="B132" s="260" t="s">
        <v>806</v>
      </c>
      <c r="C132" s="231" t="s">
        <v>658</v>
      </c>
      <c r="D132" s="231" t="s">
        <v>659</v>
      </c>
      <c r="E132" s="231">
        <v>30522428163</v>
      </c>
      <c r="F132" s="244">
        <v>4200537.1900000004</v>
      </c>
      <c r="G132" s="244">
        <v>0</v>
      </c>
      <c r="H132" s="231">
        <v>0</v>
      </c>
      <c r="I132" s="231">
        <v>0</v>
      </c>
      <c r="J132" s="231">
        <v>0</v>
      </c>
      <c r="K132" s="231">
        <v>882112.8</v>
      </c>
      <c r="L132" s="231">
        <v>0</v>
      </c>
      <c r="M132" s="244">
        <v>0</v>
      </c>
      <c r="N132" s="244">
        <v>5082649.99</v>
      </c>
    </row>
    <row r="133" spans="1:14">
      <c r="A133" s="259" t="s">
        <v>613</v>
      </c>
      <c r="B133" s="260" t="s">
        <v>807</v>
      </c>
      <c r="C133" s="231" t="s">
        <v>808</v>
      </c>
      <c r="D133" s="231" t="s">
        <v>690</v>
      </c>
      <c r="E133" s="231">
        <v>30685228501</v>
      </c>
      <c r="F133" s="244">
        <v>163636.36000000002</v>
      </c>
      <c r="G133" s="244">
        <v>0</v>
      </c>
      <c r="H133" s="231">
        <v>0</v>
      </c>
      <c r="I133" s="231">
        <v>0</v>
      </c>
      <c r="J133" s="231">
        <v>0</v>
      </c>
      <c r="K133" s="231">
        <v>34363.64</v>
      </c>
      <c r="L133" s="231">
        <v>0</v>
      </c>
      <c r="M133" s="244">
        <v>0</v>
      </c>
      <c r="N133" s="244">
        <v>198000</v>
      </c>
    </row>
    <row r="134" spans="1:14">
      <c r="A134" s="259" t="s">
        <v>614</v>
      </c>
      <c r="B134" s="260" t="s">
        <v>809</v>
      </c>
      <c r="C134" s="231" t="s">
        <v>644</v>
      </c>
      <c r="D134" s="231" t="s">
        <v>645</v>
      </c>
      <c r="E134" s="231" t="s">
        <v>630</v>
      </c>
      <c r="F134" s="244">
        <v>5371.9</v>
      </c>
      <c r="G134" s="244">
        <v>0</v>
      </c>
      <c r="H134" s="231">
        <v>0</v>
      </c>
      <c r="I134" s="231">
        <v>0</v>
      </c>
      <c r="J134" s="231">
        <v>0</v>
      </c>
      <c r="K134" s="231">
        <v>1128.1000000000001</v>
      </c>
      <c r="L134" s="231">
        <v>0</v>
      </c>
      <c r="M134" s="244">
        <v>0</v>
      </c>
      <c r="N134" s="244">
        <v>6500</v>
      </c>
    </row>
    <row r="135" spans="1:14">
      <c r="A135" s="259" t="s">
        <v>614</v>
      </c>
      <c r="B135" s="260" t="s">
        <v>810</v>
      </c>
      <c r="C135" s="231" t="s">
        <v>811</v>
      </c>
      <c r="D135" s="231" t="s">
        <v>645</v>
      </c>
      <c r="E135" s="231">
        <v>21614082</v>
      </c>
      <c r="F135" s="244">
        <v>4867.7700000000004</v>
      </c>
      <c r="G135" s="244">
        <v>0</v>
      </c>
      <c r="H135" s="231">
        <v>0</v>
      </c>
      <c r="I135" s="231">
        <v>0</v>
      </c>
      <c r="J135" s="231">
        <v>0</v>
      </c>
      <c r="K135" s="231">
        <v>1022.23</v>
      </c>
      <c r="L135" s="231">
        <v>0</v>
      </c>
      <c r="M135" s="244">
        <v>0</v>
      </c>
      <c r="N135" s="244">
        <v>5890</v>
      </c>
    </row>
    <row r="136" spans="1:14">
      <c r="A136" s="259" t="s">
        <v>614</v>
      </c>
      <c r="B136" s="260" t="s">
        <v>812</v>
      </c>
      <c r="C136" s="231" t="s">
        <v>644</v>
      </c>
      <c r="D136" s="231" t="s">
        <v>645</v>
      </c>
      <c r="E136" s="231" t="s">
        <v>630</v>
      </c>
      <c r="F136" s="244">
        <v>4876.03</v>
      </c>
      <c r="G136" s="244">
        <v>0</v>
      </c>
      <c r="H136" s="231">
        <v>0</v>
      </c>
      <c r="I136" s="231">
        <v>0</v>
      </c>
      <c r="J136" s="231">
        <v>0</v>
      </c>
      <c r="K136" s="231">
        <v>1023.97</v>
      </c>
      <c r="L136" s="231">
        <v>0</v>
      </c>
      <c r="M136" s="244">
        <v>0</v>
      </c>
      <c r="N136" s="244">
        <v>5900</v>
      </c>
    </row>
    <row r="137" spans="1:14">
      <c r="A137" s="259" t="s">
        <v>614</v>
      </c>
      <c r="B137" s="260" t="s">
        <v>813</v>
      </c>
      <c r="C137" s="231" t="s">
        <v>644</v>
      </c>
      <c r="D137" s="231" t="s">
        <v>645</v>
      </c>
      <c r="E137" s="231" t="s">
        <v>630</v>
      </c>
      <c r="F137" s="244">
        <v>7851.24</v>
      </c>
      <c r="G137" s="244">
        <v>0</v>
      </c>
      <c r="H137" s="231">
        <v>0</v>
      </c>
      <c r="I137" s="231">
        <v>0</v>
      </c>
      <c r="J137" s="231">
        <v>0</v>
      </c>
      <c r="K137" s="231">
        <v>1648.76</v>
      </c>
      <c r="L137" s="231">
        <v>0</v>
      </c>
      <c r="M137" s="244">
        <v>0</v>
      </c>
      <c r="N137" s="244">
        <v>9500</v>
      </c>
    </row>
    <row r="138" spans="1:14">
      <c r="A138" s="259" t="s">
        <v>614</v>
      </c>
      <c r="B138" s="260" t="s">
        <v>814</v>
      </c>
      <c r="C138" s="231" t="s">
        <v>644</v>
      </c>
      <c r="D138" s="231" t="s">
        <v>645</v>
      </c>
      <c r="E138" s="231" t="s">
        <v>630</v>
      </c>
      <c r="F138" s="244">
        <v>4876.03</v>
      </c>
      <c r="G138" s="244">
        <v>0</v>
      </c>
      <c r="H138" s="231">
        <v>0</v>
      </c>
      <c r="I138" s="231">
        <v>0</v>
      </c>
      <c r="J138" s="231">
        <v>0</v>
      </c>
      <c r="K138" s="231">
        <v>1023.97</v>
      </c>
      <c r="L138" s="231">
        <v>0</v>
      </c>
      <c r="M138" s="244">
        <v>0</v>
      </c>
      <c r="N138" s="244">
        <v>5900</v>
      </c>
    </row>
    <row r="139" spans="1:14">
      <c r="A139" s="259" t="s">
        <v>614</v>
      </c>
      <c r="B139" s="260" t="s">
        <v>815</v>
      </c>
      <c r="C139" s="231" t="s">
        <v>644</v>
      </c>
      <c r="D139" s="231" t="s">
        <v>645</v>
      </c>
      <c r="E139" s="231" t="s">
        <v>630</v>
      </c>
      <c r="F139" s="244">
        <v>4876.03</v>
      </c>
      <c r="G139" s="244">
        <v>0</v>
      </c>
      <c r="H139" s="231">
        <v>0</v>
      </c>
      <c r="I139" s="231">
        <v>0</v>
      </c>
      <c r="J139" s="231">
        <v>0</v>
      </c>
      <c r="K139" s="231">
        <v>1023.97</v>
      </c>
      <c r="L139" s="231">
        <v>0</v>
      </c>
      <c r="M139" s="244">
        <v>0</v>
      </c>
      <c r="N139" s="244">
        <v>5900</v>
      </c>
    </row>
    <row r="140" spans="1:14">
      <c r="A140" s="259" t="s">
        <v>614</v>
      </c>
      <c r="B140" s="260" t="s">
        <v>816</v>
      </c>
      <c r="C140" s="231" t="s">
        <v>644</v>
      </c>
      <c r="D140" s="231" t="s">
        <v>645</v>
      </c>
      <c r="E140" s="231" t="s">
        <v>630</v>
      </c>
      <c r="F140" s="244">
        <v>7768.6</v>
      </c>
      <c r="G140" s="244">
        <v>0</v>
      </c>
      <c r="H140" s="231">
        <v>0</v>
      </c>
      <c r="I140" s="231">
        <v>0</v>
      </c>
      <c r="J140" s="231">
        <v>0</v>
      </c>
      <c r="K140" s="231">
        <v>1631.4</v>
      </c>
      <c r="L140" s="231">
        <v>0</v>
      </c>
      <c r="M140" s="244">
        <v>0</v>
      </c>
      <c r="N140" s="244">
        <v>9400</v>
      </c>
    </row>
    <row r="141" spans="1:14">
      <c r="A141" s="259" t="s">
        <v>614</v>
      </c>
      <c r="B141" s="260" t="s">
        <v>817</v>
      </c>
      <c r="C141" s="231" t="s">
        <v>644</v>
      </c>
      <c r="D141" s="231" t="s">
        <v>645</v>
      </c>
      <c r="E141" s="231" t="s">
        <v>630</v>
      </c>
      <c r="F141" s="244">
        <v>3884.3</v>
      </c>
      <c r="G141" s="244">
        <v>0</v>
      </c>
      <c r="H141" s="231">
        <v>0</v>
      </c>
      <c r="I141" s="231">
        <v>0</v>
      </c>
      <c r="J141" s="231">
        <v>0</v>
      </c>
      <c r="K141" s="231">
        <v>815.7</v>
      </c>
      <c r="L141" s="231">
        <v>0</v>
      </c>
      <c r="M141" s="244">
        <v>0</v>
      </c>
      <c r="N141" s="244">
        <v>4700</v>
      </c>
    </row>
    <row r="142" spans="1:14">
      <c r="A142" s="259" t="s">
        <v>614</v>
      </c>
      <c r="B142" s="260" t="s">
        <v>818</v>
      </c>
      <c r="C142" s="231" t="s">
        <v>644</v>
      </c>
      <c r="D142" s="231" t="s">
        <v>645</v>
      </c>
      <c r="E142" s="231" t="s">
        <v>630</v>
      </c>
      <c r="F142" s="244">
        <v>3719.01</v>
      </c>
      <c r="G142" s="244">
        <v>0</v>
      </c>
      <c r="H142" s="231">
        <v>0</v>
      </c>
      <c r="I142" s="231">
        <v>0</v>
      </c>
      <c r="J142" s="231">
        <v>0</v>
      </c>
      <c r="K142" s="231">
        <v>780.99</v>
      </c>
      <c r="L142" s="231">
        <v>0</v>
      </c>
      <c r="M142" s="244">
        <v>0</v>
      </c>
      <c r="N142" s="244">
        <v>4500</v>
      </c>
    </row>
    <row r="143" spans="1:14">
      <c r="A143" s="259" t="s">
        <v>614</v>
      </c>
      <c r="B143" s="260" t="s">
        <v>819</v>
      </c>
      <c r="C143" s="231" t="s">
        <v>644</v>
      </c>
      <c r="D143" s="231" t="s">
        <v>645</v>
      </c>
      <c r="E143" s="231" t="s">
        <v>630</v>
      </c>
      <c r="F143" s="244">
        <v>6198.35</v>
      </c>
      <c r="G143" s="244">
        <v>0</v>
      </c>
      <c r="H143" s="231">
        <v>0</v>
      </c>
      <c r="I143" s="231">
        <v>0</v>
      </c>
      <c r="J143" s="231">
        <v>0</v>
      </c>
      <c r="K143" s="231">
        <v>1301.6500000000001</v>
      </c>
      <c r="L143" s="231">
        <v>0</v>
      </c>
      <c r="M143" s="244">
        <v>0</v>
      </c>
      <c r="N143" s="244">
        <v>7500</v>
      </c>
    </row>
    <row r="144" spans="1:14">
      <c r="A144" s="259" t="s">
        <v>614</v>
      </c>
      <c r="B144" s="260" t="s">
        <v>820</v>
      </c>
      <c r="C144" s="231" t="s">
        <v>644</v>
      </c>
      <c r="D144" s="231" t="s">
        <v>645</v>
      </c>
      <c r="E144" s="231" t="s">
        <v>630</v>
      </c>
      <c r="F144" s="244">
        <v>8842.98</v>
      </c>
      <c r="G144" s="244">
        <v>0</v>
      </c>
      <c r="H144" s="231">
        <v>0</v>
      </c>
      <c r="I144" s="231">
        <v>0</v>
      </c>
      <c r="J144" s="231">
        <v>0</v>
      </c>
      <c r="K144" s="231">
        <v>1857.02</v>
      </c>
      <c r="L144" s="231">
        <v>0</v>
      </c>
      <c r="M144" s="244">
        <v>0</v>
      </c>
      <c r="N144" s="244">
        <v>10700</v>
      </c>
    </row>
    <row r="145" spans="1:14">
      <c r="A145" s="259" t="s">
        <v>614</v>
      </c>
      <c r="B145" s="260" t="s">
        <v>821</v>
      </c>
      <c r="C145" s="231" t="s">
        <v>644</v>
      </c>
      <c r="D145" s="231" t="s">
        <v>645</v>
      </c>
      <c r="E145" s="231" t="s">
        <v>630</v>
      </c>
      <c r="F145" s="244">
        <v>4876.03</v>
      </c>
      <c r="G145" s="244">
        <v>0</v>
      </c>
      <c r="H145" s="231">
        <v>0</v>
      </c>
      <c r="I145" s="231">
        <v>0</v>
      </c>
      <c r="J145" s="231">
        <v>0</v>
      </c>
      <c r="K145" s="231">
        <v>1023.97</v>
      </c>
      <c r="L145" s="231">
        <v>0</v>
      </c>
      <c r="M145" s="244">
        <v>0</v>
      </c>
      <c r="N145" s="244">
        <v>5900</v>
      </c>
    </row>
    <row r="146" spans="1:14">
      <c r="A146" s="259" t="s">
        <v>614</v>
      </c>
      <c r="B146" s="260" t="s">
        <v>822</v>
      </c>
      <c r="C146" s="231" t="s">
        <v>644</v>
      </c>
      <c r="D146" s="231" t="s">
        <v>645</v>
      </c>
      <c r="E146" s="231" t="s">
        <v>630</v>
      </c>
      <c r="F146" s="244">
        <v>6446.28</v>
      </c>
      <c r="G146" s="244">
        <v>0</v>
      </c>
      <c r="H146" s="231">
        <v>0</v>
      </c>
      <c r="I146" s="231">
        <v>0</v>
      </c>
      <c r="J146" s="231">
        <v>0</v>
      </c>
      <c r="K146" s="231">
        <v>1353.72</v>
      </c>
      <c r="L146" s="231">
        <v>0</v>
      </c>
      <c r="M146" s="244">
        <v>0</v>
      </c>
      <c r="N146" s="244">
        <v>7800</v>
      </c>
    </row>
    <row r="147" spans="1:14">
      <c r="A147" s="259" t="s">
        <v>614</v>
      </c>
      <c r="B147" s="260" t="s">
        <v>823</v>
      </c>
      <c r="C147" s="231" t="s">
        <v>644</v>
      </c>
      <c r="D147" s="231" t="s">
        <v>645</v>
      </c>
      <c r="E147" s="231" t="s">
        <v>630</v>
      </c>
      <c r="F147" s="244">
        <v>10578.51</v>
      </c>
      <c r="G147" s="244">
        <v>0</v>
      </c>
      <c r="H147" s="231">
        <v>0</v>
      </c>
      <c r="I147" s="231">
        <v>0</v>
      </c>
      <c r="J147" s="231">
        <v>0</v>
      </c>
      <c r="K147" s="231">
        <v>2221.4900000000002</v>
      </c>
      <c r="L147" s="231">
        <v>0</v>
      </c>
      <c r="M147" s="244">
        <v>0</v>
      </c>
      <c r="N147" s="244">
        <v>12800</v>
      </c>
    </row>
    <row r="148" spans="1:14">
      <c r="A148" s="259" t="s">
        <v>614</v>
      </c>
      <c r="B148" s="260" t="s">
        <v>824</v>
      </c>
      <c r="C148" s="231" t="s">
        <v>644</v>
      </c>
      <c r="D148" s="231" t="s">
        <v>645</v>
      </c>
      <c r="E148" s="231" t="s">
        <v>630</v>
      </c>
      <c r="F148" s="244">
        <v>8677.69</v>
      </c>
      <c r="G148" s="244">
        <v>0</v>
      </c>
      <c r="H148" s="231">
        <v>0</v>
      </c>
      <c r="I148" s="231">
        <v>0</v>
      </c>
      <c r="J148" s="231">
        <v>0</v>
      </c>
      <c r="K148" s="231">
        <v>1822.31</v>
      </c>
      <c r="L148" s="231">
        <v>0</v>
      </c>
      <c r="M148" s="244">
        <v>0</v>
      </c>
      <c r="N148" s="244">
        <v>10500</v>
      </c>
    </row>
    <row r="149" spans="1:14">
      <c r="A149" s="259" t="s">
        <v>614</v>
      </c>
      <c r="B149" s="260" t="s">
        <v>825</v>
      </c>
      <c r="C149" s="231" t="s">
        <v>826</v>
      </c>
      <c r="D149" s="231" t="s">
        <v>645</v>
      </c>
      <c r="E149" s="231">
        <v>23957692</v>
      </c>
      <c r="F149" s="244">
        <v>10628.1</v>
      </c>
      <c r="G149" s="244">
        <v>0</v>
      </c>
      <c r="H149" s="231">
        <v>0</v>
      </c>
      <c r="I149" s="231">
        <v>0</v>
      </c>
      <c r="J149" s="231">
        <v>0</v>
      </c>
      <c r="K149" s="231">
        <v>2231.9</v>
      </c>
      <c r="L149" s="231">
        <v>0</v>
      </c>
      <c r="M149" s="244">
        <v>0</v>
      </c>
      <c r="N149" s="244">
        <v>12860</v>
      </c>
    </row>
    <row r="150" spans="1:14">
      <c r="A150" s="259" t="s">
        <v>614</v>
      </c>
      <c r="B150" s="260" t="s">
        <v>827</v>
      </c>
      <c r="C150" s="231" t="s">
        <v>658</v>
      </c>
      <c r="D150" s="231" t="s">
        <v>659</v>
      </c>
      <c r="E150" s="231">
        <v>30522428163</v>
      </c>
      <c r="F150" s="244">
        <v>2838760.16</v>
      </c>
      <c r="G150" s="244">
        <v>0</v>
      </c>
      <c r="H150" s="231">
        <v>0</v>
      </c>
      <c r="I150" s="231">
        <v>0</v>
      </c>
      <c r="J150" s="231">
        <v>0</v>
      </c>
      <c r="K150" s="231">
        <v>596139.64</v>
      </c>
      <c r="L150" s="231">
        <v>0</v>
      </c>
      <c r="M150" s="244">
        <v>0</v>
      </c>
      <c r="N150" s="244">
        <v>3434899.8</v>
      </c>
    </row>
    <row r="151" spans="1:14">
      <c r="A151" s="259" t="s">
        <v>614</v>
      </c>
      <c r="B151" s="260" t="s">
        <v>828</v>
      </c>
      <c r="C151" s="231" t="s">
        <v>709</v>
      </c>
      <c r="D151" s="231" t="s">
        <v>659</v>
      </c>
      <c r="E151" s="231">
        <v>30710538014</v>
      </c>
      <c r="F151" s="244">
        <v>-952.89</v>
      </c>
      <c r="G151" s="244">
        <v>0</v>
      </c>
      <c r="H151" s="231">
        <v>0</v>
      </c>
      <c r="I151" s="231">
        <v>0</v>
      </c>
      <c r="J151" s="231">
        <v>0</v>
      </c>
      <c r="K151" s="231">
        <v>-200.11</v>
      </c>
      <c r="L151" s="231">
        <v>0</v>
      </c>
      <c r="M151" s="244">
        <v>0</v>
      </c>
      <c r="N151" s="244">
        <v>-1153</v>
      </c>
    </row>
    <row r="152" spans="1:14">
      <c r="A152" s="259" t="s">
        <v>614</v>
      </c>
      <c r="B152" s="260" t="s">
        <v>829</v>
      </c>
      <c r="C152" s="231" t="s">
        <v>830</v>
      </c>
      <c r="D152" s="231" t="s">
        <v>690</v>
      </c>
      <c r="E152" s="231">
        <v>30646217977</v>
      </c>
      <c r="F152" s="244">
        <v>69421.490000000005</v>
      </c>
      <c r="G152" s="244">
        <v>0</v>
      </c>
      <c r="H152" s="231">
        <v>0</v>
      </c>
      <c r="I152" s="231">
        <v>0</v>
      </c>
      <c r="J152" s="231">
        <v>0</v>
      </c>
      <c r="K152" s="231">
        <v>14578.51</v>
      </c>
      <c r="L152" s="231">
        <v>0</v>
      </c>
      <c r="M152" s="244">
        <v>0</v>
      </c>
      <c r="N152" s="244">
        <v>84000</v>
      </c>
    </row>
    <row r="153" spans="1:14">
      <c r="A153" s="259" t="s">
        <v>614</v>
      </c>
      <c r="B153" s="260" t="s">
        <v>831</v>
      </c>
      <c r="C153" s="231" t="s">
        <v>832</v>
      </c>
      <c r="D153" s="231" t="s">
        <v>645</v>
      </c>
      <c r="E153" s="231">
        <v>4303569</v>
      </c>
      <c r="F153" s="244">
        <v>4132.24</v>
      </c>
      <c r="G153" s="244">
        <v>0</v>
      </c>
      <c r="H153" s="231">
        <v>0</v>
      </c>
      <c r="I153" s="231">
        <v>0</v>
      </c>
      <c r="J153" s="231">
        <v>0</v>
      </c>
      <c r="K153" s="231">
        <v>867.76</v>
      </c>
      <c r="L153" s="231">
        <v>0</v>
      </c>
      <c r="M153" s="244">
        <v>0</v>
      </c>
      <c r="N153" s="244">
        <v>5000</v>
      </c>
    </row>
    <row r="154" spans="1:14">
      <c r="A154" s="259" t="s">
        <v>614</v>
      </c>
      <c r="B154" s="260" t="s">
        <v>833</v>
      </c>
      <c r="C154" s="231" t="s">
        <v>834</v>
      </c>
      <c r="D154" s="231" t="s">
        <v>645</v>
      </c>
      <c r="E154" s="231">
        <v>95554460</v>
      </c>
      <c r="F154" s="244">
        <v>3966.94</v>
      </c>
      <c r="G154" s="244">
        <v>0</v>
      </c>
      <c r="H154" s="231">
        <v>0</v>
      </c>
      <c r="I154" s="231">
        <v>0</v>
      </c>
      <c r="J154" s="231">
        <v>0</v>
      </c>
      <c r="K154" s="231">
        <v>833.06</v>
      </c>
      <c r="L154" s="231">
        <v>0</v>
      </c>
      <c r="M154" s="244">
        <v>0</v>
      </c>
      <c r="N154" s="244">
        <v>4800</v>
      </c>
    </row>
    <row r="155" spans="1:14">
      <c r="A155" s="259" t="s">
        <v>614</v>
      </c>
      <c r="B155" s="260" t="s">
        <v>835</v>
      </c>
      <c r="C155" s="231" t="s">
        <v>836</v>
      </c>
      <c r="D155" s="231" t="s">
        <v>645</v>
      </c>
      <c r="E155" s="231">
        <v>4847221</v>
      </c>
      <c r="F155" s="244">
        <v>11157.02</v>
      </c>
      <c r="G155" s="244">
        <v>0</v>
      </c>
      <c r="H155" s="231">
        <v>0</v>
      </c>
      <c r="I155" s="231">
        <v>0</v>
      </c>
      <c r="J155" s="231">
        <v>0</v>
      </c>
      <c r="K155" s="231">
        <v>2342.98</v>
      </c>
      <c r="L155" s="231">
        <v>0</v>
      </c>
      <c r="M155" s="244">
        <v>0</v>
      </c>
      <c r="N155" s="244">
        <v>13500</v>
      </c>
    </row>
    <row r="156" spans="1:14">
      <c r="A156" s="259" t="s">
        <v>614</v>
      </c>
      <c r="B156" s="260" t="s">
        <v>837</v>
      </c>
      <c r="C156" s="231" t="s">
        <v>838</v>
      </c>
      <c r="D156" s="231" t="s">
        <v>645</v>
      </c>
      <c r="E156" s="231">
        <v>53588753</v>
      </c>
      <c r="F156" s="244">
        <v>7768.6</v>
      </c>
      <c r="G156" s="244">
        <v>0</v>
      </c>
      <c r="H156" s="231">
        <v>0</v>
      </c>
      <c r="I156" s="231">
        <v>0</v>
      </c>
      <c r="J156" s="231">
        <v>0</v>
      </c>
      <c r="K156" s="231">
        <v>1631.4</v>
      </c>
      <c r="L156" s="231">
        <v>0</v>
      </c>
      <c r="M156" s="244">
        <v>0</v>
      </c>
      <c r="N156" s="244">
        <v>9400</v>
      </c>
    </row>
    <row r="157" spans="1:14">
      <c r="A157" s="259" t="s">
        <v>614</v>
      </c>
      <c r="B157" s="260" t="s">
        <v>839</v>
      </c>
      <c r="C157" s="231" t="s">
        <v>840</v>
      </c>
      <c r="D157" s="231" t="s">
        <v>645</v>
      </c>
      <c r="E157" s="231">
        <v>14123802</v>
      </c>
      <c r="F157" s="244">
        <v>9338.85</v>
      </c>
      <c r="G157" s="244">
        <v>0</v>
      </c>
      <c r="H157" s="231">
        <v>0</v>
      </c>
      <c r="I157" s="231">
        <v>0</v>
      </c>
      <c r="J157" s="231">
        <v>0</v>
      </c>
      <c r="K157" s="231">
        <v>1961.15</v>
      </c>
      <c r="L157" s="231">
        <v>0</v>
      </c>
      <c r="M157" s="244">
        <v>0</v>
      </c>
      <c r="N157" s="244">
        <v>11300</v>
      </c>
    </row>
    <row r="158" spans="1:14">
      <c r="A158" s="259" t="s">
        <v>614</v>
      </c>
      <c r="B158" s="260" t="s">
        <v>841</v>
      </c>
      <c r="C158" s="231" t="s">
        <v>842</v>
      </c>
      <c r="D158" s="231" t="s">
        <v>645</v>
      </c>
      <c r="E158" s="231">
        <v>38354047</v>
      </c>
      <c r="F158" s="244">
        <v>3719.01</v>
      </c>
      <c r="G158" s="244">
        <v>0</v>
      </c>
      <c r="H158" s="231">
        <v>0</v>
      </c>
      <c r="I158" s="231">
        <v>0</v>
      </c>
      <c r="J158" s="231">
        <v>0</v>
      </c>
      <c r="K158" s="231">
        <v>780.99</v>
      </c>
      <c r="L158" s="231">
        <v>0</v>
      </c>
      <c r="M158" s="244">
        <v>0</v>
      </c>
      <c r="N158" s="244">
        <v>4500</v>
      </c>
    </row>
    <row r="159" spans="1:14">
      <c r="A159" s="259" t="s">
        <v>614</v>
      </c>
      <c r="B159" s="260" t="s">
        <v>843</v>
      </c>
      <c r="C159" s="231" t="s">
        <v>689</v>
      </c>
      <c r="D159" s="231" t="s">
        <v>690</v>
      </c>
      <c r="E159" s="231">
        <v>30590354798</v>
      </c>
      <c r="F159" s="244">
        <v>99173.55</v>
      </c>
      <c r="G159" s="244">
        <v>0</v>
      </c>
      <c r="H159" s="231">
        <v>0</v>
      </c>
      <c r="I159" s="231">
        <v>0</v>
      </c>
      <c r="J159" s="231">
        <v>0</v>
      </c>
      <c r="K159" s="231">
        <v>20826.45</v>
      </c>
      <c r="L159" s="231">
        <v>0</v>
      </c>
      <c r="M159" s="244">
        <v>0</v>
      </c>
      <c r="N159" s="244">
        <v>120000</v>
      </c>
    </row>
    <row r="160" spans="1:14">
      <c r="A160" s="259" t="s">
        <v>614</v>
      </c>
      <c r="B160" s="260" t="s">
        <v>844</v>
      </c>
      <c r="C160" s="231" t="s">
        <v>845</v>
      </c>
      <c r="D160" s="231" t="s">
        <v>645</v>
      </c>
      <c r="E160" s="231">
        <v>18276388</v>
      </c>
      <c r="F160" s="244">
        <v>8099.17</v>
      </c>
      <c r="G160" s="244">
        <v>0</v>
      </c>
      <c r="H160" s="231">
        <v>0</v>
      </c>
      <c r="I160" s="231">
        <v>0</v>
      </c>
      <c r="J160" s="231">
        <v>0</v>
      </c>
      <c r="K160" s="231">
        <v>1700.83</v>
      </c>
      <c r="L160" s="231">
        <v>0</v>
      </c>
      <c r="M160" s="244">
        <v>0</v>
      </c>
      <c r="N160" s="244">
        <v>9800</v>
      </c>
    </row>
    <row r="161" spans="1:14">
      <c r="A161" s="259" t="s">
        <v>614</v>
      </c>
      <c r="B161" s="260" t="s">
        <v>846</v>
      </c>
      <c r="C161" s="231" t="s">
        <v>847</v>
      </c>
      <c r="D161" s="231" t="s">
        <v>645</v>
      </c>
      <c r="E161" s="231">
        <v>36567455</v>
      </c>
      <c r="F161" s="244">
        <v>4132.2300000000005</v>
      </c>
      <c r="G161" s="244">
        <v>0</v>
      </c>
      <c r="H161" s="231">
        <v>0</v>
      </c>
      <c r="I161" s="231">
        <v>0</v>
      </c>
      <c r="J161" s="231">
        <v>0</v>
      </c>
      <c r="K161" s="231">
        <v>867.77</v>
      </c>
      <c r="L161" s="231">
        <v>0</v>
      </c>
      <c r="M161" s="244">
        <v>0</v>
      </c>
      <c r="N161" s="244">
        <v>5000</v>
      </c>
    </row>
    <row r="162" spans="1:14">
      <c r="A162" s="259" t="s">
        <v>615</v>
      </c>
      <c r="B162" s="260" t="s">
        <v>848</v>
      </c>
      <c r="C162" s="231" t="s">
        <v>644</v>
      </c>
      <c r="D162" s="231" t="s">
        <v>645</v>
      </c>
      <c r="E162" s="231" t="s">
        <v>630</v>
      </c>
      <c r="F162" s="244">
        <v>4330.58</v>
      </c>
      <c r="G162" s="244">
        <v>0</v>
      </c>
      <c r="H162" s="231">
        <v>0</v>
      </c>
      <c r="I162" s="231">
        <v>0</v>
      </c>
      <c r="J162" s="231">
        <v>0</v>
      </c>
      <c r="K162" s="231">
        <v>909.42</v>
      </c>
      <c r="L162" s="231">
        <v>0</v>
      </c>
      <c r="M162" s="244">
        <v>0</v>
      </c>
      <c r="N162" s="244">
        <v>5240</v>
      </c>
    </row>
    <row r="163" spans="1:14">
      <c r="A163" s="259" t="s">
        <v>615</v>
      </c>
      <c r="B163" s="260" t="s">
        <v>849</v>
      </c>
      <c r="C163" s="231" t="s">
        <v>644</v>
      </c>
      <c r="D163" s="231" t="s">
        <v>645</v>
      </c>
      <c r="E163" s="231" t="s">
        <v>630</v>
      </c>
      <c r="F163" s="244">
        <v>4958.68</v>
      </c>
      <c r="G163" s="244">
        <v>0</v>
      </c>
      <c r="H163" s="231">
        <v>0</v>
      </c>
      <c r="I163" s="231">
        <v>0</v>
      </c>
      <c r="J163" s="231">
        <v>0</v>
      </c>
      <c r="K163" s="231">
        <v>1041.32</v>
      </c>
      <c r="L163" s="231">
        <v>0</v>
      </c>
      <c r="M163" s="244">
        <v>0</v>
      </c>
      <c r="N163" s="244">
        <v>6000</v>
      </c>
    </row>
    <row r="164" spans="1:14">
      <c r="A164" s="259" t="s">
        <v>615</v>
      </c>
      <c r="B164" s="260" t="s">
        <v>850</v>
      </c>
      <c r="C164" s="231" t="s">
        <v>644</v>
      </c>
      <c r="D164" s="231" t="s">
        <v>645</v>
      </c>
      <c r="E164" s="231" t="s">
        <v>630</v>
      </c>
      <c r="F164" s="244">
        <v>2066.12</v>
      </c>
      <c r="G164" s="244">
        <v>0</v>
      </c>
      <c r="H164" s="231">
        <v>0</v>
      </c>
      <c r="I164" s="231">
        <v>0</v>
      </c>
      <c r="J164" s="231">
        <v>0</v>
      </c>
      <c r="K164" s="231">
        <v>433.88</v>
      </c>
      <c r="L164" s="231">
        <v>0</v>
      </c>
      <c r="M164" s="244">
        <v>0</v>
      </c>
      <c r="N164" s="244">
        <v>2500</v>
      </c>
    </row>
    <row r="165" spans="1:14">
      <c r="A165" s="259" t="s">
        <v>615</v>
      </c>
      <c r="B165" s="260" t="s">
        <v>851</v>
      </c>
      <c r="C165" s="231" t="s">
        <v>644</v>
      </c>
      <c r="D165" s="231" t="s">
        <v>645</v>
      </c>
      <c r="E165" s="231" t="s">
        <v>630</v>
      </c>
      <c r="F165" s="244">
        <v>4958.68</v>
      </c>
      <c r="G165" s="244">
        <v>0</v>
      </c>
      <c r="H165" s="231">
        <v>0</v>
      </c>
      <c r="I165" s="231">
        <v>0</v>
      </c>
      <c r="J165" s="231">
        <v>0</v>
      </c>
      <c r="K165" s="231">
        <v>1041.32</v>
      </c>
      <c r="L165" s="231">
        <v>0</v>
      </c>
      <c r="M165" s="244">
        <v>0</v>
      </c>
      <c r="N165" s="244">
        <v>6000</v>
      </c>
    </row>
    <row r="166" spans="1:14">
      <c r="A166" s="259" t="s">
        <v>615</v>
      </c>
      <c r="B166" s="260" t="s">
        <v>852</v>
      </c>
      <c r="C166" s="231" t="s">
        <v>644</v>
      </c>
      <c r="D166" s="231" t="s">
        <v>645</v>
      </c>
      <c r="E166" s="231" t="s">
        <v>630</v>
      </c>
      <c r="F166" s="244">
        <v>2438.02</v>
      </c>
      <c r="G166" s="244">
        <v>0</v>
      </c>
      <c r="H166" s="231">
        <v>0</v>
      </c>
      <c r="I166" s="231">
        <v>0</v>
      </c>
      <c r="J166" s="231">
        <v>0</v>
      </c>
      <c r="K166" s="231">
        <v>511.98</v>
      </c>
      <c r="L166" s="231">
        <v>0</v>
      </c>
      <c r="M166" s="244">
        <v>0</v>
      </c>
      <c r="N166" s="244">
        <v>2950</v>
      </c>
    </row>
    <row r="167" spans="1:14">
      <c r="A167" s="259" t="s">
        <v>615</v>
      </c>
      <c r="B167" s="260" t="s">
        <v>853</v>
      </c>
      <c r="C167" s="231" t="s">
        <v>644</v>
      </c>
      <c r="D167" s="231" t="s">
        <v>645</v>
      </c>
      <c r="E167" s="231" t="s">
        <v>630</v>
      </c>
      <c r="F167" s="244">
        <v>4016.53</v>
      </c>
      <c r="G167" s="244">
        <v>0</v>
      </c>
      <c r="H167" s="231">
        <v>0</v>
      </c>
      <c r="I167" s="231">
        <v>0</v>
      </c>
      <c r="J167" s="231">
        <v>0</v>
      </c>
      <c r="K167" s="231">
        <v>843.47</v>
      </c>
      <c r="L167" s="231">
        <v>0</v>
      </c>
      <c r="M167" s="244">
        <v>0</v>
      </c>
      <c r="N167" s="244">
        <v>4860</v>
      </c>
    </row>
    <row r="168" spans="1:14">
      <c r="A168" s="259" t="s">
        <v>615</v>
      </c>
      <c r="B168" s="260" t="s">
        <v>854</v>
      </c>
      <c r="C168" s="231" t="s">
        <v>644</v>
      </c>
      <c r="D168" s="231" t="s">
        <v>645</v>
      </c>
      <c r="E168" s="231" t="s">
        <v>630</v>
      </c>
      <c r="F168" s="244">
        <v>6611.57</v>
      </c>
      <c r="G168" s="244">
        <v>0</v>
      </c>
      <c r="H168" s="231">
        <v>0</v>
      </c>
      <c r="I168" s="231">
        <v>0</v>
      </c>
      <c r="J168" s="231">
        <v>0</v>
      </c>
      <c r="K168" s="231">
        <v>1388.43</v>
      </c>
      <c r="L168" s="231">
        <v>0</v>
      </c>
      <c r="M168" s="244">
        <v>0</v>
      </c>
      <c r="N168" s="244">
        <v>8000</v>
      </c>
    </row>
    <row r="169" spans="1:14">
      <c r="A169" s="259" t="s">
        <v>615</v>
      </c>
      <c r="B169" s="260" t="s">
        <v>855</v>
      </c>
      <c r="C169" s="231" t="s">
        <v>644</v>
      </c>
      <c r="D169" s="231" t="s">
        <v>645</v>
      </c>
      <c r="E169" s="231" t="s">
        <v>630</v>
      </c>
      <c r="F169" s="244">
        <v>4876.03</v>
      </c>
      <c r="G169" s="244">
        <v>0</v>
      </c>
      <c r="H169" s="231">
        <v>0</v>
      </c>
      <c r="I169" s="231">
        <v>0</v>
      </c>
      <c r="J169" s="231">
        <v>0</v>
      </c>
      <c r="K169" s="231">
        <v>1023.97</v>
      </c>
      <c r="L169" s="231">
        <v>0</v>
      </c>
      <c r="M169" s="244">
        <v>0</v>
      </c>
      <c r="N169" s="244">
        <v>5900</v>
      </c>
    </row>
    <row r="170" spans="1:14">
      <c r="A170" s="259" t="s">
        <v>615</v>
      </c>
      <c r="B170" s="260" t="s">
        <v>856</v>
      </c>
      <c r="C170" s="231" t="s">
        <v>644</v>
      </c>
      <c r="D170" s="231" t="s">
        <v>645</v>
      </c>
      <c r="E170" s="231" t="s">
        <v>630</v>
      </c>
      <c r="F170" s="244">
        <v>10330.58</v>
      </c>
      <c r="G170" s="244">
        <v>0</v>
      </c>
      <c r="H170" s="231">
        <v>0</v>
      </c>
      <c r="I170" s="231">
        <v>0</v>
      </c>
      <c r="J170" s="231">
        <v>0</v>
      </c>
      <c r="K170" s="231">
        <v>2169.42</v>
      </c>
      <c r="L170" s="231">
        <v>0</v>
      </c>
      <c r="M170" s="244">
        <v>0</v>
      </c>
      <c r="N170" s="244">
        <v>12500</v>
      </c>
    </row>
    <row r="171" spans="1:14">
      <c r="A171" s="259" t="s">
        <v>615</v>
      </c>
      <c r="B171" s="260" t="s">
        <v>857</v>
      </c>
      <c r="C171" s="231" t="s">
        <v>644</v>
      </c>
      <c r="D171" s="231" t="s">
        <v>645</v>
      </c>
      <c r="E171" s="231" t="s">
        <v>630</v>
      </c>
      <c r="F171" s="244">
        <v>3140.5</v>
      </c>
      <c r="G171" s="244">
        <v>0</v>
      </c>
      <c r="H171" s="231">
        <v>0</v>
      </c>
      <c r="I171" s="231">
        <v>0</v>
      </c>
      <c r="J171" s="231">
        <v>0</v>
      </c>
      <c r="K171" s="231">
        <v>659.5</v>
      </c>
      <c r="L171" s="231">
        <v>0</v>
      </c>
      <c r="M171" s="244">
        <v>0</v>
      </c>
      <c r="N171" s="244">
        <v>3800</v>
      </c>
    </row>
    <row r="172" spans="1:14">
      <c r="A172" s="259" t="s">
        <v>615</v>
      </c>
      <c r="B172" s="260" t="s">
        <v>858</v>
      </c>
      <c r="C172" s="231" t="s">
        <v>644</v>
      </c>
      <c r="D172" s="231" t="s">
        <v>645</v>
      </c>
      <c r="E172" s="231" t="s">
        <v>630</v>
      </c>
      <c r="F172" s="244">
        <v>7438.02</v>
      </c>
      <c r="G172" s="244">
        <v>0</v>
      </c>
      <c r="H172" s="231">
        <v>0</v>
      </c>
      <c r="I172" s="231">
        <v>0</v>
      </c>
      <c r="J172" s="231">
        <v>0</v>
      </c>
      <c r="K172" s="231">
        <v>1561.98</v>
      </c>
      <c r="L172" s="231">
        <v>0</v>
      </c>
      <c r="M172" s="244">
        <v>0</v>
      </c>
      <c r="N172" s="244">
        <v>9000</v>
      </c>
    </row>
    <row r="173" spans="1:14">
      <c r="A173" s="259" t="s">
        <v>615</v>
      </c>
      <c r="B173" s="260" t="s">
        <v>859</v>
      </c>
      <c r="C173" s="231" t="s">
        <v>644</v>
      </c>
      <c r="D173" s="231" t="s">
        <v>645</v>
      </c>
      <c r="E173" s="231" t="s">
        <v>630</v>
      </c>
      <c r="F173" s="244">
        <v>2396.69</v>
      </c>
      <c r="G173" s="244">
        <v>0</v>
      </c>
      <c r="H173" s="231">
        <v>0</v>
      </c>
      <c r="I173" s="231">
        <v>0</v>
      </c>
      <c r="J173" s="231">
        <v>0</v>
      </c>
      <c r="K173" s="231">
        <v>503.31</v>
      </c>
      <c r="L173" s="231">
        <v>0</v>
      </c>
      <c r="M173" s="244">
        <v>0</v>
      </c>
      <c r="N173" s="244">
        <v>2900</v>
      </c>
    </row>
    <row r="174" spans="1:14">
      <c r="A174" s="259" t="s">
        <v>615</v>
      </c>
      <c r="B174" s="260" t="s">
        <v>860</v>
      </c>
      <c r="C174" s="231" t="s">
        <v>644</v>
      </c>
      <c r="D174" s="231" t="s">
        <v>645</v>
      </c>
      <c r="E174" s="231" t="s">
        <v>630</v>
      </c>
      <c r="F174" s="244">
        <v>17520.66</v>
      </c>
      <c r="G174" s="244">
        <v>0</v>
      </c>
      <c r="H174" s="231">
        <v>0</v>
      </c>
      <c r="I174" s="231">
        <v>0</v>
      </c>
      <c r="J174" s="231">
        <v>0</v>
      </c>
      <c r="K174" s="231">
        <v>3679.34</v>
      </c>
      <c r="L174" s="231">
        <v>0</v>
      </c>
      <c r="M174" s="244">
        <v>0</v>
      </c>
      <c r="N174" s="244">
        <v>21200</v>
      </c>
    </row>
    <row r="175" spans="1:14">
      <c r="A175" s="259" t="s">
        <v>615</v>
      </c>
      <c r="B175" s="260" t="s">
        <v>861</v>
      </c>
      <c r="C175" s="231" t="s">
        <v>862</v>
      </c>
      <c r="D175" s="231" t="s">
        <v>645</v>
      </c>
      <c r="E175" s="231">
        <v>94466696</v>
      </c>
      <c r="F175" s="244">
        <v>6942.15</v>
      </c>
      <c r="G175" s="244">
        <v>0</v>
      </c>
      <c r="H175" s="231">
        <v>0</v>
      </c>
      <c r="I175" s="231">
        <v>0</v>
      </c>
      <c r="J175" s="231">
        <v>0</v>
      </c>
      <c r="K175" s="231">
        <v>1457.85</v>
      </c>
      <c r="L175" s="231">
        <v>0</v>
      </c>
      <c r="M175" s="244">
        <v>0</v>
      </c>
      <c r="N175" s="244">
        <v>8400</v>
      </c>
    </row>
    <row r="176" spans="1:14">
      <c r="A176" s="259" t="s">
        <v>615</v>
      </c>
      <c r="B176" s="260" t="s">
        <v>863</v>
      </c>
      <c r="C176" s="231" t="s">
        <v>864</v>
      </c>
      <c r="D176" s="231" t="s">
        <v>645</v>
      </c>
      <c r="E176" s="231">
        <v>93195134</v>
      </c>
      <c r="F176" s="244">
        <v>2644.63</v>
      </c>
      <c r="G176" s="244">
        <v>0</v>
      </c>
      <c r="H176" s="231">
        <v>0</v>
      </c>
      <c r="I176" s="231">
        <v>0</v>
      </c>
      <c r="J176" s="231">
        <v>0</v>
      </c>
      <c r="K176" s="231">
        <v>555.37</v>
      </c>
      <c r="L176" s="231">
        <v>0</v>
      </c>
      <c r="M176" s="244">
        <v>0</v>
      </c>
      <c r="N176" s="244">
        <v>3200</v>
      </c>
    </row>
    <row r="177" spans="1:14">
      <c r="A177" s="259" t="s">
        <v>615</v>
      </c>
      <c r="B177" s="260" t="s">
        <v>865</v>
      </c>
      <c r="C177" s="231" t="s">
        <v>866</v>
      </c>
      <c r="D177" s="231" t="s">
        <v>645</v>
      </c>
      <c r="E177" s="231">
        <v>5804480</v>
      </c>
      <c r="F177" s="244">
        <v>3966.95</v>
      </c>
      <c r="G177" s="244">
        <v>0</v>
      </c>
      <c r="H177" s="231">
        <v>0</v>
      </c>
      <c r="I177" s="231">
        <v>0</v>
      </c>
      <c r="J177" s="231">
        <v>0</v>
      </c>
      <c r="K177" s="231">
        <v>833.05</v>
      </c>
      <c r="L177" s="231">
        <v>0</v>
      </c>
      <c r="M177" s="244">
        <v>0</v>
      </c>
      <c r="N177" s="244">
        <v>4800</v>
      </c>
    </row>
    <row r="178" spans="1:14">
      <c r="A178" s="259" t="s">
        <v>615</v>
      </c>
      <c r="B178" s="260" t="s">
        <v>867</v>
      </c>
      <c r="C178" s="231" t="s">
        <v>868</v>
      </c>
      <c r="D178" s="231" t="s">
        <v>645</v>
      </c>
      <c r="E178" s="231" t="s">
        <v>630</v>
      </c>
      <c r="F178" s="244">
        <v>7438.02</v>
      </c>
      <c r="G178" s="244">
        <v>0</v>
      </c>
      <c r="H178" s="231">
        <v>0</v>
      </c>
      <c r="I178" s="231">
        <v>0</v>
      </c>
      <c r="J178" s="231">
        <v>0</v>
      </c>
      <c r="K178" s="231">
        <v>1561.98</v>
      </c>
      <c r="L178" s="231">
        <v>0</v>
      </c>
      <c r="M178" s="244">
        <v>0</v>
      </c>
      <c r="N178" s="244">
        <v>9000</v>
      </c>
    </row>
    <row r="179" spans="1:14">
      <c r="A179" s="259" t="s">
        <v>615</v>
      </c>
      <c r="B179" s="260" t="s">
        <v>869</v>
      </c>
      <c r="C179" s="231" t="s">
        <v>870</v>
      </c>
      <c r="D179" s="231" t="s">
        <v>645</v>
      </c>
      <c r="E179" s="231">
        <v>22608522</v>
      </c>
      <c r="F179" s="244">
        <v>5371.9</v>
      </c>
      <c r="G179" s="244">
        <v>0</v>
      </c>
      <c r="H179" s="231">
        <v>0</v>
      </c>
      <c r="I179" s="231">
        <v>0</v>
      </c>
      <c r="J179" s="231">
        <v>0</v>
      </c>
      <c r="K179" s="231">
        <v>1128.1000000000001</v>
      </c>
      <c r="L179" s="231">
        <v>0</v>
      </c>
      <c r="M179" s="244">
        <v>0</v>
      </c>
      <c r="N179" s="244">
        <v>6500</v>
      </c>
    </row>
    <row r="180" spans="1:14">
      <c r="A180" s="259" t="s">
        <v>615</v>
      </c>
      <c r="B180" s="260" t="s">
        <v>871</v>
      </c>
      <c r="C180" s="231" t="s">
        <v>872</v>
      </c>
      <c r="D180" s="231" t="s">
        <v>645</v>
      </c>
      <c r="E180" s="231">
        <v>8208160</v>
      </c>
      <c r="F180" s="244">
        <v>2644.63</v>
      </c>
      <c r="G180" s="244">
        <v>0</v>
      </c>
      <c r="H180" s="231">
        <v>0</v>
      </c>
      <c r="I180" s="231">
        <v>0</v>
      </c>
      <c r="J180" s="231">
        <v>0</v>
      </c>
      <c r="K180" s="231">
        <v>555.37</v>
      </c>
      <c r="L180" s="231">
        <v>0</v>
      </c>
      <c r="M180" s="244">
        <v>0</v>
      </c>
      <c r="N180" s="244">
        <v>3200</v>
      </c>
    </row>
    <row r="181" spans="1:14">
      <c r="A181" s="259" t="s">
        <v>615</v>
      </c>
      <c r="B181" s="260" t="s">
        <v>873</v>
      </c>
      <c r="C181" s="231" t="s">
        <v>874</v>
      </c>
      <c r="D181" s="231" t="s">
        <v>645</v>
      </c>
      <c r="E181" s="231">
        <v>1304464</v>
      </c>
      <c r="F181" s="244">
        <v>3719.01</v>
      </c>
      <c r="G181" s="244">
        <v>0</v>
      </c>
      <c r="H181" s="231">
        <v>0</v>
      </c>
      <c r="I181" s="231">
        <v>0</v>
      </c>
      <c r="J181" s="231">
        <v>0</v>
      </c>
      <c r="K181" s="231">
        <v>780.99</v>
      </c>
      <c r="L181" s="231">
        <v>0</v>
      </c>
      <c r="M181" s="244">
        <v>0</v>
      </c>
      <c r="N181" s="244">
        <v>4500</v>
      </c>
    </row>
    <row r="182" spans="1:14">
      <c r="A182" s="259" t="s">
        <v>615</v>
      </c>
      <c r="B182" s="260" t="s">
        <v>875</v>
      </c>
      <c r="C182" s="231" t="s">
        <v>876</v>
      </c>
      <c r="D182" s="231" t="s">
        <v>645</v>
      </c>
      <c r="E182" s="231">
        <v>56980</v>
      </c>
      <c r="F182" s="244">
        <v>4132.2300000000005</v>
      </c>
      <c r="G182" s="244">
        <v>0</v>
      </c>
      <c r="H182" s="231">
        <v>0</v>
      </c>
      <c r="I182" s="231">
        <v>0</v>
      </c>
      <c r="J182" s="231">
        <v>0</v>
      </c>
      <c r="K182" s="231">
        <v>867.77</v>
      </c>
      <c r="L182" s="231">
        <v>0</v>
      </c>
      <c r="M182" s="244">
        <v>0</v>
      </c>
      <c r="N182" s="244">
        <v>5000</v>
      </c>
    </row>
    <row r="183" spans="1:14">
      <c r="A183" s="259" t="s">
        <v>616</v>
      </c>
      <c r="B183" s="260" t="s">
        <v>877</v>
      </c>
      <c r="C183" s="231" t="s">
        <v>644</v>
      </c>
      <c r="D183" s="231" t="s">
        <v>645</v>
      </c>
      <c r="E183" s="231" t="s">
        <v>630</v>
      </c>
      <c r="F183" s="244">
        <v>3636.36</v>
      </c>
      <c r="G183" s="244">
        <v>0</v>
      </c>
      <c r="H183" s="231">
        <v>0</v>
      </c>
      <c r="I183" s="231">
        <v>0</v>
      </c>
      <c r="J183" s="231">
        <v>0</v>
      </c>
      <c r="K183" s="231">
        <v>763.64</v>
      </c>
      <c r="L183" s="231">
        <v>0</v>
      </c>
      <c r="M183" s="244">
        <v>0</v>
      </c>
      <c r="N183" s="244">
        <v>4400</v>
      </c>
    </row>
    <row r="184" spans="1:14">
      <c r="A184" s="259" t="s">
        <v>616</v>
      </c>
      <c r="B184" s="260" t="s">
        <v>878</v>
      </c>
      <c r="C184" s="231" t="s">
        <v>644</v>
      </c>
      <c r="D184" s="231" t="s">
        <v>645</v>
      </c>
      <c r="E184" s="231" t="s">
        <v>630</v>
      </c>
      <c r="F184" s="244">
        <v>2148.7600000000002</v>
      </c>
      <c r="G184" s="244">
        <v>0</v>
      </c>
      <c r="H184" s="231">
        <v>0</v>
      </c>
      <c r="I184" s="231">
        <v>0</v>
      </c>
      <c r="J184" s="231">
        <v>0</v>
      </c>
      <c r="K184" s="231">
        <v>451.24</v>
      </c>
      <c r="L184" s="231">
        <v>0</v>
      </c>
      <c r="M184" s="244">
        <v>0</v>
      </c>
      <c r="N184" s="244">
        <v>2600</v>
      </c>
    </row>
    <row r="185" spans="1:14">
      <c r="A185" s="259" t="s">
        <v>616</v>
      </c>
      <c r="B185" s="260" t="s">
        <v>879</v>
      </c>
      <c r="C185" s="231" t="s">
        <v>644</v>
      </c>
      <c r="D185" s="231" t="s">
        <v>645</v>
      </c>
      <c r="E185" s="231" t="s">
        <v>630</v>
      </c>
      <c r="F185" s="244">
        <v>6363.64</v>
      </c>
      <c r="G185" s="244">
        <v>0</v>
      </c>
      <c r="H185" s="231">
        <v>0</v>
      </c>
      <c r="I185" s="231">
        <v>0</v>
      </c>
      <c r="J185" s="231">
        <v>0</v>
      </c>
      <c r="K185" s="231">
        <v>1336.36</v>
      </c>
      <c r="L185" s="231">
        <v>0</v>
      </c>
      <c r="M185" s="244">
        <v>0</v>
      </c>
      <c r="N185" s="244">
        <v>7700</v>
      </c>
    </row>
    <row r="186" spans="1:14">
      <c r="A186" s="259" t="s">
        <v>616</v>
      </c>
      <c r="B186" s="260" t="s">
        <v>880</v>
      </c>
      <c r="C186" s="231" t="s">
        <v>644</v>
      </c>
      <c r="D186" s="231" t="s">
        <v>645</v>
      </c>
      <c r="E186" s="231" t="s">
        <v>630</v>
      </c>
      <c r="F186" s="244">
        <v>6528.93</v>
      </c>
      <c r="G186" s="244">
        <v>0</v>
      </c>
      <c r="H186" s="231">
        <v>0</v>
      </c>
      <c r="I186" s="231">
        <v>0</v>
      </c>
      <c r="J186" s="231">
        <v>0</v>
      </c>
      <c r="K186" s="231">
        <v>1371.07</v>
      </c>
      <c r="L186" s="231">
        <v>0</v>
      </c>
      <c r="M186" s="244">
        <v>0</v>
      </c>
      <c r="N186" s="244">
        <v>7900</v>
      </c>
    </row>
    <row r="187" spans="1:14">
      <c r="A187" s="259" t="s">
        <v>616</v>
      </c>
      <c r="B187" s="260" t="s">
        <v>881</v>
      </c>
      <c r="C187" s="231" t="s">
        <v>644</v>
      </c>
      <c r="D187" s="231" t="s">
        <v>645</v>
      </c>
      <c r="E187" s="231" t="s">
        <v>630</v>
      </c>
      <c r="F187" s="244">
        <v>9752.07</v>
      </c>
      <c r="G187" s="244">
        <v>0</v>
      </c>
      <c r="H187" s="231">
        <v>0</v>
      </c>
      <c r="I187" s="231">
        <v>0</v>
      </c>
      <c r="J187" s="231">
        <v>0</v>
      </c>
      <c r="K187" s="231">
        <v>2047.93</v>
      </c>
      <c r="L187" s="231">
        <v>0</v>
      </c>
      <c r="M187" s="244">
        <v>0</v>
      </c>
      <c r="N187" s="244">
        <v>11800</v>
      </c>
    </row>
    <row r="188" spans="1:14">
      <c r="A188" s="259" t="s">
        <v>616</v>
      </c>
      <c r="B188" s="260" t="s">
        <v>882</v>
      </c>
      <c r="C188" s="231" t="s">
        <v>644</v>
      </c>
      <c r="D188" s="231" t="s">
        <v>645</v>
      </c>
      <c r="E188" s="231" t="s">
        <v>630</v>
      </c>
      <c r="F188" s="244">
        <v>2438.02</v>
      </c>
      <c r="G188" s="244">
        <v>0</v>
      </c>
      <c r="H188" s="231">
        <v>0</v>
      </c>
      <c r="I188" s="231">
        <v>0</v>
      </c>
      <c r="J188" s="231">
        <v>0</v>
      </c>
      <c r="K188" s="231">
        <v>511.98</v>
      </c>
      <c r="L188" s="231">
        <v>0</v>
      </c>
      <c r="M188" s="244">
        <v>0</v>
      </c>
      <c r="N188" s="244">
        <v>2950</v>
      </c>
    </row>
    <row r="189" spans="1:14">
      <c r="A189" s="259" t="s">
        <v>616</v>
      </c>
      <c r="B189" s="260" t="s">
        <v>883</v>
      </c>
      <c r="C189" s="231" t="s">
        <v>644</v>
      </c>
      <c r="D189" s="231" t="s">
        <v>645</v>
      </c>
      <c r="E189" s="231" t="s">
        <v>630</v>
      </c>
      <c r="F189" s="244">
        <v>2975.21</v>
      </c>
      <c r="G189" s="244">
        <v>0</v>
      </c>
      <c r="H189" s="231">
        <v>0</v>
      </c>
      <c r="I189" s="231">
        <v>0</v>
      </c>
      <c r="J189" s="231">
        <v>0</v>
      </c>
      <c r="K189" s="231">
        <v>624.79</v>
      </c>
      <c r="L189" s="231">
        <v>0</v>
      </c>
      <c r="M189" s="244">
        <v>0</v>
      </c>
      <c r="N189" s="244">
        <v>3600</v>
      </c>
    </row>
    <row r="190" spans="1:14">
      <c r="A190" s="259" t="s">
        <v>616</v>
      </c>
      <c r="B190" s="260" t="s">
        <v>884</v>
      </c>
      <c r="C190" s="231" t="s">
        <v>644</v>
      </c>
      <c r="D190" s="231" t="s">
        <v>645</v>
      </c>
      <c r="E190" s="231" t="s">
        <v>630</v>
      </c>
      <c r="F190" s="244">
        <v>3214.88</v>
      </c>
      <c r="G190" s="244">
        <v>0</v>
      </c>
      <c r="H190" s="231">
        <v>0</v>
      </c>
      <c r="I190" s="231">
        <v>0</v>
      </c>
      <c r="J190" s="231">
        <v>0</v>
      </c>
      <c r="K190" s="231">
        <v>675.12</v>
      </c>
      <c r="L190" s="231">
        <v>0</v>
      </c>
      <c r="M190" s="244">
        <v>0</v>
      </c>
      <c r="N190" s="244">
        <v>3890</v>
      </c>
    </row>
    <row r="191" spans="1:14">
      <c r="A191" s="259" t="s">
        <v>616</v>
      </c>
      <c r="B191" s="260" t="s">
        <v>885</v>
      </c>
      <c r="C191" s="231" t="s">
        <v>644</v>
      </c>
      <c r="D191" s="231" t="s">
        <v>645</v>
      </c>
      <c r="E191" s="231" t="s">
        <v>630</v>
      </c>
      <c r="F191" s="244">
        <v>4909.09</v>
      </c>
      <c r="G191" s="244">
        <v>0</v>
      </c>
      <c r="H191" s="231">
        <v>0</v>
      </c>
      <c r="I191" s="231">
        <v>0</v>
      </c>
      <c r="J191" s="231">
        <v>0</v>
      </c>
      <c r="K191" s="231">
        <v>1030.9100000000001</v>
      </c>
      <c r="L191" s="231">
        <v>0</v>
      </c>
      <c r="M191" s="244">
        <v>0</v>
      </c>
      <c r="N191" s="244">
        <v>5940</v>
      </c>
    </row>
    <row r="192" spans="1:14">
      <c r="A192" s="259" t="s">
        <v>616</v>
      </c>
      <c r="B192" s="260" t="s">
        <v>886</v>
      </c>
      <c r="C192" s="231" t="s">
        <v>644</v>
      </c>
      <c r="D192" s="231" t="s">
        <v>645</v>
      </c>
      <c r="E192" s="231" t="s">
        <v>630</v>
      </c>
      <c r="F192" s="244">
        <v>3214.88</v>
      </c>
      <c r="G192" s="244">
        <v>0</v>
      </c>
      <c r="H192" s="231">
        <v>0</v>
      </c>
      <c r="I192" s="231">
        <v>0</v>
      </c>
      <c r="J192" s="231">
        <v>0</v>
      </c>
      <c r="K192" s="231">
        <v>675.12</v>
      </c>
      <c r="L192" s="231">
        <v>0</v>
      </c>
      <c r="M192" s="244">
        <v>0</v>
      </c>
      <c r="N192" s="244">
        <v>3890</v>
      </c>
    </row>
    <row r="193" spans="1:14">
      <c r="A193" s="259" t="s">
        <v>616</v>
      </c>
      <c r="B193" s="260" t="s">
        <v>887</v>
      </c>
      <c r="C193" s="231" t="s">
        <v>644</v>
      </c>
      <c r="D193" s="231" t="s">
        <v>645</v>
      </c>
      <c r="E193" s="231" t="s">
        <v>630</v>
      </c>
      <c r="F193" s="244">
        <v>6363.64</v>
      </c>
      <c r="G193" s="244">
        <v>0</v>
      </c>
      <c r="H193" s="231">
        <v>0</v>
      </c>
      <c r="I193" s="231">
        <v>0</v>
      </c>
      <c r="J193" s="231">
        <v>0</v>
      </c>
      <c r="K193" s="231">
        <v>1336.36</v>
      </c>
      <c r="L193" s="231">
        <v>0</v>
      </c>
      <c r="M193" s="244">
        <v>0</v>
      </c>
      <c r="N193" s="244">
        <v>7700</v>
      </c>
    </row>
    <row r="194" spans="1:14">
      <c r="A194" s="259" t="s">
        <v>616</v>
      </c>
      <c r="B194" s="260" t="s">
        <v>888</v>
      </c>
      <c r="C194" s="231" t="s">
        <v>658</v>
      </c>
      <c r="D194" s="231" t="s">
        <v>659</v>
      </c>
      <c r="E194" s="231">
        <v>30522428163</v>
      </c>
      <c r="F194" s="244">
        <v>137123.82</v>
      </c>
      <c r="G194" s="244">
        <v>0</v>
      </c>
      <c r="H194" s="231">
        <v>0</v>
      </c>
      <c r="I194" s="231">
        <v>0</v>
      </c>
      <c r="J194" s="231">
        <v>0</v>
      </c>
      <c r="K194" s="231">
        <v>28796</v>
      </c>
      <c r="L194" s="231">
        <v>0</v>
      </c>
      <c r="M194" s="244">
        <v>0</v>
      </c>
      <c r="N194" s="244">
        <v>165919.82</v>
      </c>
    </row>
    <row r="195" spans="1:14">
      <c r="A195" s="259" t="s">
        <v>616</v>
      </c>
      <c r="B195" s="260" t="s">
        <v>889</v>
      </c>
      <c r="C195" s="231" t="s">
        <v>658</v>
      </c>
      <c r="D195" s="231" t="s">
        <v>659</v>
      </c>
      <c r="E195" s="231">
        <v>30522428163</v>
      </c>
      <c r="F195" s="244">
        <v>20138.34</v>
      </c>
      <c r="G195" s="244">
        <v>0</v>
      </c>
      <c r="H195" s="231">
        <v>0</v>
      </c>
      <c r="I195" s="231">
        <v>0</v>
      </c>
      <c r="J195" s="231">
        <v>0</v>
      </c>
      <c r="K195" s="231">
        <v>4229.05</v>
      </c>
      <c r="L195" s="231">
        <v>0</v>
      </c>
      <c r="M195" s="244">
        <v>0</v>
      </c>
      <c r="N195" s="244">
        <v>24367.39</v>
      </c>
    </row>
    <row r="196" spans="1:14">
      <c r="A196" s="259" t="s">
        <v>616</v>
      </c>
      <c r="B196" s="260" t="s">
        <v>890</v>
      </c>
      <c r="C196" s="231" t="s">
        <v>668</v>
      </c>
      <c r="D196" s="231" t="s">
        <v>659</v>
      </c>
      <c r="E196" s="231">
        <v>30608716390</v>
      </c>
      <c r="F196" s="244">
        <v>3471.06</v>
      </c>
      <c r="G196" s="244">
        <v>0</v>
      </c>
      <c r="H196" s="231">
        <v>0</v>
      </c>
      <c r="I196" s="231">
        <v>0</v>
      </c>
      <c r="J196" s="231">
        <v>0</v>
      </c>
      <c r="K196" s="231">
        <v>728.92</v>
      </c>
      <c r="L196" s="231">
        <v>0</v>
      </c>
      <c r="M196" s="244">
        <v>0</v>
      </c>
      <c r="N196" s="244">
        <v>4199.9800000000005</v>
      </c>
    </row>
    <row r="197" spans="1:14">
      <c r="A197" s="259" t="s">
        <v>617</v>
      </c>
      <c r="B197" s="260" t="s">
        <v>891</v>
      </c>
      <c r="C197" s="231" t="s">
        <v>644</v>
      </c>
      <c r="D197" s="231" t="s">
        <v>645</v>
      </c>
      <c r="E197" s="231" t="s">
        <v>630</v>
      </c>
      <c r="F197" s="244">
        <v>3305.79</v>
      </c>
      <c r="G197" s="244">
        <v>0</v>
      </c>
      <c r="H197" s="231">
        <v>0</v>
      </c>
      <c r="I197" s="231">
        <v>0</v>
      </c>
      <c r="J197" s="231">
        <v>0</v>
      </c>
      <c r="K197" s="231">
        <v>694.21</v>
      </c>
      <c r="L197" s="231">
        <v>0</v>
      </c>
      <c r="M197" s="244">
        <v>0</v>
      </c>
      <c r="N197" s="244">
        <v>4000</v>
      </c>
    </row>
    <row r="198" spans="1:14">
      <c r="A198" s="259" t="s">
        <v>617</v>
      </c>
      <c r="B198" s="260" t="s">
        <v>892</v>
      </c>
      <c r="C198" s="231" t="s">
        <v>644</v>
      </c>
      <c r="D198" s="231" t="s">
        <v>645</v>
      </c>
      <c r="E198" s="231" t="s">
        <v>630</v>
      </c>
      <c r="F198" s="244">
        <v>3884.3</v>
      </c>
      <c r="G198" s="244">
        <v>0</v>
      </c>
      <c r="H198" s="231">
        <v>0</v>
      </c>
      <c r="I198" s="231">
        <v>0</v>
      </c>
      <c r="J198" s="231">
        <v>0</v>
      </c>
      <c r="K198" s="231">
        <v>815.7</v>
      </c>
      <c r="L198" s="231">
        <v>0</v>
      </c>
      <c r="M198" s="244">
        <v>0</v>
      </c>
      <c r="N198" s="244">
        <v>4700</v>
      </c>
    </row>
    <row r="199" spans="1:14">
      <c r="A199" s="259" t="s">
        <v>617</v>
      </c>
      <c r="B199" s="260" t="s">
        <v>893</v>
      </c>
      <c r="C199" s="231" t="s">
        <v>644</v>
      </c>
      <c r="D199" s="231" t="s">
        <v>645</v>
      </c>
      <c r="E199" s="231" t="s">
        <v>630</v>
      </c>
      <c r="F199" s="244">
        <v>2066.12</v>
      </c>
      <c r="G199" s="244">
        <v>0</v>
      </c>
      <c r="H199" s="231">
        <v>0</v>
      </c>
      <c r="I199" s="231">
        <v>0</v>
      </c>
      <c r="J199" s="231">
        <v>0</v>
      </c>
      <c r="K199" s="231">
        <v>433.88</v>
      </c>
      <c r="L199" s="231">
        <v>0</v>
      </c>
      <c r="M199" s="244">
        <v>0</v>
      </c>
      <c r="N199" s="244">
        <v>2500</v>
      </c>
    </row>
    <row r="200" spans="1:14">
      <c r="A200" s="259" t="s">
        <v>617</v>
      </c>
      <c r="B200" s="260" t="s">
        <v>894</v>
      </c>
      <c r="C200" s="231" t="s">
        <v>644</v>
      </c>
      <c r="D200" s="231" t="s">
        <v>645</v>
      </c>
      <c r="E200" s="231" t="s">
        <v>630</v>
      </c>
      <c r="F200" s="244">
        <v>14628.1</v>
      </c>
      <c r="G200" s="244">
        <v>0</v>
      </c>
      <c r="H200" s="231">
        <v>0</v>
      </c>
      <c r="I200" s="231">
        <v>0</v>
      </c>
      <c r="J200" s="231">
        <v>0</v>
      </c>
      <c r="K200" s="231">
        <v>3071.9</v>
      </c>
      <c r="L200" s="231">
        <v>0</v>
      </c>
      <c r="M200" s="244">
        <v>0</v>
      </c>
      <c r="N200" s="244">
        <v>17700</v>
      </c>
    </row>
    <row r="201" spans="1:14">
      <c r="A201" s="259" t="s">
        <v>617</v>
      </c>
      <c r="B201" s="260" t="s">
        <v>895</v>
      </c>
      <c r="C201" s="231" t="s">
        <v>644</v>
      </c>
      <c r="D201" s="231" t="s">
        <v>645</v>
      </c>
      <c r="E201" s="231" t="s">
        <v>630</v>
      </c>
      <c r="F201" s="244">
        <v>6280.99</v>
      </c>
      <c r="G201" s="244">
        <v>0</v>
      </c>
      <c r="H201" s="231">
        <v>0</v>
      </c>
      <c r="I201" s="231">
        <v>0</v>
      </c>
      <c r="J201" s="231">
        <v>0</v>
      </c>
      <c r="K201" s="231">
        <v>1319.01</v>
      </c>
      <c r="L201" s="231">
        <v>0</v>
      </c>
      <c r="M201" s="244">
        <v>0</v>
      </c>
      <c r="N201" s="244">
        <v>7600</v>
      </c>
    </row>
    <row r="202" spans="1:14">
      <c r="A202" s="259" t="s">
        <v>617</v>
      </c>
      <c r="B202" s="260" t="s">
        <v>896</v>
      </c>
      <c r="C202" s="231" t="s">
        <v>668</v>
      </c>
      <c r="D202" s="231" t="s">
        <v>659</v>
      </c>
      <c r="E202" s="231">
        <v>30608716390</v>
      </c>
      <c r="F202" s="244">
        <v>1140.5</v>
      </c>
      <c r="G202" s="244">
        <v>0</v>
      </c>
      <c r="H202" s="231">
        <v>0</v>
      </c>
      <c r="I202" s="231">
        <v>0</v>
      </c>
      <c r="J202" s="231">
        <v>0</v>
      </c>
      <c r="K202" s="231">
        <v>239.51</v>
      </c>
      <c r="L202" s="231">
        <v>0</v>
      </c>
      <c r="M202" s="244">
        <v>0</v>
      </c>
      <c r="N202" s="244">
        <v>1380.01</v>
      </c>
    </row>
    <row r="203" spans="1:14">
      <c r="A203" s="259" t="s">
        <v>617</v>
      </c>
      <c r="B203" s="260" t="s">
        <v>897</v>
      </c>
      <c r="C203" s="231" t="s">
        <v>668</v>
      </c>
      <c r="D203" s="231" t="s">
        <v>659</v>
      </c>
      <c r="E203" s="231">
        <v>30608716390</v>
      </c>
      <c r="F203" s="244">
        <v>3471.08</v>
      </c>
      <c r="G203" s="244">
        <v>0</v>
      </c>
      <c r="H203" s="231">
        <v>0</v>
      </c>
      <c r="I203" s="231">
        <v>0</v>
      </c>
      <c r="J203" s="231">
        <v>0</v>
      </c>
      <c r="K203" s="231">
        <v>728.93</v>
      </c>
      <c r="L203" s="231">
        <v>0</v>
      </c>
      <c r="M203" s="244">
        <v>0</v>
      </c>
      <c r="N203" s="244">
        <v>4200.01</v>
      </c>
    </row>
    <row r="204" spans="1:14">
      <c r="A204" s="259" t="s">
        <v>617</v>
      </c>
      <c r="B204" s="260" t="s">
        <v>898</v>
      </c>
      <c r="C204" s="231" t="s">
        <v>668</v>
      </c>
      <c r="D204" s="231" t="s">
        <v>659</v>
      </c>
      <c r="E204" s="231">
        <v>30608716390</v>
      </c>
      <c r="F204" s="244">
        <v>1487.6</v>
      </c>
      <c r="G204" s="244">
        <v>0</v>
      </c>
      <c r="H204" s="231">
        <v>0</v>
      </c>
      <c r="I204" s="231">
        <v>0</v>
      </c>
      <c r="J204" s="231">
        <v>0</v>
      </c>
      <c r="K204" s="231">
        <v>312.40000000000003</v>
      </c>
      <c r="L204" s="231">
        <v>0</v>
      </c>
      <c r="M204" s="244">
        <v>0</v>
      </c>
      <c r="N204" s="244">
        <v>1800</v>
      </c>
    </row>
    <row r="205" spans="1:14">
      <c r="A205" s="259" t="s">
        <v>617</v>
      </c>
      <c r="B205" s="260" t="s">
        <v>899</v>
      </c>
      <c r="C205" s="231" t="s">
        <v>668</v>
      </c>
      <c r="D205" s="231" t="s">
        <v>659</v>
      </c>
      <c r="E205" s="231">
        <v>30608716390</v>
      </c>
      <c r="F205" s="244">
        <v>4049.58</v>
      </c>
      <c r="G205" s="244">
        <v>0</v>
      </c>
      <c r="H205" s="231">
        <v>0</v>
      </c>
      <c r="I205" s="231">
        <v>0</v>
      </c>
      <c r="J205" s="231">
        <v>0</v>
      </c>
      <c r="K205" s="231">
        <v>850.42</v>
      </c>
      <c r="L205" s="231">
        <v>0</v>
      </c>
      <c r="M205" s="244">
        <v>0</v>
      </c>
      <c r="N205" s="244">
        <v>4900</v>
      </c>
    </row>
    <row r="206" spans="1:14">
      <c r="A206" s="259" t="s">
        <v>617</v>
      </c>
      <c r="B206" s="260" t="s">
        <v>900</v>
      </c>
      <c r="C206" s="231" t="s">
        <v>668</v>
      </c>
      <c r="D206" s="231" t="s">
        <v>659</v>
      </c>
      <c r="E206" s="231">
        <v>30608716390</v>
      </c>
      <c r="F206" s="244">
        <v>1710.74</v>
      </c>
      <c r="G206" s="244">
        <v>0</v>
      </c>
      <c r="H206" s="231">
        <v>0</v>
      </c>
      <c r="I206" s="231">
        <v>0</v>
      </c>
      <c r="J206" s="231">
        <v>0</v>
      </c>
      <c r="K206" s="231">
        <v>359.26</v>
      </c>
      <c r="L206" s="231">
        <v>0</v>
      </c>
      <c r="M206" s="244">
        <v>0</v>
      </c>
      <c r="N206" s="244">
        <v>2070</v>
      </c>
    </row>
    <row r="207" spans="1:14">
      <c r="A207" s="259" t="s">
        <v>617</v>
      </c>
      <c r="B207" s="260" t="s">
        <v>901</v>
      </c>
      <c r="C207" s="231" t="s">
        <v>77</v>
      </c>
      <c r="D207" s="231" t="s">
        <v>659</v>
      </c>
      <c r="E207" s="231">
        <v>30709016012</v>
      </c>
      <c r="F207" s="244">
        <v>10008.26</v>
      </c>
      <c r="G207" s="244">
        <v>0</v>
      </c>
      <c r="H207" s="231">
        <v>0</v>
      </c>
      <c r="I207" s="231">
        <v>0</v>
      </c>
      <c r="J207" s="231">
        <v>0</v>
      </c>
      <c r="K207" s="231">
        <v>2101.73</v>
      </c>
      <c r="L207" s="231">
        <v>0</v>
      </c>
      <c r="M207" s="244">
        <v>0</v>
      </c>
      <c r="N207" s="244">
        <v>12109.99</v>
      </c>
    </row>
    <row r="208" spans="1:14">
      <c r="A208" s="259" t="s">
        <v>617</v>
      </c>
      <c r="B208" s="260" t="s">
        <v>902</v>
      </c>
      <c r="C208" s="231" t="s">
        <v>903</v>
      </c>
      <c r="D208" s="231" t="s">
        <v>645</v>
      </c>
      <c r="E208" s="231" t="s">
        <v>630</v>
      </c>
      <c r="F208" s="244">
        <v>3305.78</v>
      </c>
      <c r="G208" s="244">
        <v>0</v>
      </c>
      <c r="H208" s="231">
        <v>0</v>
      </c>
      <c r="I208" s="231">
        <v>0</v>
      </c>
      <c r="J208" s="231">
        <v>0</v>
      </c>
      <c r="K208" s="231">
        <v>694.22</v>
      </c>
      <c r="L208" s="231">
        <v>0</v>
      </c>
      <c r="M208" s="244">
        <v>0</v>
      </c>
      <c r="N208" s="244">
        <v>4000</v>
      </c>
    </row>
    <row r="209" spans="1:14">
      <c r="A209" s="259" t="s">
        <v>617</v>
      </c>
      <c r="B209" s="260" t="s">
        <v>904</v>
      </c>
      <c r="C209" s="231" t="s">
        <v>905</v>
      </c>
      <c r="D209" s="231" t="s">
        <v>645</v>
      </c>
      <c r="E209" s="231">
        <v>35122158</v>
      </c>
      <c r="F209" s="244">
        <v>5785.12</v>
      </c>
      <c r="G209" s="244">
        <v>0</v>
      </c>
      <c r="H209" s="231">
        <v>0</v>
      </c>
      <c r="I209" s="231">
        <v>0</v>
      </c>
      <c r="J209" s="231">
        <v>0</v>
      </c>
      <c r="K209" s="231">
        <v>1214.8800000000001</v>
      </c>
      <c r="L209" s="231">
        <v>0</v>
      </c>
      <c r="M209" s="244">
        <v>0</v>
      </c>
      <c r="N209" s="244">
        <v>7000</v>
      </c>
    </row>
    <row r="210" spans="1:14">
      <c r="A210" s="259" t="s">
        <v>906</v>
      </c>
      <c r="B210" s="260" t="s">
        <v>907</v>
      </c>
      <c r="C210" s="231" t="s">
        <v>644</v>
      </c>
      <c r="D210" s="231" t="s">
        <v>645</v>
      </c>
      <c r="E210" s="231" t="s">
        <v>630</v>
      </c>
      <c r="F210" s="244">
        <v>3305.79</v>
      </c>
      <c r="G210" s="244">
        <v>0</v>
      </c>
      <c r="H210" s="231">
        <v>0</v>
      </c>
      <c r="I210" s="231">
        <v>0</v>
      </c>
      <c r="J210" s="231">
        <v>0</v>
      </c>
      <c r="K210" s="231">
        <v>694.21</v>
      </c>
      <c r="L210" s="231">
        <v>0</v>
      </c>
      <c r="M210" s="244">
        <v>0</v>
      </c>
      <c r="N210" s="244">
        <v>4000</v>
      </c>
    </row>
    <row r="211" spans="1:14">
      <c r="A211" s="259" t="s">
        <v>906</v>
      </c>
      <c r="B211" s="260" t="s">
        <v>908</v>
      </c>
      <c r="C211" s="231" t="s">
        <v>644</v>
      </c>
      <c r="D211" s="231" t="s">
        <v>645</v>
      </c>
      <c r="E211" s="231" t="s">
        <v>630</v>
      </c>
      <c r="F211" s="244">
        <v>1983.47</v>
      </c>
      <c r="G211" s="244">
        <v>0</v>
      </c>
      <c r="H211" s="231">
        <v>0</v>
      </c>
      <c r="I211" s="231">
        <v>0</v>
      </c>
      <c r="J211" s="231">
        <v>0</v>
      </c>
      <c r="K211" s="231">
        <v>416.53</v>
      </c>
      <c r="L211" s="231">
        <v>0</v>
      </c>
      <c r="M211" s="244">
        <v>0</v>
      </c>
      <c r="N211" s="244">
        <v>2400</v>
      </c>
    </row>
    <row r="212" spans="1:14">
      <c r="A212" s="259" t="s">
        <v>906</v>
      </c>
      <c r="B212" s="260" t="s">
        <v>909</v>
      </c>
      <c r="C212" s="231" t="s">
        <v>644</v>
      </c>
      <c r="D212" s="231" t="s">
        <v>645</v>
      </c>
      <c r="E212" s="231" t="s">
        <v>630</v>
      </c>
      <c r="F212" s="244">
        <v>7024.79</v>
      </c>
      <c r="G212" s="244">
        <v>0</v>
      </c>
      <c r="H212" s="231">
        <v>0</v>
      </c>
      <c r="I212" s="231">
        <v>0</v>
      </c>
      <c r="J212" s="231">
        <v>0</v>
      </c>
      <c r="K212" s="231">
        <v>1475.21</v>
      </c>
      <c r="L212" s="231">
        <v>0</v>
      </c>
      <c r="M212" s="244">
        <v>0</v>
      </c>
      <c r="N212" s="244">
        <v>8500</v>
      </c>
    </row>
    <row r="213" spans="1:14">
      <c r="A213" s="259" t="s">
        <v>906</v>
      </c>
      <c r="B213" s="260" t="s">
        <v>910</v>
      </c>
      <c r="C213" s="231" t="s">
        <v>658</v>
      </c>
      <c r="D213" s="231" t="s">
        <v>659</v>
      </c>
      <c r="E213" s="231">
        <v>30522428163</v>
      </c>
      <c r="F213" s="244">
        <v>1982644.63</v>
      </c>
      <c r="G213" s="244">
        <v>0</v>
      </c>
      <c r="H213" s="231">
        <v>0</v>
      </c>
      <c r="I213" s="231">
        <v>0</v>
      </c>
      <c r="J213" s="231">
        <v>0</v>
      </c>
      <c r="K213" s="231">
        <v>416355.37</v>
      </c>
      <c r="L213" s="231">
        <v>0</v>
      </c>
      <c r="M213" s="244">
        <v>0</v>
      </c>
      <c r="N213" s="244">
        <v>2399000</v>
      </c>
    </row>
    <row r="214" spans="1:14">
      <c r="A214" s="259" t="s">
        <v>906</v>
      </c>
      <c r="B214" s="260" t="s">
        <v>911</v>
      </c>
      <c r="C214" s="231" t="s">
        <v>658</v>
      </c>
      <c r="D214" s="231" t="s">
        <v>659</v>
      </c>
      <c r="E214" s="231">
        <v>30522428163</v>
      </c>
      <c r="F214" s="244">
        <v>48958.68</v>
      </c>
      <c r="G214" s="244">
        <v>0</v>
      </c>
      <c r="H214" s="231">
        <v>0</v>
      </c>
      <c r="I214" s="231">
        <v>0</v>
      </c>
      <c r="J214" s="231">
        <v>0</v>
      </c>
      <c r="K214" s="231">
        <v>10281.32</v>
      </c>
      <c r="L214" s="231">
        <v>0</v>
      </c>
      <c r="M214" s="244">
        <v>0</v>
      </c>
      <c r="N214" s="244">
        <v>59240</v>
      </c>
    </row>
    <row r="215" spans="1:14">
      <c r="A215" s="259" t="s">
        <v>906</v>
      </c>
      <c r="B215" s="260" t="s">
        <v>912</v>
      </c>
      <c r="C215" s="231" t="s">
        <v>658</v>
      </c>
      <c r="D215" s="231" t="s">
        <v>659</v>
      </c>
      <c r="E215" s="231">
        <v>30522428163</v>
      </c>
      <c r="F215" s="244">
        <v>17206.61</v>
      </c>
      <c r="G215" s="244">
        <v>0</v>
      </c>
      <c r="H215" s="231">
        <v>0</v>
      </c>
      <c r="I215" s="231">
        <v>0</v>
      </c>
      <c r="J215" s="231">
        <v>0</v>
      </c>
      <c r="K215" s="231">
        <v>3613.39</v>
      </c>
      <c r="L215" s="231">
        <v>0</v>
      </c>
      <c r="M215" s="244">
        <v>0</v>
      </c>
      <c r="N215" s="244">
        <v>20820</v>
      </c>
    </row>
    <row r="216" spans="1:14">
      <c r="A216" s="259" t="s">
        <v>906</v>
      </c>
      <c r="B216" s="260" t="s">
        <v>913</v>
      </c>
      <c r="C216" s="231" t="s">
        <v>914</v>
      </c>
      <c r="D216" s="231" t="s">
        <v>645</v>
      </c>
      <c r="E216" s="231">
        <v>4164120</v>
      </c>
      <c r="F216" s="244">
        <v>1140.5</v>
      </c>
      <c r="G216" s="244">
        <v>0</v>
      </c>
      <c r="H216" s="231">
        <v>0</v>
      </c>
      <c r="I216" s="231">
        <v>0</v>
      </c>
      <c r="J216" s="231">
        <v>0</v>
      </c>
      <c r="K216" s="231">
        <v>239.5</v>
      </c>
      <c r="L216" s="231">
        <v>0</v>
      </c>
      <c r="M216" s="244">
        <v>0</v>
      </c>
      <c r="N216" s="244">
        <v>1380</v>
      </c>
    </row>
    <row r="217" spans="1:14">
      <c r="A217" s="259" t="s">
        <v>906</v>
      </c>
      <c r="B217" s="260" t="s">
        <v>915</v>
      </c>
      <c r="C217" s="231" t="s">
        <v>838</v>
      </c>
      <c r="D217" s="231" t="s">
        <v>645</v>
      </c>
      <c r="E217" s="231">
        <v>53588753</v>
      </c>
      <c r="F217" s="244">
        <v>7768.6</v>
      </c>
      <c r="G217" s="244">
        <v>0</v>
      </c>
      <c r="H217" s="231">
        <v>0</v>
      </c>
      <c r="I217" s="231">
        <v>0</v>
      </c>
      <c r="J217" s="231">
        <v>0</v>
      </c>
      <c r="K217" s="231">
        <v>1631.4</v>
      </c>
      <c r="L217" s="231">
        <v>0</v>
      </c>
      <c r="M217" s="244">
        <v>0</v>
      </c>
      <c r="N217" s="244">
        <v>9400</v>
      </c>
    </row>
    <row r="218" spans="1:14">
      <c r="A218" s="259" t="s">
        <v>906</v>
      </c>
      <c r="B218" s="260" t="s">
        <v>916</v>
      </c>
      <c r="C218" s="231" t="s">
        <v>917</v>
      </c>
      <c r="D218" s="231" t="s">
        <v>645</v>
      </c>
      <c r="E218" s="231">
        <v>16596298</v>
      </c>
      <c r="F218" s="244">
        <v>4132.2300000000005</v>
      </c>
      <c r="G218" s="244">
        <v>0</v>
      </c>
      <c r="H218" s="231">
        <v>0</v>
      </c>
      <c r="I218" s="231">
        <v>0</v>
      </c>
      <c r="J218" s="231">
        <v>0</v>
      </c>
      <c r="K218" s="231">
        <v>867.77</v>
      </c>
      <c r="L218" s="231">
        <v>0</v>
      </c>
      <c r="M218" s="244">
        <v>0</v>
      </c>
      <c r="N218" s="244">
        <v>5000</v>
      </c>
    </row>
    <row r="219" spans="1:14">
      <c r="A219" s="259" t="s">
        <v>618</v>
      </c>
      <c r="B219" s="260" t="s">
        <v>918</v>
      </c>
      <c r="C219" s="231" t="s">
        <v>644</v>
      </c>
      <c r="D219" s="231" t="s">
        <v>645</v>
      </c>
      <c r="E219" s="231" t="s">
        <v>630</v>
      </c>
      <c r="F219" s="244">
        <v>4041.32</v>
      </c>
      <c r="G219" s="244">
        <v>0</v>
      </c>
      <c r="H219" s="231">
        <v>0</v>
      </c>
      <c r="I219" s="231">
        <v>0</v>
      </c>
      <c r="J219" s="231">
        <v>0</v>
      </c>
      <c r="K219" s="231">
        <v>848.68</v>
      </c>
      <c r="L219" s="231">
        <v>0</v>
      </c>
      <c r="M219" s="244">
        <v>0</v>
      </c>
      <c r="N219" s="244">
        <v>4890</v>
      </c>
    </row>
    <row r="220" spans="1:14">
      <c r="A220" s="259" t="s">
        <v>618</v>
      </c>
      <c r="B220" s="260" t="s">
        <v>919</v>
      </c>
      <c r="C220" s="231" t="s">
        <v>644</v>
      </c>
      <c r="D220" s="231" t="s">
        <v>645</v>
      </c>
      <c r="E220" s="231" t="s">
        <v>630</v>
      </c>
      <c r="F220" s="244">
        <v>2413.2200000000003</v>
      </c>
      <c r="G220" s="244">
        <v>0</v>
      </c>
      <c r="H220" s="231">
        <v>0</v>
      </c>
      <c r="I220" s="231">
        <v>0</v>
      </c>
      <c r="J220" s="231">
        <v>0</v>
      </c>
      <c r="K220" s="231">
        <v>506.78</v>
      </c>
      <c r="L220" s="231">
        <v>0</v>
      </c>
      <c r="M220" s="244">
        <v>0</v>
      </c>
      <c r="N220" s="244">
        <v>2920</v>
      </c>
    </row>
    <row r="221" spans="1:14">
      <c r="A221" s="259" t="s">
        <v>618</v>
      </c>
      <c r="B221" s="260" t="s">
        <v>920</v>
      </c>
      <c r="C221" s="231" t="s">
        <v>644</v>
      </c>
      <c r="D221" s="231" t="s">
        <v>645</v>
      </c>
      <c r="E221" s="231" t="s">
        <v>630</v>
      </c>
      <c r="F221" s="244">
        <v>3884.3</v>
      </c>
      <c r="G221" s="244">
        <v>0</v>
      </c>
      <c r="H221" s="231">
        <v>0</v>
      </c>
      <c r="I221" s="231">
        <v>0</v>
      </c>
      <c r="J221" s="231">
        <v>0</v>
      </c>
      <c r="K221" s="231">
        <v>815.7</v>
      </c>
      <c r="L221" s="231">
        <v>0</v>
      </c>
      <c r="M221" s="244">
        <v>0</v>
      </c>
      <c r="N221" s="244">
        <v>4700</v>
      </c>
    </row>
    <row r="222" spans="1:14">
      <c r="A222" s="259" t="s">
        <v>618</v>
      </c>
      <c r="B222" s="260" t="s">
        <v>921</v>
      </c>
      <c r="C222" s="231" t="s">
        <v>644</v>
      </c>
      <c r="D222" s="231" t="s">
        <v>645</v>
      </c>
      <c r="E222" s="231" t="s">
        <v>630</v>
      </c>
      <c r="F222" s="244">
        <v>4545.45</v>
      </c>
      <c r="G222" s="244">
        <v>0</v>
      </c>
      <c r="H222" s="231">
        <v>0</v>
      </c>
      <c r="I222" s="231">
        <v>0</v>
      </c>
      <c r="J222" s="231">
        <v>0</v>
      </c>
      <c r="K222" s="231">
        <v>954.55</v>
      </c>
      <c r="L222" s="231">
        <v>0</v>
      </c>
      <c r="M222" s="244">
        <v>0</v>
      </c>
      <c r="N222" s="244">
        <v>5500</v>
      </c>
    </row>
    <row r="223" spans="1:14">
      <c r="A223" s="259" t="s">
        <v>618</v>
      </c>
      <c r="B223" s="260" t="s">
        <v>922</v>
      </c>
      <c r="C223" s="231" t="s">
        <v>644</v>
      </c>
      <c r="D223" s="231" t="s">
        <v>645</v>
      </c>
      <c r="E223" s="231" t="s">
        <v>630</v>
      </c>
      <c r="F223" s="244">
        <v>7851.24</v>
      </c>
      <c r="G223" s="244">
        <v>0</v>
      </c>
      <c r="H223" s="231">
        <v>0</v>
      </c>
      <c r="I223" s="231">
        <v>0</v>
      </c>
      <c r="J223" s="231">
        <v>0</v>
      </c>
      <c r="K223" s="231">
        <v>1648.76</v>
      </c>
      <c r="L223" s="231">
        <v>0</v>
      </c>
      <c r="M223" s="244">
        <v>0</v>
      </c>
      <c r="N223" s="244">
        <v>9500</v>
      </c>
    </row>
    <row r="224" spans="1:14">
      <c r="A224" s="259" t="s">
        <v>618</v>
      </c>
      <c r="B224" s="260" t="s">
        <v>923</v>
      </c>
      <c r="C224" s="231" t="s">
        <v>644</v>
      </c>
      <c r="D224" s="231" t="s">
        <v>645</v>
      </c>
      <c r="E224" s="231" t="s">
        <v>630</v>
      </c>
      <c r="F224" s="244">
        <v>3305.79</v>
      </c>
      <c r="G224" s="244">
        <v>0</v>
      </c>
      <c r="H224" s="231">
        <v>0</v>
      </c>
      <c r="I224" s="231">
        <v>0</v>
      </c>
      <c r="J224" s="231">
        <v>0</v>
      </c>
      <c r="K224" s="231">
        <v>694.21</v>
      </c>
      <c r="L224" s="231">
        <v>0</v>
      </c>
      <c r="M224" s="244">
        <v>0</v>
      </c>
      <c r="N224" s="244">
        <v>4000</v>
      </c>
    </row>
    <row r="225" spans="1:14">
      <c r="A225" s="259" t="s">
        <v>618</v>
      </c>
      <c r="B225" s="260" t="s">
        <v>924</v>
      </c>
      <c r="C225" s="231" t="s">
        <v>644</v>
      </c>
      <c r="D225" s="231" t="s">
        <v>645</v>
      </c>
      <c r="E225" s="231" t="s">
        <v>630</v>
      </c>
      <c r="F225" s="244">
        <v>11157.02</v>
      </c>
      <c r="G225" s="244">
        <v>0</v>
      </c>
      <c r="H225" s="231">
        <v>0</v>
      </c>
      <c r="I225" s="231">
        <v>0</v>
      </c>
      <c r="J225" s="231">
        <v>0</v>
      </c>
      <c r="K225" s="231">
        <v>2342.98</v>
      </c>
      <c r="L225" s="231">
        <v>0</v>
      </c>
      <c r="M225" s="244">
        <v>0</v>
      </c>
      <c r="N225" s="244">
        <v>13500</v>
      </c>
    </row>
    <row r="226" spans="1:14">
      <c r="A226" s="259" t="s">
        <v>618</v>
      </c>
      <c r="B226" s="260" t="s">
        <v>925</v>
      </c>
      <c r="C226" s="231" t="s">
        <v>739</v>
      </c>
      <c r="D226" s="231" t="s">
        <v>645</v>
      </c>
      <c r="E226" s="231">
        <v>21851552</v>
      </c>
      <c r="F226" s="244">
        <v>4876.03</v>
      </c>
      <c r="G226" s="244">
        <v>0</v>
      </c>
      <c r="H226" s="231">
        <v>0</v>
      </c>
      <c r="I226" s="231">
        <v>0</v>
      </c>
      <c r="J226" s="231">
        <v>0</v>
      </c>
      <c r="K226" s="231">
        <v>1023.97</v>
      </c>
      <c r="L226" s="231">
        <v>0</v>
      </c>
      <c r="M226" s="244">
        <v>0</v>
      </c>
      <c r="N226" s="244">
        <v>5900</v>
      </c>
    </row>
    <row r="227" spans="1:14">
      <c r="A227" s="259" t="s">
        <v>618</v>
      </c>
      <c r="B227" s="260" t="s">
        <v>926</v>
      </c>
      <c r="C227" s="231" t="s">
        <v>644</v>
      </c>
      <c r="D227" s="231" t="s">
        <v>645</v>
      </c>
      <c r="E227" s="231" t="s">
        <v>630</v>
      </c>
      <c r="F227" s="244">
        <v>9752.07</v>
      </c>
      <c r="G227" s="244">
        <v>0</v>
      </c>
      <c r="H227" s="231">
        <v>0</v>
      </c>
      <c r="I227" s="231">
        <v>0</v>
      </c>
      <c r="J227" s="231">
        <v>0</v>
      </c>
      <c r="K227" s="231">
        <v>2047.93</v>
      </c>
      <c r="L227" s="231">
        <v>0</v>
      </c>
      <c r="M227" s="244">
        <v>0</v>
      </c>
      <c r="N227" s="244">
        <v>11800</v>
      </c>
    </row>
    <row r="228" spans="1:14">
      <c r="A228" s="259" t="s">
        <v>618</v>
      </c>
      <c r="B228" s="260" t="s">
        <v>927</v>
      </c>
      <c r="C228" s="231" t="s">
        <v>644</v>
      </c>
      <c r="D228" s="231" t="s">
        <v>645</v>
      </c>
      <c r="E228" s="231" t="s">
        <v>630</v>
      </c>
      <c r="F228" s="244">
        <v>1735.54</v>
      </c>
      <c r="G228" s="244">
        <v>0</v>
      </c>
      <c r="H228" s="231">
        <v>0</v>
      </c>
      <c r="I228" s="231">
        <v>0</v>
      </c>
      <c r="J228" s="231">
        <v>0</v>
      </c>
      <c r="K228" s="231">
        <v>364.46</v>
      </c>
      <c r="L228" s="231">
        <v>0</v>
      </c>
      <c r="M228" s="244">
        <v>0</v>
      </c>
      <c r="N228" s="244">
        <v>2100</v>
      </c>
    </row>
    <row r="229" spans="1:14">
      <c r="A229" s="259" t="s">
        <v>618</v>
      </c>
      <c r="B229" s="260" t="s">
        <v>928</v>
      </c>
      <c r="C229" s="231" t="s">
        <v>644</v>
      </c>
      <c r="D229" s="231" t="s">
        <v>645</v>
      </c>
      <c r="E229" s="231" t="s">
        <v>630</v>
      </c>
      <c r="F229" s="244">
        <v>3884.3</v>
      </c>
      <c r="G229" s="244">
        <v>0</v>
      </c>
      <c r="H229" s="231">
        <v>0</v>
      </c>
      <c r="I229" s="231">
        <v>0</v>
      </c>
      <c r="J229" s="231">
        <v>0</v>
      </c>
      <c r="K229" s="231">
        <v>815.7</v>
      </c>
      <c r="L229" s="231">
        <v>0</v>
      </c>
      <c r="M229" s="244">
        <v>0</v>
      </c>
      <c r="N229" s="244">
        <v>4700</v>
      </c>
    </row>
    <row r="230" spans="1:14">
      <c r="A230" s="259" t="s">
        <v>618</v>
      </c>
      <c r="B230" s="260" t="s">
        <v>929</v>
      </c>
      <c r="C230" s="231" t="s">
        <v>658</v>
      </c>
      <c r="D230" s="231" t="s">
        <v>659</v>
      </c>
      <c r="E230" s="231">
        <v>30522428163</v>
      </c>
      <c r="F230" s="244">
        <v>4890126.45</v>
      </c>
      <c r="G230" s="244">
        <v>0</v>
      </c>
      <c r="H230" s="231">
        <v>0</v>
      </c>
      <c r="I230" s="231">
        <v>0</v>
      </c>
      <c r="J230" s="231">
        <v>0</v>
      </c>
      <c r="K230" s="231">
        <v>1026926.55</v>
      </c>
      <c r="L230" s="231">
        <v>0</v>
      </c>
      <c r="M230" s="244">
        <v>0</v>
      </c>
      <c r="N230" s="244">
        <v>5917053</v>
      </c>
    </row>
    <row r="231" spans="1:14">
      <c r="A231" s="259" t="s">
        <v>618</v>
      </c>
      <c r="B231" s="260" t="s">
        <v>930</v>
      </c>
      <c r="C231" s="231" t="s">
        <v>658</v>
      </c>
      <c r="D231" s="231" t="s">
        <v>659</v>
      </c>
      <c r="E231" s="231">
        <v>30522428163</v>
      </c>
      <c r="F231" s="244">
        <v>869586.76</v>
      </c>
      <c r="G231" s="244">
        <v>0</v>
      </c>
      <c r="H231" s="231">
        <v>0</v>
      </c>
      <c r="I231" s="231">
        <v>0</v>
      </c>
      <c r="J231" s="231">
        <v>0</v>
      </c>
      <c r="K231" s="231">
        <v>182613.24</v>
      </c>
      <c r="L231" s="231">
        <v>0</v>
      </c>
      <c r="M231" s="244">
        <v>0</v>
      </c>
      <c r="N231" s="244">
        <v>1052200</v>
      </c>
    </row>
    <row r="232" spans="1:14">
      <c r="A232" s="259" t="s">
        <v>618</v>
      </c>
      <c r="B232" s="260" t="s">
        <v>931</v>
      </c>
      <c r="C232" s="231" t="s">
        <v>658</v>
      </c>
      <c r="D232" s="231" t="s">
        <v>659</v>
      </c>
      <c r="E232" s="231">
        <v>30522428163</v>
      </c>
      <c r="F232" s="244">
        <v>3516859.5</v>
      </c>
      <c r="G232" s="244">
        <v>0</v>
      </c>
      <c r="H232" s="231">
        <v>0</v>
      </c>
      <c r="I232" s="231">
        <v>0</v>
      </c>
      <c r="J232" s="231">
        <v>0</v>
      </c>
      <c r="K232" s="231">
        <v>738540.5</v>
      </c>
      <c r="L232" s="231">
        <v>0</v>
      </c>
      <c r="M232" s="244">
        <v>0</v>
      </c>
      <c r="N232" s="244">
        <v>4255400</v>
      </c>
    </row>
    <row r="233" spans="1:14">
      <c r="A233" s="259" t="s">
        <v>618</v>
      </c>
      <c r="B233" s="260" t="s">
        <v>932</v>
      </c>
      <c r="C233" s="231" t="s">
        <v>689</v>
      </c>
      <c r="D233" s="231" t="s">
        <v>690</v>
      </c>
      <c r="E233" s="231">
        <v>30590354798</v>
      </c>
      <c r="F233" s="244">
        <v>105785.12</v>
      </c>
      <c r="G233" s="244">
        <v>0</v>
      </c>
      <c r="H233" s="231">
        <v>0</v>
      </c>
      <c r="I233" s="231">
        <v>0</v>
      </c>
      <c r="J233" s="231">
        <v>0</v>
      </c>
      <c r="K233" s="231">
        <v>22214.880000000001</v>
      </c>
      <c r="L233" s="231">
        <v>0</v>
      </c>
      <c r="M233" s="244">
        <v>0</v>
      </c>
      <c r="N233" s="244">
        <v>128000</v>
      </c>
    </row>
    <row r="234" spans="1:14">
      <c r="A234" s="259" t="s">
        <v>618</v>
      </c>
      <c r="B234" s="260" t="s">
        <v>933</v>
      </c>
      <c r="C234" s="231" t="s">
        <v>840</v>
      </c>
      <c r="D234" s="231" t="s">
        <v>645</v>
      </c>
      <c r="E234" s="231">
        <v>14123802</v>
      </c>
      <c r="F234" s="244">
        <v>3719.01</v>
      </c>
      <c r="G234" s="244">
        <v>0</v>
      </c>
      <c r="H234" s="231">
        <v>0</v>
      </c>
      <c r="I234" s="231">
        <v>0</v>
      </c>
      <c r="J234" s="231">
        <v>0</v>
      </c>
      <c r="K234" s="231">
        <v>780.99</v>
      </c>
      <c r="L234" s="231">
        <v>0</v>
      </c>
      <c r="M234" s="244">
        <v>0</v>
      </c>
      <c r="N234" s="244">
        <v>4500</v>
      </c>
    </row>
    <row r="235" spans="1:14">
      <c r="A235" s="259" t="s">
        <v>618</v>
      </c>
      <c r="B235" s="260" t="s">
        <v>934</v>
      </c>
      <c r="C235" s="231" t="s">
        <v>935</v>
      </c>
      <c r="D235" s="231" t="s">
        <v>645</v>
      </c>
      <c r="E235" s="231">
        <v>28692323</v>
      </c>
      <c r="F235" s="244">
        <v>8285.130000000001</v>
      </c>
      <c r="G235" s="244">
        <v>0</v>
      </c>
      <c r="H235" s="231">
        <v>0</v>
      </c>
      <c r="I235" s="231">
        <v>0</v>
      </c>
      <c r="J235" s="231">
        <v>0</v>
      </c>
      <c r="K235" s="231">
        <v>1739.87</v>
      </c>
      <c r="L235" s="231">
        <v>0</v>
      </c>
      <c r="M235" s="244">
        <v>0</v>
      </c>
      <c r="N235" s="244">
        <v>10025</v>
      </c>
    </row>
    <row r="236" spans="1:14">
      <c r="A236" s="259" t="s">
        <v>618</v>
      </c>
      <c r="B236" s="260" t="s">
        <v>936</v>
      </c>
      <c r="C236" s="231" t="s">
        <v>937</v>
      </c>
      <c r="D236" s="231" t="s">
        <v>645</v>
      </c>
      <c r="E236" s="231">
        <v>8607637</v>
      </c>
      <c r="F236" s="244">
        <v>18446.28</v>
      </c>
      <c r="G236" s="244">
        <v>0</v>
      </c>
      <c r="H236" s="231">
        <v>0</v>
      </c>
      <c r="I236" s="231">
        <v>0</v>
      </c>
      <c r="J236" s="231">
        <v>0</v>
      </c>
      <c r="K236" s="231">
        <v>3873.72</v>
      </c>
      <c r="L236" s="231">
        <v>0</v>
      </c>
      <c r="M236" s="244">
        <v>0</v>
      </c>
      <c r="N236" s="244">
        <v>22320</v>
      </c>
    </row>
    <row r="237" spans="1:14">
      <c r="A237" s="259" t="s">
        <v>618</v>
      </c>
      <c r="B237" s="260" t="s">
        <v>938</v>
      </c>
      <c r="C237" s="231" t="s">
        <v>939</v>
      </c>
      <c r="D237" s="231" t="s">
        <v>645</v>
      </c>
      <c r="E237" s="231">
        <v>92316435</v>
      </c>
      <c r="F237" s="244">
        <v>5785.12</v>
      </c>
      <c r="G237" s="244">
        <v>0</v>
      </c>
      <c r="H237" s="231">
        <v>0</v>
      </c>
      <c r="I237" s="231">
        <v>0</v>
      </c>
      <c r="J237" s="231">
        <v>0</v>
      </c>
      <c r="K237" s="231">
        <v>1214.8800000000001</v>
      </c>
      <c r="L237" s="231">
        <v>0</v>
      </c>
      <c r="M237" s="244">
        <v>0</v>
      </c>
      <c r="N237" s="244">
        <v>7000</v>
      </c>
    </row>
    <row r="238" spans="1:14">
      <c r="A238" s="259" t="s">
        <v>618</v>
      </c>
      <c r="B238" s="260" t="s">
        <v>940</v>
      </c>
      <c r="C238" s="231" t="s">
        <v>941</v>
      </c>
      <c r="D238" s="231" t="s">
        <v>645</v>
      </c>
      <c r="E238" s="231">
        <v>93354584</v>
      </c>
      <c r="F238" s="244">
        <v>4132.2300000000005</v>
      </c>
      <c r="G238" s="244">
        <v>0</v>
      </c>
      <c r="H238" s="231">
        <v>0</v>
      </c>
      <c r="I238" s="231">
        <v>0</v>
      </c>
      <c r="J238" s="231">
        <v>0</v>
      </c>
      <c r="K238" s="231">
        <v>867.77</v>
      </c>
      <c r="L238" s="231">
        <v>0</v>
      </c>
      <c r="M238" s="244">
        <v>0</v>
      </c>
      <c r="N238" s="244">
        <v>5000</v>
      </c>
    </row>
    <row r="239" spans="1:14">
      <c r="A239" s="259" t="s">
        <v>618</v>
      </c>
      <c r="B239" s="260" t="s">
        <v>942</v>
      </c>
      <c r="C239" s="231" t="s">
        <v>943</v>
      </c>
      <c r="D239" s="231" t="s">
        <v>645</v>
      </c>
      <c r="E239" s="231">
        <v>4648296</v>
      </c>
      <c r="F239" s="244">
        <v>4132.2300000000005</v>
      </c>
      <c r="G239" s="244">
        <v>0</v>
      </c>
      <c r="H239" s="231">
        <v>0</v>
      </c>
      <c r="I239" s="231">
        <v>0</v>
      </c>
      <c r="J239" s="231">
        <v>0</v>
      </c>
      <c r="K239" s="231">
        <v>867.77</v>
      </c>
      <c r="L239" s="231">
        <v>0</v>
      </c>
      <c r="M239" s="244">
        <v>0</v>
      </c>
      <c r="N239" s="244">
        <v>5000</v>
      </c>
    </row>
    <row r="240" spans="1:14">
      <c r="A240" s="259" t="s">
        <v>620</v>
      </c>
      <c r="B240" s="260" t="s">
        <v>944</v>
      </c>
      <c r="C240" s="231" t="s">
        <v>644</v>
      </c>
      <c r="D240" s="231" t="s">
        <v>645</v>
      </c>
      <c r="E240" s="231" t="s">
        <v>630</v>
      </c>
      <c r="F240" s="244">
        <v>7851.24</v>
      </c>
      <c r="G240" s="244">
        <v>0</v>
      </c>
      <c r="H240" s="231">
        <v>0</v>
      </c>
      <c r="I240" s="231">
        <v>0</v>
      </c>
      <c r="J240" s="231">
        <v>0</v>
      </c>
      <c r="K240" s="231">
        <v>1648.76</v>
      </c>
      <c r="L240" s="231">
        <v>0</v>
      </c>
      <c r="M240" s="244">
        <v>0</v>
      </c>
      <c r="N240" s="244">
        <v>9500</v>
      </c>
    </row>
    <row r="241" spans="1:14">
      <c r="A241" s="259" t="s">
        <v>620</v>
      </c>
      <c r="B241" s="260" t="s">
        <v>945</v>
      </c>
      <c r="C241" s="231" t="s">
        <v>644</v>
      </c>
      <c r="D241" s="231" t="s">
        <v>645</v>
      </c>
      <c r="E241" s="231" t="s">
        <v>630</v>
      </c>
      <c r="F241" s="244">
        <v>2396.69</v>
      </c>
      <c r="G241" s="244">
        <v>0</v>
      </c>
      <c r="H241" s="231">
        <v>0</v>
      </c>
      <c r="I241" s="231">
        <v>0</v>
      </c>
      <c r="J241" s="231">
        <v>0</v>
      </c>
      <c r="K241" s="231">
        <v>503.31</v>
      </c>
      <c r="L241" s="231">
        <v>0</v>
      </c>
      <c r="M241" s="244">
        <v>0</v>
      </c>
      <c r="N241" s="244">
        <v>2900</v>
      </c>
    </row>
    <row r="242" spans="1:14">
      <c r="A242" s="259" t="s">
        <v>620</v>
      </c>
      <c r="B242" s="260" t="s">
        <v>946</v>
      </c>
      <c r="C242" s="231" t="s">
        <v>644</v>
      </c>
      <c r="D242" s="231" t="s">
        <v>645</v>
      </c>
      <c r="E242" s="231" t="s">
        <v>630</v>
      </c>
      <c r="F242" s="244">
        <v>2066.12</v>
      </c>
      <c r="G242" s="244">
        <v>0</v>
      </c>
      <c r="H242" s="231">
        <v>0</v>
      </c>
      <c r="I242" s="231">
        <v>0</v>
      </c>
      <c r="J242" s="231">
        <v>0</v>
      </c>
      <c r="K242" s="231">
        <v>433.88</v>
      </c>
      <c r="L242" s="231">
        <v>0</v>
      </c>
      <c r="M242" s="244">
        <v>0</v>
      </c>
      <c r="N242" s="244">
        <v>2500</v>
      </c>
    </row>
    <row r="243" spans="1:14">
      <c r="A243" s="259" t="s">
        <v>620</v>
      </c>
      <c r="B243" s="260" t="s">
        <v>947</v>
      </c>
      <c r="C243" s="231" t="s">
        <v>644</v>
      </c>
      <c r="D243" s="231" t="s">
        <v>645</v>
      </c>
      <c r="E243" s="231" t="s">
        <v>630</v>
      </c>
      <c r="F243" s="244">
        <v>3471.07</v>
      </c>
      <c r="G243" s="244">
        <v>0</v>
      </c>
      <c r="H243" s="231">
        <v>0</v>
      </c>
      <c r="I243" s="231">
        <v>0</v>
      </c>
      <c r="J243" s="231">
        <v>0</v>
      </c>
      <c r="K243" s="231">
        <v>728.93</v>
      </c>
      <c r="L243" s="231">
        <v>0</v>
      </c>
      <c r="M243" s="244">
        <v>0</v>
      </c>
      <c r="N243" s="244">
        <v>4200</v>
      </c>
    </row>
    <row r="244" spans="1:14">
      <c r="A244" s="259" t="s">
        <v>620</v>
      </c>
      <c r="B244" s="260" t="s">
        <v>948</v>
      </c>
      <c r="C244" s="231" t="s">
        <v>644</v>
      </c>
      <c r="D244" s="231" t="s">
        <v>645</v>
      </c>
      <c r="E244" s="231" t="s">
        <v>630</v>
      </c>
      <c r="F244" s="244">
        <v>1619.83</v>
      </c>
      <c r="G244" s="244">
        <v>0</v>
      </c>
      <c r="H244" s="231">
        <v>0</v>
      </c>
      <c r="I244" s="231">
        <v>0</v>
      </c>
      <c r="J244" s="231">
        <v>0</v>
      </c>
      <c r="K244" s="231">
        <v>340.17</v>
      </c>
      <c r="L244" s="231">
        <v>0</v>
      </c>
      <c r="M244" s="244">
        <v>0</v>
      </c>
      <c r="N244" s="244">
        <v>1960</v>
      </c>
    </row>
    <row r="245" spans="1:14">
      <c r="A245" s="259" t="s">
        <v>620</v>
      </c>
      <c r="B245" s="260" t="s">
        <v>949</v>
      </c>
      <c r="C245" s="231" t="s">
        <v>644</v>
      </c>
      <c r="D245" s="231" t="s">
        <v>645</v>
      </c>
      <c r="E245" s="231" t="s">
        <v>630</v>
      </c>
      <c r="F245" s="244">
        <v>3636.36</v>
      </c>
      <c r="G245" s="244">
        <v>0</v>
      </c>
      <c r="H245" s="231">
        <v>0</v>
      </c>
      <c r="I245" s="231">
        <v>0</v>
      </c>
      <c r="J245" s="231">
        <v>0</v>
      </c>
      <c r="K245" s="231">
        <v>763.64</v>
      </c>
      <c r="L245" s="231">
        <v>0</v>
      </c>
      <c r="M245" s="244">
        <v>0</v>
      </c>
      <c r="N245" s="244">
        <v>4400</v>
      </c>
    </row>
    <row r="246" spans="1:14">
      <c r="A246" s="259" t="s">
        <v>620</v>
      </c>
      <c r="B246" s="260" t="s">
        <v>950</v>
      </c>
      <c r="C246" s="231" t="s">
        <v>644</v>
      </c>
      <c r="D246" s="231" t="s">
        <v>645</v>
      </c>
      <c r="E246" s="231" t="s">
        <v>630</v>
      </c>
      <c r="F246" s="244">
        <v>2231.4</v>
      </c>
      <c r="G246" s="244">
        <v>0</v>
      </c>
      <c r="H246" s="231">
        <v>0</v>
      </c>
      <c r="I246" s="231">
        <v>0</v>
      </c>
      <c r="J246" s="231">
        <v>0</v>
      </c>
      <c r="K246" s="231">
        <v>468.6</v>
      </c>
      <c r="L246" s="231">
        <v>0</v>
      </c>
      <c r="M246" s="244">
        <v>0</v>
      </c>
      <c r="N246" s="244">
        <v>2700</v>
      </c>
    </row>
    <row r="247" spans="1:14">
      <c r="A247" s="259" t="s">
        <v>620</v>
      </c>
      <c r="B247" s="260" t="s">
        <v>951</v>
      </c>
      <c r="C247" s="231" t="s">
        <v>644</v>
      </c>
      <c r="D247" s="231" t="s">
        <v>645</v>
      </c>
      <c r="E247" s="231" t="s">
        <v>630</v>
      </c>
      <c r="F247" s="244">
        <v>4132.2300000000005</v>
      </c>
      <c r="G247" s="244">
        <v>0</v>
      </c>
      <c r="H247" s="231">
        <v>0</v>
      </c>
      <c r="I247" s="231">
        <v>0</v>
      </c>
      <c r="J247" s="231">
        <v>0</v>
      </c>
      <c r="K247" s="231">
        <v>867.77</v>
      </c>
      <c r="L247" s="231">
        <v>0</v>
      </c>
      <c r="M247" s="244">
        <v>0</v>
      </c>
      <c r="N247" s="244">
        <v>5000</v>
      </c>
    </row>
    <row r="248" spans="1:14">
      <c r="A248" s="259" t="s">
        <v>620</v>
      </c>
      <c r="B248" s="260" t="s">
        <v>952</v>
      </c>
      <c r="C248" s="231" t="s">
        <v>644</v>
      </c>
      <c r="D248" s="231" t="s">
        <v>645</v>
      </c>
      <c r="E248" s="231" t="s">
        <v>630</v>
      </c>
      <c r="F248" s="244">
        <v>12809.91</v>
      </c>
      <c r="G248" s="244">
        <v>0</v>
      </c>
      <c r="H248" s="231">
        <v>0</v>
      </c>
      <c r="I248" s="231">
        <v>0</v>
      </c>
      <c r="J248" s="231">
        <v>0</v>
      </c>
      <c r="K248" s="231">
        <v>2690.09</v>
      </c>
      <c r="L248" s="231">
        <v>0</v>
      </c>
      <c r="M248" s="244">
        <v>0</v>
      </c>
      <c r="N248" s="244">
        <v>15500</v>
      </c>
    </row>
    <row r="249" spans="1:14">
      <c r="A249" s="259" t="s">
        <v>620</v>
      </c>
      <c r="B249" s="260" t="s">
        <v>953</v>
      </c>
      <c r="C249" s="231" t="s">
        <v>644</v>
      </c>
      <c r="D249" s="231" t="s">
        <v>645</v>
      </c>
      <c r="E249" s="231" t="s">
        <v>630</v>
      </c>
      <c r="F249" s="244">
        <v>5619.83</v>
      </c>
      <c r="G249" s="244">
        <v>0</v>
      </c>
      <c r="H249" s="231">
        <v>0</v>
      </c>
      <c r="I249" s="231">
        <v>0</v>
      </c>
      <c r="J249" s="231">
        <v>0</v>
      </c>
      <c r="K249" s="231">
        <v>1180.17</v>
      </c>
      <c r="L249" s="231">
        <v>0</v>
      </c>
      <c r="M249" s="244">
        <v>0</v>
      </c>
      <c r="N249" s="244">
        <v>6800</v>
      </c>
    </row>
    <row r="250" spans="1:14">
      <c r="A250" s="259" t="s">
        <v>620</v>
      </c>
      <c r="B250" s="260" t="s">
        <v>954</v>
      </c>
      <c r="C250" s="231" t="s">
        <v>644</v>
      </c>
      <c r="D250" s="231" t="s">
        <v>645</v>
      </c>
      <c r="E250" s="231" t="s">
        <v>630</v>
      </c>
      <c r="F250" s="244">
        <v>5785.12</v>
      </c>
      <c r="G250" s="244">
        <v>0</v>
      </c>
      <c r="H250" s="231">
        <v>0</v>
      </c>
      <c r="I250" s="231">
        <v>0</v>
      </c>
      <c r="J250" s="231">
        <v>0</v>
      </c>
      <c r="K250" s="231">
        <v>1214.8800000000001</v>
      </c>
      <c r="L250" s="231">
        <v>0</v>
      </c>
      <c r="M250" s="244">
        <v>0</v>
      </c>
      <c r="N250" s="244">
        <v>7000</v>
      </c>
    </row>
    <row r="251" spans="1:14">
      <c r="A251" s="259" t="s">
        <v>620</v>
      </c>
      <c r="B251" s="260" t="s">
        <v>955</v>
      </c>
      <c r="C251" s="231" t="s">
        <v>644</v>
      </c>
      <c r="D251" s="231" t="s">
        <v>645</v>
      </c>
      <c r="E251" s="231" t="s">
        <v>630</v>
      </c>
      <c r="F251" s="244">
        <v>9504.130000000001</v>
      </c>
      <c r="G251" s="244">
        <v>0</v>
      </c>
      <c r="H251" s="231">
        <v>0</v>
      </c>
      <c r="I251" s="231">
        <v>0</v>
      </c>
      <c r="J251" s="231">
        <v>0</v>
      </c>
      <c r="K251" s="231">
        <v>1995.87</v>
      </c>
      <c r="L251" s="231">
        <v>0</v>
      </c>
      <c r="M251" s="244">
        <v>0</v>
      </c>
      <c r="N251" s="244">
        <v>11500</v>
      </c>
    </row>
    <row r="252" spans="1:14">
      <c r="A252" s="259" t="s">
        <v>620</v>
      </c>
      <c r="B252" s="260" t="s">
        <v>956</v>
      </c>
      <c r="C252" s="231" t="s">
        <v>957</v>
      </c>
      <c r="D252" s="231" t="s">
        <v>645</v>
      </c>
      <c r="E252" s="231">
        <v>5289939</v>
      </c>
      <c r="F252" s="244">
        <v>1652.9</v>
      </c>
      <c r="G252" s="244">
        <v>0</v>
      </c>
      <c r="H252" s="231">
        <v>0</v>
      </c>
      <c r="I252" s="231">
        <v>0</v>
      </c>
      <c r="J252" s="231">
        <v>0</v>
      </c>
      <c r="K252" s="231">
        <v>347.1</v>
      </c>
      <c r="L252" s="231">
        <v>0</v>
      </c>
      <c r="M252" s="244">
        <v>0</v>
      </c>
      <c r="N252" s="244">
        <v>2000</v>
      </c>
    </row>
    <row r="253" spans="1:14">
      <c r="A253" s="259" t="s">
        <v>620</v>
      </c>
      <c r="B253" s="260" t="s">
        <v>958</v>
      </c>
      <c r="C253" s="231" t="s">
        <v>957</v>
      </c>
      <c r="D253" s="231" t="s">
        <v>645</v>
      </c>
      <c r="E253" s="231">
        <v>5289939</v>
      </c>
      <c r="F253" s="244">
        <v>2479.34</v>
      </c>
      <c r="G253" s="244">
        <v>0</v>
      </c>
      <c r="H253" s="231">
        <v>0</v>
      </c>
      <c r="I253" s="231">
        <v>0</v>
      </c>
      <c r="J253" s="231">
        <v>0</v>
      </c>
      <c r="K253" s="231">
        <v>520.66</v>
      </c>
      <c r="L253" s="231">
        <v>0</v>
      </c>
      <c r="M253" s="244">
        <v>0</v>
      </c>
      <c r="N253" s="244">
        <v>3000</v>
      </c>
    </row>
    <row r="254" spans="1:14">
      <c r="A254" s="259" t="s">
        <v>620</v>
      </c>
      <c r="B254" s="260" t="s">
        <v>959</v>
      </c>
      <c r="C254" s="231" t="s">
        <v>960</v>
      </c>
      <c r="D254" s="231" t="s">
        <v>645</v>
      </c>
      <c r="E254" s="231">
        <v>4702938</v>
      </c>
      <c r="F254" s="244">
        <v>11983.48</v>
      </c>
      <c r="G254" s="244">
        <v>0</v>
      </c>
      <c r="H254" s="231">
        <v>0</v>
      </c>
      <c r="I254" s="231">
        <v>0</v>
      </c>
      <c r="J254" s="231">
        <v>0</v>
      </c>
      <c r="K254" s="231">
        <v>2516.52</v>
      </c>
      <c r="L254" s="231">
        <v>0</v>
      </c>
      <c r="M254" s="244">
        <v>0</v>
      </c>
      <c r="N254" s="244">
        <v>14500</v>
      </c>
    </row>
    <row r="255" spans="1:14">
      <c r="A255" s="259" t="s">
        <v>620</v>
      </c>
      <c r="B255" s="260" t="s">
        <v>961</v>
      </c>
      <c r="C255" s="231" t="s">
        <v>962</v>
      </c>
      <c r="D255" s="231" t="s">
        <v>645</v>
      </c>
      <c r="E255" s="231">
        <v>705467</v>
      </c>
      <c r="F255" s="244">
        <v>4545.45</v>
      </c>
      <c r="G255" s="244">
        <v>0</v>
      </c>
      <c r="H255" s="231">
        <v>0</v>
      </c>
      <c r="I255" s="231">
        <v>0</v>
      </c>
      <c r="J255" s="231">
        <v>0</v>
      </c>
      <c r="K255" s="231">
        <v>954.55</v>
      </c>
      <c r="L255" s="231">
        <v>0</v>
      </c>
      <c r="M255" s="244">
        <v>0</v>
      </c>
      <c r="N255" s="244">
        <v>5500</v>
      </c>
    </row>
    <row r="256" spans="1:14">
      <c r="A256" s="259" t="s">
        <v>620</v>
      </c>
      <c r="B256" s="260" t="s">
        <v>963</v>
      </c>
      <c r="C256" s="231" t="s">
        <v>964</v>
      </c>
      <c r="D256" s="231" t="s">
        <v>645</v>
      </c>
      <c r="E256" s="231">
        <v>12791306</v>
      </c>
      <c r="F256" s="244">
        <v>7438.02</v>
      </c>
      <c r="G256" s="244">
        <v>0</v>
      </c>
      <c r="H256" s="231">
        <v>0</v>
      </c>
      <c r="I256" s="231">
        <v>0</v>
      </c>
      <c r="J256" s="231">
        <v>0</v>
      </c>
      <c r="K256" s="231">
        <v>1561.98</v>
      </c>
      <c r="L256" s="231">
        <v>0</v>
      </c>
      <c r="M256" s="244">
        <v>0</v>
      </c>
      <c r="N256" s="244">
        <v>9000</v>
      </c>
    </row>
    <row r="257" spans="1:14">
      <c r="A257" s="259" t="s">
        <v>621</v>
      </c>
      <c r="B257" s="260" t="s">
        <v>965</v>
      </c>
      <c r="C257" s="231" t="s">
        <v>644</v>
      </c>
      <c r="D257" s="231" t="s">
        <v>645</v>
      </c>
      <c r="E257" s="231" t="s">
        <v>630</v>
      </c>
      <c r="F257" s="244">
        <v>4016.53</v>
      </c>
      <c r="G257" s="244">
        <v>0</v>
      </c>
      <c r="H257" s="231">
        <v>0</v>
      </c>
      <c r="I257" s="231">
        <v>0</v>
      </c>
      <c r="J257" s="231">
        <v>0</v>
      </c>
      <c r="K257" s="231">
        <v>843.47</v>
      </c>
      <c r="L257" s="231">
        <v>0</v>
      </c>
      <c r="M257" s="244">
        <v>0</v>
      </c>
      <c r="N257" s="244">
        <v>4860</v>
      </c>
    </row>
    <row r="258" spans="1:14">
      <c r="A258" s="259" t="s">
        <v>621</v>
      </c>
      <c r="B258" s="260" t="s">
        <v>966</v>
      </c>
      <c r="C258" s="231" t="s">
        <v>644</v>
      </c>
      <c r="D258" s="231" t="s">
        <v>645</v>
      </c>
      <c r="E258" s="231" t="s">
        <v>630</v>
      </c>
      <c r="F258" s="244">
        <v>10330.58</v>
      </c>
      <c r="G258" s="244">
        <v>0</v>
      </c>
      <c r="H258" s="231">
        <v>0</v>
      </c>
      <c r="I258" s="231">
        <v>0</v>
      </c>
      <c r="J258" s="231">
        <v>0</v>
      </c>
      <c r="K258" s="231">
        <v>2169.42</v>
      </c>
      <c r="L258" s="231">
        <v>0</v>
      </c>
      <c r="M258" s="244">
        <v>0</v>
      </c>
      <c r="N258" s="244">
        <v>12500</v>
      </c>
    </row>
    <row r="259" spans="1:14">
      <c r="A259" s="259" t="s">
        <v>621</v>
      </c>
      <c r="B259" s="260" t="s">
        <v>967</v>
      </c>
      <c r="C259" s="231" t="s">
        <v>644</v>
      </c>
      <c r="D259" s="231" t="s">
        <v>645</v>
      </c>
      <c r="E259" s="231" t="s">
        <v>630</v>
      </c>
      <c r="F259" s="244">
        <v>2892.56</v>
      </c>
      <c r="G259" s="244">
        <v>0</v>
      </c>
      <c r="H259" s="231">
        <v>0</v>
      </c>
      <c r="I259" s="231">
        <v>0</v>
      </c>
      <c r="J259" s="231">
        <v>0</v>
      </c>
      <c r="K259" s="231">
        <v>607.44000000000005</v>
      </c>
      <c r="L259" s="231">
        <v>0</v>
      </c>
      <c r="M259" s="244">
        <v>0</v>
      </c>
      <c r="N259" s="244">
        <v>3500</v>
      </c>
    </row>
    <row r="260" spans="1:14">
      <c r="A260" s="259" t="s">
        <v>621</v>
      </c>
      <c r="B260" s="260" t="s">
        <v>968</v>
      </c>
      <c r="C260" s="231" t="s">
        <v>644</v>
      </c>
      <c r="D260" s="231" t="s">
        <v>645</v>
      </c>
      <c r="E260" s="231" t="s">
        <v>630</v>
      </c>
      <c r="F260" s="244">
        <v>3884.3</v>
      </c>
      <c r="G260" s="244">
        <v>0</v>
      </c>
      <c r="H260" s="231">
        <v>0</v>
      </c>
      <c r="I260" s="231">
        <v>0</v>
      </c>
      <c r="J260" s="231">
        <v>0</v>
      </c>
      <c r="K260" s="231">
        <v>815.7</v>
      </c>
      <c r="L260" s="231">
        <v>0</v>
      </c>
      <c r="M260" s="244">
        <v>0</v>
      </c>
      <c r="N260" s="244">
        <v>4700</v>
      </c>
    </row>
    <row r="261" spans="1:14">
      <c r="A261" s="259" t="s">
        <v>621</v>
      </c>
      <c r="B261" s="260" t="s">
        <v>969</v>
      </c>
      <c r="C261" s="231" t="s">
        <v>644</v>
      </c>
      <c r="D261" s="231" t="s">
        <v>645</v>
      </c>
      <c r="E261" s="231" t="s">
        <v>630</v>
      </c>
      <c r="F261" s="244">
        <v>4338.84</v>
      </c>
      <c r="G261" s="244">
        <v>0</v>
      </c>
      <c r="H261" s="231">
        <v>0</v>
      </c>
      <c r="I261" s="231">
        <v>0</v>
      </c>
      <c r="J261" s="231">
        <v>0</v>
      </c>
      <c r="K261" s="231">
        <v>911.16</v>
      </c>
      <c r="L261" s="231">
        <v>0</v>
      </c>
      <c r="M261" s="244">
        <v>0</v>
      </c>
      <c r="N261" s="244">
        <v>5250</v>
      </c>
    </row>
    <row r="262" spans="1:14">
      <c r="A262" s="259" t="s">
        <v>621</v>
      </c>
      <c r="B262" s="260" t="s">
        <v>970</v>
      </c>
      <c r="C262" s="231" t="s">
        <v>971</v>
      </c>
      <c r="D262" s="231" t="s">
        <v>645</v>
      </c>
      <c r="E262" s="231">
        <v>4550221</v>
      </c>
      <c r="F262" s="244">
        <v>7438.02</v>
      </c>
      <c r="G262" s="244">
        <v>0</v>
      </c>
      <c r="H262" s="231">
        <v>0</v>
      </c>
      <c r="I262" s="231">
        <v>0</v>
      </c>
      <c r="J262" s="231">
        <v>0</v>
      </c>
      <c r="K262" s="231">
        <v>1561.98</v>
      </c>
      <c r="L262" s="231">
        <v>0</v>
      </c>
      <c r="M262" s="244">
        <v>0</v>
      </c>
      <c r="N262" s="244">
        <v>9000</v>
      </c>
    </row>
    <row r="263" spans="1:14">
      <c r="A263" s="259" t="s">
        <v>621</v>
      </c>
      <c r="B263" s="260" t="s">
        <v>972</v>
      </c>
      <c r="C263" s="231" t="s">
        <v>973</v>
      </c>
      <c r="D263" s="231" t="s">
        <v>645</v>
      </c>
      <c r="E263" s="231">
        <v>50009082</v>
      </c>
      <c r="F263" s="244">
        <v>9752.07</v>
      </c>
      <c r="G263" s="244">
        <v>0</v>
      </c>
      <c r="H263" s="231">
        <v>0</v>
      </c>
      <c r="I263" s="231">
        <v>0</v>
      </c>
      <c r="J263" s="231">
        <v>0</v>
      </c>
      <c r="K263" s="231">
        <v>2047.93</v>
      </c>
      <c r="L263" s="231">
        <v>0</v>
      </c>
      <c r="M263" s="244">
        <v>0</v>
      </c>
      <c r="N263" s="244">
        <v>11800</v>
      </c>
    </row>
    <row r="264" spans="1:14">
      <c r="A264" s="259" t="s">
        <v>621</v>
      </c>
      <c r="B264" s="260" t="s">
        <v>974</v>
      </c>
      <c r="C264" s="231" t="s">
        <v>975</v>
      </c>
      <c r="D264" s="231" t="s">
        <v>645</v>
      </c>
      <c r="E264" s="231">
        <v>46800312</v>
      </c>
      <c r="F264" s="244">
        <v>9752.07</v>
      </c>
      <c r="G264" s="244">
        <v>0</v>
      </c>
      <c r="H264" s="231">
        <v>0</v>
      </c>
      <c r="I264" s="231">
        <v>0</v>
      </c>
      <c r="J264" s="231">
        <v>0</v>
      </c>
      <c r="K264" s="231">
        <v>2047.93</v>
      </c>
      <c r="L264" s="231">
        <v>0</v>
      </c>
      <c r="M264" s="244">
        <v>0</v>
      </c>
      <c r="N264" s="244">
        <v>11800</v>
      </c>
    </row>
    <row r="265" spans="1:14">
      <c r="A265" s="259" t="s">
        <v>621</v>
      </c>
      <c r="B265" s="260" t="s">
        <v>976</v>
      </c>
      <c r="C265" s="231" t="s">
        <v>977</v>
      </c>
      <c r="D265" s="231" t="s">
        <v>645</v>
      </c>
      <c r="E265" s="231">
        <v>20399563</v>
      </c>
      <c r="F265" s="244">
        <v>9752.07</v>
      </c>
      <c r="G265" s="244">
        <v>0</v>
      </c>
      <c r="H265" s="231">
        <v>0</v>
      </c>
      <c r="I265" s="231">
        <v>0</v>
      </c>
      <c r="J265" s="231">
        <v>0</v>
      </c>
      <c r="K265" s="231">
        <v>2047.93</v>
      </c>
      <c r="L265" s="231">
        <v>0</v>
      </c>
      <c r="M265" s="244">
        <v>0</v>
      </c>
      <c r="N265" s="244">
        <v>11800</v>
      </c>
    </row>
    <row r="266" spans="1:14">
      <c r="A266" s="259" t="s">
        <v>621</v>
      </c>
      <c r="B266" s="260" t="s">
        <v>978</v>
      </c>
      <c r="C266" s="231" t="s">
        <v>979</v>
      </c>
      <c r="D266" s="231" t="s">
        <v>645</v>
      </c>
      <c r="E266" s="231">
        <v>21925869</v>
      </c>
      <c r="F266" s="244">
        <v>4628.1000000000004</v>
      </c>
      <c r="G266" s="244">
        <v>0</v>
      </c>
      <c r="H266" s="231">
        <v>0</v>
      </c>
      <c r="I266" s="231">
        <v>0</v>
      </c>
      <c r="J266" s="231">
        <v>0</v>
      </c>
      <c r="K266" s="231">
        <v>971.9</v>
      </c>
      <c r="L266" s="231">
        <v>0</v>
      </c>
      <c r="M266" s="244">
        <v>0</v>
      </c>
      <c r="N266" s="244">
        <v>5600</v>
      </c>
    </row>
    <row r="267" spans="1:14">
      <c r="A267" s="259" t="s">
        <v>621</v>
      </c>
      <c r="B267" s="260" t="s">
        <v>980</v>
      </c>
      <c r="C267" s="231" t="s">
        <v>981</v>
      </c>
      <c r="D267" s="231" t="s">
        <v>645</v>
      </c>
      <c r="E267" s="231">
        <v>14728351</v>
      </c>
      <c r="F267" s="244">
        <v>6776.86</v>
      </c>
      <c r="G267" s="244">
        <v>0</v>
      </c>
      <c r="H267" s="231">
        <v>0</v>
      </c>
      <c r="I267" s="231">
        <v>0</v>
      </c>
      <c r="J267" s="231">
        <v>0</v>
      </c>
      <c r="K267" s="231">
        <v>1423.14</v>
      </c>
      <c r="L267" s="231">
        <v>0</v>
      </c>
      <c r="M267" s="244">
        <v>0</v>
      </c>
      <c r="N267" s="244">
        <v>8200</v>
      </c>
    </row>
    <row r="268" spans="1:14">
      <c r="A268" s="259" t="s">
        <v>621</v>
      </c>
      <c r="B268" s="260" t="s">
        <v>982</v>
      </c>
      <c r="C268" s="231" t="s">
        <v>983</v>
      </c>
      <c r="D268" s="231" t="s">
        <v>645</v>
      </c>
      <c r="E268" s="231">
        <v>29767433</v>
      </c>
      <c r="F268" s="244">
        <v>22727.27</v>
      </c>
      <c r="G268" s="244">
        <v>0</v>
      </c>
      <c r="H268" s="231">
        <v>0</v>
      </c>
      <c r="I268" s="231">
        <v>0</v>
      </c>
      <c r="J268" s="231">
        <v>0</v>
      </c>
      <c r="K268" s="231">
        <v>4772.7300000000005</v>
      </c>
      <c r="L268" s="231">
        <v>0</v>
      </c>
      <c r="M268" s="244">
        <v>0</v>
      </c>
      <c r="N268" s="244">
        <v>27500</v>
      </c>
    </row>
    <row r="269" spans="1:14">
      <c r="A269" s="259" t="s">
        <v>621</v>
      </c>
      <c r="B269" s="260" t="s">
        <v>984</v>
      </c>
      <c r="C269" s="231" t="s">
        <v>985</v>
      </c>
      <c r="D269" s="231" t="s">
        <v>645</v>
      </c>
      <c r="E269" s="231">
        <v>10138957</v>
      </c>
      <c r="F269" s="244">
        <v>3140.5</v>
      </c>
      <c r="G269" s="244">
        <v>0</v>
      </c>
      <c r="H269" s="231">
        <v>0</v>
      </c>
      <c r="I269" s="231">
        <v>0</v>
      </c>
      <c r="J269" s="231">
        <v>0</v>
      </c>
      <c r="K269" s="231">
        <v>659.5</v>
      </c>
      <c r="L269" s="231">
        <v>0</v>
      </c>
      <c r="M269" s="244">
        <v>0</v>
      </c>
      <c r="N269" s="244">
        <v>3800</v>
      </c>
    </row>
    <row r="270" spans="1:14">
      <c r="A270" s="259" t="s">
        <v>621</v>
      </c>
      <c r="B270" s="260" t="s">
        <v>986</v>
      </c>
      <c r="C270" s="231" t="s">
        <v>671</v>
      </c>
      <c r="D270" s="231" t="s">
        <v>645</v>
      </c>
      <c r="E270" s="231">
        <v>26542077</v>
      </c>
      <c r="F270" s="244">
        <v>8677.68</v>
      </c>
      <c r="G270" s="244">
        <v>0</v>
      </c>
      <c r="H270" s="231">
        <v>0</v>
      </c>
      <c r="I270" s="231">
        <v>0</v>
      </c>
      <c r="J270" s="231">
        <v>0</v>
      </c>
      <c r="K270" s="231">
        <v>1822.32</v>
      </c>
      <c r="L270" s="231">
        <v>0</v>
      </c>
      <c r="M270" s="244">
        <v>0</v>
      </c>
      <c r="N270" s="244">
        <v>10500</v>
      </c>
    </row>
    <row r="271" spans="1:14">
      <c r="A271" s="259" t="s">
        <v>621</v>
      </c>
      <c r="B271" s="260" t="s">
        <v>987</v>
      </c>
      <c r="C271" s="231" t="s">
        <v>988</v>
      </c>
      <c r="D271" s="231" t="s">
        <v>645</v>
      </c>
      <c r="E271" s="231">
        <v>25790890</v>
      </c>
      <c r="F271" s="244">
        <v>4132.2300000000005</v>
      </c>
      <c r="G271" s="244">
        <v>0</v>
      </c>
      <c r="H271" s="231">
        <v>0</v>
      </c>
      <c r="I271" s="231">
        <v>0</v>
      </c>
      <c r="J271" s="231">
        <v>0</v>
      </c>
      <c r="K271" s="231">
        <v>867.77</v>
      </c>
      <c r="L271" s="231">
        <v>0</v>
      </c>
      <c r="M271" s="244">
        <v>0</v>
      </c>
      <c r="N271" s="244">
        <v>5000</v>
      </c>
    </row>
    <row r="272" spans="1:14">
      <c r="A272" s="259" t="s">
        <v>621</v>
      </c>
      <c r="B272" s="260" t="s">
        <v>989</v>
      </c>
      <c r="C272" s="231" t="s">
        <v>689</v>
      </c>
      <c r="D272" s="231" t="s">
        <v>690</v>
      </c>
      <c r="E272" s="231">
        <v>30590354798</v>
      </c>
      <c r="F272" s="244">
        <v>23553.72</v>
      </c>
      <c r="G272" s="244">
        <v>0</v>
      </c>
      <c r="H272" s="231">
        <v>0</v>
      </c>
      <c r="I272" s="231">
        <v>0</v>
      </c>
      <c r="J272" s="231">
        <v>0</v>
      </c>
      <c r="K272" s="231">
        <v>4946.28</v>
      </c>
      <c r="L272" s="231">
        <v>0</v>
      </c>
      <c r="M272" s="244">
        <v>0</v>
      </c>
      <c r="N272" s="244">
        <v>28500</v>
      </c>
    </row>
    <row r="273" spans="1:14">
      <c r="A273" s="259" t="s">
        <v>621</v>
      </c>
      <c r="B273" s="260" t="s">
        <v>990</v>
      </c>
      <c r="C273" s="231" t="s">
        <v>991</v>
      </c>
      <c r="D273" s="231" t="s">
        <v>645</v>
      </c>
      <c r="E273" s="231">
        <v>22990821</v>
      </c>
      <c r="F273" s="244">
        <v>6611.57</v>
      </c>
      <c r="G273" s="244">
        <v>0</v>
      </c>
      <c r="H273" s="231">
        <v>0</v>
      </c>
      <c r="I273" s="231">
        <v>0</v>
      </c>
      <c r="J273" s="231">
        <v>0</v>
      </c>
      <c r="K273" s="231">
        <v>1388.43</v>
      </c>
      <c r="L273" s="231">
        <v>0</v>
      </c>
      <c r="M273" s="244">
        <v>0</v>
      </c>
      <c r="N273" s="244">
        <v>8000</v>
      </c>
    </row>
    <row r="274" spans="1:14">
      <c r="A274" s="259" t="s">
        <v>621</v>
      </c>
      <c r="B274" s="260" t="s">
        <v>992</v>
      </c>
      <c r="C274" s="231" t="s">
        <v>993</v>
      </c>
      <c r="D274" s="231" t="s">
        <v>645</v>
      </c>
      <c r="E274" s="231">
        <v>23103620</v>
      </c>
      <c r="F274" s="244">
        <v>6198.34</v>
      </c>
      <c r="G274" s="244">
        <v>0</v>
      </c>
      <c r="H274" s="231">
        <v>0</v>
      </c>
      <c r="I274" s="231">
        <v>0</v>
      </c>
      <c r="J274" s="231">
        <v>0</v>
      </c>
      <c r="K274" s="231">
        <v>1301.6600000000001</v>
      </c>
      <c r="L274" s="231">
        <v>0</v>
      </c>
      <c r="M274" s="244">
        <v>0</v>
      </c>
      <c r="N274" s="244">
        <v>7500</v>
      </c>
    </row>
    <row r="275" spans="1:14">
      <c r="A275" s="259" t="s">
        <v>622</v>
      </c>
      <c r="B275" s="260" t="s">
        <v>994</v>
      </c>
      <c r="C275" s="231" t="s">
        <v>644</v>
      </c>
      <c r="D275" s="231" t="s">
        <v>645</v>
      </c>
      <c r="E275" s="231" t="s">
        <v>630</v>
      </c>
      <c r="F275" s="244">
        <v>6859.5</v>
      </c>
      <c r="G275" s="244">
        <v>0</v>
      </c>
      <c r="H275" s="231">
        <v>0</v>
      </c>
      <c r="I275" s="231">
        <v>0</v>
      </c>
      <c r="J275" s="231">
        <v>0</v>
      </c>
      <c r="K275" s="231">
        <v>1440.5</v>
      </c>
      <c r="L275" s="231">
        <v>0</v>
      </c>
      <c r="M275" s="244">
        <v>0</v>
      </c>
      <c r="N275" s="244">
        <v>8300</v>
      </c>
    </row>
    <row r="276" spans="1:14">
      <c r="A276" s="259" t="s">
        <v>622</v>
      </c>
      <c r="B276" s="260" t="s">
        <v>995</v>
      </c>
      <c r="C276" s="231" t="s">
        <v>644</v>
      </c>
      <c r="D276" s="231" t="s">
        <v>645</v>
      </c>
      <c r="E276" s="231" t="s">
        <v>630</v>
      </c>
      <c r="F276" s="244">
        <v>7603.31</v>
      </c>
      <c r="G276" s="244">
        <v>0</v>
      </c>
      <c r="H276" s="231">
        <v>0</v>
      </c>
      <c r="I276" s="231">
        <v>0</v>
      </c>
      <c r="J276" s="231">
        <v>0</v>
      </c>
      <c r="K276" s="231">
        <v>1596.69</v>
      </c>
      <c r="L276" s="231">
        <v>0</v>
      </c>
      <c r="M276" s="244">
        <v>0</v>
      </c>
      <c r="N276" s="244">
        <v>9200</v>
      </c>
    </row>
    <row r="277" spans="1:14">
      <c r="A277" s="259" t="s">
        <v>622</v>
      </c>
      <c r="B277" s="260" t="s">
        <v>996</v>
      </c>
      <c r="C277" s="231" t="s">
        <v>644</v>
      </c>
      <c r="D277" s="231" t="s">
        <v>645</v>
      </c>
      <c r="E277" s="231" t="s">
        <v>630</v>
      </c>
      <c r="F277" s="244">
        <v>4462.8100000000004</v>
      </c>
      <c r="G277" s="244">
        <v>0</v>
      </c>
      <c r="H277" s="231">
        <v>0</v>
      </c>
      <c r="I277" s="231">
        <v>0</v>
      </c>
      <c r="J277" s="231">
        <v>0</v>
      </c>
      <c r="K277" s="231">
        <v>937.19</v>
      </c>
      <c r="L277" s="231">
        <v>0</v>
      </c>
      <c r="M277" s="244">
        <v>0</v>
      </c>
      <c r="N277" s="244">
        <v>5400</v>
      </c>
    </row>
    <row r="278" spans="1:14">
      <c r="A278" s="259" t="s">
        <v>622</v>
      </c>
      <c r="B278" s="260" t="s">
        <v>997</v>
      </c>
      <c r="C278" s="231" t="s">
        <v>644</v>
      </c>
      <c r="D278" s="231" t="s">
        <v>645</v>
      </c>
      <c r="E278" s="231" t="s">
        <v>630</v>
      </c>
      <c r="F278" s="244">
        <v>6942.15</v>
      </c>
      <c r="G278" s="244">
        <v>0</v>
      </c>
      <c r="H278" s="231">
        <v>0</v>
      </c>
      <c r="I278" s="231">
        <v>0</v>
      </c>
      <c r="J278" s="231">
        <v>0</v>
      </c>
      <c r="K278" s="231">
        <v>1457.85</v>
      </c>
      <c r="L278" s="231">
        <v>0</v>
      </c>
      <c r="M278" s="244">
        <v>0</v>
      </c>
      <c r="N278" s="244">
        <v>8400</v>
      </c>
    </row>
    <row r="279" spans="1:14">
      <c r="A279" s="259" t="s">
        <v>622</v>
      </c>
      <c r="B279" s="260" t="s">
        <v>998</v>
      </c>
      <c r="C279" s="231" t="s">
        <v>644</v>
      </c>
      <c r="D279" s="231" t="s">
        <v>645</v>
      </c>
      <c r="E279" s="231" t="s">
        <v>630</v>
      </c>
      <c r="F279" s="244">
        <v>1900.83</v>
      </c>
      <c r="G279" s="244">
        <v>0</v>
      </c>
      <c r="H279" s="231">
        <v>0</v>
      </c>
      <c r="I279" s="231">
        <v>0</v>
      </c>
      <c r="J279" s="231">
        <v>0</v>
      </c>
      <c r="K279" s="231">
        <v>399.17</v>
      </c>
      <c r="L279" s="231">
        <v>0</v>
      </c>
      <c r="M279" s="244">
        <v>0</v>
      </c>
      <c r="N279" s="244">
        <v>2300</v>
      </c>
    </row>
    <row r="280" spans="1:14">
      <c r="A280" s="259" t="s">
        <v>622</v>
      </c>
      <c r="B280" s="260" t="s">
        <v>999</v>
      </c>
      <c r="C280" s="231" t="s">
        <v>644</v>
      </c>
      <c r="D280" s="231" t="s">
        <v>645</v>
      </c>
      <c r="E280" s="231" t="s">
        <v>630</v>
      </c>
      <c r="F280" s="244">
        <v>6198.35</v>
      </c>
      <c r="G280" s="244">
        <v>0</v>
      </c>
      <c r="H280" s="231">
        <v>0</v>
      </c>
      <c r="I280" s="231">
        <v>0</v>
      </c>
      <c r="J280" s="231">
        <v>0</v>
      </c>
      <c r="K280" s="231">
        <v>1301.6500000000001</v>
      </c>
      <c r="L280" s="231">
        <v>0</v>
      </c>
      <c r="M280" s="244">
        <v>0</v>
      </c>
      <c r="N280" s="244">
        <v>7500</v>
      </c>
    </row>
    <row r="281" spans="1:14">
      <c r="A281" s="259" t="s">
        <v>622</v>
      </c>
      <c r="B281" s="260" t="s">
        <v>1000</v>
      </c>
      <c r="C281" s="231" t="s">
        <v>644</v>
      </c>
      <c r="D281" s="231" t="s">
        <v>645</v>
      </c>
      <c r="E281" s="231" t="s">
        <v>630</v>
      </c>
      <c r="F281" s="244">
        <v>7438.02</v>
      </c>
      <c r="G281" s="244">
        <v>0</v>
      </c>
      <c r="H281" s="231">
        <v>0</v>
      </c>
      <c r="I281" s="231">
        <v>0</v>
      </c>
      <c r="J281" s="231">
        <v>0</v>
      </c>
      <c r="K281" s="231">
        <v>1561.98</v>
      </c>
      <c r="L281" s="231">
        <v>0</v>
      </c>
      <c r="M281" s="244">
        <v>0</v>
      </c>
      <c r="N281" s="244">
        <v>9000</v>
      </c>
    </row>
    <row r="282" spans="1:14">
      <c r="A282" s="259" t="s">
        <v>622</v>
      </c>
      <c r="B282" s="260" t="s">
        <v>1001</v>
      </c>
      <c r="C282" s="231" t="s">
        <v>644</v>
      </c>
      <c r="D282" s="231" t="s">
        <v>645</v>
      </c>
      <c r="E282" s="231" t="s">
        <v>630</v>
      </c>
      <c r="F282" s="244">
        <v>6528.93</v>
      </c>
      <c r="G282" s="244">
        <v>0</v>
      </c>
      <c r="H282" s="231">
        <v>0</v>
      </c>
      <c r="I282" s="231">
        <v>0</v>
      </c>
      <c r="J282" s="231">
        <v>0</v>
      </c>
      <c r="K282" s="231">
        <v>1371.07</v>
      </c>
      <c r="L282" s="231">
        <v>0</v>
      </c>
      <c r="M282" s="244">
        <v>0</v>
      </c>
      <c r="N282" s="244">
        <v>7900</v>
      </c>
    </row>
    <row r="283" spans="1:14">
      <c r="A283" s="259" t="s">
        <v>622</v>
      </c>
      <c r="B283" s="260" t="s">
        <v>1002</v>
      </c>
      <c r="C283" s="231" t="s">
        <v>644</v>
      </c>
      <c r="D283" s="231" t="s">
        <v>645</v>
      </c>
      <c r="E283" s="231" t="s">
        <v>630</v>
      </c>
      <c r="F283" s="244">
        <v>4132.2300000000005</v>
      </c>
      <c r="G283" s="244">
        <v>0</v>
      </c>
      <c r="H283" s="231">
        <v>0</v>
      </c>
      <c r="I283" s="231">
        <v>0</v>
      </c>
      <c r="J283" s="231">
        <v>0</v>
      </c>
      <c r="K283" s="231">
        <v>867.77</v>
      </c>
      <c r="L283" s="231">
        <v>0</v>
      </c>
      <c r="M283" s="244">
        <v>0</v>
      </c>
      <c r="N283" s="244">
        <v>5000</v>
      </c>
    </row>
    <row r="284" spans="1:14">
      <c r="A284" s="259" t="s">
        <v>622</v>
      </c>
      <c r="B284" s="260" t="s">
        <v>1003</v>
      </c>
      <c r="C284" s="231" t="s">
        <v>644</v>
      </c>
      <c r="D284" s="231" t="s">
        <v>645</v>
      </c>
      <c r="E284" s="231" t="s">
        <v>630</v>
      </c>
      <c r="F284" s="244">
        <v>1157.02</v>
      </c>
      <c r="G284" s="244">
        <v>0</v>
      </c>
      <c r="H284" s="231">
        <v>0</v>
      </c>
      <c r="I284" s="231">
        <v>0</v>
      </c>
      <c r="J284" s="231">
        <v>0</v>
      </c>
      <c r="K284" s="231">
        <v>242.98</v>
      </c>
      <c r="L284" s="231">
        <v>0</v>
      </c>
      <c r="M284" s="244">
        <v>0</v>
      </c>
      <c r="N284" s="244">
        <v>1400</v>
      </c>
    </row>
    <row r="285" spans="1:14">
      <c r="A285" s="259" t="s">
        <v>622</v>
      </c>
      <c r="B285" s="260" t="s">
        <v>1004</v>
      </c>
      <c r="C285" s="231" t="s">
        <v>644</v>
      </c>
      <c r="D285" s="231" t="s">
        <v>645</v>
      </c>
      <c r="E285" s="231" t="s">
        <v>630</v>
      </c>
      <c r="F285" s="244">
        <v>2231.4</v>
      </c>
      <c r="G285" s="244">
        <v>0</v>
      </c>
      <c r="H285" s="231">
        <v>0</v>
      </c>
      <c r="I285" s="231">
        <v>0</v>
      </c>
      <c r="J285" s="231">
        <v>0</v>
      </c>
      <c r="K285" s="231">
        <v>468.6</v>
      </c>
      <c r="L285" s="231">
        <v>0</v>
      </c>
      <c r="M285" s="244">
        <v>0</v>
      </c>
      <c r="N285" s="244">
        <v>2700</v>
      </c>
    </row>
    <row r="286" spans="1:14">
      <c r="A286" s="259" t="s">
        <v>622</v>
      </c>
      <c r="B286" s="260" t="s">
        <v>1005</v>
      </c>
      <c r="C286" s="231" t="s">
        <v>644</v>
      </c>
      <c r="D286" s="231" t="s">
        <v>645</v>
      </c>
      <c r="E286" s="231" t="s">
        <v>630</v>
      </c>
      <c r="F286" s="244">
        <v>5619.83</v>
      </c>
      <c r="G286" s="244">
        <v>0</v>
      </c>
      <c r="H286" s="231">
        <v>0</v>
      </c>
      <c r="I286" s="231">
        <v>0</v>
      </c>
      <c r="J286" s="231">
        <v>0</v>
      </c>
      <c r="K286" s="231">
        <v>1180.17</v>
      </c>
      <c r="L286" s="231">
        <v>0</v>
      </c>
      <c r="M286" s="244">
        <v>0</v>
      </c>
      <c r="N286" s="244">
        <v>6800</v>
      </c>
    </row>
    <row r="287" spans="1:14">
      <c r="A287" s="259" t="s">
        <v>622</v>
      </c>
      <c r="B287" s="260" t="s">
        <v>1006</v>
      </c>
      <c r="C287" s="231" t="s">
        <v>644</v>
      </c>
      <c r="D287" s="231" t="s">
        <v>645</v>
      </c>
      <c r="E287" s="231" t="s">
        <v>630</v>
      </c>
      <c r="F287" s="244">
        <v>4958.68</v>
      </c>
      <c r="G287" s="244">
        <v>0</v>
      </c>
      <c r="H287" s="231">
        <v>0</v>
      </c>
      <c r="I287" s="231">
        <v>0</v>
      </c>
      <c r="J287" s="231">
        <v>0</v>
      </c>
      <c r="K287" s="231">
        <v>1041.32</v>
      </c>
      <c r="L287" s="231">
        <v>0</v>
      </c>
      <c r="M287" s="244">
        <v>0</v>
      </c>
      <c r="N287" s="244">
        <v>6000</v>
      </c>
    </row>
    <row r="288" spans="1:14">
      <c r="A288" s="259" t="s">
        <v>622</v>
      </c>
      <c r="B288" s="260" t="s">
        <v>1007</v>
      </c>
      <c r="C288" s="231" t="s">
        <v>644</v>
      </c>
      <c r="D288" s="231" t="s">
        <v>645</v>
      </c>
      <c r="E288" s="231" t="s">
        <v>630</v>
      </c>
      <c r="F288" s="244">
        <v>7851.24</v>
      </c>
      <c r="G288" s="244">
        <v>0</v>
      </c>
      <c r="H288" s="231">
        <v>0</v>
      </c>
      <c r="I288" s="231">
        <v>0</v>
      </c>
      <c r="J288" s="231">
        <v>0</v>
      </c>
      <c r="K288" s="231">
        <v>1648.76</v>
      </c>
      <c r="L288" s="231">
        <v>0</v>
      </c>
      <c r="M288" s="244">
        <v>0</v>
      </c>
      <c r="N288" s="244">
        <v>9500</v>
      </c>
    </row>
    <row r="289" spans="1:14">
      <c r="A289" s="259" t="s">
        <v>622</v>
      </c>
      <c r="B289" s="260" t="s">
        <v>1008</v>
      </c>
      <c r="C289" s="231" t="s">
        <v>644</v>
      </c>
      <c r="D289" s="231" t="s">
        <v>645</v>
      </c>
      <c r="E289" s="231" t="s">
        <v>630</v>
      </c>
      <c r="F289" s="244">
        <v>9752.07</v>
      </c>
      <c r="G289" s="244">
        <v>0</v>
      </c>
      <c r="H289" s="231">
        <v>0</v>
      </c>
      <c r="I289" s="231">
        <v>0</v>
      </c>
      <c r="J289" s="231">
        <v>0</v>
      </c>
      <c r="K289" s="231">
        <v>2047.93</v>
      </c>
      <c r="L289" s="231">
        <v>0</v>
      </c>
      <c r="M289" s="244">
        <v>0</v>
      </c>
      <c r="N289" s="244">
        <v>11800</v>
      </c>
    </row>
    <row r="290" spans="1:14">
      <c r="A290" s="259" t="s">
        <v>622</v>
      </c>
      <c r="B290" s="260" t="s">
        <v>1009</v>
      </c>
      <c r="C290" s="231" t="s">
        <v>644</v>
      </c>
      <c r="D290" s="231" t="s">
        <v>645</v>
      </c>
      <c r="E290" s="231" t="s">
        <v>630</v>
      </c>
      <c r="F290" s="244">
        <v>1239.67</v>
      </c>
      <c r="G290" s="244">
        <v>0</v>
      </c>
      <c r="H290" s="231">
        <v>0</v>
      </c>
      <c r="I290" s="231">
        <v>0</v>
      </c>
      <c r="J290" s="231">
        <v>0</v>
      </c>
      <c r="K290" s="231">
        <v>260.33</v>
      </c>
      <c r="L290" s="231">
        <v>0</v>
      </c>
      <c r="M290" s="244">
        <v>0</v>
      </c>
      <c r="N290" s="244">
        <v>1500</v>
      </c>
    </row>
    <row r="291" spans="1:14">
      <c r="A291" s="259" t="s">
        <v>622</v>
      </c>
      <c r="B291" s="260" t="s">
        <v>1010</v>
      </c>
      <c r="C291" s="231" t="s">
        <v>658</v>
      </c>
      <c r="D291" s="231" t="s">
        <v>659</v>
      </c>
      <c r="E291" s="231">
        <v>30522428163</v>
      </c>
      <c r="F291" s="244">
        <v>-13667.1</v>
      </c>
      <c r="G291" s="244">
        <v>0</v>
      </c>
      <c r="H291" s="231">
        <v>0</v>
      </c>
      <c r="I291" s="231">
        <v>0</v>
      </c>
      <c r="J291" s="231">
        <v>0</v>
      </c>
      <c r="K291" s="231">
        <v>-2870.09</v>
      </c>
      <c r="L291" s="231">
        <v>0</v>
      </c>
      <c r="M291" s="244">
        <v>0</v>
      </c>
      <c r="N291" s="244">
        <v>-16537.189999999999</v>
      </c>
    </row>
    <row r="292" spans="1:14">
      <c r="A292" s="259" t="s">
        <v>622</v>
      </c>
      <c r="B292" s="260" t="s">
        <v>1011</v>
      </c>
      <c r="C292" s="231" t="s">
        <v>658</v>
      </c>
      <c r="D292" s="231" t="s">
        <v>659</v>
      </c>
      <c r="E292" s="231">
        <v>30522428163</v>
      </c>
      <c r="F292" s="244">
        <v>-6831.6</v>
      </c>
      <c r="G292" s="244">
        <v>0</v>
      </c>
      <c r="H292" s="231">
        <v>0</v>
      </c>
      <c r="I292" s="231">
        <v>0</v>
      </c>
      <c r="J292" s="231">
        <v>0</v>
      </c>
      <c r="K292" s="231">
        <v>-1434.64</v>
      </c>
      <c r="L292" s="231">
        <v>0</v>
      </c>
      <c r="M292" s="244">
        <v>0</v>
      </c>
      <c r="N292" s="244">
        <v>-8266.24</v>
      </c>
    </row>
    <row r="293" spans="1:14">
      <c r="A293" s="259" t="s">
        <v>622</v>
      </c>
      <c r="B293" s="260" t="s">
        <v>1012</v>
      </c>
      <c r="C293" s="231" t="s">
        <v>658</v>
      </c>
      <c r="D293" s="231" t="s">
        <v>659</v>
      </c>
      <c r="E293" s="231">
        <v>30522428163</v>
      </c>
      <c r="F293" s="244">
        <v>-8101.62</v>
      </c>
      <c r="G293" s="244">
        <v>0</v>
      </c>
      <c r="H293" s="231">
        <v>0</v>
      </c>
      <c r="I293" s="231">
        <v>0</v>
      </c>
      <c r="J293" s="231">
        <v>0</v>
      </c>
      <c r="K293" s="231">
        <v>-1701.34</v>
      </c>
      <c r="L293" s="231">
        <v>0</v>
      </c>
      <c r="M293" s="244">
        <v>0</v>
      </c>
      <c r="N293" s="244">
        <v>-9802.9600000000009</v>
      </c>
    </row>
    <row r="294" spans="1:14">
      <c r="A294" s="259" t="s">
        <v>622</v>
      </c>
      <c r="B294" s="260" t="s">
        <v>1013</v>
      </c>
      <c r="C294" s="231" t="s">
        <v>658</v>
      </c>
      <c r="D294" s="231" t="s">
        <v>659</v>
      </c>
      <c r="E294" s="231">
        <v>30522428163</v>
      </c>
      <c r="F294" s="244">
        <v>-14809.5</v>
      </c>
      <c r="G294" s="244">
        <v>0</v>
      </c>
      <c r="H294" s="231">
        <v>0</v>
      </c>
      <c r="I294" s="231">
        <v>0</v>
      </c>
      <c r="J294" s="231">
        <v>0</v>
      </c>
      <c r="K294" s="231">
        <v>-3110</v>
      </c>
      <c r="L294" s="231">
        <v>0</v>
      </c>
      <c r="M294" s="244">
        <v>0</v>
      </c>
      <c r="N294" s="244">
        <v>-17919.5</v>
      </c>
    </row>
    <row r="295" spans="1:14">
      <c r="A295" s="259" t="s">
        <v>622</v>
      </c>
      <c r="B295" s="260" t="s">
        <v>1014</v>
      </c>
      <c r="C295" s="231" t="s">
        <v>658</v>
      </c>
      <c r="D295" s="231" t="s">
        <v>659</v>
      </c>
      <c r="E295" s="231">
        <v>30522428163</v>
      </c>
      <c r="F295" s="244">
        <v>-38829.17</v>
      </c>
      <c r="G295" s="244">
        <v>0</v>
      </c>
      <c r="H295" s="231">
        <v>0</v>
      </c>
      <c r="I295" s="231">
        <v>0</v>
      </c>
      <c r="J295" s="231">
        <v>0</v>
      </c>
      <c r="K295" s="231">
        <v>-8154.13</v>
      </c>
      <c r="L295" s="231">
        <v>0</v>
      </c>
      <c r="M295" s="244">
        <v>0</v>
      </c>
      <c r="N295" s="244">
        <v>-46983.3</v>
      </c>
    </row>
    <row r="296" spans="1:14">
      <c r="A296" s="259" t="s">
        <v>622</v>
      </c>
      <c r="B296" s="260" t="s">
        <v>1015</v>
      </c>
      <c r="C296" s="231" t="s">
        <v>658</v>
      </c>
      <c r="D296" s="231" t="s">
        <v>659</v>
      </c>
      <c r="E296" s="231">
        <v>30522428163</v>
      </c>
      <c r="F296" s="244">
        <v>-7355.37</v>
      </c>
      <c r="G296" s="244">
        <v>0</v>
      </c>
      <c r="H296" s="231">
        <v>0</v>
      </c>
      <c r="I296" s="231">
        <v>0</v>
      </c>
      <c r="J296" s="231">
        <v>0</v>
      </c>
      <c r="K296" s="231">
        <v>-1544.63</v>
      </c>
      <c r="L296" s="231">
        <v>0</v>
      </c>
      <c r="M296" s="244">
        <v>0</v>
      </c>
      <c r="N296" s="244">
        <v>-8900</v>
      </c>
    </row>
    <row r="297" spans="1:14">
      <c r="A297" s="259" t="s">
        <v>622</v>
      </c>
      <c r="B297" s="260" t="s">
        <v>1016</v>
      </c>
      <c r="C297" s="231" t="s">
        <v>658</v>
      </c>
      <c r="D297" s="231" t="s">
        <v>659</v>
      </c>
      <c r="E297" s="231">
        <v>30522428163</v>
      </c>
      <c r="F297" s="244">
        <v>-247107.44</v>
      </c>
      <c r="G297" s="244">
        <v>0</v>
      </c>
      <c r="H297" s="231">
        <v>0</v>
      </c>
      <c r="I297" s="231">
        <v>0</v>
      </c>
      <c r="J297" s="231">
        <v>0</v>
      </c>
      <c r="K297" s="231">
        <v>-51892.56</v>
      </c>
      <c r="L297" s="231">
        <v>0</v>
      </c>
      <c r="M297" s="244">
        <v>0</v>
      </c>
      <c r="N297" s="244">
        <v>-299000</v>
      </c>
    </row>
    <row r="298" spans="1:14">
      <c r="A298" s="259" t="s">
        <v>622</v>
      </c>
      <c r="B298" s="260" t="s">
        <v>1017</v>
      </c>
      <c r="C298" s="231" t="s">
        <v>658</v>
      </c>
      <c r="D298" s="231" t="s">
        <v>659</v>
      </c>
      <c r="E298" s="231">
        <v>30522428163</v>
      </c>
      <c r="F298" s="244">
        <v>-122314.05</v>
      </c>
      <c r="G298" s="244">
        <v>0</v>
      </c>
      <c r="H298" s="231">
        <v>0</v>
      </c>
      <c r="I298" s="231">
        <v>0</v>
      </c>
      <c r="J298" s="231">
        <v>0</v>
      </c>
      <c r="K298" s="231">
        <v>-25685.95</v>
      </c>
      <c r="L298" s="231">
        <v>0</v>
      </c>
      <c r="M298" s="244">
        <v>0</v>
      </c>
      <c r="N298" s="244">
        <v>-148000</v>
      </c>
    </row>
    <row r="299" spans="1:14">
      <c r="A299" s="259" t="s">
        <v>622</v>
      </c>
      <c r="B299" s="260" t="s">
        <v>1018</v>
      </c>
      <c r="C299" s="231" t="s">
        <v>658</v>
      </c>
      <c r="D299" s="231" t="s">
        <v>659</v>
      </c>
      <c r="E299" s="231">
        <v>30522428163</v>
      </c>
      <c r="F299" s="244">
        <v>-62926.44</v>
      </c>
      <c r="G299" s="244">
        <v>0</v>
      </c>
      <c r="H299" s="231">
        <v>0</v>
      </c>
      <c r="I299" s="231">
        <v>0</v>
      </c>
      <c r="J299" s="231">
        <v>0</v>
      </c>
      <c r="K299" s="231">
        <v>-13214.55</v>
      </c>
      <c r="L299" s="231">
        <v>0</v>
      </c>
      <c r="M299" s="244">
        <v>0</v>
      </c>
      <c r="N299" s="244">
        <v>-76140.990000000005</v>
      </c>
    </row>
    <row r="300" spans="1:14">
      <c r="A300" s="259" t="s">
        <v>622</v>
      </c>
      <c r="B300" s="260" t="s">
        <v>1019</v>
      </c>
      <c r="C300" s="231" t="s">
        <v>658</v>
      </c>
      <c r="D300" s="231" t="s">
        <v>659</v>
      </c>
      <c r="E300" s="231">
        <v>30522428163</v>
      </c>
      <c r="F300" s="244">
        <v>-5454.55</v>
      </c>
      <c r="G300" s="244">
        <v>0</v>
      </c>
      <c r="H300" s="231">
        <v>0</v>
      </c>
      <c r="I300" s="231">
        <v>0</v>
      </c>
      <c r="J300" s="231">
        <v>0</v>
      </c>
      <c r="K300" s="231">
        <v>-1145.46</v>
      </c>
      <c r="L300" s="231">
        <v>0</v>
      </c>
      <c r="M300" s="244">
        <v>0</v>
      </c>
      <c r="N300" s="244">
        <v>-6600.01</v>
      </c>
    </row>
    <row r="301" spans="1:14">
      <c r="A301" s="259" t="s">
        <v>622</v>
      </c>
      <c r="B301" s="260" t="s">
        <v>1020</v>
      </c>
      <c r="C301" s="231" t="s">
        <v>1021</v>
      </c>
      <c r="D301" s="231" t="s">
        <v>645</v>
      </c>
      <c r="E301" s="231">
        <v>37904748</v>
      </c>
      <c r="F301" s="244">
        <v>7024.79</v>
      </c>
      <c r="G301" s="244">
        <v>0</v>
      </c>
      <c r="H301" s="231">
        <v>0</v>
      </c>
      <c r="I301" s="231">
        <v>0</v>
      </c>
      <c r="J301" s="231">
        <v>0</v>
      </c>
      <c r="K301" s="231">
        <v>1475.21</v>
      </c>
      <c r="L301" s="231">
        <v>0</v>
      </c>
      <c r="M301" s="244">
        <v>0</v>
      </c>
      <c r="N301" s="244">
        <v>8500</v>
      </c>
    </row>
    <row r="302" spans="1:14">
      <c r="A302" s="259" t="s">
        <v>622</v>
      </c>
      <c r="B302" s="260" t="s">
        <v>1022</v>
      </c>
      <c r="C302" s="231" t="s">
        <v>1023</v>
      </c>
      <c r="D302" s="231" t="s">
        <v>645</v>
      </c>
      <c r="E302" s="231">
        <v>30206585</v>
      </c>
      <c r="F302" s="244">
        <v>3966.94</v>
      </c>
      <c r="G302" s="244">
        <v>0</v>
      </c>
      <c r="H302" s="231">
        <v>0</v>
      </c>
      <c r="I302" s="231">
        <v>0</v>
      </c>
      <c r="J302" s="231">
        <v>0</v>
      </c>
      <c r="K302" s="231">
        <v>833.06</v>
      </c>
      <c r="L302" s="231">
        <v>0</v>
      </c>
      <c r="M302" s="244">
        <v>0</v>
      </c>
      <c r="N302" s="244">
        <v>4800</v>
      </c>
    </row>
    <row r="303" spans="1:14">
      <c r="A303" s="259" t="s">
        <v>1024</v>
      </c>
      <c r="B303" s="260" t="s">
        <v>1025</v>
      </c>
      <c r="C303" s="231" t="s">
        <v>644</v>
      </c>
      <c r="D303" s="231" t="s">
        <v>645</v>
      </c>
      <c r="E303" s="231" t="s">
        <v>630</v>
      </c>
      <c r="F303" s="244">
        <v>18181.82</v>
      </c>
      <c r="G303" s="244">
        <v>0</v>
      </c>
      <c r="H303" s="231">
        <v>0</v>
      </c>
      <c r="I303" s="231">
        <v>0</v>
      </c>
      <c r="J303" s="231">
        <v>0</v>
      </c>
      <c r="K303" s="231">
        <v>3818.18</v>
      </c>
      <c r="L303" s="231">
        <v>0</v>
      </c>
      <c r="M303" s="244">
        <v>0</v>
      </c>
      <c r="N303" s="244">
        <v>22000</v>
      </c>
    </row>
    <row r="304" spans="1:14">
      <c r="A304" s="259" t="s">
        <v>1024</v>
      </c>
      <c r="B304" s="260" t="s">
        <v>1026</v>
      </c>
      <c r="C304" s="231" t="s">
        <v>1027</v>
      </c>
      <c r="D304" s="231" t="s">
        <v>645</v>
      </c>
      <c r="E304" s="231">
        <v>3790102</v>
      </c>
      <c r="F304" s="244">
        <v>15702.48</v>
      </c>
      <c r="G304" s="244">
        <v>0</v>
      </c>
      <c r="H304" s="231">
        <v>0</v>
      </c>
      <c r="I304" s="231">
        <v>0</v>
      </c>
      <c r="J304" s="231">
        <v>0</v>
      </c>
      <c r="K304" s="231">
        <v>3297.52</v>
      </c>
      <c r="L304" s="231">
        <v>0</v>
      </c>
      <c r="M304" s="244">
        <v>0</v>
      </c>
      <c r="N304" s="244">
        <v>19000</v>
      </c>
    </row>
    <row r="305" spans="1:14">
      <c r="A305" s="259" t="s">
        <v>1024</v>
      </c>
      <c r="B305" s="260" t="s">
        <v>1028</v>
      </c>
      <c r="C305" s="231" t="s">
        <v>644</v>
      </c>
      <c r="D305" s="231" t="s">
        <v>645</v>
      </c>
      <c r="E305" s="231" t="s">
        <v>630</v>
      </c>
      <c r="F305" s="244">
        <v>2644.63</v>
      </c>
      <c r="G305" s="244">
        <v>0</v>
      </c>
      <c r="H305" s="231">
        <v>0</v>
      </c>
      <c r="I305" s="231">
        <v>0</v>
      </c>
      <c r="J305" s="231">
        <v>0</v>
      </c>
      <c r="K305" s="231">
        <v>555.37</v>
      </c>
      <c r="L305" s="231">
        <v>0</v>
      </c>
      <c r="M305" s="244">
        <v>0</v>
      </c>
      <c r="N305" s="244">
        <v>3200</v>
      </c>
    </row>
    <row r="306" spans="1:14">
      <c r="A306" s="259" t="s">
        <v>1024</v>
      </c>
      <c r="B306" s="260" t="s">
        <v>1029</v>
      </c>
      <c r="C306" s="231" t="s">
        <v>644</v>
      </c>
      <c r="D306" s="231" t="s">
        <v>645</v>
      </c>
      <c r="E306" s="231" t="s">
        <v>630</v>
      </c>
      <c r="F306" s="244">
        <v>11570.25</v>
      </c>
      <c r="G306" s="244">
        <v>0</v>
      </c>
      <c r="H306" s="231">
        <v>0</v>
      </c>
      <c r="I306" s="231">
        <v>0</v>
      </c>
      <c r="J306" s="231">
        <v>0</v>
      </c>
      <c r="K306" s="231">
        <v>2429.75</v>
      </c>
      <c r="L306" s="231">
        <v>0</v>
      </c>
      <c r="M306" s="244">
        <v>0</v>
      </c>
      <c r="N306" s="244">
        <v>14000</v>
      </c>
    </row>
    <row r="307" spans="1:14">
      <c r="A307" s="259" t="s">
        <v>1024</v>
      </c>
      <c r="B307" s="260" t="s">
        <v>1030</v>
      </c>
      <c r="C307" s="231" t="s">
        <v>644</v>
      </c>
      <c r="D307" s="231" t="s">
        <v>645</v>
      </c>
      <c r="E307" s="231" t="s">
        <v>630</v>
      </c>
      <c r="F307" s="244">
        <v>5619.83</v>
      </c>
      <c r="G307" s="244">
        <v>0</v>
      </c>
      <c r="H307" s="231">
        <v>0</v>
      </c>
      <c r="I307" s="231">
        <v>0</v>
      </c>
      <c r="J307" s="231">
        <v>0</v>
      </c>
      <c r="K307" s="231">
        <v>1180.17</v>
      </c>
      <c r="L307" s="231">
        <v>0</v>
      </c>
      <c r="M307" s="244">
        <v>0</v>
      </c>
      <c r="N307" s="244">
        <v>6800</v>
      </c>
    </row>
    <row r="308" spans="1:14">
      <c r="A308" s="259" t="s">
        <v>1024</v>
      </c>
      <c r="B308" s="260" t="s">
        <v>1031</v>
      </c>
      <c r="C308" s="231" t="s">
        <v>644</v>
      </c>
      <c r="D308" s="231" t="s">
        <v>645</v>
      </c>
      <c r="E308" s="231" t="s">
        <v>630</v>
      </c>
      <c r="F308" s="244">
        <v>7768.6</v>
      </c>
      <c r="G308" s="244">
        <v>0</v>
      </c>
      <c r="H308" s="231">
        <v>0</v>
      </c>
      <c r="I308" s="231">
        <v>0</v>
      </c>
      <c r="J308" s="231">
        <v>0</v>
      </c>
      <c r="K308" s="231">
        <v>1631.4</v>
      </c>
      <c r="L308" s="231">
        <v>0</v>
      </c>
      <c r="M308" s="244">
        <v>0</v>
      </c>
      <c r="N308" s="244">
        <v>9400</v>
      </c>
    </row>
    <row r="309" spans="1:14">
      <c r="A309" s="259" t="s">
        <v>1024</v>
      </c>
      <c r="B309" s="260" t="s">
        <v>1032</v>
      </c>
      <c r="C309" s="231" t="s">
        <v>644</v>
      </c>
      <c r="D309" s="231" t="s">
        <v>645</v>
      </c>
      <c r="E309" s="231" t="s">
        <v>630</v>
      </c>
      <c r="F309" s="244">
        <v>5619.83</v>
      </c>
      <c r="G309" s="244">
        <v>0</v>
      </c>
      <c r="H309" s="231">
        <v>0</v>
      </c>
      <c r="I309" s="231">
        <v>0</v>
      </c>
      <c r="J309" s="231">
        <v>0</v>
      </c>
      <c r="K309" s="231">
        <v>1180.17</v>
      </c>
      <c r="L309" s="231">
        <v>0</v>
      </c>
      <c r="M309" s="244">
        <v>0</v>
      </c>
      <c r="N309" s="244">
        <v>6800</v>
      </c>
    </row>
    <row r="310" spans="1:14">
      <c r="A310" s="259" t="s">
        <v>1024</v>
      </c>
      <c r="B310" s="260" t="s">
        <v>1033</v>
      </c>
      <c r="C310" s="231" t="s">
        <v>1034</v>
      </c>
      <c r="D310" s="231" t="s">
        <v>645</v>
      </c>
      <c r="E310" s="231">
        <v>17400669</v>
      </c>
      <c r="F310" s="244">
        <v>3223.14</v>
      </c>
      <c r="G310" s="244">
        <v>0</v>
      </c>
      <c r="H310" s="231">
        <v>0</v>
      </c>
      <c r="I310" s="231">
        <v>0</v>
      </c>
      <c r="J310" s="231">
        <v>0</v>
      </c>
      <c r="K310" s="231">
        <v>676.86</v>
      </c>
      <c r="L310" s="231">
        <v>0</v>
      </c>
      <c r="M310" s="244">
        <v>0</v>
      </c>
      <c r="N310" s="244">
        <v>3900</v>
      </c>
    </row>
    <row r="311" spans="1:14">
      <c r="A311" s="259" t="s">
        <v>1024</v>
      </c>
      <c r="B311" s="260" t="s">
        <v>1035</v>
      </c>
      <c r="C311" s="231" t="s">
        <v>780</v>
      </c>
      <c r="D311" s="231" t="s">
        <v>645</v>
      </c>
      <c r="E311" s="231">
        <v>94008078</v>
      </c>
      <c r="F311" s="244">
        <v>4132.2300000000005</v>
      </c>
      <c r="G311" s="244">
        <v>0</v>
      </c>
      <c r="H311" s="231">
        <v>0</v>
      </c>
      <c r="I311" s="231">
        <v>0</v>
      </c>
      <c r="J311" s="231">
        <v>0</v>
      </c>
      <c r="K311" s="231">
        <v>867.77</v>
      </c>
      <c r="L311" s="231">
        <v>0</v>
      </c>
      <c r="M311" s="244">
        <v>0</v>
      </c>
      <c r="N311" s="244">
        <v>5000</v>
      </c>
    </row>
    <row r="312" spans="1:14">
      <c r="A312" s="259" t="s">
        <v>1024</v>
      </c>
      <c r="B312" s="260" t="s">
        <v>1036</v>
      </c>
      <c r="C312" s="231" t="s">
        <v>780</v>
      </c>
      <c r="D312" s="231" t="s">
        <v>645</v>
      </c>
      <c r="E312" s="231">
        <v>94008078</v>
      </c>
      <c r="F312" s="244">
        <v>3966.94</v>
      </c>
      <c r="G312" s="244">
        <v>0</v>
      </c>
      <c r="H312" s="231">
        <v>0</v>
      </c>
      <c r="I312" s="231">
        <v>0</v>
      </c>
      <c r="J312" s="231">
        <v>0</v>
      </c>
      <c r="K312" s="231">
        <v>833.06</v>
      </c>
      <c r="L312" s="231">
        <v>0</v>
      </c>
      <c r="M312" s="244">
        <v>0</v>
      </c>
      <c r="N312" s="244">
        <v>4800</v>
      </c>
    </row>
    <row r="313" spans="1:14">
      <c r="A313" s="259" t="s">
        <v>1024</v>
      </c>
      <c r="B313" s="260" t="s">
        <v>1037</v>
      </c>
      <c r="C313" s="231" t="s">
        <v>1038</v>
      </c>
      <c r="D313" s="231" t="s">
        <v>645</v>
      </c>
      <c r="E313" s="231">
        <v>16481086</v>
      </c>
      <c r="F313" s="244">
        <v>5702.48</v>
      </c>
      <c r="G313" s="244">
        <v>0</v>
      </c>
      <c r="H313" s="231">
        <v>0</v>
      </c>
      <c r="I313" s="231">
        <v>0</v>
      </c>
      <c r="J313" s="231">
        <v>0</v>
      </c>
      <c r="K313" s="231">
        <v>1197.52</v>
      </c>
      <c r="L313" s="231">
        <v>0</v>
      </c>
      <c r="M313" s="244">
        <v>0</v>
      </c>
      <c r="N313" s="244">
        <v>6900</v>
      </c>
    </row>
    <row r="314" spans="1:14">
      <c r="A314" s="259" t="s">
        <v>1024</v>
      </c>
      <c r="B314" s="260" t="s">
        <v>1039</v>
      </c>
      <c r="C314" s="231" t="s">
        <v>1040</v>
      </c>
      <c r="D314" s="231" t="s">
        <v>645</v>
      </c>
      <c r="E314" s="231">
        <v>94061699</v>
      </c>
      <c r="F314" s="244">
        <v>6446.28</v>
      </c>
      <c r="G314" s="244">
        <v>0</v>
      </c>
      <c r="H314" s="231">
        <v>0</v>
      </c>
      <c r="I314" s="231">
        <v>0</v>
      </c>
      <c r="J314" s="231">
        <v>0</v>
      </c>
      <c r="K314" s="231">
        <v>1353.72</v>
      </c>
      <c r="L314" s="231">
        <v>0</v>
      </c>
      <c r="M314" s="244">
        <v>0</v>
      </c>
      <c r="N314" s="244">
        <v>7800</v>
      </c>
    </row>
    <row r="315" spans="1:14">
      <c r="A315" s="259" t="s">
        <v>1024</v>
      </c>
      <c r="B315" s="260" t="s">
        <v>1041</v>
      </c>
      <c r="C315" s="231" t="s">
        <v>1042</v>
      </c>
      <c r="D315" s="231" t="s">
        <v>645</v>
      </c>
      <c r="E315" s="231">
        <v>1166487515</v>
      </c>
      <c r="F315" s="244">
        <v>9090.91</v>
      </c>
      <c r="G315" s="244">
        <v>0</v>
      </c>
      <c r="H315" s="231">
        <v>0</v>
      </c>
      <c r="I315" s="231">
        <v>0</v>
      </c>
      <c r="J315" s="231">
        <v>0</v>
      </c>
      <c r="K315" s="231">
        <v>1909.09</v>
      </c>
      <c r="L315" s="231">
        <v>0</v>
      </c>
      <c r="M315" s="244">
        <v>0</v>
      </c>
      <c r="N315" s="244">
        <v>11000</v>
      </c>
    </row>
    <row r="316" spans="1:14">
      <c r="A316" s="259" t="s">
        <v>1024</v>
      </c>
      <c r="B316" s="260" t="s">
        <v>1043</v>
      </c>
      <c r="C316" s="231" t="s">
        <v>1044</v>
      </c>
      <c r="D316" s="231" t="s">
        <v>645</v>
      </c>
      <c r="E316" s="231">
        <v>16246667</v>
      </c>
      <c r="F316" s="244">
        <v>11107.44</v>
      </c>
      <c r="G316" s="244">
        <v>0</v>
      </c>
      <c r="H316" s="231">
        <v>0</v>
      </c>
      <c r="I316" s="231">
        <v>0</v>
      </c>
      <c r="J316" s="231">
        <v>0</v>
      </c>
      <c r="K316" s="231">
        <v>2332.56</v>
      </c>
      <c r="L316" s="231">
        <v>0</v>
      </c>
      <c r="M316" s="244">
        <v>0</v>
      </c>
      <c r="N316" s="244">
        <v>13440</v>
      </c>
    </row>
    <row r="317" spans="1:14">
      <c r="A317" s="259" t="s">
        <v>1024</v>
      </c>
      <c r="B317" s="260" t="s">
        <v>1045</v>
      </c>
      <c r="C317" s="231" t="s">
        <v>1046</v>
      </c>
      <c r="D317" s="231" t="s">
        <v>645</v>
      </c>
      <c r="E317" s="231">
        <v>24699538</v>
      </c>
      <c r="F317" s="244">
        <v>5785.12</v>
      </c>
      <c r="G317" s="244">
        <v>0</v>
      </c>
      <c r="H317" s="231">
        <v>0</v>
      </c>
      <c r="I317" s="231">
        <v>0</v>
      </c>
      <c r="J317" s="231">
        <v>0</v>
      </c>
      <c r="K317" s="231">
        <v>1214.8800000000001</v>
      </c>
      <c r="L317" s="231">
        <v>0</v>
      </c>
      <c r="M317" s="244">
        <v>0</v>
      </c>
      <c r="N317" s="244">
        <v>7000</v>
      </c>
    </row>
    <row r="318" spans="1:14">
      <c r="A318" s="259" t="s">
        <v>1024</v>
      </c>
      <c r="B318" s="260" t="s">
        <v>1047</v>
      </c>
      <c r="C318" s="231" t="s">
        <v>1048</v>
      </c>
      <c r="D318" s="231" t="s">
        <v>645</v>
      </c>
      <c r="E318" s="231">
        <v>382591</v>
      </c>
      <c r="F318" s="244">
        <v>4049.58</v>
      </c>
      <c r="G318" s="244">
        <v>0</v>
      </c>
      <c r="H318" s="231">
        <v>0</v>
      </c>
      <c r="I318" s="231">
        <v>0</v>
      </c>
      <c r="J318" s="231">
        <v>0</v>
      </c>
      <c r="K318" s="231">
        <v>850.42</v>
      </c>
      <c r="L318" s="231">
        <v>0</v>
      </c>
      <c r="M318" s="244">
        <v>0</v>
      </c>
      <c r="N318" s="244">
        <v>4900</v>
      </c>
    </row>
    <row r="319" spans="1:14">
      <c r="A319" s="259" t="s">
        <v>1024</v>
      </c>
      <c r="B319" s="260" t="s">
        <v>1049</v>
      </c>
      <c r="C319" s="231" t="s">
        <v>1050</v>
      </c>
      <c r="D319" s="231" t="s">
        <v>645</v>
      </c>
      <c r="E319" s="231">
        <v>52168895</v>
      </c>
      <c r="F319" s="244">
        <v>4132.2300000000005</v>
      </c>
      <c r="G319" s="244">
        <v>0</v>
      </c>
      <c r="H319" s="231">
        <v>0</v>
      </c>
      <c r="I319" s="231">
        <v>0</v>
      </c>
      <c r="J319" s="231">
        <v>0</v>
      </c>
      <c r="K319" s="231">
        <v>867.77</v>
      </c>
      <c r="L319" s="231">
        <v>0</v>
      </c>
      <c r="M319" s="244">
        <v>0</v>
      </c>
      <c r="N319" s="244">
        <v>5000</v>
      </c>
    </row>
    <row r="320" spans="1:14">
      <c r="A320" s="259" t="s">
        <v>623</v>
      </c>
      <c r="B320" s="260" t="s">
        <v>1051</v>
      </c>
      <c r="C320" s="231" t="s">
        <v>644</v>
      </c>
      <c r="D320" s="231" t="s">
        <v>645</v>
      </c>
      <c r="E320" s="231" t="s">
        <v>630</v>
      </c>
      <c r="F320" s="244">
        <v>1239.67</v>
      </c>
      <c r="G320" s="244">
        <v>0</v>
      </c>
      <c r="H320" s="231">
        <v>0</v>
      </c>
      <c r="I320" s="231">
        <v>0</v>
      </c>
      <c r="J320" s="231">
        <v>0</v>
      </c>
      <c r="K320" s="231">
        <v>260.33</v>
      </c>
      <c r="L320" s="231">
        <v>0</v>
      </c>
      <c r="M320" s="244">
        <v>0</v>
      </c>
      <c r="N320" s="244">
        <v>1500</v>
      </c>
    </row>
    <row r="321" spans="1:14">
      <c r="A321" s="259" t="s">
        <v>623</v>
      </c>
      <c r="B321" s="260" t="s">
        <v>1052</v>
      </c>
      <c r="C321" s="231" t="s">
        <v>644</v>
      </c>
      <c r="D321" s="231" t="s">
        <v>645</v>
      </c>
      <c r="E321" s="231" t="s">
        <v>630</v>
      </c>
      <c r="F321" s="244">
        <v>5371.9</v>
      </c>
      <c r="G321" s="244">
        <v>0</v>
      </c>
      <c r="H321" s="231">
        <v>0</v>
      </c>
      <c r="I321" s="231">
        <v>0</v>
      </c>
      <c r="J321" s="231">
        <v>0</v>
      </c>
      <c r="K321" s="231">
        <v>1128.1000000000001</v>
      </c>
      <c r="L321" s="231">
        <v>0</v>
      </c>
      <c r="M321" s="244">
        <v>0</v>
      </c>
      <c r="N321" s="244">
        <v>6500</v>
      </c>
    </row>
    <row r="322" spans="1:14">
      <c r="A322" s="259" t="s">
        <v>623</v>
      </c>
      <c r="B322" s="260" t="s">
        <v>1053</v>
      </c>
      <c r="C322" s="231" t="s">
        <v>644</v>
      </c>
      <c r="D322" s="231" t="s">
        <v>645</v>
      </c>
      <c r="E322" s="231" t="s">
        <v>630</v>
      </c>
      <c r="F322" s="244">
        <v>4132.2300000000005</v>
      </c>
      <c r="G322" s="244">
        <v>0</v>
      </c>
      <c r="H322" s="231">
        <v>0</v>
      </c>
      <c r="I322" s="231">
        <v>0</v>
      </c>
      <c r="J322" s="231">
        <v>0</v>
      </c>
      <c r="K322" s="231">
        <v>867.77</v>
      </c>
      <c r="L322" s="231">
        <v>0</v>
      </c>
      <c r="M322" s="244">
        <v>0</v>
      </c>
      <c r="N322" s="244">
        <v>5000</v>
      </c>
    </row>
    <row r="323" spans="1:14">
      <c r="A323" s="259" t="s">
        <v>623</v>
      </c>
      <c r="B323" s="260" t="s">
        <v>1054</v>
      </c>
      <c r="C323" s="231" t="s">
        <v>644</v>
      </c>
      <c r="D323" s="231" t="s">
        <v>645</v>
      </c>
      <c r="E323" s="231" t="s">
        <v>630</v>
      </c>
      <c r="F323" s="244">
        <v>3884.3</v>
      </c>
      <c r="G323" s="244">
        <v>0</v>
      </c>
      <c r="H323" s="231">
        <v>0</v>
      </c>
      <c r="I323" s="231">
        <v>0</v>
      </c>
      <c r="J323" s="231">
        <v>0</v>
      </c>
      <c r="K323" s="231">
        <v>815.7</v>
      </c>
      <c r="L323" s="231">
        <v>0</v>
      </c>
      <c r="M323" s="244">
        <v>0</v>
      </c>
      <c r="N323" s="244">
        <v>4700</v>
      </c>
    </row>
    <row r="324" spans="1:14">
      <c r="A324" s="259" t="s">
        <v>623</v>
      </c>
      <c r="B324" s="260" t="s">
        <v>1055</v>
      </c>
      <c r="C324" s="231" t="s">
        <v>644</v>
      </c>
      <c r="D324" s="231" t="s">
        <v>645</v>
      </c>
      <c r="E324" s="231" t="s">
        <v>630</v>
      </c>
      <c r="F324" s="244">
        <v>8264.4600000000009</v>
      </c>
      <c r="G324" s="244">
        <v>0</v>
      </c>
      <c r="H324" s="231">
        <v>0</v>
      </c>
      <c r="I324" s="231">
        <v>0</v>
      </c>
      <c r="J324" s="231">
        <v>0</v>
      </c>
      <c r="K324" s="231">
        <v>1735.54</v>
      </c>
      <c r="L324" s="231">
        <v>0</v>
      </c>
      <c r="M324" s="244">
        <v>0</v>
      </c>
      <c r="N324" s="244">
        <v>10000</v>
      </c>
    </row>
    <row r="325" spans="1:14">
      <c r="A325" s="257" t="s">
        <v>1056</v>
      </c>
      <c r="B325" s="257" t="s">
        <v>1057</v>
      </c>
      <c r="C325" s="257" t="s">
        <v>1058</v>
      </c>
      <c r="D325" s="257" t="s">
        <v>1059</v>
      </c>
      <c r="E325" s="257" t="s">
        <v>1060</v>
      </c>
      <c r="F325" s="261">
        <f ca="1">SUM(OFFSET($A$1,5,COLUMN()-1):OFFSET($A$1,ROW()-2,COLUMN()-1))</f>
        <v>30156054.629999973</v>
      </c>
      <c r="G325" s="261">
        <f ca="1">SUM(OFFSET($A$1,5,COLUMN()-1):OFFSET($A$1,ROW()-2,COLUMN()-1))</f>
        <v>0</v>
      </c>
      <c r="H325" s="261">
        <f ca="1">SUM(OFFSET($A$1,5,COLUMN()-1):OFFSET($A$1,ROW()-2,COLUMN()-1))</f>
        <v>0</v>
      </c>
      <c r="I325" s="261">
        <f ca="1">SUM(OFFSET($A$1,5,COLUMN()-1):OFFSET($A$1,ROW()-2,COLUMN()-1))</f>
        <v>0</v>
      </c>
      <c r="J325" s="261">
        <f ca="1">SUM(OFFSET($A$1,5,COLUMN()-1):OFFSET($A$1,ROW()-2,COLUMN()-1))</f>
        <v>0</v>
      </c>
      <c r="K325" s="261">
        <f ca="1">SUM(OFFSET($A$1,5,COLUMN()-1):OFFSET($A$1,ROW()-2,COLUMN()-1))</f>
        <v>6332771.429999995</v>
      </c>
      <c r="L325" s="261">
        <f ca="1">SUM(OFFSET($A$1,5,COLUMN()-1):OFFSET($A$1,ROW()-2,COLUMN()-1))</f>
        <v>0</v>
      </c>
      <c r="M325" s="261">
        <f ca="1">SUM(OFFSET($A$1,5,COLUMN()-1):OFFSET($A$1,ROW()-2,COLUMN()-1))</f>
        <v>0</v>
      </c>
      <c r="N325" s="261">
        <f ca="1">SUM(OFFSET($A$1,5,COLUMN()-1):OFFSET($A$1,ROW()-2,COLUMN()-1))</f>
        <v>36488826.060000002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Abril 2023</vt:lpstr>
      <vt:lpstr>Calculo IVA</vt:lpstr>
      <vt:lpstr>Ventas 04 2023</vt:lpstr>
      <vt:lpstr>'Abril 2023'!Área_de_impresión</vt:lpstr>
      <vt:lpstr>Configuracion!partner_id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2023-05-08T20:11:49Z</dcterms:modified>
</cp:coreProperties>
</file>