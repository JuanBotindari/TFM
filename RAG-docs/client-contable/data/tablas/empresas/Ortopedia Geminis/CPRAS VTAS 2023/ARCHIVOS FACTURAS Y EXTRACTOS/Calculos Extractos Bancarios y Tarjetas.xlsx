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ORTOPEDIA GEMINIS\CPRAS VTAS 2023\ARCHIVOS FACTURAS Y EXTRACTOS\"/>
    </mc:Choice>
  </mc:AlternateContent>
  <xr:revisionPtr revIDLastSave="0" documentId="8_{9794FE26-C948-4FC8-ADC9-0543EB1AFFA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calcChain.xml><?xml version="1.0" encoding="utf-8"?>
<calcChain xmlns="http://schemas.openxmlformats.org/spreadsheetml/2006/main">
  <c r="D8" i="2" l="1"/>
  <c r="C51" i="2"/>
  <c r="L8" i="2" l="1"/>
  <c r="L7" i="2"/>
  <c r="D19" i="2" l="1"/>
  <c r="D20" i="2"/>
  <c r="D12" i="2" l="1"/>
  <c r="D14" i="2" l="1"/>
  <c r="D15" i="2"/>
  <c r="F42" i="2" l="1"/>
  <c r="F43" i="2"/>
  <c r="F44" i="2"/>
  <c r="F45" i="2"/>
  <c r="F46" i="2"/>
  <c r="F47" i="2"/>
  <c r="F48" i="2"/>
  <c r="F49" i="2"/>
  <c r="D42" i="2"/>
  <c r="D43" i="2"/>
  <c r="D44" i="2"/>
  <c r="D45" i="2"/>
  <c r="D46" i="2"/>
  <c r="D47" i="2"/>
  <c r="D48" i="2"/>
  <c r="D49" i="2"/>
  <c r="D50" i="2"/>
  <c r="F50" i="2"/>
  <c r="F31" i="2"/>
  <c r="F32" i="2"/>
  <c r="F33" i="2"/>
  <c r="F34" i="2"/>
  <c r="F35" i="2"/>
  <c r="F36" i="2"/>
  <c r="F37" i="2"/>
  <c r="F38" i="2"/>
  <c r="F39" i="2"/>
  <c r="F40" i="2"/>
  <c r="F41" i="2"/>
  <c r="D31" i="2"/>
  <c r="D32" i="2"/>
  <c r="D33" i="2"/>
  <c r="D34" i="2"/>
  <c r="D35" i="2"/>
  <c r="D36" i="2"/>
  <c r="D37" i="2"/>
  <c r="D38" i="2"/>
  <c r="D39" i="2"/>
  <c r="D40" i="2"/>
  <c r="D41" i="2"/>
  <c r="G51" i="2" l="1"/>
  <c r="L6" i="2"/>
  <c r="F25" i="2"/>
  <c r="F26" i="2"/>
  <c r="F27" i="2"/>
  <c r="F28" i="2"/>
  <c r="F29" i="2"/>
  <c r="F30" i="2"/>
  <c r="D25" i="2"/>
  <c r="D26" i="2"/>
  <c r="D27" i="2"/>
  <c r="D28" i="2"/>
  <c r="D29" i="2"/>
  <c r="D30" i="2"/>
  <c r="B51" i="2"/>
  <c r="H51" i="2"/>
  <c r="E51" i="2"/>
  <c r="F24" i="2"/>
  <c r="D24" i="2"/>
  <c r="F23" i="2"/>
  <c r="D23" i="2"/>
  <c r="F22" i="2"/>
  <c r="D22" i="2"/>
  <c r="F21" i="2"/>
  <c r="D21" i="2"/>
  <c r="F20" i="2"/>
  <c r="F19" i="2"/>
  <c r="F18" i="2"/>
  <c r="D18" i="2"/>
  <c r="F17" i="2"/>
  <c r="D17" i="2"/>
  <c r="F16" i="2"/>
  <c r="D16" i="2"/>
  <c r="F15" i="2"/>
  <c r="F14" i="2"/>
  <c r="F13" i="2"/>
  <c r="D13" i="2"/>
  <c r="F12" i="2"/>
  <c r="F11" i="2"/>
  <c r="D11" i="2"/>
  <c r="F10" i="2"/>
  <c r="D10" i="2"/>
  <c r="F9" i="2"/>
  <c r="D9" i="2"/>
  <c r="F8" i="2"/>
  <c r="F7" i="2"/>
  <c r="D7" i="2"/>
  <c r="F6" i="2"/>
  <c r="D6" i="2"/>
  <c r="D51" i="2" l="1"/>
  <c r="F51" i="2"/>
  <c r="M24" i="1"/>
  <c r="S106" i="1" l="1"/>
  <c r="Q106" i="1"/>
  <c r="H334" i="1"/>
  <c r="B334" i="1"/>
  <c r="D29" i="1"/>
  <c r="A26" i="1"/>
  <c r="D30" i="1"/>
  <c r="F29" i="1"/>
  <c r="S94" i="1"/>
  <c r="S95" i="1"/>
  <c r="S96" i="1"/>
  <c r="S97" i="1"/>
  <c r="S98" i="1"/>
  <c r="S99" i="1"/>
  <c r="S100" i="1"/>
  <c r="S101" i="1"/>
  <c r="S102" i="1"/>
  <c r="S103" i="1"/>
  <c r="S104" i="1"/>
  <c r="S105" i="1"/>
  <c r="Q96" i="1"/>
  <c r="Q97" i="1"/>
  <c r="Q98" i="1"/>
  <c r="Q99" i="1"/>
  <c r="Q100" i="1"/>
  <c r="Q101" i="1"/>
  <c r="Q102" i="1"/>
  <c r="Q103" i="1"/>
  <c r="Q104" i="1"/>
  <c r="Q94" i="1"/>
  <c r="Q95" i="1"/>
  <c r="Q105" i="1"/>
  <c r="U108" i="1"/>
  <c r="C334" i="1" l="1"/>
  <c r="D317" i="1"/>
  <c r="D316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56" i="1"/>
  <c r="D234" i="1"/>
  <c r="D255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179" i="1"/>
  <c r="D178" i="1"/>
  <c r="D177" i="1"/>
  <c r="D176" i="1"/>
  <c r="D175" i="1"/>
  <c r="D174" i="1"/>
  <c r="D173" i="1"/>
  <c r="D172" i="1"/>
  <c r="D156" i="1"/>
  <c r="D155" i="1"/>
  <c r="D171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D115" i="1"/>
  <c r="D140" i="1"/>
  <c r="D147" i="1"/>
  <c r="D154" i="1"/>
  <c r="D153" i="1"/>
  <c r="D152" i="1"/>
  <c r="D151" i="1"/>
  <c r="D150" i="1"/>
  <c r="D148" i="1"/>
  <c r="D149" i="1"/>
  <c r="D144" i="1"/>
  <c r="D145" i="1"/>
  <c r="D143" i="1"/>
  <c r="D146" i="1"/>
  <c r="D134" i="1"/>
  <c r="D135" i="1"/>
  <c r="D136" i="1"/>
  <c r="D137" i="1"/>
  <c r="D138" i="1"/>
  <c r="D139" i="1"/>
  <c r="D141" i="1"/>
  <c r="D142" i="1"/>
  <c r="D131" i="1"/>
  <c r="D132" i="1"/>
  <c r="D133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D130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D127" i="1"/>
  <c r="D128" i="1"/>
  <c r="D129" i="1"/>
  <c r="D112" i="1"/>
  <c r="D113" i="1"/>
  <c r="D114" i="1"/>
  <c r="D116" i="1"/>
  <c r="D117" i="1"/>
  <c r="D118" i="1"/>
  <c r="D119" i="1"/>
  <c r="D120" i="1"/>
  <c r="D121" i="1"/>
  <c r="D122" i="1"/>
  <c r="D123" i="1"/>
  <c r="D124" i="1"/>
  <c r="D125" i="1"/>
  <c r="D126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F89" i="1"/>
  <c r="F90" i="1"/>
  <c r="F91" i="1"/>
  <c r="F92" i="1"/>
  <c r="F93" i="1"/>
  <c r="F94" i="1"/>
  <c r="F95" i="1"/>
  <c r="F96" i="1"/>
  <c r="F97" i="1"/>
  <c r="F98" i="1"/>
  <c r="F99" i="1"/>
  <c r="D89" i="1"/>
  <c r="D90" i="1"/>
  <c r="D91" i="1"/>
  <c r="D92" i="1"/>
  <c r="D93" i="1"/>
  <c r="D94" i="1"/>
  <c r="D95" i="1"/>
  <c r="D96" i="1"/>
  <c r="D97" i="1"/>
  <c r="D98" i="1"/>
  <c r="D99" i="1"/>
  <c r="D34" i="1"/>
  <c r="D32" i="1"/>
  <c r="D33" i="1"/>
  <c r="D31" i="1"/>
  <c r="G334" i="1"/>
  <c r="G24" i="1" l="1"/>
  <c r="AB95" i="1"/>
  <c r="AA95" i="1"/>
  <c r="Y95" i="1"/>
  <c r="W95" i="1"/>
  <c r="Z94" i="1"/>
  <c r="X94" i="1"/>
  <c r="Z93" i="1"/>
  <c r="X93" i="1"/>
  <c r="Z92" i="1"/>
  <c r="X92" i="1"/>
  <c r="Z91" i="1"/>
  <c r="X91" i="1"/>
  <c r="Z90" i="1"/>
  <c r="X90" i="1"/>
  <c r="Z89" i="1"/>
  <c r="X89" i="1"/>
  <c r="Z88" i="1"/>
  <c r="X88" i="1"/>
  <c r="Z87" i="1"/>
  <c r="X87" i="1"/>
  <c r="Z86" i="1"/>
  <c r="X86" i="1"/>
  <c r="Z85" i="1"/>
  <c r="X85" i="1"/>
  <c r="Z84" i="1"/>
  <c r="X84" i="1"/>
  <c r="Z83" i="1"/>
  <c r="X83" i="1"/>
  <c r="Z82" i="1"/>
  <c r="X82" i="1"/>
  <c r="Z81" i="1"/>
  <c r="X81" i="1"/>
  <c r="Z80" i="1"/>
  <c r="X80" i="1"/>
  <c r="Z79" i="1"/>
  <c r="X79" i="1"/>
  <c r="Z78" i="1"/>
  <c r="X78" i="1"/>
  <c r="Z77" i="1"/>
  <c r="X77" i="1"/>
  <c r="Z76" i="1"/>
  <c r="X76" i="1"/>
  <c r="Z95" i="1" l="1"/>
  <c r="X95" i="1"/>
  <c r="N24" i="1"/>
  <c r="T108" i="1" l="1"/>
  <c r="R108" i="1"/>
  <c r="P108" i="1"/>
  <c r="S107" i="1"/>
  <c r="Q107" i="1"/>
  <c r="S93" i="1"/>
  <c r="Q93" i="1"/>
  <c r="S92" i="1"/>
  <c r="Q92" i="1"/>
  <c r="S91" i="1"/>
  <c r="Q91" i="1"/>
  <c r="S90" i="1"/>
  <c r="Q90" i="1"/>
  <c r="S89" i="1"/>
  <c r="Q89" i="1"/>
  <c r="S88" i="1"/>
  <c r="Q88" i="1"/>
  <c r="S87" i="1"/>
  <c r="Q87" i="1"/>
  <c r="S86" i="1"/>
  <c r="Q86" i="1"/>
  <c r="S85" i="1"/>
  <c r="Q85" i="1"/>
  <c r="S84" i="1"/>
  <c r="Q84" i="1"/>
  <c r="S83" i="1"/>
  <c r="Q83" i="1"/>
  <c r="S82" i="1"/>
  <c r="Q82" i="1"/>
  <c r="S81" i="1"/>
  <c r="Q81" i="1"/>
  <c r="S80" i="1"/>
  <c r="Q80" i="1"/>
  <c r="S79" i="1"/>
  <c r="Q79" i="1"/>
  <c r="S78" i="1"/>
  <c r="Q78" i="1"/>
  <c r="S77" i="1"/>
  <c r="Q77" i="1"/>
  <c r="S76" i="1"/>
  <c r="Q76" i="1"/>
  <c r="S108" i="1" l="1"/>
  <c r="Q108" i="1"/>
  <c r="T72" i="1"/>
  <c r="AA48" i="1"/>
  <c r="AB48" i="1"/>
  <c r="Z48" i="1"/>
  <c r="Y72" i="1"/>
  <c r="W72" i="1"/>
  <c r="Z71" i="1"/>
  <c r="X71" i="1"/>
  <c r="Z70" i="1"/>
  <c r="X70" i="1"/>
  <c r="Z69" i="1"/>
  <c r="X69" i="1"/>
  <c r="Z68" i="1"/>
  <c r="X68" i="1"/>
  <c r="Z67" i="1"/>
  <c r="X67" i="1"/>
  <c r="Z66" i="1"/>
  <c r="X66" i="1"/>
  <c r="Z65" i="1"/>
  <c r="X65" i="1"/>
  <c r="Z64" i="1"/>
  <c r="X64" i="1"/>
  <c r="Z63" i="1"/>
  <c r="X63" i="1"/>
  <c r="Z62" i="1"/>
  <c r="X62" i="1"/>
  <c r="Z61" i="1"/>
  <c r="X61" i="1"/>
  <c r="Z60" i="1"/>
  <c r="X60" i="1"/>
  <c r="Z59" i="1"/>
  <c r="X59" i="1"/>
  <c r="Z58" i="1"/>
  <c r="X58" i="1"/>
  <c r="Z57" i="1"/>
  <c r="X57" i="1"/>
  <c r="Z56" i="1"/>
  <c r="X56" i="1"/>
  <c r="Z55" i="1"/>
  <c r="X55" i="1"/>
  <c r="Z54" i="1"/>
  <c r="X54" i="1"/>
  <c r="Z53" i="1"/>
  <c r="X53" i="1"/>
  <c r="R72" i="1"/>
  <c r="P72" i="1"/>
  <c r="S71" i="1"/>
  <c r="Q71" i="1"/>
  <c r="S70" i="1"/>
  <c r="Q70" i="1"/>
  <c r="S69" i="1"/>
  <c r="Q69" i="1"/>
  <c r="S68" i="1"/>
  <c r="Q68" i="1"/>
  <c r="S67" i="1"/>
  <c r="Q67" i="1"/>
  <c r="S66" i="1"/>
  <c r="Q66" i="1"/>
  <c r="S65" i="1"/>
  <c r="Q65" i="1"/>
  <c r="S64" i="1"/>
  <c r="Q64" i="1"/>
  <c r="S63" i="1"/>
  <c r="Q63" i="1"/>
  <c r="S62" i="1"/>
  <c r="Q62" i="1"/>
  <c r="S61" i="1"/>
  <c r="Q61" i="1"/>
  <c r="S60" i="1"/>
  <c r="Q60" i="1"/>
  <c r="S59" i="1"/>
  <c r="Q59" i="1"/>
  <c r="S58" i="1"/>
  <c r="Q58" i="1"/>
  <c r="S57" i="1"/>
  <c r="Q57" i="1"/>
  <c r="S56" i="1"/>
  <c r="Q56" i="1"/>
  <c r="S55" i="1"/>
  <c r="Q55" i="1"/>
  <c r="S54" i="1"/>
  <c r="Q54" i="1"/>
  <c r="S53" i="1"/>
  <c r="Q53" i="1"/>
  <c r="X48" i="1"/>
  <c r="U48" i="1"/>
  <c r="Y47" i="1"/>
  <c r="W47" i="1"/>
  <c r="Y46" i="1"/>
  <c r="W46" i="1"/>
  <c r="Y45" i="1"/>
  <c r="W45" i="1"/>
  <c r="Y44" i="1"/>
  <c r="W44" i="1"/>
  <c r="Y43" i="1"/>
  <c r="W43" i="1"/>
  <c r="Y42" i="1"/>
  <c r="W42" i="1"/>
  <c r="Y41" i="1"/>
  <c r="W41" i="1"/>
  <c r="Y40" i="1"/>
  <c r="W40" i="1"/>
  <c r="Y39" i="1"/>
  <c r="W39" i="1"/>
  <c r="Y38" i="1"/>
  <c r="W38" i="1"/>
  <c r="Y37" i="1"/>
  <c r="W37" i="1"/>
  <c r="Y36" i="1"/>
  <c r="W36" i="1"/>
  <c r="Y35" i="1"/>
  <c r="W35" i="1"/>
  <c r="Y34" i="1"/>
  <c r="W34" i="1"/>
  <c r="Y33" i="1"/>
  <c r="W33" i="1"/>
  <c r="Y32" i="1"/>
  <c r="W32" i="1"/>
  <c r="Y31" i="1"/>
  <c r="W31" i="1"/>
  <c r="Y30" i="1"/>
  <c r="W30" i="1"/>
  <c r="Y29" i="1"/>
  <c r="W29" i="1"/>
  <c r="U24" i="1"/>
  <c r="X24" i="1"/>
  <c r="Y23" i="1"/>
  <c r="W23" i="1"/>
  <c r="Y22" i="1"/>
  <c r="W22" i="1"/>
  <c r="Y21" i="1"/>
  <c r="W21" i="1"/>
  <c r="Y20" i="1"/>
  <c r="W20" i="1"/>
  <c r="Y19" i="1"/>
  <c r="W19" i="1"/>
  <c r="Y18" i="1"/>
  <c r="W18" i="1"/>
  <c r="Y17" i="1"/>
  <c r="W17" i="1"/>
  <c r="Y16" i="1"/>
  <c r="W16" i="1"/>
  <c r="Y15" i="1"/>
  <c r="W15" i="1"/>
  <c r="Y14" i="1"/>
  <c r="W14" i="1"/>
  <c r="Y13" i="1"/>
  <c r="W13" i="1"/>
  <c r="Y12" i="1"/>
  <c r="W12" i="1"/>
  <c r="Y11" i="1"/>
  <c r="W11" i="1"/>
  <c r="Y10" i="1"/>
  <c r="W10" i="1"/>
  <c r="Y9" i="1"/>
  <c r="W9" i="1"/>
  <c r="Y8" i="1"/>
  <c r="W8" i="1"/>
  <c r="Y7" i="1"/>
  <c r="W7" i="1"/>
  <c r="Y6" i="1"/>
  <c r="W6" i="1"/>
  <c r="Y5" i="1"/>
  <c r="W5" i="1"/>
  <c r="K24" i="1"/>
  <c r="I24" i="1"/>
  <c r="W24" i="1" l="1"/>
  <c r="X72" i="1"/>
  <c r="Y24" i="1"/>
  <c r="Y48" i="1"/>
  <c r="S72" i="1"/>
  <c r="Z72" i="1"/>
  <c r="Q72" i="1"/>
  <c r="W48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P48" i="1" l="1"/>
  <c r="R48" i="1"/>
  <c r="S47" i="1"/>
  <c r="Q47" i="1"/>
  <c r="S46" i="1"/>
  <c r="Q46" i="1"/>
  <c r="S45" i="1"/>
  <c r="Q45" i="1"/>
  <c r="S44" i="1"/>
  <c r="Q44" i="1"/>
  <c r="S43" i="1"/>
  <c r="Q43" i="1"/>
  <c r="S42" i="1"/>
  <c r="Q42" i="1"/>
  <c r="S41" i="1"/>
  <c r="Q41" i="1"/>
  <c r="S40" i="1"/>
  <c r="Q40" i="1"/>
  <c r="S39" i="1"/>
  <c r="Q39" i="1"/>
  <c r="S38" i="1"/>
  <c r="Q38" i="1"/>
  <c r="S37" i="1"/>
  <c r="Q37" i="1"/>
  <c r="S36" i="1"/>
  <c r="Q36" i="1"/>
  <c r="S35" i="1"/>
  <c r="Q35" i="1"/>
  <c r="S34" i="1"/>
  <c r="Q34" i="1"/>
  <c r="S33" i="1"/>
  <c r="Q33" i="1"/>
  <c r="S32" i="1"/>
  <c r="Q32" i="1"/>
  <c r="S31" i="1"/>
  <c r="Q31" i="1"/>
  <c r="S30" i="1"/>
  <c r="Q30" i="1"/>
  <c r="S29" i="1"/>
  <c r="Q29" i="1"/>
  <c r="E334" i="1"/>
  <c r="D86" i="1"/>
  <c r="F86" i="1"/>
  <c r="J86" i="1"/>
  <c r="L86" i="1"/>
  <c r="D87" i="1"/>
  <c r="F87" i="1"/>
  <c r="J87" i="1"/>
  <c r="L87" i="1"/>
  <c r="D88" i="1"/>
  <c r="F88" i="1"/>
  <c r="F130" i="1"/>
  <c r="I88" i="1"/>
  <c r="K88" i="1"/>
  <c r="L85" i="1"/>
  <c r="J85" i="1"/>
  <c r="L84" i="1"/>
  <c r="J84" i="1"/>
  <c r="L83" i="1"/>
  <c r="J83" i="1"/>
  <c r="L82" i="1"/>
  <c r="L81" i="1"/>
  <c r="L49" i="1"/>
  <c r="J49" i="1"/>
  <c r="L48" i="1"/>
  <c r="J48" i="1"/>
  <c r="L47" i="1"/>
  <c r="J47" i="1"/>
  <c r="L46" i="1"/>
  <c r="J46" i="1"/>
  <c r="L45" i="1"/>
  <c r="J45" i="1"/>
  <c r="L44" i="1"/>
  <c r="J44" i="1"/>
  <c r="L43" i="1"/>
  <c r="J43" i="1"/>
  <c r="L42" i="1"/>
  <c r="J42" i="1"/>
  <c r="L41" i="1"/>
  <c r="J41" i="1"/>
  <c r="L40" i="1"/>
  <c r="J40" i="1"/>
  <c r="L39" i="1"/>
  <c r="J39" i="1"/>
  <c r="L38" i="1"/>
  <c r="J38" i="1"/>
  <c r="L37" i="1"/>
  <c r="J37" i="1"/>
  <c r="L36" i="1"/>
  <c r="J36" i="1"/>
  <c r="L35" i="1"/>
  <c r="J35" i="1"/>
  <c r="L34" i="1"/>
  <c r="J34" i="1"/>
  <c r="L33" i="1"/>
  <c r="J33" i="1"/>
  <c r="L32" i="1"/>
  <c r="J32" i="1"/>
  <c r="L31" i="1"/>
  <c r="J31" i="1"/>
  <c r="L30" i="1"/>
  <c r="J30" i="1"/>
  <c r="L29" i="1"/>
  <c r="J29" i="1"/>
  <c r="D85" i="1"/>
  <c r="F48" i="1"/>
  <c r="F49" i="1"/>
  <c r="F83" i="1"/>
  <c r="F84" i="1"/>
  <c r="F85" i="1"/>
  <c r="D49" i="1"/>
  <c r="D48" i="1"/>
  <c r="D46" i="1"/>
  <c r="F47" i="1"/>
  <c r="D47" i="1"/>
  <c r="F46" i="1"/>
  <c r="F45" i="1"/>
  <c r="D45" i="1"/>
  <c r="F44" i="1"/>
  <c r="D44" i="1"/>
  <c r="F43" i="1"/>
  <c r="D43" i="1"/>
  <c r="F42" i="1"/>
  <c r="D42" i="1"/>
  <c r="F41" i="1"/>
  <c r="D41" i="1"/>
  <c r="F40" i="1"/>
  <c r="D40" i="1"/>
  <c r="F39" i="1"/>
  <c r="D39" i="1"/>
  <c r="F38" i="1"/>
  <c r="D38" i="1"/>
  <c r="F37" i="1"/>
  <c r="D37" i="1"/>
  <c r="F36" i="1"/>
  <c r="D36" i="1"/>
  <c r="F35" i="1"/>
  <c r="D35" i="1"/>
  <c r="F34" i="1"/>
  <c r="F33" i="1"/>
  <c r="F32" i="1"/>
  <c r="F31" i="1"/>
  <c r="F30" i="1"/>
  <c r="R24" i="1"/>
  <c r="P24" i="1"/>
  <c r="S23" i="1"/>
  <c r="Q23" i="1"/>
  <c r="S22" i="1"/>
  <c r="Q22" i="1"/>
  <c r="S21" i="1"/>
  <c r="Q21" i="1"/>
  <c r="S20" i="1"/>
  <c r="Q20" i="1"/>
  <c r="S19" i="1"/>
  <c r="Q19" i="1"/>
  <c r="S18" i="1"/>
  <c r="Q18" i="1"/>
  <c r="S17" i="1"/>
  <c r="Q17" i="1"/>
  <c r="S16" i="1"/>
  <c r="Q16" i="1"/>
  <c r="S15" i="1"/>
  <c r="Q15" i="1"/>
  <c r="S14" i="1"/>
  <c r="Q14" i="1"/>
  <c r="S13" i="1"/>
  <c r="Q13" i="1"/>
  <c r="S12" i="1"/>
  <c r="Q12" i="1"/>
  <c r="S11" i="1"/>
  <c r="Q11" i="1"/>
  <c r="S10" i="1"/>
  <c r="Q10" i="1"/>
  <c r="S9" i="1"/>
  <c r="Q9" i="1"/>
  <c r="S8" i="1"/>
  <c r="Q8" i="1"/>
  <c r="S7" i="1"/>
  <c r="Q7" i="1"/>
  <c r="S6" i="1"/>
  <c r="Q6" i="1"/>
  <c r="S5" i="1"/>
  <c r="Q5" i="1"/>
  <c r="C24" i="1"/>
  <c r="S48" i="1" l="1"/>
  <c r="D334" i="1"/>
  <c r="S24" i="1"/>
  <c r="J88" i="1"/>
  <c r="F334" i="1"/>
  <c r="Q48" i="1"/>
  <c r="Q24" i="1"/>
  <c r="L88" i="1"/>
  <c r="D6" i="1"/>
  <c r="D7" i="1"/>
  <c r="L18" i="1" l="1"/>
  <c r="L6" i="1"/>
  <c r="L7" i="1"/>
  <c r="L8" i="1"/>
  <c r="L9" i="1"/>
  <c r="L10" i="1"/>
  <c r="L11" i="1"/>
  <c r="L12" i="1"/>
  <c r="L13" i="1"/>
  <c r="L14" i="1"/>
  <c r="L15" i="1"/>
  <c r="L16" i="1"/>
  <c r="L17" i="1"/>
  <c r="L19" i="1"/>
  <c r="L20" i="1"/>
  <c r="L21" i="1"/>
  <c r="L22" i="1"/>
  <c r="L23" i="1"/>
  <c r="L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5" i="1"/>
  <c r="L24" i="1" l="1"/>
  <c r="J2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5" i="1"/>
  <c r="E24" i="1"/>
  <c r="D23" i="1"/>
  <c r="D22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5" i="1"/>
  <c r="F24" i="1" l="1"/>
  <c r="D24" i="1"/>
</calcChain>
</file>

<file path=xl/sharedStrings.xml><?xml version="1.0" encoding="utf-8"?>
<sst xmlns="http://schemas.openxmlformats.org/spreadsheetml/2006/main" count="84" uniqueCount="26">
  <si>
    <t>NETO 21</t>
  </si>
  <si>
    <t>IVA 21</t>
  </si>
  <si>
    <t>NETO 10,5</t>
  </si>
  <si>
    <t>IVA 10,5</t>
  </si>
  <si>
    <t>BANCO CREDICOOP</t>
  </si>
  <si>
    <t>AMERICAN EXPRESS</t>
  </si>
  <si>
    <t>MASTERCARD</t>
  </si>
  <si>
    <t>MAESTRO</t>
  </si>
  <si>
    <t>CABAL</t>
  </si>
  <si>
    <t>BANCO SUPERVIELLE</t>
  </si>
  <si>
    <t>EXTRACTO SUPERVIELLE</t>
  </si>
  <si>
    <t>EXTRACTO VISA</t>
  </si>
  <si>
    <t>BANCO GALICIA</t>
  </si>
  <si>
    <t>PERC. IVA</t>
  </si>
  <si>
    <t>RET. IIBB CABA</t>
  </si>
  <si>
    <t>PERC. IIBB</t>
  </si>
  <si>
    <t>AMEX</t>
  </si>
  <si>
    <t>Perc. IIGG</t>
  </si>
  <si>
    <t>BANCO SANTANDER</t>
  </si>
  <si>
    <t>BANCO PATAGONIA</t>
  </si>
  <si>
    <t>PERC. CABA</t>
  </si>
  <si>
    <t>Perc. Iva</t>
  </si>
  <si>
    <t>Perc. CABA</t>
  </si>
  <si>
    <t xml:space="preserve">BANCO </t>
  </si>
  <si>
    <t>IVA SIN NETO DISCRIMINDO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</si>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</sst>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4" fillId="0" borderId="0" applyFont="0" applyFill="0" applyBorder="0" applyAlignment="0" applyProtection="0"/>
  </cellStyleXfs>
  <cellXfs count="24">
    <xf numFmtId="0" fontId="0" fillId="0" borderId="0" xfId="0"/>
    <xf numFmtId="2" fontId="0" fillId="0" borderId="0" xfId="0" applyNumberFormat="1"/>
    <xf numFmtId="2" fontId="1" fillId="2" borderId="0" xfId="0" applyNumberFormat="1" applyFont="1" applyFill="1"/>
    <xf numFmtId="0" fontId="1" fillId="3" borderId="0" xfId="0" applyFont="1" applyFill="1"/>
    <xf numFmtId="2" fontId="2" fillId="0" borderId="0" xfId="0" applyNumberFormat="1" applyFont="1"/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/>
    <xf numFmtId="4" fontId="0" fillId="0" borderId="0" xfId="0" applyNumberFormat="1"/>
    <xf numFmtId="0" fontId="0" fillId="6" borderId="1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43" fontId="1" fillId="3" borderId="0" xfId="2" applyFont="1" applyFill="1"/>
    <xf numFmtId="43" fontId="0" fillId="0" borderId="0" xfId="2" applyFont="1"/>
    <xf numFmtId="43" fontId="1" fillId="2" borderId="0" xfId="2" applyFont="1" applyFill="1"/>
    <xf numFmtId="0" fontId="1" fillId="4" borderId="0" xfId="0" applyFont="1" applyFill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43" fontId="1" fillId="5" borderId="0" xfId="2" applyFont="1" applyFill="1" applyAlignment="1">
      <alignment horizontal="center"/>
    </xf>
    <xf numFmtId="43" fontId="0" fillId="0" borderId="8" xfId="2" applyFont="1" applyBorder="1"/>
    <xf numFmtId="43" fontId="0" fillId="0" borderId="9" xfId="2" applyFont="1" applyBorder="1"/>
    <xf numFmtId="43" fontId="0" fillId="0" borderId="7" xfId="2" applyFont="1" applyBorder="1"/>
    <xf numFmtId="43" fontId="0" fillId="0" borderId="6" xfId="2" applyFont="1" applyBorder="1"/>
  </cellXfs>
  <cellStyles count="3">
    <cellStyle name="Millares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B334"/>
  <sheetViews>
    <sheetView topLeftCell="H1" workbookViewId="0">
      <selection activeCell="H2" sqref="H2:N24"/>
    </sheetView>
  </sheetViews>
  <sheetFormatPr baseColWidth="10" defaultRowHeight="15" x14ac:dyDescent="0.25"/>
  <cols>
    <col min="27" max="27" width="12.7109375" customWidth="1"/>
  </cols>
  <sheetData>
    <row r="3" spans="3:25" x14ac:dyDescent="0.25">
      <c r="C3" s="16" t="s">
        <v>4</v>
      </c>
      <c r="D3" s="16"/>
      <c r="E3" s="16"/>
      <c r="F3" s="16"/>
      <c r="I3" s="16" t="s">
        <v>18</v>
      </c>
      <c r="J3" s="16"/>
      <c r="K3" s="16"/>
      <c r="L3" s="16"/>
      <c r="P3" s="16" t="s">
        <v>5</v>
      </c>
      <c r="Q3" s="16"/>
      <c r="R3" s="16"/>
      <c r="S3" s="16"/>
      <c r="U3" s="16" t="s">
        <v>11</v>
      </c>
      <c r="V3" s="16"/>
      <c r="W3" s="16"/>
      <c r="X3" s="16"/>
      <c r="Y3" s="16"/>
    </row>
    <row r="4" spans="3:25" x14ac:dyDescent="0.25">
      <c r="C4" s="3" t="s">
        <v>0</v>
      </c>
      <c r="D4" s="3" t="s">
        <v>1</v>
      </c>
      <c r="E4" s="3" t="s">
        <v>2</v>
      </c>
      <c r="F4" s="3" t="s">
        <v>3</v>
      </c>
      <c r="G4" s="5" t="s">
        <v>17</v>
      </c>
      <c r="H4" s="5" t="s">
        <v>21</v>
      </c>
      <c r="I4" s="3" t="s">
        <v>0</v>
      </c>
      <c r="J4" s="3" t="s">
        <v>1</v>
      </c>
      <c r="K4" s="3" t="s">
        <v>2</v>
      </c>
      <c r="L4" s="3" t="s">
        <v>3</v>
      </c>
      <c r="M4" s="5"/>
      <c r="N4" s="5" t="s">
        <v>17</v>
      </c>
      <c r="O4" s="7"/>
      <c r="P4" s="3" t="s">
        <v>0</v>
      </c>
      <c r="Q4" s="3" t="s">
        <v>1</v>
      </c>
      <c r="R4" s="3" t="s">
        <v>2</v>
      </c>
      <c r="S4" s="3" t="s">
        <v>3</v>
      </c>
      <c r="U4" s="3" t="s">
        <v>0</v>
      </c>
      <c r="V4" s="3"/>
      <c r="W4" s="3" t="s">
        <v>1</v>
      </c>
      <c r="X4" s="3" t="s">
        <v>2</v>
      </c>
      <c r="Y4" s="3" t="s">
        <v>3</v>
      </c>
    </row>
    <row r="5" spans="3:25" ht="15" customHeight="1" x14ac:dyDescent="0.25">
      <c r="C5" s="1">
        <v>700</v>
      </c>
      <c r="D5" s="1">
        <f>C5*21/100</f>
        <v>147</v>
      </c>
      <c r="E5" s="1">
        <v>426.8</v>
      </c>
      <c r="F5" s="1">
        <f>E5*10.5/100</f>
        <v>44.814000000000007</v>
      </c>
      <c r="G5" s="1">
        <v>17.5</v>
      </c>
      <c r="H5" s="1">
        <v>81</v>
      </c>
      <c r="I5" s="1">
        <v>27</v>
      </c>
      <c r="J5" s="1">
        <f>I5*21/100</f>
        <v>5.67</v>
      </c>
      <c r="K5" s="1"/>
      <c r="L5" s="1">
        <f>K5*10.5/100</f>
        <v>0</v>
      </c>
      <c r="M5" s="1">
        <v>66.5</v>
      </c>
      <c r="N5" s="1"/>
      <c r="O5" s="1"/>
      <c r="P5" s="1"/>
      <c r="Q5" s="1">
        <f>P5*21/100</f>
        <v>0</v>
      </c>
      <c r="R5" s="1"/>
      <c r="S5" s="1">
        <f>R5*10.5/100</f>
        <v>0</v>
      </c>
      <c r="U5" s="1"/>
      <c r="V5" s="1"/>
      <c r="W5" s="1">
        <f>U5*21/100</f>
        <v>0</v>
      </c>
      <c r="X5" s="1"/>
      <c r="Y5" s="1">
        <f>X5*10.5/100</f>
        <v>0</v>
      </c>
    </row>
    <row r="6" spans="3:25" ht="15" customHeight="1" x14ac:dyDescent="0.25">
      <c r="C6" s="1">
        <v>2700</v>
      </c>
      <c r="D6" s="1">
        <f t="shared" ref="D6:D23" si="0">C6*21/100</f>
        <v>567</v>
      </c>
      <c r="E6" s="1"/>
      <c r="F6" s="1">
        <f t="shared" ref="F6:F21" si="1">E6*10.5/100</f>
        <v>0</v>
      </c>
      <c r="I6" s="1">
        <v>32</v>
      </c>
      <c r="J6" s="1">
        <f t="shared" ref="J6:J23" si="2">I6*21/100</f>
        <v>6.72</v>
      </c>
      <c r="K6" s="1"/>
      <c r="L6" s="1">
        <f t="shared" ref="L6:L23" si="3">K6*10.5/100</f>
        <v>0</v>
      </c>
      <c r="M6" s="1"/>
      <c r="P6" s="1"/>
      <c r="Q6" s="1">
        <f t="shared" ref="Q6:Q23" si="4">P6*21/100</f>
        <v>0</v>
      </c>
      <c r="R6" s="1"/>
      <c r="S6" s="1">
        <f t="shared" ref="S6:S17" si="5">R6*10.5/100</f>
        <v>0</v>
      </c>
      <c r="U6" s="1"/>
      <c r="V6" s="1"/>
      <c r="W6" s="1">
        <f t="shared" ref="W6:W23" si="6">U6*21/100</f>
        <v>0</v>
      </c>
      <c r="X6" s="1"/>
      <c r="Y6" s="1">
        <f t="shared" ref="Y6:Y17" si="7">X6*10.5/100</f>
        <v>0</v>
      </c>
    </row>
    <row r="7" spans="3:25" ht="15" customHeight="1" x14ac:dyDescent="0.25">
      <c r="C7" s="1">
        <v>500</v>
      </c>
      <c r="D7" s="1">
        <f t="shared" si="0"/>
        <v>105</v>
      </c>
      <c r="E7" s="1"/>
      <c r="F7" s="1">
        <f t="shared" si="1"/>
        <v>0</v>
      </c>
      <c r="I7" s="1">
        <v>2.5</v>
      </c>
      <c r="J7" s="1">
        <f t="shared" si="2"/>
        <v>0.52500000000000002</v>
      </c>
      <c r="K7" s="1"/>
      <c r="L7" s="1">
        <f t="shared" si="3"/>
        <v>0</v>
      </c>
      <c r="M7" s="1"/>
      <c r="P7" s="1"/>
      <c r="Q7" s="1">
        <f t="shared" si="4"/>
        <v>0</v>
      </c>
      <c r="R7" s="1"/>
      <c r="S7" s="1">
        <f t="shared" si="5"/>
        <v>0</v>
      </c>
      <c r="U7" s="1"/>
      <c r="V7" s="1"/>
      <c r="W7" s="1">
        <f t="shared" si="6"/>
        <v>0</v>
      </c>
      <c r="X7" s="1"/>
      <c r="Y7" s="1">
        <f t="shared" si="7"/>
        <v>0</v>
      </c>
    </row>
    <row r="8" spans="3:25" ht="15" customHeight="1" x14ac:dyDescent="0.25">
      <c r="C8" s="1"/>
      <c r="D8" s="1">
        <f t="shared" si="0"/>
        <v>0</v>
      </c>
      <c r="E8" s="1"/>
      <c r="F8" s="1">
        <f t="shared" si="1"/>
        <v>0</v>
      </c>
      <c r="I8" s="1">
        <v>16</v>
      </c>
      <c r="J8" s="1">
        <f t="shared" si="2"/>
        <v>3.36</v>
      </c>
      <c r="K8" s="1"/>
      <c r="L8" s="1">
        <f t="shared" si="3"/>
        <v>0</v>
      </c>
      <c r="M8" s="1"/>
      <c r="P8" s="1"/>
      <c r="Q8" s="1">
        <f t="shared" si="4"/>
        <v>0</v>
      </c>
      <c r="R8" s="1"/>
      <c r="S8" s="1">
        <f t="shared" si="5"/>
        <v>0</v>
      </c>
      <c r="U8" s="1"/>
      <c r="V8" s="1"/>
      <c r="W8" s="1">
        <f t="shared" si="6"/>
        <v>0</v>
      </c>
      <c r="X8" s="1"/>
      <c r="Y8" s="1">
        <f t="shared" si="7"/>
        <v>0</v>
      </c>
    </row>
    <row r="9" spans="3:25" ht="15" customHeight="1" x14ac:dyDescent="0.25">
      <c r="C9" s="1"/>
      <c r="D9" s="1">
        <f t="shared" si="0"/>
        <v>0</v>
      </c>
      <c r="E9" s="1"/>
      <c r="F9" s="1">
        <f t="shared" si="1"/>
        <v>0</v>
      </c>
      <c r="I9" s="1">
        <v>16</v>
      </c>
      <c r="J9" s="1">
        <f t="shared" si="2"/>
        <v>3.36</v>
      </c>
      <c r="K9" s="1"/>
      <c r="L9" s="1">
        <f t="shared" si="3"/>
        <v>0</v>
      </c>
      <c r="M9" s="1"/>
      <c r="P9" s="1"/>
      <c r="Q9" s="1">
        <f t="shared" si="4"/>
        <v>0</v>
      </c>
      <c r="R9" s="1"/>
      <c r="S9" s="1">
        <f t="shared" si="5"/>
        <v>0</v>
      </c>
      <c r="U9" s="1"/>
      <c r="V9" s="1"/>
      <c r="W9" s="1">
        <f t="shared" si="6"/>
        <v>0</v>
      </c>
      <c r="X9" s="1"/>
      <c r="Y9" s="1">
        <f t="shared" si="7"/>
        <v>0</v>
      </c>
    </row>
    <row r="10" spans="3:25" ht="15" customHeight="1" x14ac:dyDescent="0.25">
      <c r="C10" s="1"/>
      <c r="D10" s="1">
        <f t="shared" si="0"/>
        <v>0</v>
      </c>
      <c r="E10" s="1"/>
      <c r="F10" s="1">
        <f t="shared" si="1"/>
        <v>0</v>
      </c>
      <c r="I10" s="1">
        <v>16</v>
      </c>
      <c r="J10" s="1">
        <f t="shared" si="2"/>
        <v>3.36</v>
      </c>
      <c r="K10" s="1"/>
      <c r="L10" s="1">
        <f t="shared" si="3"/>
        <v>0</v>
      </c>
      <c r="M10" s="1"/>
      <c r="P10" s="1"/>
      <c r="Q10" s="1">
        <f t="shared" si="4"/>
        <v>0</v>
      </c>
      <c r="R10" s="1"/>
      <c r="S10" s="1">
        <f t="shared" si="5"/>
        <v>0</v>
      </c>
      <c r="U10" s="1"/>
      <c r="V10" s="1"/>
      <c r="W10" s="1">
        <f t="shared" si="6"/>
        <v>0</v>
      </c>
      <c r="X10" s="1"/>
      <c r="Y10" s="1">
        <f t="shared" si="7"/>
        <v>0</v>
      </c>
    </row>
    <row r="11" spans="3:25" ht="15" customHeight="1" x14ac:dyDescent="0.25">
      <c r="C11" s="1"/>
      <c r="D11" s="1">
        <f t="shared" si="0"/>
        <v>0</v>
      </c>
      <c r="E11" s="1"/>
      <c r="F11" s="1">
        <f t="shared" si="1"/>
        <v>0</v>
      </c>
      <c r="I11" s="1">
        <v>2.5</v>
      </c>
      <c r="J11" s="1">
        <f t="shared" si="2"/>
        <v>0.52500000000000002</v>
      </c>
      <c r="K11" s="1"/>
      <c r="L11" s="1">
        <f t="shared" si="3"/>
        <v>0</v>
      </c>
      <c r="M11" s="1"/>
      <c r="P11" s="1"/>
      <c r="Q11" s="1">
        <f t="shared" si="4"/>
        <v>0</v>
      </c>
      <c r="R11" s="1"/>
      <c r="S11" s="1">
        <f t="shared" si="5"/>
        <v>0</v>
      </c>
      <c r="U11" s="1"/>
      <c r="V11" s="1"/>
      <c r="W11" s="1">
        <f t="shared" si="6"/>
        <v>0</v>
      </c>
      <c r="X11" s="1"/>
      <c r="Y11" s="1">
        <f t="shared" si="7"/>
        <v>0</v>
      </c>
    </row>
    <row r="12" spans="3:25" ht="15" customHeight="1" x14ac:dyDescent="0.25">
      <c r="C12" s="1"/>
      <c r="D12" s="1">
        <f t="shared" si="0"/>
        <v>0</v>
      </c>
      <c r="E12" s="1"/>
      <c r="F12" s="1">
        <f t="shared" si="1"/>
        <v>0</v>
      </c>
      <c r="I12" s="1">
        <v>500</v>
      </c>
      <c r="J12" s="1">
        <f t="shared" si="2"/>
        <v>105</v>
      </c>
      <c r="K12" s="1"/>
      <c r="L12" s="1">
        <f t="shared" si="3"/>
        <v>0</v>
      </c>
      <c r="M12" s="1"/>
      <c r="P12" s="1"/>
      <c r="Q12" s="1">
        <f t="shared" si="4"/>
        <v>0</v>
      </c>
      <c r="R12" s="1"/>
      <c r="S12" s="1">
        <f t="shared" si="5"/>
        <v>0</v>
      </c>
      <c r="U12" s="1"/>
      <c r="V12" s="1"/>
      <c r="W12" s="1">
        <f t="shared" si="6"/>
        <v>0</v>
      </c>
      <c r="X12" s="1"/>
      <c r="Y12" s="1">
        <f t="shared" si="7"/>
        <v>0</v>
      </c>
    </row>
    <row r="13" spans="3:25" ht="15" customHeight="1" x14ac:dyDescent="0.25">
      <c r="C13" s="1"/>
      <c r="D13" s="1">
        <f t="shared" si="0"/>
        <v>0</v>
      </c>
      <c r="E13" s="1"/>
      <c r="F13" s="1">
        <f t="shared" si="1"/>
        <v>0</v>
      </c>
      <c r="I13" s="1">
        <v>1900</v>
      </c>
      <c r="J13" s="1">
        <f t="shared" si="2"/>
        <v>399</v>
      </c>
      <c r="K13" s="1"/>
      <c r="L13" s="1">
        <f t="shared" si="3"/>
        <v>0</v>
      </c>
      <c r="M13" s="1"/>
      <c r="P13" s="1"/>
      <c r="Q13" s="1">
        <f t="shared" si="4"/>
        <v>0</v>
      </c>
      <c r="R13" s="1"/>
      <c r="S13" s="1">
        <f t="shared" si="5"/>
        <v>0</v>
      </c>
      <c r="U13" s="1"/>
      <c r="V13" s="1"/>
      <c r="W13" s="1">
        <f t="shared" si="6"/>
        <v>0</v>
      </c>
      <c r="X13" s="1"/>
      <c r="Y13" s="1">
        <f t="shared" si="7"/>
        <v>0</v>
      </c>
    </row>
    <row r="14" spans="3:25" ht="15" customHeight="1" x14ac:dyDescent="0.25">
      <c r="C14" s="1"/>
      <c r="D14" s="1">
        <f t="shared" si="0"/>
        <v>0</v>
      </c>
      <c r="E14" s="1"/>
      <c r="F14" s="1">
        <f t="shared" si="1"/>
        <v>0</v>
      </c>
      <c r="I14" s="1"/>
      <c r="J14" s="1">
        <f t="shared" si="2"/>
        <v>0</v>
      </c>
      <c r="K14" s="1"/>
      <c r="L14" s="1">
        <f t="shared" si="3"/>
        <v>0</v>
      </c>
      <c r="M14" s="1"/>
      <c r="P14" s="1"/>
      <c r="Q14" s="1">
        <f t="shared" si="4"/>
        <v>0</v>
      </c>
      <c r="R14" s="1"/>
      <c r="S14" s="1">
        <f t="shared" si="5"/>
        <v>0</v>
      </c>
      <c r="U14" s="1"/>
      <c r="V14" s="1"/>
      <c r="W14" s="1">
        <f t="shared" si="6"/>
        <v>0</v>
      </c>
      <c r="X14" s="1"/>
      <c r="Y14" s="1">
        <f t="shared" si="7"/>
        <v>0</v>
      </c>
    </row>
    <row r="15" spans="3:25" ht="15" customHeight="1" x14ac:dyDescent="0.25">
      <c r="C15" s="1"/>
      <c r="D15" s="1">
        <f t="shared" si="0"/>
        <v>0</v>
      </c>
      <c r="E15" s="1"/>
      <c r="F15" s="1">
        <f t="shared" si="1"/>
        <v>0</v>
      </c>
      <c r="I15" s="1"/>
      <c r="J15" s="1">
        <f t="shared" si="2"/>
        <v>0</v>
      </c>
      <c r="K15" s="1"/>
      <c r="L15" s="1">
        <f t="shared" si="3"/>
        <v>0</v>
      </c>
      <c r="M15" s="1"/>
      <c r="P15" s="1"/>
      <c r="Q15" s="1">
        <f t="shared" si="4"/>
        <v>0</v>
      </c>
      <c r="R15" s="1"/>
      <c r="S15" s="1">
        <f t="shared" si="5"/>
        <v>0</v>
      </c>
      <c r="U15" s="1"/>
      <c r="V15" s="1"/>
      <c r="W15" s="1">
        <f t="shared" si="6"/>
        <v>0</v>
      </c>
      <c r="X15" s="1"/>
      <c r="Y15" s="1">
        <f t="shared" si="7"/>
        <v>0</v>
      </c>
    </row>
    <row r="16" spans="3:25" ht="15" customHeight="1" x14ac:dyDescent="0.25">
      <c r="C16" s="1"/>
      <c r="D16" s="1">
        <f t="shared" si="0"/>
        <v>0</v>
      </c>
      <c r="E16" s="1"/>
      <c r="F16" s="1">
        <f t="shared" si="1"/>
        <v>0</v>
      </c>
      <c r="I16" s="1"/>
      <c r="J16" s="1">
        <f t="shared" si="2"/>
        <v>0</v>
      </c>
      <c r="K16" s="1"/>
      <c r="L16" s="1">
        <f t="shared" si="3"/>
        <v>0</v>
      </c>
      <c r="M16" s="1"/>
      <c r="P16" s="1"/>
      <c r="Q16" s="1">
        <f t="shared" si="4"/>
        <v>0</v>
      </c>
      <c r="R16" s="1"/>
      <c r="S16" s="1">
        <f t="shared" si="5"/>
        <v>0</v>
      </c>
      <c r="U16" s="1"/>
      <c r="V16" s="1"/>
      <c r="W16" s="1">
        <f t="shared" si="6"/>
        <v>0</v>
      </c>
      <c r="X16" s="1"/>
      <c r="Y16" s="1">
        <f t="shared" si="7"/>
        <v>0</v>
      </c>
    </row>
    <row r="17" spans="1:28" ht="15" customHeight="1" x14ac:dyDescent="0.25">
      <c r="C17" s="1"/>
      <c r="D17" s="1">
        <f t="shared" si="0"/>
        <v>0</v>
      </c>
      <c r="E17" s="1"/>
      <c r="F17" s="1">
        <f t="shared" si="1"/>
        <v>0</v>
      </c>
      <c r="I17" s="1"/>
      <c r="J17" s="1">
        <f t="shared" si="2"/>
        <v>0</v>
      </c>
      <c r="K17" s="1"/>
      <c r="L17" s="1">
        <f t="shared" si="3"/>
        <v>0</v>
      </c>
      <c r="M17" s="1"/>
      <c r="P17" s="1"/>
      <c r="Q17" s="1">
        <f t="shared" si="4"/>
        <v>0</v>
      </c>
      <c r="R17" s="1"/>
      <c r="S17" s="1">
        <f t="shared" si="5"/>
        <v>0</v>
      </c>
      <c r="U17" s="1"/>
      <c r="V17" s="1"/>
      <c r="W17" s="1">
        <f t="shared" si="6"/>
        <v>0</v>
      </c>
      <c r="X17" s="1"/>
      <c r="Y17" s="1">
        <f t="shared" si="7"/>
        <v>0</v>
      </c>
    </row>
    <row r="18" spans="1:28" ht="15" customHeight="1" x14ac:dyDescent="0.25">
      <c r="C18" s="1"/>
      <c r="D18" s="1">
        <f t="shared" si="0"/>
        <v>0</v>
      </c>
      <c r="E18" s="1"/>
      <c r="F18" s="1">
        <f t="shared" si="1"/>
        <v>0</v>
      </c>
      <c r="I18" s="1"/>
      <c r="J18" s="1">
        <f t="shared" si="2"/>
        <v>0</v>
      </c>
      <c r="K18" s="1"/>
      <c r="L18" s="1">
        <f>K18*10.5/100</f>
        <v>0</v>
      </c>
      <c r="M18" s="1"/>
      <c r="P18" s="1"/>
      <c r="Q18" s="1">
        <f t="shared" si="4"/>
        <v>0</v>
      </c>
      <c r="R18" s="1"/>
      <c r="S18" s="1">
        <f>R18*10.5/100</f>
        <v>0</v>
      </c>
      <c r="U18" s="1"/>
      <c r="V18" s="1"/>
      <c r="W18" s="1">
        <f t="shared" si="6"/>
        <v>0</v>
      </c>
      <c r="X18" s="1"/>
      <c r="Y18" s="1">
        <f>X18*10.5/100</f>
        <v>0</v>
      </c>
    </row>
    <row r="19" spans="1:28" ht="15" customHeight="1" x14ac:dyDescent="0.25">
      <c r="C19" s="1"/>
      <c r="D19" s="1">
        <f t="shared" si="0"/>
        <v>0</v>
      </c>
      <c r="E19" s="1"/>
      <c r="F19" s="1">
        <f t="shared" si="1"/>
        <v>0</v>
      </c>
      <c r="I19" s="1"/>
      <c r="J19" s="1">
        <f t="shared" si="2"/>
        <v>0</v>
      </c>
      <c r="K19" s="1"/>
      <c r="L19" s="1">
        <f t="shared" si="3"/>
        <v>0</v>
      </c>
      <c r="M19" s="1"/>
      <c r="P19" s="1"/>
      <c r="Q19" s="1">
        <f t="shared" si="4"/>
        <v>0</v>
      </c>
      <c r="R19" s="1"/>
      <c r="S19" s="1">
        <f t="shared" ref="S19:S23" si="8">R19*10.5/100</f>
        <v>0</v>
      </c>
      <c r="U19" s="1"/>
      <c r="V19" s="1"/>
      <c r="W19" s="1">
        <f t="shared" si="6"/>
        <v>0</v>
      </c>
      <c r="X19" s="1"/>
      <c r="Y19" s="1">
        <f t="shared" ref="Y19:Y23" si="9">X19*10.5/100</f>
        <v>0</v>
      </c>
    </row>
    <row r="20" spans="1:28" ht="15" customHeight="1" x14ac:dyDescent="0.25">
      <c r="C20" s="1"/>
      <c r="D20" s="1">
        <f t="shared" si="0"/>
        <v>0</v>
      </c>
      <c r="E20" s="1"/>
      <c r="F20" s="1">
        <f t="shared" si="1"/>
        <v>0</v>
      </c>
      <c r="I20" s="1"/>
      <c r="J20" s="1">
        <f t="shared" si="2"/>
        <v>0</v>
      </c>
      <c r="K20" s="1"/>
      <c r="L20" s="1">
        <f t="shared" si="3"/>
        <v>0</v>
      </c>
      <c r="M20" s="1"/>
      <c r="P20" s="1"/>
      <c r="Q20" s="1">
        <f t="shared" si="4"/>
        <v>0</v>
      </c>
      <c r="R20" s="1"/>
      <c r="S20" s="1">
        <f t="shared" si="8"/>
        <v>0</v>
      </c>
      <c r="U20" s="1"/>
      <c r="V20" s="1"/>
      <c r="W20" s="1">
        <f t="shared" si="6"/>
        <v>0</v>
      </c>
      <c r="X20" s="1"/>
      <c r="Y20" s="1">
        <f t="shared" si="9"/>
        <v>0</v>
      </c>
    </row>
    <row r="21" spans="1:28" ht="15" customHeight="1" x14ac:dyDescent="0.25">
      <c r="C21" s="1"/>
      <c r="D21" s="1">
        <f t="shared" si="0"/>
        <v>0</v>
      </c>
      <c r="E21" s="1"/>
      <c r="F21" s="1">
        <f t="shared" si="1"/>
        <v>0</v>
      </c>
      <c r="I21" s="1"/>
      <c r="J21" s="1">
        <f t="shared" si="2"/>
        <v>0</v>
      </c>
      <c r="K21" s="1"/>
      <c r="L21" s="1">
        <f t="shared" si="3"/>
        <v>0</v>
      </c>
      <c r="M21" s="1"/>
      <c r="P21" s="1"/>
      <c r="Q21" s="1">
        <f t="shared" si="4"/>
        <v>0</v>
      </c>
      <c r="R21" s="1"/>
      <c r="S21" s="1">
        <f t="shared" si="8"/>
        <v>0</v>
      </c>
      <c r="U21" s="1"/>
      <c r="V21" s="1"/>
      <c r="W21" s="1">
        <f t="shared" si="6"/>
        <v>0</v>
      </c>
      <c r="X21" s="1"/>
      <c r="Y21" s="1">
        <f t="shared" si="9"/>
        <v>0</v>
      </c>
    </row>
    <row r="22" spans="1:28" ht="15" customHeight="1" x14ac:dyDescent="0.25">
      <c r="C22" s="1"/>
      <c r="D22" s="1">
        <f t="shared" si="0"/>
        <v>0</v>
      </c>
      <c r="E22" s="1"/>
      <c r="F22" s="1">
        <f t="shared" ref="F22:F23" si="10">E22*10.5/100</f>
        <v>0</v>
      </c>
      <c r="I22" s="1"/>
      <c r="J22" s="1">
        <f t="shared" si="2"/>
        <v>0</v>
      </c>
      <c r="K22" s="1"/>
      <c r="L22" s="1">
        <f t="shared" si="3"/>
        <v>0</v>
      </c>
      <c r="M22" s="1"/>
      <c r="P22" s="1"/>
      <c r="Q22" s="1">
        <f t="shared" si="4"/>
        <v>0</v>
      </c>
      <c r="R22" s="1"/>
      <c r="S22" s="1">
        <f t="shared" si="8"/>
        <v>0</v>
      </c>
      <c r="U22" s="1"/>
      <c r="V22" s="1"/>
      <c r="W22" s="1">
        <f t="shared" si="6"/>
        <v>0</v>
      </c>
      <c r="X22" s="1"/>
      <c r="Y22" s="1">
        <f t="shared" si="9"/>
        <v>0</v>
      </c>
    </row>
    <row r="23" spans="1:28" x14ac:dyDescent="0.25">
      <c r="C23" s="1"/>
      <c r="D23" s="1">
        <f t="shared" si="0"/>
        <v>0</v>
      </c>
      <c r="E23" s="1"/>
      <c r="F23" s="1">
        <f t="shared" si="10"/>
        <v>0</v>
      </c>
      <c r="I23" s="1"/>
      <c r="J23" s="1">
        <f t="shared" si="2"/>
        <v>0</v>
      </c>
      <c r="K23" s="1"/>
      <c r="L23" s="1">
        <f t="shared" si="3"/>
        <v>0</v>
      </c>
      <c r="M23" s="1"/>
      <c r="P23" s="1"/>
      <c r="Q23" s="1">
        <f t="shared" si="4"/>
        <v>0</v>
      </c>
      <c r="R23" s="1"/>
      <c r="S23" s="1">
        <f t="shared" si="8"/>
        <v>0</v>
      </c>
      <c r="U23" s="1"/>
      <c r="V23" s="1"/>
      <c r="W23" s="1">
        <f t="shared" si="6"/>
        <v>0</v>
      </c>
      <c r="X23" s="1"/>
      <c r="Y23" s="1">
        <f t="shared" si="9"/>
        <v>0</v>
      </c>
    </row>
    <row r="24" spans="1:28" x14ac:dyDescent="0.25">
      <c r="C24" s="2">
        <f t="shared" ref="C24:I24" si="11">SUM(C5:C23)</f>
        <v>3900</v>
      </c>
      <c r="D24" s="2">
        <f t="shared" si="11"/>
        <v>819</v>
      </c>
      <c r="E24" s="2">
        <f t="shared" si="11"/>
        <v>426.8</v>
      </c>
      <c r="F24" s="2">
        <f t="shared" si="11"/>
        <v>44.814000000000007</v>
      </c>
      <c r="G24" s="2">
        <f t="shared" si="11"/>
        <v>17.5</v>
      </c>
      <c r="H24" s="2"/>
      <c r="I24" s="2">
        <f t="shared" si="11"/>
        <v>2512</v>
      </c>
      <c r="J24" s="2">
        <f t="shared" ref="J24:N24" si="12">SUM(J5:J23)</f>
        <v>527.52</v>
      </c>
      <c r="K24" s="2">
        <f t="shared" si="12"/>
        <v>0</v>
      </c>
      <c r="L24" s="2">
        <f t="shared" si="12"/>
        <v>0</v>
      </c>
      <c r="M24" s="2">
        <f t="shared" si="12"/>
        <v>66.5</v>
      </c>
      <c r="N24" s="2">
        <f t="shared" si="12"/>
        <v>0</v>
      </c>
      <c r="O24" s="8"/>
      <c r="P24" s="2">
        <f>SUM(P5:P23)</f>
        <v>0</v>
      </c>
      <c r="Q24" s="2">
        <f>SUM(Q5:Q23)</f>
        <v>0</v>
      </c>
      <c r="R24" s="2">
        <f>SUM(R5:R23)</f>
        <v>0</v>
      </c>
      <c r="S24" s="2">
        <f>SUM(S5:S23)</f>
        <v>0</v>
      </c>
      <c r="U24" s="2">
        <f>SUM(U5:U23)</f>
        <v>0</v>
      </c>
      <c r="V24" s="2"/>
      <c r="W24" s="2">
        <f>SUM(W5:W23)</f>
        <v>0</v>
      </c>
      <c r="X24" s="2">
        <f>SUM(X5:X23)</f>
        <v>0</v>
      </c>
      <c r="Y24" s="2">
        <f>SUM(Y5:Y23)</f>
        <v>0</v>
      </c>
    </row>
    <row r="26" spans="1:28" x14ac:dyDescent="0.25">
      <c r="A26">
        <f>45.34*100/0.21</f>
        <v>21590.476190476191</v>
      </c>
    </row>
    <row r="27" spans="1:28" x14ac:dyDescent="0.25">
      <c r="C27" s="16" t="s">
        <v>6</v>
      </c>
      <c r="D27" s="16"/>
      <c r="E27" s="16"/>
      <c r="F27" s="16"/>
      <c r="I27" s="16" t="s">
        <v>7</v>
      </c>
      <c r="J27" s="16"/>
      <c r="K27" s="16"/>
      <c r="L27" s="16"/>
      <c r="M27" s="6"/>
      <c r="P27" s="16" t="s">
        <v>8</v>
      </c>
      <c r="Q27" s="16"/>
      <c r="R27" s="16"/>
      <c r="S27" s="16"/>
      <c r="U27" s="16" t="s">
        <v>12</v>
      </c>
      <c r="V27" s="16"/>
      <c r="W27" s="16"/>
      <c r="X27" s="16"/>
      <c r="Y27" s="16"/>
    </row>
    <row r="28" spans="1:28" x14ac:dyDescent="0.25">
      <c r="B28" s="5" t="s">
        <v>13</v>
      </c>
      <c r="C28" s="3" t="s">
        <v>0</v>
      </c>
      <c r="D28" s="3" t="s">
        <v>1</v>
      </c>
      <c r="E28" s="3" t="s">
        <v>2</v>
      </c>
      <c r="F28" s="3" t="s">
        <v>3</v>
      </c>
      <c r="G28" s="5" t="s">
        <v>17</v>
      </c>
      <c r="H28" s="5" t="s">
        <v>20</v>
      </c>
      <c r="I28" s="3" t="s">
        <v>0</v>
      </c>
      <c r="J28" s="3" t="s">
        <v>1</v>
      </c>
      <c r="K28" s="3" t="s">
        <v>2</v>
      </c>
      <c r="L28" s="3" t="s">
        <v>3</v>
      </c>
      <c r="M28" s="3"/>
      <c r="P28" s="3" t="s">
        <v>0</v>
      </c>
      <c r="Q28" s="3" t="s">
        <v>1</v>
      </c>
      <c r="R28" s="3" t="s">
        <v>2</v>
      </c>
      <c r="S28" s="3" t="s">
        <v>3</v>
      </c>
      <c r="U28" s="3" t="s">
        <v>0</v>
      </c>
      <c r="V28" s="3"/>
      <c r="W28" s="3" t="s">
        <v>1</v>
      </c>
      <c r="X28" s="3" t="s">
        <v>2</v>
      </c>
      <c r="Y28" s="3" t="s">
        <v>3</v>
      </c>
      <c r="Z28" s="5" t="s">
        <v>13</v>
      </c>
      <c r="AA28" s="5" t="s">
        <v>14</v>
      </c>
      <c r="AB28" s="5" t="s">
        <v>15</v>
      </c>
    </row>
    <row r="29" spans="1:28" x14ac:dyDescent="0.25">
      <c r="D29" s="1">
        <f>C29*21/100</f>
        <v>0</v>
      </c>
      <c r="F29" s="1">
        <f t="shared" ref="F29:F41" si="13">E29*10.5/100</f>
        <v>0</v>
      </c>
      <c r="I29" s="1"/>
      <c r="J29" s="1">
        <f>I29*21/100</f>
        <v>0</v>
      </c>
      <c r="K29" s="1"/>
      <c r="L29" s="1">
        <f>K29*10.5/100</f>
        <v>0</v>
      </c>
      <c r="M29" s="1"/>
      <c r="P29" s="1"/>
      <c r="Q29" s="1">
        <f>P29*21/100</f>
        <v>0</v>
      </c>
      <c r="R29" s="1"/>
      <c r="S29" s="1">
        <f>R29*10.5/100</f>
        <v>0</v>
      </c>
      <c r="U29" s="1"/>
      <c r="V29" s="1"/>
      <c r="W29" s="1">
        <f>U29*21/100</f>
        <v>0</v>
      </c>
      <c r="X29" s="1"/>
      <c r="Y29" s="1">
        <f>X29*10.5/100</f>
        <v>0</v>
      </c>
    </row>
    <row r="30" spans="1:28" x14ac:dyDescent="0.25">
      <c r="D30" s="1">
        <f>C30*21/100</f>
        <v>0</v>
      </c>
      <c r="E30" s="1"/>
      <c r="F30" s="1">
        <f t="shared" si="13"/>
        <v>0</v>
      </c>
      <c r="I30" s="1"/>
      <c r="J30" s="1">
        <f t="shared" ref="J30:J85" si="14">I30*21/100</f>
        <v>0</v>
      </c>
      <c r="K30" s="1"/>
      <c r="L30" s="1">
        <f t="shared" ref="L30:L41" si="15">K30*10.5/100</f>
        <v>0</v>
      </c>
      <c r="M30" s="1"/>
      <c r="P30" s="1"/>
      <c r="Q30" s="1">
        <f t="shared" ref="Q30:Q47" si="16">P30*21/100</f>
        <v>0</v>
      </c>
      <c r="R30" s="1"/>
      <c r="S30" s="1">
        <f t="shared" ref="S30:S41" si="17">R30*10.5/100</f>
        <v>0</v>
      </c>
      <c r="U30" s="1"/>
      <c r="V30" s="1"/>
      <c r="W30" s="1">
        <f t="shared" ref="W30:W47" si="18">U30*21/100</f>
        <v>0</v>
      </c>
      <c r="X30" s="1"/>
      <c r="Y30" s="1">
        <f t="shared" ref="Y30:Y41" si="19">X30*10.5/100</f>
        <v>0</v>
      </c>
    </row>
    <row r="31" spans="1:28" x14ac:dyDescent="0.25">
      <c r="D31" s="1">
        <f t="shared" ref="D31:D85" si="20">C31*21/100</f>
        <v>0</v>
      </c>
      <c r="E31" s="1"/>
      <c r="F31" s="1">
        <f t="shared" si="13"/>
        <v>0</v>
      </c>
      <c r="I31" s="1"/>
      <c r="J31" s="1">
        <f t="shared" si="14"/>
        <v>0</v>
      </c>
      <c r="K31" s="1"/>
      <c r="L31" s="1">
        <f t="shared" si="15"/>
        <v>0</v>
      </c>
      <c r="M31" s="1"/>
      <c r="P31" s="1"/>
      <c r="Q31" s="1">
        <f t="shared" si="16"/>
        <v>0</v>
      </c>
      <c r="R31" s="1"/>
      <c r="S31" s="1">
        <f t="shared" si="17"/>
        <v>0</v>
      </c>
      <c r="U31" s="1"/>
      <c r="V31" s="1"/>
      <c r="W31" s="1">
        <f t="shared" si="18"/>
        <v>0</v>
      </c>
      <c r="X31" s="1"/>
      <c r="Y31" s="1">
        <f t="shared" si="19"/>
        <v>0</v>
      </c>
    </row>
    <row r="32" spans="1:28" x14ac:dyDescent="0.25">
      <c r="C32" s="9"/>
      <c r="D32" s="1">
        <f t="shared" si="20"/>
        <v>0</v>
      </c>
      <c r="E32" s="1"/>
      <c r="F32" s="1">
        <f t="shared" si="13"/>
        <v>0</v>
      </c>
      <c r="I32" s="1"/>
      <c r="J32" s="1">
        <f t="shared" si="14"/>
        <v>0</v>
      </c>
      <c r="K32" s="1"/>
      <c r="L32" s="1">
        <f t="shared" si="15"/>
        <v>0</v>
      </c>
      <c r="M32" s="1"/>
      <c r="P32" s="1"/>
      <c r="Q32" s="1">
        <f t="shared" si="16"/>
        <v>0</v>
      </c>
      <c r="R32" s="1"/>
      <c r="S32" s="1">
        <f t="shared" si="17"/>
        <v>0</v>
      </c>
      <c r="U32" s="1"/>
      <c r="V32" s="1"/>
      <c r="W32" s="1">
        <f t="shared" si="18"/>
        <v>0</v>
      </c>
      <c r="X32" s="1"/>
      <c r="Y32" s="1">
        <f t="shared" si="19"/>
        <v>0</v>
      </c>
    </row>
    <row r="33" spans="3:28" x14ac:dyDescent="0.25">
      <c r="D33" s="1">
        <f t="shared" si="20"/>
        <v>0</v>
      </c>
      <c r="E33" s="1"/>
      <c r="F33" s="1">
        <f t="shared" si="13"/>
        <v>0</v>
      </c>
      <c r="I33" s="1"/>
      <c r="J33" s="1">
        <f t="shared" si="14"/>
        <v>0</v>
      </c>
      <c r="K33" s="1"/>
      <c r="L33" s="1">
        <f t="shared" si="15"/>
        <v>0</v>
      </c>
      <c r="M33" s="1"/>
      <c r="P33" s="1"/>
      <c r="Q33" s="1">
        <f t="shared" si="16"/>
        <v>0</v>
      </c>
      <c r="R33" s="1"/>
      <c r="S33" s="1">
        <f t="shared" si="17"/>
        <v>0</v>
      </c>
      <c r="U33" s="1"/>
      <c r="V33" s="1"/>
      <c r="W33" s="1">
        <f t="shared" si="18"/>
        <v>0</v>
      </c>
      <c r="X33" s="1"/>
      <c r="Y33" s="1">
        <f t="shared" si="19"/>
        <v>0</v>
      </c>
    </row>
    <row r="34" spans="3:28" x14ac:dyDescent="0.25">
      <c r="C34" s="1"/>
      <c r="D34" s="1">
        <f t="shared" si="20"/>
        <v>0</v>
      </c>
      <c r="E34" s="1"/>
      <c r="F34" s="1">
        <f t="shared" si="13"/>
        <v>0</v>
      </c>
      <c r="I34" s="1"/>
      <c r="J34" s="1">
        <f t="shared" si="14"/>
        <v>0</v>
      </c>
      <c r="K34" s="1"/>
      <c r="L34" s="1">
        <f t="shared" si="15"/>
        <v>0</v>
      </c>
      <c r="M34" s="1"/>
      <c r="P34" s="1"/>
      <c r="Q34" s="1">
        <f t="shared" si="16"/>
        <v>0</v>
      </c>
      <c r="R34" s="1"/>
      <c r="S34" s="1">
        <f t="shared" si="17"/>
        <v>0</v>
      </c>
      <c r="U34" s="1"/>
      <c r="V34" s="1"/>
      <c r="W34" s="1">
        <f t="shared" si="18"/>
        <v>0</v>
      </c>
      <c r="X34" s="1"/>
      <c r="Y34" s="1">
        <f t="shared" si="19"/>
        <v>0</v>
      </c>
    </row>
    <row r="35" spans="3:28" x14ac:dyDescent="0.25">
      <c r="C35" s="1"/>
      <c r="D35" s="1">
        <f t="shared" si="20"/>
        <v>0</v>
      </c>
      <c r="E35" s="1"/>
      <c r="F35" s="1">
        <f t="shared" si="13"/>
        <v>0</v>
      </c>
      <c r="I35" s="1"/>
      <c r="J35" s="1">
        <f t="shared" si="14"/>
        <v>0</v>
      </c>
      <c r="K35" s="1"/>
      <c r="L35" s="1">
        <f t="shared" si="15"/>
        <v>0</v>
      </c>
      <c r="M35" s="1"/>
      <c r="P35" s="1"/>
      <c r="Q35" s="1">
        <f t="shared" si="16"/>
        <v>0</v>
      </c>
      <c r="R35" s="1"/>
      <c r="S35" s="1">
        <f t="shared" si="17"/>
        <v>0</v>
      </c>
      <c r="U35" s="1"/>
      <c r="V35" s="1"/>
      <c r="W35" s="1">
        <f t="shared" si="18"/>
        <v>0</v>
      </c>
      <c r="X35" s="1"/>
      <c r="Y35" s="1">
        <f t="shared" si="19"/>
        <v>0</v>
      </c>
    </row>
    <row r="36" spans="3:28" x14ac:dyDescent="0.25">
      <c r="C36" s="1"/>
      <c r="D36" s="1">
        <f t="shared" si="20"/>
        <v>0</v>
      </c>
      <c r="E36" s="1"/>
      <c r="F36" s="1">
        <f t="shared" si="13"/>
        <v>0</v>
      </c>
      <c r="I36" s="1"/>
      <c r="J36" s="1">
        <f t="shared" si="14"/>
        <v>0</v>
      </c>
      <c r="K36" s="1"/>
      <c r="L36" s="1">
        <f t="shared" si="15"/>
        <v>0</v>
      </c>
      <c r="M36" s="1"/>
      <c r="P36" s="1"/>
      <c r="Q36" s="1">
        <f t="shared" si="16"/>
        <v>0</v>
      </c>
      <c r="R36" s="1"/>
      <c r="S36" s="1">
        <f t="shared" si="17"/>
        <v>0</v>
      </c>
      <c r="U36" s="1"/>
      <c r="V36" s="1"/>
      <c r="W36" s="1">
        <f t="shared" si="18"/>
        <v>0</v>
      </c>
      <c r="X36" s="1"/>
      <c r="Y36" s="1">
        <f t="shared" si="19"/>
        <v>0</v>
      </c>
    </row>
    <row r="37" spans="3:28" x14ac:dyDescent="0.25">
      <c r="C37" s="1"/>
      <c r="D37" s="1">
        <f t="shared" si="20"/>
        <v>0</v>
      </c>
      <c r="E37" s="1"/>
      <c r="F37" s="1">
        <f t="shared" si="13"/>
        <v>0</v>
      </c>
      <c r="I37" s="1"/>
      <c r="J37" s="1">
        <f t="shared" si="14"/>
        <v>0</v>
      </c>
      <c r="K37" s="1"/>
      <c r="L37" s="1">
        <f t="shared" si="15"/>
        <v>0</v>
      </c>
      <c r="M37" s="1"/>
      <c r="P37" s="1"/>
      <c r="Q37" s="1">
        <f t="shared" si="16"/>
        <v>0</v>
      </c>
      <c r="R37" s="1"/>
      <c r="S37" s="1">
        <f t="shared" si="17"/>
        <v>0</v>
      </c>
      <c r="U37" s="1"/>
      <c r="V37" s="1"/>
      <c r="W37" s="1">
        <f t="shared" si="18"/>
        <v>0</v>
      </c>
      <c r="X37" s="1"/>
      <c r="Y37" s="1">
        <f t="shared" si="19"/>
        <v>0</v>
      </c>
    </row>
    <row r="38" spans="3:28" x14ac:dyDescent="0.25">
      <c r="C38" s="1"/>
      <c r="D38" s="1">
        <f t="shared" si="20"/>
        <v>0</v>
      </c>
      <c r="E38" s="1"/>
      <c r="F38" s="1">
        <f t="shared" si="13"/>
        <v>0</v>
      </c>
      <c r="I38" s="1"/>
      <c r="J38" s="1">
        <f t="shared" si="14"/>
        <v>0</v>
      </c>
      <c r="K38" s="1"/>
      <c r="L38" s="1">
        <f t="shared" si="15"/>
        <v>0</v>
      </c>
      <c r="M38" s="1"/>
      <c r="P38" s="1"/>
      <c r="Q38" s="1">
        <f t="shared" si="16"/>
        <v>0</v>
      </c>
      <c r="R38" s="1"/>
      <c r="S38" s="1">
        <f t="shared" si="17"/>
        <v>0</v>
      </c>
      <c r="U38" s="1"/>
      <c r="V38" s="1"/>
      <c r="W38" s="1">
        <f t="shared" si="18"/>
        <v>0</v>
      </c>
      <c r="X38" s="1"/>
      <c r="Y38" s="1">
        <f t="shared" si="19"/>
        <v>0</v>
      </c>
    </row>
    <row r="39" spans="3:28" x14ac:dyDescent="0.25">
      <c r="C39" s="1"/>
      <c r="D39" s="1">
        <f t="shared" si="20"/>
        <v>0</v>
      </c>
      <c r="E39" s="1"/>
      <c r="F39" s="1">
        <f t="shared" si="13"/>
        <v>0</v>
      </c>
      <c r="I39" s="1"/>
      <c r="J39" s="1">
        <f t="shared" si="14"/>
        <v>0</v>
      </c>
      <c r="K39" s="1"/>
      <c r="L39" s="1">
        <f t="shared" si="15"/>
        <v>0</v>
      </c>
      <c r="M39" s="1"/>
      <c r="P39" s="1"/>
      <c r="Q39" s="1">
        <f t="shared" si="16"/>
        <v>0</v>
      </c>
      <c r="R39" s="1"/>
      <c r="S39" s="1">
        <f t="shared" si="17"/>
        <v>0</v>
      </c>
      <c r="U39" s="1"/>
      <c r="V39" s="1"/>
      <c r="W39" s="1">
        <f t="shared" si="18"/>
        <v>0</v>
      </c>
      <c r="X39" s="1"/>
      <c r="Y39" s="1">
        <f t="shared" si="19"/>
        <v>0</v>
      </c>
    </row>
    <row r="40" spans="3:28" x14ac:dyDescent="0.25">
      <c r="C40" s="1"/>
      <c r="D40" s="1">
        <f t="shared" si="20"/>
        <v>0</v>
      </c>
      <c r="E40" s="1"/>
      <c r="F40" s="1">
        <f t="shared" si="13"/>
        <v>0</v>
      </c>
      <c r="I40" s="1"/>
      <c r="J40" s="1">
        <f t="shared" si="14"/>
        <v>0</v>
      </c>
      <c r="K40" s="1"/>
      <c r="L40" s="1">
        <f t="shared" si="15"/>
        <v>0</v>
      </c>
      <c r="M40" s="1"/>
      <c r="P40" s="1"/>
      <c r="Q40" s="1">
        <f t="shared" si="16"/>
        <v>0</v>
      </c>
      <c r="R40" s="1"/>
      <c r="S40" s="1">
        <f t="shared" si="17"/>
        <v>0</v>
      </c>
      <c r="U40" s="1"/>
      <c r="V40" s="1"/>
      <c r="W40" s="1">
        <f t="shared" si="18"/>
        <v>0</v>
      </c>
      <c r="X40" s="1"/>
      <c r="Y40" s="1">
        <f t="shared" si="19"/>
        <v>0</v>
      </c>
    </row>
    <row r="41" spans="3:28" x14ac:dyDescent="0.25">
      <c r="C41" s="1"/>
      <c r="D41" s="1">
        <f t="shared" si="20"/>
        <v>0</v>
      </c>
      <c r="E41" s="1"/>
      <c r="F41" s="1">
        <f t="shared" si="13"/>
        <v>0</v>
      </c>
      <c r="I41" s="1"/>
      <c r="J41" s="1">
        <f t="shared" si="14"/>
        <v>0</v>
      </c>
      <c r="K41" s="1"/>
      <c r="L41" s="1">
        <f t="shared" si="15"/>
        <v>0</v>
      </c>
      <c r="M41" s="1"/>
      <c r="P41" s="1"/>
      <c r="Q41" s="1">
        <f t="shared" si="16"/>
        <v>0</v>
      </c>
      <c r="R41" s="1"/>
      <c r="S41" s="1">
        <f t="shared" si="17"/>
        <v>0</v>
      </c>
      <c r="U41" s="1"/>
      <c r="V41" s="1"/>
      <c r="W41" s="1">
        <f t="shared" si="18"/>
        <v>0</v>
      </c>
      <c r="X41" s="1"/>
      <c r="Y41" s="1">
        <f t="shared" si="19"/>
        <v>0</v>
      </c>
    </row>
    <row r="42" spans="3:28" x14ac:dyDescent="0.25">
      <c r="C42" s="1"/>
      <c r="D42" s="1">
        <f t="shared" si="20"/>
        <v>0</v>
      </c>
      <c r="E42" s="1"/>
      <c r="F42" s="1">
        <f>E42*10.5/100</f>
        <v>0</v>
      </c>
      <c r="I42" s="1"/>
      <c r="J42" s="1">
        <f t="shared" si="14"/>
        <v>0</v>
      </c>
      <c r="K42" s="1"/>
      <c r="L42" s="1">
        <f>K42*10.5/100</f>
        <v>0</v>
      </c>
      <c r="M42" s="1"/>
      <c r="P42" s="1"/>
      <c r="Q42" s="1">
        <f t="shared" si="16"/>
        <v>0</v>
      </c>
      <c r="R42" s="1"/>
      <c r="S42" s="1">
        <f>R42*10.5/100</f>
        <v>0</v>
      </c>
      <c r="U42" s="1"/>
      <c r="V42" s="1"/>
      <c r="W42" s="1">
        <f t="shared" si="18"/>
        <v>0</v>
      </c>
      <c r="X42" s="1"/>
      <c r="Y42" s="1">
        <f>X42*10.5/100</f>
        <v>0</v>
      </c>
    </row>
    <row r="43" spans="3:28" x14ac:dyDescent="0.25">
      <c r="C43" s="1"/>
      <c r="D43" s="1">
        <f t="shared" si="20"/>
        <v>0</v>
      </c>
      <c r="E43" s="1"/>
      <c r="F43" s="1">
        <f t="shared" ref="F43:F85" si="21">E43*10.5/100</f>
        <v>0</v>
      </c>
      <c r="I43" s="1"/>
      <c r="J43" s="1">
        <f t="shared" si="14"/>
        <v>0</v>
      </c>
      <c r="K43" s="1"/>
      <c r="L43" s="1">
        <f t="shared" ref="L43:L85" si="22">K43*10.5/100</f>
        <v>0</v>
      </c>
      <c r="M43" s="1"/>
      <c r="P43" s="1"/>
      <c r="Q43" s="1">
        <f t="shared" si="16"/>
        <v>0</v>
      </c>
      <c r="R43" s="1"/>
      <c r="S43" s="1">
        <f t="shared" ref="S43:S47" si="23">R43*10.5/100</f>
        <v>0</v>
      </c>
      <c r="U43" s="1"/>
      <c r="V43" s="1"/>
      <c r="W43" s="1">
        <f t="shared" si="18"/>
        <v>0</v>
      </c>
      <c r="X43" s="1"/>
      <c r="Y43" s="1">
        <f t="shared" ref="Y43:Y47" si="24">X43*10.5/100</f>
        <v>0</v>
      </c>
    </row>
    <row r="44" spans="3:28" x14ac:dyDescent="0.25">
      <c r="C44" s="1"/>
      <c r="D44" s="1">
        <f t="shared" si="20"/>
        <v>0</v>
      </c>
      <c r="E44" s="1"/>
      <c r="F44" s="1">
        <f t="shared" si="21"/>
        <v>0</v>
      </c>
      <c r="I44" s="1"/>
      <c r="J44" s="1">
        <f t="shared" si="14"/>
        <v>0</v>
      </c>
      <c r="K44" s="1"/>
      <c r="L44" s="1">
        <f t="shared" si="22"/>
        <v>0</v>
      </c>
      <c r="M44" s="1"/>
      <c r="P44" s="1"/>
      <c r="Q44" s="1">
        <f t="shared" si="16"/>
        <v>0</v>
      </c>
      <c r="R44" s="1"/>
      <c r="S44" s="1">
        <f t="shared" si="23"/>
        <v>0</v>
      </c>
      <c r="U44" s="1"/>
      <c r="V44" s="1"/>
      <c r="W44" s="1">
        <f t="shared" si="18"/>
        <v>0</v>
      </c>
      <c r="X44" s="1"/>
      <c r="Y44" s="1">
        <f t="shared" si="24"/>
        <v>0</v>
      </c>
    </row>
    <row r="45" spans="3:28" x14ac:dyDescent="0.25">
      <c r="C45" s="1"/>
      <c r="D45" s="1">
        <f t="shared" si="20"/>
        <v>0</v>
      </c>
      <c r="E45" s="1"/>
      <c r="F45" s="1">
        <f t="shared" si="21"/>
        <v>0</v>
      </c>
      <c r="I45" s="1"/>
      <c r="J45" s="1">
        <f t="shared" si="14"/>
        <v>0</v>
      </c>
      <c r="K45" s="1"/>
      <c r="L45" s="1">
        <f t="shared" si="22"/>
        <v>0</v>
      </c>
      <c r="M45" s="1"/>
      <c r="P45" s="1"/>
      <c r="Q45" s="1">
        <f t="shared" si="16"/>
        <v>0</v>
      </c>
      <c r="R45" s="1"/>
      <c r="S45" s="1">
        <f t="shared" si="23"/>
        <v>0</v>
      </c>
      <c r="U45" s="1"/>
      <c r="V45" s="1"/>
      <c r="W45" s="1">
        <f t="shared" si="18"/>
        <v>0</v>
      </c>
      <c r="X45" s="1"/>
      <c r="Y45" s="1">
        <f t="shared" si="24"/>
        <v>0</v>
      </c>
    </row>
    <row r="46" spans="3:28" x14ac:dyDescent="0.25">
      <c r="C46" s="1"/>
      <c r="D46" s="1">
        <f t="shared" si="20"/>
        <v>0</v>
      </c>
      <c r="E46" s="1"/>
      <c r="F46" s="1">
        <f t="shared" si="21"/>
        <v>0</v>
      </c>
      <c r="I46" s="1"/>
      <c r="J46" s="1">
        <f t="shared" si="14"/>
        <v>0</v>
      </c>
      <c r="K46" s="1"/>
      <c r="L46" s="1">
        <f t="shared" si="22"/>
        <v>0</v>
      </c>
      <c r="M46" s="1"/>
      <c r="P46" s="1"/>
      <c r="Q46" s="1">
        <f t="shared" si="16"/>
        <v>0</v>
      </c>
      <c r="R46" s="1"/>
      <c r="S46" s="1">
        <f t="shared" si="23"/>
        <v>0</v>
      </c>
      <c r="U46" s="1"/>
      <c r="V46" s="1"/>
      <c r="W46" s="1">
        <f t="shared" si="18"/>
        <v>0</v>
      </c>
      <c r="X46" s="1"/>
      <c r="Y46" s="1">
        <f t="shared" si="24"/>
        <v>0</v>
      </c>
    </row>
    <row r="47" spans="3:28" x14ac:dyDescent="0.25">
      <c r="C47" s="1"/>
      <c r="D47" s="1">
        <f t="shared" si="20"/>
        <v>0</v>
      </c>
      <c r="E47" s="1"/>
      <c r="F47" s="1">
        <f t="shared" si="21"/>
        <v>0</v>
      </c>
      <c r="I47" s="1"/>
      <c r="J47" s="1">
        <f t="shared" si="14"/>
        <v>0</v>
      </c>
      <c r="K47" s="1"/>
      <c r="L47" s="1">
        <f t="shared" si="22"/>
        <v>0</v>
      </c>
      <c r="M47" s="1"/>
      <c r="P47" s="1"/>
      <c r="Q47" s="1">
        <f t="shared" si="16"/>
        <v>0</v>
      </c>
      <c r="R47" s="1"/>
      <c r="S47" s="1">
        <f t="shared" si="23"/>
        <v>0</v>
      </c>
      <c r="U47" s="1"/>
      <c r="V47" s="1"/>
      <c r="W47" s="1">
        <f t="shared" si="18"/>
        <v>0</v>
      </c>
      <c r="X47" s="1"/>
      <c r="Y47" s="1">
        <f t="shared" si="24"/>
        <v>0</v>
      </c>
    </row>
    <row r="48" spans="3:28" x14ac:dyDescent="0.25">
      <c r="C48" s="1"/>
      <c r="D48" s="1">
        <f t="shared" si="20"/>
        <v>0</v>
      </c>
      <c r="E48" s="1"/>
      <c r="F48" s="1">
        <f t="shared" si="21"/>
        <v>0</v>
      </c>
      <c r="I48" s="1"/>
      <c r="J48" s="1">
        <f t="shared" si="14"/>
        <v>0</v>
      </c>
      <c r="K48" s="1"/>
      <c r="L48" s="1">
        <f t="shared" si="22"/>
        <v>0</v>
      </c>
      <c r="M48" s="1"/>
      <c r="P48" s="2">
        <f>SUM(P29:P47)</f>
        <v>0</v>
      </c>
      <c r="Q48" s="2">
        <f>SUM(Q29:Q47)</f>
        <v>0</v>
      </c>
      <c r="R48" s="2">
        <f>SUM(R29:R47)</f>
        <v>0</v>
      </c>
      <c r="S48" s="2">
        <f>SUM(S29:S47)</f>
        <v>0</v>
      </c>
      <c r="U48" s="2">
        <f>SUM(U29:U47)</f>
        <v>0</v>
      </c>
      <c r="V48" s="2"/>
      <c r="W48" s="2">
        <f>SUM(W29:W47)</f>
        <v>0</v>
      </c>
      <c r="X48" s="2">
        <f>SUM(X29:X47)</f>
        <v>0</v>
      </c>
      <c r="Y48" s="2">
        <f>SUM(Y29:Y47)</f>
        <v>0</v>
      </c>
      <c r="Z48" s="2">
        <f>SUM(Z29:Z47)</f>
        <v>0</v>
      </c>
      <c r="AA48" s="2">
        <f t="shared" ref="AA48:AB48" si="25">SUM(AA29:AA47)</f>
        <v>0</v>
      </c>
      <c r="AB48" s="2">
        <f t="shared" si="25"/>
        <v>0</v>
      </c>
    </row>
    <row r="49" spans="3:26" x14ac:dyDescent="0.25">
      <c r="C49" s="1"/>
      <c r="D49" s="1">
        <f t="shared" si="20"/>
        <v>0</v>
      </c>
      <c r="E49" s="1"/>
      <c r="F49" s="1">
        <f t="shared" si="21"/>
        <v>0</v>
      </c>
      <c r="I49" s="1"/>
      <c r="J49" s="1">
        <f t="shared" si="14"/>
        <v>0</v>
      </c>
      <c r="K49" s="1"/>
      <c r="L49" s="1">
        <f t="shared" si="22"/>
        <v>0</v>
      </c>
      <c r="M49" s="1"/>
    </row>
    <row r="50" spans="3:26" x14ac:dyDescent="0.25">
      <c r="C50" s="1"/>
      <c r="D50" s="1">
        <f t="shared" si="20"/>
        <v>0</v>
      </c>
      <c r="E50" s="1"/>
      <c r="F50" s="1">
        <f t="shared" si="21"/>
        <v>0</v>
      </c>
      <c r="I50" s="1"/>
      <c r="J50" s="1">
        <f t="shared" si="14"/>
        <v>0</v>
      </c>
      <c r="K50" s="1"/>
      <c r="L50" s="1">
        <f t="shared" si="22"/>
        <v>0</v>
      </c>
      <c r="M50" s="1"/>
      <c r="P50" s="4"/>
      <c r="Q50" s="4"/>
      <c r="R50" s="4"/>
      <c r="S50" s="4"/>
    </row>
    <row r="51" spans="3:26" x14ac:dyDescent="0.25">
      <c r="C51" s="1"/>
      <c r="D51" s="1">
        <f t="shared" si="20"/>
        <v>0</v>
      </c>
      <c r="E51" s="1"/>
      <c r="F51" s="1">
        <f t="shared" si="21"/>
        <v>0</v>
      </c>
      <c r="I51" s="1"/>
      <c r="J51" s="1">
        <f t="shared" si="14"/>
        <v>0</v>
      </c>
      <c r="K51" s="1"/>
      <c r="L51" s="1">
        <f t="shared" si="22"/>
        <v>0</v>
      </c>
      <c r="M51" s="1"/>
      <c r="P51" s="16" t="s">
        <v>9</v>
      </c>
      <c r="Q51" s="16"/>
      <c r="R51" s="16"/>
      <c r="S51" s="16"/>
      <c r="W51" s="16" t="s">
        <v>10</v>
      </c>
      <c r="X51" s="16"/>
      <c r="Y51" s="16"/>
      <c r="Z51" s="16"/>
    </row>
    <row r="52" spans="3:26" x14ac:dyDescent="0.25">
      <c r="C52" s="1"/>
      <c r="D52" s="1">
        <f t="shared" si="20"/>
        <v>0</v>
      </c>
      <c r="E52" s="1"/>
      <c r="F52" s="1">
        <f t="shared" si="21"/>
        <v>0</v>
      </c>
      <c r="I52" s="1"/>
      <c r="J52" s="1">
        <f t="shared" si="14"/>
        <v>0</v>
      </c>
      <c r="K52" s="1"/>
      <c r="L52" s="1">
        <f t="shared" si="22"/>
        <v>0</v>
      </c>
      <c r="M52" s="1"/>
      <c r="P52" s="3" t="s">
        <v>0</v>
      </c>
      <c r="Q52" s="3" t="s">
        <v>1</v>
      </c>
      <c r="R52" s="3" t="s">
        <v>2</v>
      </c>
      <c r="S52" s="3" t="s">
        <v>3</v>
      </c>
      <c r="T52" s="5" t="s">
        <v>13</v>
      </c>
      <c r="W52" s="3" t="s">
        <v>0</v>
      </c>
      <c r="X52" s="3" t="s">
        <v>1</v>
      </c>
      <c r="Y52" s="3" t="s">
        <v>2</v>
      </c>
      <c r="Z52" s="3" t="s">
        <v>3</v>
      </c>
    </row>
    <row r="53" spans="3:26" x14ac:dyDescent="0.25">
      <c r="C53" s="1"/>
      <c r="D53" s="1">
        <f t="shared" si="20"/>
        <v>0</v>
      </c>
      <c r="E53" s="1"/>
      <c r="F53" s="1">
        <f t="shared" si="21"/>
        <v>0</v>
      </c>
      <c r="I53" s="1"/>
      <c r="J53" s="1">
        <f t="shared" si="14"/>
        <v>0</v>
      </c>
      <c r="K53" s="1"/>
      <c r="L53" s="1">
        <f t="shared" si="22"/>
        <v>0</v>
      </c>
      <c r="M53" s="1"/>
      <c r="P53" s="1">
        <v>28</v>
      </c>
      <c r="Q53" s="1">
        <f>P53*21/100</f>
        <v>5.88</v>
      </c>
      <c r="R53" s="1"/>
      <c r="S53" s="1">
        <f>R53*10.5/100</f>
        <v>0</v>
      </c>
      <c r="T53">
        <v>86.65</v>
      </c>
      <c r="W53" s="1"/>
      <c r="X53" s="1">
        <f>W53*21/100</f>
        <v>0</v>
      </c>
      <c r="Y53" s="1"/>
      <c r="Z53" s="1">
        <f>Y53*10.5/100</f>
        <v>0</v>
      </c>
    </row>
    <row r="54" spans="3:26" x14ac:dyDescent="0.25">
      <c r="C54" s="1"/>
      <c r="D54" s="1">
        <f t="shared" si="20"/>
        <v>0</v>
      </c>
      <c r="E54" s="1"/>
      <c r="F54" s="1">
        <f t="shared" si="21"/>
        <v>0</v>
      </c>
      <c r="I54" s="1"/>
      <c r="J54" s="1">
        <f t="shared" si="14"/>
        <v>0</v>
      </c>
      <c r="K54" s="1"/>
      <c r="L54" s="1">
        <f t="shared" si="22"/>
        <v>0</v>
      </c>
      <c r="M54" s="1"/>
      <c r="P54" s="1">
        <v>28</v>
      </c>
      <c r="Q54" s="1">
        <f t="shared" ref="Q54:Q71" si="26">P54*21/100</f>
        <v>5.88</v>
      </c>
      <c r="R54" s="1"/>
      <c r="S54" s="1">
        <f t="shared" ref="S54:S65" si="27">R54*10.5/100</f>
        <v>0</v>
      </c>
      <c r="W54" s="1"/>
      <c r="X54" s="1">
        <f t="shared" ref="X54:X71" si="28">W54*21/100</f>
        <v>0</v>
      </c>
      <c r="Y54" s="1"/>
      <c r="Z54" s="1">
        <f t="shared" ref="Z54:Z65" si="29">Y54*10.5/100</f>
        <v>0</v>
      </c>
    </row>
    <row r="55" spans="3:26" x14ac:dyDescent="0.25">
      <c r="C55" s="1"/>
      <c r="D55" s="1">
        <f t="shared" si="20"/>
        <v>0</v>
      </c>
      <c r="E55" s="1"/>
      <c r="F55" s="1">
        <f t="shared" si="21"/>
        <v>0</v>
      </c>
      <c r="I55" s="1"/>
      <c r="J55" s="1">
        <f t="shared" si="14"/>
        <v>0</v>
      </c>
      <c r="K55" s="1"/>
      <c r="L55" s="1">
        <f t="shared" si="22"/>
        <v>0</v>
      </c>
      <c r="M55" s="1"/>
      <c r="P55" s="1"/>
      <c r="Q55" s="1">
        <f t="shared" si="26"/>
        <v>0</v>
      </c>
      <c r="R55" s="1"/>
      <c r="S55" s="1">
        <f t="shared" si="27"/>
        <v>0</v>
      </c>
      <c r="W55" s="1"/>
      <c r="X55" s="1">
        <f t="shared" si="28"/>
        <v>0</v>
      </c>
      <c r="Y55" s="1"/>
      <c r="Z55" s="1">
        <f t="shared" si="29"/>
        <v>0</v>
      </c>
    </row>
    <row r="56" spans="3:26" x14ac:dyDescent="0.25">
      <c r="C56" s="1"/>
      <c r="D56" s="1">
        <f t="shared" si="20"/>
        <v>0</v>
      </c>
      <c r="E56" s="1"/>
      <c r="F56" s="1">
        <f t="shared" si="21"/>
        <v>0</v>
      </c>
      <c r="I56" s="1"/>
      <c r="J56" s="1">
        <f t="shared" si="14"/>
        <v>0</v>
      </c>
      <c r="K56" s="1"/>
      <c r="L56" s="1">
        <f t="shared" si="22"/>
        <v>0</v>
      </c>
      <c r="M56" s="1"/>
      <c r="P56" s="1"/>
      <c r="Q56" s="1">
        <f t="shared" si="26"/>
        <v>0</v>
      </c>
      <c r="R56" s="1"/>
      <c r="S56" s="1">
        <f t="shared" si="27"/>
        <v>0</v>
      </c>
      <c r="W56" s="1"/>
      <c r="X56" s="1">
        <f t="shared" si="28"/>
        <v>0</v>
      </c>
      <c r="Y56" s="1"/>
      <c r="Z56" s="1">
        <f t="shared" si="29"/>
        <v>0</v>
      </c>
    </row>
    <row r="57" spans="3:26" x14ac:dyDescent="0.25">
      <c r="C57" s="1"/>
      <c r="D57" s="1">
        <f t="shared" si="20"/>
        <v>0</v>
      </c>
      <c r="E57" s="1"/>
      <c r="F57" s="1">
        <f t="shared" si="21"/>
        <v>0</v>
      </c>
      <c r="I57" s="1"/>
      <c r="J57" s="1">
        <f t="shared" si="14"/>
        <v>0</v>
      </c>
      <c r="K57" s="1"/>
      <c r="L57" s="1">
        <f t="shared" si="22"/>
        <v>0</v>
      </c>
      <c r="M57" s="1"/>
      <c r="P57" s="1"/>
      <c r="Q57" s="1">
        <f t="shared" si="26"/>
        <v>0</v>
      </c>
      <c r="R57" s="1"/>
      <c r="S57" s="1">
        <f t="shared" si="27"/>
        <v>0</v>
      </c>
      <c r="W57" s="1"/>
      <c r="X57" s="1">
        <f t="shared" si="28"/>
        <v>0</v>
      </c>
      <c r="Y57" s="1"/>
      <c r="Z57" s="1">
        <f t="shared" si="29"/>
        <v>0</v>
      </c>
    </row>
    <row r="58" spans="3:26" x14ac:dyDescent="0.25">
      <c r="C58" s="1"/>
      <c r="D58" s="1">
        <f t="shared" si="20"/>
        <v>0</v>
      </c>
      <c r="E58" s="1"/>
      <c r="F58" s="1">
        <f t="shared" si="21"/>
        <v>0</v>
      </c>
      <c r="I58" s="1"/>
      <c r="J58" s="1">
        <f t="shared" si="14"/>
        <v>0</v>
      </c>
      <c r="K58" s="1"/>
      <c r="L58" s="1">
        <f t="shared" si="22"/>
        <v>0</v>
      </c>
      <c r="M58" s="1"/>
      <c r="P58" s="1"/>
      <c r="Q58" s="1">
        <f t="shared" si="26"/>
        <v>0</v>
      </c>
      <c r="R58" s="1"/>
      <c r="S58" s="1">
        <f t="shared" si="27"/>
        <v>0</v>
      </c>
      <c r="W58" s="1"/>
      <c r="X58" s="1">
        <f t="shared" si="28"/>
        <v>0</v>
      </c>
      <c r="Y58" s="1"/>
      <c r="Z58" s="1">
        <f t="shared" si="29"/>
        <v>0</v>
      </c>
    </row>
    <row r="59" spans="3:26" x14ac:dyDescent="0.25">
      <c r="C59" s="1"/>
      <c r="D59" s="1">
        <f t="shared" si="20"/>
        <v>0</v>
      </c>
      <c r="E59" s="1"/>
      <c r="F59" s="1">
        <f t="shared" si="21"/>
        <v>0</v>
      </c>
      <c r="I59" s="1"/>
      <c r="J59" s="1">
        <f t="shared" si="14"/>
        <v>0</v>
      </c>
      <c r="K59" s="1"/>
      <c r="L59" s="1">
        <f t="shared" si="22"/>
        <v>0</v>
      </c>
      <c r="M59" s="1"/>
      <c r="P59" s="1"/>
      <c r="Q59" s="1">
        <f t="shared" si="26"/>
        <v>0</v>
      </c>
      <c r="R59" s="1"/>
      <c r="S59" s="1">
        <f t="shared" si="27"/>
        <v>0</v>
      </c>
      <c r="W59" s="1"/>
      <c r="X59" s="1">
        <f t="shared" si="28"/>
        <v>0</v>
      </c>
      <c r="Y59" s="1"/>
      <c r="Z59" s="1">
        <f t="shared" si="29"/>
        <v>0</v>
      </c>
    </row>
    <row r="60" spans="3:26" x14ac:dyDescent="0.25">
      <c r="C60" s="1"/>
      <c r="D60" s="1">
        <f t="shared" si="20"/>
        <v>0</v>
      </c>
      <c r="E60" s="1"/>
      <c r="F60" s="1">
        <f t="shared" si="21"/>
        <v>0</v>
      </c>
      <c r="I60" s="1"/>
      <c r="J60" s="1">
        <f t="shared" si="14"/>
        <v>0</v>
      </c>
      <c r="K60" s="1"/>
      <c r="L60" s="1">
        <f t="shared" si="22"/>
        <v>0</v>
      </c>
      <c r="M60" s="1"/>
      <c r="P60" s="1"/>
      <c r="Q60" s="1">
        <f t="shared" si="26"/>
        <v>0</v>
      </c>
      <c r="R60" s="1"/>
      <c r="S60" s="1">
        <f t="shared" si="27"/>
        <v>0</v>
      </c>
      <c r="W60" s="1"/>
      <c r="X60" s="1">
        <f t="shared" si="28"/>
        <v>0</v>
      </c>
      <c r="Y60" s="1"/>
      <c r="Z60" s="1">
        <f t="shared" si="29"/>
        <v>0</v>
      </c>
    </row>
    <row r="61" spans="3:26" x14ac:dyDescent="0.25">
      <c r="C61" s="1"/>
      <c r="D61" s="1">
        <f t="shared" si="20"/>
        <v>0</v>
      </c>
      <c r="E61" s="1"/>
      <c r="F61" s="1">
        <f t="shared" si="21"/>
        <v>0</v>
      </c>
      <c r="I61" s="1"/>
      <c r="J61" s="1">
        <f t="shared" si="14"/>
        <v>0</v>
      </c>
      <c r="K61" s="1"/>
      <c r="L61" s="1">
        <f t="shared" si="22"/>
        <v>0</v>
      </c>
      <c r="M61" s="1"/>
      <c r="P61" s="1"/>
      <c r="Q61" s="1">
        <f t="shared" si="26"/>
        <v>0</v>
      </c>
      <c r="R61" s="1"/>
      <c r="S61" s="1">
        <f t="shared" si="27"/>
        <v>0</v>
      </c>
      <c r="W61" s="1"/>
      <c r="X61" s="1">
        <f t="shared" si="28"/>
        <v>0</v>
      </c>
      <c r="Y61" s="1"/>
      <c r="Z61" s="1">
        <f t="shared" si="29"/>
        <v>0</v>
      </c>
    </row>
    <row r="62" spans="3:26" x14ac:dyDescent="0.25">
      <c r="C62" s="1"/>
      <c r="D62" s="1">
        <f t="shared" si="20"/>
        <v>0</v>
      </c>
      <c r="E62" s="1"/>
      <c r="F62" s="1">
        <f t="shared" si="21"/>
        <v>0</v>
      </c>
      <c r="I62" s="1"/>
      <c r="J62" s="1">
        <f t="shared" si="14"/>
        <v>0</v>
      </c>
      <c r="K62" s="1"/>
      <c r="L62" s="1">
        <f t="shared" si="22"/>
        <v>0</v>
      </c>
      <c r="M62" s="1"/>
      <c r="P62" s="1"/>
      <c r="Q62" s="1">
        <f t="shared" si="26"/>
        <v>0</v>
      </c>
      <c r="R62" s="1"/>
      <c r="S62" s="1">
        <f t="shared" si="27"/>
        <v>0</v>
      </c>
      <c r="W62" s="1"/>
      <c r="X62" s="1">
        <f t="shared" si="28"/>
        <v>0</v>
      </c>
      <c r="Y62" s="1"/>
      <c r="Z62" s="1">
        <f t="shared" si="29"/>
        <v>0</v>
      </c>
    </row>
    <row r="63" spans="3:26" x14ac:dyDescent="0.25">
      <c r="C63" s="1"/>
      <c r="D63" s="1">
        <f t="shared" si="20"/>
        <v>0</v>
      </c>
      <c r="E63" s="1"/>
      <c r="F63" s="1">
        <f t="shared" si="21"/>
        <v>0</v>
      </c>
      <c r="I63" s="1"/>
      <c r="J63" s="1">
        <f t="shared" si="14"/>
        <v>0</v>
      </c>
      <c r="K63" s="1"/>
      <c r="L63" s="1">
        <f t="shared" si="22"/>
        <v>0</v>
      </c>
      <c r="M63" s="1"/>
      <c r="P63" s="1"/>
      <c r="Q63" s="1">
        <f t="shared" si="26"/>
        <v>0</v>
      </c>
      <c r="R63" s="1"/>
      <c r="S63" s="1">
        <f t="shared" si="27"/>
        <v>0</v>
      </c>
      <c r="W63" s="1"/>
      <c r="X63" s="1">
        <f t="shared" si="28"/>
        <v>0</v>
      </c>
      <c r="Y63" s="1"/>
      <c r="Z63" s="1">
        <f t="shared" si="29"/>
        <v>0</v>
      </c>
    </row>
    <row r="64" spans="3:26" x14ac:dyDescent="0.25">
      <c r="C64" s="1"/>
      <c r="D64" s="1">
        <f t="shared" si="20"/>
        <v>0</v>
      </c>
      <c r="E64" s="1"/>
      <c r="F64" s="1">
        <f t="shared" si="21"/>
        <v>0</v>
      </c>
      <c r="I64" s="1"/>
      <c r="J64" s="1">
        <f t="shared" si="14"/>
        <v>0</v>
      </c>
      <c r="K64" s="1"/>
      <c r="L64" s="1">
        <f t="shared" si="22"/>
        <v>0</v>
      </c>
      <c r="M64" s="1"/>
      <c r="P64" s="1"/>
      <c r="Q64" s="1">
        <f t="shared" si="26"/>
        <v>0</v>
      </c>
      <c r="R64" s="1"/>
      <c r="S64" s="1">
        <f t="shared" si="27"/>
        <v>0</v>
      </c>
      <c r="W64" s="1"/>
      <c r="X64" s="1">
        <f t="shared" si="28"/>
        <v>0</v>
      </c>
      <c r="Y64" s="1"/>
      <c r="Z64" s="1">
        <f t="shared" si="29"/>
        <v>0</v>
      </c>
    </row>
    <row r="65" spans="3:28" x14ac:dyDescent="0.25">
      <c r="C65" s="1"/>
      <c r="D65" s="1">
        <f t="shared" si="20"/>
        <v>0</v>
      </c>
      <c r="E65" s="1"/>
      <c r="F65" s="1">
        <f t="shared" si="21"/>
        <v>0</v>
      </c>
      <c r="I65" s="1"/>
      <c r="J65" s="1">
        <f t="shared" si="14"/>
        <v>0</v>
      </c>
      <c r="K65" s="1"/>
      <c r="L65" s="1">
        <f t="shared" si="22"/>
        <v>0</v>
      </c>
      <c r="M65" s="1"/>
      <c r="P65" s="1"/>
      <c r="Q65" s="1">
        <f t="shared" si="26"/>
        <v>0</v>
      </c>
      <c r="R65" s="1"/>
      <c r="S65" s="1">
        <f t="shared" si="27"/>
        <v>0</v>
      </c>
      <c r="W65" s="1"/>
      <c r="X65" s="1">
        <f t="shared" si="28"/>
        <v>0</v>
      </c>
      <c r="Y65" s="1"/>
      <c r="Z65" s="1">
        <f t="shared" si="29"/>
        <v>0</v>
      </c>
    </row>
    <row r="66" spans="3:28" x14ac:dyDescent="0.25">
      <c r="C66" s="1"/>
      <c r="D66" s="1">
        <f t="shared" si="20"/>
        <v>0</v>
      </c>
      <c r="E66" s="1"/>
      <c r="F66" s="1">
        <f t="shared" si="21"/>
        <v>0</v>
      </c>
      <c r="I66" s="1"/>
      <c r="J66" s="1">
        <f t="shared" si="14"/>
        <v>0</v>
      </c>
      <c r="K66" s="1"/>
      <c r="L66" s="1">
        <f t="shared" si="22"/>
        <v>0</v>
      </c>
      <c r="M66" s="1"/>
      <c r="P66" s="1"/>
      <c r="Q66" s="1">
        <f t="shared" si="26"/>
        <v>0</v>
      </c>
      <c r="R66" s="1"/>
      <c r="S66" s="1">
        <f>R66*10.5/100</f>
        <v>0</v>
      </c>
      <c r="W66" s="1"/>
      <c r="X66" s="1">
        <f t="shared" si="28"/>
        <v>0</v>
      </c>
      <c r="Y66" s="1"/>
      <c r="Z66" s="1">
        <f>Y66*10.5/100</f>
        <v>0</v>
      </c>
    </row>
    <row r="67" spans="3:28" x14ac:dyDescent="0.25">
      <c r="C67" s="1"/>
      <c r="D67" s="1">
        <f t="shared" si="20"/>
        <v>0</v>
      </c>
      <c r="E67" s="1"/>
      <c r="F67" s="1">
        <f t="shared" si="21"/>
        <v>0</v>
      </c>
      <c r="I67" s="1"/>
      <c r="J67" s="1">
        <f t="shared" si="14"/>
        <v>0</v>
      </c>
      <c r="K67" s="1"/>
      <c r="L67" s="1">
        <f t="shared" si="22"/>
        <v>0</v>
      </c>
      <c r="M67" s="1"/>
      <c r="P67" s="1"/>
      <c r="Q67" s="1">
        <f t="shared" si="26"/>
        <v>0</v>
      </c>
      <c r="R67" s="1"/>
      <c r="S67" s="1">
        <f t="shared" ref="S67:S71" si="30">R67*10.5/100</f>
        <v>0</v>
      </c>
      <c r="W67" s="1"/>
      <c r="X67" s="1">
        <f t="shared" si="28"/>
        <v>0</v>
      </c>
      <c r="Y67" s="1"/>
      <c r="Z67" s="1">
        <f t="shared" ref="Z67:Z71" si="31">Y67*10.5/100</f>
        <v>0</v>
      </c>
    </row>
    <row r="68" spans="3:28" x14ac:dyDescent="0.25">
      <c r="C68" s="1"/>
      <c r="D68" s="1">
        <f t="shared" si="20"/>
        <v>0</v>
      </c>
      <c r="E68" s="1"/>
      <c r="F68" s="1">
        <f t="shared" si="21"/>
        <v>0</v>
      </c>
      <c r="I68" s="1"/>
      <c r="J68" s="1">
        <f t="shared" si="14"/>
        <v>0</v>
      </c>
      <c r="K68" s="1"/>
      <c r="L68" s="1">
        <f t="shared" si="22"/>
        <v>0</v>
      </c>
      <c r="M68" s="1"/>
      <c r="P68" s="1"/>
      <c r="Q68" s="1">
        <f t="shared" si="26"/>
        <v>0</v>
      </c>
      <c r="R68" s="1"/>
      <c r="S68" s="1">
        <f t="shared" si="30"/>
        <v>0</v>
      </c>
      <c r="W68" s="1"/>
      <c r="X68" s="1">
        <f t="shared" si="28"/>
        <v>0</v>
      </c>
      <c r="Y68" s="1"/>
      <c r="Z68" s="1">
        <f t="shared" si="31"/>
        <v>0</v>
      </c>
    </row>
    <row r="69" spans="3:28" x14ac:dyDescent="0.25">
      <c r="C69" s="1"/>
      <c r="D69" s="1">
        <f t="shared" si="20"/>
        <v>0</v>
      </c>
      <c r="E69" s="1"/>
      <c r="F69" s="1">
        <f t="shared" si="21"/>
        <v>0</v>
      </c>
      <c r="I69" s="1"/>
      <c r="J69" s="1">
        <f t="shared" si="14"/>
        <v>0</v>
      </c>
      <c r="K69" s="1"/>
      <c r="L69" s="1">
        <f t="shared" si="22"/>
        <v>0</v>
      </c>
      <c r="M69" s="1"/>
      <c r="P69" s="1"/>
      <c r="Q69" s="1">
        <f t="shared" si="26"/>
        <v>0</v>
      </c>
      <c r="R69" s="1"/>
      <c r="S69" s="1">
        <f t="shared" si="30"/>
        <v>0</v>
      </c>
      <c r="W69" s="1"/>
      <c r="X69" s="1">
        <f t="shared" si="28"/>
        <v>0</v>
      </c>
      <c r="Y69" s="1"/>
      <c r="Z69" s="1">
        <f t="shared" si="31"/>
        <v>0</v>
      </c>
    </row>
    <row r="70" spans="3:28" x14ac:dyDescent="0.25">
      <c r="C70" s="1"/>
      <c r="D70" s="1">
        <f t="shared" si="20"/>
        <v>0</v>
      </c>
      <c r="E70" s="1"/>
      <c r="F70" s="1">
        <f t="shared" si="21"/>
        <v>0</v>
      </c>
      <c r="I70" s="1"/>
      <c r="J70" s="1">
        <f t="shared" si="14"/>
        <v>0</v>
      </c>
      <c r="K70" s="1"/>
      <c r="L70" s="1">
        <f t="shared" si="22"/>
        <v>0</v>
      </c>
      <c r="M70" s="1"/>
      <c r="P70" s="1"/>
      <c r="Q70" s="1">
        <f t="shared" si="26"/>
        <v>0</v>
      </c>
      <c r="R70" s="1"/>
      <c r="S70" s="1">
        <f t="shared" si="30"/>
        <v>0</v>
      </c>
      <c r="W70" s="1"/>
      <c r="X70" s="1">
        <f t="shared" si="28"/>
        <v>0</v>
      </c>
      <c r="Y70" s="1"/>
      <c r="Z70" s="1">
        <f t="shared" si="31"/>
        <v>0</v>
      </c>
    </row>
    <row r="71" spans="3:28" x14ac:dyDescent="0.25">
      <c r="C71" s="1"/>
      <c r="D71" s="1">
        <f t="shared" si="20"/>
        <v>0</v>
      </c>
      <c r="E71" s="1"/>
      <c r="F71" s="1">
        <f t="shared" si="21"/>
        <v>0</v>
      </c>
      <c r="I71" s="1"/>
      <c r="J71" s="1">
        <f t="shared" si="14"/>
        <v>0</v>
      </c>
      <c r="K71" s="1"/>
      <c r="L71" s="1">
        <f t="shared" si="22"/>
        <v>0</v>
      </c>
      <c r="M71" s="1"/>
      <c r="P71" s="1"/>
      <c r="Q71" s="1">
        <f t="shared" si="26"/>
        <v>0</v>
      </c>
      <c r="R71" s="1"/>
      <c r="S71" s="1">
        <f t="shared" si="30"/>
        <v>0</v>
      </c>
      <c r="W71" s="1"/>
      <c r="X71" s="1">
        <f t="shared" si="28"/>
        <v>0</v>
      </c>
      <c r="Y71" s="1"/>
      <c r="Z71" s="1">
        <f t="shared" si="31"/>
        <v>0</v>
      </c>
    </row>
    <row r="72" spans="3:28" x14ac:dyDescent="0.25">
      <c r="C72" s="1"/>
      <c r="D72" s="1">
        <f t="shared" si="20"/>
        <v>0</v>
      </c>
      <c r="E72" s="1"/>
      <c r="F72" s="1">
        <f t="shared" si="21"/>
        <v>0</v>
      </c>
      <c r="I72" s="1"/>
      <c r="J72" s="1">
        <f t="shared" si="14"/>
        <v>0</v>
      </c>
      <c r="K72" s="1"/>
      <c r="L72" s="1">
        <f t="shared" si="22"/>
        <v>0</v>
      </c>
      <c r="M72" s="1"/>
      <c r="P72" s="2">
        <f>SUM(P53:P71)</f>
        <v>56</v>
      </c>
      <c r="Q72" s="2">
        <f>SUM(Q53:Q71)</f>
        <v>11.76</v>
      </c>
      <c r="R72" s="2">
        <f>SUM(R53:R71)</f>
        <v>0</v>
      </c>
      <c r="S72" s="2">
        <f>SUM(S53:S71)</f>
        <v>0</v>
      </c>
      <c r="T72" s="2">
        <f>SUM(T53:T71)</f>
        <v>86.65</v>
      </c>
      <c r="W72" s="2">
        <f>SUM(W53:W71)</f>
        <v>0</v>
      </c>
      <c r="X72" s="2">
        <f>SUM(X53:X71)</f>
        <v>0</v>
      </c>
      <c r="Y72" s="2">
        <f>SUM(Y53:Y71)</f>
        <v>0</v>
      </c>
      <c r="Z72" s="2">
        <f>SUM(Z53:Z71)</f>
        <v>0</v>
      </c>
    </row>
    <row r="73" spans="3:28" x14ac:dyDescent="0.25">
      <c r="C73" s="1"/>
      <c r="D73" s="1">
        <f t="shared" si="20"/>
        <v>0</v>
      </c>
      <c r="E73" s="1"/>
      <c r="F73" s="1">
        <f t="shared" si="21"/>
        <v>0</v>
      </c>
      <c r="I73" s="1"/>
      <c r="J73" s="1">
        <f t="shared" si="14"/>
        <v>0</v>
      </c>
      <c r="K73" s="1"/>
      <c r="L73" s="1">
        <f t="shared" si="22"/>
        <v>0</v>
      </c>
      <c r="M73" s="1"/>
    </row>
    <row r="74" spans="3:28" x14ac:dyDescent="0.25">
      <c r="C74" s="1"/>
      <c r="D74" s="1">
        <f t="shared" si="20"/>
        <v>0</v>
      </c>
      <c r="E74" s="1"/>
      <c r="F74" s="1">
        <f t="shared" si="21"/>
        <v>0</v>
      </c>
      <c r="I74" s="1"/>
      <c r="J74" s="1">
        <f t="shared" si="14"/>
        <v>0</v>
      </c>
      <c r="K74" s="1"/>
      <c r="L74" s="1">
        <f t="shared" si="22"/>
        <v>0</v>
      </c>
      <c r="M74" s="1"/>
      <c r="P74" s="16" t="s">
        <v>16</v>
      </c>
      <c r="Q74" s="16"/>
      <c r="R74" s="16"/>
      <c r="S74" s="16"/>
      <c r="W74" s="16" t="s">
        <v>19</v>
      </c>
      <c r="X74" s="16"/>
      <c r="Y74" s="16"/>
      <c r="Z74" s="16"/>
    </row>
    <row r="75" spans="3:28" x14ac:dyDescent="0.25">
      <c r="C75" s="1"/>
      <c r="D75" s="1">
        <f t="shared" si="20"/>
        <v>0</v>
      </c>
      <c r="E75" s="1"/>
      <c r="F75" s="1">
        <f t="shared" si="21"/>
        <v>0</v>
      </c>
      <c r="I75" s="1"/>
      <c r="J75" s="1">
        <f t="shared" si="14"/>
        <v>0</v>
      </c>
      <c r="K75" s="1"/>
      <c r="L75" s="1">
        <f t="shared" si="22"/>
        <v>0</v>
      </c>
      <c r="M75" s="1"/>
      <c r="P75" s="3" t="s">
        <v>0</v>
      </c>
      <c r="Q75" s="3" t="s">
        <v>1</v>
      </c>
      <c r="R75" s="3" t="s">
        <v>2</v>
      </c>
      <c r="S75" s="3" t="s">
        <v>3</v>
      </c>
      <c r="T75" s="5" t="s">
        <v>13</v>
      </c>
      <c r="U75" s="5" t="s">
        <v>20</v>
      </c>
      <c r="V75" s="7"/>
      <c r="W75" s="3" t="s">
        <v>0</v>
      </c>
      <c r="X75" s="3" t="s">
        <v>1</v>
      </c>
      <c r="Y75" s="3" t="s">
        <v>2</v>
      </c>
      <c r="Z75" s="3" t="s">
        <v>3</v>
      </c>
      <c r="AA75" s="5" t="s">
        <v>13</v>
      </c>
      <c r="AB75" s="5" t="s">
        <v>20</v>
      </c>
    </row>
    <row r="76" spans="3:28" x14ac:dyDescent="0.25">
      <c r="C76" s="1"/>
      <c r="D76" s="1">
        <f t="shared" si="20"/>
        <v>0</v>
      </c>
      <c r="E76" s="1"/>
      <c r="F76" s="1">
        <f t="shared" si="21"/>
        <v>0</v>
      </c>
      <c r="I76" s="1"/>
      <c r="J76" s="1">
        <f t="shared" si="14"/>
        <v>0</v>
      </c>
      <c r="K76" s="1"/>
      <c r="L76" s="1">
        <f t="shared" si="22"/>
        <v>0</v>
      </c>
      <c r="M76" s="1"/>
      <c r="P76">
        <v>40</v>
      </c>
      <c r="Q76" s="1">
        <f>P76*21/100</f>
        <v>8.4</v>
      </c>
      <c r="S76" s="1">
        <f>R76*10.5/100</f>
        <v>0</v>
      </c>
      <c r="U76">
        <v>124</v>
      </c>
      <c r="W76" s="1"/>
      <c r="X76" s="1">
        <f>W76*21/100</f>
        <v>0</v>
      </c>
      <c r="Y76" s="1"/>
      <c r="Z76" s="1">
        <f>Y76*10.5/100</f>
        <v>0</v>
      </c>
      <c r="AB76">
        <v>135.03</v>
      </c>
    </row>
    <row r="77" spans="3:28" x14ac:dyDescent="0.25">
      <c r="C77" s="1"/>
      <c r="D77" s="1">
        <f t="shared" si="20"/>
        <v>0</v>
      </c>
      <c r="E77" s="1"/>
      <c r="F77" s="1">
        <f t="shared" si="21"/>
        <v>0</v>
      </c>
      <c r="I77" s="1"/>
      <c r="J77" s="1">
        <f t="shared" si="14"/>
        <v>0</v>
      </c>
      <c r="K77" s="1"/>
      <c r="L77" s="1">
        <f t="shared" si="22"/>
        <v>0</v>
      </c>
      <c r="M77" s="1"/>
      <c r="P77">
        <v>81.599999999999994</v>
      </c>
      <c r="Q77" s="1">
        <f t="shared" ref="Q77:Q107" si="32">P77*21/100</f>
        <v>17.135999999999999</v>
      </c>
      <c r="R77" s="9"/>
      <c r="S77" s="1">
        <f t="shared" ref="S77:S88" si="33">R77*10.5/100</f>
        <v>0</v>
      </c>
      <c r="U77">
        <v>252.96</v>
      </c>
      <c r="W77" s="1"/>
      <c r="X77" s="1">
        <f t="shared" ref="X77:X94" si="34">W77*21/100</f>
        <v>0</v>
      </c>
      <c r="Y77" s="1"/>
      <c r="Z77" s="1">
        <f t="shared" ref="Z77:Z88" si="35">Y77*10.5/100</f>
        <v>0</v>
      </c>
      <c r="AB77">
        <v>208.68</v>
      </c>
    </row>
    <row r="78" spans="3:28" x14ac:dyDescent="0.25">
      <c r="C78" s="1"/>
      <c r="D78" s="1">
        <f t="shared" si="20"/>
        <v>0</v>
      </c>
      <c r="E78" s="1"/>
      <c r="F78" s="1">
        <f t="shared" si="21"/>
        <v>0</v>
      </c>
      <c r="I78" s="1"/>
      <c r="J78" s="1">
        <f t="shared" si="14"/>
        <v>0</v>
      </c>
      <c r="K78" s="1"/>
      <c r="L78" s="1">
        <f t="shared" si="22"/>
        <v>0</v>
      </c>
      <c r="M78" s="1"/>
      <c r="P78">
        <v>35.200000000000003</v>
      </c>
      <c r="Q78" s="1">
        <f t="shared" si="32"/>
        <v>7.3920000000000003</v>
      </c>
      <c r="R78" s="9"/>
      <c r="S78" s="1">
        <f t="shared" si="33"/>
        <v>0</v>
      </c>
      <c r="U78">
        <v>109.12</v>
      </c>
      <c r="W78" s="1"/>
      <c r="X78" s="1">
        <f t="shared" si="34"/>
        <v>0</v>
      </c>
      <c r="Y78" s="1"/>
      <c r="Z78" s="1">
        <f t="shared" si="35"/>
        <v>0</v>
      </c>
      <c r="AB78">
        <v>58.92</v>
      </c>
    </row>
    <row r="79" spans="3:28" x14ac:dyDescent="0.25">
      <c r="C79" s="1"/>
      <c r="D79" s="1">
        <f t="shared" si="20"/>
        <v>0</v>
      </c>
      <c r="E79" s="1"/>
      <c r="F79" s="1">
        <f t="shared" si="21"/>
        <v>0</v>
      </c>
      <c r="I79" s="1"/>
      <c r="J79" s="1">
        <f t="shared" si="14"/>
        <v>0</v>
      </c>
      <c r="K79" s="1"/>
      <c r="L79" s="1">
        <f t="shared" si="22"/>
        <v>0</v>
      </c>
      <c r="M79" s="1"/>
      <c r="P79">
        <v>64.72</v>
      </c>
      <c r="Q79" s="1">
        <f t="shared" si="32"/>
        <v>13.591199999999999</v>
      </c>
      <c r="S79" s="1">
        <f t="shared" si="33"/>
        <v>0</v>
      </c>
      <c r="U79" s="9">
        <v>200</v>
      </c>
      <c r="W79" s="1"/>
      <c r="X79" s="1">
        <f t="shared" si="34"/>
        <v>0</v>
      </c>
      <c r="Y79" s="1"/>
      <c r="Z79" s="1">
        <f t="shared" si="35"/>
        <v>0</v>
      </c>
      <c r="AB79">
        <v>63.83</v>
      </c>
    </row>
    <row r="80" spans="3:28" x14ac:dyDescent="0.25">
      <c r="C80" s="1"/>
      <c r="D80" s="1">
        <f t="shared" si="20"/>
        <v>0</v>
      </c>
      <c r="E80" s="1"/>
      <c r="F80" s="1">
        <f t="shared" si="21"/>
        <v>0</v>
      </c>
      <c r="I80" s="1"/>
      <c r="J80" s="1">
        <f t="shared" si="14"/>
        <v>0</v>
      </c>
      <c r="K80" s="1"/>
      <c r="L80" s="1">
        <f t="shared" si="22"/>
        <v>0</v>
      </c>
      <c r="M80" s="1"/>
      <c r="P80">
        <v>71.2</v>
      </c>
      <c r="Q80" s="1">
        <f t="shared" si="32"/>
        <v>14.952</v>
      </c>
      <c r="R80" s="9"/>
      <c r="S80" s="1">
        <f t="shared" si="33"/>
        <v>0</v>
      </c>
      <c r="U80">
        <v>220.72</v>
      </c>
      <c r="W80" s="1"/>
      <c r="X80" s="1">
        <f t="shared" si="34"/>
        <v>0</v>
      </c>
      <c r="Y80" s="1"/>
      <c r="Z80" s="1">
        <f t="shared" si="35"/>
        <v>0</v>
      </c>
      <c r="AB80">
        <v>41.49</v>
      </c>
    </row>
    <row r="81" spans="3:28" x14ac:dyDescent="0.25">
      <c r="C81" s="1"/>
      <c r="D81" s="1">
        <f t="shared" si="20"/>
        <v>0</v>
      </c>
      <c r="E81" s="1"/>
      <c r="F81" s="1">
        <f t="shared" si="21"/>
        <v>0</v>
      </c>
      <c r="I81" s="1"/>
      <c r="J81" s="1">
        <f t="shared" si="14"/>
        <v>0</v>
      </c>
      <c r="K81" s="1"/>
      <c r="L81" s="1">
        <f t="shared" si="22"/>
        <v>0</v>
      </c>
      <c r="M81" s="1"/>
      <c r="P81">
        <v>56</v>
      </c>
      <c r="Q81" s="1">
        <f t="shared" si="32"/>
        <v>11.76</v>
      </c>
      <c r="S81" s="1">
        <f t="shared" si="33"/>
        <v>0</v>
      </c>
      <c r="U81">
        <v>173.6</v>
      </c>
      <c r="W81" s="1"/>
      <c r="X81" s="1">
        <f t="shared" si="34"/>
        <v>0</v>
      </c>
      <c r="Y81" s="1"/>
      <c r="Z81" s="1">
        <f t="shared" si="35"/>
        <v>0</v>
      </c>
    </row>
    <row r="82" spans="3:28" x14ac:dyDescent="0.25">
      <c r="C82" s="1"/>
      <c r="D82" s="1">
        <f t="shared" si="20"/>
        <v>0</v>
      </c>
      <c r="E82" s="1"/>
      <c r="F82" s="1">
        <f t="shared" si="21"/>
        <v>0</v>
      </c>
      <c r="I82" s="1"/>
      <c r="J82" s="1">
        <f t="shared" si="14"/>
        <v>0</v>
      </c>
      <c r="K82" s="1"/>
      <c r="L82" s="1">
        <f t="shared" si="22"/>
        <v>0</v>
      </c>
      <c r="M82" s="1"/>
      <c r="P82">
        <v>25.6</v>
      </c>
      <c r="Q82" s="1">
        <f t="shared" si="32"/>
        <v>5.3760000000000003</v>
      </c>
      <c r="R82" s="9"/>
      <c r="S82" s="1">
        <f t="shared" si="33"/>
        <v>0</v>
      </c>
      <c r="U82">
        <v>79.36</v>
      </c>
      <c r="W82" s="1"/>
      <c r="X82" s="1">
        <f t="shared" si="34"/>
        <v>0</v>
      </c>
      <c r="Y82" s="1"/>
      <c r="Z82" s="1">
        <f t="shared" si="35"/>
        <v>0</v>
      </c>
    </row>
    <row r="83" spans="3:28" x14ac:dyDescent="0.25">
      <c r="C83" s="1"/>
      <c r="D83" s="1">
        <f t="shared" si="20"/>
        <v>0</v>
      </c>
      <c r="E83" s="1"/>
      <c r="F83" s="1">
        <f t="shared" si="21"/>
        <v>0</v>
      </c>
      <c r="I83" s="1"/>
      <c r="J83" s="1">
        <f t="shared" si="14"/>
        <v>0</v>
      </c>
      <c r="K83" s="1"/>
      <c r="L83" s="1">
        <f t="shared" si="22"/>
        <v>0</v>
      </c>
      <c r="M83" s="1"/>
      <c r="P83">
        <v>65.599999999999994</v>
      </c>
      <c r="Q83" s="1">
        <f t="shared" si="32"/>
        <v>13.776</v>
      </c>
      <c r="R83" s="9"/>
      <c r="S83" s="1">
        <f t="shared" si="33"/>
        <v>0</v>
      </c>
      <c r="U83">
        <v>203.36</v>
      </c>
      <c r="W83" s="1"/>
      <c r="X83" s="1">
        <f t="shared" si="34"/>
        <v>0</v>
      </c>
      <c r="Y83" s="1"/>
      <c r="Z83" s="1">
        <f t="shared" si="35"/>
        <v>0</v>
      </c>
    </row>
    <row r="84" spans="3:28" x14ac:dyDescent="0.25">
      <c r="C84" s="1"/>
      <c r="D84" s="1">
        <f t="shared" si="20"/>
        <v>0</v>
      </c>
      <c r="E84" s="1"/>
      <c r="F84" s="1">
        <f t="shared" si="21"/>
        <v>0</v>
      </c>
      <c r="I84" s="1"/>
      <c r="J84" s="1">
        <f t="shared" si="14"/>
        <v>0</v>
      </c>
      <c r="K84" s="1"/>
      <c r="L84" s="1">
        <f t="shared" si="22"/>
        <v>0</v>
      </c>
      <c r="M84" s="1"/>
      <c r="P84">
        <v>16</v>
      </c>
      <c r="Q84" s="1">
        <f t="shared" si="32"/>
        <v>3.36</v>
      </c>
      <c r="S84" s="1">
        <f t="shared" si="33"/>
        <v>0</v>
      </c>
      <c r="U84" s="9">
        <v>49.6</v>
      </c>
      <c r="W84" s="1"/>
      <c r="X84" s="1">
        <f t="shared" si="34"/>
        <v>0</v>
      </c>
      <c r="Y84" s="1"/>
      <c r="Z84" s="1">
        <f t="shared" si="35"/>
        <v>0</v>
      </c>
    </row>
    <row r="85" spans="3:28" x14ac:dyDescent="0.25">
      <c r="C85" s="1"/>
      <c r="D85" s="1">
        <f t="shared" si="20"/>
        <v>0</v>
      </c>
      <c r="E85" s="1"/>
      <c r="F85" s="1">
        <f t="shared" si="21"/>
        <v>0</v>
      </c>
      <c r="I85" s="1"/>
      <c r="J85" s="1">
        <f t="shared" si="14"/>
        <v>0</v>
      </c>
      <c r="K85" s="1"/>
      <c r="L85" s="1">
        <f t="shared" si="22"/>
        <v>0</v>
      </c>
      <c r="M85" s="1"/>
      <c r="P85">
        <v>57.6</v>
      </c>
      <c r="Q85" s="1">
        <f t="shared" si="32"/>
        <v>12.096000000000002</v>
      </c>
      <c r="S85" s="1">
        <f t="shared" si="33"/>
        <v>0</v>
      </c>
      <c r="U85">
        <v>78.56</v>
      </c>
      <c r="W85" s="1"/>
      <c r="X85" s="1">
        <f t="shared" si="34"/>
        <v>0</v>
      </c>
      <c r="Y85" s="1"/>
      <c r="Z85" s="1">
        <f t="shared" si="35"/>
        <v>0</v>
      </c>
    </row>
    <row r="86" spans="3:28" x14ac:dyDescent="0.25">
      <c r="C86" s="1"/>
      <c r="D86" s="1">
        <f t="shared" ref="D86:D142" si="36">C86*21/100</f>
        <v>0</v>
      </c>
      <c r="E86" s="1"/>
      <c r="F86" s="1">
        <f t="shared" ref="F86:F129" si="37">E86*10.5/100</f>
        <v>0</v>
      </c>
      <c r="I86" s="1"/>
      <c r="J86" s="1">
        <f t="shared" ref="J86:J87" si="38">I86*21/100</f>
        <v>0</v>
      </c>
      <c r="K86" s="1"/>
      <c r="L86" s="1">
        <f t="shared" ref="L86:L87" si="39">K86*10.5/100</f>
        <v>0</v>
      </c>
      <c r="M86" s="1"/>
      <c r="P86">
        <v>75.78</v>
      </c>
      <c r="Q86" s="1">
        <f t="shared" si="32"/>
        <v>15.913800000000002</v>
      </c>
      <c r="R86" s="1"/>
      <c r="S86" s="1">
        <f t="shared" si="33"/>
        <v>0</v>
      </c>
      <c r="U86">
        <v>103.36</v>
      </c>
      <c r="W86" s="1"/>
      <c r="X86" s="1">
        <f t="shared" si="34"/>
        <v>0</v>
      </c>
      <c r="Y86" s="1"/>
      <c r="Z86" s="1">
        <f t="shared" si="35"/>
        <v>0</v>
      </c>
    </row>
    <row r="87" spans="3:28" x14ac:dyDescent="0.25">
      <c r="C87" s="1"/>
      <c r="D87" s="1">
        <f t="shared" si="36"/>
        <v>0</v>
      </c>
      <c r="E87" s="1"/>
      <c r="F87" s="1">
        <f t="shared" si="37"/>
        <v>0</v>
      </c>
      <c r="I87" s="1"/>
      <c r="J87" s="1">
        <f t="shared" si="38"/>
        <v>0</v>
      </c>
      <c r="K87" s="1"/>
      <c r="L87" s="1">
        <f t="shared" si="39"/>
        <v>0</v>
      </c>
      <c r="M87" s="1"/>
      <c r="P87">
        <v>36</v>
      </c>
      <c r="Q87" s="1">
        <f t="shared" si="32"/>
        <v>7.56</v>
      </c>
      <c r="R87" s="1"/>
      <c r="S87" s="1">
        <f t="shared" si="33"/>
        <v>0</v>
      </c>
      <c r="U87">
        <v>49.1</v>
      </c>
      <c r="W87" s="1"/>
      <c r="X87" s="1">
        <f t="shared" si="34"/>
        <v>0</v>
      </c>
      <c r="Y87" s="1"/>
      <c r="Z87" s="1">
        <f t="shared" si="35"/>
        <v>0</v>
      </c>
    </row>
    <row r="88" spans="3:28" x14ac:dyDescent="0.25">
      <c r="C88" s="1"/>
      <c r="D88" s="1">
        <f t="shared" si="36"/>
        <v>0</v>
      </c>
      <c r="E88" s="1"/>
      <c r="F88" s="1">
        <f t="shared" si="37"/>
        <v>0</v>
      </c>
      <c r="I88" s="2">
        <f>SUM(I29:I87)</f>
        <v>0</v>
      </c>
      <c r="J88" s="2">
        <f>SUM(J29:J87)</f>
        <v>0</v>
      </c>
      <c r="K88" s="2">
        <f>SUM(K29:K87)</f>
        <v>0</v>
      </c>
      <c r="L88" s="2">
        <f>SUM(L29:L87)</f>
        <v>0</v>
      </c>
      <c r="M88" s="2"/>
      <c r="P88">
        <v>50.4</v>
      </c>
      <c r="Q88" s="1">
        <f t="shared" si="32"/>
        <v>10.583999999999998</v>
      </c>
      <c r="R88" s="1"/>
      <c r="S88" s="1">
        <f t="shared" si="33"/>
        <v>0</v>
      </c>
      <c r="U88">
        <v>68.739999999999995</v>
      </c>
      <c r="W88" s="1"/>
      <c r="X88" s="1">
        <f t="shared" si="34"/>
        <v>0</v>
      </c>
      <c r="Y88" s="1"/>
      <c r="Z88" s="1">
        <f t="shared" si="35"/>
        <v>0</v>
      </c>
    </row>
    <row r="89" spans="3:28" x14ac:dyDescent="0.25">
      <c r="C89" s="1"/>
      <c r="D89" s="1">
        <f t="shared" si="36"/>
        <v>0</v>
      </c>
      <c r="F89" s="1">
        <f t="shared" si="37"/>
        <v>0</v>
      </c>
      <c r="P89">
        <v>43.2</v>
      </c>
      <c r="Q89" s="1">
        <f t="shared" si="32"/>
        <v>9.072000000000001</v>
      </c>
      <c r="R89" s="1"/>
      <c r="S89" s="1">
        <f>R89*10.5/100</f>
        <v>0</v>
      </c>
      <c r="U89">
        <v>58.92</v>
      </c>
      <c r="W89" s="1"/>
      <c r="X89" s="1">
        <f t="shared" si="34"/>
        <v>0</v>
      </c>
      <c r="Y89" s="1"/>
      <c r="Z89" s="1">
        <f>Y89*10.5/100</f>
        <v>0</v>
      </c>
    </row>
    <row r="90" spans="3:28" x14ac:dyDescent="0.25">
      <c r="C90" s="1"/>
      <c r="D90" s="1">
        <f t="shared" si="36"/>
        <v>0</v>
      </c>
      <c r="F90" s="1">
        <f t="shared" si="37"/>
        <v>0</v>
      </c>
      <c r="P90">
        <v>171</v>
      </c>
      <c r="Q90" s="1">
        <f t="shared" si="32"/>
        <v>35.909999999999997</v>
      </c>
      <c r="R90" s="1"/>
      <c r="S90" s="1">
        <f t="shared" ref="S90:S107" si="40">R90*10.5/100</f>
        <v>0</v>
      </c>
      <c r="U90">
        <v>233.23</v>
      </c>
      <c r="W90" s="1"/>
      <c r="X90" s="1">
        <f t="shared" si="34"/>
        <v>0</v>
      </c>
      <c r="Y90" s="1"/>
      <c r="Z90" s="1">
        <f t="shared" ref="Z90:Z94" si="41">Y90*10.5/100</f>
        <v>0</v>
      </c>
    </row>
    <row r="91" spans="3:28" x14ac:dyDescent="0.25">
      <c r="C91" s="1"/>
      <c r="D91" s="1">
        <f t="shared" si="36"/>
        <v>0</v>
      </c>
      <c r="F91" s="1">
        <f t="shared" si="37"/>
        <v>0</v>
      </c>
      <c r="P91">
        <v>51.3</v>
      </c>
      <c r="Q91" s="1">
        <f t="shared" si="32"/>
        <v>10.773</v>
      </c>
      <c r="R91" s="1"/>
      <c r="S91" s="1">
        <f t="shared" si="40"/>
        <v>0</v>
      </c>
      <c r="U91">
        <v>69.97</v>
      </c>
      <c r="W91" s="1"/>
      <c r="X91" s="1">
        <f t="shared" si="34"/>
        <v>0</v>
      </c>
      <c r="Y91" s="1"/>
      <c r="Z91" s="1">
        <f t="shared" si="41"/>
        <v>0</v>
      </c>
    </row>
    <row r="92" spans="3:28" x14ac:dyDescent="0.25">
      <c r="C92" s="1"/>
      <c r="D92" s="1">
        <f t="shared" si="36"/>
        <v>0</v>
      </c>
      <c r="F92" s="1">
        <f t="shared" si="37"/>
        <v>0</v>
      </c>
      <c r="P92">
        <v>137.88</v>
      </c>
      <c r="Q92" s="1">
        <f t="shared" si="32"/>
        <v>28.954799999999999</v>
      </c>
      <c r="R92" s="1"/>
      <c r="S92" s="1">
        <f t="shared" si="40"/>
        <v>0</v>
      </c>
      <c r="U92">
        <v>188.05</v>
      </c>
      <c r="W92" s="1"/>
      <c r="X92" s="1">
        <f t="shared" si="34"/>
        <v>0</v>
      </c>
      <c r="Y92" s="1"/>
      <c r="Z92" s="1">
        <f t="shared" si="41"/>
        <v>0</v>
      </c>
    </row>
    <row r="93" spans="3:28" x14ac:dyDescent="0.25">
      <c r="C93" s="1"/>
      <c r="D93" s="1">
        <f t="shared" si="36"/>
        <v>0</v>
      </c>
      <c r="F93" s="1">
        <f t="shared" si="37"/>
        <v>0</v>
      </c>
      <c r="P93">
        <v>144</v>
      </c>
      <c r="Q93" s="1">
        <f t="shared" si="32"/>
        <v>30.24</v>
      </c>
      <c r="R93" s="1"/>
      <c r="S93" s="1">
        <f t="shared" si="40"/>
        <v>0</v>
      </c>
      <c r="U93" s="9">
        <v>196.4</v>
      </c>
      <c r="W93" s="1"/>
      <c r="X93" s="1">
        <f t="shared" si="34"/>
        <v>0</v>
      </c>
      <c r="Y93" s="1"/>
      <c r="Z93" s="1">
        <f t="shared" si="41"/>
        <v>0</v>
      </c>
    </row>
    <row r="94" spans="3:28" x14ac:dyDescent="0.25">
      <c r="C94" s="1"/>
      <c r="D94" s="1">
        <f t="shared" si="36"/>
        <v>0</v>
      </c>
      <c r="F94" s="1">
        <f t="shared" si="37"/>
        <v>0</v>
      </c>
      <c r="P94" s="9">
        <v>160.19999999999999</v>
      </c>
      <c r="Q94" s="1">
        <f t="shared" si="32"/>
        <v>33.641999999999996</v>
      </c>
      <c r="R94" s="1"/>
      <c r="S94" s="1">
        <f t="shared" si="40"/>
        <v>0</v>
      </c>
      <c r="U94">
        <v>218.5</v>
      </c>
      <c r="W94" s="1"/>
      <c r="X94" s="1">
        <f t="shared" si="34"/>
        <v>0</v>
      </c>
      <c r="Y94" s="1"/>
      <c r="Z94" s="1">
        <f t="shared" si="41"/>
        <v>0</v>
      </c>
    </row>
    <row r="95" spans="3:28" x14ac:dyDescent="0.25">
      <c r="C95" s="1"/>
      <c r="D95" s="1">
        <f t="shared" si="36"/>
        <v>0</v>
      </c>
      <c r="F95" s="1">
        <f t="shared" si="37"/>
        <v>0</v>
      </c>
      <c r="Q95" s="1">
        <f t="shared" si="32"/>
        <v>0</v>
      </c>
      <c r="R95" s="1"/>
      <c r="S95" s="1">
        <f t="shared" si="40"/>
        <v>0</v>
      </c>
      <c r="U95" s="9"/>
      <c r="W95" s="2">
        <f t="shared" ref="W95:AB95" si="42">SUM(W76:W94)</f>
        <v>0</v>
      </c>
      <c r="X95" s="2">
        <f t="shared" si="42"/>
        <v>0</v>
      </c>
      <c r="Y95" s="2">
        <f t="shared" si="42"/>
        <v>0</v>
      </c>
      <c r="Z95" s="2">
        <f t="shared" si="42"/>
        <v>0</v>
      </c>
      <c r="AA95" s="2">
        <f t="shared" si="42"/>
        <v>0</v>
      </c>
      <c r="AB95" s="2">
        <f t="shared" si="42"/>
        <v>507.95000000000005</v>
      </c>
    </row>
    <row r="96" spans="3:28" x14ac:dyDescent="0.25">
      <c r="C96" s="1"/>
      <c r="D96" s="1">
        <f t="shared" si="36"/>
        <v>0</v>
      </c>
      <c r="F96" s="1">
        <f t="shared" si="37"/>
        <v>0</v>
      </c>
      <c r="Q96" s="1">
        <f t="shared" si="32"/>
        <v>0</v>
      </c>
      <c r="R96" s="1"/>
      <c r="S96" s="1">
        <f t="shared" si="40"/>
        <v>0</v>
      </c>
    </row>
    <row r="97" spans="3:21" x14ac:dyDescent="0.25">
      <c r="C97" s="1"/>
      <c r="D97" s="1">
        <f t="shared" si="36"/>
        <v>0</v>
      </c>
      <c r="F97" s="1">
        <f t="shared" si="37"/>
        <v>0</v>
      </c>
      <c r="Q97" s="1">
        <f t="shared" si="32"/>
        <v>0</v>
      </c>
      <c r="R97" s="1"/>
      <c r="S97" s="1">
        <f t="shared" si="40"/>
        <v>0</v>
      </c>
      <c r="U97" s="9"/>
    </row>
    <row r="98" spans="3:21" x14ac:dyDescent="0.25">
      <c r="C98" s="1"/>
      <c r="D98" s="1">
        <f t="shared" si="36"/>
        <v>0</v>
      </c>
      <c r="F98" s="1">
        <f t="shared" si="37"/>
        <v>0</v>
      </c>
      <c r="P98" s="9"/>
      <c r="Q98" s="1">
        <f t="shared" si="32"/>
        <v>0</v>
      </c>
      <c r="R98" s="1"/>
      <c r="S98" s="1">
        <f t="shared" si="40"/>
        <v>0</v>
      </c>
    </row>
    <row r="99" spans="3:21" x14ac:dyDescent="0.25">
      <c r="C99" s="1"/>
      <c r="D99" s="1">
        <f t="shared" si="36"/>
        <v>0</v>
      </c>
      <c r="F99" s="1">
        <f t="shared" si="37"/>
        <v>0</v>
      </c>
      <c r="Q99" s="1">
        <f t="shared" si="32"/>
        <v>0</v>
      </c>
      <c r="R99" s="1"/>
      <c r="S99" s="1">
        <f t="shared" si="40"/>
        <v>0</v>
      </c>
    </row>
    <row r="100" spans="3:21" x14ac:dyDescent="0.25">
      <c r="C100" s="1"/>
      <c r="D100" s="1">
        <f t="shared" si="36"/>
        <v>0</v>
      </c>
      <c r="F100" s="1">
        <f t="shared" si="37"/>
        <v>0</v>
      </c>
      <c r="Q100" s="1">
        <f t="shared" si="32"/>
        <v>0</v>
      </c>
      <c r="R100" s="1"/>
      <c r="S100" s="1">
        <f t="shared" si="40"/>
        <v>0</v>
      </c>
    </row>
    <row r="101" spans="3:21" x14ac:dyDescent="0.25">
      <c r="C101" s="1"/>
      <c r="D101" s="1">
        <f t="shared" si="36"/>
        <v>0</v>
      </c>
      <c r="F101" s="1">
        <f t="shared" si="37"/>
        <v>0</v>
      </c>
      <c r="Q101" s="1">
        <f t="shared" si="32"/>
        <v>0</v>
      </c>
      <c r="R101" s="1"/>
      <c r="S101" s="1">
        <f t="shared" si="40"/>
        <v>0</v>
      </c>
    </row>
    <row r="102" spans="3:21" x14ac:dyDescent="0.25">
      <c r="C102" s="1"/>
      <c r="D102" s="1">
        <f t="shared" si="36"/>
        <v>0</v>
      </c>
      <c r="F102" s="1">
        <f t="shared" si="37"/>
        <v>0</v>
      </c>
      <c r="Q102" s="1">
        <f t="shared" si="32"/>
        <v>0</v>
      </c>
      <c r="R102" s="1"/>
      <c r="S102" s="1">
        <f t="shared" si="40"/>
        <v>0</v>
      </c>
    </row>
    <row r="103" spans="3:21" x14ac:dyDescent="0.25">
      <c r="C103" s="1"/>
      <c r="D103" s="1">
        <f t="shared" si="36"/>
        <v>0</v>
      </c>
      <c r="F103" s="1">
        <f t="shared" si="37"/>
        <v>0</v>
      </c>
      <c r="Q103" s="1">
        <f t="shared" si="32"/>
        <v>0</v>
      </c>
      <c r="R103" s="1"/>
      <c r="S103" s="1">
        <f t="shared" si="40"/>
        <v>0</v>
      </c>
      <c r="U103" s="9"/>
    </row>
    <row r="104" spans="3:21" x14ac:dyDescent="0.25">
      <c r="C104" s="1"/>
      <c r="D104" s="1">
        <f t="shared" si="36"/>
        <v>0</v>
      </c>
      <c r="F104" s="1">
        <f t="shared" si="37"/>
        <v>0</v>
      </c>
      <c r="Q104" s="1">
        <f t="shared" si="32"/>
        <v>0</v>
      </c>
      <c r="R104" s="1"/>
      <c r="S104" s="1">
        <f t="shared" si="40"/>
        <v>0</v>
      </c>
    </row>
    <row r="105" spans="3:21" x14ac:dyDescent="0.25">
      <c r="C105" s="1"/>
      <c r="D105" s="1">
        <f t="shared" si="36"/>
        <v>0</v>
      </c>
      <c r="F105" s="1">
        <f t="shared" si="37"/>
        <v>0</v>
      </c>
      <c r="Q105" s="1">
        <f t="shared" si="32"/>
        <v>0</v>
      </c>
      <c r="R105" s="1"/>
      <c r="S105" s="1">
        <f t="shared" si="40"/>
        <v>0</v>
      </c>
      <c r="U105" s="9"/>
    </row>
    <row r="106" spans="3:21" x14ac:dyDescent="0.25">
      <c r="C106" s="1"/>
      <c r="D106" s="1">
        <f t="shared" si="36"/>
        <v>0</v>
      </c>
      <c r="F106" s="1">
        <f t="shared" si="37"/>
        <v>0</v>
      </c>
      <c r="Q106" s="1">
        <f t="shared" si="32"/>
        <v>0</v>
      </c>
      <c r="R106" s="1"/>
      <c r="S106" s="1">
        <f t="shared" si="40"/>
        <v>0</v>
      </c>
    </row>
    <row r="107" spans="3:21" x14ac:dyDescent="0.25">
      <c r="C107" s="1"/>
      <c r="D107" s="1">
        <f t="shared" si="36"/>
        <v>0</v>
      </c>
      <c r="F107" s="1">
        <f t="shared" si="37"/>
        <v>0</v>
      </c>
      <c r="P107" s="9"/>
      <c r="Q107" s="1">
        <f t="shared" si="32"/>
        <v>0</v>
      </c>
      <c r="R107" s="1"/>
      <c r="S107" s="1">
        <f t="shared" si="40"/>
        <v>0</v>
      </c>
    </row>
    <row r="108" spans="3:21" x14ac:dyDescent="0.25">
      <c r="C108" s="1"/>
      <c r="D108" s="1">
        <f t="shared" si="36"/>
        <v>0</v>
      </c>
      <c r="F108" s="1">
        <f t="shared" si="37"/>
        <v>0</v>
      </c>
      <c r="P108" s="2">
        <f t="shared" ref="P108:U108" si="43">SUM(P76:P107)</f>
        <v>1383.28</v>
      </c>
      <c r="Q108" s="2">
        <f t="shared" si="43"/>
        <v>290.48880000000003</v>
      </c>
      <c r="R108" s="2">
        <f t="shared" si="43"/>
        <v>0</v>
      </c>
      <c r="S108" s="2">
        <f t="shared" si="43"/>
        <v>0</v>
      </c>
      <c r="T108" s="2">
        <f t="shared" si="43"/>
        <v>0</v>
      </c>
      <c r="U108" s="2">
        <f t="shared" si="43"/>
        <v>2677.5499999999997</v>
      </c>
    </row>
    <row r="109" spans="3:21" x14ac:dyDescent="0.25">
      <c r="C109" s="1"/>
      <c r="D109" s="1">
        <f t="shared" si="36"/>
        <v>0</v>
      </c>
      <c r="F109" s="1">
        <f t="shared" si="37"/>
        <v>0</v>
      </c>
    </row>
    <row r="110" spans="3:21" x14ac:dyDescent="0.25">
      <c r="C110" s="1"/>
      <c r="D110" s="1">
        <f t="shared" si="36"/>
        <v>0</v>
      </c>
      <c r="F110" s="1">
        <f t="shared" si="37"/>
        <v>0</v>
      </c>
    </row>
    <row r="111" spans="3:21" x14ac:dyDescent="0.25">
      <c r="C111" s="1"/>
      <c r="D111" s="1">
        <f t="shared" si="36"/>
        <v>0</v>
      </c>
      <c r="F111" s="1">
        <f t="shared" si="37"/>
        <v>0</v>
      </c>
    </row>
    <row r="112" spans="3:21" x14ac:dyDescent="0.25">
      <c r="C112" s="1"/>
      <c r="D112" s="1">
        <f t="shared" si="36"/>
        <v>0</v>
      </c>
      <c r="F112" s="1">
        <f t="shared" si="37"/>
        <v>0</v>
      </c>
    </row>
    <row r="113" spans="3:6" x14ac:dyDescent="0.25">
      <c r="C113" s="1"/>
      <c r="D113" s="1">
        <f t="shared" si="36"/>
        <v>0</v>
      </c>
      <c r="F113" s="1">
        <f t="shared" si="37"/>
        <v>0</v>
      </c>
    </row>
    <row r="114" spans="3:6" x14ac:dyDescent="0.25">
      <c r="C114" s="1"/>
      <c r="D114" s="1">
        <f t="shared" si="36"/>
        <v>0</v>
      </c>
      <c r="F114" s="1">
        <f t="shared" si="37"/>
        <v>0</v>
      </c>
    </row>
    <row r="115" spans="3:6" x14ac:dyDescent="0.25">
      <c r="C115" s="1"/>
      <c r="D115" s="1">
        <f>C115*21/100</f>
        <v>0</v>
      </c>
      <c r="F115" s="1">
        <f t="shared" si="37"/>
        <v>0</v>
      </c>
    </row>
    <row r="116" spans="3:6" x14ac:dyDescent="0.25">
      <c r="C116" s="1"/>
      <c r="D116" s="1">
        <f t="shared" si="36"/>
        <v>0</v>
      </c>
      <c r="F116" s="1">
        <f t="shared" si="37"/>
        <v>0</v>
      </c>
    </row>
    <row r="117" spans="3:6" x14ac:dyDescent="0.25">
      <c r="C117" s="1"/>
      <c r="D117" s="1">
        <f t="shared" si="36"/>
        <v>0</v>
      </c>
      <c r="F117" s="1">
        <f t="shared" si="37"/>
        <v>0</v>
      </c>
    </row>
    <row r="118" spans="3:6" x14ac:dyDescent="0.25">
      <c r="C118" s="1"/>
      <c r="D118" s="1">
        <f t="shared" si="36"/>
        <v>0</v>
      </c>
      <c r="F118" s="1">
        <f t="shared" si="37"/>
        <v>0</v>
      </c>
    </row>
    <row r="119" spans="3:6" x14ac:dyDescent="0.25">
      <c r="C119" s="1"/>
      <c r="D119" s="1">
        <f t="shared" si="36"/>
        <v>0</v>
      </c>
      <c r="F119" s="1">
        <f t="shared" si="37"/>
        <v>0</v>
      </c>
    </row>
    <row r="120" spans="3:6" x14ac:dyDescent="0.25">
      <c r="C120" s="1"/>
      <c r="D120" s="1">
        <f t="shared" si="36"/>
        <v>0</v>
      </c>
      <c r="F120" s="1">
        <f t="shared" si="37"/>
        <v>0</v>
      </c>
    </row>
    <row r="121" spans="3:6" x14ac:dyDescent="0.25">
      <c r="C121" s="1"/>
      <c r="D121" s="1">
        <f t="shared" si="36"/>
        <v>0</v>
      </c>
      <c r="F121" s="1">
        <f t="shared" si="37"/>
        <v>0</v>
      </c>
    </row>
    <row r="122" spans="3:6" x14ac:dyDescent="0.25">
      <c r="C122" s="1"/>
      <c r="D122" s="1">
        <f t="shared" si="36"/>
        <v>0</v>
      </c>
      <c r="F122" s="1">
        <f t="shared" si="37"/>
        <v>0</v>
      </c>
    </row>
    <row r="123" spans="3:6" x14ac:dyDescent="0.25">
      <c r="C123" s="1"/>
      <c r="D123" s="1">
        <f t="shared" si="36"/>
        <v>0</v>
      </c>
      <c r="F123" s="1">
        <f t="shared" si="37"/>
        <v>0</v>
      </c>
    </row>
    <row r="124" spans="3:6" x14ac:dyDescent="0.25">
      <c r="C124" s="1"/>
      <c r="D124" s="1">
        <f t="shared" si="36"/>
        <v>0</v>
      </c>
      <c r="F124" s="1">
        <f t="shared" si="37"/>
        <v>0</v>
      </c>
    </row>
    <row r="125" spans="3:6" x14ac:dyDescent="0.25">
      <c r="C125" s="1"/>
      <c r="D125" s="1">
        <f t="shared" si="36"/>
        <v>0</v>
      </c>
      <c r="F125" s="1">
        <f t="shared" si="37"/>
        <v>0</v>
      </c>
    </row>
    <row r="126" spans="3:6" x14ac:dyDescent="0.25">
      <c r="C126" s="1"/>
      <c r="D126" s="1">
        <f t="shared" si="36"/>
        <v>0</v>
      </c>
      <c r="F126" s="1">
        <f t="shared" si="37"/>
        <v>0</v>
      </c>
    </row>
    <row r="127" spans="3:6" x14ac:dyDescent="0.25">
      <c r="C127" s="1"/>
      <c r="D127" s="1">
        <f t="shared" si="36"/>
        <v>0</v>
      </c>
      <c r="F127" s="1">
        <f t="shared" si="37"/>
        <v>0</v>
      </c>
    </row>
    <row r="128" spans="3:6" x14ac:dyDescent="0.25">
      <c r="C128" s="1"/>
      <c r="D128" s="1">
        <f t="shared" si="36"/>
        <v>0</v>
      </c>
      <c r="F128" s="1">
        <f t="shared" si="37"/>
        <v>0</v>
      </c>
    </row>
    <row r="129" spans="3:6" x14ac:dyDescent="0.25">
      <c r="C129" s="1"/>
      <c r="D129" s="1">
        <f t="shared" si="36"/>
        <v>0</v>
      </c>
      <c r="F129" s="1">
        <f t="shared" si="37"/>
        <v>0</v>
      </c>
    </row>
    <row r="130" spans="3:6" x14ac:dyDescent="0.25">
      <c r="C130" s="1"/>
      <c r="D130" s="1">
        <f t="shared" si="36"/>
        <v>0</v>
      </c>
      <c r="E130" s="1"/>
      <c r="F130" s="1">
        <f>E130*10.5/100</f>
        <v>0</v>
      </c>
    </row>
    <row r="131" spans="3:6" x14ac:dyDescent="0.25">
      <c r="C131" s="1"/>
      <c r="D131" s="1">
        <f t="shared" si="36"/>
        <v>0</v>
      </c>
      <c r="F131" s="1">
        <f t="shared" ref="F131:F171" si="44">E131*10.5/100</f>
        <v>0</v>
      </c>
    </row>
    <row r="132" spans="3:6" x14ac:dyDescent="0.25">
      <c r="C132" s="1"/>
      <c r="D132" s="1">
        <f t="shared" si="36"/>
        <v>0</v>
      </c>
      <c r="F132" s="1">
        <f t="shared" si="44"/>
        <v>0</v>
      </c>
    </row>
    <row r="133" spans="3:6" x14ac:dyDescent="0.25">
      <c r="C133" s="1"/>
      <c r="D133" s="1">
        <f t="shared" si="36"/>
        <v>0</v>
      </c>
      <c r="F133" s="1">
        <f t="shared" si="44"/>
        <v>0</v>
      </c>
    </row>
    <row r="134" spans="3:6" x14ac:dyDescent="0.25">
      <c r="C134" s="1"/>
      <c r="D134" s="1">
        <f t="shared" si="36"/>
        <v>0</v>
      </c>
      <c r="F134" s="1">
        <f t="shared" si="44"/>
        <v>0</v>
      </c>
    </row>
    <row r="135" spans="3:6" x14ac:dyDescent="0.25">
      <c r="C135" s="1"/>
      <c r="D135" s="1">
        <f t="shared" si="36"/>
        <v>0</v>
      </c>
      <c r="F135" s="1">
        <f t="shared" si="44"/>
        <v>0</v>
      </c>
    </row>
    <row r="136" spans="3:6" x14ac:dyDescent="0.25">
      <c r="C136" s="1"/>
      <c r="D136" s="1">
        <f t="shared" si="36"/>
        <v>0</v>
      </c>
      <c r="F136" s="1">
        <f t="shared" si="44"/>
        <v>0</v>
      </c>
    </row>
    <row r="137" spans="3:6" x14ac:dyDescent="0.25">
      <c r="C137" s="1"/>
      <c r="D137" s="1">
        <f t="shared" si="36"/>
        <v>0</v>
      </c>
      <c r="F137" s="1">
        <f t="shared" si="44"/>
        <v>0</v>
      </c>
    </row>
    <row r="138" spans="3:6" x14ac:dyDescent="0.25">
      <c r="C138" s="1"/>
      <c r="D138" s="1">
        <f t="shared" si="36"/>
        <v>0</v>
      </c>
      <c r="F138" s="1">
        <f t="shared" si="44"/>
        <v>0</v>
      </c>
    </row>
    <row r="139" spans="3:6" x14ac:dyDescent="0.25">
      <c r="C139" s="1"/>
      <c r="D139" s="1">
        <f t="shared" si="36"/>
        <v>0</v>
      </c>
      <c r="F139" s="1">
        <f t="shared" si="44"/>
        <v>0</v>
      </c>
    </row>
    <row r="140" spans="3:6" x14ac:dyDescent="0.25">
      <c r="C140" s="1"/>
      <c r="D140" s="1">
        <f>C140*21/100</f>
        <v>0</v>
      </c>
      <c r="F140" s="1">
        <f t="shared" si="44"/>
        <v>0</v>
      </c>
    </row>
    <row r="141" spans="3:6" x14ac:dyDescent="0.25">
      <c r="C141" s="1"/>
      <c r="D141" s="1">
        <f t="shared" si="36"/>
        <v>0</v>
      </c>
      <c r="F141" s="1">
        <f t="shared" si="44"/>
        <v>0</v>
      </c>
    </row>
    <row r="142" spans="3:6" x14ac:dyDescent="0.25">
      <c r="C142" s="1"/>
      <c r="D142" s="1">
        <f t="shared" si="36"/>
        <v>0</v>
      </c>
      <c r="F142" s="1">
        <f t="shared" si="44"/>
        <v>0</v>
      </c>
    </row>
    <row r="143" spans="3:6" x14ac:dyDescent="0.25">
      <c r="C143" s="1"/>
      <c r="D143" s="1">
        <f>C143*21/100</f>
        <v>0</v>
      </c>
      <c r="F143" s="1">
        <f t="shared" si="44"/>
        <v>0</v>
      </c>
    </row>
    <row r="144" spans="3:6" x14ac:dyDescent="0.25">
      <c r="C144" s="1"/>
      <c r="D144" s="1">
        <f t="shared" ref="D144:D145" si="45">C144*21/100</f>
        <v>0</v>
      </c>
      <c r="F144" s="1">
        <f t="shared" si="44"/>
        <v>0</v>
      </c>
    </row>
    <row r="145" spans="3:6" x14ac:dyDescent="0.25">
      <c r="C145" s="1"/>
      <c r="D145" s="1">
        <f t="shared" si="45"/>
        <v>0</v>
      </c>
      <c r="F145" s="1">
        <f t="shared" si="44"/>
        <v>0</v>
      </c>
    </row>
    <row r="146" spans="3:6" x14ac:dyDescent="0.25">
      <c r="C146" s="1"/>
      <c r="D146" s="1">
        <f t="shared" ref="D146:D155" si="46">C146*21/100</f>
        <v>0</v>
      </c>
      <c r="F146" s="1">
        <f t="shared" si="44"/>
        <v>0</v>
      </c>
    </row>
    <row r="147" spans="3:6" x14ac:dyDescent="0.25">
      <c r="C147" s="1"/>
      <c r="D147" s="1">
        <f t="shared" si="46"/>
        <v>0</v>
      </c>
      <c r="F147" s="1">
        <f t="shared" si="44"/>
        <v>0</v>
      </c>
    </row>
    <row r="148" spans="3:6" x14ac:dyDescent="0.25">
      <c r="C148" s="1"/>
      <c r="D148" s="1">
        <f t="shared" si="46"/>
        <v>0</v>
      </c>
      <c r="F148" s="1">
        <f t="shared" si="44"/>
        <v>0</v>
      </c>
    </row>
    <row r="149" spans="3:6" x14ac:dyDescent="0.25">
      <c r="C149" s="1"/>
      <c r="D149" s="1">
        <f t="shared" si="46"/>
        <v>0</v>
      </c>
      <c r="F149" s="1">
        <f t="shared" si="44"/>
        <v>0</v>
      </c>
    </row>
    <row r="150" spans="3:6" x14ac:dyDescent="0.25">
      <c r="C150" s="1"/>
      <c r="D150" s="1">
        <f t="shared" si="46"/>
        <v>0</v>
      </c>
      <c r="F150" s="1">
        <f t="shared" si="44"/>
        <v>0</v>
      </c>
    </row>
    <row r="151" spans="3:6" x14ac:dyDescent="0.25">
      <c r="C151" s="1"/>
      <c r="D151" s="1">
        <f t="shared" si="46"/>
        <v>0</v>
      </c>
      <c r="F151" s="1">
        <f t="shared" si="44"/>
        <v>0</v>
      </c>
    </row>
    <row r="152" spans="3:6" x14ac:dyDescent="0.25">
      <c r="C152" s="1"/>
      <c r="D152" s="1">
        <f t="shared" si="46"/>
        <v>0</v>
      </c>
      <c r="F152" s="1">
        <f t="shared" si="44"/>
        <v>0</v>
      </c>
    </row>
    <row r="153" spans="3:6" x14ac:dyDescent="0.25">
      <c r="C153" s="1"/>
      <c r="D153" s="1">
        <f t="shared" si="46"/>
        <v>0</v>
      </c>
      <c r="F153" s="1">
        <f t="shared" si="44"/>
        <v>0</v>
      </c>
    </row>
    <row r="154" spans="3:6" x14ac:dyDescent="0.25">
      <c r="C154" s="1"/>
      <c r="D154" s="1">
        <f t="shared" si="46"/>
        <v>0</v>
      </c>
      <c r="F154" s="1">
        <f t="shared" si="44"/>
        <v>0</v>
      </c>
    </row>
    <row r="155" spans="3:6" x14ac:dyDescent="0.25">
      <c r="C155" s="1"/>
      <c r="D155" s="1">
        <f t="shared" si="46"/>
        <v>0</v>
      </c>
      <c r="F155" s="1">
        <f t="shared" si="44"/>
        <v>0</v>
      </c>
    </row>
    <row r="156" spans="3:6" x14ac:dyDescent="0.25">
      <c r="C156" s="1"/>
      <c r="D156" s="1">
        <f t="shared" ref="D156:D170" si="47">C156*21/100</f>
        <v>0</v>
      </c>
      <c r="F156" s="1">
        <f t="shared" si="44"/>
        <v>0</v>
      </c>
    </row>
    <row r="157" spans="3:6" x14ac:dyDescent="0.25">
      <c r="C157" s="1"/>
      <c r="D157" s="1">
        <f t="shared" si="47"/>
        <v>0</v>
      </c>
      <c r="F157" s="1">
        <f t="shared" si="44"/>
        <v>0</v>
      </c>
    </row>
    <row r="158" spans="3:6" x14ac:dyDescent="0.25">
      <c r="C158" s="1"/>
      <c r="D158" s="1">
        <f t="shared" si="47"/>
        <v>0</v>
      </c>
      <c r="F158" s="1">
        <f t="shared" si="44"/>
        <v>0</v>
      </c>
    </row>
    <row r="159" spans="3:6" x14ac:dyDescent="0.25">
      <c r="C159" s="1"/>
      <c r="D159" s="1">
        <f t="shared" si="47"/>
        <v>0</v>
      </c>
      <c r="F159" s="1">
        <f t="shared" si="44"/>
        <v>0</v>
      </c>
    </row>
    <row r="160" spans="3:6" x14ac:dyDescent="0.25">
      <c r="C160" s="1"/>
      <c r="D160" s="1">
        <f t="shared" si="47"/>
        <v>0</v>
      </c>
      <c r="F160" s="1">
        <f t="shared" si="44"/>
        <v>0</v>
      </c>
    </row>
    <row r="161" spans="3:6" x14ac:dyDescent="0.25">
      <c r="C161" s="1"/>
      <c r="D161" s="1">
        <f t="shared" si="47"/>
        <v>0</v>
      </c>
      <c r="F161" s="1">
        <f t="shared" si="44"/>
        <v>0</v>
      </c>
    </row>
    <row r="162" spans="3:6" x14ac:dyDescent="0.25">
      <c r="C162" s="1"/>
      <c r="D162" s="1">
        <f t="shared" si="47"/>
        <v>0</v>
      </c>
      <c r="F162" s="1">
        <f t="shared" si="44"/>
        <v>0</v>
      </c>
    </row>
    <row r="163" spans="3:6" x14ac:dyDescent="0.25">
      <c r="C163" s="1"/>
      <c r="D163" s="1">
        <f t="shared" si="47"/>
        <v>0</v>
      </c>
      <c r="F163" s="1">
        <f t="shared" si="44"/>
        <v>0</v>
      </c>
    </row>
    <row r="164" spans="3:6" x14ac:dyDescent="0.25">
      <c r="C164" s="1"/>
      <c r="D164" s="1">
        <f t="shared" si="47"/>
        <v>0</v>
      </c>
      <c r="F164" s="1">
        <f t="shared" si="44"/>
        <v>0</v>
      </c>
    </row>
    <row r="165" spans="3:6" x14ac:dyDescent="0.25">
      <c r="C165" s="1"/>
      <c r="D165" s="1">
        <f t="shared" si="47"/>
        <v>0</v>
      </c>
      <c r="F165" s="1">
        <f t="shared" si="44"/>
        <v>0</v>
      </c>
    </row>
    <row r="166" spans="3:6" x14ac:dyDescent="0.25">
      <c r="C166" s="1"/>
      <c r="D166" s="1">
        <f t="shared" si="47"/>
        <v>0</v>
      </c>
      <c r="F166" s="1">
        <f t="shared" si="44"/>
        <v>0</v>
      </c>
    </row>
    <row r="167" spans="3:6" x14ac:dyDescent="0.25">
      <c r="C167" s="1"/>
      <c r="D167" s="1">
        <f t="shared" si="47"/>
        <v>0</v>
      </c>
      <c r="F167" s="1">
        <f t="shared" si="44"/>
        <v>0</v>
      </c>
    </row>
    <row r="168" spans="3:6" x14ac:dyDescent="0.25">
      <c r="C168" s="1"/>
      <c r="D168" s="1">
        <f t="shared" si="47"/>
        <v>0</v>
      </c>
      <c r="F168" s="1">
        <f t="shared" si="44"/>
        <v>0</v>
      </c>
    </row>
    <row r="169" spans="3:6" x14ac:dyDescent="0.25">
      <c r="C169" s="1"/>
      <c r="D169" s="1">
        <f t="shared" si="47"/>
        <v>0</v>
      </c>
      <c r="F169" s="1">
        <f t="shared" si="44"/>
        <v>0</v>
      </c>
    </row>
    <row r="170" spans="3:6" x14ac:dyDescent="0.25">
      <c r="C170" s="1"/>
      <c r="D170" s="1">
        <f t="shared" si="47"/>
        <v>0</v>
      </c>
      <c r="F170" s="1">
        <f t="shared" si="44"/>
        <v>0</v>
      </c>
    </row>
    <row r="171" spans="3:6" x14ac:dyDescent="0.25">
      <c r="C171" s="1"/>
      <c r="D171" s="1">
        <f t="shared" ref="D171:D179" si="48">C171*21/100</f>
        <v>0</v>
      </c>
      <c r="F171" s="1">
        <f t="shared" si="44"/>
        <v>0</v>
      </c>
    </row>
    <row r="172" spans="3:6" x14ac:dyDescent="0.25">
      <c r="C172" s="1"/>
      <c r="D172" s="1">
        <f t="shared" si="48"/>
        <v>0</v>
      </c>
    </row>
    <row r="173" spans="3:6" x14ac:dyDescent="0.25">
      <c r="C173" s="1"/>
      <c r="D173" s="1">
        <f t="shared" si="48"/>
        <v>0</v>
      </c>
    </row>
    <row r="174" spans="3:6" x14ac:dyDescent="0.25">
      <c r="C174" s="1"/>
      <c r="D174" s="1">
        <f t="shared" si="48"/>
        <v>0</v>
      </c>
    </row>
    <row r="175" spans="3:6" x14ac:dyDescent="0.25">
      <c r="C175" s="1"/>
      <c r="D175" s="1">
        <f t="shared" si="48"/>
        <v>0</v>
      </c>
    </row>
    <row r="176" spans="3:6" x14ac:dyDescent="0.25">
      <c r="C176" s="1"/>
      <c r="D176" s="1">
        <f t="shared" si="48"/>
        <v>0</v>
      </c>
    </row>
    <row r="177" spans="3:4" x14ac:dyDescent="0.25">
      <c r="C177" s="1"/>
      <c r="D177" s="1">
        <f t="shared" si="48"/>
        <v>0</v>
      </c>
    </row>
    <row r="178" spans="3:4" x14ac:dyDescent="0.25">
      <c r="C178" s="1"/>
      <c r="D178" s="1">
        <f t="shared" si="48"/>
        <v>0</v>
      </c>
    </row>
    <row r="179" spans="3:4" x14ac:dyDescent="0.25">
      <c r="C179" s="1"/>
      <c r="D179" s="1">
        <f t="shared" si="48"/>
        <v>0</v>
      </c>
    </row>
    <row r="180" spans="3:4" x14ac:dyDescent="0.25">
      <c r="C180" s="1"/>
      <c r="D180" s="1">
        <f t="shared" ref="D180:D243" si="49">C180*21/100</f>
        <v>0</v>
      </c>
    </row>
    <row r="181" spans="3:4" x14ac:dyDescent="0.25">
      <c r="C181" s="1"/>
      <c r="D181" s="1">
        <f t="shared" si="49"/>
        <v>0</v>
      </c>
    </row>
    <row r="182" spans="3:4" x14ac:dyDescent="0.25">
      <c r="C182" s="1"/>
      <c r="D182" s="1">
        <f t="shared" si="49"/>
        <v>0</v>
      </c>
    </row>
    <row r="183" spans="3:4" x14ac:dyDescent="0.25">
      <c r="C183" s="1"/>
      <c r="D183" s="1">
        <f t="shared" si="49"/>
        <v>0</v>
      </c>
    </row>
    <row r="184" spans="3:4" x14ac:dyDescent="0.25">
      <c r="C184" s="1"/>
      <c r="D184" s="1">
        <f t="shared" si="49"/>
        <v>0</v>
      </c>
    </row>
    <row r="185" spans="3:4" x14ac:dyDescent="0.25">
      <c r="C185" s="1"/>
      <c r="D185" s="1">
        <f t="shared" si="49"/>
        <v>0</v>
      </c>
    </row>
    <row r="186" spans="3:4" x14ac:dyDescent="0.25">
      <c r="C186" s="1"/>
      <c r="D186" s="1">
        <f t="shared" si="49"/>
        <v>0</v>
      </c>
    </row>
    <row r="187" spans="3:4" x14ac:dyDescent="0.25">
      <c r="C187" s="1"/>
      <c r="D187" s="1">
        <f t="shared" si="49"/>
        <v>0</v>
      </c>
    </row>
    <row r="188" spans="3:4" x14ac:dyDescent="0.25">
      <c r="C188" s="1"/>
      <c r="D188" s="1">
        <f t="shared" si="49"/>
        <v>0</v>
      </c>
    </row>
    <row r="189" spans="3:4" x14ac:dyDescent="0.25">
      <c r="C189" s="1"/>
      <c r="D189" s="1">
        <f t="shared" si="49"/>
        <v>0</v>
      </c>
    </row>
    <row r="190" spans="3:4" x14ac:dyDescent="0.25">
      <c r="C190" s="1"/>
      <c r="D190" s="1">
        <f t="shared" si="49"/>
        <v>0</v>
      </c>
    </row>
    <row r="191" spans="3:4" x14ac:dyDescent="0.25">
      <c r="C191" s="1"/>
      <c r="D191" s="1">
        <f t="shared" si="49"/>
        <v>0</v>
      </c>
    </row>
    <row r="192" spans="3:4" x14ac:dyDescent="0.25">
      <c r="C192" s="1"/>
      <c r="D192" s="1">
        <f t="shared" si="49"/>
        <v>0</v>
      </c>
    </row>
    <row r="193" spans="3:4" x14ac:dyDescent="0.25">
      <c r="C193" s="1"/>
      <c r="D193" s="1">
        <f t="shared" si="49"/>
        <v>0</v>
      </c>
    </row>
    <row r="194" spans="3:4" x14ac:dyDescent="0.25">
      <c r="C194" s="1"/>
      <c r="D194" s="1">
        <f t="shared" si="49"/>
        <v>0</v>
      </c>
    </row>
    <row r="195" spans="3:4" x14ac:dyDescent="0.25">
      <c r="C195" s="1"/>
      <c r="D195" s="1">
        <f t="shared" si="49"/>
        <v>0</v>
      </c>
    </row>
    <row r="196" spans="3:4" x14ac:dyDescent="0.25">
      <c r="C196" s="1"/>
      <c r="D196" s="1">
        <f t="shared" si="49"/>
        <v>0</v>
      </c>
    </row>
    <row r="197" spans="3:4" x14ac:dyDescent="0.25">
      <c r="C197" s="1"/>
      <c r="D197" s="1">
        <f t="shared" si="49"/>
        <v>0</v>
      </c>
    </row>
    <row r="198" spans="3:4" x14ac:dyDescent="0.25">
      <c r="C198" s="1"/>
      <c r="D198" s="1">
        <f t="shared" si="49"/>
        <v>0</v>
      </c>
    </row>
    <row r="199" spans="3:4" x14ac:dyDescent="0.25">
      <c r="C199" s="1"/>
      <c r="D199" s="1">
        <f t="shared" si="49"/>
        <v>0</v>
      </c>
    </row>
    <row r="200" spans="3:4" x14ac:dyDescent="0.25">
      <c r="C200" s="1"/>
      <c r="D200" s="1">
        <f t="shared" si="49"/>
        <v>0</v>
      </c>
    </row>
    <row r="201" spans="3:4" x14ac:dyDescent="0.25">
      <c r="C201" s="1"/>
      <c r="D201" s="1">
        <f t="shared" si="49"/>
        <v>0</v>
      </c>
    </row>
    <row r="202" spans="3:4" x14ac:dyDescent="0.25">
      <c r="C202" s="1"/>
      <c r="D202" s="1">
        <f t="shared" si="49"/>
        <v>0</v>
      </c>
    </row>
    <row r="203" spans="3:4" x14ac:dyDescent="0.25">
      <c r="C203" s="1"/>
      <c r="D203" s="1">
        <f t="shared" si="49"/>
        <v>0</v>
      </c>
    </row>
    <row r="204" spans="3:4" x14ac:dyDescent="0.25">
      <c r="C204" s="1"/>
      <c r="D204" s="1">
        <f t="shared" si="49"/>
        <v>0</v>
      </c>
    </row>
    <row r="205" spans="3:4" x14ac:dyDescent="0.25">
      <c r="C205" s="1"/>
      <c r="D205" s="1">
        <f t="shared" si="49"/>
        <v>0</v>
      </c>
    </row>
    <row r="206" spans="3:4" x14ac:dyDescent="0.25">
      <c r="C206" s="1"/>
      <c r="D206" s="1">
        <f t="shared" si="49"/>
        <v>0</v>
      </c>
    </row>
    <row r="207" spans="3:4" x14ac:dyDescent="0.25">
      <c r="C207" s="1"/>
      <c r="D207" s="1">
        <f t="shared" si="49"/>
        <v>0</v>
      </c>
    </row>
    <row r="208" spans="3:4" x14ac:dyDescent="0.25">
      <c r="C208" s="1"/>
      <c r="D208" s="1">
        <f t="shared" si="49"/>
        <v>0</v>
      </c>
    </row>
    <row r="209" spans="3:4" x14ac:dyDescent="0.25">
      <c r="C209" s="1"/>
      <c r="D209" s="1">
        <f t="shared" si="49"/>
        <v>0</v>
      </c>
    </row>
    <row r="210" spans="3:4" x14ac:dyDescent="0.25">
      <c r="C210" s="1"/>
      <c r="D210" s="1">
        <f t="shared" si="49"/>
        <v>0</v>
      </c>
    </row>
    <row r="211" spans="3:4" x14ac:dyDescent="0.25">
      <c r="C211" s="1"/>
      <c r="D211" s="1">
        <f t="shared" si="49"/>
        <v>0</v>
      </c>
    </row>
    <row r="212" spans="3:4" x14ac:dyDescent="0.25">
      <c r="C212" s="1"/>
      <c r="D212" s="1">
        <f t="shared" si="49"/>
        <v>0</v>
      </c>
    </row>
    <row r="213" spans="3:4" x14ac:dyDescent="0.25">
      <c r="C213" s="1"/>
      <c r="D213" s="1">
        <f t="shared" si="49"/>
        <v>0</v>
      </c>
    </row>
    <row r="214" spans="3:4" x14ac:dyDescent="0.25">
      <c r="C214" s="1"/>
      <c r="D214" s="1">
        <f t="shared" si="49"/>
        <v>0</v>
      </c>
    </row>
    <row r="215" spans="3:4" x14ac:dyDescent="0.25">
      <c r="C215" s="1"/>
      <c r="D215" s="1">
        <f t="shared" si="49"/>
        <v>0</v>
      </c>
    </row>
    <row r="216" spans="3:4" x14ac:dyDescent="0.25">
      <c r="C216" s="1"/>
      <c r="D216" s="1">
        <f t="shared" si="49"/>
        <v>0</v>
      </c>
    </row>
    <row r="217" spans="3:4" x14ac:dyDescent="0.25">
      <c r="C217" s="1"/>
      <c r="D217" s="1">
        <f t="shared" si="49"/>
        <v>0</v>
      </c>
    </row>
    <row r="218" spans="3:4" x14ac:dyDescent="0.25">
      <c r="C218" s="1"/>
      <c r="D218" s="1">
        <f t="shared" si="49"/>
        <v>0</v>
      </c>
    </row>
    <row r="219" spans="3:4" x14ac:dyDescent="0.25">
      <c r="C219" s="1"/>
      <c r="D219" s="1">
        <f t="shared" si="49"/>
        <v>0</v>
      </c>
    </row>
    <row r="220" spans="3:4" x14ac:dyDescent="0.25">
      <c r="C220" s="1"/>
      <c r="D220" s="1">
        <f t="shared" si="49"/>
        <v>0</v>
      </c>
    </row>
    <row r="221" spans="3:4" x14ac:dyDescent="0.25">
      <c r="C221" s="1"/>
      <c r="D221" s="1">
        <f t="shared" si="49"/>
        <v>0</v>
      </c>
    </row>
    <row r="222" spans="3:4" x14ac:dyDescent="0.25">
      <c r="C222" s="1"/>
      <c r="D222" s="1">
        <f t="shared" si="49"/>
        <v>0</v>
      </c>
    </row>
    <row r="223" spans="3:4" x14ac:dyDescent="0.25">
      <c r="C223" s="1"/>
      <c r="D223" s="1">
        <f t="shared" si="49"/>
        <v>0</v>
      </c>
    </row>
    <row r="224" spans="3:4" x14ac:dyDescent="0.25">
      <c r="C224" s="1"/>
      <c r="D224" s="1">
        <f t="shared" si="49"/>
        <v>0</v>
      </c>
    </row>
    <row r="225" spans="3:4" x14ac:dyDescent="0.25">
      <c r="C225" s="1"/>
      <c r="D225" s="1">
        <f t="shared" si="49"/>
        <v>0</v>
      </c>
    </row>
    <row r="226" spans="3:4" x14ac:dyDescent="0.25">
      <c r="C226" s="1"/>
      <c r="D226" s="1">
        <f t="shared" si="49"/>
        <v>0</v>
      </c>
    </row>
    <row r="227" spans="3:4" x14ac:dyDescent="0.25">
      <c r="C227" s="1"/>
      <c r="D227" s="1">
        <f t="shared" si="49"/>
        <v>0</v>
      </c>
    </row>
    <row r="228" spans="3:4" x14ac:dyDescent="0.25">
      <c r="C228" s="1"/>
      <c r="D228" s="1">
        <f t="shared" si="49"/>
        <v>0</v>
      </c>
    </row>
    <row r="229" spans="3:4" x14ac:dyDescent="0.25">
      <c r="C229" s="1"/>
      <c r="D229" s="1">
        <f t="shared" si="49"/>
        <v>0</v>
      </c>
    </row>
    <row r="230" spans="3:4" x14ac:dyDescent="0.25">
      <c r="C230" s="1"/>
      <c r="D230" s="1">
        <f t="shared" si="49"/>
        <v>0</v>
      </c>
    </row>
    <row r="231" spans="3:4" x14ac:dyDescent="0.25">
      <c r="C231" s="1"/>
      <c r="D231" s="1">
        <f t="shared" si="49"/>
        <v>0</v>
      </c>
    </row>
    <row r="232" spans="3:4" x14ac:dyDescent="0.25">
      <c r="C232" s="1"/>
      <c r="D232" s="1">
        <f t="shared" si="49"/>
        <v>0</v>
      </c>
    </row>
    <row r="233" spans="3:4" x14ac:dyDescent="0.25">
      <c r="C233" s="1"/>
      <c r="D233" s="1">
        <f t="shared" si="49"/>
        <v>0</v>
      </c>
    </row>
    <row r="234" spans="3:4" x14ac:dyDescent="0.25">
      <c r="C234" s="1"/>
      <c r="D234" s="1">
        <f>C234*21/100</f>
        <v>0</v>
      </c>
    </row>
    <row r="235" spans="3:4" x14ac:dyDescent="0.25">
      <c r="C235" s="1"/>
      <c r="D235" s="1">
        <f t="shared" si="49"/>
        <v>0</v>
      </c>
    </row>
    <row r="236" spans="3:4" x14ac:dyDescent="0.25">
      <c r="C236" s="1"/>
      <c r="D236" s="1">
        <f t="shared" si="49"/>
        <v>0</v>
      </c>
    </row>
    <row r="237" spans="3:4" x14ac:dyDescent="0.25">
      <c r="C237" s="1"/>
      <c r="D237" s="1">
        <f t="shared" si="49"/>
        <v>0</v>
      </c>
    </row>
    <row r="238" spans="3:4" x14ac:dyDescent="0.25">
      <c r="C238" s="1"/>
      <c r="D238" s="1">
        <f t="shared" si="49"/>
        <v>0</v>
      </c>
    </row>
    <row r="239" spans="3:4" x14ac:dyDescent="0.25">
      <c r="C239" s="1"/>
      <c r="D239" s="1">
        <f t="shared" si="49"/>
        <v>0</v>
      </c>
    </row>
    <row r="240" spans="3:4" x14ac:dyDescent="0.25">
      <c r="C240" s="1"/>
      <c r="D240" s="1">
        <f t="shared" si="49"/>
        <v>0</v>
      </c>
    </row>
    <row r="241" spans="3:4" x14ac:dyDescent="0.25">
      <c r="C241" s="1"/>
      <c r="D241" s="1">
        <f t="shared" si="49"/>
        <v>0</v>
      </c>
    </row>
    <row r="242" spans="3:4" x14ac:dyDescent="0.25">
      <c r="C242" s="1"/>
      <c r="D242" s="1">
        <f t="shared" si="49"/>
        <v>0</v>
      </c>
    </row>
    <row r="243" spans="3:4" x14ac:dyDescent="0.25">
      <c r="C243" s="1"/>
      <c r="D243" s="1">
        <f t="shared" si="49"/>
        <v>0</v>
      </c>
    </row>
    <row r="244" spans="3:4" x14ac:dyDescent="0.25">
      <c r="C244" s="1"/>
      <c r="D244" s="1">
        <f t="shared" ref="D244:D307" si="50">C244*21/100</f>
        <v>0</v>
      </c>
    </row>
    <row r="245" spans="3:4" x14ac:dyDescent="0.25">
      <c r="C245" s="1"/>
      <c r="D245" s="1">
        <f t="shared" si="50"/>
        <v>0</v>
      </c>
    </row>
    <row r="246" spans="3:4" x14ac:dyDescent="0.25">
      <c r="C246" s="1"/>
      <c r="D246" s="1">
        <f t="shared" si="50"/>
        <v>0</v>
      </c>
    </row>
    <row r="247" spans="3:4" x14ac:dyDescent="0.25">
      <c r="C247" s="1"/>
      <c r="D247" s="1">
        <f t="shared" si="50"/>
        <v>0</v>
      </c>
    </row>
    <row r="248" spans="3:4" x14ac:dyDescent="0.25">
      <c r="C248" s="1"/>
      <c r="D248" s="1">
        <f t="shared" si="50"/>
        <v>0</v>
      </c>
    </row>
    <row r="249" spans="3:4" x14ac:dyDescent="0.25">
      <c r="C249" s="1"/>
      <c r="D249" s="1">
        <f t="shared" si="50"/>
        <v>0</v>
      </c>
    </row>
    <row r="250" spans="3:4" x14ac:dyDescent="0.25">
      <c r="C250" s="1"/>
      <c r="D250" s="1">
        <f t="shared" si="50"/>
        <v>0</v>
      </c>
    </row>
    <row r="251" spans="3:4" x14ac:dyDescent="0.25">
      <c r="C251" s="1"/>
      <c r="D251" s="1">
        <f t="shared" si="50"/>
        <v>0</v>
      </c>
    </row>
    <row r="252" spans="3:4" x14ac:dyDescent="0.25">
      <c r="C252" s="1"/>
      <c r="D252" s="1">
        <f t="shared" si="50"/>
        <v>0</v>
      </c>
    </row>
    <row r="253" spans="3:4" x14ac:dyDescent="0.25">
      <c r="C253" s="1"/>
      <c r="D253" s="1">
        <f t="shared" si="50"/>
        <v>0</v>
      </c>
    </row>
    <row r="254" spans="3:4" x14ac:dyDescent="0.25">
      <c r="C254" s="1"/>
      <c r="D254" s="1">
        <f t="shared" si="50"/>
        <v>0</v>
      </c>
    </row>
    <row r="255" spans="3:4" x14ac:dyDescent="0.25">
      <c r="C255" s="1"/>
      <c r="D255" s="1">
        <f t="shared" si="50"/>
        <v>0</v>
      </c>
    </row>
    <row r="256" spans="3:4" x14ac:dyDescent="0.25">
      <c r="C256" s="1"/>
      <c r="D256" s="1">
        <f t="shared" si="50"/>
        <v>0</v>
      </c>
    </row>
    <row r="257" spans="3:4" x14ac:dyDescent="0.25">
      <c r="C257" s="1"/>
      <c r="D257" s="1">
        <f>C257*21/100</f>
        <v>0</v>
      </c>
    </row>
    <row r="258" spans="3:4" x14ac:dyDescent="0.25">
      <c r="C258" s="1"/>
      <c r="D258" s="1">
        <f t="shared" si="50"/>
        <v>0</v>
      </c>
    </row>
    <row r="259" spans="3:4" x14ac:dyDescent="0.25">
      <c r="C259" s="1"/>
      <c r="D259" s="1">
        <f t="shared" si="50"/>
        <v>0</v>
      </c>
    </row>
    <row r="260" spans="3:4" x14ac:dyDescent="0.25">
      <c r="C260" s="1"/>
      <c r="D260" s="1">
        <f t="shared" si="50"/>
        <v>0</v>
      </c>
    </row>
    <row r="261" spans="3:4" x14ac:dyDescent="0.25">
      <c r="C261" s="1"/>
      <c r="D261" s="1">
        <f t="shared" si="50"/>
        <v>0</v>
      </c>
    </row>
    <row r="262" spans="3:4" x14ac:dyDescent="0.25">
      <c r="C262" s="1"/>
      <c r="D262" s="1">
        <f t="shared" si="50"/>
        <v>0</v>
      </c>
    </row>
    <row r="263" spans="3:4" x14ac:dyDescent="0.25">
      <c r="C263" s="1"/>
      <c r="D263" s="1">
        <f t="shared" si="50"/>
        <v>0</v>
      </c>
    </row>
    <row r="264" spans="3:4" x14ac:dyDescent="0.25">
      <c r="C264" s="1"/>
      <c r="D264" s="1">
        <f t="shared" si="50"/>
        <v>0</v>
      </c>
    </row>
    <row r="265" spans="3:4" x14ac:dyDescent="0.25">
      <c r="C265" s="1"/>
      <c r="D265" s="1">
        <f t="shared" si="50"/>
        <v>0</v>
      </c>
    </row>
    <row r="266" spans="3:4" x14ac:dyDescent="0.25">
      <c r="C266" s="1"/>
      <c r="D266" s="1">
        <f t="shared" si="50"/>
        <v>0</v>
      </c>
    </row>
    <row r="267" spans="3:4" x14ac:dyDescent="0.25">
      <c r="C267" s="1"/>
      <c r="D267" s="1">
        <f t="shared" si="50"/>
        <v>0</v>
      </c>
    </row>
    <row r="268" spans="3:4" x14ac:dyDescent="0.25">
      <c r="C268" s="1"/>
      <c r="D268" s="1">
        <f t="shared" si="50"/>
        <v>0</v>
      </c>
    </row>
    <row r="269" spans="3:4" x14ac:dyDescent="0.25">
      <c r="C269" s="1"/>
      <c r="D269" s="1">
        <f t="shared" si="50"/>
        <v>0</v>
      </c>
    </row>
    <row r="270" spans="3:4" x14ac:dyDescent="0.25">
      <c r="C270" s="1"/>
      <c r="D270" s="1">
        <f t="shared" si="50"/>
        <v>0</v>
      </c>
    </row>
    <row r="271" spans="3:4" x14ac:dyDescent="0.25">
      <c r="C271" s="1"/>
      <c r="D271" s="1">
        <f t="shared" si="50"/>
        <v>0</v>
      </c>
    </row>
    <row r="272" spans="3:4" x14ac:dyDescent="0.25">
      <c r="C272" s="1"/>
      <c r="D272" s="1">
        <f t="shared" si="50"/>
        <v>0</v>
      </c>
    </row>
    <row r="273" spans="3:4" x14ac:dyDescent="0.25">
      <c r="C273" s="1"/>
      <c r="D273" s="1">
        <f t="shared" si="50"/>
        <v>0</v>
      </c>
    </row>
    <row r="274" spans="3:4" x14ac:dyDescent="0.25">
      <c r="C274" s="1"/>
      <c r="D274" s="1">
        <f t="shared" si="50"/>
        <v>0</v>
      </c>
    </row>
    <row r="275" spans="3:4" x14ac:dyDescent="0.25">
      <c r="C275" s="1"/>
      <c r="D275" s="1">
        <f t="shared" si="50"/>
        <v>0</v>
      </c>
    </row>
    <row r="276" spans="3:4" x14ac:dyDescent="0.25">
      <c r="C276" s="1"/>
      <c r="D276" s="1">
        <f t="shared" si="50"/>
        <v>0</v>
      </c>
    </row>
    <row r="277" spans="3:4" x14ac:dyDescent="0.25">
      <c r="C277" s="1"/>
      <c r="D277" s="1">
        <f t="shared" si="50"/>
        <v>0</v>
      </c>
    </row>
    <row r="278" spans="3:4" x14ac:dyDescent="0.25">
      <c r="C278" s="1"/>
      <c r="D278" s="1">
        <f t="shared" si="50"/>
        <v>0</v>
      </c>
    </row>
    <row r="279" spans="3:4" x14ac:dyDescent="0.25">
      <c r="C279" s="1"/>
      <c r="D279" s="1">
        <f t="shared" si="50"/>
        <v>0</v>
      </c>
    </row>
    <row r="280" spans="3:4" x14ac:dyDescent="0.25">
      <c r="C280" s="1"/>
      <c r="D280" s="1">
        <f t="shared" si="50"/>
        <v>0</v>
      </c>
    </row>
    <row r="281" spans="3:4" x14ac:dyDescent="0.25">
      <c r="C281" s="1"/>
      <c r="D281" s="1">
        <f t="shared" si="50"/>
        <v>0</v>
      </c>
    </row>
    <row r="282" spans="3:4" x14ac:dyDescent="0.25">
      <c r="C282" s="1"/>
      <c r="D282" s="1">
        <f t="shared" si="50"/>
        <v>0</v>
      </c>
    </row>
    <row r="283" spans="3:4" x14ac:dyDescent="0.25">
      <c r="C283" s="1"/>
      <c r="D283" s="1">
        <f t="shared" si="50"/>
        <v>0</v>
      </c>
    </row>
    <row r="284" spans="3:4" x14ac:dyDescent="0.25">
      <c r="C284" s="1"/>
      <c r="D284" s="1">
        <f t="shared" si="50"/>
        <v>0</v>
      </c>
    </row>
    <row r="285" spans="3:4" x14ac:dyDescent="0.25">
      <c r="C285" s="1"/>
      <c r="D285" s="1">
        <f t="shared" si="50"/>
        <v>0</v>
      </c>
    </row>
    <row r="286" spans="3:4" x14ac:dyDescent="0.25">
      <c r="C286" s="1"/>
      <c r="D286" s="1">
        <f t="shared" si="50"/>
        <v>0</v>
      </c>
    </row>
    <row r="287" spans="3:4" x14ac:dyDescent="0.25">
      <c r="C287" s="1"/>
      <c r="D287" s="1">
        <f t="shared" si="50"/>
        <v>0</v>
      </c>
    </row>
    <row r="288" spans="3:4" x14ac:dyDescent="0.25">
      <c r="C288" s="1"/>
      <c r="D288" s="1">
        <f t="shared" si="50"/>
        <v>0</v>
      </c>
    </row>
    <row r="289" spans="3:4" x14ac:dyDescent="0.25">
      <c r="C289" s="1"/>
      <c r="D289" s="1">
        <f t="shared" si="50"/>
        <v>0</v>
      </c>
    </row>
    <row r="290" spans="3:4" x14ac:dyDescent="0.25">
      <c r="C290" s="1"/>
      <c r="D290" s="1">
        <f t="shared" si="50"/>
        <v>0</v>
      </c>
    </row>
    <row r="291" spans="3:4" x14ac:dyDescent="0.25">
      <c r="C291" s="1"/>
      <c r="D291" s="1">
        <f t="shared" si="50"/>
        <v>0</v>
      </c>
    </row>
    <row r="292" spans="3:4" x14ac:dyDescent="0.25">
      <c r="C292" s="1"/>
      <c r="D292" s="1">
        <f t="shared" si="50"/>
        <v>0</v>
      </c>
    </row>
    <row r="293" spans="3:4" x14ac:dyDescent="0.25">
      <c r="C293" s="1"/>
      <c r="D293" s="1">
        <f t="shared" si="50"/>
        <v>0</v>
      </c>
    </row>
    <row r="294" spans="3:4" x14ac:dyDescent="0.25">
      <c r="C294" s="1"/>
      <c r="D294" s="1">
        <f t="shared" si="50"/>
        <v>0</v>
      </c>
    </row>
    <row r="295" spans="3:4" x14ac:dyDescent="0.25">
      <c r="C295" s="1"/>
      <c r="D295" s="1">
        <f t="shared" si="50"/>
        <v>0</v>
      </c>
    </row>
    <row r="296" spans="3:4" x14ac:dyDescent="0.25">
      <c r="C296" s="1"/>
      <c r="D296" s="1">
        <f t="shared" si="50"/>
        <v>0</v>
      </c>
    </row>
    <row r="297" spans="3:4" x14ac:dyDescent="0.25">
      <c r="C297" s="1"/>
      <c r="D297" s="1">
        <f t="shared" si="50"/>
        <v>0</v>
      </c>
    </row>
    <row r="298" spans="3:4" x14ac:dyDescent="0.25">
      <c r="C298" s="1"/>
      <c r="D298" s="1">
        <f t="shared" si="50"/>
        <v>0</v>
      </c>
    </row>
    <row r="299" spans="3:4" x14ac:dyDescent="0.25">
      <c r="C299" s="1"/>
      <c r="D299" s="1">
        <f t="shared" si="50"/>
        <v>0</v>
      </c>
    </row>
    <row r="300" spans="3:4" x14ac:dyDescent="0.25">
      <c r="C300" s="1"/>
      <c r="D300" s="1">
        <f t="shared" si="50"/>
        <v>0</v>
      </c>
    </row>
    <row r="301" spans="3:4" x14ac:dyDescent="0.25">
      <c r="C301" s="1"/>
      <c r="D301" s="1">
        <f t="shared" si="50"/>
        <v>0</v>
      </c>
    </row>
    <row r="302" spans="3:4" x14ac:dyDescent="0.25">
      <c r="C302" s="1"/>
      <c r="D302" s="1">
        <f t="shared" si="50"/>
        <v>0</v>
      </c>
    </row>
    <row r="303" spans="3:4" x14ac:dyDescent="0.25">
      <c r="C303" s="1"/>
      <c r="D303" s="1">
        <f t="shared" si="50"/>
        <v>0</v>
      </c>
    </row>
    <row r="304" spans="3:4" x14ac:dyDescent="0.25">
      <c r="C304" s="1"/>
      <c r="D304" s="1">
        <f t="shared" si="50"/>
        <v>0</v>
      </c>
    </row>
    <row r="305" spans="3:4" x14ac:dyDescent="0.25">
      <c r="C305" s="1"/>
      <c r="D305" s="1">
        <f t="shared" si="50"/>
        <v>0</v>
      </c>
    </row>
    <row r="306" spans="3:4" x14ac:dyDescent="0.25">
      <c r="C306" s="1"/>
      <c r="D306" s="1">
        <f t="shared" si="50"/>
        <v>0</v>
      </c>
    </row>
    <row r="307" spans="3:4" x14ac:dyDescent="0.25">
      <c r="C307" s="1"/>
      <c r="D307" s="1">
        <f t="shared" si="50"/>
        <v>0</v>
      </c>
    </row>
    <row r="308" spans="3:4" x14ac:dyDescent="0.25">
      <c r="C308" s="1"/>
      <c r="D308" s="1">
        <f t="shared" ref="D308:D333" si="51">C308*21/100</f>
        <v>0</v>
      </c>
    </row>
    <row r="309" spans="3:4" x14ac:dyDescent="0.25">
      <c r="C309" s="1"/>
      <c r="D309" s="1">
        <f t="shared" si="51"/>
        <v>0</v>
      </c>
    </row>
    <row r="310" spans="3:4" x14ac:dyDescent="0.25">
      <c r="C310" s="1"/>
      <c r="D310" s="1">
        <f t="shared" si="51"/>
        <v>0</v>
      </c>
    </row>
    <row r="311" spans="3:4" x14ac:dyDescent="0.25">
      <c r="C311" s="1"/>
      <c r="D311" s="1">
        <f t="shared" si="51"/>
        <v>0</v>
      </c>
    </row>
    <row r="312" spans="3:4" x14ac:dyDescent="0.25">
      <c r="C312" s="1"/>
      <c r="D312" s="1">
        <f t="shared" si="51"/>
        <v>0</v>
      </c>
    </row>
    <row r="313" spans="3:4" x14ac:dyDescent="0.25">
      <c r="C313" s="1"/>
      <c r="D313" s="1">
        <f t="shared" si="51"/>
        <v>0</v>
      </c>
    </row>
    <row r="314" spans="3:4" x14ac:dyDescent="0.25">
      <c r="C314" s="1"/>
      <c r="D314" s="1">
        <f t="shared" si="51"/>
        <v>0</v>
      </c>
    </row>
    <row r="315" spans="3:4" x14ac:dyDescent="0.25">
      <c r="C315" s="1"/>
      <c r="D315" s="1">
        <f t="shared" si="51"/>
        <v>0</v>
      </c>
    </row>
    <row r="316" spans="3:4" x14ac:dyDescent="0.25">
      <c r="C316" s="1"/>
      <c r="D316" s="1">
        <f t="shared" si="51"/>
        <v>0</v>
      </c>
    </row>
    <row r="317" spans="3:4" x14ac:dyDescent="0.25">
      <c r="C317" s="1"/>
      <c r="D317" s="1">
        <f>C317*21/100</f>
        <v>0</v>
      </c>
    </row>
    <row r="318" spans="3:4" x14ac:dyDescent="0.25">
      <c r="C318" s="1"/>
      <c r="D318" s="1">
        <f t="shared" si="51"/>
        <v>0</v>
      </c>
    </row>
    <row r="319" spans="3:4" x14ac:dyDescent="0.25">
      <c r="C319" s="1"/>
      <c r="D319" s="1">
        <f t="shared" si="51"/>
        <v>0</v>
      </c>
    </row>
    <row r="320" spans="3:4" x14ac:dyDescent="0.25">
      <c r="C320" s="1"/>
      <c r="D320" s="1">
        <f t="shared" si="51"/>
        <v>0</v>
      </c>
    </row>
    <row r="321" spans="2:8" x14ac:dyDescent="0.25">
      <c r="C321" s="1"/>
      <c r="D321" s="1">
        <f t="shared" si="51"/>
        <v>0</v>
      </c>
    </row>
    <row r="322" spans="2:8" x14ac:dyDescent="0.25">
      <c r="C322" s="1"/>
      <c r="D322" s="1">
        <f t="shared" si="51"/>
        <v>0</v>
      </c>
    </row>
    <row r="323" spans="2:8" x14ac:dyDescent="0.25">
      <c r="C323" s="1"/>
      <c r="D323" s="1">
        <f t="shared" si="51"/>
        <v>0</v>
      </c>
    </row>
    <row r="324" spans="2:8" x14ac:dyDescent="0.25">
      <c r="C324" s="1"/>
      <c r="D324" s="1">
        <f t="shared" si="51"/>
        <v>0</v>
      </c>
    </row>
    <row r="325" spans="2:8" x14ac:dyDescent="0.25">
      <c r="D325" s="1">
        <f t="shared" si="51"/>
        <v>0</v>
      </c>
    </row>
    <row r="326" spans="2:8" x14ac:dyDescent="0.25">
      <c r="D326" s="1">
        <f t="shared" si="51"/>
        <v>0</v>
      </c>
    </row>
    <row r="327" spans="2:8" x14ac:dyDescent="0.25">
      <c r="D327" s="1">
        <f t="shared" si="51"/>
        <v>0</v>
      </c>
    </row>
    <row r="328" spans="2:8" x14ac:dyDescent="0.25">
      <c r="D328" s="1">
        <f t="shared" si="51"/>
        <v>0</v>
      </c>
    </row>
    <row r="329" spans="2:8" x14ac:dyDescent="0.25">
      <c r="D329" s="1">
        <f t="shared" si="51"/>
        <v>0</v>
      </c>
    </row>
    <row r="330" spans="2:8" x14ac:dyDescent="0.25">
      <c r="D330" s="1">
        <f t="shared" si="51"/>
        <v>0</v>
      </c>
    </row>
    <row r="331" spans="2:8" x14ac:dyDescent="0.25">
      <c r="D331" s="1">
        <f t="shared" si="51"/>
        <v>0</v>
      </c>
    </row>
    <row r="332" spans="2:8" x14ac:dyDescent="0.25">
      <c r="D332" s="1">
        <f t="shared" si="51"/>
        <v>0</v>
      </c>
    </row>
    <row r="333" spans="2:8" x14ac:dyDescent="0.25">
      <c r="D333" s="1">
        <f t="shared" si="51"/>
        <v>0</v>
      </c>
    </row>
    <row r="334" spans="2:8" x14ac:dyDescent="0.25">
      <c r="B334" s="2">
        <f>SUM(B29:B324)</f>
        <v>0</v>
      </c>
      <c r="C334" s="2">
        <f>SUM(C29:C324)</f>
        <v>0</v>
      </c>
      <c r="D334" s="2">
        <f>SUM(D29:D315)</f>
        <v>0</v>
      </c>
      <c r="E334" s="2">
        <f>SUM(E29:E130)</f>
        <v>0</v>
      </c>
      <c r="F334" s="2">
        <f>SUM(F29:F130)</f>
        <v>0</v>
      </c>
      <c r="G334" s="2">
        <f>SUM(G29:G130)</f>
        <v>0</v>
      </c>
      <c r="H334" s="2">
        <f>SUM(H29:H130)</f>
        <v>0</v>
      </c>
    </row>
  </sheetData>
  <mergeCells count="12">
    <mergeCell ref="C3:F3"/>
    <mergeCell ref="I3:L3"/>
    <mergeCell ref="P3:S3"/>
    <mergeCell ref="C27:F27"/>
    <mergeCell ref="I27:L27"/>
    <mergeCell ref="W74:Z74"/>
    <mergeCell ref="W51:Z51"/>
    <mergeCell ref="U3:Y3"/>
    <mergeCell ref="U27:Y27"/>
    <mergeCell ref="P27:S27"/>
    <mergeCell ref="P51:S51"/>
    <mergeCell ref="P74:S74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M54"/>
  <sheetViews>
    <sheetView tabSelected="1" workbookViewId="0">
      <selection activeCell="C17" sqref="C17"/>
    </sheetView>
  </sheetViews>
  <sheetFormatPr baseColWidth="10" defaultRowHeight="15" x14ac:dyDescent="0.25"/>
  <cols>
    <col min="2" max="4" width="11.42578125" style="14"/>
    <col min="6" max="7" width="11.42578125" style="14"/>
    <col min="11" max="11" width="13.7109375" customWidth="1"/>
    <col min="12" max="12" width="11.7109375" customWidth="1"/>
  </cols>
  <sheetData>
    <row r="4" spans="2:13" ht="15.75" thickBot="1" x14ac:dyDescent="0.3">
      <c r="C4" s="16" t="s">
        <v>23</v>
      </c>
      <c r="D4" s="16"/>
      <c r="E4" s="16"/>
      <c r="F4" s="16"/>
    </row>
    <row r="5" spans="2:13" x14ac:dyDescent="0.25">
      <c r="B5" s="19" t="s">
        <v>21</v>
      </c>
      <c r="C5" s="13" t="s">
        <v>0</v>
      </c>
      <c r="D5" s="13" t="s">
        <v>1</v>
      </c>
      <c r="E5" s="3" t="s">
        <v>2</v>
      </c>
      <c r="F5" s="13" t="s">
        <v>3</v>
      </c>
      <c r="G5" s="19" t="s">
        <v>22</v>
      </c>
      <c r="H5" s="5" t="s">
        <v>17</v>
      </c>
      <c r="K5" s="17" t="s">
        <v>24</v>
      </c>
      <c r="L5" s="18"/>
      <c r="M5" s="10" t="s">
        <v>25</v>
      </c>
    </row>
    <row r="6" spans="2:13" x14ac:dyDescent="0.25">
      <c r="D6" s="14">
        <f t="shared" ref="D6:D12" si="0">C6*21/100</f>
        <v>0</v>
      </c>
      <c r="E6" s="1"/>
      <c r="F6" s="14">
        <f>E6*10.5/100</f>
        <v>0</v>
      </c>
      <c r="H6" s="1"/>
      <c r="K6" s="23"/>
      <c r="L6" s="22">
        <f>K6*100/21</f>
        <v>0</v>
      </c>
      <c r="M6" s="11">
        <v>21</v>
      </c>
    </row>
    <row r="7" spans="2:13" x14ac:dyDescent="0.25">
      <c r="D7" s="14">
        <f t="shared" si="0"/>
        <v>0</v>
      </c>
      <c r="E7" s="1"/>
      <c r="F7" s="14">
        <f t="shared" ref="F7:F50" si="1">E7*10.5/100</f>
        <v>0</v>
      </c>
      <c r="K7" s="23"/>
      <c r="L7" s="22">
        <f>K7*100/27</f>
        <v>0</v>
      </c>
      <c r="M7" s="11">
        <v>27</v>
      </c>
    </row>
    <row r="8" spans="2:13" ht="15.75" thickBot="1" x14ac:dyDescent="0.3">
      <c r="D8" s="14">
        <f t="shared" si="0"/>
        <v>0</v>
      </c>
      <c r="E8" s="1"/>
      <c r="F8" s="14">
        <f t="shared" si="1"/>
        <v>0</v>
      </c>
      <c r="K8" s="20"/>
      <c r="L8" s="21">
        <f>K8*100/10.5</f>
        <v>0</v>
      </c>
      <c r="M8" s="12">
        <v>10.5</v>
      </c>
    </row>
    <row r="9" spans="2:13" x14ac:dyDescent="0.25">
      <c r="D9" s="14">
        <f t="shared" si="0"/>
        <v>0</v>
      </c>
      <c r="E9" s="1"/>
      <c r="F9" s="14">
        <f t="shared" si="1"/>
        <v>0</v>
      </c>
    </row>
    <row r="10" spans="2:13" x14ac:dyDescent="0.25">
      <c r="D10" s="14">
        <f t="shared" si="0"/>
        <v>0</v>
      </c>
      <c r="E10" s="1"/>
      <c r="F10" s="14">
        <f t="shared" si="1"/>
        <v>0</v>
      </c>
    </row>
    <row r="11" spans="2:13" x14ac:dyDescent="0.25">
      <c r="D11" s="14">
        <f t="shared" si="0"/>
        <v>0</v>
      </c>
      <c r="E11" s="1"/>
      <c r="F11" s="14">
        <f t="shared" si="1"/>
        <v>0</v>
      </c>
    </row>
    <row r="12" spans="2:13" x14ac:dyDescent="0.25">
      <c r="D12" s="14">
        <f t="shared" si="0"/>
        <v>0</v>
      </c>
      <c r="E12" s="1"/>
      <c r="F12" s="14">
        <f t="shared" si="1"/>
        <v>0</v>
      </c>
    </row>
    <row r="13" spans="2:13" x14ac:dyDescent="0.25">
      <c r="D13" s="14">
        <f t="shared" ref="D13:D50" si="2">C13*21/100</f>
        <v>0</v>
      </c>
      <c r="E13" s="1"/>
      <c r="F13" s="14">
        <f t="shared" si="1"/>
        <v>0</v>
      </c>
    </row>
    <row r="14" spans="2:13" x14ac:dyDescent="0.25">
      <c r="D14" s="14">
        <f t="shared" si="2"/>
        <v>0</v>
      </c>
      <c r="E14" s="1"/>
      <c r="F14" s="14">
        <f t="shared" si="1"/>
        <v>0</v>
      </c>
      <c r="K14" s="1"/>
      <c r="L14" s="1"/>
    </row>
    <row r="15" spans="2:13" x14ac:dyDescent="0.25">
      <c r="D15" s="14">
        <f t="shared" si="2"/>
        <v>0</v>
      </c>
      <c r="E15" s="1"/>
      <c r="F15" s="14">
        <f t="shared" si="1"/>
        <v>0</v>
      </c>
      <c r="K15" s="1"/>
      <c r="L15" s="1"/>
    </row>
    <row r="16" spans="2:13" x14ac:dyDescent="0.25">
      <c r="D16" s="14">
        <f t="shared" si="2"/>
        <v>0</v>
      </c>
      <c r="E16" s="1"/>
      <c r="F16" s="14">
        <f t="shared" si="1"/>
        <v>0</v>
      </c>
    </row>
    <row r="17" spans="4:6" x14ac:dyDescent="0.25">
      <c r="D17" s="14">
        <f t="shared" si="2"/>
        <v>0</v>
      </c>
      <c r="E17" s="1"/>
      <c r="F17" s="14">
        <f t="shared" si="1"/>
        <v>0</v>
      </c>
    </row>
    <row r="18" spans="4:6" x14ac:dyDescent="0.25">
      <c r="D18" s="14">
        <f t="shared" si="2"/>
        <v>0</v>
      </c>
      <c r="E18" s="1"/>
      <c r="F18" s="14">
        <f t="shared" si="1"/>
        <v>0</v>
      </c>
    </row>
    <row r="19" spans="4:6" x14ac:dyDescent="0.25">
      <c r="D19" s="14">
        <f t="shared" si="2"/>
        <v>0</v>
      </c>
      <c r="E19" s="1"/>
      <c r="F19" s="14">
        <f>E19*10.5/100</f>
        <v>0</v>
      </c>
    </row>
    <row r="20" spans="4:6" x14ac:dyDescent="0.25">
      <c r="D20" s="14">
        <f t="shared" si="2"/>
        <v>0</v>
      </c>
      <c r="E20" s="1"/>
      <c r="F20" s="14">
        <f t="shared" si="1"/>
        <v>0</v>
      </c>
    </row>
    <row r="21" spans="4:6" x14ac:dyDescent="0.25">
      <c r="D21" s="14">
        <f t="shared" si="2"/>
        <v>0</v>
      </c>
      <c r="E21" s="1"/>
      <c r="F21" s="14">
        <f t="shared" si="1"/>
        <v>0</v>
      </c>
    </row>
    <row r="22" spans="4:6" x14ac:dyDescent="0.25">
      <c r="D22" s="14">
        <f t="shared" si="2"/>
        <v>0</v>
      </c>
      <c r="E22" s="1"/>
      <c r="F22" s="14">
        <f t="shared" si="1"/>
        <v>0</v>
      </c>
    </row>
    <row r="23" spans="4:6" x14ac:dyDescent="0.25">
      <c r="D23" s="14">
        <f t="shared" si="2"/>
        <v>0</v>
      </c>
      <c r="E23" s="1"/>
      <c r="F23" s="14">
        <f t="shared" si="1"/>
        <v>0</v>
      </c>
    </row>
    <row r="24" spans="4:6" x14ac:dyDescent="0.25">
      <c r="D24" s="14">
        <f t="shared" si="2"/>
        <v>0</v>
      </c>
      <c r="E24" s="1"/>
      <c r="F24" s="14">
        <f t="shared" si="1"/>
        <v>0</v>
      </c>
    </row>
    <row r="25" spans="4:6" x14ac:dyDescent="0.25">
      <c r="D25" s="14">
        <f t="shared" si="2"/>
        <v>0</v>
      </c>
      <c r="F25" s="14">
        <f t="shared" si="1"/>
        <v>0</v>
      </c>
    </row>
    <row r="26" spans="4:6" x14ac:dyDescent="0.25">
      <c r="D26" s="14">
        <f t="shared" si="2"/>
        <v>0</v>
      </c>
      <c r="F26" s="14">
        <f t="shared" si="1"/>
        <v>0</v>
      </c>
    </row>
    <row r="27" spans="4:6" x14ac:dyDescent="0.25">
      <c r="D27" s="14">
        <f t="shared" si="2"/>
        <v>0</v>
      </c>
      <c r="F27" s="14">
        <f t="shared" si="1"/>
        <v>0</v>
      </c>
    </row>
    <row r="28" spans="4:6" x14ac:dyDescent="0.25">
      <c r="D28" s="14">
        <f t="shared" si="2"/>
        <v>0</v>
      </c>
      <c r="F28" s="14">
        <f t="shared" si="1"/>
        <v>0</v>
      </c>
    </row>
    <row r="29" spans="4:6" x14ac:dyDescent="0.25">
      <c r="D29" s="14">
        <f t="shared" si="2"/>
        <v>0</v>
      </c>
      <c r="F29" s="14">
        <f t="shared" si="1"/>
        <v>0</v>
      </c>
    </row>
    <row r="30" spans="4:6" x14ac:dyDescent="0.25">
      <c r="D30" s="14">
        <f t="shared" si="2"/>
        <v>0</v>
      </c>
      <c r="F30" s="14">
        <f t="shared" si="1"/>
        <v>0</v>
      </c>
    </row>
    <row r="31" spans="4:6" x14ac:dyDescent="0.25">
      <c r="D31" s="14">
        <f t="shared" si="2"/>
        <v>0</v>
      </c>
      <c r="F31" s="14">
        <f t="shared" si="1"/>
        <v>0</v>
      </c>
    </row>
    <row r="32" spans="4:6" x14ac:dyDescent="0.25">
      <c r="D32" s="14">
        <f t="shared" si="2"/>
        <v>0</v>
      </c>
      <c r="F32" s="14">
        <f t="shared" si="1"/>
        <v>0</v>
      </c>
    </row>
    <row r="33" spans="4:6" x14ac:dyDescent="0.25">
      <c r="D33" s="14">
        <f t="shared" si="2"/>
        <v>0</v>
      </c>
      <c r="F33" s="14">
        <f t="shared" si="1"/>
        <v>0</v>
      </c>
    </row>
    <row r="34" spans="4:6" x14ac:dyDescent="0.25">
      <c r="D34" s="14">
        <f t="shared" si="2"/>
        <v>0</v>
      </c>
      <c r="F34" s="14">
        <f t="shared" si="1"/>
        <v>0</v>
      </c>
    </row>
    <row r="35" spans="4:6" x14ac:dyDescent="0.25">
      <c r="D35" s="14">
        <f t="shared" si="2"/>
        <v>0</v>
      </c>
      <c r="F35" s="14">
        <f t="shared" si="1"/>
        <v>0</v>
      </c>
    </row>
    <row r="36" spans="4:6" x14ac:dyDescent="0.25">
      <c r="D36" s="14">
        <f t="shared" si="2"/>
        <v>0</v>
      </c>
      <c r="F36" s="14">
        <f t="shared" si="1"/>
        <v>0</v>
      </c>
    </row>
    <row r="37" spans="4:6" x14ac:dyDescent="0.25">
      <c r="D37" s="14">
        <f t="shared" si="2"/>
        <v>0</v>
      </c>
      <c r="F37" s="14">
        <f t="shared" si="1"/>
        <v>0</v>
      </c>
    </row>
    <row r="38" spans="4:6" x14ac:dyDescent="0.25">
      <c r="D38" s="14">
        <f t="shared" si="2"/>
        <v>0</v>
      </c>
      <c r="F38" s="14">
        <f t="shared" si="1"/>
        <v>0</v>
      </c>
    </row>
    <row r="39" spans="4:6" x14ac:dyDescent="0.25">
      <c r="D39" s="14">
        <f t="shared" si="2"/>
        <v>0</v>
      </c>
      <c r="F39" s="14">
        <f t="shared" si="1"/>
        <v>0</v>
      </c>
    </row>
    <row r="40" spans="4:6" x14ac:dyDescent="0.25">
      <c r="D40" s="14">
        <f t="shared" si="2"/>
        <v>0</v>
      </c>
      <c r="F40" s="14">
        <f t="shared" si="1"/>
        <v>0</v>
      </c>
    </row>
    <row r="41" spans="4:6" x14ac:dyDescent="0.25">
      <c r="D41" s="14">
        <f t="shared" si="2"/>
        <v>0</v>
      </c>
      <c r="F41" s="14">
        <f t="shared" si="1"/>
        <v>0</v>
      </c>
    </row>
    <row r="42" spans="4:6" x14ac:dyDescent="0.25">
      <c r="D42" s="14">
        <f t="shared" si="2"/>
        <v>0</v>
      </c>
      <c r="F42" s="14">
        <f t="shared" si="1"/>
        <v>0</v>
      </c>
    </row>
    <row r="43" spans="4:6" x14ac:dyDescent="0.25">
      <c r="D43" s="14">
        <f t="shared" si="2"/>
        <v>0</v>
      </c>
      <c r="F43" s="14">
        <f t="shared" si="1"/>
        <v>0</v>
      </c>
    </row>
    <row r="44" spans="4:6" x14ac:dyDescent="0.25">
      <c r="D44" s="14">
        <f t="shared" si="2"/>
        <v>0</v>
      </c>
      <c r="F44" s="14">
        <f t="shared" si="1"/>
        <v>0</v>
      </c>
    </row>
    <row r="45" spans="4:6" x14ac:dyDescent="0.25">
      <c r="D45" s="14">
        <f t="shared" si="2"/>
        <v>0</v>
      </c>
      <c r="F45" s="14">
        <f t="shared" si="1"/>
        <v>0</v>
      </c>
    </row>
    <row r="46" spans="4:6" x14ac:dyDescent="0.25">
      <c r="D46" s="14">
        <f t="shared" si="2"/>
        <v>0</v>
      </c>
      <c r="F46" s="14">
        <f t="shared" si="1"/>
        <v>0</v>
      </c>
    </row>
    <row r="47" spans="4:6" x14ac:dyDescent="0.25">
      <c r="D47" s="14">
        <f t="shared" si="2"/>
        <v>0</v>
      </c>
      <c r="F47" s="14">
        <f t="shared" si="1"/>
        <v>0</v>
      </c>
    </row>
    <row r="48" spans="4:6" x14ac:dyDescent="0.25">
      <c r="D48" s="14">
        <f t="shared" si="2"/>
        <v>0</v>
      </c>
      <c r="F48" s="14">
        <f t="shared" si="1"/>
        <v>0</v>
      </c>
    </row>
    <row r="49" spans="1:8" x14ac:dyDescent="0.25">
      <c r="D49" s="14">
        <f t="shared" si="2"/>
        <v>0</v>
      </c>
      <c r="F49" s="14">
        <f t="shared" si="1"/>
        <v>0</v>
      </c>
    </row>
    <row r="50" spans="1:8" x14ac:dyDescent="0.25">
      <c r="D50" s="14">
        <f t="shared" si="2"/>
        <v>0</v>
      </c>
      <c r="F50" s="14">
        <f t="shared" si="1"/>
        <v>0</v>
      </c>
    </row>
    <row r="51" spans="1:8" x14ac:dyDescent="0.25">
      <c r="B51" s="15">
        <f t="shared" ref="B51:H51" si="3">SUM(B6:B50)</f>
        <v>0</v>
      </c>
      <c r="C51" s="15">
        <f>SUM(C6:C50)</f>
        <v>0</v>
      </c>
      <c r="D51" s="15">
        <f>SUM(D6:D50)</f>
        <v>0</v>
      </c>
      <c r="E51" s="15">
        <f t="shared" si="3"/>
        <v>0</v>
      </c>
      <c r="F51" s="15">
        <f t="shared" si="3"/>
        <v>0</v>
      </c>
      <c r="G51" s="15">
        <f t="shared" si="3"/>
        <v>0</v>
      </c>
      <c r="H51" s="15">
        <f t="shared" si="3"/>
        <v>0</v>
      </c>
    </row>
    <row r="53" spans="1:8" x14ac:dyDescent="0.25">
      <c r="A53" s="14"/>
    </row>
    <row r="54" spans="1:8" x14ac:dyDescent="0.25">
      <c r="A54" s="14"/>
      <c r="E54" s="14"/>
    </row>
  </sheetData>
  <mergeCells count="2">
    <mergeCell ref="C4:F4"/>
    <mergeCell ref="K5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xxx3</dc:creator>
  <cp:lastModifiedBy>Usuario</cp:lastModifiedBy>
  <dcterms:created xsi:type="dcterms:W3CDTF">2019-12-17T14:01:30Z</dcterms:created>
  <dcterms:modified xsi:type="dcterms:W3CDTF">2023-10-20T18:25:07Z</dcterms:modified>
</cp:coreProperties>
</file>