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8_{B041539C-BD3C-4600-B19F-58C534963AE9}" xr6:coauthVersionLast="47" xr6:coauthVersionMax="47" xr10:uidLastSave="{00000000-0000-0000-0000-000000000000}"/>
  <bookViews>
    <workbookView xWindow="-60" yWindow="0" windowWidth="17805" windowHeight="15585" xr2:uid="{00000000-000D-0000-FFFF-FFFF00000000}"/>
  </bookViews>
  <sheets>
    <sheet name="Julio 23" sheetId="17" r:id="rId1"/>
  </sheets>
  <definedNames>
    <definedName name="_xlnm._FilterDatabase" localSheetId="0" hidden="1">'Julio 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17" l="1"/>
  <c r="F62" i="17" s="1"/>
  <c r="F63" i="17" s="1"/>
  <c r="C61" i="17"/>
  <c r="C62" i="17" s="1"/>
  <c r="C63" i="17" l="1"/>
</calcChain>
</file>

<file path=xl/sharedStrings.xml><?xml version="1.0" encoding="utf-8"?>
<sst xmlns="http://schemas.openxmlformats.org/spreadsheetml/2006/main" count="209" uniqueCount="178">
  <si>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</si>
  <si>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</si>
  <si>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</si>
  <si>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</si>
  <si>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</si>
  <si>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</si>
  <si>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</si>
  <si>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</si>
  <si>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</si>
  <si>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</si>
  <si>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</si>
  <si>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</si>
  <si>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</si>
  <si>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Alexander Fleming S 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</si>
  <si>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</si>
  <si>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</si>
  <si>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</si>
  <si>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</si>
  <si>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</si>
  <si>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>Subtotal</t>
  </si>
  <si>
    <t>IVA 21%</t>
  </si>
  <si>
    <t>Total</t>
  </si>
  <si>
    <t>Obra Social Union Personal De La Union  Del Personal Civil De La Nacion</t>
  </si>
  <si>
    <t>SANZIO, INMACULADA CONCEPCION</t>
  </si>
  <si>
    <t>MINERVINI, MARIA DEL CARMEN LILIANA</t>
  </si>
  <si>
    <t xml:space="preserve">ARANA, MARCELLA OFELIA </t>
  </si>
  <si>
    <t>Centro Medico Amenabar Srl</t>
  </si>
  <si>
    <t>SCHELGEL, LUIS ALBERTO</t>
  </si>
  <si>
    <t>ZAIDMAN, CESAR JAVIER</t>
  </si>
  <si>
    <t>Obra Social Del Personal De La Industria Del Plastico</t>
  </si>
  <si>
    <t>SAENZ, MAGDALENA.</t>
  </si>
  <si>
    <t>Aguirre Diego</t>
  </si>
  <si>
    <t>REPETTO LYNCH, BENJAMIN MARIA</t>
  </si>
  <si>
    <t>MONTI, MARIA PAULA</t>
  </si>
  <si>
    <t>Ensalud S.A</t>
  </si>
  <si>
    <t>SPADONI, ANALIA BEATRIZ</t>
  </si>
  <si>
    <t>ANDREOTTI, CECILIA BEATRIZ</t>
  </si>
  <si>
    <t>CORREA, PABLO FERNANDO</t>
  </si>
  <si>
    <t>VIDAL, ALINE CATIANE</t>
  </si>
  <si>
    <t>TISSONE, JOSE ERNESTO</t>
  </si>
  <si>
    <t>PASTOR ROSALES ROSA NOEMI</t>
  </si>
  <si>
    <t>Herman Patricia</t>
  </si>
  <si>
    <t>Chiari Maria Enriqueta del Socorro</t>
  </si>
  <si>
    <t>ENRIQUETA MARIA DEL SOCORRO MAJO</t>
  </si>
  <si>
    <t xml:space="preserve">IZZO, ADRIANA </t>
  </si>
  <si>
    <t>CUDERO, SILVINA</t>
  </si>
  <si>
    <t>Desalvo Miguel Angel</t>
  </si>
  <si>
    <t>SILVIA ROLDAN</t>
  </si>
  <si>
    <t>JUAN PABLO MINVIELLE</t>
  </si>
  <si>
    <t xml:space="preserve">SARA STRASBERG </t>
  </si>
  <si>
    <t>VOLPI, ALBERTO JAVIER</t>
  </si>
  <si>
    <t>MATHOV ENRIQUE JOSE</t>
  </si>
  <si>
    <t>PEDRO SERGIO TORREGROSA</t>
  </si>
  <si>
    <t xml:space="preserve">DOMINGUEZ, DANNA ROCIO </t>
  </si>
  <si>
    <t>PEDROZO, PAULA GABRIELA</t>
  </si>
  <si>
    <t>CORIGLIANO, LORENA ELISA</t>
  </si>
  <si>
    <t>ORELLA DEL VALLE RAQUEL</t>
  </si>
  <si>
    <t>EGESAC S.A.</t>
  </si>
  <si>
    <t>Alquiler Facturado - Julio</t>
  </si>
  <si>
    <t>FA-A 0007-00001499</t>
  </si>
  <si>
    <t>FA-A 0007-00001500</t>
  </si>
  <si>
    <t>FA-A 0007-00001501</t>
  </si>
  <si>
    <t>FA-A 0007-00001502</t>
  </si>
  <si>
    <t>FA-A 0007-00001503</t>
  </si>
  <si>
    <t>FA-A 0007-00001504</t>
  </si>
  <si>
    <t>FA-A 0007-00001505</t>
  </si>
  <si>
    <t>FA-A 0007-00001506</t>
  </si>
  <si>
    <t>FA-A 0007-00001507</t>
  </si>
  <si>
    <t>FA-A 0007-00001508</t>
  </si>
  <si>
    <t>FA-A 0007-00001509</t>
  </si>
  <si>
    <t>FA-A 0007-00001510</t>
  </si>
  <si>
    <t>FA-A 0007-00001511</t>
  </si>
  <si>
    <t>FA-A 0007-00001513</t>
  </si>
  <si>
    <t>FA-A 0006-00000366</t>
  </si>
  <si>
    <t>FA-A 0007-00001514</t>
  </si>
  <si>
    <t>FA-A 0007-00001516</t>
  </si>
  <si>
    <t>FA-A 0007-00001518</t>
  </si>
  <si>
    <t>FA-A 0007-00001519</t>
  </si>
  <si>
    <t>FA-A 0007-00001520</t>
  </si>
  <si>
    <t>FA-A 0007-00001521</t>
  </si>
  <si>
    <t>FA-A 0007-00001522</t>
  </si>
  <si>
    <t>ALBAJARI ADRIÁN</t>
  </si>
  <si>
    <t>FA-A 0007-00001524</t>
  </si>
  <si>
    <t>FA-A 0007-00001525</t>
  </si>
  <si>
    <t>FA-A 0007-00001526</t>
  </si>
  <si>
    <t>FA-A 0007-00001527</t>
  </si>
  <si>
    <t>FA-A 0007-00001528</t>
  </si>
  <si>
    <t>FA-A 0007-00001529</t>
  </si>
  <si>
    <t>NC-A 0007-00000097</t>
  </si>
  <si>
    <t>NC-A 0006-00000041</t>
  </si>
  <si>
    <t>FA-B 0007-00004469</t>
  </si>
  <si>
    <t>FA-B 0007-00004470</t>
  </si>
  <si>
    <t>FA-B 0007-00004471</t>
  </si>
  <si>
    <t>FA-B 0007-00004472</t>
  </si>
  <si>
    <t>FA-B 0007-00004473</t>
  </si>
  <si>
    <t>FA-B 0007-00004474</t>
  </si>
  <si>
    <t>FA-B 0007-00004475</t>
  </si>
  <si>
    <t>LOCOCO, CARMEN</t>
  </si>
  <si>
    <t>FA-B 0007-00004476</t>
  </si>
  <si>
    <t>FA-B 0007-00004477</t>
  </si>
  <si>
    <t>FA-B 0007-00004478</t>
  </si>
  <si>
    <t>ALEJANDRA SIFFREDI TORRES SANMARCO</t>
  </si>
  <si>
    <t>FA-B 0007-00004479</t>
  </si>
  <si>
    <t>FA-B 0007-00004480</t>
  </si>
  <si>
    <t>FA-B 0007-00004481</t>
  </si>
  <si>
    <t>FA-B 0007-00004482</t>
  </si>
  <si>
    <t>FA-B 0007-00004483</t>
  </si>
  <si>
    <t>FA-B 0007-00004484</t>
  </si>
  <si>
    <t>FA-B 0007-00004485</t>
  </si>
  <si>
    <t>ROMEO, NELIDA ZULMA</t>
  </si>
  <si>
    <t>FONSECA, GABRIELA FERNANDA</t>
  </si>
  <si>
    <t xml:space="preserve">MOREIRAS, MARIA DEL CARMEN </t>
  </si>
  <si>
    <t>FA-B 0007-00004486</t>
  </si>
  <si>
    <t>FA-B 0007-00004487</t>
  </si>
  <si>
    <t>FA-B 0007-00004488</t>
  </si>
  <si>
    <t>FA-B 0007-00004489</t>
  </si>
  <si>
    <t>FA-B 0007-00004490</t>
  </si>
  <si>
    <t>FA-B 0007-00004491</t>
  </si>
  <si>
    <t>HIDALGO OSCAR ATILIO</t>
  </si>
  <si>
    <t>FA-B 0007-00004492</t>
  </si>
  <si>
    <t>FA-B 0007-00004493</t>
  </si>
  <si>
    <t>FA-B 0007-00004494</t>
  </si>
  <si>
    <t>BUNCHICOFF, MARIA</t>
  </si>
  <si>
    <t>FA-B 0007-00004496</t>
  </si>
  <si>
    <t>FA-B 0007-00004497</t>
  </si>
  <si>
    <t>FA-B 0007-00004498</t>
  </si>
  <si>
    <t>FA-B 0007-00004499</t>
  </si>
  <si>
    <t>KARIVALI DESPINA</t>
  </si>
  <si>
    <t>ARAKAKI, TAEMI</t>
  </si>
  <si>
    <t>INGRATTA, VANINA ALICIA PAMELA</t>
  </si>
  <si>
    <t>FA-B 0007-00004500</t>
  </si>
  <si>
    <t>FA-B 0007-00004501</t>
  </si>
  <si>
    <t>VARELA, RICARDO EXEQUIEL</t>
  </si>
  <si>
    <t>FA-B 0007-00004502</t>
  </si>
  <si>
    <t>CHAMOSA JOSE MARIA</t>
  </si>
  <si>
    <t>FA-B 0007-00004503</t>
  </si>
  <si>
    <t>MODOLO, CRISTIAN ARIEL</t>
  </si>
  <si>
    <t>FA-B 0007-00004504</t>
  </si>
  <si>
    <t>LEHMANN, BARBARA D.</t>
  </si>
  <si>
    <t>FA-B 0007-00004506</t>
  </si>
  <si>
    <t>FA-B 0007-00004507</t>
  </si>
  <si>
    <t>FA-B 0007-00004508</t>
  </si>
  <si>
    <t>FERRAZIN, CAROLINA ELEONORA INES</t>
  </si>
  <si>
    <t>FA-B 0007-00004509</t>
  </si>
  <si>
    <t>FA-B 0007-00004511</t>
  </si>
  <si>
    <t>FA-B 0007-00004512</t>
  </si>
  <si>
    <t>FA-B 0007-00004515</t>
  </si>
  <si>
    <t>ARGENTINA EDITH ZARRILLO</t>
  </si>
  <si>
    <t>FA-B 0007-00004516</t>
  </si>
  <si>
    <t>FA-B 0007-00004517</t>
  </si>
  <si>
    <t>FA-A 0007-00001530</t>
  </si>
  <si>
    <t>FA-A 0007-00001533</t>
  </si>
  <si>
    <t>FA-A 0007-00001535</t>
  </si>
  <si>
    <t>FA-A 0007-00001536</t>
  </si>
  <si>
    <t>FA-A 0007-00001537</t>
  </si>
  <si>
    <t>FA-A 0007-00001538</t>
  </si>
  <si>
    <t>FA-A 0007-00001539</t>
  </si>
  <si>
    <t>Obra Social De La Actividad De Seguros, Reaseguros, Capitalizacion Y Ahorro Y Prestamo  Para La Vivienda</t>
  </si>
  <si>
    <t>FA-A 0007-00001540</t>
  </si>
  <si>
    <t>FA-A 0007-00001541</t>
  </si>
  <si>
    <t>FA-A 0007-00001542</t>
  </si>
  <si>
    <t>FA-A 0007-00001543</t>
  </si>
  <si>
    <t>FA-A 0007-00001544</t>
  </si>
  <si>
    <t>Piaggio, Paula Andrea</t>
  </si>
  <si>
    <t>FA-B 0007-00004518</t>
  </si>
  <si>
    <t>FA-B 0007-00004519</t>
  </si>
  <si>
    <t>FA-B 0007-00004521</t>
  </si>
  <si>
    <t>FA-B 0007-00004522</t>
  </si>
  <si>
    <t>FA-B 0007-00004523</t>
  </si>
  <si>
    <t>FA-B 0007-00004524</t>
  </si>
  <si>
    <t>FA-B 0007-00004525</t>
  </si>
  <si>
    <t>FA-B 0007-00004526</t>
  </si>
  <si>
    <t>FA-B 0007-00004527</t>
  </si>
  <si>
    <t>AGOSTINO MIRIAM</t>
  </si>
  <si>
    <t>FA-B 0007-00004528</t>
  </si>
  <si>
    <t>ANALIA LIFSCHITZ</t>
  </si>
  <si>
    <t>FA-B 0007-00004529</t>
  </si>
  <si>
    <t>FA-B 0007-00004530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</si>
</sst>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0" fontId="0" fillId="0" borderId="3" xfId="0" applyBorder="1"/>
    <xf numFmtId="49" fontId="3" fillId="0" borderId="5" xfId="0" applyNumberFormat="1" applyFont="1" applyBorder="1" applyAlignment="1">
      <alignment horizontal="left"/>
    </xf>
    <xf numFmtId="0" fontId="3" fillId="0" borderId="5" xfId="0" applyFont="1" applyBorder="1"/>
    <xf numFmtId="2" fontId="3" fillId="0" borderId="5" xfId="0" applyNumberFormat="1" applyFont="1" applyBorder="1" applyAlignment="1">
      <alignment horizontal="right" vertical="center"/>
    </xf>
    <xf numFmtId="0" fontId="0" fillId="0" borderId="4" xfId="0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39" workbookViewId="0">
      <selection activeCell="C28" sqref="C28"/>
    </sheetView>
  </sheetViews>
  <sheetFormatPr baseColWidth="10" defaultRowHeight="15" x14ac:dyDescent="0.25"/>
  <cols>
    <col min="1" max="1" width="22.140625" customWidth="1"/>
    <col min="2" max="2" width="31.5703125" customWidth="1"/>
    <col min="3" max="3" width="18" customWidth="1"/>
    <col min="4" max="4" width="21.140625" customWidth="1"/>
    <col min="5" max="5" width="26.140625" customWidth="1"/>
    <col min="6" max="6" width="19.7109375" customWidth="1"/>
  </cols>
  <sheetData>
    <row r="1" spans="1:6" x14ac:dyDescent="0.25">
      <c r="A1" s="19" t="s">
        <v>58</v>
      </c>
      <c r="B1" s="19"/>
      <c r="C1" s="19"/>
      <c r="D1" s="19"/>
      <c r="E1" s="19"/>
      <c r="F1" s="19"/>
    </row>
    <row r="2" spans="1: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 x14ac:dyDescent="0.25">
      <c r="A3" s="2" t="s">
        <v>59</v>
      </c>
      <c r="B3" s="3" t="s">
        <v>7</v>
      </c>
      <c r="C3" s="4">
        <v>18800</v>
      </c>
      <c r="D3" s="2" t="s">
        <v>90</v>
      </c>
      <c r="E3" s="3" t="s">
        <v>14</v>
      </c>
      <c r="F3" s="4">
        <v>55438.84</v>
      </c>
    </row>
    <row r="4" spans="1:6" x14ac:dyDescent="0.25">
      <c r="A4" s="2" t="s">
        <v>60</v>
      </c>
      <c r="B4" s="3" t="s">
        <v>8</v>
      </c>
      <c r="C4" s="4">
        <v>73448.759999999995</v>
      </c>
      <c r="D4" s="2" t="s">
        <v>91</v>
      </c>
      <c r="E4" s="3" t="s">
        <v>43</v>
      </c>
      <c r="F4" s="4">
        <v>3719.01</v>
      </c>
    </row>
    <row r="5" spans="1:6" x14ac:dyDescent="0.25">
      <c r="A5" s="2" t="s">
        <v>61</v>
      </c>
      <c r="B5" s="3" t="s">
        <v>11</v>
      </c>
      <c r="C5" s="4">
        <v>43133.88</v>
      </c>
      <c r="D5" s="2" t="s">
        <v>92</v>
      </c>
      <c r="E5" s="3" t="s">
        <v>42</v>
      </c>
      <c r="F5" s="4">
        <v>3719.01</v>
      </c>
    </row>
    <row r="6" spans="1:6" x14ac:dyDescent="0.25">
      <c r="A6" s="2" t="s">
        <v>62</v>
      </c>
      <c r="B6" s="3" t="s">
        <v>9</v>
      </c>
      <c r="C6" s="4">
        <v>6375.37</v>
      </c>
      <c r="D6" s="2" t="s">
        <v>93</v>
      </c>
      <c r="E6" s="3" t="s">
        <v>41</v>
      </c>
      <c r="F6" s="4">
        <v>8677.68</v>
      </c>
    </row>
    <row r="7" spans="1:6" x14ac:dyDescent="0.25">
      <c r="A7" s="2" t="s">
        <v>63</v>
      </c>
      <c r="B7" s="3" t="s">
        <v>13</v>
      </c>
      <c r="C7" s="4">
        <v>12167.57</v>
      </c>
      <c r="D7" s="2" t="s">
        <v>94</v>
      </c>
      <c r="E7" s="3" t="s">
        <v>10</v>
      </c>
      <c r="F7" s="4">
        <v>5619.83</v>
      </c>
    </row>
    <row r="8" spans="1:6" x14ac:dyDescent="0.25">
      <c r="A8" s="2" t="s">
        <v>64</v>
      </c>
      <c r="B8" s="3" t="s">
        <v>13</v>
      </c>
      <c r="C8" s="4">
        <v>12167.57</v>
      </c>
      <c r="D8" s="2" t="s">
        <v>95</v>
      </c>
      <c r="E8" s="3" t="s">
        <v>97</v>
      </c>
      <c r="F8" s="4">
        <v>22809.91</v>
      </c>
    </row>
    <row r="9" spans="1:6" x14ac:dyDescent="0.25">
      <c r="A9" s="2" t="s">
        <v>65</v>
      </c>
      <c r="B9" s="3" t="s">
        <v>16</v>
      </c>
      <c r="C9" s="4">
        <v>10880.99</v>
      </c>
      <c r="D9" s="2" t="s">
        <v>96</v>
      </c>
      <c r="E9" s="3" t="s">
        <v>44</v>
      </c>
      <c r="F9" s="4">
        <v>7438.02</v>
      </c>
    </row>
    <row r="10" spans="1:6" x14ac:dyDescent="0.25">
      <c r="A10" s="2" t="s">
        <v>66</v>
      </c>
      <c r="B10" s="3" t="s">
        <v>12</v>
      </c>
      <c r="C10" s="4">
        <v>9404.9600000000009</v>
      </c>
      <c r="D10" s="2" t="s">
        <v>98</v>
      </c>
      <c r="E10" s="3" t="s">
        <v>5</v>
      </c>
      <c r="F10" s="4">
        <v>501517.08</v>
      </c>
    </row>
    <row r="11" spans="1:6" x14ac:dyDescent="0.25">
      <c r="A11" s="2" t="s">
        <v>67</v>
      </c>
      <c r="B11" s="3" t="s">
        <v>26</v>
      </c>
      <c r="C11" s="4">
        <v>15487.6</v>
      </c>
      <c r="D11" s="2" t="s">
        <v>99</v>
      </c>
      <c r="E11" s="3" t="s">
        <v>50</v>
      </c>
      <c r="F11" s="4">
        <v>5785.12</v>
      </c>
    </row>
    <row r="12" spans="1:6" x14ac:dyDescent="0.25">
      <c r="A12" s="2" t="s">
        <v>68</v>
      </c>
      <c r="B12" s="3" t="s">
        <v>15</v>
      </c>
      <c r="C12" s="4">
        <v>3325.53</v>
      </c>
      <c r="D12" s="2" t="s">
        <v>100</v>
      </c>
      <c r="E12" s="3" t="s">
        <v>101</v>
      </c>
      <c r="F12" s="4">
        <v>9917.36</v>
      </c>
    </row>
    <row r="13" spans="1:6" x14ac:dyDescent="0.25">
      <c r="A13" s="2" t="s">
        <v>69</v>
      </c>
      <c r="B13" s="3" t="s">
        <v>34</v>
      </c>
      <c r="C13" s="4">
        <v>4643.8</v>
      </c>
      <c r="D13" s="2" t="s">
        <v>102</v>
      </c>
      <c r="E13" s="3" t="s">
        <v>48</v>
      </c>
      <c r="F13" s="4">
        <v>12892.56</v>
      </c>
    </row>
    <row r="14" spans="1:6" x14ac:dyDescent="0.25">
      <c r="A14" s="2" t="s">
        <v>70</v>
      </c>
      <c r="B14" s="3" t="s">
        <v>4</v>
      </c>
      <c r="C14" s="4">
        <v>14545.46</v>
      </c>
      <c r="D14" s="2" t="s">
        <v>103</v>
      </c>
      <c r="E14" s="3" t="s">
        <v>18</v>
      </c>
      <c r="F14" s="4">
        <v>6611.57</v>
      </c>
    </row>
    <row r="15" spans="1:6" x14ac:dyDescent="0.25">
      <c r="A15" s="2" t="s">
        <v>71</v>
      </c>
      <c r="B15" s="3" t="s">
        <v>4</v>
      </c>
      <c r="C15" s="4">
        <v>16727.260000000002</v>
      </c>
      <c r="D15" s="2" t="s">
        <v>104</v>
      </c>
      <c r="E15" s="3" t="s">
        <v>109</v>
      </c>
      <c r="F15" s="4">
        <v>14049.59</v>
      </c>
    </row>
    <row r="16" spans="1:6" x14ac:dyDescent="0.25">
      <c r="A16" s="2" t="s">
        <v>72</v>
      </c>
      <c r="B16" s="3" t="s">
        <v>17</v>
      </c>
      <c r="C16" s="4">
        <v>10041.32</v>
      </c>
      <c r="D16" s="2" t="s">
        <v>105</v>
      </c>
      <c r="E16" s="3" t="s">
        <v>51</v>
      </c>
      <c r="F16" s="4">
        <v>8677.68</v>
      </c>
    </row>
    <row r="17" spans="1:6" x14ac:dyDescent="0.25">
      <c r="A17" s="2" t="s">
        <v>73</v>
      </c>
      <c r="B17" s="3" t="s">
        <v>6</v>
      </c>
      <c r="C17" s="4">
        <v>2549182.59</v>
      </c>
      <c r="D17" s="2" t="s">
        <v>106</v>
      </c>
      <c r="E17" s="3" t="s">
        <v>54</v>
      </c>
      <c r="F17" s="4">
        <v>4958.68</v>
      </c>
    </row>
    <row r="18" spans="1:6" x14ac:dyDescent="0.25">
      <c r="A18" s="2" t="s">
        <v>74</v>
      </c>
      <c r="B18" s="3" t="s">
        <v>6</v>
      </c>
      <c r="C18" s="4">
        <v>242682</v>
      </c>
      <c r="D18" s="2" t="s">
        <v>107</v>
      </c>
      <c r="E18" s="3" t="s">
        <v>110</v>
      </c>
      <c r="F18" s="4">
        <v>4462.8100000000004</v>
      </c>
    </row>
    <row r="19" spans="1:6" x14ac:dyDescent="0.25">
      <c r="A19" s="2" t="s">
        <v>75</v>
      </c>
      <c r="B19" s="3" t="s">
        <v>6</v>
      </c>
      <c r="C19" s="4">
        <v>366991.4</v>
      </c>
      <c r="D19" s="2" t="s">
        <v>108</v>
      </c>
      <c r="E19" s="3" t="s">
        <v>111</v>
      </c>
      <c r="F19" s="4">
        <v>4297.5200000000004</v>
      </c>
    </row>
    <row r="20" spans="1:6" x14ac:dyDescent="0.25">
      <c r="A20" s="2" t="s">
        <v>76</v>
      </c>
      <c r="B20" s="3" t="s">
        <v>6</v>
      </c>
      <c r="C20" s="4">
        <v>172466.7</v>
      </c>
      <c r="D20" s="2" t="s">
        <v>112</v>
      </c>
      <c r="E20" s="3" t="s">
        <v>30</v>
      </c>
      <c r="F20" s="4">
        <v>4132.2300000000005</v>
      </c>
    </row>
    <row r="21" spans="1:6" x14ac:dyDescent="0.25">
      <c r="A21" s="2" t="s">
        <v>77</v>
      </c>
      <c r="B21" s="3" t="s">
        <v>6</v>
      </c>
      <c r="C21" s="4">
        <v>237212.36</v>
      </c>
      <c r="D21" s="2" t="s">
        <v>113</v>
      </c>
      <c r="E21" s="3" t="s">
        <v>45</v>
      </c>
      <c r="F21" s="4">
        <v>7438.02</v>
      </c>
    </row>
    <row r="22" spans="1:6" x14ac:dyDescent="0.25">
      <c r="A22" s="2" t="s">
        <v>78</v>
      </c>
      <c r="B22" s="3" t="s">
        <v>22</v>
      </c>
      <c r="C22" s="4">
        <v>15454.54</v>
      </c>
      <c r="D22" s="2" t="s">
        <v>114</v>
      </c>
      <c r="E22" s="3" t="s">
        <v>23</v>
      </c>
      <c r="F22" s="4">
        <v>3636.36</v>
      </c>
    </row>
    <row r="23" spans="1:6" x14ac:dyDescent="0.25">
      <c r="A23" s="2" t="s">
        <v>79</v>
      </c>
      <c r="B23" s="3" t="s">
        <v>81</v>
      </c>
      <c r="C23" s="4">
        <v>6776.86</v>
      </c>
      <c r="D23" s="2" t="s">
        <v>115</v>
      </c>
      <c r="E23" s="3" t="s">
        <v>49</v>
      </c>
      <c r="F23" s="4">
        <v>4958.68</v>
      </c>
    </row>
    <row r="24" spans="1:6" x14ac:dyDescent="0.25">
      <c r="A24" s="2" t="s">
        <v>80</v>
      </c>
      <c r="B24" s="3" t="s">
        <v>22</v>
      </c>
      <c r="C24" s="4">
        <v>309584.55</v>
      </c>
      <c r="D24" s="2" t="s">
        <v>116</v>
      </c>
      <c r="E24" s="3" t="s">
        <v>52</v>
      </c>
      <c r="F24" s="4">
        <v>16115.7</v>
      </c>
    </row>
    <row r="25" spans="1:6" x14ac:dyDescent="0.25">
      <c r="A25" s="2" t="s">
        <v>82</v>
      </c>
      <c r="B25" s="3" t="s">
        <v>4</v>
      </c>
      <c r="C25" s="4">
        <v>1818.18</v>
      </c>
      <c r="D25" s="2" t="s">
        <v>117</v>
      </c>
      <c r="E25" s="3" t="s">
        <v>118</v>
      </c>
      <c r="F25" s="4">
        <v>3636.35</v>
      </c>
    </row>
    <row r="26" spans="1:6" x14ac:dyDescent="0.25">
      <c r="A26" s="2" t="s">
        <v>83</v>
      </c>
      <c r="B26" s="3" t="s">
        <v>6</v>
      </c>
      <c r="C26" s="4">
        <v>21638.12</v>
      </c>
      <c r="D26" s="2" t="s">
        <v>119</v>
      </c>
      <c r="E26" s="3" t="s">
        <v>40</v>
      </c>
      <c r="F26" s="4">
        <v>6776.86</v>
      </c>
    </row>
    <row r="27" spans="1:6" x14ac:dyDescent="0.25">
      <c r="A27" s="2" t="s">
        <v>84</v>
      </c>
      <c r="B27" s="3" t="s">
        <v>6</v>
      </c>
      <c r="C27" s="4">
        <v>178881.6</v>
      </c>
      <c r="D27" s="2" t="s">
        <v>120</v>
      </c>
      <c r="E27" s="3" t="s">
        <v>24</v>
      </c>
      <c r="F27" s="4">
        <v>8677.68</v>
      </c>
    </row>
    <row r="28" spans="1:6" x14ac:dyDescent="0.25">
      <c r="A28" s="2" t="s">
        <v>85</v>
      </c>
      <c r="B28" s="3" t="s">
        <v>6</v>
      </c>
      <c r="C28" s="4">
        <v>197620.2</v>
      </c>
      <c r="D28" s="2" t="s">
        <v>121</v>
      </c>
      <c r="E28" s="3" t="s">
        <v>122</v>
      </c>
      <c r="F28" s="4">
        <v>9090.91</v>
      </c>
    </row>
    <row r="29" spans="1:6" x14ac:dyDescent="0.25">
      <c r="A29" s="2" t="s">
        <v>86</v>
      </c>
      <c r="B29" s="3" t="s">
        <v>4</v>
      </c>
      <c r="C29" s="4">
        <v>986.37</v>
      </c>
      <c r="D29" s="2" t="s">
        <v>123</v>
      </c>
      <c r="E29" s="3" t="s">
        <v>29</v>
      </c>
      <c r="F29" s="4">
        <v>23558.68</v>
      </c>
    </row>
    <row r="30" spans="1:6" x14ac:dyDescent="0.25">
      <c r="A30" s="2" t="s">
        <v>87</v>
      </c>
      <c r="B30" s="3" t="s">
        <v>4</v>
      </c>
      <c r="C30" s="4">
        <v>1818.18</v>
      </c>
      <c r="D30" s="2" t="s">
        <v>124</v>
      </c>
      <c r="E30" s="3" t="s">
        <v>127</v>
      </c>
      <c r="F30" s="4">
        <v>909.09</v>
      </c>
    </row>
    <row r="31" spans="1:6" x14ac:dyDescent="0.25">
      <c r="A31" s="2" t="s">
        <v>88</v>
      </c>
      <c r="B31" s="3" t="s">
        <v>6</v>
      </c>
      <c r="C31" s="4">
        <v>-153930.99</v>
      </c>
      <c r="D31" s="2" t="s">
        <v>125</v>
      </c>
      <c r="E31" s="3" t="s">
        <v>128</v>
      </c>
      <c r="F31" s="4">
        <v>7024.79</v>
      </c>
    </row>
    <row r="32" spans="1:6" x14ac:dyDescent="0.25">
      <c r="A32" s="2" t="s">
        <v>89</v>
      </c>
      <c r="B32" s="3" t="s">
        <v>6</v>
      </c>
      <c r="C32" s="4">
        <v>-523262.6</v>
      </c>
      <c r="D32" s="2" t="s">
        <v>126</v>
      </c>
      <c r="E32" s="3" t="s">
        <v>129</v>
      </c>
      <c r="F32" s="4">
        <v>8677.68</v>
      </c>
    </row>
    <row r="33" spans="1:6" x14ac:dyDescent="0.25">
      <c r="A33" s="2" t="s">
        <v>150</v>
      </c>
      <c r="B33" s="3" t="s">
        <v>57</v>
      </c>
      <c r="C33" s="4">
        <v>27888.1</v>
      </c>
      <c r="D33" s="2" t="s">
        <v>130</v>
      </c>
      <c r="E33" s="3" t="s">
        <v>56</v>
      </c>
      <c r="F33" s="4">
        <v>855.38</v>
      </c>
    </row>
    <row r="34" spans="1:6" x14ac:dyDescent="0.25">
      <c r="A34" s="2" t="s">
        <v>151</v>
      </c>
      <c r="B34" s="3" t="s">
        <v>4</v>
      </c>
      <c r="C34" s="4">
        <v>797.94</v>
      </c>
      <c r="D34" s="2" t="s">
        <v>131</v>
      </c>
      <c r="E34" s="3" t="s">
        <v>132</v>
      </c>
      <c r="F34" s="4">
        <v>798.34</v>
      </c>
    </row>
    <row r="35" spans="1:6" x14ac:dyDescent="0.25">
      <c r="A35" s="2" t="s">
        <v>152</v>
      </c>
      <c r="B35" s="3" t="s">
        <v>4</v>
      </c>
      <c r="C35" s="4">
        <v>385.67</v>
      </c>
      <c r="D35" s="2" t="s">
        <v>133</v>
      </c>
      <c r="E35" s="3" t="s">
        <v>134</v>
      </c>
      <c r="F35" s="4">
        <v>2600</v>
      </c>
    </row>
    <row r="36" spans="1:6" x14ac:dyDescent="0.25">
      <c r="A36" s="2" t="s">
        <v>153</v>
      </c>
      <c r="B36" s="3" t="s">
        <v>4</v>
      </c>
      <c r="C36" s="4">
        <v>30526.42</v>
      </c>
      <c r="D36" s="2" t="s">
        <v>135</v>
      </c>
      <c r="E36" s="3" t="s">
        <v>136</v>
      </c>
      <c r="F36" s="4">
        <v>11570.25</v>
      </c>
    </row>
    <row r="37" spans="1:6" x14ac:dyDescent="0.25">
      <c r="A37" s="2" t="s">
        <v>154</v>
      </c>
      <c r="B37" s="3" t="s">
        <v>4</v>
      </c>
      <c r="C37" s="4">
        <v>2600</v>
      </c>
      <c r="D37" s="2" t="s">
        <v>137</v>
      </c>
      <c r="E37" s="3" t="s">
        <v>138</v>
      </c>
      <c r="F37" s="4">
        <v>319008.26</v>
      </c>
    </row>
    <row r="38" spans="1:6" x14ac:dyDescent="0.25">
      <c r="A38" s="2" t="s">
        <v>155</v>
      </c>
      <c r="B38" s="3" t="s">
        <v>4</v>
      </c>
      <c r="C38" s="4">
        <v>1690.09</v>
      </c>
      <c r="D38" s="2" t="s">
        <v>139</v>
      </c>
      <c r="E38" s="3" t="s">
        <v>25</v>
      </c>
      <c r="F38" s="4">
        <v>4132.2300000000005</v>
      </c>
    </row>
    <row r="39" spans="1:6" x14ac:dyDescent="0.25">
      <c r="A39" s="2" t="s">
        <v>156</v>
      </c>
      <c r="B39" s="3" t="s">
        <v>157</v>
      </c>
      <c r="C39" s="4">
        <v>5407.44</v>
      </c>
      <c r="D39" s="2" t="s">
        <v>140</v>
      </c>
      <c r="E39" s="3" t="s">
        <v>33</v>
      </c>
      <c r="F39" s="4">
        <v>7024.79</v>
      </c>
    </row>
    <row r="40" spans="1:6" x14ac:dyDescent="0.25">
      <c r="A40" s="2" t="s">
        <v>158</v>
      </c>
      <c r="B40" s="3" t="s">
        <v>157</v>
      </c>
      <c r="C40" s="4">
        <v>7933.89</v>
      </c>
      <c r="D40" s="2" t="s">
        <v>141</v>
      </c>
      <c r="E40" s="3" t="s">
        <v>142</v>
      </c>
      <c r="F40" s="4">
        <v>16115.71</v>
      </c>
    </row>
    <row r="41" spans="1:6" x14ac:dyDescent="0.25">
      <c r="A41" s="2" t="s">
        <v>159</v>
      </c>
      <c r="B41" s="3" t="s">
        <v>4</v>
      </c>
      <c r="C41" s="4">
        <v>3380.17</v>
      </c>
      <c r="D41" s="2" t="s">
        <v>143</v>
      </c>
      <c r="E41" s="3" t="s">
        <v>27</v>
      </c>
      <c r="F41" s="4">
        <v>6033.06</v>
      </c>
    </row>
    <row r="42" spans="1:6" x14ac:dyDescent="0.25">
      <c r="A42" s="2" t="s">
        <v>160</v>
      </c>
      <c r="B42" s="3" t="s">
        <v>4</v>
      </c>
      <c r="C42" s="4">
        <v>7890.08</v>
      </c>
      <c r="D42" s="2" t="s">
        <v>144</v>
      </c>
      <c r="E42" s="3" t="s">
        <v>27</v>
      </c>
      <c r="F42" s="4">
        <v>11322.31</v>
      </c>
    </row>
    <row r="43" spans="1:6" x14ac:dyDescent="0.25">
      <c r="A43" s="2" t="s">
        <v>161</v>
      </c>
      <c r="B43" s="3" t="s">
        <v>4</v>
      </c>
      <c r="C43" s="4">
        <v>7325.63</v>
      </c>
      <c r="D43" s="2" t="s">
        <v>145</v>
      </c>
      <c r="E43" s="3" t="s">
        <v>31</v>
      </c>
      <c r="F43" s="4">
        <v>3719.01</v>
      </c>
    </row>
    <row r="44" spans="1:6" x14ac:dyDescent="0.25">
      <c r="A44" s="2" t="s">
        <v>162</v>
      </c>
      <c r="B44" s="3" t="s">
        <v>163</v>
      </c>
      <c r="C44" s="4">
        <v>42148.77</v>
      </c>
      <c r="D44" s="2" t="s">
        <v>146</v>
      </c>
      <c r="E44" s="3" t="s">
        <v>147</v>
      </c>
      <c r="F44" s="4">
        <v>26446.28</v>
      </c>
    </row>
    <row r="45" spans="1:6" x14ac:dyDescent="0.25">
      <c r="A45" s="5"/>
      <c r="B45" s="5"/>
      <c r="C45" s="5"/>
      <c r="D45" s="2" t="s">
        <v>148</v>
      </c>
      <c r="E45" s="3" t="s">
        <v>46</v>
      </c>
      <c r="F45" s="4">
        <v>6611.57</v>
      </c>
    </row>
    <row r="46" spans="1:6" x14ac:dyDescent="0.25">
      <c r="A46" s="5"/>
      <c r="B46" s="5"/>
      <c r="C46" s="5"/>
      <c r="D46" s="15" t="s">
        <v>149</v>
      </c>
      <c r="E46" s="16" t="s">
        <v>32</v>
      </c>
      <c r="F46" s="17">
        <v>7851.24</v>
      </c>
    </row>
    <row r="47" spans="1:6" x14ac:dyDescent="0.25">
      <c r="A47" s="5"/>
      <c r="B47" s="5"/>
      <c r="C47" s="14"/>
      <c r="D47" s="2" t="s">
        <v>164</v>
      </c>
      <c r="E47" s="3" t="s">
        <v>28</v>
      </c>
      <c r="F47" s="4">
        <v>11983.47</v>
      </c>
    </row>
    <row r="48" spans="1:6" x14ac:dyDescent="0.25">
      <c r="A48" s="5"/>
      <c r="B48" s="5"/>
      <c r="C48" s="14"/>
      <c r="D48" s="2" t="s">
        <v>165</v>
      </c>
      <c r="E48" s="3" t="s">
        <v>35</v>
      </c>
      <c r="F48" s="4">
        <v>6776.86</v>
      </c>
    </row>
    <row r="49" spans="1:6" x14ac:dyDescent="0.25">
      <c r="A49" s="5"/>
      <c r="B49" s="5"/>
      <c r="C49" s="14"/>
      <c r="D49" s="2" t="s">
        <v>166</v>
      </c>
      <c r="E49" s="3" t="s">
        <v>37</v>
      </c>
      <c r="F49" s="4">
        <v>4214.88</v>
      </c>
    </row>
    <row r="50" spans="1:6" x14ac:dyDescent="0.25">
      <c r="A50" s="5"/>
      <c r="B50" s="5"/>
      <c r="C50" s="14"/>
      <c r="D50" s="2" t="s">
        <v>167</v>
      </c>
      <c r="E50" s="3" t="s">
        <v>36</v>
      </c>
      <c r="F50" s="4">
        <v>10578.5</v>
      </c>
    </row>
    <row r="51" spans="1:6" x14ac:dyDescent="0.25">
      <c r="A51" s="5"/>
      <c r="B51" s="5"/>
      <c r="C51" s="14"/>
      <c r="D51" s="2" t="s">
        <v>168</v>
      </c>
      <c r="E51" s="3" t="s">
        <v>38</v>
      </c>
      <c r="F51" s="4">
        <v>7933.88</v>
      </c>
    </row>
    <row r="52" spans="1:6" x14ac:dyDescent="0.25">
      <c r="A52" s="5"/>
      <c r="B52" s="5"/>
      <c r="C52" s="14"/>
      <c r="D52" s="2" t="s">
        <v>169</v>
      </c>
      <c r="E52" s="3" t="s">
        <v>39</v>
      </c>
      <c r="F52" s="4">
        <v>13223.14</v>
      </c>
    </row>
    <row r="53" spans="1:6" x14ac:dyDescent="0.25">
      <c r="A53" s="5"/>
      <c r="B53" s="5"/>
      <c r="C53" s="14"/>
      <c r="D53" s="2" t="s">
        <v>170</v>
      </c>
      <c r="E53" s="3" t="s">
        <v>55</v>
      </c>
      <c r="F53" s="4">
        <v>7024.79</v>
      </c>
    </row>
    <row r="54" spans="1:6" x14ac:dyDescent="0.25">
      <c r="A54" s="5"/>
      <c r="B54" s="5"/>
      <c r="C54" s="14"/>
      <c r="D54" s="2" t="s">
        <v>171</v>
      </c>
      <c r="E54" s="3" t="s">
        <v>53</v>
      </c>
      <c r="F54" s="4">
        <v>4214.88</v>
      </c>
    </row>
    <row r="55" spans="1:6" x14ac:dyDescent="0.25">
      <c r="A55" s="5"/>
      <c r="B55" s="5"/>
      <c r="C55" s="14"/>
      <c r="D55" s="2" t="s">
        <v>172</v>
      </c>
      <c r="E55" s="3" t="s">
        <v>173</v>
      </c>
      <c r="F55" s="4">
        <v>11570.24</v>
      </c>
    </row>
    <row r="56" spans="1:6" x14ac:dyDescent="0.25">
      <c r="A56" s="5"/>
      <c r="B56" s="5"/>
      <c r="C56" s="14"/>
      <c r="D56" s="2" t="s">
        <v>174</v>
      </c>
      <c r="E56" s="3" t="s">
        <v>175</v>
      </c>
      <c r="F56" s="4">
        <v>4462.8100000000004</v>
      </c>
    </row>
    <row r="57" spans="1:6" x14ac:dyDescent="0.25">
      <c r="A57" s="5"/>
      <c r="B57" s="5"/>
      <c r="C57" s="14"/>
      <c r="D57" s="2" t="s">
        <v>176</v>
      </c>
      <c r="E57" s="3" t="s">
        <v>128</v>
      </c>
      <c r="F57" s="4">
        <v>7024.79</v>
      </c>
    </row>
    <row r="58" spans="1:6" x14ac:dyDescent="0.25">
      <c r="A58" s="5"/>
      <c r="B58" s="5"/>
      <c r="C58" s="14"/>
      <c r="D58" s="2" t="s">
        <v>177</v>
      </c>
      <c r="E58" s="3" t="s">
        <v>47</v>
      </c>
      <c r="F58" s="4">
        <v>8677.68</v>
      </c>
    </row>
    <row r="59" spans="1:6" x14ac:dyDescent="0.25">
      <c r="A59" s="5"/>
      <c r="B59" s="5"/>
      <c r="C59" s="5"/>
      <c r="D59" s="18"/>
      <c r="E59" s="18"/>
      <c r="F59" s="18"/>
    </row>
    <row r="60" spans="1:6" x14ac:dyDescent="0.25">
      <c r="A60" s="5"/>
      <c r="B60" s="5"/>
      <c r="C60" s="5"/>
      <c r="D60" s="5"/>
      <c r="E60" s="5"/>
      <c r="F60" s="5"/>
    </row>
    <row r="61" spans="1:6" ht="15.75" x14ac:dyDescent="0.25">
      <c r="A61" s="6" t="s">
        <v>19</v>
      </c>
      <c r="B61" s="6"/>
      <c r="C61" s="7">
        <f>SUM(C3:C60)</f>
        <v>4015044.3299999991</v>
      </c>
      <c r="D61" s="6" t="s">
        <v>19</v>
      </c>
      <c r="E61" s="6"/>
      <c r="F61" s="13">
        <f>SUM(F3:F60)</f>
        <v>1306999.6500000001</v>
      </c>
    </row>
    <row r="62" spans="1:6" ht="15.75" x14ac:dyDescent="0.25">
      <c r="A62" s="9" t="s">
        <v>20</v>
      </c>
      <c r="B62" s="9"/>
      <c r="C62" s="10">
        <f>(C61*0.21)</f>
        <v>843159.30929999973</v>
      </c>
      <c r="D62" s="9" t="s">
        <v>20</v>
      </c>
      <c r="E62" s="9"/>
      <c r="F62" s="8">
        <f>(F61*0.21)</f>
        <v>274469.9265</v>
      </c>
    </row>
    <row r="63" spans="1:6" ht="15.75" x14ac:dyDescent="0.25">
      <c r="A63" s="9" t="s">
        <v>21</v>
      </c>
      <c r="B63" s="9"/>
      <c r="C63" s="11">
        <f>SUM(C61:C62)</f>
        <v>4858203.639299999</v>
      </c>
      <c r="D63" s="9" t="s">
        <v>21</v>
      </c>
      <c r="E63" s="9"/>
      <c r="F63" s="12">
        <f>SUM(F61:F62)</f>
        <v>1581469.5765000002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2023-08-18T15:50:24Z</dcterms:modified>
</cp:coreProperties>
</file>