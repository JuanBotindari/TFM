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Agosto 23" sheetId="17" r:id="rId1"/>
  </sheets>
  <definedNames>
    <definedName name="_xlnm._FilterDatabase" localSheetId="0" hidden="1">'Agosto 23'!$A$2:$F$82</definedName>
  </definedNames>
  <calcPr calcId="125725"/>
</workbook>
</file>

<file path=xl/calcChain.xml><?xml version="1.0" encoding="utf-8"?>
<calcChain xmlns="http://schemas.openxmlformats.org/spreadsheetml/2006/main">
  <c r="C80" i="17"/>
  <c r="F80" l="1"/>
  <c r="F81" l="1"/>
  <c r="F82" s="1"/>
  <c r="C81"/>
  <c r="C82" l="1"/>
</calcChain>
</file>

<file path=xl/sharedStrings.xml><?xml version="1.0" encoding="utf-8"?>
<sst xmlns="http://schemas.openxmlformats.org/spreadsheetml/2006/main" count="263" uniqueCount="216">
  <si>
    <t>Factura A N°</t>
  </si>
  <si>
    <t>Cliente</t>
  </si>
  <si>
    <t>Importe Neto</t>
  </si>
  <si>
    <t>Factura B N°</t>
  </si>
  <si>
    <t>Subtotal</t>
  </si>
  <si>
    <t>IVA 21%</t>
  </si>
  <si>
    <t>Total</t>
  </si>
  <si>
    <t>Alquiler Facturado - Agosto</t>
  </si>
  <si>
    <t>FA-B 0007-00004532</t>
  </si>
  <si>
    <t xml:space="preserve">HIGA MARCELA SANDRA </t>
  </si>
  <si>
    <t>FA-A 0006-00000372</t>
  </si>
  <si>
    <t>Galeno Argentina Sociedad Anonima</t>
  </si>
  <si>
    <t>FA-A 0007-00001546</t>
  </si>
  <si>
    <t>Obra Social Del Personal De Las Telecomunicaciones De La Republica Argentina</t>
  </si>
  <si>
    <t>FA-A 0007-00001547</t>
  </si>
  <si>
    <t>FA-A 0007-00001550</t>
  </si>
  <si>
    <t>FA-B 0007-00004533</t>
  </si>
  <si>
    <t>ALBARO BRESCIANO</t>
  </si>
  <si>
    <t>FA-B 0007-00004534</t>
  </si>
  <si>
    <t>ALEJANDRA SIFFREDI TORRES SANMARCO</t>
  </si>
  <si>
    <t>FA-B 0007-00004535</t>
  </si>
  <si>
    <t>GABRIELA VANINA GALLO</t>
  </si>
  <si>
    <t>FA-B 0007-00004536</t>
  </si>
  <si>
    <t>MARIA ELENA RODRIGUEZ</t>
  </si>
  <si>
    <t>FA-B 0007-00004537</t>
  </si>
  <si>
    <t>ENRIQUETA MARIA DEL SOCORRO MAJO</t>
  </si>
  <si>
    <t>FA-B 0005-00008535</t>
  </si>
  <si>
    <t>PEREYRA ELSA</t>
  </si>
  <si>
    <t>FA-A 0007-00001552</t>
  </si>
  <si>
    <t>FA-A 0007-00001553</t>
  </si>
  <si>
    <t>Hc Homecare Internacion Domiciliaria S.A.</t>
  </si>
  <si>
    <t>FA-B 0007-00004538</t>
  </si>
  <si>
    <t xml:space="preserve">IZZO, ADRIANA </t>
  </si>
  <si>
    <t>FA-B 0007-00004539</t>
  </si>
  <si>
    <t>Chiari Maria Enriqueta del Socorro</t>
  </si>
  <si>
    <t>FA-A 0007-00001554</t>
  </si>
  <si>
    <t>Zc Diabetes Srl</t>
  </si>
  <si>
    <t>FA-B 0007-00004540</t>
  </si>
  <si>
    <t>Herman Patricia</t>
  </si>
  <si>
    <t>FA-B 0007-00004541</t>
  </si>
  <si>
    <t>LOCOCO, CARMEN</t>
  </si>
  <si>
    <t>FA-B 0007-00004542</t>
  </si>
  <si>
    <t>FA-B 0007-00004543</t>
  </si>
  <si>
    <t>VOLPI, ALBERTO JAVIER</t>
  </si>
  <si>
    <t>FA-A 0007-00001555</t>
  </si>
  <si>
    <t>Obra Social Union Personal De La Union  Del Personal Civil De La Nacion</t>
  </si>
  <si>
    <t>FA-A 0007-00001558</t>
  </si>
  <si>
    <t>FA-A 0007-00001559</t>
  </si>
  <si>
    <t>FA-A 0007-00001560</t>
  </si>
  <si>
    <t>FA-A 0007-00001561</t>
  </si>
  <si>
    <t>FA-A 0007-00001562</t>
  </si>
  <si>
    <t>Amparo Salud S.R.L.</t>
  </si>
  <si>
    <t>FA-A 0007-00001564</t>
  </si>
  <si>
    <t>Medicus Sociedad Anonima De Asistencia Medica Y Cientifica</t>
  </si>
  <si>
    <t>FA-A 0007-00001565</t>
  </si>
  <si>
    <t>Login Door S.A</t>
  </si>
  <si>
    <t>FA-A 0007-00001566</t>
  </si>
  <si>
    <t>Fundacion Empresaria Maderera</t>
  </si>
  <si>
    <t>FA-B 0007-00004544</t>
  </si>
  <si>
    <t>CAMPOBASSO, MARIANA LAURA</t>
  </si>
  <si>
    <t>FA-B 0007-00004545</t>
  </si>
  <si>
    <t>Asociacion Mutual Sancor Salud</t>
  </si>
  <si>
    <t>FA-B 0007-00004546</t>
  </si>
  <si>
    <t>Romero Leonardo Gabriel</t>
  </si>
  <si>
    <t>FA-B 0007-00004547</t>
  </si>
  <si>
    <t>Obra Social Del Personal De La Industria Del Plastico</t>
  </si>
  <si>
    <t>FA-B 0007-00004548</t>
  </si>
  <si>
    <t>Obra Social De Los Trabajadores De La Industria Del Gas</t>
  </si>
  <si>
    <t>FA-A 0007-00001567</t>
  </si>
  <si>
    <t>MGR IMPLANTES SA</t>
  </si>
  <si>
    <t>FA-A 0007-00001568</t>
  </si>
  <si>
    <t>FA-A 0007-00001570</t>
  </si>
  <si>
    <t>Alexander Fleming S A</t>
  </si>
  <si>
    <t>FA-A 0007-00001571</t>
  </si>
  <si>
    <t>EGESAC S.A.</t>
  </si>
  <si>
    <t>FA-A 0007-00001572</t>
  </si>
  <si>
    <t>Centro Medico Amenabar Srl</t>
  </si>
  <si>
    <t>FA-A 0007-00001573</t>
  </si>
  <si>
    <t>Ensalud S.A</t>
  </si>
  <si>
    <t>FA-A 0007-00001574</t>
  </si>
  <si>
    <t>Medincare Argentina S.A.</t>
  </si>
  <si>
    <t>FA-B 0007-00004550</t>
  </si>
  <si>
    <t>SAENZ, MAGDALENA.</t>
  </si>
  <si>
    <t>FA-B 0007-00004551</t>
  </si>
  <si>
    <t>CARUSO LUCIA</t>
  </si>
  <si>
    <t>FA-B 0007-00004552</t>
  </si>
  <si>
    <t>RAQUEL DURAÑONA</t>
  </si>
  <si>
    <t>FA-B 0007-00004553</t>
  </si>
  <si>
    <t>CUDERO, SILVINA</t>
  </si>
  <si>
    <t>FA-B 0007-00004554</t>
  </si>
  <si>
    <t>FA-B 0007-00004555</t>
  </si>
  <si>
    <t>SCHELGEL, LUIS ALBERTO</t>
  </si>
  <si>
    <t>FA-B 0007-00004556</t>
  </si>
  <si>
    <t>PEDROZO, PAULA GABRIELA</t>
  </si>
  <si>
    <t>FA-B 0007-00004557</t>
  </si>
  <si>
    <t>PINTO HIDI, MAGDALENA</t>
  </si>
  <si>
    <t>FA-B 0007-00004558</t>
  </si>
  <si>
    <t>TORREZ, MARIANA ALCIRA</t>
  </si>
  <si>
    <t>FA-B 0007-00004559</t>
  </si>
  <si>
    <t xml:space="preserve">GIRINI, BETTINA PATRICIA </t>
  </si>
  <si>
    <t>FA-B 0007-00004560</t>
  </si>
  <si>
    <t>AGOSTINO MIRIAM</t>
  </si>
  <si>
    <t>FA-B 0007-00004561</t>
  </si>
  <si>
    <t>SANZIO, INMACULADA CONCEPCION</t>
  </si>
  <si>
    <t>FA-B 0007-00004562</t>
  </si>
  <si>
    <t>FA-A 0007-00001575</t>
  </si>
  <si>
    <t>FA-B 0007-00004564</t>
  </si>
  <si>
    <t xml:space="preserve">ARANA, MARCELLA OFELIA </t>
  </si>
  <si>
    <t>FA-B 0007-00004565</t>
  </si>
  <si>
    <t>MONTI, MARIA PAULA</t>
  </si>
  <si>
    <t>FA-B 0007-00004566</t>
  </si>
  <si>
    <t>BELBEY, WALTER HUGO</t>
  </si>
  <si>
    <t>FA-B 0007-00004567</t>
  </si>
  <si>
    <t>BUNCHICOFF, MARIA</t>
  </si>
  <si>
    <t>FA-B 0007-00004568</t>
  </si>
  <si>
    <t xml:space="preserve">SARA STRASBERG </t>
  </si>
  <si>
    <t>FA-B 0007-00004569</t>
  </si>
  <si>
    <t>GOMEZ DANIEL ANTONIO</t>
  </si>
  <si>
    <t>NC-A 0006-00000042</t>
  </si>
  <si>
    <t>NC-A 0007-00000099</t>
  </si>
  <si>
    <t>FA-B 0007-00004570</t>
  </si>
  <si>
    <t>MINERVINI, MARIA DEL CARMEN LILIANA</t>
  </si>
  <si>
    <t>FA-B 0007-00004571</t>
  </si>
  <si>
    <t>BRENNAN, MARIA IRENE</t>
  </si>
  <si>
    <t>FA-B 0007-00004572</t>
  </si>
  <si>
    <t>Suburu Monica</t>
  </si>
  <si>
    <t>FA-A 0007-00001576</t>
  </si>
  <si>
    <t>FA-A 0007-00001577</t>
  </si>
  <si>
    <t>FA-A 0007-00001578</t>
  </si>
  <si>
    <t>FA-A 0007-00001580</t>
  </si>
  <si>
    <t>FA-A 0007-00001581</t>
  </si>
  <si>
    <t>FA-A 0007-00001582</t>
  </si>
  <si>
    <t>FA-A 0007-00001583</t>
  </si>
  <si>
    <t>FA-A 0007-00001584</t>
  </si>
  <si>
    <t>FA-A 0007-00001585</t>
  </si>
  <si>
    <t>FA-B 0007-00004574</t>
  </si>
  <si>
    <t>VARELA, RICARDO EXEQUIEL</t>
  </si>
  <si>
    <t>FA-B 0007-00004575</t>
  </si>
  <si>
    <t>INGRATTA, VANINA ALICIA PAMELA</t>
  </si>
  <si>
    <t>FA-B 0007-00004576</t>
  </si>
  <si>
    <t>KARIVALI DESPINA</t>
  </si>
  <si>
    <t>FA-B 0007-00004577</t>
  </si>
  <si>
    <t>ANALIA LIFSCHITZ</t>
  </si>
  <si>
    <t>FA-A 0007-00001586</t>
  </si>
  <si>
    <t>FA-B 0007-00004578</t>
  </si>
  <si>
    <t>FA-B 0007-00004579</t>
  </si>
  <si>
    <t>ORELLA DEL VALLE RAQUEL</t>
  </si>
  <si>
    <t>FA-B 0007-00004580</t>
  </si>
  <si>
    <t>CORIGLIANO, LORENA ELISA</t>
  </si>
  <si>
    <t>FA-B 0007-00004581</t>
  </si>
  <si>
    <t>MATHOV ENRIQUE JOSE</t>
  </si>
  <si>
    <t>FA-B 0007-00004582</t>
  </si>
  <si>
    <t>TISERA, ANDRES HORACIO</t>
  </si>
  <si>
    <t>FA-A 0007-00001588</t>
  </si>
  <si>
    <t>NOBILI, MATIAS</t>
  </si>
  <si>
    <t>FA-A 0007-00001589</t>
  </si>
  <si>
    <t>FA-A 0007-00001590</t>
  </si>
  <si>
    <t>FA-B 0007-00004583</t>
  </si>
  <si>
    <t xml:space="preserve">PAOLA PERRIELLO </t>
  </si>
  <si>
    <t>FA-B 0007-00004584</t>
  </si>
  <si>
    <t>TISSONE, JOSE ERNESTO</t>
  </si>
  <si>
    <t>FA-B 0007-00004585</t>
  </si>
  <si>
    <t>REPETTO LYNCH, BENJAMIN MARIA</t>
  </si>
  <si>
    <t>FA-B 0007-00004586</t>
  </si>
  <si>
    <t>FERRAZIN, CAROLINA ELEONORA INES</t>
  </si>
  <si>
    <t>FA-B 0005-00008665</t>
  </si>
  <si>
    <t>ONOFRIO SILVIA</t>
  </si>
  <si>
    <t>FA-A 0007-00001593</t>
  </si>
  <si>
    <t>FA-A 0007-00001594</t>
  </si>
  <si>
    <t>FA-A 0007-00001595</t>
  </si>
  <si>
    <t>FA-A 0007-00001597</t>
  </si>
  <si>
    <t>FA-A 0007-00001598</t>
  </si>
  <si>
    <t>FA-B 0007-00004588</t>
  </si>
  <si>
    <t>FA-B 0007-00004589</t>
  </si>
  <si>
    <t>SANSONE, SANDRA MONICA</t>
  </si>
  <si>
    <t>FA-B 0007-00004590</t>
  </si>
  <si>
    <t>FA-B 0007-00004591</t>
  </si>
  <si>
    <t>CAMPOS, SUSANA ESTER</t>
  </si>
  <si>
    <t>FA-B 0007-00004592</t>
  </si>
  <si>
    <t>Desalvo Miguel Angel</t>
  </si>
  <si>
    <t>FA-B 0007-00004593</t>
  </si>
  <si>
    <t xml:space="preserve">PIRCHIO, LIDIA INES </t>
  </si>
  <si>
    <t>FA-B 0007-00004594</t>
  </si>
  <si>
    <t>VIEITES, BLANCA LEONOR</t>
  </si>
  <si>
    <t>FA-B 0007-00004595</t>
  </si>
  <si>
    <t>FA-B 0007-00004596</t>
  </si>
  <si>
    <t>ANDREOTTI, CECILIA BEATRIZ</t>
  </si>
  <si>
    <t>FA-B 0007-00004597</t>
  </si>
  <si>
    <t xml:space="preserve">PARANDELLI, HILDA </t>
  </si>
  <si>
    <t>FA-B 0007-00004598</t>
  </si>
  <si>
    <t>CORREA, PABLO FERNANDO</t>
  </si>
  <si>
    <t>FA-B 0007-00004599</t>
  </si>
  <si>
    <t>SPADONI, ANALIA BEATRIZ</t>
  </si>
  <si>
    <t>FA-B 0005-00008706</t>
  </si>
  <si>
    <t>ROVERSO FLORENCIA VANINA</t>
  </si>
  <si>
    <t>FA-B 0005-00008714</t>
  </si>
  <si>
    <t>MARTA LESCANO</t>
  </si>
  <si>
    <t>FA-A 0007-00001599</t>
  </si>
  <si>
    <t>FA-B 0007-00004600</t>
  </si>
  <si>
    <t xml:space="preserve">NÚÑEZ DÍAZ, MICAELA VICTORIA </t>
  </si>
  <si>
    <t>FA-A 0007-00001601</t>
  </si>
  <si>
    <t>FA-B 0007-00004601</t>
  </si>
  <si>
    <t>CRISTIAN GOLDENHORN</t>
  </si>
  <si>
    <t>FA-B 0007-00004602</t>
  </si>
  <si>
    <t>FA-B 0007-00004603</t>
  </si>
  <si>
    <t>FA-B 0007-00004604</t>
  </si>
  <si>
    <t>LOMBARDO DE GATTO, ISABEL ROSA</t>
  </si>
  <si>
    <t>FA-A 0007-00001602</t>
  </si>
  <si>
    <t>FA-A 0007-00001603</t>
  </si>
  <si>
    <t>FA-B 0007-00004605</t>
  </si>
  <si>
    <t>SILVIA ROLDAN</t>
  </si>
  <si>
    <t>FA-B 0007-00004606</t>
  </si>
  <si>
    <t>FA-B 0007-00004607</t>
  </si>
  <si>
    <t>ZAIDMAN, CESAR JAVIER</t>
  </si>
  <si>
    <t>FA-B 0007-00004608</t>
  </si>
  <si>
    <t xml:space="preserve">DOMINGUEZ, DANNA ROCIO 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</si>
</sst>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0" fontId="3" fillId="0" borderId="1" xfId="0" applyFont="1" applyFill="1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2" fontId="3" fillId="0" borderId="3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topLeftCell="A55" workbookViewId="0">
      <selection activeCell="C81" sqref="C81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5" t="s">
        <v>7</v>
      </c>
      <c r="B1" s="15"/>
      <c r="C1" s="15"/>
      <c r="D1" s="15"/>
      <c r="E1" s="15"/>
      <c r="F1" s="15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10</v>
      </c>
      <c r="B3" s="3" t="s">
        <v>11</v>
      </c>
      <c r="C3" s="16">
        <v>2706554.25</v>
      </c>
      <c r="D3" s="2" t="s">
        <v>8</v>
      </c>
      <c r="E3" s="13" t="s">
        <v>9</v>
      </c>
      <c r="F3" s="4">
        <v>46115.7</v>
      </c>
    </row>
    <row r="4" spans="1:6">
      <c r="A4" s="2" t="s">
        <v>12</v>
      </c>
      <c r="B4" s="3" t="s">
        <v>13</v>
      </c>
      <c r="C4" s="16">
        <v>1072.73</v>
      </c>
      <c r="D4" s="2" t="s">
        <v>16</v>
      </c>
      <c r="E4" s="13" t="s">
        <v>17</v>
      </c>
      <c r="F4" s="4">
        <v>15619.83</v>
      </c>
    </row>
    <row r="5" spans="1:6">
      <c r="A5" s="2" t="s">
        <v>14</v>
      </c>
      <c r="B5" s="3" t="s">
        <v>11</v>
      </c>
      <c r="C5" s="16">
        <v>255019.16</v>
      </c>
      <c r="D5" s="2" t="s">
        <v>18</v>
      </c>
      <c r="E5" s="13" t="s">
        <v>19</v>
      </c>
      <c r="F5" s="4">
        <v>5785.12</v>
      </c>
    </row>
    <row r="6" spans="1:6">
      <c r="A6" s="2" t="s">
        <v>15</v>
      </c>
      <c r="B6" s="3" t="s">
        <v>11</v>
      </c>
      <c r="C6" s="16">
        <v>380473.58</v>
      </c>
      <c r="D6" s="2" t="s">
        <v>20</v>
      </c>
      <c r="E6" s="13" t="s">
        <v>21</v>
      </c>
      <c r="F6" s="4">
        <v>12644.62</v>
      </c>
    </row>
    <row r="7" spans="1:6">
      <c r="A7" s="2" t="s">
        <v>28</v>
      </c>
      <c r="B7" s="3" t="s">
        <v>13</v>
      </c>
      <c r="C7" s="16">
        <v>5777.68</v>
      </c>
      <c r="D7" s="2" t="s">
        <v>22</v>
      </c>
      <c r="E7" s="13" t="s">
        <v>23</v>
      </c>
      <c r="F7" s="4">
        <v>6611.57</v>
      </c>
    </row>
    <row r="8" spans="1:6">
      <c r="A8" s="2" t="s">
        <v>29</v>
      </c>
      <c r="B8" s="3" t="s">
        <v>30</v>
      </c>
      <c r="C8" s="16">
        <v>20395.04</v>
      </c>
      <c r="D8" s="2" t="s">
        <v>24</v>
      </c>
      <c r="E8" s="13" t="s">
        <v>25</v>
      </c>
      <c r="F8" s="4">
        <v>4958.68</v>
      </c>
    </row>
    <row r="9" spans="1:6">
      <c r="A9" s="2" t="s">
        <v>35</v>
      </c>
      <c r="B9" s="3" t="s">
        <v>36</v>
      </c>
      <c r="C9" s="16">
        <v>46790.080000000002</v>
      </c>
      <c r="D9" s="2" t="s">
        <v>26</v>
      </c>
      <c r="E9" s="13" t="s">
        <v>27</v>
      </c>
      <c r="F9" s="4">
        <v>15900.83</v>
      </c>
    </row>
    <row r="10" spans="1:6">
      <c r="A10" s="2" t="s">
        <v>44</v>
      </c>
      <c r="B10" s="3" t="s">
        <v>45</v>
      </c>
      <c r="C10" s="16">
        <v>345972.53</v>
      </c>
      <c r="D10" s="2" t="s">
        <v>31</v>
      </c>
      <c r="E10" s="13" t="s">
        <v>32</v>
      </c>
      <c r="F10" s="4">
        <v>8181.81</v>
      </c>
    </row>
    <row r="11" spans="1:6">
      <c r="A11" s="2" t="s">
        <v>46</v>
      </c>
      <c r="B11" s="3" t="s">
        <v>13</v>
      </c>
      <c r="C11" s="16">
        <v>8578.51</v>
      </c>
      <c r="D11" s="2" t="s">
        <v>33</v>
      </c>
      <c r="E11" s="13" t="s">
        <v>34</v>
      </c>
      <c r="F11" s="4">
        <v>4380.16</v>
      </c>
    </row>
    <row r="12" spans="1:6">
      <c r="A12" s="2" t="s">
        <v>47</v>
      </c>
      <c r="B12" s="3" t="s">
        <v>13</v>
      </c>
      <c r="C12" s="16">
        <v>1972.73</v>
      </c>
      <c r="D12" s="2" t="s">
        <v>37</v>
      </c>
      <c r="E12" s="13" t="s">
        <v>38</v>
      </c>
      <c r="F12" s="4">
        <v>8677.69</v>
      </c>
    </row>
    <row r="13" spans="1:6">
      <c r="A13" s="2" t="s">
        <v>48</v>
      </c>
      <c r="B13" s="3" t="s">
        <v>13</v>
      </c>
      <c r="C13" s="16">
        <v>8578.51</v>
      </c>
      <c r="D13" s="2" t="s">
        <v>39</v>
      </c>
      <c r="E13" s="13" t="s">
        <v>40</v>
      </c>
      <c r="F13" s="4">
        <v>7438.02</v>
      </c>
    </row>
    <row r="14" spans="1:6">
      <c r="A14" s="2" t="s">
        <v>49</v>
      </c>
      <c r="B14" s="3" t="s">
        <v>13</v>
      </c>
      <c r="C14" s="16">
        <v>2676.46</v>
      </c>
      <c r="D14" s="2" t="s">
        <v>41</v>
      </c>
      <c r="E14" s="13" t="s">
        <v>21</v>
      </c>
      <c r="F14" s="4">
        <v>12644.63</v>
      </c>
    </row>
    <row r="15" spans="1:6">
      <c r="A15" s="2" t="s">
        <v>50</v>
      </c>
      <c r="B15" s="3" t="s">
        <v>51</v>
      </c>
      <c r="C15" s="16">
        <v>81080.3</v>
      </c>
      <c r="D15" s="2" t="s">
        <v>42</v>
      </c>
      <c r="E15" s="13" t="s">
        <v>43</v>
      </c>
      <c r="F15" s="4">
        <v>6611.57</v>
      </c>
    </row>
    <row r="16" spans="1:6">
      <c r="A16" s="2" t="s">
        <v>52</v>
      </c>
      <c r="B16" s="3" t="s">
        <v>53</v>
      </c>
      <c r="C16" s="16">
        <v>6389.31</v>
      </c>
      <c r="D16" s="2" t="s">
        <v>58</v>
      </c>
      <c r="E16" s="13" t="s">
        <v>59</v>
      </c>
      <c r="F16" s="4">
        <v>16115.71</v>
      </c>
    </row>
    <row r="17" spans="1:6">
      <c r="A17" s="2" t="s">
        <v>54</v>
      </c>
      <c r="B17" s="3" t="s">
        <v>55</v>
      </c>
      <c r="C17" s="16">
        <v>6916.64</v>
      </c>
      <c r="D17" s="2" t="s">
        <v>60</v>
      </c>
      <c r="E17" s="13" t="s">
        <v>61</v>
      </c>
      <c r="F17" s="4">
        <v>353616.28</v>
      </c>
    </row>
    <row r="18" spans="1:6">
      <c r="A18" s="2" t="s">
        <v>56</v>
      </c>
      <c r="B18" s="3" t="s">
        <v>57</v>
      </c>
      <c r="C18" s="16">
        <v>3615.51</v>
      </c>
      <c r="D18" s="2" t="s">
        <v>62</v>
      </c>
      <c r="E18" s="13" t="s">
        <v>63</v>
      </c>
      <c r="F18" s="4">
        <v>72727.27</v>
      </c>
    </row>
    <row r="19" spans="1:6">
      <c r="A19" s="2" t="s">
        <v>68</v>
      </c>
      <c r="B19" s="3" t="s">
        <v>69</v>
      </c>
      <c r="C19" s="16">
        <v>11368.18</v>
      </c>
      <c r="D19" s="2" t="s">
        <v>64</v>
      </c>
      <c r="E19" s="13" t="s">
        <v>65</v>
      </c>
      <c r="F19" s="4">
        <v>25557.02</v>
      </c>
    </row>
    <row r="20" spans="1:6">
      <c r="A20" s="2" t="s">
        <v>70</v>
      </c>
      <c r="B20" s="3" t="s">
        <v>13</v>
      </c>
      <c r="C20" s="16">
        <v>1972.74</v>
      </c>
      <c r="D20" s="2" t="s">
        <v>66</v>
      </c>
      <c r="E20" s="13" t="s">
        <v>67</v>
      </c>
      <c r="F20" s="4">
        <v>62036.36</v>
      </c>
    </row>
    <row r="21" spans="1:6">
      <c r="A21" s="2" t="s">
        <v>71</v>
      </c>
      <c r="B21" s="3" t="s">
        <v>72</v>
      </c>
      <c r="C21" s="16">
        <v>13228.59</v>
      </c>
      <c r="D21" s="2" t="s">
        <v>81</v>
      </c>
      <c r="E21" s="13" t="s">
        <v>82</v>
      </c>
      <c r="F21" s="4">
        <v>4545.45</v>
      </c>
    </row>
    <row r="22" spans="1:6">
      <c r="A22" s="2" t="s">
        <v>73</v>
      </c>
      <c r="B22" s="3" t="s">
        <v>74</v>
      </c>
      <c r="C22" s="16">
        <v>34339.67</v>
      </c>
      <c r="D22" s="2" t="s">
        <v>83</v>
      </c>
      <c r="E22" s="13" t="s">
        <v>84</v>
      </c>
      <c r="F22" s="4">
        <v>5785.12</v>
      </c>
    </row>
    <row r="23" spans="1:6">
      <c r="A23" s="2" t="s">
        <v>75</v>
      </c>
      <c r="B23" s="3" t="s">
        <v>76</v>
      </c>
      <c r="C23" s="16">
        <v>16801.650000000001</v>
      </c>
      <c r="D23" s="2" t="s">
        <v>85</v>
      </c>
      <c r="E23" s="13" t="s">
        <v>86</v>
      </c>
      <c r="F23" s="4">
        <v>12892.56</v>
      </c>
    </row>
    <row r="24" spans="1:6">
      <c r="A24" s="2" t="s">
        <v>77</v>
      </c>
      <c r="B24" s="3" t="s">
        <v>78</v>
      </c>
      <c r="C24" s="16">
        <v>5037.1900000000005</v>
      </c>
      <c r="D24" s="2" t="s">
        <v>87</v>
      </c>
      <c r="E24" s="13" t="s">
        <v>88</v>
      </c>
      <c r="F24" s="4">
        <v>7438.02</v>
      </c>
    </row>
    <row r="25" spans="1:6">
      <c r="A25" s="2" t="s">
        <v>79</v>
      </c>
      <c r="B25" s="3" t="s">
        <v>80</v>
      </c>
      <c r="C25" s="16">
        <v>10203.31</v>
      </c>
      <c r="D25" s="2" t="s">
        <v>89</v>
      </c>
      <c r="E25" s="13" t="s">
        <v>84</v>
      </c>
      <c r="F25" s="4">
        <v>5785.12</v>
      </c>
    </row>
    <row r="26" spans="1:6">
      <c r="A26" s="2" t="s">
        <v>105</v>
      </c>
      <c r="B26" s="3" t="s">
        <v>74</v>
      </c>
      <c r="C26" s="16">
        <v>2955.37</v>
      </c>
      <c r="D26" s="2" t="s">
        <v>90</v>
      </c>
      <c r="E26" s="13" t="s">
        <v>91</v>
      </c>
      <c r="F26" s="4">
        <v>11322.31</v>
      </c>
    </row>
    <row r="27" spans="1:6">
      <c r="A27" s="2" t="s">
        <v>126</v>
      </c>
      <c r="B27" s="3" t="s">
        <v>13</v>
      </c>
      <c r="C27" s="16">
        <v>4118.18</v>
      </c>
      <c r="D27" s="2" t="s">
        <v>92</v>
      </c>
      <c r="E27" s="13" t="s">
        <v>93</v>
      </c>
      <c r="F27" s="4">
        <v>7024.79</v>
      </c>
    </row>
    <row r="28" spans="1:6">
      <c r="A28" s="2" t="s">
        <v>127</v>
      </c>
      <c r="B28" s="3" t="s">
        <v>11</v>
      </c>
      <c r="C28" s="16">
        <v>26199.3</v>
      </c>
      <c r="D28" s="2" t="s">
        <v>94</v>
      </c>
      <c r="E28" s="13" t="s">
        <v>95</v>
      </c>
      <c r="F28" s="4">
        <v>7272.73</v>
      </c>
    </row>
    <row r="29" spans="1:6">
      <c r="A29" s="2" t="s">
        <v>128</v>
      </c>
      <c r="B29" s="3" t="s">
        <v>11</v>
      </c>
      <c r="C29" s="16">
        <v>24290.7</v>
      </c>
      <c r="D29" s="2" t="s">
        <v>96</v>
      </c>
      <c r="E29" s="13" t="s">
        <v>97</v>
      </c>
      <c r="F29" s="4">
        <v>4958.67</v>
      </c>
    </row>
    <row r="30" spans="1:6">
      <c r="A30" s="2" t="s">
        <v>129</v>
      </c>
      <c r="B30" s="3" t="s">
        <v>13</v>
      </c>
      <c r="C30" s="16">
        <v>867.77</v>
      </c>
      <c r="D30" s="2" t="s">
        <v>98</v>
      </c>
      <c r="E30" s="13" t="s">
        <v>99</v>
      </c>
      <c r="F30" s="4">
        <v>4462.8100000000004</v>
      </c>
    </row>
    <row r="31" spans="1:6">
      <c r="A31" s="2" t="s">
        <v>130</v>
      </c>
      <c r="B31" s="3" t="s">
        <v>11</v>
      </c>
      <c r="C31" s="16">
        <v>75808.800000000003</v>
      </c>
      <c r="D31" s="2" t="s">
        <v>100</v>
      </c>
      <c r="E31" s="13" t="s">
        <v>101</v>
      </c>
      <c r="F31" s="4">
        <v>11570.24</v>
      </c>
    </row>
    <row r="32" spans="1:6">
      <c r="A32" s="2" t="s">
        <v>131</v>
      </c>
      <c r="B32" s="3" t="s">
        <v>11</v>
      </c>
      <c r="C32" s="16">
        <v>2832.6</v>
      </c>
      <c r="D32" s="2" t="s">
        <v>102</v>
      </c>
      <c r="E32" s="13" t="s">
        <v>103</v>
      </c>
      <c r="F32" s="4">
        <v>3636.36</v>
      </c>
    </row>
    <row r="33" spans="1:6">
      <c r="A33" s="2" t="s">
        <v>132</v>
      </c>
      <c r="B33" s="3" t="s">
        <v>11</v>
      </c>
      <c r="C33" s="16">
        <v>103638</v>
      </c>
      <c r="D33" s="2" t="s">
        <v>104</v>
      </c>
      <c r="E33" s="13" t="s">
        <v>63</v>
      </c>
      <c r="F33" s="4">
        <v>9090.91</v>
      </c>
    </row>
    <row r="34" spans="1:6">
      <c r="A34" s="2" t="s">
        <v>133</v>
      </c>
      <c r="B34" s="3" t="s">
        <v>11</v>
      </c>
      <c r="C34" s="16">
        <v>176093.2</v>
      </c>
      <c r="D34" s="2" t="s">
        <v>106</v>
      </c>
      <c r="E34" s="13" t="s">
        <v>107</v>
      </c>
      <c r="F34" s="4">
        <v>5371.9</v>
      </c>
    </row>
    <row r="35" spans="1:6">
      <c r="A35" s="2" t="s">
        <v>134</v>
      </c>
      <c r="B35" s="3" t="s">
        <v>11</v>
      </c>
      <c r="C35" s="16">
        <v>7231.2</v>
      </c>
      <c r="D35" s="2" t="s">
        <v>108</v>
      </c>
      <c r="E35" s="13" t="s">
        <v>109</v>
      </c>
      <c r="F35" s="4">
        <v>7851.24</v>
      </c>
    </row>
    <row r="36" spans="1:6">
      <c r="A36" s="2" t="s">
        <v>143</v>
      </c>
      <c r="B36" s="3" t="s">
        <v>11</v>
      </c>
      <c r="C36" s="16">
        <v>7547.7</v>
      </c>
      <c r="D36" s="2" t="s">
        <v>110</v>
      </c>
      <c r="E36" s="13" t="s">
        <v>111</v>
      </c>
      <c r="F36" s="4">
        <v>4462.8100000000004</v>
      </c>
    </row>
    <row r="37" spans="1:6">
      <c r="A37" s="2" t="s">
        <v>153</v>
      </c>
      <c r="B37" s="3" t="s">
        <v>154</v>
      </c>
      <c r="C37" s="16">
        <v>9917.36</v>
      </c>
      <c r="D37" s="2" t="s">
        <v>112</v>
      </c>
      <c r="E37" s="13" t="s">
        <v>113</v>
      </c>
      <c r="F37" s="4">
        <v>5785.12</v>
      </c>
    </row>
    <row r="38" spans="1:6">
      <c r="A38" s="2" t="s">
        <v>155</v>
      </c>
      <c r="B38" s="3" t="s">
        <v>13</v>
      </c>
      <c r="C38" s="16">
        <v>25752.89</v>
      </c>
      <c r="D38" s="2" t="s">
        <v>114</v>
      </c>
      <c r="E38" s="13" t="s">
        <v>115</v>
      </c>
      <c r="F38" s="4">
        <v>4958.68</v>
      </c>
    </row>
    <row r="39" spans="1:6">
      <c r="A39" s="2" t="s">
        <v>156</v>
      </c>
      <c r="B39" s="3" t="s">
        <v>13</v>
      </c>
      <c r="C39" s="16">
        <v>9572.7199999999993</v>
      </c>
      <c r="D39" s="2" t="s">
        <v>116</v>
      </c>
      <c r="E39" s="13" t="s">
        <v>117</v>
      </c>
      <c r="F39" s="4">
        <v>7851.24</v>
      </c>
    </row>
    <row r="40" spans="1:6">
      <c r="A40" s="2" t="s">
        <v>167</v>
      </c>
      <c r="B40" s="3" t="s">
        <v>11</v>
      </c>
      <c r="C40" s="16">
        <v>11799.6</v>
      </c>
      <c r="D40" s="2" t="s">
        <v>120</v>
      </c>
      <c r="E40" s="13" t="s">
        <v>121</v>
      </c>
      <c r="F40" s="4">
        <v>8677.68</v>
      </c>
    </row>
    <row r="41" spans="1:6">
      <c r="A41" s="2" t="s">
        <v>168</v>
      </c>
      <c r="B41" s="3" t="s">
        <v>11</v>
      </c>
      <c r="C41" s="16">
        <v>31814.7</v>
      </c>
      <c r="D41" s="2" t="s">
        <v>122</v>
      </c>
      <c r="E41" s="13" t="s">
        <v>123</v>
      </c>
      <c r="F41" s="4">
        <v>33057.85</v>
      </c>
    </row>
    <row r="42" spans="1:6">
      <c r="A42" s="2" t="s">
        <v>169</v>
      </c>
      <c r="B42" s="3" t="s">
        <v>13</v>
      </c>
      <c r="C42" s="16">
        <v>1838.02</v>
      </c>
      <c r="D42" s="2" t="s">
        <v>124</v>
      </c>
      <c r="E42" s="13" t="s">
        <v>125</v>
      </c>
      <c r="F42" s="4">
        <v>8264.4699999999993</v>
      </c>
    </row>
    <row r="43" spans="1:6">
      <c r="A43" s="2" t="s">
        <v>170</v>
      </c>
      <c r="B43" s="3" t="s">
        <v>11</v>
      </c>
      <c r="C43" s="16">
        <v>18615.900000000001</v>
      </c>
      <c r="D43" s="2" t="s">
        <v>135</v>
      </c>
      <c r="E43" s="13" t="s">
        <v>136</v>
      </c>
      <c r="F43" s="4">
        <v>798.34</v>
      </c>
    </row>
    <row r="44" spans="1:6">
      <c r="A44" s="2" t="s">
        <v>171</v>
      </c>
      <c r="B44" s="3" t="s">
        <v>13</v>
      </c>
      <c r="C44" s="16">
        <v>11705.38</v>
      </c>
      <c r="D44" s="2" t="s">
        <v>137</v>
      </c>
      <c r="E44" s="13" t="s">
        <v>138</v>
      </c>
      <c r="F44" s="4">
        <v>8677.68</v>
      </c>
    </row>
    <row r="45" spans="1:6">
      <c r="A45" s="2" t="s">
        <v>197</v>
      </c>
      <c r="B45" s="3" t="s">
        <v>13</v>
      </c>
      <c r="C45" s="16">
        <v>3676.03</v>
      </c>
      <c r="D45" s="2" t="s">
        <v>139</v>
      </c>
      <c r="E45" s="13" t="s">
        <v>140</v>
      </c>
      <c r="F45" s="4">
        <v>1072.72</v>
      </c>
    </row>
    <row r="46" spans="1:6">
      <c r="A46" s="2" t="s">
        <v>200</v>
      </c>
      <c r="B46" s="3" t="s">
        <v>13</v>
      </c>
      <c r="C46" s="16">
        <v>5821.48</v>
      </c>
      <c r="D46" s="2" t="s">
        <v>141</v>
      </c>
      <c r="E46" s="13" t="s">
        <v>142</v>
      </c>
      <c r="F46" s="4">
        <v>4462.8100000000004</v>
      </c>
    </row>
    <row r="47" spans="1:6">
      <c r="A47" s="2" t="s">
        <v>207</v>
      </c>
      <c r="B47" s="3" t="s">
        <v>13</v>
      </c>
      <c r="C47" s="16">
        <v>867.77</v>
      </c>
      <c r="D47" s="2" t="s">
        <v>144</v>
      </c>
      <c r="E47" s="13" t="s">
        <v>125</v>
      </c>
      <c r="F47" s="4">
        <v>8264.4699999999993</v>
      </c>
    </row>
    <row r="48" spans="1:6">
      <c r="A48" s="2" t="s">
        <v>208</v>
      </c>
      <c r="B48" s="3" t="s">
        <v>13</v>
      </c>
      <c r="C48" s="16">
        <v>2826.45</v>
      </c>
      <c r="D48" s="2" t="s">
        <v>145</v>
      </c>
      <c r="E48" s="13" t="s">
        <v>146</v>
      </c>
      <c r="F48" s="4">
        <v>991.73</v>
      </c>
    </row>
    <row r="49" spans="1:6">
      <c r="A49" s="2" t="s">
        <v>118</v>
      </c>
      <c r="B49" s="13" t="s">
        <v>11</v>
      </c>
      <c r="C49" s="4">
        <v>-369013.91</v>
      </c>
      <c r="D49" s="2" t="s">
        <v>147</v>
      </c>
      <c r="E49" s="13" t="s">
        <v>148</v>
      </c>
      <c r="F49" s="4">
        <v>7024.79</v>
      </c>
    </row>
    <row r="50" spans="1:6">
      <c r="A50" s="2" t="s">
        <v>119</v>
      </c>
      <c r="B50" s="13" t="s">
        <v>11</v>
      </c>
      <c r="C50" s="4">
        <v>-16727.099999999999</v>
      </c>
      <c r="D50" s="2" t="s">
        <v>149</v>
      </c>
      <c r="E50" s="13" t="s">
        <v>150</v>
      </c>
      <c r="F50" s="4">
        <v>8677.68</v>
      </c>
    </row>
    <row r="51" spans="1:6">
      <c r="A51" s="5"/>
      <c r="B51" s="5"/>
      <c r="C51" s="14"/>
      <c r="D51" s="2" t="s">
        <v>151</v>
      </c>
      <c r="E51" s="13" t="s">
        <v>152</v>
      </c>
      <c r="F51" s="4">
        <v>4214.88</v>
      </c>
    </row>
    <row r="52" spans="1:6">
      <c r="A52" s="5"/>
      <c r="B52" s="5"/>
      <c r="C52" s="14"/>
      <c r="D52" s="2" t="s">
        <v>157</v>
      </c>
      <c r="E52" s="13" t="s">
        <v>158</v>
      </c>
      <c r="F52" s="4">
        <v>8760.33</v>
      </c>
    </row>
    <row r="53" spans="1:6">
      <c r="A53" s="5"/>
      <c r="B53" s="5"/>
      <c r="C53" s="14"/>
      <c r="D53" s="2" t="s">
        <v>159</v>
      </c>
      <c r="E53" s="13" t="s">
        <v>160</v>
      </c>
      <c r="F53" s="4">
        <v>16528.920000000002</v>
      </c>
    </row>
    <row r="54" spans="1:6">
      <c r="A54" s="5"/>
      <c r="B54" s="5"/>
      <c r="C54" s="14"/>
      <c r="D54" s="2" t="s">
        <v>161</v>
      </c>
      <c r="E54" s="13" t="s">
        <v>162</v>
      </c>
      <c r="F54" s="4">
        <v>7851.24</v>
      </c>
    </row>
    <row r="55" spans="1:6">
      <c r="A55" s="5"/>
      <c r="B55" s="5"/>
      <c r="C55" s="14"/>
      <c r="D55" s="2" t="s">
        <v>163</v>
      </c>
      <c r="E55" s="13" t="s">
        <v>164</v>
      </c>
      <c r="F55" s="4">
        <v>6611.57</v>
      </c>
    </row>
    <row r="56" spans="1:6">
      <c r="A56" s="5"/>
      <c r="B56" s="5"/>
      <c r="C56" s="14"/>
      <c r="D56" s="2" t="s">
        <v>165</v>
      </c>
      <c r="E56" s="13" t="s">
        <v>166</v>
      </c>
      <c r="F56" s="4">
        <v>19008.260000000002</v>
      </c>
    </row>
    <row r="57" spans="1:6">
      <c r="A57" s="5"/>
      <c r="B57" s="5"/>
      <c r="C57" s="14"/>
      <c r="D57" s="2" t="s">
        <v>172</v>
      </c>
      <c r="E57" s="13" t="s">
        <v>91</v>
      </c>
      <c r="F57" s="4">
        <v>6033.06</v>
      </c>
    </row>
    <row r="58" spans="1:6">
      <c r="A58" s="5"/>
      <c r="B58" s="5"/>
      <c r="C58" s="14"/>
      <c r="D58" s="2" t="s">
        <v>173</v>
      </c>
      <c r="E58" s="13" t="s">
        <v>174</v>
      </c>
      <c r="F58" s="4">
        <v>22561.99</v>
      </c>
    </row>
    <row r="59" spans="1:6">
      <c r="A59" s="5"/>
      <c r="B59" s="5"/>
      <c r="C59" s="14"/>
      <c r="D59" s="2" t="s">
        <v>175</v>
      </c>
      <c r="E59" s="13" t="s">
        <v>23</v>
      </c>
      <c r="F59" s="4">
        <v>6446.28</v>
      </c>
    </row>
    <row r="60" spans="1:6">
      <c r="A60" s="5"/>
      <c r="B60" s="5"/>
      <c r="C60" s="14"/>
      <c r="D60" s="2" t="s">
        <v>176</v>
      </c>
      <c r="E60" s="13" t="s">
        <v>177</v>
      </c>
      <c r="F60" s="4">
        <v>9917.36</v>
      </c>
    </row>
    <row r="61" spans="1:6">
      <c r="A61" s="5"/>
      <c r="B61" s="5"/>
      <c r="C61" s="14"/>
      <c r="D61" s="2" t="s">
        <v>178</v>
      </c>
      <c r="E61" s="13" t="s">
        <v>179</v>
      </c>
      <c r="F61" s="4">
        <v>7685.95</v>
      </c>
    </row>
    <row r="62" spans="1:6">
      <c r="A62" s="5"/>
      <c r="B62" s="5"/>
      <c r="C62" s="14"/>
      <c r="D62" s="2" t="s">
        <v>180</v>
      </c>
      <c r="E62" s="13" t="s">
        <v>181</v>
      </c>
      <c r="F62" s="4">
        <v>19834.7</v>
      </c>
    </row>
    <row r="63" spans="1:6">
      <c r="A63" s="5"/>
      <c r="B63" s="5"/>
      <c r="C63" s="14"/>
      <c r="D63" s="2" t="s">
        <v>182</v>
      </c>
      <c r="E63" s="13" t="s">
        <v>183</v>
      </c>
      <c r="F63" s="4">
        <v>3677.69</v>
      </c>
    </row>
    <row r="64" spans="1:6">
      <c r="A64" s="5"/>
      <c r="B64" s="5"/>
      <c r="C64" s="14"/>
      <c r="D64" s="2" t="s">
        <v>184</v>
      </c>
      <c r="E64" s="13" t="s">
        <v>183</v>
      </c>
      <c r="F64" s="4">
        <v>1487.6</v>
      </c>
    </row>
    <row r="65" spans="1:6">
      <c r="A65" s="5"/>
      <c r="B65" s="5"/>
      <c r="C65" s="14"/>
      <c r="D65" s="2" t="s">
        <v>185</v>
      </c>
      <c r="E65" s="13" t="s">
        <v>186</v>
      </c>
      <c r="F65" s="4">
        <v>12727.27</v>
      </c>
    </row>
    <row r="66" spans="1:6">
      <c r="A66" s="5"/>
      <c r="B66" s="5"/>
      <c r="C66" s="14"/>
      <c r="D66" s="2" t="s">
        <v>187</v>
      </c>
      <c r="E66" s="13" t="s">
        <v>188</v>
      </c>
      <c r="F66" s="4">
        <v>5537.19</v>
      </c>
    </row>
    <row r="67" spans="1:6">
      <c r="A67" s="5"/>
      <c r="B67" s="5"/>
      <c r="C67" s="14"/>
      <c r="D67" s="2" t="s">
        <v>189</v>
      </c>
      <c r="E67" s="13" t="s">
        <v>190</v>
      </c>
      <c r="F67" s="4">
        <v>5950.41</v>
      </c>
    </row>
    <row r="68" spans="1:6">
      <c r="A68" s="5"/>
      <c r="B68" s="5"/>
      <c r="C68" s="14"/>
      <c r="D68" s="2" t="s">
        <v>191</v>
      </c>
      <c r="E68" s="13" t="s">
        <v>192</v>
      </c>
      <c r="F68" s="4">
        <v>8099.18</v>
      </c>
    </row>
    <row r="69" spans="1:6">
      <c r="A69" s="5"/>
      <c r="B69" s="5"/>
      <c r="C69" s="14"/>
      <c r="D69" s="2" t="s">
        <v>193</v>
      </c>
      <c r="E69" s="13" t="s">
        <v>194</v>
      </c>
      <c r="F69" s="4">
        <v>13884.3</v>
      </c>
    </row>
    <row r="70" spans="1:6">
      <c r="A70" s="5"/>
      <c r="B70" s="5"/>
      <c r="C70" s="14"/>
      <c r="D70" s="2" t="s">
        <v>195</v>
      </c>
      <c r="E70" s="13" t="s">
        <v>196</v>
      </c>
      <c r="F70" s="4">
        <v>9421.49</v>
      </c>
    </row>
    <row r="71" spans="1:6">
      <c r="A71" s="5"/>
      <c r="B71" s="5"/>
      <c r="C71" s="14"/>
      <c r="D71" s="2" t="s">
        <v>198</v>
      </c>
      <c r="E71" s="13" t="s">
        <v>199</v>
      </c>
      <c r="F71" s="4">
        <v>11570.24</v>
      </c>
    </row>
    <row r="72" spans="1:6">
      <c r="A72" s="5"/>
      <c r="B72" s="5"/>
      <c r="C72" s="14"/>
      <c r="D72" s="2" t="s">
        <v>201</v>
      </c>
      <c r="E72" s="13" t="s">
        <v>202</v>
      </c>
      <c r="F72" s="4">
        <v>13553.72</v>
      </c>
    </row>
    <row r="73" spans="1:6">
      <c r="A73" s="5"/>
      <c r="B73" s="5"/>
      <c r="C73" s="14"/>
      <c r="D73" s="2" t="s">
        <v>203</v>
      </c>
      <c r="E73" s="13" t="s">
        <v>162</v>
      </c>
      <c r="F73" s="4">
        <v>7851.24</v>
      </c>
    </row>
    <row r="74" spans="1:6">
      <c r="A74" s="5"/>
      <c r="B74" s="5"/>
      <c r="C74" s="14"/>
      <c r="D74" s="2" t="s">
        <v>204</v>
      </c>
      <c r="E74" s="13" t="s">
        <v>86</v>
      </c>
      <c r="F74" s="4">
        <v>7438.02</v>
      </c>
    </row>
    <row r="75" spans="1:6">
      <c r="A75" s="5"/>
      <c r="B75" s="5"/>
      <c r="C75" s="14"/>
      <c r="D75" s="2" t="s">
        <v>205</v>
      </c>
      <c r="E75" s="13" t="s">
        <v>206</v>
      </c>
      <c r="F75" s="4">
        <v>867.76</v>
      </c>
    </row>
    <row r="76" spans="1:6">
      <c r="A76" s="5"/>
      <c r="B76" s="5"/>
      <c r="C76" s="14"/>
      <c r="D76" s="2" t="s">
        <v>209</v>
      </c>
      <c r="E76" s="13" t="s">
        <v>210</v>
      </c>
      <c r="F76" s="4">
        <v>20578.510000000002</v>
      </c>
    </row>
    <row r="77" spans="1:6">
      <c r="A77" s="5"/>
      <c r="B77" s="5"/>
      <c r="C77" s="5"/>
      <c r="D77" s="2" t="s">
        <v>211</v>
      </c>
      <c r="E77" s="13" t="s">
        <v>183</v>
      </c>
      <c r="F77" s="4">
        <v>6511.57</v>
      </c>
    </row>
    <row r="78" spans="1:6">
      <c r="A78" s="5"/>
      <c r="B78" s="5"/>
      <c r="C78" s="5"/>
      <c r="D78" s="2" t="s">
        <v>212</v>
      </c>
      <c r="E78" s="13" t="s">
        <v>213</v>
      </c>
      <c r="F78" s="4">
        <v>11983.47</v>
      </c>
    </row>
    <row r="79" spans="1:6">
      <c r="A79" s="5"/>
      <c r="B79" s="5"/>
      <c r="C79" s="5"/>
      <c r="D79" s="2" t="s">
        <v>214</v>
      </c>
      <c r="E79" s="13" t="s">
        <v>215</v>
      </c>
      <c r="F79" s="4">
        <v>4214.88</v>
      </c>
    </row>
    <row r="80" spans="1:6" ht="15.75">
      <c r="A80" s="6" t="s">
        <v>4</v>
      </c>
      <c r="B80" s="6"/>
      <c r="C80" s="12">
        <f>SUM(C3:C79)</f>
        <v>4154864.4600000004</v>
      </c>
      <c r="D80" s="6" t="s">
        <v>4</v>
      </c>
      <c r="E80" s="6"/>
      <c r="F80" s="7">
        <f>SUM(F3:F79)</f>
        <v>1188468.25</v>
      </c>
    </row>
    <row r="81" spans="1:6" ht="15.75">
      <c r="A81" s="8" t="s">
        <v>5</v>
      </c>
      <c r="B81" s="8"/>
      <c r="C81" s="9">
        <f>(C80*0.21)</f>
        <v>872521.53660000011</v>
      </c>
      <c r="D81" s="8" t="s">
        <v>5</v>
      </c>
      <c r="E81" s="8"/>
      <c r="F81" s="7">
        <f>(F80*0.21)</f>
        <v>249578.33249999999</v>
      </c>
    </row>
    <row r="82" spans="1:6" ht="15.75">
      <c r="A82" s="8" t="s">
        <v>6</v>
      </c>
      <c r="B82" s="8"/>
      <c r="C82" s="10">
        <f>SUM(C80:C81)</f>
        <v>5027385.9966000002</v>
      </c>
      <c r="D82" s="8" t="s">
        <v>6</v>
      </c>
      <c r="E82" s="8"/>
      <c r="F82" s="11">
        <f>SUM(F80:F81)</f>
        <v>1438046.5825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2023-09-15T19:55:23Z</dcterms:modified>
</cp:coreProperties>
</file>