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Enero 2023" sheetId="10" r:id="rId1"/>
  </sheets>
  <calcPr calcId="125725"/>
</workbook>
</file>

<file path=xl/calcChain.xml><?xml version="1.0" encoding="utf-8"?>
<calcChain xmlns="http://schemas.openxmlformats.org/spreadsheetml/2006/main">
  <c r="F71" i="10"/>
  <c r="F73" s="1"/>
  <c r="C71"/>
  <c r="C72" s="1"/>
  <c r="F72"/>
  <c r="C73" l="1"/>
</calcChain>
</file>

<file path=xl/sharedStrings.xml><?xml version="1.0" encoding="utf-8"?>
<sst xmlns="http://schemas.openxmlformats.org/spreadsheetml/2006/main" count="209" uniqueCount="128">
  <si>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</si>
  <si>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</si>
  <si>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</si>
  <si>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</si>
  <si>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</si>
  <si>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</si>
  <si>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</si>
  <si>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</si>
  <si>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</si>
  <si>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</si>
  <si>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</si>
  <si>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</si>
  <si>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</si>
  <si>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Alexander Fleming S A</t>
  </si>
  <si>
    <t>Ensalud S.A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</si>
  <si>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</si>
  <si>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</si>
  <si>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</si>
  <si>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</si>
  <si>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</si>
  <si>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>Subtotal</t>
  </si>
  <si>
    <t>IVA 21%</t>
  </si>
  <si>
    <t>Total</t>
  </si>
  <si>
    <t>Obra Social Union Personal De La Union  Del Personal Civil De La Nacion</t>
  </si>
  <si>
    <t>GENDELMAN,MAURICIO</t>
  </si>
  <si>
    <t>ENRIQUETA MARIA DEL SOCORRO MAJO</t>
  </si>
  <si>
    <t>Chiari Maria Enriqueta del Socorro</t>
  </si>
  <si>
    <t>SANZIO, INMACULADA CONCEPCION</t>
  </si>
  <si>
    <t>MINERVINI, MARIA DEL CARMEN LILIANA</t>
  </si>
  <si>
    <t xml:space="preserve">ARANA, MARCELLA OFELIA </t>
  </si>
  <si>
    <t>Centro Medico Amenabar Srl</t>
  </si>
  <si>
    <t>CARUSO LUCIA</t>
  </si>
  <si>
    <t xml:space="preserve">SAGGESE, ENRIQUE LUIS </t>
  </si>
  <si>
    <t>GIUGGIARO, LUIS ALBERTO</t>
  </si>
  <si>
    <t>ALBARO BRESCIANO</t>
  </si>
  <si>
    <t>CORREA, PABLO FERNANDO</t>
  </si>
  <si>
    <t>SCHELGEL, LUIS ALBERTO</t>
  </si>
  <si>
    <t>BARATTINI, CESAR RUBEN</t>
  </si>
  <si>
    <t>HIDALGO OSCAR ATILIO</t>
  </si>
  <si>
    <t>AGUIRRE, IVANA NOELIA</t>
  </si>
  <si>
    <t>ALEJANDRA SIFFREDI TORRES SANMARCO</t>
  </si>
  <si>
    <t>LUIS MATIAS ALAZRAKI</t>
  </si>
  <si>
    <t>PASTOR ROSALES ROSA NOEMI</t>
  </si>
  <si>
    <t>CHAMOSA JOSE MARIA</t>
  </si>
  <si>
    <t>ANDREOTTI, CECILIA BEATRIZ</t>
  </si>
  <si>
    <t>RIZZO, HORACIO GUSTAVO</t>
  </si>
  <si>
    <t>SILVIA ROLDAN</t>
  </si>
  <si>
    <t>02/01/2023</t>
  </si>
  <si>
    <t>ZAIDMAN, CESAR JAVIER</t>
  </si>
  <si>
    <t>03/01/2023</t>
  </si>
  <si>
    <t>FA-A 0006-00000293</t>
  </si>
  <si>
    <t>FA-A 0006-00000294</t>
  </si>
  <si>
    <t>GRACIELA NORMA GUIET</t>
  </si>
  <si>
    <t>RAUL RUBEN BRACCHI</t>
  </si>
  <si>
    <t>Desalvo Miguel Angel</t>
  </si>
  <si>
    <t>FA-A 0007-00001297</t>
  </si>
  <si>
    <t>05/01/2023</t>
  </si>
  <si>
    <t>FA-A 0007-00001300</t>
  </si>
  <si>
    <t>FA-A 0007-00001302</t>
  </si>
  <si>
    <t>FA-A 0007-00001303</t>
  </si>
  <si>
    <t>FA-A 0007-00001304</t>
  </si>
  <si>
    <t>FA-A 0007-00001305</t>
  </si>
  <si>
    <t>FA-A 0007-00001306</t>
  </si>
  <si>
    <t>FA-A 0007-00001307</t>
  </si>
  <si>
    <t>FA-A 0007-00001308</t>
  </si>
  <si>
    <t>FA-A 0007-00001309</t>
  </si>
  <si>
    <t>RAQUEL DURAÑONA</t>
  </si>
  <si>
    <t>06/01/2023</t>
  </si>
  <si>
    <t>Obra Social De La Actividad De Seguros, Reaseguros, Capitalizacion Y Ahorro Y Prestamo  Para La Vivienda</t>
  </si>
  <si>
    <t>FA-A 0007-00001310</t>
  </si>
  <si>
    <t>FA-A 0007-00001311</t>
  </si>
  <si>
    <t>Obra Social Del Personal De La Industria Del Plastico</t>
  </si>
  <si>
    <t>09/01/2023</t>
  </si>
  <si>
    <t>FA-A 0007-00001312</t>
  </si>
  <si>
    <t>FA-A 0007-00001313</t>
  </si>
  <si>
    <t>FA-A 0007-00001314</t>
  </si>
  <si>
    <t>FA-A 0007-00001315</t>
  </si>
  <si>
    <t xml:space="preserve">JURADO, MARIA ESTHER </t>
  </si>
  <si>
    <t>10/01/2023</t>
  </si>
  <si>
    <t>FA-A 0007-00001316</t>
  </si>
  <si>
    <t>FA-A 0007-00001317</t>
  </si>
  <si>
    <t>FA-A 0007-00001318</t>
  </si>
  <si>
    <t>FA-A 0007-00001319</t>
  </si>
  <si>
    <t>FA-A 0007-00001320</t>
  </si>
  <si>
    <t xml:space="preserve">HIGA MARCELA SANDRA </t>
  </si>
  <si>
    <t>11/01/2023</t>
  </si>
  <si>
    <t>FA-A 0007-00001321</t>
  </si>
  <si>
    <t>FA-A 0007-00001322</t>
  </si>
  <si>
    <t>12/01/2023</t>
  </si>
  <si>
    <t>BEATRIZ WARRAND</t>
  </si>
  <si>
    <t>16/01/2023</t>
  </si>
  <si>
    <t xml:space="preserve">SARA STRASBERG </t>
  </si>
  <si>
    <t>17/01/2023</t>
  </si>
  <si>
    <t>FA-A 0007-00001324</t>
  </si>
  <si>
    <t>VAICIKAUSKAS, GUSTAVO</t>
  </si>
  <si>
    <t>GONZALEZ, TEODORA</t>
  </si>
  <si>
    <t>GABRIELA VANINA GALLO</t>
  </si>
  <si>
    <t>Herman Patricia</t>
  </si>
  <si>
    <t>18/01/2023</t>
  </si>
  <si>
    <t>FA-A 0007-00001326</t>
  </si>
  <si>
    <t>INOCENTTI, CLAUDIO</t>
  </si>
  <si>
    <t>FERRAZIN, CAROLINA ELEONORA INES</t>
  </si>
  <si>
    <t>19/01/2023</t>
  </si>
  <si>
    <t>FA-A 0007-00001327</t>
  </si>
  <si>
    <t>Piaggio, Paula Andrea</t>
  </si>
  <si>
    <t>Suburu Monica</t>
  </si>
  <si>
    <t>20/01/2023</t>
  </si>
  <si>
    <t>FA-A 0007-00001328</t>
  </si>
  <si>
    <t>JUAN JOSE RADIVOJ</t>
  </si>
  <si>
    <t>Obra Social Del Personal De Estaciones De Servicios Garages Playas De Estacionamiento Y Lavaderos Automaticos</t>
  </si>
  <si>
    <t>23/01/2023</t>
  </si>
  <si>
    <t>ALVIER GRADOS, JESUS ALBERTO</t>
  </si>
  <si>
    <t>24/01/2023</t>
  </si>
  <si>
    <t>25/01/2023</t>
  </si>
  <si>
    <t>ARGENTINA EDITH ZARRILLO</t>
  </si>
  <si>
    <t>ROMEO, NELIDA ZULMA</t>
  </si>
  <si>
    <t>BRENNAN, MARIA IRENE</t>
  </si>
  <si>
    <t>27/01/2023</t>
  </si>
  <si>
    <t>AGOSTINO, ANA CAROLINA</t>
  </si>
  <si>
    <t>COSTA, MARTA CRISTINA</t>
  </si>
  <si>
    <t>OLIVIA LORENZO</t>
  </si>
  <si>
    <t>CERRUTI GRACIELA CRISTINA</t>
  </si>
  <si>
    <t>30/01/2023</t>
  </si>
  <si>
    <t>FA-A 0007-00001335</t>
  </si>
  <si>
    <t>PEDROZO, PAULA GABRIELA</t>
  </si>
  <si>
    <t>31/01/2023</t>
  </si>
  <si>
    <t>MARIA ISABEL CALDERER</t>
  </si>
  <si>
    <t>Alquiler Facturado - Enero 2023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</si>
</sst>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>
      <selection activeCell="A2" sqref="A2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5" t="s">
        <v>127</v>
      </c>
      <c r="B1" s="15"/>
      <c r="C1" s="15"/>
      <c r="D1" s="15"/>
      <c r="E1" s="15"/>
      <c r="F1" s="15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50</v>
      </c>
      <c r="B3" s="3" t="s">
        <v>6</v>
      </c>
      <c r="C3" s="4">
        <v>282144.11</v>
      </c>
      <c r="D3" s="17" t="s">
        <v>47</v>
      </c>
      <c r="E3" s="3" t="s">
        <v>48</v>
      </c>
      <c r="F3" s="4">
        <v>13553.72</v>
      </c>
    </row>
    <row r="4" spans="1:6">
      <c r="A4" s="2" t="s">
        <v>51</v>
      </c>
      <c r="B4" s="3" t="s">
        <v>6</v>
      </c>
      <c r="C4" s="4">
        <v>2002632.49</v>
      </c>
      <c r="D4" s="17" t="s">
        <v>49</v>
      </c>
      <c r="E4" s="3" t="s">
        <v>5</v>
      </c>
      <c r="F4" s="4">
        <v>193176.7</v>
      </c>
    </row>
    <row r="5" spans="1:6">
      <c r="A5" s="2" t="s">
        <v>55</v>
      </c>
      <c r="B5" s="3" t="s">
        <v>23</v>
      </c>
      <c r="C5" s="4">
        <v>156497.44</v>
      </c>
      <c r="D5" s="17" t="s">
        <v>49</v>
      </c>
      <c r="E5" s="3" t="s">
        <v>39</v>
      </c>
      <c r="F5" s="4">
        <v>2892.56</v>
      </c>
    </row>
    <row r="6" spans="1:6">
      <c r="A6" s="2" t="s">
        <v>57</v>
      </c>
      <c r="B6" s="3" t="s">
        <v>8</v>
      </c>
      <c r="C6" s="4">
        <v>50468.32</v>
      </c>
      <c r="D6" s="17" t="s">
        <v>49</v>
      </c>
      <c r="E6" s="3" t="s">
        <v>29</v>
      </c>
      <c r="F6" s="4">
        <v>3140.5</v>
      </c>
    </row>
    <row r="7" spans="1:6">
      <c r="A7" s="2" t="s">
        <v>58</v>
      </c>
      <c r="B7" s="3" t="s">
        <v>7</v>
      </c>
      <c r="C7" s="4">
        <v>25619.83</v>
      </c>
      <c r="D7" s="17" t="s">
        <v>49</v>
      </c>
      <c r="E7" s="3" t="s">
        <v>52</v>
      </c>
      <c r="F7" s="4">
        <v>2148.7600000000002</v>
      </c>
    </row>
    <row r="8" spans="1:6">
      <c r="A8" s="2" t="s">
        <v>59</v>
      </c>
      <c r="B8" s="3" t="s">
        <v>12</v>
      </c>
      <c r="C8" s="4">
        <v>11735.54</v>
      </c>
      <c r="D8" s="17" t="s">
        <v>49</v>
      </c>
      <c r="E8" s="3" t="s">
        <v>52</v>
      </c>
      <c r="F8" s="4">
        <v>1322.31</v>
      </c>
    </row>
    <row r="9" spans="1:6">
      <c r="A9" s="2" t="s">
        <v>60</v>
      </c>
      <c r="B9" s="3" t="s">
        <v>17</v>
      </c>
      <c r="C9" s="4">
        <v>18611.57</v>
      </c>
      <c r="D9" s="17" t="s">
        <v>49</v>
      </c>
      <c r="E9" s="3" t="s">
        <v>52</v>
      </c>
      <c r="F9" s="4">
        <v>2644.63</v>
      </c>
    </row>
    <row r="10" spans="1:6">
      <c r="A10" s="2" t="s">
        <v>61</v>
      </c>
      <c r="B10" s="3" t="s">
        <v>11</v>
      </c>
      <c r="C10" s="4">
        <v>40440.770000000004</v>
      </c>
      <c r="D10" s="17" t="s">
        <v>49</v>
      </c>
      <c r="E10" s="3" t="s">
        <v>52</v>
      </c>
      <c r="F10" s="4">
        <v>4297.5200000000004</v>
      </c>
    </row>
    <row r="11" spans="1:6">
      <c r="A11" s="2" t="s">
        <v>62</v>
      </c>
      <c r="B11" s="3" t="s">
        <v>9</v>
      </c>
      <c r="C11" s="4">
        <v>9834.7100000000009</v>
      </c>
      <c r="D11" s="17" t="s">
        <v>49</v>
      </c>
      <c r="E11" s="3" t="s">
        <v>53</v>
      </c>
      <c r="F11" s="4">
        <v>4958.68</v>
      </c>
    </row>
    <row r="12" spans="1:6">
      <c r="A12" s="2" t="s">
        <v>63</v>
      </c>
      <c r="B12" s="3" t="s">
        <v>13</v>
      </c>
      <c r="C12" s="4">
        <v>9090.91</v>
      </c>
      <c r="D12" s="17" t="s">
        <v>49</v>
      </c>
      <c r="E12" s="3" t="s">
        <v>54</v>
      </c>
      <c r="F12" s="4">
        <v>3553.72</v>
      </c>
    </row>
    <row r="13" spans="1:6">
      <c r="A13" s="2" t="s">
        <v>64</v>
      </c>
      <c r="B13" s="3" t="s">
        <v>16</v>
      </c>
      <c r="C13" s="4">
        <v>2314.0500000000002</v>
      </c>
      <c r="D13" s="17" t="s">
        <v>56</v>
      </c>
      <c r="E13" s="3" t="s">
        <v>66</v>
      </c>
      <c r="F13" s="4">
        <v>5785.13</v>
      </c>
    </row>
    <row r="14" spans="1:6">
      <c r="A14" s="2" t="s">
        <v>65</v>
      </c>
      <c r="B14" s="3" t="s">
        <v>30</v>
      </c>
      <c r="C14" s="4">
        <v>7603.31</v>
      </c>
      <c r="D14" s="17" t="s">
        <v>56</v>
      </c>
      <c r="E14" s="3" t="s">
        <v>31</v>
      </c>
      <c r="F14" s="4">
        <v>3388.43</v>
      </c>
    </row>
    <row r="15" spans="1:6">
      <c r="A15" s="2" t="s">
        <v>69</v>
      </c>
      <c r="B15" s="3" t="s">
        <v>68</v>
      </c>
      <c r="C15" s="4">
        <v>42046.11</v>
      </c>
      <c r="D15" s="17" t="s">
        <v>67</v>
      </c>
      <c r="E15" s="3" t="s">
        <v>71</v>
      </c>
      <c r="F15" s="4">
        <v>18471.07</v>
      </c>
    </row>
    <row r="16" spans="1:6">
      <c r="A16" s="2" t="s">
        <v>70</v>
      </c>
      <c r="B16" s="3" t="s">
        <v>68</v>
      </c>
      <c r="C16" s="4">
        <v>42066.11</v>
      </c>
      <c r="D16" s="17" t="s">
        <v>72</v>
      </c>
      <c r="E16" s="3" t="s">
        <v>33</v>
      </c>
      <c r="F16" s="4">
        <v>7438.02</v>
      </c>
    </row>
    <row r="17" spans="1:6">
      <c r="A17" s="2" t="s">
        <v>73</v>
      </c>
      <c r="B17" s="3" t="s">
        <v>4</v>
      </c>
      <c r="C17" s="4">
        <v>619.84</v>
      </c>
      <c r="D17" s="17" t="s">
        <v>72</v>
      </c>
      <c r="E17" s="3" t="s">
        <v>15</v>
      </c>
      <c r="F17" s="4">
        <v>39586.78</v>
      </c>
    </row>
    <row r="18" spans="1:6">
      <c r="A18" s="2" t="s">
        <v>74</v>
      </c>
      <c r="B18" s="3" t="s">
        <v>4</v>
      </c>
      <c r="C18" s="4">
        <v>1239.67</v>
      </c>
      <c r="D18" s="17" t="s">
        <v>72</v>
      </c>
      <c r="E18" s="3" t="s">
        <v>77</v>
      </c>
      <c r="F18" s="4">
        <v>3719.01</v>
      </c>
    </row>
    <row r="19" spans="1:6">
      <c r="A19" s="2" t="s">
        <v>75</v>
      </c>
      <c r="B19" s="3" t="s">
        <v>4</v>
      </c>
      <c r="C19" s="4">
        <v>1239.67</v>
      </c>
      <c r="D19" s="17" t="s">
        <v>78</v>
      </c>
      <c r="E19" s="3" t="s">
        <v>84</v>
      </c>
      <c r="F19" s="4">
        <v>24793.39</v>
      </c>
    </row>
    <row r="20" spans="1:6">
      <c r="A20" s="2" t="s">
        <v>76</v>
      </c>
      <c r="B20" s="3" t="s">
        <v>18</v>
      </c>
      <c r="C20" s="4">
        <v>7107.44</v>
      </c>
      <c r="D20" s="17" t="s">
        <v>85</v>
      </c>
      <c r="E20" s="3" t="s">
        <v>29</v>
      </c>
      <c r="F20" s="4">
        <v>3140.5</v>
      </c>
    </row>
    <row r="21" spans="1:6">
      <c r="A21" s="2" t="s">
        <v>79</v>
      </c>
      <c r="B21" s="3" t="s">
        <v>4</v>
      </c>
      <c r="C21" s="4">
        <v>1735.53</v>
      </c>
      <c r="D21" s="17" t="s">
        <v>88</v>
      </c>
      <c r="E21" s="3" t="s">
        <v>38</v>
      </c>
      <c r="F21" s="4">
        <v>1239.6600000000001</v>
      </c>
    </row>
    <row r="22" spans="1:6">
      <c r="A22" s="2" t="s">
        <v>80</v>
      </c>
      <c r="B22" s="3" t="s">
        <v>4</v>
      </c>
      <c r="C22" s="4">
        <v>2644.63</v>
      </c>
      <c r="D22" s="17" t="s">
        <v>88</v>
      </c>
      <c r="E22" s="3" t="s">
        <v>42</v>
      </c>
      <c r="F22" s="4">
        <v>909.09</v>
      </c>
    </row>
    <row r="23" spans="1:6">
      <c r="A23" s="2" t="s">
        <v>81</v>
      </c>
      <c r="B23" s="3" t="s">
        <v>4</v>
      </c>
      <c r="C23" s="4">
        <v>1735.53</v>
      </c>
      <c r="D23" s="17" t="s">
        <v>88</v>
      </c>
      <c r="E23" s="3" t="s">
        <v>42</v>
      </c>
      <c r="F23" s="4">
        <v>5785.12</v>
      </c>
    </row>
    <row r="24" spans="1:6">
      <c r="A24" s="2" t="s">
        <v>82</v>
      </c>
      <c r="B24" s="3" t="s">
        <v>4</v>
      </c>
      <c r="C24" s="4">
        <v>5289.26</v>
      </c>
      <c r="D24" s="17" t="s">
        <v>88</v>
      </c>
      <c r="E24" s="3" t="s">
        <v>41</v>
      </c>
      <c r="F24" s="4">
        <v>2975.21</v>
      </c>
    </row>
    <row r="25" spans="1:6">
      <c r="A25" s="2" t="s">
        <v>83</v>
      </c>
      <c r="B25" s="3" t="s">
        <v>4</v>
      </c>
      <c r="C25" s="4">
        <v>1239.67</v>
      </c>
      <c r="D25" s="17" t="s">
        <v>88</v>
      </c>
      <c r="E25" s="3" t="s">
        <v>89</v>
      </c>
      <c r="F25" s="4">
        <v>8677.68</v>
      </c>
    </row>
    <row r="26" spans="1:6">
      <c r="A26" s="2" t="s">
        <v>86</v>
      </c>
      <c r="B26" s="3" t="s">
        <v>68</v>
      </c>
      <c r="C26" s="4">
        <v>2892.56</v>
      </c>
      <c r="D26" s="17" t="s">
        <v>90</v>
      </c>
      <c r="E26" s="3" t="s">
        <v>91</v>
      </c>
      <c r="F26" s="4">
        <v>4049.59</v>
      </c>
    </row>
    <row r="27" spans="1:6">
      <c r="A27" s="2" t="s">
        <v>87</v>
      </c>
      <c r="B27" s="3" t="s">
        <v>68</v>
      </c>
      <c r="C27" s="4">
        <v>1983.48</v>
      </c>
      <c r="D27" s="17" t="s">
        <v>92</v>
      </c>
      <c r="E27" s="3" t="s">
        <v>43</v>
      </c>
      <c r="F27" s="4">
        <v>826.45</v>
      </c>
    </row>
    <row r="28" spans="1:6">
      <c r="A28" s="2" t="s">
        <v>93</v>
      </c>
      <c r="B28" s="3" t="s">
        <v>4</v>
      </c>
      <c r="C28" s="4">
        <v>826.45</v>
      </c>
      <c r="D28" s="17" t="s">
        <v>92</v>
      </c>
      <c r="E28" s="3" t="s">
        <v>94</v>
      </c>
      <c r="F28" s="4">
        <v>2727.27</v>
      </c>
    </row>
    <row r="29" spans="1:6">
      <c r="A29" s="2" t="s">
        <v>99</v>
      </c>
      <c r="B29" s="3" t="s">
        <v>14</v>
      </c>
      <c r="C29" s="4">
        <v>413.23</v>
      </c>
      <c r="D29" s="17" t="s">
        <v>92</v>
      </c>
      <c r="E29" s="3" t="s">
        <v>94</v>
      </c>
      <c r="F29" s="4">
        <v>2727.27</v>
      </c>
    </row>
    <row r="30" spans="1:6">
      <c r="A30" s="2" t="s">
        <v>103</v>
      </c>
      <c r="B30" s="3" t="s">
        <v>104</v>
      </c>
      <c r="C30" s="4">
        <v>27272.76</v>
      </c>
      <c r="D30" s="17" t="s">
        <v>92</v>
      </c>
      <c r="E30" s="3" t="s">
        <v>32</v>
      </c>
      <c r="F30" s="4">
        <v>4545.45</v>
      </c>
    </row>
    <row r="31" spans="1:6">
      <c r="A31" s="2" t="s">
        <v>107</v>
      </c>
      <c r="B31" s="3" t="s">
        <v>4</v>
      </c>
      <c r="C31" s="4">
        <v>1115.7</v>
      </c>
      <c r="D31" s="17" t="s">
        <v>92</v>
      </c>
      <c r="E31" s="3" t="s">
        <v>97</v>
      </c>
      <c r="F31" s="4">
        <v>13223.14</v>
      </c>
    </row>
    <row r="32" spans="1:6">
      <c r="A32" s="2" t="s">
        <v>123</v>
      </c>
      <c r="B32" s="3" t="s">
        <v>14</v>
      </c>
      <c r="C32" s="4">
        <v>3471.07</v>
      </c>
      <c r="D32" s="17" t="s">
        <v>92</v>
      </c>
      <c r="E32" s="3" t="s">
        <v>45</v>
      </c>
      <c r="F32" s="4">
        <v>2479.34</v>
      </c>
    </row>
    <row r="33" spans="1:6">
      <c r="A33" s="5"/>
      <c r="B33" s="5"/>
      <c r="C33" s="16"/>
      <c r="D33" s="17" t="s">
        <v>92</v>
      </c>
      <c r="E33" s="3" t="s">
        <v>10</v>
      </c>
      <c r="F33" s="4">
        <v>3223.14</v>
      </c>
    </row>
    <row r="34" spans="1:6">
      <c r="A34" s="5"/>
      <c r="B34" s="5"/>
      <c r="C34" s="16"/>
      <c r="D34" s="17" t="s">
        <v>98</v>
      </c>
      <c r="E34" s="3" t="s">
        <v>100</v>
      </c>
      <c r="F34" s="4">
        <v>413.23</v>
      </c>
    </row>
    <row r="35" spans="1:6">
      <c r="A35" s="5"/>
      <c r="B35" s="5"/>
      <c r="C35" s="16"/>
      <c r="D35" s="17" t="s">
        <v>98</v>
      </c>
      <c r="E35" s="3" t="s">
        <v>27</v>
      </c>
      <c r="F35" s="4">
        <v>2644.63</v>
      </c>
    </row>
    <row r="36" spans="1:6">
      <c r="A36" s="5"/>
      <c r="B36" s="5"/>
      <c r="C36" s="16"/>
      <c r="D36" s="17" t="s">
        <v>98</v>
      </c>
      <c r="E36" s="3" t="s">
        <v>40</v>
      </c>
      <c r="F36" s="4">
        <v>3140.5</v>
      </c>
    </row>
    <row r="37" spans="1:6">
      <c r="A37" s="5"/>
      <c r="B37" s="5"/>
      <c r="C37" s="16"/>
      <c r="D37" s="17" t="s">
        <v>98</v>
      </c>
      <c r="E37" s="3" t="s">
        <v>25</v>
      </c>
      <c r="F37" s="4">
        <v>2892.56</v>
      </c>
    </row>
    <row r="38" spans="1:6">
      <c r="A38" s="5"/>
      <c r="B38" s="5"/>
      <c r="C38" s="16"/>
      <c r="D38" s="17" t="s">
        <v>98</v>
      </c>
      <c r="E38" s="3" t="s">
        <v>26</v>
      </c>
      <c r="F38" s="4">
        <v>2892.56</v>
      </c>
    </row>
    <row r="39" spans="1:6">
      <c r="A39" s="5"/>
      <c r="B39" s="5"/>
      <c r="C39" s="16"/>
      <c r="D39" s="17" t="s">
        <v>98</v>
      </c>
      <c r="E39" s="3" t="s">
        <v>66</v>
      </c>
      <c r="F39" s="4">
        <v>8264.4699999999993</v>
      </c>
    </row>
    <row r="40" spans="1:6">
      <c r="A40" s="5"/>
      <c r="B40" s="5"/>
      <c r="C40" s="16"/>
      <c r="D40" s="17" t="s">
        <v>98</v>
      </c>
      <c r="E40" s="3" t="s">
        <v>101</v>
      </c>
      <c r="F40" s="4">
        <v>6115.7</v>
      </c>
    </row>
    <row r="41" spans="1:6">
      <c r="A41" s="5"/>
      <c r="B41" s="5"/>
      <c r="C41" s="16"/>
      <c r="D41" s="17" t="s">
        <v>98</v>
      </c>
      <c r="E41" s="3" t="s">
        <v>19</v>
      </c>
      <c r="F41" s="4">
        <v>3471.08</v>
      </c>
    </row>
    <row r="42" spans="1:6">
      <c r="A42" s="5"/>
      <c r="B42" s="5"/>
      <c r="C42" s="16"/>
      <c r="D42" s="17" t="s">
        <v>102</v>
      </c>
      <c r="E42" s="3" t="s">
        <v>105</v>
      </c>
      <c r="F42" s="4">
        <v>3636.36</v>
      </c>
    </row>
    <row r="43" spans="1:6">
      <c r="A43" s="5"/>
      <c r="B43" s="5"/>
      <c r="C43" s="16"/>
      <c r="D43" s="17" t="s">
        <v>102</v>
      </c>
      <c r="E43" s="3" t="s">
        <v>105</v>
      </c>
      <c r="F43" s="4">
        <v>5206.6099999999997</v>
      </c>
    </row>
    <row r="44" spans="1:6">
      <c r="A44" s="14"/>
      <c r="B44" s="14"/>
      <c r="C44" s="14"/>
      <c r="D44" s="17" t="s">
        <v>102</v>
      </c>
      <c r="E44" s="3" t="s">
        <v>40</v>
      </c>
      <c r="F44" s="4">
        <v>3140.5</v>
      </c>
    </row>
    <row r="45" spans="1:6">
      <c r="A45" s="14"/>
      <c r="B45" s="14"/>
      <c r="C45" s="14"/>
      <c r="D45" s="17" t="s">
        <v>102</v>
      </c>
      <c r="E45" s="3" t="s">
        <v>36</v>
      </c>
      <c r="F45" s="4">
        <v>3719.01</v>
      </c>
    </row>
    <row r="46" spans="1:6">
      <c r="A46" s="14"/>
      <c r="B46" s="14"/>
      <c r="C46" s="14"/>
      <c r="D46" s="17" t="s">
        <v>106</v>
      </c>
      <c r="E46" s="3" t="s">
        <v>108</v>
      </c>
      <c r="F46" s="4">
        <v>3471.08</v>
      </c>
    </row>
    <row r="47" spans="1:6">
      <c r="A47" s="14"/>
      <c r="B47" s="14"/>
      <c r="C47" s="14"/>
      <c r="D47" s="17" t="s">
        <v>106</v>
      </c>
      <c r="E47" s="3" t="s">
        <v>109</v>
      </c>
      <c r="F47" s="4">
        <v>9090.91</v>
      </c>
    </row>
    <row r="48" spans="1:6">
      <c r="A48" s="14"/>
      <c r="B48" s="14"/>
      <c r="C48" s="14"/>
      <c r="D48" s="17" t="s">
        <v>106</v>
      </c>
      <c r="E48" s="3" t="s">
        <v>109</v>
      </c>
      <c r="F48" s="4">
        <v>15371.9</v>
      </c>
    </row>
    <row r="49" spans="1:6">
      <c r="A49" s="14"/>
      <c r="B49" s="14"/>
      <c r="C49" s="14"/>
      <c r="D49" s="17" t="s">
        <v>106</v>
      </c>
      <c r="E49" s="3" t="s">
        <v>91</v>
      </c>
      <c r="F49" s="4">
        <v>4049.59</v>
      </c>
    </row>
    <row r="50" spans="1:6">
      <c r="A50" s="14"/>
      <c r="B50" s="14"/>
      <c r="C50" s="14"/>
      <c r="D50" s="17" t="s">
        <v>110</v>
      </c>
      <c r="E50" s="3" t="s">
        <v>111</v>
      </c>
      <c r="F50" s="4">
        <v>3471.08</v>
      </c>
    </row>
    <row r="51" spans="1:6">
      <c r="A51" s="14"/>
      <c r="B51" s="14"/>
      <c r="C51" s="14"/>
      <c r="D51" s="17" t="s">
        <v>112</v>
      </c>
      <c r="E51" s="3" t="s">
        <v>37</v>
      </c>
      <c r="F51" s="4">
        <v>9669.42</v>
      </c>
    </row>
    <row r="52" spans="1:6">
      <c r="A52" s="14"/>
      <c r="B52" s="14"/>
      <c r="C52" s="14"/>
      <c r="D52" s="17" t="s">
        <v>112</v>
      </c>
      <c r="E52" s="3" t="s">
        <v>34</v>
      </c>
      <c r="F52" s="4">
        <v>3719.01</v>
      </c>
    </row>
    <row r="53" spans="1:6">
      <c r="A53" s="14"/>
      <c r="B53" s="14"/>
      <c r="C53" s="14"/>
      <c r="D53" s="17" t="s">
        <v>112</v>
      </c>
      <c r="E53" s="3" t="s">
        <v>24</v>
      </c>
      <c r="F53" s="4">
        <v>3471.08</v>
      </c>
    </row>
    <row r="54" spans="1:6">
      <c r="A54" s="14"/>
      <c r="B54" s="14"/>
      <c r="C54" s="14"/>
      <c r="D54" s="17" t="s">
        <v>112</v>
      </c>
      <c r="E54" s="3" t="s">
        <v>46</v>
      </c>
      <c r="F54" s="4">
        <v>7024.79</v>
      </c>
    </row>
    <row r="55" spans="1:6">
      <c r="A55" s="14"/>
      <c r="B55" s="14"/>
      <c r="C55" s="14"/>
      <c r="D55" s="17" t="s">
        <v>113</v>
      </c>
      <c r="E55" s="3" t="s">
        <v>114</v>
      </c>
      <c r="F55" s="4">
        <v>8677.68</v>
      </c>
    </row>
    <row r="56" spans="1:6">
      <c r="A56" s="14"/>
      <c r="B56" s="14"/>
      <c r="C56" s="14"/>
      <c r="D56" s="17" t="s">
        <v>113</v>
      </c>
      <c r="E56" s="3" t="s">
        <v>36</v>
      </c>
      <c r="F56" s="4">
        <v>7685.96</v>
      </c>
    </row>
    <row r="57" spans="1:6">
      <c r="A57" s="5"/>
      <c r="B57" s="5"/>
      <c r="C57" s="5"/>
      <c r="D57" s="17" t="s">
        <v>113</v>
      </c>
      <c r="E57" s="3" t="s">
        <v>28</v>
      </c>
      <c r="F57" s="4">
        <v>5454.54</v>
      </c>
    </row>
    <row r="58" spans="1:6">
      <c r="A58" s="5"/>
      <c r="B58" s="5"/>
      <c r="C58" s="5"/>
      <c r="D58" s="17" t="s">
        <v>113</v>
      </c>
      <c r="E58" s="3" t="s">
        <v>96</v>
      </c>
      <c r="F58" s="4">
        <v>8677.69</v>
      </c>
    </row>
    <row r="59" spans="1:6">
      <c r="A59" s="5"/>
      <c r="B59" s="5"/>
      <c r="C59" s="5"/>
      <c r="D59" s="17" t="s">
        <v>113</v>
      </c>
      <c r="E59" s="3" t="s">
        <v>115</v>
      </c>
      <c r="F59" s="4">
        <v>9917.36</v>
      </c>
    </row>
    <row r="60" spans="1:6">
      <c r="A60" s="5"/>
      <c r="B60" s="5"/>
      <c r="C60" s="5"/>
      <c r="D60" s="17" t="s">
        <v>113</v>
      </c>
      <c r="E60" s="3" t="s">
        <v>116</v>
      </c>
      <c r="F60" s="4">
        <v>22809.919999999998</v>
      </c>
    </row>
    <row r="61" spans="1:6">
      <c r="A61" s="5"/>
      <c r="B61" s="5"/>
      <c r="C61" s="5"/>
      <c r="D61" s="17" t="s">
        <v>117</v>
      </c>
      <c r="E61" s="3" t="s">
        <v>118</v>
      </c>
      <c r="F61" s="4">
        <v>5454.54</v>
      </c>
    </row>
    <row r="62" spans="1:6">
      <c r="A62" s="5"/>
      <c r="B62" s="5"/>
      <c r="C62" s="5"/>
      <c r="D62" s="17" t="s">
        <v>117</v>
      </c>
      <c r="E62" s="3" t="s">
        <v>119</v>
      </c>
      <c r="F62" s="4">
        <v>3471.08</v>
      </c>
    </row>
    <row r="63" spans="1:6">
      <c r="A63" s="5"/>
      <c r="B63" s="5"/>
      <c r="C63" s="5"/>
      <c r="D63" s="17" t="s">
        <v>117</v>
      </c>
      <c r="E63" s="3" t="s">
        <v>120</v>
      </c>
      <c r="F63" s="4">
        <v>14256.19</v>
      </c>
    </row>
    <row r="64" spans="1:6">
      <c r="A64" s="5"/>
      <c r="B64" s="5"/>
      <c r="C64" s="5"/>
      <c r="D64" s="17" t="s">
        <v>117</v>
      </c>
      <c r="E64" s="3" t="s">
        <v>120</v>
      </c>
      <c r="F64" s="4">
        <v>13553.71</v>
      </c>
    </row>
    <row r="65" spans="1:6">
      <c r="A65" s="5"/>
      <c r="B65" s="5"/>
      <c r="C65" s="5"/>
      <c r="D65" s="17" t="s">
        <v>117</v>
      </c>
      <c r="E65" s="3" t="s">
        <v>121</v>
      </c>
      <c r="F65" s="4">
        <v>6611.57</v>
      </c>
    </row>
    <row r="66" spans="1:6">
      <c r="A66" s="5"/>
      <c r="B66" s="5"/>
      <c r="C66" s="5"/>
      <c r="D66" s="17" t="s">
        <v>122</v>
      </c>
      <c r="E66" s="3" t="s">
        <v>124</v>
      </c>
      <c r="F66" s="4">
        <v>4958.68</v>
      </c>
    </row>
    <row r="67" spans="1:6">
      <c r="A67" s="5"/>
      <c r="B67" s="5"/>
      <c r="C67" s="5"/>
      <c r="D67" s="17" t="s">
        <v>122</v>
      </c>
      <c r="E67" s="3" t="s">
        <v>44</v>
      </c>
      <c r="F67" s="4">
        <v>8285.1200000000008</v>
      </c>
    </row>
    <row r="68" spans="1:6">
      <c r="A68" s="5"/>
      <c r="B68" s="5"/>
      <c r="C68" s="5"/>
      <c r="D68" s="17" t="s">
        <v>122</v>
      </c>
      <c r="E68" s="3" t="s">
        <v>35</v>
      </c>
      <c r="F68" s="4">
        <v>3471.08</v>
      </c>
    </row>
    <row r="69" spans="1:6">
      <c r="A69" s="5"/>
      <c r="B69" s="5"/>
      <c r="C69" s="5"/>
      <c r="D69" s="17" t="s">
        <v>125</v>
      </c>
      <c r="E69" s="3" t="s">
        <v>95</v>
      </c>
      <c r="F69" s="4">
        <v>3553.72</v>
      </c>
    </row>
    <row r="70" spans="1:6">
      <c r="A70" s="5"/>
      <c r="B70" s="5"/>
      <c r="C70" s="5"/>
      <c r="D70" s="17" t="s">
        <v>125</v>
      </c>
      <c r="E70" s="3" t="s">
        <v>126</v>
      </c>
      <c r="F70" s="4">
        <v>6611.57</v>
      </c>
    </row>
    <row r="71" spans="1:6" ht="15.75">
      <c r="A71" s="6" t="s">
        <v>20</v>
      </c>
      <c r="B71" s="6"/>
      <c r="C71" s="7">
        <f>SUM(C3:C70)</f>
        <v>2761931.7599999984</v>
      </c>
      <c r="D71" s="6" t="s">
        <v>20</v>
      </c>
      <c r="E71" s="6"/>
      <c r="F71" s="13">
        <f>SUM(F3:F70)</f>
        <v>629726.31999999995</v>
      </c>
    </row>
    <row r="72" spans="1:6" ht="15.75">
      <c r="A72" s="9" t="s">
        <v>21</v>
      </c>
      <c r="B72" s="9"/>
      <c r="C72" s="10">
        <f>(C71*0.21)</f>
        <v>580005.66959999967</v>
      </c>
      <c r="D72" s="9" t="s">
        <v>21</v>
      </c>
      <c r="E72" s="9"/>
      <c r="F72" s="8">
        <f>(F71*0.21)</f>
        <v>132242.52719999998</v>
      </c>
    </row>
    <row r="73" spans="1:6" ht="15.75">
      <c r="A73" s="9" t="s">
        <v>22</v>
      </c>
      <c r="B73" s="9"/>
      <c r="C73" s="11">
        <f>SUM(C71:C72)</f>
        <v>3341937.4295999981</v>
      </c>
      <c r="D73" s="9" t="s">
        <v>22</v>
      </c>
      <c r="E73" s="9"/>
      <c r="F73" s="12">
        <f>SUM(F71:F72)</f>
        <v>761968.84719999996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2023-02-03T20:23:24Z</dcterms:modified>
</cp:coreProperties>
</file>