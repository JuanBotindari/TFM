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ORTOPEDIA GEMINIS\CPRAS VTAS 2025\10-2025\"/>
    </mc:Choice>
  </mc:AlternateContent>
  <xr:revisionPtr revIDLastSave="0" documentId="13_ncr:1_{17ABCD8F-A5AC-4F95-B45E-D174E3C4F9D9}" xr6:coauthVersionLast="47" xr6:coauthVersionMax="47" xr10:uidLastSave="{00000000-0000-0000-0000-000000000000}"/>
  <bookViews>
    <workbookView xWindow="-120" yWindow="-120" windowWidth="29040" windowHeight="15840" tabRatio="500" activeTab="3" xr2:uid="{00000000-000D-0000-FFFF-FFFF00000000}"/>
  </bookViews>
  <sheets>
    <sheet name="Configuracion" sheetId="1" r:id="rId1"/>
    <sheet name="Octubre 25" sheetId="2" r:id="rId2"/>
    <sheet name="Calculo IVA" sheetId="4" r:id="rId3"/>
    <sheet name="Ventas 10" sheetId="11" r:id="rId4"/>
    <sheet name="Compras 10" sheetId="3" r:id="rId5"/>
    <sheet name="arcasss" sheetId="15" state="hidden" r:id="rId6"/>
  </sheets>
  <definedNames>
    <definedName name="_xlnm._FilterDatabase" localSheetId="5" hidden="1">arcasss!$A$9:$AE$162</definedName>
    <definedName name="_xlnm._FilterDatabase" localSheetId="4" hidden="1">'Compras 10'!$A$1:$W$177</definedName>
    <definedName name="_xlnm._FilterDatabase" localSheetId="0" hidden="1">Configuracion!$A$3:$C$540</definedName>
    <definedName name="_xlnm._FilterDatabase" localSheetId="3" hidden="1">'Ventas 10'!$A$11:$T$466</definedName>
    <definedName name="_xlnm.Print_Area" localSheetId="1">'Octubre 25'!$A$1:$N$22</definedName>
    <definedName name="partner_id" localSheetId="0">Configuracion!$B$332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77" i="3" l="1"/>
  <c r="U176" i="3"/>
  <c r="N176" i="3"/>
  <c r="I177" i="3"/>
  <c r="N183" i="3" s="1"/>
  <c r="N184" i="3" s="1"/>
  <c r="J177" i="3"/>
  <c r="K177" i="3"/>
  <c r="M183" i="3" s="1"/>
  <c r="M184" i="3" s="1"/>
  <c r="L177" i="3"/>
  <c r="M177" i="3"/>
  <c r="O177" i="3"/>
  <c r="P177" i="3"/>
  <c r="Q177" i="3"/>
  <c r="R177" i="3"/>
  <c r="S177" i="3"/>
  <c r="T177" i="3"/>
  <c r="U177" i="3"/>
  <c r="N175" i="3"/>
  <c r="U175" i="3" s="1"/>
  <c r="U174" i="3"/>
  <c r="N174" i="3"/>
  <c r="N173" i="3"/>
  <c r="U173" i="3" s="1"/>
  <c r="G177" i="3"/>
  <c r="H177" i="3"/>
  <c r="N56" i="3"/>
  <c r="U56" i="3" s="1"/>
  <c r="N161" i="3"/>
  <c r="J161" i="3" s="1"/>
  <c r="U161" i="3" s="1"/>
  <c r="N160" i="3"/>
  <c r="J160" i="3" s="1"/>
  <c r="U160" i="3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D13" i="4" l="1"/>
  <c r="C13" i="4"/>
  <c r="L183" i="3"/>
  <c r="L185" i="3" s="1"/>
  <c r="B13" i="4"/>
  <c r="AA140" i="15"/>
  <c r="AA119" i="15"/>
  <c r="AA90" i="15"/>
  <c r="L184" i="3" l="1"/>
  <c r="L186" i="3" s="1"/>
  <c r="I6" i="15"/>
  <c r="B6" i="4"/>
  <c r="H9" i="11"/>
  <c r="D16" i="4" l="1"/>
  <c r="D9" i="11"/>
  <c r="E8" i="11"/>
  <c r="G8" i="11" s="1"/>
  <c r="E7" i="11"/>
  <c r="G7" i="11" s="1"/>
  <c r="E6" i="11"/>
  <c r="G6" i="11" s="1"/>
  <c r="E5" i="11"/>
  <c r="G5" i="11" s="1"/>
  <c r="E4" i="11"/>
  <c r="C41" i="4"/>
  <c r="B7" i="4"/>
  <c r="C7" i="4" s="1"/>
  <c r="D7" i="4" s="1"/>
  <c r="H106" i="2"/>
  <c r="G105" i="2"/>
  <c r="F105" i="2"/>
  <c r="E105" i="2"/>
  <c r="F104" i="2"/>
  <c r="G104" i="2" s="1"/>
  <c r="E104" i="2"/>
  <c r="F103" i="2"/>
  <c r="G103" i="2" s="1"/>
  <c r="E103" i="2"/>
  <c r="F102" i="2"/>
  <c r="G102" i="2" s="1"/>
  <c r="E102" i="2"/>
  <c r="F101" i="2"/>
  <c r="G101" i="2" s="1"/>
  <c r="E101" i="2"/>
  <c r="F96" i="2"/>
  <c r="G95" i="2"/>
  <c r="I95" i="2" s="1"/>
  <c r="E95" i="2"/>
  <c r="G94" i="2"/>
  <c r="I94" i="2" s="1"/>
  <c r="E94" i="2"/>
  <c r="G93" i="2"/>
  <c r="I93" i="2" s="1"/>
  <c r="E93" i="2"/>
  <c r="G92" i="2"/>
  <c r="I92" i="2" s="1"/>
  <c r="E92" i="2"/>
  <c r="G91" i="2"/>
  <c r="I91" i="2" s="1"/>
  <c r="E91" i="2"/>
  <c r="G90" i="2"/>
  <c r="I90" i="2" s="1"/>
  <c r="E90" i="2"/>
  <c r="I89" i="2"/>
  <c r="G89" i="2"/>
  <c r="E89" i="2"/>
  <c r="G88" i="2"/>
  <c r="I88" i="2" s="1"/>
  <c r="E88" i="2"/>
  <c r="G87" i="2"/>
  <c r="I87" i="2" s="1"/>
  <c r="E87" i="2"/>
  <c r="I79" i="2"/>
  <c r="H79" i="2"/>
  <c r="G79" i="2"/>
  <c r="C35" i="4" s="1"/>
  <c r="F79" i="2"/>
  <c r="F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N18" i="2"/>
  <c r="M18" i="2"/>
  <c r="L18" i="2"/>
  <c r="K18" i="2"/>
  <c r="J18" i="2"/>
  <c r="I18" i="2"/>
  <c r="H18" i="2"/>
  <c r="F18" i="2"/>
  <c r="P17" i="2"/>
  <c r="G17" i="2"/>
  <c r="O17" i="2" s="1"/>
  <c r="E17" i="2"/>
  <c r="P16" i="2"/>
  <c r="G16" i="2"/>
  <c r="O16" i="2" s="1"/>
  <c r="E16" i="2"/>
  <c r="P15" i="2"/>
  <c r="O15" i="2"/>
  <c r="G15" i="2"/>
  <c r="E15" i="2"/>
  <c r="P14" i="2"/>
  <c r="G14" i="2"/>
  <c r="O14" i="2" s="1"/>
  <c r="E14" i="2"/>
  <c r="P13" i="2"/>
  <c r="G13" i="2"/>
  <c r="O13" i="2" s="1"/>
  <c r="E13" i="2"/>
  <c r="P12" i="2"/>
  <c r="O12" i="2"/>
  <c r="G12" i="2"/>
  <c r="E12" i="2"/>
  <c r="P11" i="2"/>
  <c r="G11" i="2"/>
  <c r="O11" i="2" s="1"/>
  <c r="E11" i="2"/>
  <c r="P10" i="2"/>
  <c r="G10" i="2"/>
  <c r="O10" i="2" s="1"/>
  <c r="E10" i="2"/>
  <c r="P9" i="2"/>
  <c r="O9" i="2"/>
  <c r="G9" i="2"/>
  <c r="E9" i="2"/>
  <c r="P8" i="2"/>
  <c r="G8" i="2"/>
  <c r="O8" i="2" s="1"/>
  <c r="E8" i="2"/>
  <c r="O18" i="2" l="1"/>
  <c r="G106" i="2"/>
  <c r="G96" i="2"/>
  <c r="G18" i="2"/>
  <c r="G19" i="2" s="1"/>
  <c r="C55" i="4"/>
  <c r="C59" i="4" s="1"/>
  <c r="B16" i="4"/>
  <c r="E9" i="11"/>
  <c r="G9" i="11" s="1"/>
  <c r="B8" i="4"/>
  <c r="C6" i="4"/>
  <c r="C8" i="4" s="1"/>
  <c r="G4" i="11"/>
  <c r="C16" i="4"/>
  <c r="I96" i="2"/>
  <c r="F106" i="2"/>
  <c r="C43" i="4"/>
  <c r="C47" i="4" l="1"/>
  <c r="C51" i="4" s="1"/>
  <c r="C62" i="4" s="1"/>
  <c r="D6" i="4"/>
  <c r="D8" i="4" s="1"/>
</calcChain>
</file>

<file path=xl/sharedStrings.xml><?xml version="1.0" encoding="utf-8"?>
<sst xmlns="http://schemas.openxmlformats.org/spreadsheetml/2006/main" count="6642" uniqueCount="1800">
  <si>
    <t>CUIT</t>
  </si>
  <si>
    <t>Cargar sin guiones</t>
  </si>
  <si>
    <t>RAZON SOCIAL</t>
  </si>
  <si>
    <t>Maximo 30 caracteres</t>
  </si>
  <si>
    <t>DETALLE</t>
  </si>
  <si>
    <t>Cargar tipo de gasto</t>
  </si>
  <si>
    <t>ALBAMIE SA</t>
  </si>
  <si>
    <t>CLIENTE</t>
  </si>
  <si>
    <t>2PSI INGENIERIA SRL</t>
  </si>
  <si>
    <t>PROVEEDOR</t>
  </si>
  <si>
    <t>3PI S.A.S.</t>
  </si>
  <si>
    <t>ABC SA</t>
  </si>
  <si>
    <t>VARIOS</t>
  </si>
  <si>
    <t>ABOY DIEGO OSCAR</t>
  </si>
  <si>
    <t>ABUGAUCH MARIA DE LOS ANGELES</t>
  </si>
  <si>
    <t>ABUGAUCH VICTOR HUGO</t>
  </si>
  <si>
    <t>ACOSTA JAVIER GUSTAVO</t>
  </si>
  <si>
    <t>FLETE</t>
  </si>
  <si>
    <t>ACOSTA OSCAR ISIDRO</t>
  </si>
  <si>
    <t>AGRISOL SA</t>
  </si>
  <si>
    <t>ALAN COLLECTION SA</t>
  </si>
  <si>
    <t>ALBAJARI DIEGO MARCOS</t>
  </si>
  <si>
    <t>ALBERTO JORGE PASCUET</t>
  </si>
  <si>
    <t>GASTOS VARIOS</t>
  </si>
  <si>
    <t>ALEXANDER FLEMING SA</t>
  </si>
  <si>
    <t>ALFREDO OMAR POTENZA SRL</t>
  </si>
  <si>
    <t>INSUMOS</t>
  </si>
  <si>
    <t>ALG INDUMENTARIAS SRL</t>
  </si>
  <si>
    <t>ALO FER SA</t>
  </si>
  <si>
    <t>ALSINA MARCELO DANIEL SH</t>
  </si>
  <si>
    <t>ALTO CALABRIA SRL</t>
  </si>
  <si>
    <t>ALVAREZ BETINA EVELIN</t>
  </si>
  <si>
    <t>ALVAREZ NIDIA ANGELA</t>
  </si>
  <si>
    <t>AMERELLI MIRTA SUSANA</t>
  </si>
  <si>
    <t>AMERICAN EXPRESS ARG SA</t>
  </si>
  <si>
    <t>TARJETA</t>
  </si>
  <si>
    <t>ANDRES PAPAZIAN Y ANDRE P SH</t>
  </si>
  <si>
    <t>ANTARES INDUST. ORTOPEDICAS SA</t>
  </si>
  <si>
    <t>APICELLA VANESA DANIELA</t>
  </si>
  <si>
    <t>HONORARIOS</t>
  </si>
  <si>
    <t>AQUINO EDUARDO Y RODRIGUEZ SH</t>
  </si>
  <si>
    <t>ARMAGALLI SA</t>
  </si>
  <si>
    <t>ARTYLUZ SRL</t>
  </si>
  <si>
    <t>ASIAL SRL</t>
  </si>
  <si>
    <t>ASOCIACION MUTUAL SANCOR SALUD</t>
  </si>
  <si>
    <t>ATENCION AMBULATORIA S.A.</t>
  </si>
  <si>
    <t>ATHAND S.R.L.</t>
  </si>
  <si>
    <t>AUTONAVI SRL</t>
  </si>
  <si>
    <t>AUTOPISTAS DEL SOL SA</t>
  </si>
  <si>
    <t>PEAJE</t>
  </si>
  <si>
    <t>AUTOPISTAS URBANAS SA</t>
  </si>
  <si>
    <t>AYALA MAURICIO JUAN JOSE</t>
  </si>
  <si>
    <t>AYUDAS TECNICAS SRL</t>
  </si>
  <si>
    <t>AZIBI SA</t>
  </si>
  <si>
    <t>BAIRES CARTELES SA</t>
  </si>
  <si>
    <t>BAIRES ROCKS SRL</t>
  </si>
  <si>
    <t>BALANZE SA</t>
  </si>
  <si>
    <t>BANCO ALICIA SRL</t>
  </si>
  <si>
    <t>BARBARO SC</t>
  </si>
  <si>
    <t>BARREDA JORGE OSVALDO</t>
  </si>
  <si>
    <t>BELLA RODOLFO GUSTAVO</t>
  </si>
  <si>
    <t>BENNUN FERNANDO RUBEN</t>
  </si>
  <si>
    <t>BIGBOX SA</t>
  </si>
  <si>
    <t>BIODINAMICA ASIST E INSUMOS</t>
  </si>
  <si>
    <t>BIOMAX INSUMOS MEDICOS SA</t>
  </si>
  <si>
    <t>BLASCO MARIA GUADALUPE</t>
  </si>
  <si>
    <t>BOLLERO JUAN CARLOS</t>
  </si>
  <si>
    <t>BOTINDARI FEDERICO DANIEL</t>
  </si>
  <si>
    <t>BOTINDARI JUAN CARLOS</t>
  </si>
  <si>
    <t>BOTINDARI JUAN IGNACIO</t>
  </si>
  <si>
    <t>BOUREAU QUALITAS SRL</t>
  </si>
  <si>
    <t>BRACHETTA SEBASTIAN NICOLAS</t>
  </si>
  <si>
    <t>BRANCH SRL</t>
  </si>
  <si>
    <t>BRIÑON DANIELA</t>
  </si>
  <si>
    <t>BROKERS SA</t>
  </si>
  <si>
    <t>BUSACCA PALA EDITH</t>
  </si>
  <si>
    <t>CABELLO LETICIA JESICA</t>
  </si>
  <si>
    <t>CANCINO PAMELA RITA</t>
  </si>
  <si>
    <t>CAPOFLEX SRL</t>
  </si>
  <si>
    <t>CAPRI HNOS SH</t>
  </si>
  <si>
    <t>CARBONELLI VERACRUZ MAGALI</t>
  </si>
  <si>
    <t>CARFLEX SRL</t>
  </si>
  <si>
    <t>CARLA HIRSCH</t>
  </si>
  <si>
    <t>CARLOS RODOLFO FERNANDEZ</t>
  </si>
  <si>
    <t>CARMAS SA</t>
  </si>
  <si>
    <t>CARUSO NICOLAS JOEL</t>
  </si>
  <si>
    <t>CASA ABE SA</t>
  </si>
  <si>
    <t>CASA SUEDY SA</t>
  </si>
  <si>
    <t>CASTAÑO AUTOVOX SRL</t>
  </si>
  <si>
    <t>CASTRO TORNERIA SRL</t>
  </si>
  <si>
    <t>CECBA</t>
  </si>
  <si>
    <t>CENCOSUD S.A.</t>
  </si>
  <si>
    <t>CENTRO MEDICO AMENABAR SRL</t>
  </si>
  <si>
    <t>CENTRO ORTOPEDICO SAN LUIS</t>
  </si>
  <si>
    <t>CENTURION JACQUELINE ESTEFANIA</t>
  </si>
  <si>
    <t>CEREALES DON NINO SA</t>
  </si>
  <si>
    <t>CEVEN SA</t>
  </si>
  <si>
    <t>CHITCHIAN SA</t>
  </si>
  <si>
    <t>CIERRES, ABROJO &amp; HERRAJES SRL</t>
  </si>
  <si>
    <t>COLARUSSO JUAN FRANCISCO</t>
  </si>
  <si>
    <t>COLLAZO MAURO GABRIEL</t>
  </si>
  <si>
    <t>COLOMBO EMBALAJES</t>
  </si>
  <si>
    <t>COLTEX SRL</t>
  </si>
  <si>
    <t>COMERCIALIZADORA MORRES SA</t>
  </si>
  <si>
    <t>COMINI PABLO RUBEN</t>
  </si>
  <si>
    <t>CONGRESO INSUMOS SA</t>
  </si>
  <si>
    <t>CONSORCIO BARTOLME MITRE 2466</t>
  </si>
  <si>
    <t>CONSORCIO</t>
  </si>
  <si>
    <t>CONTERI EDGARDO MARCELO</t>
  </si>
  <si>
    <t>CONTROL TECNICO DE VEH. SA</t>
  </si>
  <si>
    <t>CONVERTI CLAUDIO ROBERTO</t>
  </si>
  <si>
    <t>CORRAO HECTOR RUBEN</t>
  </si>
  <si>
    <t>CORREO ANDREANI SA</t>
  </si>
  <si>
    <t>CORREO OFICIAL DE LA REPUBLICA ARGENTINA SOCIEDAD ANONIMA</t>
  </si>
  <si>
    <t>CORREO</t>
  </si>
  <si>
    <t>CORTELLA ANA MARIA</t>
  </si>
  <si>
    <t>COTO CICSA</t>
  </si>
  <si>
    <t>CPS COMUNICACIONES SA</t>
  </si>
  <si>
    <t>SERVICIO</t>
  </si>
  <si>
    <t>CRUZ PATAGONICA SRL</t>
  </si>
  <si>
    <t>D Y R MEDICAL DEPOT SA</t>
  </si>
  <si>
    <t>DAMARFU SA</t>
  </si>
  <si>
    <t xml:space="preserve">DAP WORLD </t>
  </si>
  <si>
    <t>DE OFFICE SRL</t>
  </si>
  <si>
    <t>DEHEZA SAICFeI</t>
  </si>
  <si>
    <t>DEL DIESTRO MARIA PATRICIA</t>
  </si>
  <si>
    <t>DEL GESSO FRANCO JESUS</t>
  </si>
  <si>
    <t>DELGADO GUSTABO ADOLFO</t>
  </si>
  <si>
    <t>DELICIAS MITRE</t>
  </si>
  <si>
    <t>DELSUR AUTOS SA</t>
  </si>
  <si>
    <t>DEMARIA AUGUSTO CARLOS</t>
  </si>
  <si>
    <t>DESPEGAR.COM.AR SA</t>
  </si>
  <si>
    <t>DEXTRUM SRL</t>
  </si>
  <si>
    <t>DI FEO CHRISTIAN HERNAN</t>
  </si>
  <si>
    <t>DI FEO HORACIO HUMBERTO D</t>
  </si>
  <si>
    <t>DI FEO HUGO PASCUAL GUILLERMO</t>
  </si>
  <si>
    <t>DIA ARGENTINA SA</t>
  </si>
  <si>
    <t>DIAGNOSTIC MEDIC SA</t>
  </si>
  <si>
    <t>DIAZ ESTECHE CYNTHIA MARIA</t>
  </si>
  <si>
    <t>DIAZ JORGE ALBERTO</t>
  </si>
  <si>
    <t>DIEGO MARTIN RIOS</t>
  </si>
  <si>
    <t>DIETRICH SA</t>
  </si>
  <si>
    <t>DIMEO LUCIANO</t>
  </si>
  <si>
    <t>GASTOS MOVILIDAD</t>
  </si>
  <si>
    <t>DINAMO SRL</t>
  </si>
  <si>
    <t>DISEÑOS JERY SRL</t>
  </si>
  <si>
    <t>DISTRI AIRES SRL</t>
  </si>
  <si>
    <t>LIBRERÍA</t>
  </si>
  <si>
    <t>DISTRIBUIDORA LARREA SA</t>
  </si>
  <si>
    <t>DM TECHNOLOGY</t>
  </si>
  <si>
    <t>DOBARRO PAULA MARCELA</t>
  </si>
  <si>
    <t>DROGUERIA MARTORANI SA</t>
  </si>
  <si>
    <t>DRUETTA ANDREA MARIEL</t>
  </si>
  <si>
    <t>TECNICO</t>
  </si>
  <si>
    <t>DUARTE FABIAN RODOLFO</t>
  </si>
  <si>
    <t>DULCE ESTILO SA</t>
  </si>
  <si>
    <t>EDUARDO ALVAREZ Y H G SH</t>
  </si>
  <si>
    <t>EDUARDO BELLAVIA</t>
  </si>
  <si>
    <t>EL JUMILIANO SA</t>
  </si>
  <si>
    <t>EL RINCON DE PIEDRA D.. SRL</t>
  </si>
  <si>
    <t>EL UNIV DEL CONTROL REM SRL</t>
  </si>
  <si>
    <t>ELECTRICIDAD AREV S R L</t>
  </si>
  <si>
    <t>EMPRENDIMIENTOS SATELITALES SA</t>
  </si>
  <si>
    <t>ENCINA AVELINO</t>
  </si>
  <si>
    <t>ESCRIBANO</t>
  </si>
  <si>
    <t>ENRIQUE MARTIN ROSSI SA</t>
  </si>
  <si>
    <t>ENSALUD SA</t>
  </si>
  <si>
    <t>ENVADEC SRL</t>
  </si>
  <si>
    <t>ESPAÑA ALEJANDRO JORGE</t>
  </si>
  <si>
    <t>ESPASA SA</t>
  </si>
  <si>
    <t>CONSECIONARIA</t>
  </si>
  <si>
    <t>ESPINOSA ARTURO RUBEN</t>
  </si>
  <si>
    <t>ESPOSITO FRANCISCO ANT Y OT SH</t>
  </si>
  <si>
    <t>ESTACION DE SERVICIO ALC SRL</t>
  </si>
  <si>
    <t>ESTACION LIMA SA</t>
  </si>
  <si>
    <t>30-56864959-8</t>
  </si>
  <si>
    <t>EXPRESO BISONTE SRL</t>
  </si>
  <si>
    <t>EXPRESO FORMOSA SRL</t>
  </si>
  <si>
    <t>EXPRESO MAR DEL PLATA SA</t>
  </si>
  <si>
    <t>EXPRESO TROLE SRL</t>
  </si>
  <si>
    <t>EYPAPEL SAS</t>
  </si>
  <si>
    <t>FABORT SRL</t>
  </si>
  <si>
    <t>FAIL ABRAHAM</t>
  </si>
  <si>
    <t>FARMACIA DE MEDRANO SCS</t>
  </si>
  <si>
    <t>FARMACITY SA</t>
  </si>
  <si>
    <t>FEDAGAS SA</t>
  </si>
  <si>
    <t>FEDERICO PABLO FEOLA</t>
  </si>
  <si>
    <t>FERNANDEZ MAURO</t>
  </si>
  <si>
    <t>TALLER</t>
  </si>
  <si>
    <t>FERREIRA LILIANA INES</t>
  </si>
  <si>
    <t>FERRETERIA CENTRAL SRL</t>
  </si>
  <si>
    <t>FERRETERIA INDUSTRIAL ONCE SRL</t>
  </si>
  <si>
    <t>FIRSTECH SA</t>
  </si>
  <si>
    <t>FIRSTLABEL SRL</t>
  </si>
  <si>
    <t>FLUSS SA</t>
  </si>
  <si>
    <t>FONTANELLA SILVANA GABRIELA</t>
  </si>
  <si>
    <t>FRANCESE GONZALO ROMAN</t>
  </si>
  <si>
    <t>FRATERNA COOP DE PROVISION</t>
  </si>
  <si>
    <t>FUNDACION EMPRESARIA MADERERA</t>
  </si>
  <si>
    <t>FUNDACION I.Q. DEL CALLAO</t>
  </si>
  <si>
    <t>FURLANETTO MARTIN</t>
  </si>
  <si>
    <t>FURLANETTO VICTOR</t>
  </si>
  <si>
    <t>GABRIEL ALEJANDRO SEGAL</t>
  </si>
  <si>
    <t>GAETE MONICA ELIZABETH</t>
  </si>
  <si>
    <t>GAJARDO ALAN GABRIEL</t>
  </si>
  <si>
    <t>GALE GABRIELA</t>
  </si>
  <si>
    <t>GALENO ARGENTINA SA</t>
  </si>
  <si>
    <t>GALENO ART SA</t>
  </si>
  <si>
    <t>GALIANO MARIA LIDIA</t>
  </si>
  <si>
    <t>GALOS MONICA BEATRIZ</t>
  </si>
  <si>
    <t>GAMALECTRIC SA</t>
  </si>
  <si>
    <t>GARCIA BATALLAN LAUTARO</t>
  </si>
  <si>
    <t>GARCIA JUAN IGNACIO</t>
  </si>
  <si>
    <t>GASPAR BERNARDI E HIJOS SA</t>
  </si>
  <si>
    <t>GELFORM SRL</t>
  </si>
  <si>
    <t>GENDARMERIA NACIONAL</t>
  </si>
  <si>
    <t>GEODIGITAL GROUP SRL</t>
  </si>
  <si>
    <t>GIAMPAOLETTI SA</t>
  </si>
  <si>
    <t>GISELLE ANAHI OLGUIN</t>
  </si>
  <si>
    <t>GITMED INSUMOS MEDICOS SRL</t>
  </si>
  <si>
    <t>GIULIETTI LUIS ALBERTO</t>
  </si>
  <si>
    <t>GLOBAL BUSINESS SRL</t>
  </si>
  <si>
    <t>GMRA SA</t>
  </si>
  <si>
    <t>GOMATODO SRL</t>
  </si>
  <si>
    <t>GOMEZ FENZEL FACUNDO</t>
  </si>
  <si>
    <t>GONZALEZ ALFREDO SEBASTIAN</t>
  </si>
  <si>
    <t>GONZALEZ CARLOS RAUL</t>
  </si>
  <si>
    <t>GONZALEZ CARRERA JORGE</t>
  </si>
  <si>
    <t>GONZALEZ ROMANO JORGE RAMIRO</t>
  </si>
  <si>
    <t>GONZALEZ SAGASETA GABRIEL</t>
  </si>
  <si>
    <t>GONZALEZ, SIBIARDO OSCAR Y VM</t>
  </si>
  <si>
    <t>GRAFF ORTOPEDIA</t>
  </si>
  <si>
    <t>GRAN VIEW SRL</t>
  </si>
  <si>
    <t>GREEN GARDEN MARKET SA</t>
  </si>
  <si>
    <t>GRIDEL WALTER DIEGO</t>
  </si>
  <si>
    <t>GRUPO CONC.DEL OESTE SA</t>
  </si>
  <si>
    <t>GRUPO NORTE SRL</t>
  </si>
  <si>
    <t>GUILLAN SANDRA SILVIA</t>
  </si>
  <si>
    <t>GUTIERREZ BRITO GERARDO</t>
  </si>
  <si>
    <t>HABLENDEAUNO SA</t>
  </si>
  <si>
    <t>HARD BOX SRL</t>
  </si>
  <si>
    <t>HC HOMECARE INT DOM SA</t>
  </si>
  <si>
    <t>HECTOR EMILIANO ROSSINI</t>
  </si>
  <si>
    <t>HERMIDA ADRIANA MARCELA</t>
  </si>
  <si>
    <t>HERNANDEZ MARCELO</t>
  </si>
  <si>
    <t>HERNANDEZ RIVERO ADRIAN</t>
  </si>
  <si>
    <t>HERRERA CARLOS MARTIN</t>
  </si>
  <si>
    <t>HERRERA GUILLERMO SEBASTIAN</t>
  </si>
  <si>
    <t>HERRERA SERGIO DANIEL ALBERTO</t>
  </si>
  <si>
    <t>CAMARAS</t>
  </si>
  <si>
    <t>HERRERO CHRISTIAN GUSTAVO</t>
  </si>
  <si>
    <t>HINCK SA</t>
  </si>
  <si>
    <t>HIPER ON LINE SRL</t>
  </si>
  <si>
    <t>HOSPIMED SA</t>
  </si>
  <si>
    <t>IALLONARDO SERGIO</t>
  </si>
  <si>
    <t>IMIG WALTER DAMIAN</t>
  </si>
  <si>
    <t>IMPIERI, PIÑEIRO, RIZZO Y A SA</t>
  </si>
  <si>
    <t>INC SA</t>
  </si>
  <si>
    <t>INC SOCIEDAD ANONIMA</t>
  </si>
  <si>
    <t>INCAT SRL</t>
  </si>
  <si>
    <t>INDEFLEX SA</t>
  </si>
  <si>
    <t>INST. CARDIOVASCULAR BSAS SA</t>
  </si>
  <si>
    <t>INSTALACIONES COM. TISERA SA</t>
  </si>
  <si>
    <t>INTENSE LIFE SA</t>
  </si>
  <si>
    <t>INTERMED SRL</t>
  </si>
  <si>
    <t>IPROSS</t>
  </si>
  <si>
    <t>IRIME SRL</t>
  </si>
  <si>
    <t>IRLA DARIO GABRIEL</t>
  </si>
  <si>
    <t>ISEC</t>
  </si>
  <si>
    <t>ITALOMED PRODUCTOS SRL</t>
  </si>
  <si>
    <t>ITALSUR SA</t>
  </si>
  <si>
    <t>ITPROUSER SA</t>
  </si>
  <si>
    <t>J Y F TOYS SRL</t>
  </si>
  <si>
    <t>JCR TRAINING SRL</t>
  </si>
  <si>
    <t>JORGE JABIER OBARRIO</t>
  </si>
  <si>
    <t>JOSE LUIS ARANA SRL</t>
  </si>
  <si>
    <t>KENNEL SEBASTIAN</t>
  </si>
  <si>
    <t>KLAINER ABEL JAVIER</t>
  </si>
  <si>
    <t>KOGAN LEWIT WINSTON DANIEL</t>
  </si>
  <si>
    <t>KRUGER BRUNA</t>
  </si>
  <si>
    <t>LA BRUNA MARIA VIRGINIA</t>
  </si>
  <si>
    <t>LABORATORIOS DIRAL SRL</t>
  </si>
  <si>
    <t>LABORATORIOS SLR</t>
  </si>
  <si>
    <t>LACCO MARIA FLORENCIA</t>
  </si>
  <si>
    <t>LANDRO FERNANDO GABRIEL</t>
  </si>
  <si>
    <t>LATI NISIM ARIEL</t>
  </si>
  <si>
    <t>LEON MILGROM Y CIA SAECEI</t>
  </si>
  <si>
    <t>L'EXPRES S.A.</t>
  </si>
  <si>
    <t>LIEFRINK Y MARX SA</t>
  </si>
  <si>
    <t>LIGIER SA</t>
  </si>
  <si>
    <t>LIN FANG</t>
  </si>
  <si>
    <t>LINKEDSTORE ARGENTINA SRL</t>
  </si>
  <si>
    <t>LIROLA FABIAN ALEJANDRO</t>
  </si>
  <si>
    <t>LISNIZER ISABEL JULIANA</t>
  </si>
  <si>
    <t>LOGIN DOOR SA</t>
  </si>
  <si>
    <t>LOGISTICAS PATRICIOS SA</t>
  </si>
  <si>
    <t>LOPEZ JORGE ALBERTO</t>
  </si>
  <si>
    <t>LUBRICANTES RUTA DE P e H SRL</t>
  </si>
  <si>
    <t>LUIS A MARTORANI Y CIA SA</t>
  </si>
  <si>
    <t>LUNA BONITA SRL</t>
  </si>
  <si>
    <t>MA JUN</t>
  </si>
  <si>
    <t>MACHADO ELIANA NOEMI</t>
  </si>
  <si>
    <t>MADERERA LLAVALLOL SA</t>
  </si>
  <si>
    <t>MAGALLAN SRL</t>
  </si>
  <si>
    <t>MALDONADO LIDIA ESTELA</t>
  </si>
  <si>
    <t>MANGGINI PABLO Y M ULISES SH</t>
  </si>
  <si>
    <t>MARIA AGUSTINA PEREYRA</t>
  </si>
  <si>
    <t>MARIA ESPERANZA CORVALAN</t>
  </si>
  <si>
    <t>MARIA NATALIA OLIVIERI</t>
  </si>
  <si>
    <t>MARIÑO GERMAN</t>
  </si>
  <si>
    <t>MARTINEZ ALEJANDRA ELIZABETH</t>
  </si>
  <si>
    <t>MAT CONST LOS PORTUGUESES SA</t>
  </si>
  <si>
    <t>MATTEAZZI DYHENART CLAUDIA</t>
  </si>
  <si>
    <t>MAVISUR SA</t>
  </si>
  <si>
    <t>MAXIMA REFRIGERACION SRL</t>
  </si>
  <si>
    <t>MAYCAR SA</t>
  </si>
  <si>
    <t>MEDICAL FOAM SRL</t>
  </si>
  <si>
    <t>MEDICAL IMPROVEMENTS SRL</t>
  </si>
  <si>
    <t>MEDICINA PREPAGA HOMINIS SA</t>
  </si>
  <si>
    <t>MEDICUS SA</t>
  </si>
  <si>
    <t>MELGAREJO NICOLAS EMILIO</t>
  </si>
  <si>
    <t>MELICASLAT SRL</t>
  </si>
  <si>
    <t>MERCADOLIBRE SRL</t>
  </si>
  <si>
    <t>MEYAR SA</t>
  </si>
  <si>
    <t>MGR IMPLANTES SA</t>
  </si>
  <si>
    <t>MIGOYA CESAR ALBERTO</t>
  </si>
  <si>
    <t>ALQUILER/HONORARIOS</t>
  </si>
  <si>
    <t>MIRANDA LUIS ALBERTO</t>
  </si>
  <si>
    <t>MIRVAR SA</t>
  </si>
  <si>
    <t>MLND SRL</t>
  </si>
  <si>
    <t>MOLINO MARIANO GASTON</t>
  </si>
  <si>
    <t>MOLLO CAROLINA</t>
  </si>
  <si>
    <t>MONITOR ARTISTICA SA</t>
  </si>
  <si>
    <t>MORILLA HORACIO ALBERTO</t>
  </si>
  <si>
    <t>MORIONDO ADRIANA INES</t>
  </si>
  <si>
    <t>MULTICREA SA</t>
  </si>
  <si>
    <t>MULTIPLACAS SA</t>
  </si>
  <si>
    <t>NADAL ROBERTO</t>
  </si>
  <si>
    <t>NADIA TARANTINO</t>
  </si>
  <si>
    <t>NARDOMARINO EDUARDO FRANCISCO</t>
  </si>
  <si>
    <t>NARDOMARINO EZEQUIEL EDUARDO</t>
  </si>
  <si>
    <t>NARVAEZ RODRIGUEZ DAMIAN</t>
  </si>
  <si>
    <t>NESCI EMILIANO GABRIEL</t>
  </si>
  <si>
    <t>NESTOR LUIS VINAGRE</t>
  </si>
  <si>
    <t>NEUMATICOS GARCIA CANO SRL</t>
  </si>
  <si>
    <t>NGSHOP SRL</t>
  </si>
  <si>
    <t>NICA SA</t>
  </si>
  <si>
    <t>NICOLAS TOBIAS SEQUEIRA Y MG</t>
  </si>
  <si>
    <t>NOLAZCO EDUARDO ARTURO</t>
  </si>
  <si>
    <t>NOVOTEC ARGENTINA SRL</t>
  </si>
  <si>
    <t>NSS SA - IPLAN</t>
  </si>
  <si>
    <t>NT SYSTEM WORK</t>
  </si>
  <si>
    <t>SISTEMA</t>
  </si>
  <si>
    <t>NUÑEZ FERNANDO MANUEL</t>
  </si>
  <si>
    <t>O.C.A.</t>
  </si>
  <si>
    <t>OBENAUS MARIANA ISABEL</t>
  </si>
  <si>
    <t>OBRA SOCIAL DE ACTORES</t>
  </si>
  <si>
    <t>OBRA SOCIAL DE LA ACTIVIDAD DE SEGUROS, REASEGUROS, CAPITALIZACION Y AHORRO Y PRESTAMO  PARA LA VIVIENDA</t>
  </si>
  <si>
    <t>OBRA SOCIAL SUPERCO</t>
  </si>
  <si>
    <t>OCA LOG SA</t>
  </si>
  <si>
    <t>OLGUIN CAMILA LIDIA</t>
  </si>
  <si>
    <t>OLIVA JUAN PABLO</t>
  </si>
  <si>
    <t>OLIVA RODRIGO GASTON</t>
  </si>
  <si>
    <t>O'NEILL PUB SRL</t>
  </si>
  <si>
    <t>OPERADORA DE ESTAC. DE SERV SA</t>
  </si>
  <si>
    <t>ORTIZ RICARDO ALFREDO</t>
  </si>
  <si>
    <t>ORTOPEDIA BERNAT SRL</t>
  </si>
  <si>
    <t>ORTOPEDIA CASA ESCALADA SRL</t>
  </si>
  <si>
    <t>ORTOPEDIA CUENCA SRL</t>
  </si>
  <si>
    <t>ORTOPEDIA GULLONE SRL</t>
  </si>
  <si>
    <t>ORTOPEDIA SOLER SRL</t>
  </si>
  <si>
    <t>ORTOPEDICOS ALFOLATEX SA</t>
  </si>
  <si>
    <t>ORTOPEDICOS SAN ANDRES SRL</t>
  </si>
  <si>
    <t>OS Pers De Dir  Perf E W Hope</t>
  </si>
  <si>
    <t>OS UNION PERSONAL</t>
  </si>
  <si>
    <t>OSDOP</t>
  </si>
  <si>
    <t>OSMATA</t>
  </si>
  <si>
    <t>OSPLAD</t>
  </si>
  <si>
    <t>OSTEL</t>
  </si>
  <si>
    <t>OSTIG</t>
  </si>
  <si>
    <t>OTTO BOCK ARG SA</t>
  </si>
  <si>
    <t>OUTLANDISH SRL</t>
  </si>
  <si>
    <t>PABLO NICOLAS DURANTE</t>
  </si>
  <si>
    <t>PABLO ROBERTO MURUA POU</t>
  </si>
  <si>
    <t>PALLONE JORGE</t>
  </si>
  <si>
    <t>PAMPIN MARIANO OSCAR</t>
  </si>
  <si>
    <t>PAN AMERICAN ENERGY SL</t>
  </si>
  <si>
    <t>PANATEL SOCIEDAD ANONIMA</t>
  </si>
  <si>
    <t>PANTYMED SA</t>
  </si>
  <si>
    <t>PAPELERA GEOPEL SRL</t>
  </si>
  <si>
    <t>PAR KE GOM SA</t>
  </si>
  <si>
    <t>PARISE PAOLA BEATRIZ</t>
  </si>
  <si>
    <t>PARNA SA</t>
  </si>
  <si>
    <t>PASCUA SA</t>
  </si>
  <si>
    <t>PASION DISTRIBUCIONES SRL</t>
  </si>
  <si>
    <t>PASQUALICH ELVIO ALDO</t>
  </si>
  <si>
    <t>PATIÑO NICOLAS VENTURA</t>
  </si>
  <si>
    <t>PELLEGRINO SERGIO OMAR</t>
  </si>
  <si>
    <t>PEREYRA CASADO VALERIA DAIANA</t>
  </si>
  <si>
    <t>PEREZ FRANCO ADRIAN</t>
  </si>
  <si>
    <t>PIAGGIO PAULA ANDREA</t>
  </si>
  <si>
    <t>PIERRI ALEXIS ARIEL</t>
  </si>
  <si>
    <t>PIETRUSZKA ALBERTO DANIEL</t>
  </si>
  <si>
    <t>PINAR SRL</t>
  </si>
  <si>
    <t>PINEDA ESTEBAN BERNABE</t>
  </si>
  <si>
    <t>PINTURERIAS REX SA</t>
  </si>
  <si>
    <t>PIRIZ CARLA ELIZABETH</t>
  </si>
  <si>
    <t>PIVA MICAELA</t>
  </si>
  <si>
    <t>POZZO MIGUEL ROBERTO</t>
  </si>
  <si>
    <t>PRADO MARISOL</t>
  </si>
  <si>
    <t>PRELAT JORGE EMILIO</t>
  </si>
  <si>
    <t>PRESTIGIO SA</t>
  </si>
  <si>
    <t>PRESTOR SAS</t>
  </si>
  <si>
    <t>PRETI ELISEO ROBERTO</t>
  </si>
  <si>
    <t>PRIETO CRISTIAN ARIEL</t>
  </si>
  <si>
    <t>PROCATA SRL</t>
  </si>
  <si>
    <t>PROFETI NOEMI GISELE</t>
  </si>
  <si>
    <t>PROSEGUR ACTIVA ARG SA</t>
  </si>
  <si>
    <t>SEGUROS</t>
  </si>
  <si>
    <t>PROSPERI OSCAR RUBEN</t>
  </si>
  <si>
    <t>PROYECTO 665 SRL</t>
  </si>
  <si>
    <t>QUIROZ CARLOS DANIEL</t>
  </si>
  <si>
    <t>R. N. LEDESMA</t>
  </si>
  <si>
    <t>RADRIZZANI GABRIELA ALEJANDRA</t>
  </si>
  <si>
    <t>RAKE SA</t>
  </si>
  <si>
    <t>RAMASKI JORGE FERNANDO</t>
  </si>
  <si>
    <t>RAMBAUD DIEGO GABRIEL</t>
  </si>
  <si>
    <t>RAMIREZ MONICA ISABEL</t>
  </si>
  <si>
    <t>REHAB SRL</t>
  </si>
  <si>
    <t>REHAVITA SA</t>
  </si>
  <si>
    <t>RELIEF CENTER SRL</t>
  </si>
  <si>
    <t>RENT AR SRL</t>
  </si>
  <si>
    <t>REVICAR SA</t>
  </si>
  <si>
    <t>RIAL PABLO EMANUEL</t>
  </si>
  <si>
    <t>RIOS RUBEN ALBERTO</t>
  </si>
  <si>
    <t>RIZZO MARIO ROBERTO</t>
  </si>
  <si>
    <t>ROBERTO MEOLI</t>
  </si>
  <si>
    <t>ROC CHIVILCOY TRANSP Y L SA</t>
  </si>
  <si>
    <t>ROCIMEX SRL</t>
  </si>
  <si>
    <t>RODOLFO SCHULZE</t>
  </si>
  <si>
    <t>RODRIGUEZ EDUARDO ARIEL</t>
  </si>
  <si>
    <t>RODRIGUEZ YAMILA ANDREA</t>
  </si>
  <si>
    <t>ROJO Y AMARILLO SRL</t>
  </si>
  <si>
    <t>ROLLS Y EMPANADAS SA</t>
  </si>
  <si>
    <t>ROSENSTEIN EDUARDO OSCAR</t>
  </si>
  <si>
    <t>RPM MOVILES SRL</t>
  </si>
  <si>
    <t>RUBRICOM SA</t>
  </si>
  <si>
    <t>IMPRENTA</t>
  </si>
  <si>
    <t>RUSCIO NORBERTO VICENTE</t>
  </si>
  <si>
    <t>SABBAGH PABLO ALEJANDRO</t>
  </si>
  <si>
    <t>SAFRANCHIK SILVIA MERCEDES</t>
  </si>
  <si>
    <t>SALAZAR CALLE VICTOR</t>
  </si>
  <si>
    <t>SALUDTEX SA</t>
  </si>
  <si>
    <t>SAN ALBERTO BALCARCE SRL</t>
  </si>
  <si>
    <t>SANTA FE COMERCIAL SRL</t>
  </si>
  <si>
    <t>SAPUNA MIRIAN KARINA</t>
  </si>
  <si>
    <t>SAVINO NATALIA SILVIA</t>
  </si>
  <si>
    <t>SCALISE A. FALANGA C SH</t>
  </si>
  <si>
    <t>SCHIANO MORIELLO LUIS ANDRES</t>
  </si>
  <si>
    <t>SEANTEC SA</t>
  </si>
  <si>
    <t>SEDANO SRL</t>
  </si>
  <si>
    <t>SEDEX ARGENTINA SA</t>
  </si>
  <si>
    <t>SEGALINI SA</t>
  </si>
  <si>
    <t>SEISEME SA</t>
  </si>
  <si>
    <t>SERVICIOS ARM SA</t>
  </si>
  <si>
    <t>SERVICIOS DEL DESIERTO SA</t>
  </si>
  <si>
    <t>SERVICIOS LUARCA SA</t>
  </si>
  <si>
    <t>SERVINORTE SA</t>
  </si>
  <si>
    <t>SHIGA MOTORS SA</t>
  </si>
  <si>
    <t>SILVESTRIN FABRIS SRL</t>
  </si>
  <si>
    <t>SOLANS SEBASTIAN DARIO</t>
  </si>
  <si>
    <t>SOLMAY SRL</t>
  </si>
  <si>
    <t>SOLUCIONES EN HERRAMIENTAS CTL</t>
  </si>
  <si>
    <t>SOLUCIONES MULTIMEDIA SA</t>
  </si>
  <si>
    <t>SOLUCIONES ORTOPEDICAS</t>
  </si>
  <si>
    <t>SOMOS ENERGIA SA</t>
  </si>
  <si>
    <t>SOSA GLORIA MIRIAM DEL CARMEN</t>
  </si>
  <si>
    <t>SOTOMAYOR CISNEROS CAROLINA</t>
  </si>
  <si>
    <t>SRAGOWICH PABLO MIJAEL</t>
  </si>
  <si>
    <t>SS METAL MECANICA SRL</t>
  </si>
  <si>
    <t>STAFF MEDICO SA</t>
  </si>
  <si>
    <t>STAHLHOFER DANIEL OMAR</t>
  </si>
  <si>
    <t>SUPERVIELLE SANTIAGO</t>
  </si>
  <si>
    <t>SUR CARBURANTES SA</t>
  </si>
  <si>
    <t>SURACI NATALIA ERICA</t>
  </si>
  <si>
    <t>SURDO HERNAN OMAR</t>
  </si>
  <si>
    <t>SURIANO SA</t>
  </si>
  <si>
    <t>SUTIL SILVIA EDITH</t>
  </si>
  <si>
    <t>SYMONDS SA</t>
  </si>
  <si>
    <t>TAPITEL SA</t>
  </si>
  <si>
    <t>TARGET MEDICAL SA</t>
  </si>
  <si>
    <t>TASCAR SRL</t>
  </si>
  <si>
    <t>TASSONE BRUNO DANIEL</t>
  </si>
  <si>
    <t>TECNIPRAX SRL</t>
  </si>
  <si>
    <t>TECNOBIOLOGY SAS</t>
  </si>
  <si>
    <t>TELECOM ARGENTINA SA</t>
  </si>
  <si>
    <t>TELEFONICA ARG SA</t>
  </si>
  <si>
    <t>TELEFONICA MOVILES ARG SA</t>
  </si>
  <si>
    <t>TERNORTH SA</t>
  </si>
  <si>
    <t>TESIR SRL</t>
  </si>
  <si>
    <t>TRAFE SUDAMERICANA SA</t>
  </si>
  <si>
    <t>TRANS-AMERICA TRANSPORTES SA</t>
  </si>
  <si>
    <t>TRANSPORTES BIN PACK SA</t>
  </si>
  <si>
    <t>TRIMOVE SA</t>
  </si>
  <si>
    <t>TRINIDAD INSUMOS SRL</t>
  </si>
  <si>
    <t>TRIVEÑO ROMA RAMON</t>
  </si>
  <si>
    <t>TRUST SRL</t>
  </si>
  <si>
    <t>TURSARKISIAN MISISIAN VERONICA</t>
  </si>
  <si>
    <t>UTEDYC</t>
  </si>
  <si>
    <t>V M TRASP CRUZ DEL SUR SA</t>
  </si>
  <si>
    <t>VAZQUEZ MAURO GASTON</t>
  </si>
  <si>
    <t>VAZQUEZ RICARDO OSCAR</t>
  </si>
  <si>
    <t>VENTIMIGLIA COTOS FLORENCIA</t>
  </si>
  <si>
    <t>VENTO HUGO GABRIEL</t>
  </si>
  <si>
    <t>VIALGA SA</t>
  </si>
  <si>
    <t>VICENTIN MILENA ANDREA</t>
  </si>
  <si>
    <t>VICTOR M. GILABERT SH</t>
  </si>
  <si>
    <t>VIEGAS GABRIELA LAURA</t>
  </si>
  <si>
    <t>VIEL AUTOMOTORES S.A.C.I.F.I.</t>
  </si>
  <si>
    <t>VIENTOS ARGENTINOS SRL</t>
  </si>
  <si>
    <t>VILLALBA MIGUEL ANGEL</t>
  </si>
  <si>
    <t>VILLARINO GRISELDA LILIAN</t>
  </si>
  <si>
    <t>VILLARREAL MARTIN MIGUEL</t>
  </si>
  <si>
    <t>VINAGRE CLAUDIA GRACIELA</t>
  </si>
  <si>
    <t>VITALO ADRIANA NOEMI</t>
  </si>
  <si>
    <t>VOCAL ALCOBA CINTIA</t>
  </si>
  <si>
    <t>VTV SUD SA</t>
  </si>
  <si>
    <t>VZH SRL</t>
  </si>
  <si>
    <t>WAINMANN PABLO MARIANO</t>
  </si>
  <si>
    <t>WHITE SALUD SRL</t>
  </si>
  <si>
    <t>ZACARIAS JOSE FRANCISCO</t>
  </si>
  <si>
    <t>ZAMORA EDUARDO HERALDO</t>
  </si>
  <si>
    <t>ZARATE LASCANO RUFINO</t>
  </si>
  <si>
    <t>ZIBES JORGE SILVIO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</si>
  <si>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</si>
  <si>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</si>
  <si>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</si>
  <si>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</si>
  <si>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</si>
  <si>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</si>
  <si>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</si>
  <si>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</si>
  <si>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</si>
  <si>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</si>
  <si>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DEBELIUCH TOMAS IVAN</t>
  </si>
  <si>
    <t>LOGISTICA PATRICIOS SA</t>
  </si>
  <si>
    <t>MERAS HNOS SA</t>
  </si>
  <si>
    <t>MIÑO GUSTAVO SEBASTIAN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</si>
  <si>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</si>
  <si>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</si>
  <si>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</si>
  <si>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</si>
  <si>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</si>
  <si>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</si>
  <si>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</si>
  <si>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</si>
  <si>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</si>
  <si>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</si>
  <si>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</si>
  <si>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</si>
  <si>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</si>
  <si>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</si>
  <si>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</si>
  <si>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</si>
  <si>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</si>
  <si>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</si>
  <si>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</si>
  <si>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</si>
  <si>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</si>
  <si>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</si>
  <si>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</si>
  <si>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C.S.J. O.S. Poder Judicial</t>
  </si>
  <si>
    <t>AVALIAN SALUD Y BIENESTAR COOPERATIVA LIMITADA</t>
  </si>
  <si>
    <t>O.S.P.R.E.R.A</t>
  </si>
  <si>
    <t>UZUMAKI SAS</t>
  </si>
  <si>
    <t xml:space="preserve">VERISURE ARG MONITOREO A SA </t>
  </si>
  <si>
    <t>LIN YUMEI</t>
  </si>
  <si>
    <t>BARD MARISA SILVIA</t>
  </si>
  <si>
    <t>GASTOS ADMIN</t>
  </si>
  <si>
    <t>POTA AMOBAMIENTOS SRL</t>
  </si>
  <si>
    <t>SUCESION DE SALEME CARAM</t>
  </si>
  <si>
    <t>EXPRESO BICENTENARIO SRL</t>
  </si>
  <si>
    <t>LOPEZ MATIAS</t>
  </si>
  <si>
    <t>ABOUD PABLO DANIEL</t>
  </si>
  <si>
    <t>AUTOPISTAS DEL SOL S A</t>
  </si>
  <si>
    <t>AUTOPISTAS URBANAS S A</t>
  </si>
  <si>
    <t>AUTOPISTAS DE BUENOS AIRES (AUBASA) SA</t>
  </si>
  <si>
    <t>GRUPO CONCESIONARIO DEL OESTE SA</t>
  </si>
  <si>
    <t>CORREDORES VIALES SA</t>
  </si>
  <si>
    <t>FREDES LUCAS FEDERICO</t>
  </si>
  <si>
    <t>ARMORAUT SA</t>
  </si>
  <si>
    <t>OVIEDO JIMENEZ TIZIANO LIONEL</t>
  </si>
  <si>
    <t>ARABIA FABIANA</t>
  </si>
  <si>
    <t>CLINICA BASILEA SA</t>
  </si>
  <si>
    <t>ROI SA</t>
  </si>
  <si>
    <t>OSETRA</t>
  </si>
  <si>
    <t>ORTOPEDIA GEMINIS S.A.</t>
  </si>
  <si>
    <t xml:space="preserve">LIBRO IVA COMPRAS     </t>
  </si>
  <si>
    <t>FACTURAS A</t>
  </si>
  <si>
    <t>FECHA</t>
  </si>
  <si>
    <t>PTO VTA</t>
  </si>
  <si>
    <t>FAC A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</si>
  <si>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</si>
  <si>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</si>
  <si>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</si>
  <si>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</si>
  <si>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</si>
  <si>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</si>
  <si>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</si>
  <si>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NO GRAV</t>
  </si>
  <si>
    <t>OTROS</t>
  </si>
  <si>
    <t>TOTAL</t>
  </si>
  <si>
    <t>IVA</t>
  </si>
  <si>
    <t xml:space="preserve"> </t>
  </si>
  <si>
    <t>FACTURAS B/C</t>
  </si>
  <si>
    <t>FAC C</t>
  </si>
  <si>
    <t xml:space="preserve">RETENCIONES </t>
  </si>
  <si>
    <t>COMPROBANTE NRO</t>
  </si>
  <si>
    <t>GANANCIAS</t>
  </si>
  <si>
    <t>IIBB</t>
  </si>
  <si>
    <t>SUSS</t>
  </si>
  <si>
    <t>LIBRO IVA VENTAS</t>
  </si>
  <si>
    <t>FACTURA A</t>
  </si>
  <si>
    <t>NRO FC</t>
  </si>
  <si>
    <t>NO GRAV.</t>
  </si>
  <si>
    <t>FACTURA B</t>
  </si>
  <si>
    <t>Fecha Emision</t>
  </si>
  <si>
    <t>Fecha Contable</t>
  </si>
  <si>
    <t>Nro Factura</t>
  </si>
  <si>
    <t>Razon Social</t>
  </si>
  <si>
    <t>Cuit</t>
  </si>
  <si>
    <t>Condicion Iva</t>
  </si>
  <si>
    <t>Monto Gravado Iva 2</t>
  </si>
  <si>
    <t>Monto Gravado Iva 5</t>
  </si>
  <si>
    <t>Monto Gravado Iva 10,5</t>
  </si>
  <si>
    <t>Monto Gravado Iva 21</t>
  </si>
  <si>
    <t>Monto Gravado Iva 27</t>
  </si>
  <si>
    <t>Monto No Gravado Y Exentos</t>
  </si>
  <si>
    <t>Monto Gravado Monotributistas</t>
  </si>
  <si>
    <t>Iva Facturado</t>
  </si>
  <si>
    <t>Imp Interno</t>
  </si>
  <si>
    <t>Imp Municipal</t>
  </si>
  <si>
    <t>Imp Nacional</t>
  </si>
  <si>
    <t>Otros</t>
  </si>
  <si>
    <t>Percepcion IVA</t>
  </si>
  <si>
    <t>Total Facturado</t>
  </si>
  <si>
    <t>Rubro</t>
  </si>
  <si>
    <t>IVA S/ EXTRACTOS</t>
  </si>
  <si>
    <t>Banco Credicoop</t>
  </si>
  <si>
    <t>Banco Patagonia</t>
  </si>
  <si>
    <t>RI</t>
  </si>
  <si>
    <t>Bienes</t>
  </si>
  <si>
    <t>Buenos Aires</t>
  </si>
  <si>
    <t>MARIA GUADALUPE BLASCO</t>
  </si>
  <si>
    <t>MO</t>
  </si>
  <si>
    <t>Servicios</t>
  </si>
  <si>
    <t>Ciudad de Buenos Aires</t>
  </si>
  <si>
    <t>IMPIERI, PI„EIRO, RIZZO Y A SA</t>
  </si>
  <si>
    <t>JUAN CARLOS BOTINDARI</t>
  </si>
  <si>
    <t>MEDICAL FOAM S.R.L.</t>
  </si>
  <si>
    <t>MARTIN EZEQUIEL DI FEO</t>
  </si>
  <si>
    <t>GABRIELA ROCIO RIVERO</t>
  </si>
  <si>
    <t>46 SPEED S.A.</t>
  </si>
  <si>
    <t>MARISOL PRADO</t>
  </si>
  <si>
    <t>RAKE S.A.</t>
  </si>
  <si>
    <t>Locaciones</t>
  </si>
  <si>
    <t>ORTOPEDIA CASA ESCALADA S.R.L.</t>
  </si>
  <si>
    <t>VERISURE ARGENTINA MONITOREO DE ALARMAS SA</t>
  </si>
  <si>
    <t>DEHEZA SOCIEDAD ANONIMA INDUSTRIAL COMERCIAL FINANCIERA INMOBILIARIA</t>
  </si>
  <si>
    <t>HECTOR RAUL GUASCH</t>
  </si>
  <si>
    <t>ALEJANDRA MABEL SOUSA ALDERETE</t>
  </si>
  <si>
    <t>TRINIDAD INSUMOS S.R.L.</t>
  </si>
  <si>
    <t>VIA BARILOCHE SOCIEDAD ANONIMA</t>
  </si>
  <si>
    <t>MARIA INES MIGOYA MORIONDO</t>
  </si>
  <si>
    <t>ANDREA MARIEL DRUETTA</t>
  </si>
  <si>
    <t>PAMELA RITA CANCINO</t>
  </si>
  <si>
    <t>COORDINACION ECOLOGICA AREA METROPOLITANA SOCIEDAD DEL ESTADO</t>
  </si>
  <si>
    <t>JUN MA</t>
  </si>
  <si>
    <t>20929183143</t>
  </si>
  <si>
    <t>33715594949</t>
  </si>
  <si>
    <t>30639453738</t>
  </si>
  <si>
    <t>20272865869</t>
  </si>
  <si>
    <t>30714331082</t>
  </si>
  <si>
    <t>27338342840</t>
  </si>
  <si>
    <t>30708574836</t>
  </si>
  <si>
    <t>DIA ARGENTINA S A</t>
  </si>
  <si>
    <t>30685849751</t>
  </si>
  <si>
    <t>30715141201</t>
  </si>
  <si>
    <t>30574876474</t>
  </si>
  <si>
    <t>30702652975</t>
  </si>
  <si>
    <t>CF</t>
  </si>
  <si>
    <t>LUIS ALBERTO OVIEDO</t>
  </si>
  <si>
    <t>20310489930</t>
  </si>
  <si>
    <t>30715804812</t>
  </si>
  <si>
    <t>27243660535</t>
  </si>
  <si>
    <t>30712187316</t>
  </si>
  <si>
    <t>20311855671</t>
  </si>
  <si>
    <t>30548083156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</si>
  <si>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</si>
  <si>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</si>
  <si>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</si>
  <si>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</si>
  <si>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</si>
  <si>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</si>
  <si>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</si>
  <si>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</si>
  <si>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</si>
  <si>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Comprobantes / Extractos</t>
  </si>
  <si>
    <t>RETENCIONES</t>
  </si>
  <si>
    <t>N° Cuit</t>
  </si>
  <si>
    <t>Importe</t>
  </si>
  <si>
    <t>Nro. Retencion</t>
  </si>
  <si>
    <t>Fecha</t>
  </si>
  <si>
    <t>AFIP - No están informadas las retenciones de IVA en el sistema de AFIP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</si>
  <si>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</si>
  <si>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</si>
  <si>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</si>
  <si>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</si>
  <si>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</si>
  <si>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</si>
  <si>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</si>
  <si>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</si>
  <si>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</si>
  <si>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</si>
  <si>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</si>
  <si>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</si>
  <si>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</si>
  <si>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</si>
  <si>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</si>
  <si>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</si>
  <si>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</si>
  <si>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</si>
  <si>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</si>
  <si>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</si>
  <si>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</si>
  <si>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</si>
  <si>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Otros Tributos</t>
  </si>
  <si>
    <t>Imp. Total</t>
  </si>
  <si>
    <t>1 - Factura A</t>
  </si>
  <si>
    <t>COTO CENTRO INTEGRAL DE COMERCIALIZACION SOCIEDAD ANONIMA</t>
  </si>
  <si>
    <t>$</t>
  </si>
  <si>
    <t>SOLUCIONES MULTIMEDIA S A</t>
  </si>
  <si>
    <t>REHAB S.R.L.</t>
  </si>
  <si>
    <t>RELIEF CENTER S.R.L.</t>
  </si>
  <si>
    <t>TELEFONICA MOVILES ARGENTINA SOCIEDAD ANONIMA</t>
  </si>
  <si>
    <t>11 - Factura C</t>
  </si>
  <si>
    <t>CONSORCIO BARTOLOME MITRE 2466</t>
  </si>
  <si>
    <t>USD</t>
  </si>
  <si>
    <t>BIODINAMICA ASISTENCIA S.R.L.</t>
  </si>
  <si>
    <t>3 - Nota de Crédito A</t>
  </si>
  <si>
    <t>FARMACIA DE MEDRANO 533 SOCIEDAD EN COMANDITA SIMPLE</t>
  </si>
  <si>
    <t>CORREDORES VIALES SOCIEDAD ANONIMA</t>
  </si>
  <si>
    <t>TARGET MEDICAL S.A.</t>
  </si>
  <si>
    <t>MANGGINI PABLO Y MANGGINI ULISES SOC. DE HECHO.</t>
  </si>
  <si>
    <t>TELECOM ARGENTINA SOCIEDAD ANONIMA</t>
  </si>
  <si>
    <t>MIGOYA MORIONDO MARIA INES</t>
  </si>
  <si>
    <t>NSS SA</t>
  </si>
  <si>
    <t>MERCADOLIBRE S.R.L.</t>
  </si>
  <si>
    <t>POSNET SOCIEDAD DE RESPONSABILIDAD LIMITADA</t>
  </si>
  <si>
    <t>CONTABILIUM S.A. S. A.</t>
  </si>
  <si>
    <t>REHAVITA S.A.</t>
  </si>
  <si>
    <t>MIGOYA MORIONDO SOFIA</t>
  </si>
  <si>
    <t>BOCCACCI MARIA FLORENCIA</t>
  </si>
  <si>
    <t>EXPRESO LANCIONI S.A.</t>
  </si>
  <si>
    <t>RIVERO GABRIELA ROCIO</t>
  </si>
  <si>
    <t>AUTOPISTAS DE BUENOS AIRES (AUBASA) SA S. A.</t>
  </si>
  <si>
    <t>13 - Nota de Crédito C</t>
  </si>
  <si>
    <t>SOUSA ALDERETE ALEJANDRA MABEL</t>
  </si>
  <si>
    <t>GUASCH HECTOR RAUL</t>
  </si>
  <si>
    <t>COLTEX S R L</t>
  </si>
  <si>
    <t>Totales por Tipo de Comprobante - ARCA</t>
  </si>
  <si>
    <t>Base</t>
  </si>
  <si>
    <t>Otros Imp.</t>
  </si>
  <si>
    <t>Total Compr.</t>
  </si>
  <si>
    <t>NC A</t>
  </si>
  <si>
    <t>FACTURAS B</t>
  </si>
  <si>
    <t>NC B</t>
  </si>
  <si>
    <t>ND B</t>
  </si>
  <si>
    <t>Provincia</t>
  </si>
  <si>
    <t>Ciudad</t>
  </si>
  <si>
    <t>Condicion IVA</t>
  </si>
  <si>
    <t>Importe Neto Gravado</t>
  </si>
  <si>
    <t>Importe No Grav</t>
  </si>
  <si>
    <t>IVA2</t>
  </si>
  <si>
    <t>IVA5</t>
  </si>
  <si>
    <t>IVA10</t>
  </si>
  <si>
    <t>IVA21</t>
  </si>
  <si>
    <t>IVA27</t>
  </si>
  <si>
    <t>Otros Impuestos</t>
  </si>
  <si>
    <t>Total IVA</t>
  </si>
  <si>
    <t>Observaciones</t>
  </si>
  <si>
    <t xml:space="preserve">. CONSUMIDOR FINAL ANÓNIMO </t>
  </si>
  <si>
    <t>111</t>
  </si>
  <si>
    <t>SIN IDENTIFICAR</t>
  </si>
  <si>
    <t>DANELLI, RAQUEL</t>
  </si>
  <si>
    <t>ITUZAINGO</t>
  </si>
  <si>
    <t>YOANA ELIZABETH CARDENAS</t>
  </si>
  <si>
    <t>27340248231</t>
  </si>
  <si>
    <t>OBRA SOCIAL UNION PERSONAL DE LA UNION DEL PERSONAL CIVIL DE LA NACION</t>
  </si>
  <si>
    <t>30683032227</t>
  </si>
  <si>
    <t>MEDICUS SOCIEDAD ANONIMA DE ASISTENCIA MEDICA Y CIENTIFICA</t>
  </si>
  <si>
    <t>30546771314</t>
  </si>
  <si>
    <t>Obra Social De Actores</t>
  </si>
  <si>
    <t>30646217977</t>
  </si>
  <si>
    <t>EX</t>
  </si>
  <si>
    <t>30522428163</t>
  </si>
  <si>
    <t>HC HOMECARE INTERNACION DOMICILIARIA S.A.</t>
  </si>
  <si>
    <t>30710538014</t>
  </si>
  <si>
    <t>VILLA MARTELLI</t>
  </si>
  <si>
    <t>OBRA SOCIAL DE EMPLEADOS DEL TABACO DE LA REPUBLICA ARGENTINA</t>
  </si>
  <si>
    <t>30661273093</t>
  </si>
  <si>
    <t>Obra Social Del Personal De La Industria Del Plastico</t>
  </si>
  <si>
    <t>30571766287</t>
  </si>
  <si>
    <t>OBRA SOCIAL DE LOS TRABAJADORES DE LA INDUSTRIA DEL GAS</t>
  </si>
  <si>
    <t>30658137642</t>
  </si>
  <si>
    <t>CECILIA DEL PILAR TELLO MARTEL</t>
  </si>
  <si>
    <t>27951120370</t>
  </si>
  <si>
    <t>OBRA SOCIAL DEL PERSONAL DE LAS TELECOMUNICACIONES DE LA REPUBLICA ARGENTINA</t>
  </si>
  <si>
    <t>30608716390</t>
  </si>
  <si>
    <t>AMPARO SALUD S.R.L.</t>
  </si>
  <si>
    <t>30715186655</t>
  </si>
  <si>
    <t xml:space="preserve"> FREDA JOHANNA GISE</t>
  </si>
  <si>
    <t>27337086301</t>
  </si>
  <si>
    <t>30590354798</t>
  </si>
  <si>
    <t>Santa Fe</t>
  </si>
  <si>
    <t>SUNCHALES</t>
  </si>
  <si>
    <t>GIGAGLIA, MARIA LUCILA</t>
  </si>
  <si>
    <t>25315045</t>
  </si>
  <si>
    <t>BECCAR</t>
  </si>
  <si>
    <t>MAIZTEGUI ANDRÉS</t>
  </si>
  <si>
    <t>20002428</t>
  </si>
  <si>
    <t>EDUARDO PENJASOFF</t>
  </si>
  <si>
    <t>20043010973</t>
  </si>
  <si>
    <t>ALVAREZ MARTA OLGA</t>
  </si>
  <si>
    <t>9955440</t>
  </si>
  <si>
    <t>RAMOS MEJIA</t>
  </si>
  <si>
    <t>SILVIA MONICA ROJAS</t>
  </si>
  <si>
    <t>27141958807</t>
  </si>
  <si>
    <t>BAUAB, CAROLINA</t>
  </si>
  <si>
    <t>SCHELGEL, LUIS ALBERTO</t>
  </si>
  <si>
    <t>HERNAN JOSE VILLAVERDE</t>
  </si>
  <si>
    <t>20252317776</t>
  </si>
  <si>
    <t>AGOSTINO MIRIAM</t>
  </si>
  <si>
    <t>17275405</t>
  </si>
  <si>
    <t>CONEN SILVIA ADELA</t>
  </si>
  <si>
    <t>334529</t>
  </si>
  <si>
    <t>ANA ESTELA CALVINO</t>
  </si>
  <si>
    <t>27144066990</t>
  </si>
  <si>
    <t>DESALVO MIGUEL ANGEL</t>
  </si>
  <si>
    <t>24448662</t>
  </si>
  <si>
    <t>FERRAZIN, CAROLINA ELEONORA INES</t>
  </si>
  <si>
    <t>17855620</t>
  </si>
  <si>
    <t>ALEJANDRA SIFFREDI TORRES SANMARCO</t>
  </si>
  <si>
    <t>5804480</t>
  </si>
  <si>
    <t>Herman Patricia</t>
  </si>
  <si>
    <t>21645724</t>
  </si>
  <si>
    <t>PILAR</t>
  </si>
  <si>
    <t>LEONARDO EZEQUIEL BORDON</t>
  </si>
  <si>
    <t>20323111813</t>
  </si>
  <si>
    <t>30500053522</t>
  </si>
  <si>
    <t>ERICK SAMIR FERNANDEZ RODRIGUEZ</t>
  </si>
  <si>
    <t>20940555516</t>
  </si>
  <si>
    <t>RIVERO DE BARBA MARÍA EMILIA</t>
  </si>
  <si>
    <t>6091102</t>
  </si>
  <si>
    <t>Galeno A.R.T. S.A.</t>
  </si>
  <si>
    <t>30685228501</t>
  </si>
  <si>
    <t xml:space="preserve"> DORFMAN SANDRA</t>
  </si>
  <si>
    <t>PINO, ANA PAULA</t>
  </si>
  <si>
    <t>20008996</t>
  </si>
  <si>
    <t>FLORIDA</t>
  </si>
  <si>
    <t>ALCIDES BENITO CASELLA</t>
  </si>
  <si>
    <t>20041052415</t>
  </si>
  <si>
    <t>SILVINA ALEJANDRA PEZZANO DE LUCA</t>
  </si>
  <si>
    <t>27205676800</t>
  </si>
  <si>
    <t>CLAUDIO JAVIER ZUNINO</t>
  </si>
  <si>
    <t>23134532599</t>
  </si>
  <si>
    <t>CHIVILCOY</t>
  </si>
  <si>
    <t>ARIEL FERNANDO CAMIÑO GARCIA</t>
  </si>
  <si>
    <t>20168927070</t>
  </si>
  <si>
    <t>30707612971</t>
  </si>
  <si>
    <t>RSC S.A.</t>
  </si>
  <si>
    <t>30712136754</t>
  </si>
  <si>
    <t>LOGIN DOOR S.A</t>
  </si>
  <si>
    <t>30711244383</t>
  </si>
  <si>
    <t>SALLES ANA MARIA</t>
  </si>
  <si>
    <t>17814995</t>
  </si>
  <si>
    <t>MARIA CRISTINA BURGOS</t>
  </si>
  <si>
    <t>27127177371</t>
  </si>
  <si>
    <t>ALEJANDRO CARLOS MIHANOVICH</t>
  </si>
  <si>
    <t>20041007266</t>
  </si>
  <si>
    <t>MARIA ELENA HERMIDA COULIN</t>
  </si>
  <si>
    <t>27029697421</t>
  </si>
  <si>
    <t>BALMAYOR ISABEL</t>
  </si>
  <si>
    <t>3203937</t>
  </si>
  <si>
    <t>YOEL OSCAR REINOSO</t>
  </si>
  <si>
    <t>20448166202</t>
  </si>
  <si>
    <t>AUTOPISTAS URBANAS S. A.</t>
  </si>
  <si>
    <t>20086277523</t>
  </si>
  <si>
    <t>OVIEDO LUIS ALBERTO</t>
  </si>
  <si>
    <t>FCC 00001-00000030</t>
  </si>
  <si>
    <t>23281233084</t>
  </si>
  <si>
    <t>27265302225</t>
  </si>
  <si>
    <t>27265832178</t>
  </si>
  <si>
    <t>27315710508</t>
  </si>
  <si>
    <t>27325223273</t>
  </si>
  <si>
    <t>27443612705</t>
  </si>
  <si>
    <t>30516186670</t>
  </si>
  <si>
    <t>30587197215</t>
  </si>
  <si>
    <t>30605344352</t>
  </si>
  <si>
    <t>30643518364</t>
  </si>
  <si>
    <t>30654118767</t>
  </si>
  <si>
    <t>30661143610</t>
  </si>
  <si>
    <t>30663498513</t>
  </si>
  <si>
    <t>30677237119</t>
  </si>
  <si>
    <t>30678814357</t>
  </si>
  <si>
    <t>30708847247</t>
  </si>
  <si>
    <t>30709214078</t>
  </si>
  <si>
    <t>30710177658</t>
  </si>
  <si>
    <t>30711553564</t>
  </si>
  <si>
    <t>30711764921</t>
  </si>
  <si>
    <t>IMPIERI, PIÑEIRO, RIZZO Y ASOC S.A.</t>
  </si>
  <si>
    <t>30712289046</t>
  </si>
  <si>
    <t>CONTABILIUM SA</t>
  </si>
  <si>
    <t>30714864269</t>
  </si>
  <si>
    <t>30716815710</t>
  </si>
  <si>
    <t>33708218699</t>
  </si>
  <si>
    <t>33716307749</t>
  </si>
  <si>
    <t>CIVALE PAULA</t>
  </si>
  <si>
    <t>LINKEDSTORE ARGENTINA S.R.L.</t>
  </si>
  <si>
    <t>Tipo Doc. Receptor</t>
  </si>
  <si>
    <t>Nro. Doc. Receptor</t>
  </si>
  <si>
    <t>Neto Grav. IVA 0%</t>
  </si>
  <si>
    <t>IVA 2,5%</t>
  </si>
  <si>
    <t>Neto Grav. IVA 2,5%</t>
  </si>
  <si>
    <t>IVA 5%</t>
  </si>
  <si>
    <t>Neto Grav. IVA 5%</t>
  </si>
  <si>
    <t>Neto Grav. IVA 10,5%</t>
  </si>
  <si>
    <t>Neto Grav. IVA 21%</t>
  </si>
  <si>
    <t>Neto Grav. IVA 27%</t>
  </si>
  <si>
    <t>Neto Gravado Total</t>
  </si>
  <si>
    <t>Neto No Gravado</t>
  </si>
  <si>
    <t>Op. Exentas</t>
  </si>
  <si>
    <t>Cod Fa</t>
  </si>
  <si>
    <t>SOFIA MIGOYA MORIONDO</t>
  </si>
  <si>
    <t>27443612713</t>
  </si>
  <si>
    <t>30707042679</t>
  </si>
  <si>
    <t>30711610096</t>
  </si>
  <si>
    <t>PAULA CIVALE</t>
  </si>
  <si>
    <t>27380284052</t>
  </si>
  <si>
    <t>30707370552</t>
  </si>
  <si>
    <t>30712305513</t>
  </si>
  <si>
    <t>30643922157</t>
  </si>
  <si>
    <t>30577207190</t>
  </si>
  <si>
    <t>30714112836</t>
  </si>
  <si>
    <t>MARIA FLORENCIA BOCCACCI</t>
  </si>
  <si>
    <t>27344304551</t>
  </si>
  <si>
    <t>30620177497</t>
  </si>
  <si>
    <t>FA-A</t>
  </si>
  <si>
    <t>FA-C</t>
  </si>
  <si>
    <t>TOTAL COMP</t>
  </si>
  <si>
    <t>01/10/2025</t>
  </si>
  <si>
    <t>FCB 0007-00006469</t>
  </si>
  <si>
    <t>FCB 0007-00006470</t>
  </si>
  <si>
    <t>RECOLETA</t>
  </si>
  <si>
    <t>FCB 0007-00006471</t>
  </si>
  <si>
    <t>AYELEN LUCIA ROLDAN</t>
  </si>
  <si>
    <t>27337476398</t>
  </si>
  <si>
    <t>FCB 0007-00006472</t>
  </si>
  <si>
    <t>FEDERICO DANTE BARRANCO</t>
  </si>
  <si>
    <t>20400911542</t>
  </si>
  <si>
    <t>FCB 0005-00014481</t>
  </si>
  <si>
    <t xml:space="preserve"> CISNERO CLARA PATRICIA</t>
  </si>
  <si>
    <t>23271414544</t>
  </si>
  <si>
    <t>FCB 0007-00006473</t>
  </si>
  <si>
    <t>LAILA IVANA NATUCCE</t>
  </si>
  <si>
    <t>27355887206</t>
  </si>
  <si>
    <t>FCB 0007-00006474</t>
  </si>
  <si>
    <t>FCB 0007-00006475</t>
  </si>
  <si>
    <t>FCB 0005-00014482</t>
  </si>
  <si>
    <t>FCA 0007-00002719</t>
  </si>
  <si>
    <t>FCB 0005-00014483</t>
  </si>
  <si>
    <t>FCB 0005-00014484</t>
  </si>
  <si>
    <t>FCB 0007-00006476</t>
  </si>
  <si>
    <t>FCA 0007-00002720</t>
  </si>
  <si>
    <t>FCB 0005-00014485</t>
  </si>
  <si>
    <t>FCB 0005-00014486</t>
  </si>
  <si>
    <t>FCB 0005-00014487</t>
  </si>
  <si>
    <t>FCB 0005-00014488</t>
  </si>
  <si>
    <t>FCB 0005-00014489</t>
  </si>
  <si>
    <t>FCB 0007-00006477</t>
  </si>
  <si>
    <t>FCB 0007-00006478</t>
  </si>
  <si>
    <t>FCB 0005-00014490</t>
  </si>
  <si>
    <t>NCB 0007-00000225</t>
  </si>
  <si>
    <t>FCB 0005-00014491</t>
  </si>
  <si>
    <t>FCB 0005-00014492</t>
  </si>
  <si>
    <t>FCB 0005-00014493</t>
  </si>
  <si>
    <t>FCB 0005-00014494</t>
  </si>
  <si>
    <t>FCB 0005-00014495</t>
  </si>
  <si>
    <t>FCB 0005-00014496</t>
  </si>
  <si>
    <t>02/10/2025</t>
  </si>
  <si>
    <t>FCB 0005-00014497</t>
  </si>
  <si>
    <t>FCB 0005-00014498</t>
  </si>
  <si>
    <t>FCB 0007-00006479</t>
  </si>
  <si>
    <t>FCB 0005-00014512</t>
  </si>
  <si>
    <t>FCB 0005-00014499</t>
  </si>
  <si>
    <t>CRISTINA MONICA ILL</t>
  </si>
  <si>
    <t>27137825436</t>
  </si>
  <si>
    <t>FCB 0005-00014500</t>
  </si>
  <si>
    <t>FCA 0007-00002721</t>
  </si>
  <si>
    <t>FCA 0007-00002722</t>
  </si>
  <si>
    <t>FCA 0007-00002723</t>
  </si>
  <si>
    <t>FCA 0007-00002724</t>
  </si>
  <si>
    <t>FCA 0007-00002725</t>
  </si>
  <si>
    <t>FCA 0007-00002726</t>
  </si>
  <si>
    <t>FCA 0007-00002727</t>
  </si>
  <si>
    <t>FCA 0007-00002728</t>
  </si>
  <si>
    <t>FCA 0007-00002729</t>
  </si>
  <si>
    <t>FCA 0007-00002730</t>
  </si>
  <si>
    <t>FCB 0005-00014501</t>
  </si>
  <si>
    <t>NCA 0007-00000205</t>
  </si>
  <si>
    <t>FCA 0007-00002731</t>
  </si>
  <si>
    <t>NCA 0007-00000206</t>
  </si>
  <si>
    <t>FCA 0007-00002732</t>
  </si>
  <si>
    <t>NCA 0007-00000207</t>
  </si>
  <si>
    <t>FCA 0007-00002733</t>
  </si>
  <si>
    <t>NCA 0007-00000208</t>
  </si>
  <si>
    <t>FCA 0007-00002734</t>
  </si>
  <si>
    <t>NCA 0007-00000209</t>
  </si>
  <si>
    <t>FCA 0007-00002735</t>
  </si>
  <si>
    <t>FCB 0005-00014502</t>
  </si>
  <si>
    <t>FCB 0005-00014503</t>
  </si>
  <si>
    <t>FCB 0005-00014504</t>
  </si>
  <si>
    <t>FCB 0005-00014505</t>
  </si>
  <si>
    <t>FCB 0005-00014506</t>
  </si>
  <si>
    <t>FCB 0005-00014507</t>
  </si>
  <si>
    <t>FCB 0005-00014508</t>
  </si>
  <si>
    <t>FCB 0005-00014509</t>
  </si>
  <si>
    <t>FCB 0005-00014510</t>
  </si>
  <si>
    <t>FCB 0005-00014511</t>
  </si>
  <si>
    <t>FCA 0007-00002736</t>
  </si>
  <si>
    <t>FCA 0006-00000639</t>
  </si>
  <si>
    <t>03/10/2025</t>
  </si>
  <si>
    <t>FCB 0005-00014513</t>
  </si>
  <si>
    <t>FCB 0005-00014514</t>
  </si>
  <si>
    <t>FCB 0005-00014515</t>
  </si>
  <si>
    <t>FCB 0005-00014516</t>
  </si>
  <si>
    <t>FCB 0005-00014517</t>
  </si>
  <si>
    <t>FCB 0005-00014518</t>
  </si>
  <si>
    <t>RODOLFO UBALDO ANDRADA</t>
  </si>
  <si>
    <t>20125467777</t>
  </si>
  <si>
    <t>FCB 0005-00014519</t>
  </si>
  <si>
    <t>FCB 0005-00014520</t>
  </si>
  <si>
    <t>FCB 0005-00014521</t>
  </si>
  <si>
    <t>FCB 0005-00014522</t>
  </si>
  <si>
    <t>MARIA TERESA CARRIZO</t>
  </si>
  <si>
    <t>27059298181</t>
  </si>
  <si>
    <t>FCB 0007-00006480</t>
  </si>
  <si>
    <t>FCB 0005-00014523</t>
  </si>
  <si>
    <t>FCB 0005-00014524</t>
  </si>
  <si>
    <t>FCB 0005-00014525</t>
  </si>
  <si>
    <t>FCA 0007-00002737</t>
  </si>
  <si>
    <t>FCA 0006-00000640</t>
  </si>
  <si>
    <t>FCB 0005-00014526</t>
  </si>
  <si>
    <t>FCB 0005-00014527</t>
  </si>
  <si>
    <t>FCA 0007-00002738</t>
  </si>
  <si>
    <t>FCB 0005-00014528</t>
  </si>
  <si>
    <t>FCA 0006-00000641</t>
  </si>
  <si>
    <t>FCB 0005-00014529</t>
  </si>
  <si>
    <t>FCA 0007-00002739</t>
  </si>
  <si>
    <t>06/10/2025</t>
  </si>
  <si>
    <t>FCB 0005-00014530</t>
  </si>
  <si>
    <t>FCB 0005-00014531</t>
  </si>
  <si>
    <t>FCB 0005-00014532</t>
  </si>
  <si>
    <t>INSTITUTO PROVINCIAL DEL SEGURO DE SALUD I PRO S S</t>
  </si>
  <si>
    <t>30999077508</t>
  </si>
  <si>
    <t>Rio Negro</t>
  </si>
  <si>
    <t>VIEDMA</t>
  </si>
  <si>
    <t>FCB 0007-00006481</t>
  </si>
  <si>
    <t>FCB 0005-00014533</t>
  </si>
  <si>
    <t>FCB 0005-00014534</t>
  </si>
  <si>
    <t>FCB 0007-00006482</t>
  </si>
  <si>
    <t>PATRICIA INES GARCIA ROZADA</t>
  </si>
  <si>
    <t>27202704471</t>
  </si>
  <si>
    <t>FCB 0007-00006483</t>
  </si>
  <si>
    <t>FCB 0005-00014535</t>
  </si>
  <si>
    <t>FCB 0005-00014536</t>
  </si>
  <si>
    <t>FCB 0005-00014537</t>
  </si>
  <si>
    <t>FCB 0005-00014538</t>
  </si>
  <si>
    <t>NCA 0007-00000210</t>
  </si>
  <si>
    <t>FCB 0005-00014539</t>
  </si>
  <si>
    <t>FCA 0007-00002740</t>
  </si>
  <si>
    <t>FCB 0005-00014540</t>
  </si>
  <si>
    <t>FCB 0005-00014541</t>
  </si>
  <si>
    <t>07/10/2025</t>
  </si>
  <si>
    <t>FCB 0005-00014542</t>
  </si>
  <si>
    <t>FCB 0005-00014559</t>
  </si>
  <si>
    <t>FCB 0005-00014543</t>
  </si>
  <si>
    <t>FCB 0007-00006484</t>
  </si>
  <si>
    <t>FCB 0007-00006485</t>
  </si>
  <si>
    <t>FCB 0007-00006486</t>
  </si>
  <si>
    <t>FCB 0007-00006487</t>
  </si>
  <si>
    <t>FCB 0007-00006488</t>
  </si>
  <si>
    <t>JUAN ANTONIO PARRA</t>
  </si>
  <si>
    <t>20149320025</t>
  </si>
  <si>
    <t>FCB 0007-00006489</t>
  </si>
  <si>
    <t>FCB 0007-00006490</t>
  </si>
  <si>
    <t>FCB 0007-00006491</t>
  </si>
  <si>
    <t>BALVANERA</t>
  </si>
  <si>
    <t>FCB 0007-00006492</t>
  </si>
  <si>
    <t>FCB 0007-00006493</t>
  </si>
  <si>
    <t>FCB 0007-00006494</t>
  </si>
  <si>
    <t>FCB 0005-00014544</t>
  </si>
  <si>
    <t>FCB 0005-00014545</t>
  </si>
  <si>
    <t>FCB 0005-00014546</t>
  </si>
  <si>
    <t>MIRTA EVANGELINA OJEDA</t>
  </si>
  <si>
    <t>27301702367</t>
  </si>
  <si>
    <t>FCB 0005-00014547</t>
  </si>
  <si>
    <t>FCB 0007-00006495</t>
  </si>
  <si>
    <t>VOLPI, ALBERTO JAVIER</t>
  </si>
  <si>
    <t>FCB 0007-00006496</t>
  </si>
  <si>
    <t>FCB 0007-00006497</t>
  </si>
  <si>
    <t>FCB 0005-00014548</t>
  </si>
  <si>
    <t>FCB 0007-00006498</t>
  </si>
  <si>
    <t>FCB 0005-00014549</t>
  </si>
  <si>
    <t>FCB 0007-00006499</t>
  </si>
  <si>
    <t>FCB 0005-00014550</t>
  </si>
  <si>
    <t>FCB 0005-00014551</t>
  </si>
  <si>
    <t>FCB 0005-00014552</t>
  </si>
  <si>
    <t>FCB 0005-00014553</t>
  </si>
  <si>
    <t>ALEXIA CANDELA VERA</t>
  </si>
  <si>
    <t>27415462277</t>
  </si>
  <si>
    <t>FCB 0007-00006500</t>
  </si>
  <si>
    <t>FCB 0005-00014554</t>
  </si>
  <si>
    <t>FCB 0005-00014555</t>
  </si>
  <si>
    <t>FCB 0005-00014556</t>
  </si>
  <si>
    <t>FCB 0005-00014557</t>
  </si>
  <si>
    <t>FCB 0005-00014558</t>
  </si>
  <si>
    <t>08/10/2025</t>
  </si>
  <si>
    <t>FCB 0007-00006501</t>
  </si>
  <si>
    <t>FCB 0005-00014560</t>
  </si>
  <si>
    <t>FCB 0005-00014561</t>
  </si>
  <si>
    <t>FCB 0005-00014562</t>
  </si>
  <si>
    <t>FCB 0005-00014563</t>
  </si>
  <si>
    <t>FCB 0005-00014564</t>
  </si>
  <si>
    <t>FCB 0005-00014565</t>
  </si>
  <si>
    <t>MAURO SEBASTIAN BELLUCCI</t>
  </si>
  <si>
    <t>20304445093</t>
  </si>
  <si>
    <t>CIUDADELA</t>
  </si>
  <si>
    <t>FCB 0005-00014566</t>
  </si>
  <si>
    <t>FCB 0005-00014567</t>
  </si>
  <si>
    <t>FCB 0005-00014568</t>
  </si>
  <si>
    <t>FCB 0005-00014569</t>
  </si>
  <si>
    <t>FCB 0005-00014570</t>
  </si>
  <si>
    <t>FCB 0005-00014571</t>
  </si>
  <si>
    <t>FCB 0005-00014572</t>
  </si>
  <si>
    <t>FCB 0005-00014573</t>
  </si>
  <si>
    <t>FCA 0007-00002741</t>
  </si>
  <si>
    <t>FCB 0005-00014574</t>
  </si>
  <si>
    <t>SILVIA BEATRIZ ARISNABARRETA</t>
  </si>
  <si>
    <t>27176356702</t>
  </si>
  <si>
    <t>FCB 0005-00014575</t>
  </si>
  <si>
    <t>FCB 0005-00014576</t>
  </si>
  <si>
    <t>FCB 0005-00014577</t>
  </si>
  <si>
    <t>FCB 0005-00014578</t>
  </si>
  <si>
    <t>09/10/2025</t>
  </si>
  <si>
    <t>FCB 0005-00014579</t>
  </si>
  <si>
    <t>FCB 0005-00014580</t>
  </si>
  <si>
    <t>FCB 0005-00014581</t>
  </si>
  <si>
    <t>FCB 0005-00014582</t>
  </si>
  <si>
    <t>FCB 0005-00014583</t>
  </si>
  <si>
    <t>OBRA SOCIAL DEL PERSONAL DE ESTACIONES DE SERVICIOS GARAGES PLAYAS DE ESTACIONAMIENTO Y LAVADEROS AUTOMATICOS</t>
  </si>
  <si>
    <t>30631503280</t>
  </si>
  <si>
    <t>FCB 0007-00006502</t>
  </si>
  <si>
    <t>FCB 0005-00014584</t>
  </si>
  <si>
    <t>EGESAC SOCIEDAD ANONIM</t>
  </si>
  <si>
    <t>30606274161</t>
  </si>
  <si>
    <t>FCA 0007-00002742</t>
  </si>
  <si>
    <t>FCA 0007-00002743</t>
  </si>
  <si>
    <t>30587842358</t>
  </si>
  <si>
    <t>FCA 0007-00002744</t>
  </si>
  <si>
    <t>SC PILAR S.A.</t>
  </si>
  <si>
    <t>30712529721</t>
  </si>
  <si>
    <t>FCA 0007-00002745</t>
  </si>
  <si>
    <t>FCA 0007-00002746</t>
  </si>
  <si>
    <t>FCB 0005-00014585</t>
  </si>
  <si>
    <t>FCA 0007-00002747</t>
  </si>
  <si>
    <t xml:space="preserve"> BUELA ANGELA RAQUEL</t>
  </si>
  <si>
    <t>27119812661</t>
  </si>
  <si>
    <t>FCB 0005-00014586</t>
  </si>
  <si>
    <t>FCB 0005-00014587</t>
  </si>
  <si>
    <t>FCB 0005-00014588</t>
  </si>
  <si>
    <t>FCB 0005-00014589</t>
  </si>
  <si>
    <t>FCB 0005-00014590</t>
  </si>
  <si>
    <t>FCB 0005-00014591</t>
  </si>
  <si>
    <t>13/10/2025</t>
  </si>
  <si>
    <t xml:space="preserve"> CARBONATTO SARA ESTHER</t>
  </si>
  <si>
    <t>27032353725</t>
  </si>
  <si>
    <t>FCB 0005-00014604</t>
  </si>
  <si>
    <t>FCB 0007-00006503</t>
  </si>
  <si>
    <t>FCB 0007-00006504</t>
  </si>
  <si>
    <t>FLORESTA</t>
  </si>
  <si>
    <t>FCB 0007-00006505</t>
  </si>
  <si>
    <t>FCB 0007-00006506</t>
  </si>
  <si>
    <t>FCB 0007-00006507</t>
  </si>
  <si>
    <t>FCB 0007-00006508</t>
  </si>
  <si>
    <t>FCB 0007-00006509</t>
  </si>
  <si>
    <t>FCB 0007-00006510</t>
  </si>
  <si>
    <t>FCB 0007-00006511</t>
  </si>
  <si>
    <t>FCB 0007-00006512</t>
  </si>
  <si>
    <t>FCB 0007-00006513</t>
  </si>
  <si>
    <t>FCB 0007-00006514</t>
  </si>
  <si>
    <t>FCB 0007-00006515</t>
  </si>
  <si>
    <t>ALDO EUGENIO ARLANDI</t>
  </si>
  <si>
    <t>20043763483</t>
  </si>
  <si>
    <t>FCB 0007-00006516</t>
  </si>
  <si>
    <t>FCB 0005-00014592</t>
  </si>
  <si>
    <t>FCB 0005-00014593</t>
  </si>
  <si>
    <t>FCB 0005-00014594</t>
  </si>
  <si>
    <t>FCB 0005-00014595</t>
  </si>
  <si>
    <t>FCB 0005-00014596</t>
  </si>
  <si>
    <t>FCB 0005-00014597</t>
  </si>
  <si>
    <t>FCA 0007-00002748</t>
  </si>
  <si>
    <t>FCB 0007-00006517</t>
  </si>
  <si>
    <t>FCB 0005-00014598</t>
  </si>
  <si>
    <t>FCA 0007-00002749</t>
  </si>
  <si>
    <t>FCB 0007-00006518</t>
  </si>
  <si>
    <t>FCB 0005-00014599</t>
  </si>
  <si>
    <t>FCB 0005-00014600</t>
  </si>
  <si>
    <t>FCB 0005-00014601</t>
  </si>
  <si>
    <t>FCB 0005-00014602</t>
  </si>
  <si>
    <t>FCA 0006-00000642</t>
  </si>
  <si>
    <t>FCB 0005-00014603</t>
  </si>
  <si>
    <t>14/10/2025</t>
  </si>
  <si>
    <t>FCB 0005-00014625</t>
  </si>
  <si>
    <t>FCB 0005-00014605</t>
  </si>
  <si>
    <t>FCB 0005-00014606</t>
  </si>
  <si>
    <t>FCB 0005-00014607</t>
  </si>
  <si>
    <t>FCB 0005-00014608</t>
  </si>
  <si>
    <t>NILDA BEATRIZ AONDI</t>
  </si>
  <si>
    <t>27067307947</t>
  </si>
  <si>
    <t>FCB 0007-00006519</t>
  </si>
  <si>
    <t>FCB 0005-00014609</t>
  </si>
  <si>
    <t>FCB 0005-00014610</t>
  </si>
  <si>
    <t>FCB 0005-00014611</t>
  </si>
  <si>
    <t>FCB 0005-00014612</t>
  </si>
  <si>
    <t>FCB 0005-00014613</t>
  </si>
  <si>
    <t>FCB 0005-00014614</t>
  </si>
  <si>
    <t>FCB 0005-00014615</t>
  </si>
  <si>
    <t>FCB 0005-00014616</t>
  </si>
  <si>
    <t>FCB 0005-00014617</t>
  </si>
  <si>
    <t>FCB 0005-00014618</t>
  </si>
  <si>
    <t>FCB 0005-00014619</t>
  </si>
  <si>
    <t>FCB 0005-00014620</t>
  </si>
  <si>
    <t>FCB 0005-00014621</t>
  </si>
  <si>
    <t>FCB 0005-00014622</t>
  </si>
  <si>
    <t>FCB 0005-00014623</t>
  </si>
  <si>
    <t>FCB 0005-00014624</t>
  </si>
  <si>
    <t>15/10/2025</t>
  </si>
  <si>
    <t>FCB 0005-00014626</t>
  </si>
  <si>
    <t>FCB 0005-00014627</t>
  </si>
  <si>
    <t>FCB 0005-00014628</t>
  </si>
  <si>
    <t>FCB 0005-00014629</t>
  </si>
  <si>
    <t>FCB 0005-00014630</t>
  </si>
  <si>
    <t>FCB 0005-00014631</t>
  </si>
  <si>
    <t>FCB 0005-00014632</t>
  </si>
  <si>
    <t>FCB 0005-00014633</t>
  </si>
  <si>
    <t>FCB 0005-00014634</t>
  </si>
  <si>
    <t>FCB 0005-00014635</t>
  </si>
  <si>
    <t>FCB 0005-00014636</t>
  </si>
  <si>
    <t>FCB 0005-00014637</t>
  </si>
  <si>
    <t>16/10/2025</t>
  </si>
  <si>
    <t>FCB 0005-00014653</t>
  </si>
  <si>
    <t>FCB 0007-00006520</t>
  </si>
  <si>
    <t>FCB 0005-00014638</t>
  </si>
  <si>
    <t>FCB 0005-00014639</t>
  </si>
  <si>
    <t>FCB 0005-00014640</t>
  </si>
  <si>
    <t>FCB 0005-00014641</t>
  </si>
  <si>
    <t>FCB 0005-00014642</t>
  </si>
  <si>
    <t>FCB 0005-00014643</t>
  </si>
  <si>
    <t>FCB 0005-00014644</t>
  </si>
  <si>
    <t>FCB 0005-00014645</t>
  </si>
  <si>
    <t>FCB 0005-00014646</t>
  </si>
  <si>
    <t>FCB 0005-00014647</t>
  </si>
  <si>
    <t>FCB 0005-00014648</t>
  </si>
  <si>
    <t>FCB 0007-00006521</t>
  </si>
  <si>
    <t>FCB 0007-00006522</t>
  </si>
  <si>
    <t>FCB 0005-00014649</t>
  </si>
  <si>
    <t>FERNANDO DANIEL CACCIA</t>
  </si>
  <si>
    <t>20120943074</t>
  </si>
  <si>
    <t>FCA 0007-00002750</t>
  </si>
  <si>
    <t>FCB 0005-00014650</t>
  </si>
  <si>
    <t>FCB 0005-00014651</t>
  </si>
  <si>
    <t>FCB 0005-00014652</t>
  </si>
  <si>
    <t>17/10/2025</t>
  </si>
  <si>
    <t>FCB 0005-00014654</t>
  </si>
  <si>
    <t>FCB 0005-00014655</t>
  </si>
  <si>
    <t>FCB 0005-00014656</t>
  </si>
  <si>
    <t>FCB 0005-00014657</t>
  </si>
  <si>
    <t>FCB 0005-00014658</t>
  </si>
  <si>
    <t>MARIA CRISTINA ESPOSITO</t>
  </si>
  <si>
    <t>27113894038</t>
  </si>
  <si>
    <t>FCB 0007-00006523</t>
  </si>
  <si>
    <t>FCB 0005-00014659</t>
  </si>
  <si>
    <t>FCB 0005-00014660</t>
  </si>
  <si>
    <t>FCB 0005-00014661</t>
  </si>
  <si>
    <t>FCB 0005-00014662</t>
  </si>
  <si>
    <t>FCB 0005-00014663</t>
  </si>
  <si>
    <t>FCB 0005-00014664</t>
  </si>
  <si>
    <t>FCB 0005-00014665</t>
  </si>
  <si>
    <t>FCB 0005-00014666</t>
  </si>
  <si>
    <t>FCB 0005-00014667</t>
  </si>
  <si>
    <t>20/10/2025</t>
  </si>
  <si>
    <t>FCB 0005-00014675</t>
  </si>
  <si>
    <t xml:space="preserve"> MICHEL GRISELDA VERONICA</t>
  </si>
  <si>
    <t>27244140225</t>
  </si>
  <si>
    <t>FCB 0005-00014668</t>
  </si>
  <si>
    <t>FCB 0005-00014669</t>
  </si>
  <si>
    <t>FCB 0005-00014670</t>
  </si>
  <si>
    <t>ELIDA YAMILA PANUNTO</t>
  </si>
  <si>
    <t>27301150801</t>
  </si>
  <si>
    <t>MERLO</t>
  </si>
  <si>
    <t>FCA 0005-00000183</t>
  </si>
  <si>
    <t>FCB 0005-00014671</t>
  </si>
  <si>
    <t>OBRA SOCIAL DEL SINDICATO DE MECANICOS Y AFINES DEL TRANSPORTE AUTOMOTOR</t>
  </si>
  <si>
    <t>30590412631</t>
  </si>
  <si>
    <t>FCA 0007-00002751</t>
  </si>
  <si>
    <t>FCB 0005-00014672</t>
  </si>
  <si>
    <t>FCB 0005-00014673</t>
  </si>
  <si>
    <t>FCB 0005-00014674</t>
  </si>
  <si>
    <t>FCA 0007-00002752</t>
  </si>
  <si>
    <t>21/10/2025</t>
  </si>
  <si>
    <t>FCB 0005-00014686</t>
  </si>
  <si>
    <t>FCB 0005-00014676</t>
  </si>
  <si>
    <t>CRISTIAN ARIEL MODOLO</t>
  </si>
  <si>
    <t>20220406653</t>
  </si>
  <si>
    <t>FCB 0007-00006524</t>
  </si>
  <si>
    <t>FCB 0005-00014677</t>
  </si>
  <si>
    <t>HEBE JORGELINA ANTONIA JACOBSEN</t>
  </si>
  <si>
    <t>27139957402</t>
  </si>
  <si>
    <t>FCB 0005-00014678</t>
  </si>
  <si>
    <t>FCB 0005-00014679</t>
  </si>
  <si>
    <t>FCB 0005-00014680</t>
  </si>
  <si>
    <t>ALIANZE INTERNACION DOMICILIARIA S.R.L.</t>
  </si>
  <si>
    <t>30717908232</t>
  </si>
  <si>
    <t>FCA 0005-00000184</t>
  </si>
  <si>
    <t>NCA 0005-00000007</t>
  </si>
  <si>
    <t>DROGUERIA BIOS SA</t>
  </si>
  <si>
    <t>30715196030</t>
  </si>
  <si>
    <t>FCA 0005-00000185</t>
  </si>
  <si>
    <t>FCB 0005-00014681</t>
  </si>
  <si>
    <t>ITALIA FILOMENA SRL</t>
  </si>
  <si>
    <t>30715803093</t>
  </si>
  <si>
    <t>SAN MIGUEL</t>
  </si>
  <si>
    <t>FCA 0005-00000186</t>
  </si>
  <si>
    <t>FCA 0005-00000187</t>
  </si>
  <si>
    <t>NCA 0005-00000008</t>
  </si>
  <si>
    <t>NCA 0005-00000009</t>
  </si>
  <si>
    <t>NCA 0005-00000010</t>
  </si>
  <si>
    <t>FCB 0005-00014682</t>
  </si>
  <si>
    <t>NCB 0007-00000226</t>
  </si>
  <si>
    <t>FCB 0005-00014683</t>
  </si>
  <si>
    <t>FCB 0005-00014684</t>
  </si>
  <si>
    <t>FCB 0005-00014685</t>
  </si>
  <si>
    <t>22/10/2025</t>
  </si>
  <si>
    <t>FCB 0005-00014687</t>
  </si>
  <si>
    <t>FCB 0005-00014699</t>
  </si>
  <si>
    <t>MGR IMPLANTES S.A.</t>
  </si>
  <si>
    <t>30709016012</t>
  </si>
  <si>
    <t>FCA 0007-00002753</t>
  </si>
  <si>
    <t>FCB 0005-00014688</t>
  </si>
  <si>
    <t>FCB 0005-00014689</t>
  </si>
  <si>
    <t>FCA 0007-00002754</t>
  </si>
  <si>
    <t>FCA 0007-00002755</t>
  </si>
  <si>
    <t>FCB 0005-00014690</t>
  </si>
  <si>
    <t>VALENTIN MIRARCHI</t>
  </si>
  <si>
    <t>20423745917</t>
  </si>
  <si>
    <t>FCB 0005-00014691</t>
  </si>
  <si>
    <t>FCA 0006-00000643</t>
  </si>
  <si>
    <t>PABLO ROBERTO LAFARGUE</t>
  </si>
  <si>
    <t>20124382867</t>
  </si>
  <si>
    <t>FCB 0007-00006525</t>
  </si>
  <si>
    <t>NOEMI BEATRIZ DUARTE</t>
  </si>
  <si>
    <t>27044903607</t>
  </si>
  <si>
    <t>FCB 0007-00006526</t>
  </si>
  <si>
    <t>FCB 0007-00006527</t>
  </si>
  <si>
    <t>FCB 0005-00014692</t>
  </si>
  <si>
    <t>MARIA VICTORIA MEILIJ</t>
  </si>
  <si>
    <t>27164535857</t>
  </si>
  <si>
    <t>FCB 0005-00014693</t>
  </si>
  <si>
    <t>FCB 0005-00014694</t>
  </si>
  <si>
    <t>FCB 0007-00006528</t>
  </si>
  <si>
    <t>FCB 0005-00014695</t>
  </si>
  <si>
    <t>FCB 0005-00014696</t>
  </si>
  <si>
    <t>FCB 0005-00014697</t>
  </si>
  <si>
    <t>DANIEL MANUEL MEDINA</t>
  </si>
  <si>
    <t>20102581874</t>
  </si>
  <si>
    <t>FCB 0007-00006529</t>
  </si>
  <si>
    <t>FCA 0007-00002756</t>
  </si>
  <si>
    <t>FCA 0007-00002757</t>
  </si>
  <si>
    <t>FCB 0005-00014698</t>
  </si>
  <si>
    <t>FCA 0007-00002758</t>
  </si>
  <si>
    <t>23/10/2025</t>
  </si>
  <si>
    <t>FCB 0005-00014710</t>
  </si>
  <si>
    <t>FCB 0005-00014700</t>
  </si>
  <si>
    <t>FCB 0005-00014701</t>
  </si>
  <si>
    <t>LAUTARO NAHUEL PAHOR BORQUEZ</t>
  </si>
  <si>
    <t>20441073349</t>
  </si>
  <si>
    <t>FCB 0007-00006530</t>
  </si>
  <si>
    <t>FCB 0005-00014702</t>
  </si>
  <si>
    <t>FCB 0007-00006531</t>
  </si>
  <si>
    <t>FCB 0007-00006532</t>
  </si>
  <si>
    <t>FCA 0007-00002759</t>
  </si>
  <si>
    <t>FCB 0005-00014703</t>
  </si>
  <si>
    <t>FCB 0005-00014704</t>
  </si>
  <si>
    <t>FCB 0005-00014705</t>
  </si>
  <si>
    <t>FCB 0005-00014706</t>
  </si>
  <si>
    <t>FCB 0007-00006533</t>
  </si>
  <si>
    <t>FCB 0005-00014707</t>
  </si>
  <si>
    <t>FCB 0005-00014708</t>
  </si>
  <si>
    <t>FCB 0005-00014709</t>
  </si>
  <si>
    <t>24/10/2025</t>
  </si>
  <si>
    <t>FCB 0005-00014711</t>
  </si>
  <si>
    <t>NCA 0007-00000211</t>
  </si>
  <si>
    <t>NCA 0007-00000212</t>
  </si>
  <si>
    <t>NCA 0006-00000099</t>
  </si>
  <si>
    <t>FCB 0005-00014712</t>
  </si>
  <si>
    <t>FCB 0005-00014713</t>
  </si>
  <si>
    <t>FCB 0005-00014714</t>
  </si>
  <si>
    <t>FCB 0005-00014715</t>
  </si>
  <si>
    <t>FCB 0007-00006534</t>
  </si>
  <si>
    <t>FCB 0005-00014716</t>
  </si>
  <si>
    <t>FCB 0005-00014717</t>
  </si>
  <si>
    <t>FCB 0005-00014718</t>
  </si>
  <si>
    <t>FCB 0005-00014719</t>
  </si>
  <si>
    <t>FCB 0005-00014720</t>
  </si>
  <si>
    <t>FCB 0005-00014721</t>
  </si>
  <si>
    <t xml:space="preserve"> DE LOS SANTOS LISANDRO GUSTAVO</t>
  </si>
  <si>
    <t>23528078869</t>
  </si>
  <si>
    <t>FCB 0005-00014722</t>
  </si>
  <si>
    <t>NCB 0007-00000227</t>
  </si>
  <si>
    <t>27/10/2025</t>
  </si>
  <si>
    <t>FCB 0005-00014723</t>
  </si>
  <si>
    <t>FCB 0005-00014724</t>
  </si>
  <si>
    <t>FCB 0005-00014725</t>
  </si>
  <si>
    <t>FCB 0005-00014726</t>
  </si>
  <si>
    <t>FCB 0005-00014727</t>
  </si>
  <si>
    <t>FCB 0005-00014728</t>
  </si>
  <si>
    <t>FCA 0006-00000644</t>
  </si>
  <si>
    <t>NCA 0006-00000100</t>
  </si>
  <si>
    <t>FCA 0007-00002760</t>
  </si>
  <si>
    <t>FCB 0007-00006535</t>
  </si>
  <si>
    <t>FCB 0005-00014729</t>
  </si>
  <si>
    <t>FCB 0005-00014730</t>
  </si>
  <si>
    <t>FCA 0007-00002761</t>
  </si>
  <si>
    <t>FCA 0007-00002762</t>
  </si>
  <si>
    <t>FCB 0005-00014731</t>
  </si>
  <si>
    <t>FCA 0007-00002763</t>
  </si>
  <si>
    <t>28/10/2025</t>
  </si>
  <si>
    <t>FCB 0005-00014732</t>
  </si>
  <si>
    <t>FCB 0005-00014733</t>
  </si>
  <si>
    <t>FCB 0005-00014741</t>
  </si>
  <si>
    <t>FCB 0005-00014734</t>
  </si>
  <si>
    <t>FCB 0005-00014735</t>
  </si>
  <si>
    <t>FCB 0005-00014736</t>
  </si>
  <si>
    <t>FCB 0005-00014737</t>
  </si>
  <si>
    <t>JOAQUIN URIEL RAMIREZ</t>
  </si>
  <si>
    <t>20573356692</t>
  </si>
  <si>
    <t>FCB 0005-00014738</t>
  </si>
  <si>
    <t>FCA 0007-00002764</t>
  </si>
  <si>
    <t>FCB 0005-00014739</t>
  </si>
  <si>
    <t>FCB 0005-00014740</t>
  </si>
  <si>
    <t>29/10/2025</t>
  </si>
  <si>
    <t>FCB 0005-00014742</t>
  </si>
  <si>
    <t>FCB 0005-00014743</t>
  </si>
  <si>
    <t>FCB 0005-00014764</t>
  </si>
  <si>
    <t>FCB 0005-00014744</t>
  </si>
  <si>
    <t>FCB 0005-00014745</t>
  </si>
  <si>
    <t>FCB 0005-00014746</t>
  </si>
  <si>
    <t>FCB 0005-00014747</t>
  </si>
  <si>
    <t>FCB 0005-00014748</t>
  </si>
  <si>
    <t>FCB 0005-00014749</t>
  </si>
  <si>
    <t>FCB 0005-00014750</t>
  </si>
  <si>
    <t>FCB 0005-00014751</t>
  </si>
  <si>
    <t>FCB 0005-00014752</t>
  </si>
  <si>
    <t>FCB 0005-00014753</t>
  </si>
  <si>
    <t>FCB 0005-00014754</t>
  </si>
  <si>
    <t>RAUL EDMUNDO JORGE FERMEPIN</t>
  </si>
  <si>
    <t>20121584795</t>
  </si>
  <si>
    <t>FCB 0005-00014755</t>
  </si>
  <si>
    <t>ALEJANDRA BEATRIZ JAIMES</t>
  </si>
  <si>
    <t>27229825440</t>
  </si>
  <si>
    <t>FCB 0005-00014756</t>
  </si>
  <si>
    <t>FCA 0007-00002765</t>
  </si>
  <si>
    <t>NELIDA MARTA BARBA</t>
  </si>
  <si>
    <t>27052094858</t>
  </si>
  <si>
    <t>FCB 0005-00014757</t>
  </si>
  <si>
    <t>FCB 0005-00014758</t>
  </si>
  <si>
    <t>FCB 0005-00014759</t>
  </si>
  <si>
    <t>FCB 0005-00014760</t>
  </si>
  <si>
    <t>FCB 0005-00014761</t>
  </si>
  <si>
    <t>FCB 0005-00014762</t>
  </si>
  <si>
    <t>FCB 0005-00014763</t>
  </si>
  <si>
    <t>30/10/2025</t>
  </si>
  <si>
    <t>FCB 0005-00014771</t>
  </si>
  <si>
    <t>FCB 0007-00006536</t>
  </si>
  <si>
    <t>FCB 0005-00014765</t>
  </si>
  <si>
    <t>FCB 0005-00014766</t>
  </si>
  <si>
    <t>FCB 0005-00014767</t>
  </si>
  <si>
    <t>IGNACIO CONRADO MUÑIZ CALDAS</t>
  </si>
  <si>
    <t>20533311033</t>
  </si>
  <si>
    <t>FCB 0007-00006537</t>
  </si>
  <si>
    <t>FCB 0005-00014768</t>
  </si>
  <si>
    <t>FCB 0005-00014769</t>
  </si>
  <si>
    <t>FCB 0005-00014770</t>
  </si>
  <si>
    <t>31/10/2025</t>
  </si>
  <si>
    <t>FCA 0007-00002766</t>
  </si>
  <si>
    <t>FCB 0005-00014772</t>
  </si>
  <si>
    <t>FCB 0005-00014773</t>
  </si>
  <si>
    <t>FCA 0007-00002767</t>
  </si>
  <si>
    <t>FCB 0007-00006538</t>
  </si>
  <si>
    <t>FCB 0005-00014774</t>
  </si>
  <si>
    <t>EMANUEL LOPEZ</t>
  </si>
  <si>
    <t>20415456159</t>
  </si>
  <si>
    <t>FCB 0005-00014775</t>
  </si>
  <si>
    <t>FCA 0006-00000645</t>
  </si>
  <si>
    <t>FCB 0005-00014776</t>
  </si>
  <si>
    <t>FCB 0005-00014777</t>
  </si>
  <si>
    <t>FCB 0005-00014778</t>
  </si>
  <si>
    <t>FCB 0005-00014779</t>
  </si>
  <si>
    <t>NCB 0007-00000228</t>
  </si>
  <si>
    <t>GALENO ARGENTINA SOCIEDAD ANONIMA</t>
  </si>
  <si>
    <t>FCA 0003-00002147</t>
  </si>
  <si>
    <t>FCA 0003-00002144</t>
  </si>
  <si>
    <t>FCA 0003-00002146</t>
  </si>
  <si>
    <t>FCA 0003-00002145</t>
  </si>
  <si>
    <t>FCB 0003-00002892</t>
  </si>
  <si>
    <t>FCA 0003-00000022</t>
  </si>
  <si>
    <t>FCA 0003-00000023</t>
  </si>
  <si>
    <t>Comprobante Emitido por ARCA</t>
  </si>
  <si>
    <t>INDUSTRIAS FERNANDEZ GARRIDO SA</t>
  </si>
  <si>
    <t>CAMPA DANIEL JORGE</t>
  </si>
  <si>
    <t>04/10/2025</t>
  </si>
  <si>
    <t>GRUPO MAXIMUS S.R.L.</t>
  </si>
  <si>
    <t>GARCIA HORACIO FERNANDO</t>
  </si>
  <si>
    <t>OUTLANDISH S R L</t>
  </si>
  <si>
    <t>MENDIZABAL RAUL EUGENIO</t>
  </si>
  <si>
    <t>ESPERANZA MIGUEL ANGEL</t>
  </si>
  <si>
    <t>IZQUIERDO MONICA BEATRIZ</t>
  </si>
  <si>
    <t>BIODINAMICA ASISTENCIA S. R. L.</t>
  </si>
  <si>
    <t>GALTIERI WALTER QUIMEY</t>
  </si>
  <si>
    <t>EBOX S.A.</t>
  </si>
  <si>
    <t>STEINER FLAVIA ADRIANA</t>
  </si>
  <si>
    <t>QBIKE</t>
  </si>
  <si>
    <t>LIBRERIA PELUFFO SRL</t>
  </si>
  <si>
    <t>GOU TURISMO EJECUTIVO S.R.L.</t>
  </si>
  <si>
    <t>ROMANO MATIAS EZEQUIEL</t>
  </si>
  <si>
    <t>AQUINO WILSON GUSTAVO UBALDO</t>
  </si>
  <si>
    <t>GRUPO GAUSS S.R.L.</t>
  </si>
  <si>
    <t>DI SALVI OLGA ESTELA</t>
  </si>
  <si>
    <t>NC-C</t>
  </si>
  <si>
    <t>NC-A</t>
  </si>
  <si>
    <t>PEAJES</t>
  </si>
  <si>
    <t>ok contabil</t>
  </si>
  <si>
    <t>sin comp</t>
  </si>
  <si>
    <t>FCA 00001-00140551</t>
  </si>
  <si>
    <t>FCA 00006-00096491</t>
  </si>
  <si>
    <t>FCA 00006-00096492</t>
  </si>
  <si>
    <t>NCA 00006-00013998</t>
  </si>
  <si>
    <t>FCA 00006-00096490</t>
  </si>
  <si>
    <t>FCA 00629-06496049</t>
  </si>
  <si>
    <t>NCC 00004-00000002</t>
  </si>
  <si>
    <t>FCA 00002-00001576</t>
  </si>
  <si>
    <t>FCA 00008-00016206</t>
  </si>
  <si>
    <t>FCA 00002-00001582</t>
  </si>
  <si>
    <t>NCA 00005-00000132</t>
  </si>
  <si>
    <t>FCA 00010-00004192</t>
  </si>
  <si>
    <t>PLASTICENTRO 11 SOCIEDAD ANONIMA</t>
  </si>
  <si>
    <t>30591749656</t>
  </si>
  <si>
    <t>FCA 00120-00005947</t>
  </si>
  <si>
    <t>FCC 00001-00000043</t>
  </si>
  <si>
    <t>FCA 00008-00000476</t>
  </si>
  <si>
    <t>FCC 00004-00000066</t>
  </si>
  <si>
    <t>FCA 00002-00000252</t>
  </si>
  <si>
    <t>FCA 02059-00034131</t>
  </si>
  <si>
    <t>FCA 01054-00000381</t>
  </si>
  <si>
    <t>FCA 00007-00000055</t>
  </si>
  <si>
    <t>FCA 00017-00013744</t>
  </si>
  <si>
    <t>FCA 00005-00001680</t>
  </si>
  <si>
    <t>FCA 00005-00001679</t>
  </si>
  <si>
    <t>FCA 03051-00982461</t>
  </si>
  <si>
    <t>FCC 00002-00000634</t>
  </si>
  <si>
    <t>DANIEL JORGE CAMPA</t>
  </si>
  <si>
    <t>20247881957</t>
  </si>
  <si>
    <t>FCA 00026-00215680</t>
  </si>
  <si>
    <t>FCA 00015-00005031</t>
  </si>
  <si>
    <t>30688140923</t>
  </si>
  <si>
    <t>FCA 00017-00003413</t>
  </si>
  <si>
    <t>FCC 00004-00000067</t>
  </si>
  <si>
    <t>FCC 00001-00000019</t>
  </si>
  <si>
    <t>FCA 00001-01031096</t>
  </si>
  <si>
    <t>FCA 00711-07668587</t>
  </si>
  <si>
    <t>FCA 00500-01791477</t>
  </si>
  <si>
    <t>FCA 00005-00001682</t>
  </si>
  <si>
    <t>FCC 00002-00000138</t>
  </si>
  <si>
    <t>FCA 00002-00001598</t>
  </si>
  <si>
    <t>FCA 00006-00002120</t>
  </si>
  <si>
    <t>FCA 05015-01018189</t>
  </si>
  <si>
    <t>FCA 00009-00023056</t>
  </si>
  <si>
    <t>HORACIO FERNANDO GARCIA</t>
  </si>
  <si>
    <t>20207044262</t>
  </si>
  <si>
    <t>FCA 00100-00270246</t>
  </si>
  <si>
    <t>ESTACION LIMA  SA</t>
  </si>
  <si>
    <t>30537679855</t>
  </si>
  <si>
    <t>FCA 00007-00000056</t>
  </si>
  <si>
    <t>FCA 01055-00000908</t>
  </si>
  <si>
    <t>FCA 00005-00001694</t>
  </si>
  <si>
    <t>FCC 00001-00000005</t>
  </si>
  <si>
    <t>FCC 00002-00000380</t>
  </si>
  <si>
    <t>FCA 00002-00008600</t>
  </si>
  <si>
    <t>30643862928</t>
  </si>
  <si>
    <t>FCA 03101-00390491</t>
  </si>
  <si>
    <t>FCA 09238-00000711</t>
  </si>
  <si>
    <t>FCA 00700-02758592</t>
  </si>
  <si>
    <t>FCA 00006-00000123</t>
  </si>
  <si>
    <t>FCA 00006-00000121</t>
  </si>
  <si>
    <t>FCA 01055-00000910</t>
  </si>
  <si>
    <t>10/10/2025</t>
  </si>
  <si>
    <t>FCA 00007-00022484</t>
  </si>
  <si>
    <t>FOURMAX S.R.L.</t>
  </si>
  <si>
    <t>30711647135</t>
  </si>
  <si>
    <t>FCA 00008-00002509</t>
  </si>
  <si>
    <t>RAUL EUGENIO MENDIZABAL</t>
  </si>
  <si>
    <t>23288035059</t>
  </si>
  <si>
    <t>FCA 00007-00022647</t>
  </si>
  <si>
    <t>FCA 00002-00012960</t>
  </si>
  <si>
    <t>FCC 00001-00000001</t>
  </si>
  <si>
    <t>WALTER QUIMEY GALTIERI</t>
  </si>
  <si>
    <t>20421434450</t>
  </si>
  <si>
    <t>FCA 00104-10864512</t>
  </si>
  <si>
    <t>FCA 00104-10907502</t>
  </si>
  <si>
    <t>FCA 00005-00006509</t>
  </si>
  <si>
    <t>30715833243</t>
  </si>
  <si>
    <t>FCA 00005-00006507</t>
  </si>
  <si>
    <t>FCA 02059-00034334</t>
  </si>
  <si>
    <t>FCA 00006-00059344</t>
  </si>
  <si>
    <t>FCA 02031-00230808</t>
  </si>
  <si>
    <t>FCA 02399-00085833</t>
  </si>
  <si>
    <t>FCA 00005-00006523</t>
  </si>
  <si>
    <t>FCA 00005-00006522</t>
  </si>
  <si>
    <t>FCA 00050-04670040</t>
  </si>
  <si>
    <t>FCA 00006-00000127</t>
  </si>
  <si>
    <t>FCA 00004-00000555</t>
  </si>
  <si>
    <t>MAURICIO JUAN JOSE AYALA</t>
  </si>
  <si>
    <t>20379223185</t>
  </si>
  <si>
    <t>FCA 00003-00007009</t>
  </si>
  <si>
    <t>FCA 00008-00016335</t>
  </si>
  <si>
    <t>FCA 00126-00196908</t>
  </si>
  <si>
    <t>FCA 00007-00022677</t>
  </si>
  <si>
    <t>FCC 00005-00000183</t>
  </si>
  <si>
    <t>LILIANA INES FERREIRA</t>
  </si>
  <si>
    <t>27062343449</t>
  </si>
  <si>
    <t>FCC 00005-00000184</t>
  </si>
  <si>
    <t>FCA 00005-00006531</t>
  </si>
  <si>
    <t>FCA 00002-00001613</t>
  </si>
  <si>
    <t>FCA 00711-07729611</t>
  </si>
  <si>
    <t>FCA 00629-06537785</t>
  </si>
  <si>
    <t>FCC 00003-00000012</t>
  </si>
  <si>
    <t>FCC 00001-00000044</t>
  </si>
  <si>
    <t>FCC 00002-00000651</t>
  </si>
  <si>
    <t>NCA 00003-00000503</t>
  </si>
  <si>
    <t>FCC 00003-00000013</t>
  </si>
  <si>
    <t>18/10/2025</t>
  </si>
  <si>
    <t>FCA 00008-00016365</t>
  </si>
  <si>
    <t>FCA 00005-00000067</t>
  </si>
  <si>
    <t>21/09/2025</t>
  </si>
  <si>
    <t>FCA 00005-00006144</t>
  </si>
  <si>
    <t>MONTE DUAL S.R.L.</t>
  </si>
  <si>
    <t>33714967989</t>
  </si>
  <si>
    <t>FCC 00002-00000014</t>
  </si>
  <si>
    <t>FCA 09426-00003532</t>
  </si>
  <si>
    <t>FCC 00001-00000192</t>
  </si>
  <si>
    <t>FCC 00001-00000193</t>
  </si>
  <si>
    <t>FCA 02434-00080327</t>
  </si>
  <si>
    <t>FCA 00700-02790948</t>
  </si>
  <si>
    <t>FCA 02168-00025156</t>
  </si>
  <si>
    <t>FCA 02036-00088688</t>
  </si>
  <si>
    <t>FCA 01055-00000921</t>
  </si>
  <si>
    <t>FCA 00005-03410705</t>
  </si>
  <si>
    <t>FCC 00001-00000086</t>
  </si>
  <si>
    <t>FCC 00001-00000085</t>
  </si>
  <si>
    <t>FCC 00002-00000015</t>
  </si>
  <si>
    <t>FCA 00003-00007024</t>
  </si>
  <si>
    <t>FCA 00006-00097166</t>
  </si>
  <si>
    <t>FCA 01054-00000383</t>
  </si>
  <si>
    <t>NCC 00001-00000001</t>
  </si>
  <si>
    <t>FCA 00003-00009893</t>
  </si>
  <si>
    <t>FCA 05015-01036311</t>
  </si>
  <si>
    <t>FCA 00007-00005934</t>
  </si>
  <si>
    <t>MATIAS EZEQUIEL ROMANO</t>
  </si>
  <si>
    <t>20347228002</t>
  </si>
  <si>
    <t>FCA 00002-00008615</t>
  </si>
  <si>
    <t>FCA 00004-00016131</t>
  </si>
  <si>
    <t>FCA 01001-00000596</t>
  </si>
  <si>
    <t>FCA 00004-00016140</t>
  </si>
  <si>
    <t>FCA 00001-00009186</t>
  </si>
  <si>
    <t>FCA 01054-00000384</t>
  </si>
  <si>
    <t>26/10/2025</t>
  </si>
  <si>
    <t>FCA 00008-00016423</t>
  </si>
  <si>
    <t>FCA 00008-00016431</t>
  </si>
  <si>
    <t>FCA 00001-00009201</t>
  </si>
  <si>
    <t>FCA 00002-00013032</t>
  </si>
  <si>
    <t>FCC 00002-00000016</t>
  </si>
  <si>
    <t>FCA 00002-00000141</t>
  </si>
  <si>
    <t>WILSON GUSTAVO UBALDO AQUINO</t>
  </si>
  <si>
    <t>20276761111</t>
  </si>
  <si>
    <t>FCA 00004-00000137</t>
  </si>
  <si>
    <t>FCA 03950-05311093</t>
  </si>
  <si>
    <t>FCA 00001-00009214</t>
  </si>
  <si>
    <t>FCA 00001-00009213</t>
  </si>
  <si>
    <t>FCA 01054-00000386</t>
  </si>
  <si>
    <t>FCA 05015-01027855</t>
  </si>
  <si>
    <t>FCA 00002-00000049</t>
  </si>
  <si>
    <t>FCA 00104-10982086</t>
  </si>
  <si>
    <t>FCA 00007-00001777</t>
  </si>
  <si>
    <t>FCA 00006-21005478</t>
  </si>
  <si>
    <t>FCA 01055-00000925</t>
  </si>
  <si>
    <t>FCA 00126-00225855</t>
  </si>
  <si>
    <t>FCC 00001-00000045</t>
  </si>
  <si>
    <t>FCA 00050-04706524</t>
  </si>
  <si>
    <t>FCA 05009-01680484</t>
  </si>
  <si>
    <t>FCA 05015-01051683</t>
  </si>
  <si>
    <t>FCA 00006-00059569</t>
  </si>
  <si>
    <t>total contabilium</t>
  </si>
  <si>
    <t>FCA 00005-00001676</t>
  </si>
  <si>
    <t>NCA 00005-00000131</t>
  </si>
  <si>
    <t>FCA 00004-00019861</t>
  </si>
  <si>
    <t>30714440183</t>
  </si>
  <si>
    <t>NCA 00002-00000101</t>
  </si>
  <si>
    <t>FCA 00002-00006499</t>
  </si>
  <si>
    <t>MIGUEL ANGEL ESPERANZA</t>
  </si>
  <si>
    <t>20263170017</t>
  </si>
  <si>
    <t>FCA 00004-00088963</t>
  </si>
  <si>
    <t>30714749206</t>
  </si>
  <si>
    <t>FCA 00002-00001628</t>
  </si>
  <si>
    <t>FCA 00002-00000050</t>
  </si>
  <si>
    <t>NCA 00002-00000002</t>
  </si>
  <si>
    <t>FCA 00002-00001638</t>
  </si>
  <si>
    <t>FCA 02399-00085929</t>
  </si>
  <si>
    <t>FCA 00003-00002462</t>
  </si>
  <si>
    <t>30718627792</t>
  </si>
  <si>
    <t>FCA 01002-00028165</t>
  </si>
  <si>
    <t>FCA 00011-00000835</t>
  </si>
  <si>
    <t>OLGA ESTELA DI SALVI</t>
  </si>
  <si>
    <t>27167838001</t>
  </si>
  <si>
    <t>FCA 00011-00000834</t>
  </si>
  <si>
    <t>NCA 00033-00000033</t>
  </si>
  <si>
    <t>comp</t>
  </si>
  <si>
    <t>FCA 00003-03479058</t>
  </si>
  <si>
    <t>30712019359</t>
  </si>
  <si>
    <t>FCA 00003-00000149</t>
  </si>
  <si>
    <t>MONICA BEATRIZ IZQUIERDO</t>
  </si>
  <si>
    <t>27160577652</t>
  </si>
  <si>
    <t>FCC 02001-00000971</t>
  </si>
  <si>
    <t>FLAVIA ADRIANA STEINER</t>
  </si>
  <si>
    <t>27167641798</t>
  </si>
  <si>
    <t>FCA 00010-00002818</t>
  </si>
  <si>
    <t>30716886766</t>
  </si>
  <si>
    <t>FCA 00023-00008977</t>
  </si>
  <si>
    <t>30679067431</t>
  </si>
  <si>
    <t>FCA 00001-00000142</t>
  </si>
  <si>
    <t>30716046091</t>
  </si>
  <si>
    <t>FCA 00011-04698716</t>
  </si>
  <si>
    <t>30703088534</t>
  </si>
  <si>
    <t>FCA 00066-00440765</t>
  </si>
  <si>
    <t>NCA 00028-00109556</t>
  </si>
  <si>
    <t>FCA 00016-00000064</t>
  </si>
  <si>
    <t>MARIA VIRGINIA LA BRUNA</t>
  </si>
  <si>
    <t>27310367813</t>
  </si>
  <si>
    <t>FCA 00003-00000930</t>
  </si>
  <si>
    <t>LUIS ALBERTO GIULIETTI</t>
  </si>
  <si>
    <t>23076996989</t>
  </si>
  <si>
    <t>FCA 00006-00003443</t>
  </si>
  <si>
    <t>30715775014</t>
  </si>
  <si>
    <t>EDUARDO FRANCISCO NARDOMARINO</t>
  </si>
  <si>
    <t>20174004146</t>
  </si>
  <si>
    <t>FCA 00007-00001773</t>
  </si>
  <si>
    <t>FCA 01055-00000918</t>
  </si>
  <si>
    <t>NCA 00006-20898297</t>
  </si>
  <si>
    <t>TOTAL NETO</t>
  </si>
  <si>
    <t>TOTAL IVA</t>
  </si>
  <si>
    <t>IVA 21</t>
  </si>
  <si>
    <t>IVA 10,5</t>
  </si>
  <si>
    <t>IVA 27</t>
  </si>
  <si>
    <t>NCA 00006-0002134</t>
  </si>
  <si>
    <t>PAPELERA GEOPEL S.R.L.</t>
  </si>
  <si>
    <t>NCA 00006-0002109</t>
  </si>
  <si>
    <t>NCA 00018-0061485</t>
  </si>
  <si>
    <t>NUESTRO SOSIEGO SOCIEDAD ANONIMA</t>
  </si>
  <si>
    <t>NCA 00008-0016407</t>
  </si>
  <si>
    <t>SOMOS ENERGIA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</si>
</sst>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0\-00000000\-0"/>
    <numFmt numFmtId="165" formatCode="dd/mm/yy;@"/>
    <numFmt numFmtId="166" formatCode="[$-C0A]mmmm\-yy;@"/>
    <numFmt numFmtId="167" formatCode="0.00;[Red]0.00"/>
    <numFmt numFmtId="168" formatCode="0000"/>
    <numFmt numFmtId="169" formatCode="00000000"/>
    <numFmt numFmtId="170" formatCode="d\-m\-yy;@"/>
    <numFmt numFmtId="171" formatCode="_-* #,##0.00\ _€_-;\-* #,##0.00\ _€_-;_-* \-??\ _€_-;_-@_-"/>
    <numFmt numFmtId="172" formatCode="_-[$$-2C0A]\ * #,##0.00_-;\-[$$-2C0A]\ * #,##0.00_-;_-[$$-2C0A]\ * \-??_-;_-@_-"/>
    <numFmt numFmtId="173" formatCode="_-&quot;$ &quot;* #,##0.00_-;&quot;-$ &quot;* #,##0.00_-;_-&quot;$ &quot;* \-??_-;_-@_-"/>
  </numFmts>
  <fonts count="68" x14ac:knownFonts="1">
    <font>
      <sz val="11"/>
      <color theme="1"/>
      <name val="Calibri"/>
      <family val="2"/>
      <charset val="1"/>
    </font>
    <font>
      <sz val="10"/>
      <color rgb="FFFFFFFF"/>
      <name val="Mangal"/>
      <family val="1"/>
      <charset val="1"/>
    </font>
    <font>
      <sz val="10"/>
      <color rgb="FFFFFFFF"/>
      <name val="Mangal"/>
      <family val="2"/>
      <charset val="1"/>
    </font>
    <font>
      <sz val="10"/>
      <name val="Mangal"/>
      <family val="1"/>
      <charset val="1"/>
    </font>
    <font>
      <sz val="10"/>
      <name val="Mang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b/>
      <sz val="9"/>
      <name val="Times New Roman"/>
      <family val="1"/>
      <charset val="1"/>
    </font>
    <font>
      <b/>
      <i/>
      <sz val="9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"/>
    </font>
    <font>
      <sz val="9"/>
      <color theme="1"/>
      <name val="Calibri"/>
      <family val="2"/>
      <charset val="1"/>
    </font>
    <font>
      <sz val="9"/>
      <color rgb="FF000000"/>
      <name val="Times New Roman"/>
      <family val="1"/>
      <charset val="1"/>
    </font>
    <font>
      <sz val="9"/>
      <name val="Calibri"/>
      <family val="2"/>
      <charset val="1"/>
    </font>
    <font>
      <b/>
      <sz val="9"/>
      <color rgb="FF1F7AC1"/>
      <name val="Arial"/>
      <family val="2"/>
      <charset val="1"/>
    </font>
    <font>
      <sz val="9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i/>
      <sz val="9"/>
      <color rgb="FF000000"/>
      <name val="Calibri"/>
      <family val="2"/>
      <charset val="1"/>
    </font>
    <font>
      <sz val="9"/>
      <name val="Arial"/>
      <family val="2"/>
      <charset val="1"/>
    </font>
    <font>
      <b/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sz val="14"/>
      <color theme="1"/>
      <name val="Cambria"/>
      <family val="1"/>
      <charset val="1"/>
    </font>
    <font>
      <b/>
      <sz val="14"/>
      <name val="Cambria"/>
      <family val="1"/>
      <charset val="1"/>
    </font>
    <font>
      <b/>
      <sz val="14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/>
      <sz val="10"/>
      <name val="Cambria"/>
      <family val="1"/>
      <charset val="1"/>
    </font>
    <font>
      <b/>
      <sz val="10"/>
      <color theme="1"/>
      <name val="Cambria"/>
      <family val="1"/>
      <charset val="1"/>
    </font>
    <font>
      <sz val="10"/>
      <color theme="1"/>
      <name val="Cambria"/>
      <family val="1"/>
      <charset val="1"/>
    </font>
    <font>
      <sz val="8"/>
      <name val="Cambria"/>
      <family val="1"/>
      <charset val="1"/>
    </font>
    <font>
      <sz val="11"/>
      <color theme="1" tint="0.49977111117893003"/>
      <name val="Calibri"/>
      <family val="2"/>
      <charset val="1"/>
    </font>
    <font>
      <sz val="8"/>
      <name val="Arial"/>
      <family val="2"/>
      <charset val="1"/>
    </font>
    <font>
      <b/>
      <sz val="9"/>
      <color theme="0" tint="-0.14999847407452621"/>
      <name val="Arial"/>
      <family val="2"/>
      <charset val="1"/>
    </font>
    <font>
      <sz val="11"/>
      <name val="Arial"/>
      <family val="2"/>
      <charset val="1"/>
    </font>
    <font>
      <b/>
      <sz val="11"/>
      <color rgb="FF00610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0"/>
      <color rgb="FF00B05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8"/>
      <color theme="0" tint="-0.14999847407452621"/>
      <name val="Arial"/>
      <family val="2"/>
      <charset val="1"/>
    </font>
    <font>
      <b/>
      <sz val="10"/>
      <color rgb="FF000000"/>
      <name val="Cambria"/>
      <family val="1"/>
      <charset val="1"/>
    </font>
    <font>
      <sz val="10"/>
      <color rgb="FF000000"/>
      <name val="Cambria"/>
      <family val="1"/>
      <charset val="1"/>
    </font>
    <font>
      <b/>
      <sz val="11"/>
      <name val="Cambria"/>
      <family val="1"/>
      <charset val="1"/>
    </font>
    <font>
      <sz val="10"/>
      <name val="Cambria"/>
      <family val="1"/>
      <charset val="1"/>
    </font>
    <font>
      <b/>
      <sz val="11"/>
      <color rgb="FF000000"/>
      <name val="Cambria"/>
      <family val="1"/>
      <charset val="1"/>
    </font>
    <font>
      <b/>
      <i/>
      <sz val="11"/>
      <name val="Arial"/>
      <family val="2"/>
      <charset val="1"/>
    </font>
    <font>
      <b/>
      <sz val="11"/>
      <name val="Arial"/>
      <family val="2"/>
      <charset val="1"/>
    </font>
    <font>
      <sz val="14"/>
      <name val="Arial"/>
      <family val="2"/>
      <charset val="1"/>
    </font>
    <font>
      <b/>
      <sz val="14"/>
      <name val="Arial"/>
      <family val="2"/>
      <charset val="1"/>
    </font>
    <font>
      <sz val="11"/>
      <color rgb="FF9C650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2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9"/>
      <color rgb="FF0070C0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0"/>
      <name val="Calibri"/>
      <family val="2"/>
      <charset val="1"/>
    </font>
    <font>
      <sz val="8"/>
      <name val="Calibri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969696"/>
        <bgColor rgb="FFA5A5A5"/>
      </patternFill>
    </fill>
    <fill>
      <patternFill patternType="solid">
        <fgColor rgb="FFC6EFCE"/>
        <bgColor rgb="FFD7E4BD"/>
      </patternFill>
    </fill>
    <fill>
      <patternFill patternType="solid">
        <fgColor rgb="FFFFEB9C"/>
        <bgColor rgb="FFF2DCDB"/>
      </patternFill>
    </fill>
    <fill>
      <patternFill patternType="solid">
        <fgColor rgb="FFA5A5A5"/>
        <bgColor rgb="FFA6A6A6"/>
      </patternFill>
    </fill>
    <fill>
      <patternFill patternType="solid">
        <fgColor rgb="FF9999FF"/>
        <bgColor rgb="FF95B3D7"/>
      </patternFill>
    </fill>
    <fill>
      <patternFill patternType="solid">
        <fgColor rgb="FFFFFFFF"/>
        <bgColor rgb="FFEBF1DE"/>
      </patternFill>
    </fill>
    <fill>
      <patternFill patternType="solid">
        <fgColor theme="0" tint="-0.14999847407452621"/>
        <bgColor rgb="FFDDD9C3"/>
      </patternFill>
    </fill>
    <fill>
      <patternFill patternType="solid">
        <fgColor theme="7" tint="0.59978026673177287"/>
        <bgColor rgb="FFB9CDE5"/>
      </patternFill>
    </fill>
    <fill>
      <patternFill patternType="solid">
        <fgColor theme="4" tint="0.59978026673177287"/>
        <bgColor rgb="FFB7DEE8"/>
      </patternFill>
    </fill>
    <fill>
      <patternFill patternType="solid">
        <fgColor rgb="FF4F81BD"/>
        <bgColor rgb="FF558ED5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8" tint="0.59978026673177287"/>
        <bgColor rgb="FFB9CDE5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rgb="FF00B050"/>
        <bgColor rgb="FF008080"/>
      </patternFill>
    </fill>
    <fill>
      <patternFill patternType="solid">
        <fgColor theme="2" tint="-0.499984740745262"/>
        <bgColor rgb="FF7F7F7F"/>
      </patternFill>
    </fill>
    <fill>
      <patternFill patternType="solid">
        <fgColor theme="4" tint="0.39979247413556324"/>
        <bgColor rgb="FFA6A6A6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3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171" fontId="61" fillId="0" borderId="0" applyBorder="0" applyProtection="0"/>
    <xf numFmtId="173" fontId="61" fillId="0" borderId="0" applyBorder="0" applyProtection="0"/>
    <xf numFmtId="0" fontId="1" fillId="2" borderId="0" applyBorder="0" applyProtection="0"/>
    <xf numFmtId="0" fontId="2" fillId="2" borderId="0" applyBorder="0" applyProtection="0"/>
    <xf numFmtId="0" fontId="3" fillId="3" borderId="0" applyBorder="0" applyProtection="0"/>
    <xf numFmtId="0" fontId="4" fillId="3" borderId="0" applyBorder="0" applyProtection="0"/>
    <xf numFmtId="0" fontId="5" fillId="0" borderId="0"/>
    <xf numFmtId="0" fontId="5" fillId="0" borderId="0"/>
    <xf numFmtId="0" fontId="6" fillId="0" borderId="0"/>
    <xf numFmtId="0" fontId="6" fillId="0" borderId="0"/>
    <xf numFmtId="0" fontId="43" fillId="4" borderId="0" applyBorder="0" applyProtection="0"/>
    <xf numFmtId="0" fontId="56" fillId="5" borderId="0" applyBorder="0" applyProtection="0"/>
    <xf numFmtId="0" fontId="57" fillId="6" borderId="1" applyProtection="0"/>
    <xf numFmtId="0" fontId="62" fillId="19" borderId="0" applyNumberFormat="0" applyBorder="0" applyAlignment="0" applyProtection="0"/>
    <xf numFmtId="0" fontId="64" fillId="22" borderId="0" applyNumberFormat="0" applyBorder="0" applyAlignment="0" applyProtection="0"/>
  </cellStyleXfs>
  <cellXfs count="294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164" fontId="8" fillId="7" borderId="2" xfId="0" applyNumberFormat="1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4" fontId="9" fillId="7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10" fillId="0" borderId="4" xfId="0" applyNumberFormat="1" applyFont="1" applyBorder="1" applyAlignment="1">
      <alignment horizontal="center"/>
    </xf>
    <xf numFmtId="0" fontId="10" fillId="0" borderId="5" xfId="0" applyFont="1" applyBorder="1" applyAlignment="1">
      <alignment horizontal="left"/>
    </xf>
    <xf numFmtId="4" fontId="11" fillId="8" borderId="6" xfId="0" applyNumberFormat="1" applyFont="1" applyFill="1" applyBorder="1" applyAlignment="1">
      <alignment horizontal="right"/>
    </xf>
    <xf numFmtId="164" fontId="12" fillId="0" borderId="0" xfId="10" applyNumberFormat="1" applyFont="1" applyAlignment="1">
      <alignment horizontal="center"/>
    </xf>
    <xf numFmtId="0" fontId="10" fillId="0" borderId="4" xfId="0" applyFont="1" applyBorder="1" applyAlignment="1">
      <alignment horizontal="left"/>
    </xf>
    <xf numFmtId="4" fontId="11" fillId="8" borderId="4" xfId="0" applyNumberFormat="1" applyFont="1" applyFill="1" applyBorder="1" applyAlignment="1">
      <alignment horizontal="right"/>
    </xf>
    <xf numFmtId="164" fontId="12" fillId="0" borderId="4" xfId="10" applyNumberFormat="1" applyFont="1" applyBorder="1" applyAlignment="1">
      <alignment horizontal="center"/>
    </xf>
    <xf numFmtId="164" fontId="10" fillId="0" borderId="5" xfId="0" applyNumberFormat="1" applyFont="1" applyBorder="1" applyAlignment="1">
      <alignment horizontal="center"/>
    </xf>
    <xf numFmtId="164" fontId="13" fillId="8" borderId="4" xfId="0" applyNumberFormat="1" applyFont="1" applyFill="1" applyBorder="1" applyAlignment="1">
      <alignment horizontal="center"/>
    </xf>
    <xf numFmtId="49" fontId="13" fillId="8" borderId="5" xfId="0" applyNumberFormat="1" applyFont="1" applyFill="1" applyBorder="1" applyAlignment="1">
      <alignment horizontal="left"/>
    </xf>
    <xf numFmtId="164" fontId="14" fillId="0" borderId="4" xfId="0" applyNumberFormat="1" applyFont="1" applyBorder="1" applyAlignment="1">
      <alignment horizontal="center"/>
    </xf>
    <xf numFmtId="0" fontId="15" fillId="0" borderId="0" xfId="0" applyFont="1"/>
    <xf numFmtId="164" fontId="16" fillId="0" borderId="4" xfId="10" applyNumberFormat="1" applyFont="1" applyBorder="1" applyAlignment="1">
      <alignment horizontal="center"/>
    </xf>
    <xf numFmtId="4" fontId="11" fillId="0" borderId="4" xfId="0" applyNumberFormat="1" applyFont="1" applyBorder="1" applyAlignment="1">
      <alignment horizontal="right"/>
    </xf>
    <xf numFmtId="4" fontId="11" fillId="8" borderId="5" xfId="0" applyNumberFormat="1" applyFont="1" applyFill="1" applyBorder="1" applyAlignment="1">
      <alignment horizontal="right"/>
    </xf>
    <xf numFmtId="4" fontId="11" fillId="0" borderId="5" xfId="0" applyNumberFormat="1" applyFont="1" applyBorder="1" applyAlignment="1">
      <alignment horizontal="right"/>
    </xf>
    <xf numFmtId="164" fontId="10" fillId="0" borderId="7" xfId="0" applyNumberFormat="1" applyFont="1" applyBorder="1" applyAlignment="1">
      <alignment horizontal="center"/>
    </xf>
    <xf numFmtId="164" fontId="12" fillId="0" borderId="5" xfId="10" applyNumberFormat="1" applyFont="1" applyBorder="1" applyAlignment="1">
      <alignment horizontal="center"/>
    </xf>
    <xf numFmtId="164" fontId="16" fillId="0" borderId="5" xfId="10" applyNumberFormat="1" applyFont="1" applyBorder="1" applyAlignment="1">
      <alignment horizontal="center"/>
    </xf>
    <xf numFmtId="164" fontId="10" fillId="0" borderId="8" xfId="0" applyNumberFormat="1" applyFont="1" applyBorder="1" applyAlignment="1">
      <alignment horizontal="center"/>
    </xf>
    <xf numFmtId="164" fontId="14" fillId="0" borderId="5" xfId="0" applyNumberFormat="1" applyFont="1" applyBorder="1" applyAlignment="1">
      <alignment horizontal="center"/>
    </xf>
    <xf numFmtId="164" fontId="12" fillId="0" borderId="7" xfId="10" applyNumberFormat="1" applyFont="1" applyBorder="1" applyAlignment="1">
      <alignment horizontal="center"/>
    </xf>
    <xf numFmtId="164" fontId="16" fillId="8" borderId="4" xfId="0" applyNumberFormat="1" applyFont="1" applyFill="1" applyBorder="1" applyAlignment="1">
      <alignment horizontal="center"/>
    </xf>
    <xf numFmtId="164" fontId="13" fillId="8" borderId="5" xfId="0" applyNumberFormat="1" applyFont="1" applyFill="1" applyBorder="1" applyAlignment="1">
      <alignment horizontal="center"/>
    </xf>
    <xf numFmtId="164" fontId="16" fillId="8" borderId="5" xfId="0" applyNumberFormat="1" applyFont="1" applyFill="1" applyBorder="1" applyAlignment="1">
      <alignment horizontal="center"/>
    </xf>
    <xf numFmtId="0" fontId="13" fillId="8" borderId="5" xfId="0" applyFont="1" applyFill="1" applyBorder="1" applyAlignment="1">
      <alignment horizontal="left"/>
    </xf>
    <xf numFmtId="164" fontId="10" fillId="8" borderId="5" xfId="0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0" xfId="0" applyNumberFormat="1" applyAlignment="1">
      <alignment horizontal="center"/>
    </xf>
    <xf numFmtId="165" fontId="6" fillId="0" borderId="0" xfId="10" applyNumberFormat="1" applyAlignment="1">
      <alignment horizontal="center"/>
    </xf>
    <xf numFmtId="0" fontId="6" fillId="0" borderId="0" xfId="10" applyAlignment="1">
      <alignment horizontal="center"/>
    </xf>
    <xf numFmtId="164" fontId="19" fillId="0" borderId="0" xfId="10" applyNumberFormat="1" applyFont="1"/>
    <xf numFmtId="0" fontId="18" fillId="0" borderId="0" xfId="10" applyFont="1"/>
    <xf numFmtId="14" fontId="19" fillId="0" borderId="0" xfId="10" applyNumberFormat="1" applyFont="1" applyAlignment="1">
      <alignment horizontal="center"/>
    </xf>
    <xf numFmtId="0" fontId="19" fillId="0" borderId="0" xfId="10" applyFont="1" applyAlignment="1">
      <alignment horizontal="center"/>
    </xf>
    <xf numFmtId="0" fontId="19" fillId="0" borderId="0" xfId="10" applyFont="1"/>
    <xf numFmtId="0" fontId="6" fillId="0" borderId="0" xfId="10"/>
    <xf numFmtId="4" fontId="20" fillId="0" borderId="0" xfId="10" applyNumberFormat="1" applyFont="1" applyAlignment="1">
      <alignment horizontal="center"/>
    </xf>
    <xf numFmtId="0" fontId="20" fillId="0" borderId="0" xfId="10" applyFont="1" applyAlignment="1">
      <alignment horizontal="center"/>
    </xf>
    <xf numFmtId="167" fontId="21" fillId="0" borderId="0" xfId="10" applyNumberFormat="1" applyFont="1" applyAlignment="1">
      <alignment horizontal="right"/>
    </xf>
    <xf numFmtId="165" fontId="21" fillId="0" borderId="0" xfId="9" applyNumberFormat="1" applyFont="1" applyAlignment="1">
      <alignment horizontal="center"/>
    </xf>
    <xf numFmtId="167" fontId="21" fillId="0" borderId="0" xfId="9" applyNumberFormat="1" applyFont="1" applyAlignment="1">
      <alignment horizontal="right"/>
    </xf>
    <xf numFmtId="164" fontId="21" fillId="0" borderId="0" xfId="9" applyNumberFormat="1" applyFont="1" applyAlignment="1">
      <alignment horizontal="right"/>
    </xf>
    <xf numFmtId="167" fontId="21" fillId="0" borderId="0" xfId="9" applyNumberFormat="1" applyFont="1" applyAlignment="1">
      <alignment horizontal="center"/>
    </xf>
    <xf numFmtId="0" fontId="6" fillId="0" borderId="0" xfId="9"/>
    <xf numFmtId="165" fontId="23" fillId="9" borderId="9" xfId="9" applyNumberFormat="1" applyFont="1" applyFill="1" applyBorder="1" applyAlignment="1">
      <alignment horizontal="center" vertical="center"/>
    </xf>
    <xf numFmtId="0" fontId="23" fillId="9" borderId="9" xfId="9" applyFont="1" applyFill="1" applyBorder="1" applyAlignment="1">
      <alignment horizontal="center" vertical="center"/>
    </xf>
    <xf numFmtId="164" fontId="23" fillId="9" borderId="9" xfId="9" applyNumberFormat="1" applyFont="1" applyFill="1" applyBorder="1" applyAlignment="1">
      <alignment horizontal="center" vertical="center"/>
    </xf>
    <xf numFmtId="0" fontId="23" fillId="9" borderId="9" xfId="10" applyFont="1" applyFill="1" applyBorder="1" applyAlignment="1">
      <alignment horizontal="center"/>
    </xf>
    <xf numFmtId="165" fontId="16" fillId="0" borderId="10" xfId="10" applyNumberFormat="1" applyFont="1" applyBorder="1" applyAlignment="1">
      <alignment horizontal="center"/>
    </xf>
    <xf numFmtId="168" fontId="16" fillId="0" borderId="11" xfId="10" applyNumberFormat="1" applyFont="1" applyBorder="1" applyAlignment="1">
      <alignment horizontal="center"/>
    </xf>
    <xf numFmtId="169" fontId="16" fillId="0" borderId="11" xfId="10" applyNumberFormat="1" applyFont="1" applyBorder="1" applyAlignment="1">
      <alignment horizontal="center"/>
    </xf>
    <xf numFmtId="0" fontId="16" fillId="0" borderId="5" xfId="10" applyFont="1" applyBorder="1" applyAlignment="1">
      <alignment horizontal="left"/>
    </xf>
    <xf numFmtId="4" fontId="14" fillId="0" borderId="11" xfId="10" applyNumberFormat="1" applyFont="1" applyBorder="1" applyAlignment="1">
      <alignment horizontal="center"/>
    </xf>
    <xf numFmtId="4" fontId="16" fillId="0" borderId="5" xfId="10" applyNumberFormat="1" applyFont="1" applyBorder="1" applyAlignment="1">
      <alignment horizontal="center"/>
    </xf>
    <xf numFmtId="4" fontId="16" fillId="10" borderId="5" xfId="0" applyNumberFormat="1" applyFont="1" applyFill="1" applyBorder="1"/>
    <xf numFmtId="4" fontId="16" fillId="11" borderId="5" xfId="10" applyNumberFormat="1" applyFont="1" applyFill="1" applyBorder="1" applyAlignment="1">
      <alignment horizontal="center"/>
    </xf>
    <xf numFmtId="4" fontId="16" fillId="0" borderId="12" xfId="10" applyNumberFormat="1" applyFont="1" applyBorder="1" applyAlignment="1">
      <alignment horizontal="right"/>
    </xf>
    <xf numFmtId="4" fontId="24" fillId="0" borderId="12" xfId="10" applyNumberFormat="1" applyFont="1" applyBorder="1" applyAlignment="1">
      <alignment horizontal="right"/>
    </xf>
    <xf numFmtId="4" fontId="23" fillId="9" borderId="13" xfId="10" applyNumberFormat="1" applyFont="1" applyFill="1" applyBorder="1" applyAlignment="1">
      <alignment horizontal="center"/>
    </xf>
    <xf numFmtId="0" fontId="23" fillId="9" borderId="9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165" fontId="23" fillId="9" borderId="14" xfId="10" applyNumberFormat="1" applyFont="1" applyFill="1" applyBorder="1" applyAlignment="1">
      <alignment horizontal="center" vertical="center"/>
    </xf>
    <xf numFmtId="0" fontId="23" fillId="9" borderId="14" xfId="10" applyFont="1" applyFill="1" applyBorder="1" applyAlignment="1">
      <alignment horizontal="center" vertical="center"/>
    </xf>
    <xf numFmtId="164" fontId="23" fillId="9" borderId="14" xfId="10" applyNumberFormat="1" applyFont="1" applyFill="1" applyBorder="1" applyAlignment="1">
      <alignment horizontal="center" vertical="center"/>
    </xf>
    <xf numFmtId="0" fontId="23" fillId="9" borderId="14" xfId="9" applyFont="1" applyFill="1" applyBorder="1" applyAlignment="1">
      <alignment horizontal="center" vertical="center"/>
    </xf>
    <xf numFmtId="165" fontId="16" fillId="0" borderId="15" xfId="10" applyNumberFormat="1" applyFont="1" applyBorder="1" applyAlignment="1">
      <alignment horizontal="center"/>
    </xf>
    <xf numFmtId="168" fontId="16" fillId="0" borderId="4" xfId="10" applyNumberFormat="1" applyFont="1" applyBorder="1" applyAlignment="1">
      <alignment horizontal="center"/>
    </xf>
    <xf numFmtId="0" fontId="16" fillId="0" borderId="11" xfId="10" applyFont="1" applyBorder="1" applyAlignment="1">
      <alignment horizontal="center"/>
    </xf>
    <xf numFmtId="4" fontId="16" fillId="0" borderId="11" xfId="10" applyNumberFormat="1" applyFont="1" applyBorder="1" applyAlignment="1">
      <alignment horizontal="center"/>
    </xf>
    <xf numFmtId="49" fontId="25" fillId="0" borderId="0" xfId="0" applyNumberFormat="1" applyFont="1" applyAlignment="1">
      <alignment horizontal="left"/>
    </xf>
    <xf numFmtId="165" fontId="16" fillId="0" borderId="0" xfId="10" applyNumberFormat="1" applyFont="1" applyAlignment="1">
      <alignment horizontal="center"/>
    </xf>
    <xf numFmtId="164" fontId="16" fillId="0" borderId="0" xfId="10" applyNumberFormat="1" applyFont="1" applyAlignment="1">
      <alignment horizontal="left"/>
    </xf>
    <xf numFmtId="0" fontId="16" fillId="0" borderId="0" xfId="10" applyFont="1" applyAlignment="1">
      <alignment horizontal="center"/>
    </xf>
    <xf numFmtId="4" fontId="16" fillId="0" borderId="0" xfId="10" applyNumberFormat="1" applyFont="1" applyAlignment="1">
      <alignment horizontal="center"/>
    </xf>
    <xf numFmtId="164" fontId="26" fillId="0" borderId="17" xfId="0" applyNumberFormat="1" applyFont="1" applyBorder="1"/>
    <xf numFmtId="4" fontId="26" fillId="0" borderId="0" xfId="0" applyNumberFormat="1" applyFont="1" applyAlignment="1">
      <alignment horizontal="center"/>
    </xf>
    <xf numFmtId="0" fontId="26" fillId="0" borderId="0" xfId="0" applyFont="1"/>
    <xf numFmtId="165" fontId="23" fillId="9" borderId="18" xfId="10" applyNumberFormat="1" applyFont="1" applyFill="1" applyBorder="1" applyAlignment="1">
      <alignment horizontal="center" vertical="center"/>
    </xf>
    <xf numFmtId="0" fontId="23" fillId="9" borderId="6" xfId="10" applyFont="1" applyFill="1" applyBorder="1" applyAlignment="1">
      <alignment horizontal="center" vertical="center"/>
    </xf>
    <xf numFmtId="164" fontId="23" fillId="9" borderId="6" xfId="10" applyNumberFormat="1" applyFont="1" applyFill="1" applyBorder="1" applyAlignment="1">
      <alignment horizontal="center" vertical="center"/>
    </xf>
    <xf numFmtId="0" fontId="23" fillId="9" borderId="19" xfId="10" applyFont="1" applyFill="1" applyBorder="1" applyAlignment="1">
      <alignment horizontal="center" vertical="center"/>
    </xf>
    <xf numFmtId="4" fontId="0" fillId="0" borderId="0" xfId="0" applyNumberFormat="1"/>
    <xf numFmtId="165" fontId="12" fillId="0" borderId="20" xfId="0" applyNumberFormat="1" applyFont="1" applyBorder="1" applyAlignment="1">
      <alignment horizontal="center"/>
    </xf>
    <xf numFmtId="4" fontId="12" fillId="0" borderId="4" xfId="0" applyNumberFormat="1" applyFont="1" applyBorder="1" applyAlignment="1">
      <alignment horizontal="center"/>
    </xf>
    <xf numFmtId="4" fontId="12" fillId="0" borderId="21" xfId="0" applyNumberFormat="1" applyFont="1" applyBorder="1" applyAlignment="1">
      <alignment horizontal="center"/>
    </xf>
    <xf numFmtId="0" fontId="27" fillId="0" borderId="0" xfId="10" applyFont="1" applyAlignment="1">
      <alignment horizontal="left" vertical="center"/>
    </xf>
    <xf numFmtId="0" fontId="27" fillId="0" borderId="0" xfId="1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0" xfId="10" applyFont="1" applyAlignment="1">
      <alignment horizontal="center"/>
    </xf>
    <xf numFmtId="4" fontId="26" fillId="9" borderId="13" xfId="0" applyNumberFormat="1" applyFont="1" applyFill="1" applyBorder="1" applyAlignment="1">
      <alignment horizontal="center"/>
    </xf>
    <xf numFmtId="165" fontId="27" fillId="0" borderId="0" xfId="10" applyNumberFormat="1" applyFont="1" applyAlignment="1">
      <alignment horizontal="left" vertical="center"/>
    </xf>
    <xf numFmtId="164" fontId="27" fillId="0" borderId="0" xfId="10" applyNumberFormat="1" applyFont="1" applyAlignment="1">
      <alignment horizontal="left" vertical="center"/>
    </xf>
    <xf numFmtId="165" fontId="23" fillId="9" borderId="9" xfId="10" applyNumberFormat="1" applyFont="1" applyFill="1" applyBorder="1" applyAlignment="1">
      <alignment horizontal="center"/>
    </xf>
    <xf numFmtId="164" fontId="23" fillId="9" borderId="9" xfId="10" applyNumberFormat="1" applyFont="1" applyFill="1" applyBorder="1" applyAlignment="1">
      <alignment horizontal="center"/>
    </xf>
    <xf numFmtId="165" fontId="16" fillId="0" borderId="20" xfId="10" applyNumberFormat="1" applyFont="1" applyBorder="1" applyAlignment="1">
      <alignment horizontal="center"/>
    </xf>
    <xf numFmtId="168" fontId="16" fillId="0" borderId="6" xfId="10" applyNumberFormat="1" applyFont="1" applyBorder="1" applyAlignment="1">
      <alignment horizontal="center"/>
    </xf>
    <xf numFmtId="169" fontId="16" fillId="0" borderId="4" xfId="10" applyNumberFormat="1" applyFont="1" applyBorder="1" applyAlignment="1">
      <alignment horizontal="center"/>
    </xf>
    <xf numFmtId="4" fontId="14" fillId="0" borderId="4" xfId="10" applyNumberFormat="1" applyFont="1" applyBorder="1" applyAlignment="1">
      <alignment horizontal="center"/>
    </xf>
    <xf numFmtId="4" fontId="16" fillId="0" borderId="4" xfId="10" applyNumberFormat="1" applyFont="1" applyBorder="1" applyAlignment="1">
      <alignment horizontal="center"/>
    </xf>
    <xf numFmtId="4" fontId="16" fillId="0" borderId="22" xfId="10" applyNumberFormat="1" applyFont="1" applyBorder="1" applyAlignment="1">
      <alignment horizontal="center"/>
    </xf>
    <xf numFmtId="4" fontId="16" fillId="0" borderId="21" xfId="1" applyNumberFormat="1" applyFont="1" applyBorder="1" applyAlignment="1" applyProtection="1">
      <alignment horizontal="center"/>
    </xf>
    <xf numFmtId="4" fontId="23" fillId="9" borderId="9" xfId="10" applyNumberFormat="1" applyFont="1" applyFill="1" applyBorder="1" applyAlignment="1">
      <alignment horizontal="center"/>
    </xf>
    <xf numFmtId="0" fontId="21" fillId="0" borderId="0" xfId="10" applyFont="1" applyAlignment="1">
      <alignment horizontal="center"/>
    </xf>
    <xf numFmtId="164" fontId="21" fillId="0" borderId="0" xfId="10" applyNumberFormat="1" applyFont="1" applyAlignment="1">
      <alignment horizontal="left"/>
    </xf>
    <xf numFmtId="4" fontId="23" fillId="0" borderId="0" xfId="10" applyNumberFormat="1" applyFont="1" applyAlignment="1">
      <alignment horizontal="center"/>
    </xf>
    <xf numFmtId="4" fontId="14" fillId="0" borderId="21" xfId="1" applyNumberFormat="1" applyFont="1" applyBorder="1" applyAlignment="1" applyProtection="1">
      <alignment horizontal="center"/>
    </xf>
    <xf numFmtId="165" fontId="16" fillId="0" borderId="16" xfId="10" applyNumberFormat="1" applyFont="1" applyBorder="1" applyAlignment="1">
      <alignment horizontal="center"/>
    </xf>
    <xf numFmtId="168" fontId="16" fillId="0" borderId="13" xfId="10" applyNumberFormat="1" applyFont="1" applyBorder="1" applyAlignment="1">
      <alignment horizontal="center"/>
    </xf>
    <xf numFmtId="169" fontId="16" fillId="0" borderId="13" xfId="10" applyNumberFormat="1" applyFont="1" applyBorder="1" applyAlignment="1">
      <alignment horizontal="center"/>
    </xf>
    <xf numFmtId="164" fontId="16" fillId="0" borderId="13" xfId="1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25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0" fontId="25" fillId="0" borderId="0" xfId="0" applyFont="1"/>
    <xf numFmtId="0" fontId="28" fillId="12" borderId="4" xfId="0" applyFont="1" applyFill="1" applyBorder="1" applyAlignment="1">
      <alignment wrapText="1"/>
    </xf>
    <xf numFmtId="0" fontId="0" fillId="0" borderId="4" xfId="0" applyBorder="1"/>
    <xf numFmtId="4" fontId="0" fillId="0" borderId="4" xfId="0" applyNumberFormat="1" applyBorder="1"/>
    <xf numFmtId="0" fontId="30" fillId="0" borderId="0" xfId="0" applyFont="1"/>
    <xf numFmtId="0" fontId="31" fillId="0" borderId="0" xfId="0" applyFont="1"/>
    <xf numFmtId="0" fontId="31" fillId="0" borderId="9" xfId="0" applyFont="1" applyBorder="1"/>
    <xf numFmtId="17" fontId="32" fillId="0" borderId="9" xfId="0" applyNumberFormat="1" applyFont="1" applyBorder="1" applyAlignment="1">
      <alignment horizontal="center"/>
    </xf>
    <xf numFmtId="49" fontId="32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3" fillId="0" borderId="0" xfId="0" applyFont="1"/>
    <xf numFmtId="0" fontId="34" fillId="0" borderId="14" xfId="0" applyFont="1" applyBorder="1" applyAlignment="1">
      <alignment horizontal="center"/>
    </xf>
    <xf numFmtId="0" fontId="35" fillId="0" borderId="0" xfId="0" applyFont="1"/>
    <xf numFmtId="0" fontId="36" fillId="0" borderId="0" xfId="0" applyFont="1"/>
    <xf numFmtId="0" fontId="33" fillId="0" borderId="0" xfId="0" applyFont="1" applyAlignment="1">
      <alignment horizontal="center"/>
    </xf>
    <xf numFmtId="0" fontId="37" fillId="0" borderId="0" xfId="0" applyFont="1"/>
    <xf numFmtId="0" fontId="34" fillId="0" borderId="9" xfId="0" applyFont="1" applyBorder="1" applyAlignment="1">
      <alignment horizontal="center"/>
    </xf>
    <xf numFmtId="0" fontId="34" fillId="0" borderId="23" xfId="0" applyFont="1" applyBorder="1" applyAlignment="1">
      <alignment horizontal="center"/>
    </xf>
    <xf numFmtId="0" fontId="34" fillId="15" borderId="4" xfId="0" applyFont="1" applyFill="1" applyBorder="1"/>
    <xf numFmtId="172" fontId="0" fillId="0" borderId="4" xfId="0" applyNumberFormat="1" applyBorder="1"/>
    <xf numFmtId="4" fontId="0" fillId="0" borderId="5" xfId="0" applyNumberFormat="1" applyBorder="1"/>
    <xf numFmtId="173" fontId="38" fillId="0" borderId="0" xfId="2" applyFont="1" applyBorder="1" applyAlignment="1" applyProtection="1">
      <alignment horizontal="center"/>
    </xf>
    <xf numFmtId="0" fontId="39" fillId="0" borderId="0" xfId="0" applyFont="1"/>
    <xf numFmtId="4" fontId="20" fillId="0" borderId="24" xfId="0" applyNumberFormat="1" applyFont="1" applyBorder="1"/>
    <xf numFmtId="4" fontId="20" fillId="13" borderId="24" xfId="0" applyNumberFormat="1" applyFont="1" applyFill="1" applyBorder="1"/>
    <xf numFmtId="4" fontId="26" fillId="0" borderId="24" xfId="0" applyNumberFormat="1" applyFont="1" applyBorder="1"/>
    <xf numFmtId="4" fontId="0" fillId="0" borderId="0" xfId="0" applyNumberFormat="1" applyAlignment="1">
      <alignment horizontal="center"/>
    </xf>
    <xf numFmtId="173" fontId="0" fillId="0" borderId="0" xfId="2" applyFont="1" applyBorder="1" applyProtection="1"/>
    <xf numFmtId="2" fontId="0" fillId="0" borderId="0" xfId="0" applyNumberFormat="1"/>
    <xf numFmtId="4" fontId="40" fillId="0" borderId="0" xfId="0" applyNumberFormat="1" applyFont="1"/>
    <xf numFmtId="4" fontId="20" fillId="0" borderId="0" xfId="0" applyNumberFormat="1" applyFont="1"/>
    <xf numFmtId="0" fontId="41" fillId="0" borderId="0" xfId="0" applyFont="1"/>
    <xf numFmtId="0" fontId="34" fillId="0" borderId="9" xfId="0" applyFont="1" applyBorder="1"/>
    <xf numFmtId="0" fontId="42" fillId="4" borderId="4" xfId="11" applyFont="1" applyBorder="1" applyProtection="1"/>
    <xf numFmtId="4" fontId="20" fillId="0" borderId="11" xfId="0" applyNumberFormat="1" applyFont="1" applyBorder="1"/>
    <xf numFmtId="4" fontId="0" fillId="0" borderId="8" xfId="0" applyNumberFormat="1" applyBorder="1"/>
    <xf numFmtId="0" fontId="44" fillId="0" borderId="0" xfId="0" applyFont="1" applyAlignment="1">
      <alignment horizontal="left"/>
    </xf>
    <xf numFmtId="4" fontId="43" fillId="0" borderId="0" xfId="11" applyNumberFormat="1" applyFill="1" applyBorder="1" applyAlignment="1" applyProtection="1">
      <alignment horizontal="right" vertical="center"/>
    </xf>
    <xf numFmtId="4" fontId="0" fillId="0" borderId="11" xfId="0" applyNumberFormat="1" applyBorder="1"/>
    <xf numFmtId="4" fontId="20" fillId="0" borderId="4" xfId="0" applyNumberFormat="1" applyFont="1" applyBorder="1"/>
    <xf numFmtId="4" fontId="45" fillId="0" borderId="25" xfId="0" applyNumberFormat="1" applyFont="1" applyBorder="1"/>
    <xf numFmtId="4" fontId="45" fillId="13" borderId="26" xfId="0" applyNumberFormat="1" applyFont="1" applyFill="1" applyBorder="1"/>
    <xf numFmtId="4" fontId="45" fillId="0" borderId="27" xfId="0" applyNumberFormat="1" applyFont="1" applyBorder="1"/>
    <xf numFmtId="4" fontId="45" fillId="0" borderId="0" xfId="0" applyNumberFormat="1" applyFont="1"/>
    <xf numFmtId="4" fontId="46" fillId="0" borderId="0" xfId="0" applyNumberFormat="1" applyFont="1"/>
    <xf numFmtId="4" fontId="46" fillId="0" borderId="0" xfId="0" applyNumberFormat="1" applyFont="1" applyAlignment="1">
      <alignment horizontal="right"/>
    </xf>
    <xf numFmtId="0" fontId="47" fillId="0" borderId="9" xfId="0" applyFont="1" applyBorder="1" applyAlignment="1">
      <alignment horizontal="center"/>
    </xf>
    <xf numFmtId="49" fontId="34" fillId="0" borderId="4" xfId="0" applyNumberFormat="1" applyFont="1" applyBorder="1"/>
    <xf numFmtId="1" fontId="5" fillId="0" borderId="11" xfId="0" applyNumberFormat="1" applyFont="1" applyBorder="1" applyAlignment="1">
      <alignment horizontal="center" wrapText="1"/>
    </xf>
    <xf numFmtId="4" fontId="48" fillId="0" borderId="4" xfId="0" applyNumberFormat="1" applyFont="1" applyBorder="1" applyAlignment="1">
      <alignment horizontal="center"/>
    </xf>
    <xf numFmtId="1" fontId="48" fillId="0" borderId="4" xfId="0" applyNumberFormat="1" applyFont="1" applyBorder="1" applyAlignment="1">
      <alignment horizontal="center"/>
    </xf>
    <xf numFmtId="14" fontId="48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 wrapText="1"/>
    </xf>
    <xf numFmtId="4" fontId="0" fillId="0" borderId="4" xfId="0" applyNumberFormat="1" applyBorder="1" applyAlignment="1">
      <alignment horizontal="center"/>
    </xf>
    <xf numFmtId="165" fontId="0" fillId="0" borderId="20" xfId="0" applyNumberFormat="1" applyBorder="1"/>
    <xf numFmtId="2" fontId="48" fillId="0" borderId="4" xfId="0" applyNumberFormat="1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4" fontId="49" fillId="0" borderId="9" xfId="0" applyNumberFormat="1" applyFont="1" applyBorder="1" applyAlignment="1">
      <alignment horizontal="center"/>
    </xf>
    <xf numFmtId="14" fontId="0" fillId="0" borderId="0" xfId="0" applyNumberFormat="1"/>
    <xf numFmtId="0" fontId="34" fillId="0" borderId="14" xfId="0" applyFont="1" applyBorder="1"/>
    <xf numFmtId="0" fontId="47" fillId="0" borderId="14" xfId="0" applyFont="1" applyBorder="1" applyAlignment="1">
      <alignment horizontal="center"/>
    </xf>
    <xf numFmtId="4" fontId="47" fillId="0" borderId="14" xfId="0" applyNumberFormat="1" applyFont="1" applyBorder="1" applyAlignment="1">
      <alignment horizontal="center"/>
    </xf>
    <xf numFmtId="49" fontId="50" fillId="0" borderId="4" xfId="0" applyNumberFormat="1" applyFont="1" applyBorder="1"/>
    <xf numFmtId="1" fontId="0" fillId="0" borderId="4" xfId="0" applyNumberFormat="1" applyBorder="1" applyAlignment="1">
      <alignment horizontal="center" wrapText="1"/>
    </xf>
    <xf numFmtId="4" fontId="48" fillId="0" borderId="4" xfId="0" applyNumberFormat="1" applyFont="1" applyBorder="1" applyAlignment="1">
      <alignment horizontal="right"/>
    </xf>
    <xf numFmtId="0" fontId="47" fillId="0" borderId="4" xfId="0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right"/>
    </xf>
    <xf numFmtId="4" fontId="51" fillId="0" borderId="9" xfId="0" applyNumberFormat="1" applyFont="1" applyBorder="1" applyAlignment="1">
      <alignment horizontal="right"/>
    </xf>
    <xf numFmtId="0" fontId="20" fillId="0" borderId="22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0" borderId="0" xfId="0" applyFont="1" applyAlignment="1">
      <alignment horizontal="center"/>
    </xf>
    <xf numFmtId="4" fontId="5" fillId="0" borderId="0" xfId="0" applyNumberFormat="1" applyFont="1"/>
    <xf numFmtId="0" fontId="20" fillId="0" borderId="29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4" fontId="20" fillId="0" borderId="31" xfId="0" applyNumberFormat="1" applyFont="1" applyBorder="1"/>
    <xf numFmtId="0" fontId="20" fillId="0" borderId="32" xfId="0" applyFont="1" applyBorder="1" applyAlignment="1">
      <alignment horizontal="center"/>
    </xf>
    <xf numFmtId="4" fontId="20" fillId="0" borderId="33" xfId="0" applyNumberFormat="1" applyFont="1" applyBorder="1"/>
    <xf numFmtId="0" fontId="20" fillId="0" borderId="34" xfId="0" applyFont="1" applyBorder="1" applyAlignment="1">
      <alignment horizontal="center"/>
    </xf>
    <xf numFmtId="4" fontId="5" fillId="8" borderId="35" xfId="0" applyNumberFormat="1" applyFont="1" applyFill="1" applyBorder="1"/>
    <xf numFmtId="2" fontId="5" fillId="0" borderId="0" xfId="0" applyNumberFormat="1" applyFont="1"/>
    <xf numFmtId="0" fontId="52" fillId="0" borderId="36" xfId="0" applyFont="1" applyBorder="1" applyAlignment="1">
      <alignment horizontal="center"/>
    </xf>
    <xf numFmtId="0" fontId="52" fillId="0" borderId="37" xfId="0" applyFont="1" applyBorder="1" applyAlignment="1">
      <alignment horizontal="center"/>
    </xf>
    <xf numFmtId="4" fontId="52" fillId="16" borderId="9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4" fontId="52" fillId="0" borderId="0" xfId="0" applyNumberFormat="1" applyFont="1"/>
    <xf numFmtId="0" fontId="53" fillId="0" borderId="18" xfId="0" applyFont="1" applyBorder="1" applyAlignment="1">
      <alignment horizontal="center"/>
    </xf>
    <xf numFmtId="0" fontId="53" fillId="0" borderId="6" xfId="0" applyFont="1" applyBorder="1" applyAlignment="1">
      <alignment horizontal="center"/>
    </xf>
    <xf numFmtId="4" fontId="20" fillId="0" borderId="19" xfId="0" applyNumberFormat="1" applyFont="1" applyBorder="1"/>
    <xf numFmtId="0" fontId="53" fillId="0" borderId="20" xfId="0" applyFont="1" applyBorder="1" applyAlignment="1">
      <alignment horizontal="center"/>
    </xf>
    <xf numFmtId="0" fontId="53" fillId="0" borderId="4" xfId="0" applyFont="1" applyBorder="1" applyAlignment="1">
      <alignment horizontal="center"/>
    </xf>
    <xf numFmtId="4" fontId="20" fillId="14" borderId="21" xfId="0" applyNumberFormat="1" applyFont="1" applyFill="1" applyBorder="1"/>
    <xf numFmtId="0" fontId="0" fillId="0" borderId="32" xfId="0" applyBorder="1"/>
    <xf numFmtId="0" fontId="20" fillId="0" borderId="0" xfId="0" applyFont="1"/>
    <xf numFmtId="4" fontId="52" fillId="8" borderId="9" xfId="0" applyNumberFormat="1" applyFont="1" applyFill="1" applyBorder="1"/>
    <xf numFmtId="0" fontId="0" fillId="0" borderId="0" xfId="0" applyAlignment="1">
      <alignment horizontal="right"/>
    </xf>
    <xf numFmtId="0" fontId="31" fillId="0" borderId="36" xfId="0" applyFont="1" applyBorder="1" applyAlignment="1">
      <alignment horizontal="center"/>
    </xf>
    <xf numFmtId="0" fontId="31" fillId="0" borderId="23" xfId="0" applyFont="1" applyBorder="1" applyAlignment="1">
      <alignment horizontal="center"/>
    </xf>
    <xf numFmtId="4" fontId="31" fillId="0" borderId="9" xfId="0" applyNumberFormat="1" applyFont="1" applyBorder="1"/>
    <xf numFmtId="2" fontId="54" fillId="0" borderId="0" xfId="0" applyNumberFormat="1" applyFont="1"/>
    <xf numFmtId="0" fontId="54" fillId="0" borderId="0" xfId="0" applyFont="1" applyAlignment="1">
      <alignment horizontal="center"/>
    </xf>
    <xf numFmtId="2" fontId="55" fillId="0" borderId="0" xfId="0" applyNumberFormat="1" applyFont="1"/>
    <xf numFmtId="4" fontId="12" fillId="0" borderId="0" xfId="0" applyNumberFormat="1" applyFont="1" applyAlignment="1">
      <alignment horizontal="center"/>
    </xf>
    <xf numFmtId="4" fontId="29" fillId="0" borderId="0" xfId="12" applyNumberFormat="1" applyFont="1" applyFill="1" applyBorder="1" applyProtection="1"/>
    <xf numFmtId="4" fontId="43" fillId="0" borderId="0" xfId="11" applyNumberFormat="1" applyFill="1" applyBorder="1" applyProtection="1"/>
    <xf numFmtId="0" fontId="25" fillId="0" borderId="4" xfId="0" applyFont="1" applyBorder="1"/>
    <xf numFmtId="0" fontId="59" fillId="17" borderId="4" xfId="0" applyFont="1" applyFill="1" applyBorder="1"/>
    <xf numFmtId="0" fontId="59" fillId="17" borderId="4" xfId="0" applyFont="1" applyFill="1" applyBorder="1" applyAlignment="1">
      <alignment horizontal="center"/>
    </xf>
    <xf numFmtId="0" fontId="60" fillId="0" borderId="4" xfId="0" applyFont="1" applyBorder="1"/>
    <xf numFmtId="4" fontId="25" fillId="0" borderId="4" xfId="0" applyNumberFormat="1" applyFont="1" applyBorder="1" applyAlignment="1">
      <alignment horizontal="right" vertical="center"/>
    </xf>
    <xf numFmtId="4" fontId="59" fillId="17" borderId="4" xfId="0" applyNumberFormat="1" applyFont="1" applyFill="1" applyBorder="1" applyAlignment="1">
      <alignment horizontal="right" vertical="center"/>
    </xf>
    <xf numFmtId="4" fontId="0" fillId="18" borderId="0" xfId="0" applyNumberFormat="1" applyFill="1"/>
    <xf numFmtId="0" fontId="28" fillId="12" borderId="4" xfId="0" applyFont="1" applyFill="1" applyBorder="1"/>
    <xf numFmtId="1" fontId="0" fillId="0" borderId="4" xfId="0" applyNumberFormat="1" applyBorder="1"/>
    <xf numFmtId="2" fontId="0" fillId="0" borderId="4" xfId="0" applyNumberFormat="1" applyBorder="1"/>
    <xf numFmtId="0" fontId="62" fillId="19" borderId="4" xfId="14" applyBorder="1"/>
    <xf numFmtId="0" fontId="28" fillId="12" borderId="8" xfId="0" applyFont="1" applyFill="1" applyBorder="1" applyAlignment="1">
      <alignment wrapText="1"/>
    </xf>
    <xf numFmtId="0" fontId="0" fillId="20" borderId="4" xfId="0" applyFill="1" applyBorder="1"/>
    <xf numFmtId="170" fontId="29" fillId="20" borderId="4" xfId="0" applyNumberFormat="1" applyFont="1" applyFill="1" applyBorder="1"/>
    <xf numFmtId="0" fontId="29" fillId="20" borderId="4" xfId="0" applyFont="1" applyFill="1" applyBorder="1"/>
    <xf numFmtId="0" fontId="63" fillId="19" borderId="4" xfId="14" applyFont="1" applyBorder="1"/>
    <xf numFmtId="0" fontId="0" fillId="21" borderId="4" xfId="0" applyFill="1" applyBorder="1"/>
    <xf numFmtId="4" fontId="12" fillId="21" borderId="4" xfId="0" applyNumberFormat="1" applyFont="1" applyFill="1" applyBorder="1" applyAlignment="1">
      <alignment horizontal="center"/>
    </xf>
    <xf numFmtId="0" fontId="0" fillId="24" borderId="0" xfId="0" applyFill="1"/>
    <xf numFmtId="1" fontId="0" fillId="20" borderId="4" xfId="0" applyNumberFormat="1" applyFill="1" applyBorder="1"/>
    <xf numFmtId="2" fontId="0" fillId="20" borderId="4" xfId="0" applyNumberFormat="1" applyFill="1" applyBorder="1"/>
    <xf numFmtId="0" fontId="0" fillId="20" borderId="0" xfId="0" applyFill="1"/>
    <xf numFmtId="0" fontId="0" fillId="23" borderId="4" xfId="0" applyFill="1" applyBorder="1"/>
    <xf numFmtId="2" fontId="65" fillId="20" borderId="4" xfId="0" applyNumberFormat="1" applyFont="1" applyFill="1" applyBorder="1"/>
    <xf numFmtId="1" fontId="65" fillId="20" borderId="4" xfId="0" applyNumberFormat="1" applyFont="1" applyFill="1" applyBorder="1"/>
    <xf numFmtId="0" fontId="65" fillId="20" borderId="4" xfId="0" applyFont="1" applyFill="1" applyBorder="1"/>
    <xf numFmtId="0" fontId="64" fillId="22" borderId="8" xfId="15" applyBorder="1"/>
    <xf numFmtId="0" fontId="64" fillId="22" borderId="0" xfId="15"/>
    <xf numFmtId="0" fontId="0" fillId="25" borderId="0" xfId="0" applyFill="1"/>
    <xf numFmtId="1" fontId="0" fillId="21" borderId="4" xfId="0" applyNumberFormat="1" applyFill="1" applyBorder="1"/>
    <xf numFmtId="2" fontId="0" fillId="21" borderId="4" xfId="0" applyNumberFormat="1" applyFill="1" applyBorder="1"/>
    <xf numFmtId="0" fontId="0" fillId="25" borderId="4" xfId="0" applyFill="1" applyBorder="1"/>
    <xf numFmtId="167" fontId="22" fillId="9" borderId="9" xfId="9" applyNumberFormat="1" applyFont="1" applyFill="1" applyBorder="1" applyAlignment="1">
      <alignment horizontal="center"/>
    </xf>
    <xf numFmtId="170" fontId="23" fillId="9" borderId="9" xfId="0" applyNumberFormat="1" applyFont="1" applyFill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26" fillId="9" borderId="16" xfId="0" applyFont="1" applyFill="1" applyBorder="1" applyAlignment="1">
      <alignment horizontal="center"/>
    </xf>
    <xf numFmtId="0" fontId="22" fillId="9" borderId="9" xfId="10" applyFont="1" applyFill="1" applyBorder="1" applyAlignment="1">
      <alignment horizontal="center" vertical="center"/>
    </xf>
    <xf numFmtId="4" fontId="23" fillId="9" borderId="9" xfId="0" applyNumberFormat="1" applyFont="1" applyFill="1" applyBorder="1" applyAlignment="1">
      <alignment horizontal="center"/>
    </xf>
    <xf numFmtId="0" fontId="23" fillId="9" borderId="16" xfId="10" applyFont="1" applyFill="1" applyBorder="1" applyAlignment="1">
      <alignment horizontal="center"/>
    </xf>
    <xf numFmtId="0" fontId="23" fillId="9" borderId="6" xfId="10" applyFont="1" applyFill="1" applyBorder="1" applyAlignment="1">
      <alignment horizontal="center" vertical="center"/>
    </xf>
    <xf numFmtId="0" fontId="17" fillId="9" borderId="9" xfId="10" applyFont="1" applyFill="1" applyBorder="1" applyAlignment="1">
      <alignment horizontal="center" vertical="center"/>
    </xf>
    <xf numFmtId="166" fontId="18" fillId="9" borderId="9" xfId="10" applyNumberFormat="1" applyFont="1" applyFill="1" applyBorder="1" applyAlignment="1">
      <alignment horizontal="center" vertical="center"/>
    </xf>
    <xf numFmtId="0" fontId="22" fillId="9" borderId="9" xfId="9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/>
    </xf>
    <xf numFmtId="0" fontId="58" fillId="17" borderId="4" xfId="0" applyFont="1" applyFill="1" applyBorder="1" applyAlignment="1">
      <alignment horizontal="center"/>
    </xf>
    <xf numFmtId="171" fontId="61" fillId="0" borderId="4" xfId="1" applyBorder="1"/>
    <xf numFmtId="171" fontId="61" fillId="0" borderId="0" xfId="1"/>
    <xf numFmtId="171" fontId="66" fillId="26" borderId="4" xfId="1" applyFont="1" applyFill="1" applyBorder="1"/>
    <xf numFmtId="171" fontId="61" fillId="20" borderId="4" xfId="1" applyFill="1" applyBorder="1"/>
    <xf numFmtId="171" fontId="65" fillId="0" borderId="4" xfId="1" applyFont="1" applyBorder="1"/>
    <xf numFmtId="0" fontId="0" fillId="0" borderId="28" xfId="0" applyBorder="1"/>
    <xf numFmtId="0" fontId="0" fillId="20" borderId="0" xfId="0" applyFill="1" applyBorder="1"/>
    <xf numFmtId="16" fontId="0" fillId="0" borderId="4" xfId="0" applyNumberFormat="1" applyBorder="1"/>
    <xf numFmtId="0" fontId="0" fillId="0" borderId="4" xfId="0" applyFill="1" applyBorder="1"/>
    <xf numFmtId="171" fontId="61" fillId="0" borderId="22" xfId="1" applyBorder="1" applyAlignment="1">
      <alignment horizontal="center"/>
    </xf>
    <xf numFmtId="171" fontId="61" fillId="0" borderId="38" xfId="1" applyBorder="1" applyAlignment="1">
      <alignment horizontal="center"/>
    </xf>
    <xf numFmtId="171" fontId="61" fillId="0" borderId="28" xfId="1" applyBorder="1" applyAlignment="1">
      <alignment horizontal="center"/>
    </xf>
    <xf numFmtId="0" fontId="0" fillId="0" borderId="0" xfId="0" applyBorder="1"/>
    <xf numFmtId="0" fontId="0" fillId="0" borderId="4" xfId="0" applyBorder="1" applyAlignment="1">
      <alignment horizontal="left"/>
    </xf>
    <xf numFmtId="171" fontId="61" fillId="0" borderId="4" xfId="1" applyFill="1" applyBorder="1"/>
  </cellXfs>
  <cellStyles count="16">
    <cellStyle name="Bueno" xfId="14" builtinId="26"/>
    <cellStyle name="Error 1" xfId="3" xr:uid="{00000000-0005-0000-0000-000001000000}"/>
    <cellStyle name="Error 2" xfId="4" xr:uid="{00000000-0005-0000-0000-000002000000}"/>
    <cellStyle name="Excel Built-in Check Cell" xfId="13" xr:uid="{00000000-0005-0000-0000-000003000000}"/>
    <cellStyle name="Excel Built-in Good" xfId="11" xr:uid="{00000000-0005-0000-0000-000004000000}"/>
    <cellStyle name="Excel Built-in Neutral" xfId="12" xr:uid="{00000000-0005-0000-0000-000005000000}"/>
    <cellStyle name="Incorrecto" xfId="15" builtinId="27"/>
    <cellStyle name="Millares" xfId="1" builtinId="3"/>
    <cellStyle name="Moneda" xfId="2" builtinId="4"/>
    <cellStyle name="No completar" xfId="5" xr:uid="{00000000-0005-0000-0000-000009000000}"/>
    <cellStyle name="No completar 2" xfId="6" xr:uid="{00000000-0005-0000-0000-00000A000000}"/>
    <cellStyle name="Normal" xfId="0" builtinId="0"/>
    <cellStyle name="Normal 2" xfId="7" xr:uid="{00000000-0005-0000-0000-00000C000000}"/>
    <cellStyle name="Normal 3" xfId="8" xr:uid="{00000000-0005-0000-0000-00000D000000}"/>
    <cellStyle name="Normal 3_Compras-Ventas 2011_Compras y Ventas 2014" xfId="9" xr:uid="{00000000-0005-0000-0000-00000E000000}"/>
    <cellStyle name="Normal 3_Compras-Ventas 2011_Compras y Ventas 2014_Compras-Ventas 2018" xfId="10" xr:uid="{00000000-0005-0000-0000-00000F000000}"/>
  </cellStyles>
  <dxfs count="6"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C3D69B"/>
      <rgbColor rgb="FFFF00FF"/>
      <rgbColor rgb="FF00FFFF"/>
      <rgbColor rgb="FF800000"/>
      <rgbColor rgb="FF006100"/>
      <rgbColor rgb="FF000080"/>
      <rgbColor rgb="FF9C6500"/>
      <rgbColor rgb="FF800080"/>
      <rgbColor rgb="FF1F7AC1"/>
      <rgbColor rgb="FFCCC1DA"/>
      <rgbColor rgb="FF7F7F7F"/>
      <rgbColor rgb="FF9999FF"/>
      <rgbColor rgb="FF7030A0"/>
      <rgbColor rgb="FFEBF1DE"/>
      <rgbColor rgb="FFDCE6F2"/>
      <rgbColor rgb="FF660066"/>
      <rgbColor rgb="FF948A54"/>
      <rgbColor rgb="FF0070C0"/>
      <rgbColor rgb="FFB9CDE5"/>
      <rgbColor rgb="FF000080"/>
      <rgbColor rgb="FFFF00FF"/>
      <rgbColor rgb="FFDDD9C3"/>
      <rgbColor rgb="FF00FFFF"/>
      <rgbColor rgb="FF800080"/>
      <rgbColor rgb="FF800000"/>
      <rgbColor rgb="FF008080"/>
      <rgbColor rgb="FF0000FF"/>
      <rgbColor rgb="FF00CCFF"/>
      <rgbColor rgb="FFD7E4BD"/>
      <rgbColor rgb="FFC6EFCE"/>
      <rgbColor rgb="FFFFEB9C"/>
      <rgbColor rgb="FFB7DEE8"/>
      <rgbColor rgb="FFA5A5A5"/>
      <rgbColor rgb="FFA6A6A6"/>
      <rgbColor rgb="FFE6B9B8"/>
      <rgbColor rgb="FF558ED5"/>
      <rgbColor rgb="FF95B3D7"/>
      <rgbColor rgb="FF9BBB59"/>
      <rgbColor rgb="FFBBE33D"/>
      <rgbColor rgb="FFF2DCDB"/>
      <rgbColor rgb="FFD9D9D9"/>
      <rgbColor rgb="FF4F81BD"/>
      <rgbColor rgb="FF969696"/>
      <rgbColor rgb="FF003366"/>
      <rgbColor rgb="FF00B050"/>
      <rgbColor rgb="FF003300"/>
      <rgbColor rgb="FF4F6228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7"/>
  <sheetViews>
    <sheetView topLeftCell="A534" zoomScale="75" zoomScaleNormal="75" workbookViewId="0">
      <selection activeCell="B547" sqref="B547"/>
    </sheetView>
  </sheetViews>
  <sheetFormatPr baseColWidth="10" defaultColWidth="10.5703125" defaultRowHeight="15" customHeight="1" x14ac:dyDescent="0.25"/>
  <cols>
    <col min="1" max="1" width="14" style="1" customWidth="1"/>
    <col min="2" max="2" width="34.42578125" customWidth="1"/>
    <col min="3" max="3" width="18.28515625" customWidth="1"/>
    <col min="6" max="6" width="14" style="2" customWidth="1"/>
    <col min="7" max="7" width="11.42578125" style="2" customWidth="1"/>
  </cols>
  <sheetData>
    <row r="1" spans="1:7" x14ac:dyDescent="0.25">
      <c r="F1" s="3" t="s">
        <v>0</v>
      </c>
      <c r="G1" s="2" t="s">
        <v>1</v>
      </c>
    </row>
    <row r="2" spans="1:7" x14ac:dyDescent="0.25">
      <c r="F2" s="3" t="s">
        <v>2</v>
      </c>
      <c r="G2" s="2" t="s">
        <v>3</v>
      </c>
    </row>
    <row r="3" spans="1:7" s="7" customFormat="1" x14ac:dyDescent="0.25">
      <c r="A3" s="4" t="s">
        <v>0</v>
      </c>
      <c r="B3" s="5" t="s">
        <v>2</v>
      </c>
      <c r="C3" s="6" t="s">
        <v>4</v>
      </c>
      <c r="F3" s="3" t="s">
        <v>4</v>
      </c>
      <c r="G3" s="2" t="s">
        <v>5</v>
      </c>
    </row>
    <row r="4" spans="1:7" x14ac:dyDescent="0.25">
      <c r="A4" s="8">
        <v>30628205090</v>
      </c>
      <c r="B4" s="9" t="s">
        <v>6</v>
      </c>
      <c r="C4" s="10" t="s">
        <v>7</v>
      </c>
    </row>
    <row r="5" spans="1:7" x14ac:dyDescent="0.25">
      <c r="A5" s="11">
        <v>30711678820</v>
      </c>
      <c r="B5" s="12" t="s">
        <v>8</v>
      </c>
      <c r="C5" s="13" t="s">
        <v>9</v>
      </c>
    </row>
    <row r="6" spans="1:7" x14ac:dyDescent="0.25">
      <c r="A6" s="14">
        <v>33716367539</v>
      </c>
      <c r="B6" s="9" t="s">
        <v>10</v>
      </c>
      <c r="C6" s="13" t="s">
        <v>9</v>
      </c>
    </row>
    <row r="7" spans="1:7" x14ac:dyDescent="0.25">
      <c r="A7" s="8">
        <v>30660373108</v>
      </c>
      <c r="B7" s="9" t="s">
        <v>11</v>
      </c>
      <c r="C7" s="13" t="s">
        <v>12</v>
      </c>
    </row>
    <row r="8" spans="1:7" x14ac:dyDescent="0.25">
      <c r="A8" s="8">
        <v>20300210881</v>
      </c>
      <c r="B8" s="9" t="s">
        <v>13</v>
      </c>
      <c r="C8" s="13" t="s">
        <v>9</v>
      </c>
    </row>
    <row r="9" spans="1:7" x14ac:dyDescent="0.25">
      <c r="A9" s="8">
        <v>27229910782</v>
      </c>
      <c r="B9" s="9" t="s">
        <v>14</v>
      </c>
      <c r="C9" s="13" t="s">
        <v>9</v>
      </c>
    </row>
    <row r="10" spans="1:7" x14ac:dyDescent="0.25">
      <c r="A10" s="8">
        <v>20242709897</v>
      </c>
      <c r="B10" s="9" t="s">
        <v>15</v>
      </c>
      <c r="C10" s="13" t="s">
        <v>9</v>
      </c>
    </row>
    <row r="11" spans="1:7" x14ac:dyDescent="0.25">
      <c r="A11" s="8">
        <v>20281669053</v>
      </c>
      <c r="B11" s="9" t="s">
        <v>16</v>
      </c>
      <c r="C11" s="13" t="s">
        <v>17</v>
      </c>
    </row>
    <row r="12" spans="1:7" x14ac:dyDescent="0.25">
      <c r="A12" s="8">
        <v>20174240125</v>
      </c>
      <c r="B12" s="9" t="s">
        <v>18</v>
      </c>
      <c r="C12" s="13" t="s">
        <v>12</v>
      </c>
    </row>
    <row r="13" spans="1:7" x14ac:dyDescent="0.25">
      <c r="A13" s="8">
        <v>30641659106</v>
      </c>
      <c r="B13" s="9" t="s">
        <v>19</v>
      </c>
      <c r="C13" s="13" t="s">
        <v>12</v>
      </c>
    </row>
    <row r="14" spans="1:7" x14ac:dyDescent="0.25">
      <c r="A14" s="8">
        <v>33709914109</v>
      </c>
      <c r="B14" s="9" t="s">
        <v>20</v>
      </c>
      <c r="C14" s="13" t="s">
        <v>12</v>
      </c>
    </row>
    <row r="15" spans="1:7" x14ac:dyDescent="0.25">
      <c r="A15" s="14">
        <v>20267161616</v>
      </c>
      <c r="B15" s="9" t="s">
        <v>21</v>
      </c>
      <c r="C15" s="13" t="s">
        <v>12</v>
      </c>
    </row>
    <row r="16" spans="1:7" x14ac:dyDescent="0.25">
      <c r="A16" s="15">
        <v>20110352108</v>
      </c>
      <c r="B16" s="9" t="s">
        <v>22</v>
      </c>
      <c r="C16" s="13" t="s">
        <v>23</v>
      </c>
    </row>
    <row r="17" spans="1:4" x14ac:dyDescent="0.25">
      <c r="A17" s="16">
        <v>30645337979</v>
      </c>
      <c r="B17" s="17" t="s">
        <v>24</v>
      </c>
      <c r="C17" s="13" t="s">
        <v>7</v>
      </c>
    </row>
    <row r="18" spans="1:4" x14ac:dyDescent="0.25">
      <c r="A18" s="8">
        <v>30656038752</v>
      </c>
      <c r="B18" s="9" t="s">
        <v>25</v>
      </c>
      <c r="C18" s="13" t="s">
        <v>26</v>
      </c>
    </row>
    <row r="19" spans="1:4" x14ac:dyDescent="0.25">
      <c r="A19" s="8">
        <v>30707014756</v>
      </c>
      <c r="B19" s="9" t="s">
        <v>27</v>
      </c>
      <c r="C19" s="13" t="s">
        <v>12</v>
      </c>
    </row>
    <row r="20" spans="1:4" x14ac:dyDescent="0.25">
      <c r="A20" s="18">
        <v>30716375176</v>
      </c>
      <c r="B20" s="9" t="s">
        <v>28</v>
      </c>
      <c r="C20" s="13" t="s">
        <v>9</v>
      </c>
    </row>
    <row r="21" spans="1:4" x14ac:dyDescent="0.25">
      <c r="A21" s="14">
        <v>30710406037</v>
      </c>
      <c r="B21" s="9" t="s">
        <v>29</v>
      </c>
      <c r="C21" s="13" t="s">
        <v>9</v>
      </c>
      <c r="D21" s="19"/>
    </row>
    <row r="22" spans="1:4" x14ac:dyDescent="0.25">
      <c r="A22" s="14">
        <v>30715678310</v>
      </c>
      <c r="B22" s="9" t="s">
        <v>30</v>
      </c>
      <c r="C22" s="13" t="s">
        <v>12</v>
      </c>
      <c r="D22" s="19"/>
    </row>
    <row r="23" spans="1:4" x14ac:dyDescent="0.25">
      <c r="A23" s="15">
        <v>27265533006</v>
      </c>
      <c r="B23" s="9" t="s">
        <v>31</v>
      </c>
      <c r="C23" s="13" t="s">
        <v>9</v>
      </c>
    </row>
    <row r="24" spans="1:4" x14ac:dyDescent="0.25">
      <c r="A24" s="8">
        <v>27133963524</v>
      </c>
      <c r="B24" s="9" t="s">
        <v>32</v>
      </c>
      <c r="C24" s="13" t="s">
        <v>9</v>
      </c>
    </row>
    <row r="25" spans="1:4" x14ac:dyDescent="0.25">
      <c r="A25" s="18">
        <v>27101205733</v>
      </c>
      <c r="B25" s="17" t="s">
        <v>33</v>
      </c>
      <c r="C25" s="13" t="s">
        <v>9</v>
      </c>
    </row>
    <row r="26" spans="1:4" x14ac:dyDescent="0.25">
      <c r="A26" s="18">
        <v>30574816870</v>
      </c>
      <c r="B26" s="9" t="s">
        <v>34</v>
      </c>
      <c r="C26" s="13" t="s">
        <v>35</v>
      </c>
    </row>
    <row r="27" spans="1:4" x14ac:dyDescent="0.25">
      <c r="A27" s="8">
        <v>30710986416</v>
      </c>
      <c r="B27" s="9" t="s">
        <v>36</v>
      </c>
      <c r="C27" s="13" t="s">
        <v>26</v>
      </c>
    </row>
    <row r="28" spans="1:4" x14ac:dyDescent="0.25">
      <c r="A28" s="8">
        <v>30683702060</v>
      </c>
      <c r="B28" s="9" t="s">
        <v>37</v>
      </c>
      <c r="C28" s="13" t="s">
        <v>9</v>
      </c>
    </row>
    <row r="29" spans="1:4" x14ac:dyDescent="0.25">
      <c r="A29" s="8">
        <v>27252316057</v>
      </c>
      <c r="B29" s="9" t="s">
        <v>38</v>
      </c>
      <c r="C29" s="13" t="s">
        <v>39</v>
      </c>
    </row>
    <row r="30" spans="1:4" x14ac:dyDescent="0.25">
      <c r="A30" s="8">
        <v>30711492409</v>
      </c>
      <c r="B30" s="9" t="s">
        <v>40</v>
      </c>
      <c r="C30" s="13" t="s">
        <v>9</v>
      </c>
    </row>
    <row r="31" spans="1:4" x14ac:dyDescent="0.25">
      <c r="A31" s="8">
        <v>30600907553</v>
      </c>
      <c r="B31" s="9" t="s">
        <v>41</v>
      </c>
      <c r="C31" s="13" t="s">
        <v>12</v>
      </c>
    </row>
    <row r="32" spans="1:4" x14ac:dyDescent="0.25">
      <c r="A32" s="14">
        <v>30715290835</v>
      </c>
      <c r="B32" s="12" t="s">
        <v>42</v>
      </c>
      <c r="C32" s="13" t="s">
        <v>12</v>
      </c>
    </row>
    <row r="33" spans="1:3" x14ac:dyDescent="0.25">
      <c r="A33" s="8">
        <v>30708973501</v>
      </c>
      <c r="B33" s="12" t="s">
        <v>43</v>
      </c>
      <c r="C33" s="13" t="s">
        <v>26</v>
      </c>
    </row>
    <row r="34" spans="1:3" x14ac:dyDescent="0.25">
      <c r="A34" s="16">
        <v>30590354798</v>
      </c>
      <c r="B34" s="17" t="s">
        <v>44</v>
      </c>
      <c r="C34" s="13" t="s">
        <v>7</v>
      </c>
    </row>
    <row r="35" spans="1:3" x14ac:dyDescent="0.25">
      <c r="A35" s="20">
        <v>30690973517</v>
      </c>
      <c r="B35" s="12" t="s">
        <v>45</v>
      </c>
      <c r="C35" s="13" t="s">
        <v>7</v>
      </c>
    </row>
    <row r="36" spans="1:3" x14ac:dyDescent="0.25">
      <c r="A36" s="8">
        <v>30714416622</v>
      </c>
      <c r="B36" s="12" t="s">
        <v>46</v>
      </c>
      <c r="C36" s="13" t="s">
        <v>12</v>
      </c>
    </row>
    <row r="37" spans="1:3" x14ac:dyDescent="0.25">
      <c r="A37" s="8">
        <v>30708436506</v>
      </c>
      <c r="B37" s="12" t="s">
        <v>47</v>
      </c>
      <c r="C37" s="13" t="s">
        <v>7</v>
      </c>
    </row>
    <row r="38" spans="1:3" x14ac:dyDescent="0.25">
      <c r="A38" s="8">
        <v>30677237119</v>
      </c>
      <c r="B38" s="12" t="s">
        <v>48</v>
      </c>
      <c r="C38" s="21" t="s">
        <v>49</v>
      </c>
    </row>
    <row r="39" spans="1:3" x14ac:dyDescent="0.25">
      <c r="A39" s="14">
        <v>30574876474</v>
      </c>
      <c r="B39" s="12" t="s">
        <v>50</v>
      </c>
      <c r="C39" s="13" t="s">
        <v>49</v>
      </c>
    </row>
    <row r="40" spans="1:3" x14ac:dyDescent="0.25">
      <c r="A40" s="8">
        <v>20379223185</v>
      </c>
      <c r="B40" s="12" t="s">
        <v>51</v>
      </c>
      <c r="C40" s="13" t="s">
        <v>9</v>
      </c>
    </row>
    <row r="41" spans="1:3" x14ac:dyDescent="0.25">
      <c r="A41" s="8">
        <v>33714662819</v>
      </c>
      <c r="B41" s="12" t="s">
        <v>52</v>
      </c>
      <c r="C41" s="13" t="s">
        <v>9</v>
      </c>
    </row>
    <row r="42" spans="1:3" x14ac:dyDescent="0.25">
      <c r="A42" s="18">
        <v>33716314869</v>
      </c>
      <c r="B42" s="12" t="s">
        <v>53</v>
      </c>
      <c r="C42" s="13" t="s">
        <v>9</v>
      </c>
    </row>
    <row r="43" spans="1:3" x14ac:dyDescent="0.25">
      <c r="A43" s="8">
        <v>30715923374</v>
      </c>
      <c r="B43" s="12" t="s">
        <v>54</v>
      </c>
      <c r="C43" s="13" t="s">
        <v>9</v>
      </c>
    </row>
    <row r="44" spans="1:3" x14ac:dyDescent="0.25">
      <c r="A44" s="8">
        <v>33714642079</v>
      </c>
      <c r="B44" s="9" t="s">
        <v>55</v>
      </c>
      <c r="C44" s="22" t="s">
        <v>12</v>
      </c>
    </row>
    <row r="45" spans="1:3" x14ac:dyDescent="0.25">
      <c r="A45" s="8">
        <v>33711430879</v>
      </c>
      <c r="B45" s="9" t="s">
        <v>56</v>
      </c>
      <c r="C45" s="22" t="s">
        <v>9</v>
      </c>
    </row>
    <row r="46" spans="1:3" x14ac:dyDescent="0.25">
      <c r="A46" s="8">
        <v>33716391049</v>
      </c>
      <c r="B46" s="9" t="s">
        <v>57</v>
      </c>
      <c r="C46" s="22" t="s">
        <v>12</v>
      </c>
    </row>
    <row r="47" spans="1:3" x14ac:dyDescent="0.25">
      <c r="A47" s="8">
        <v>30707267077</v>
      </c>
      <c r="B47" s="9" t="s">
        <v>58</v>
      </c>
      <c r="C47" s="22" t="s">
        <v>9</v>
      </c>
    </row>
    <row r="48" spans="1:3" x14ac:dyDescent="0.25">
      <c r="A48" s="8">
        <v>20109274268</v>
      </c>
      <c r="B48" s="9" t="s">
        <v>59</v>
      </c>
      <c r="C48" s="22" t="s">
        <v>17</v>
      </c>
    </row>
    <row r="49" spans="1:3" x14ac:dyDescent="0.25">
      <c r="A49" s="8">
        <v>20172955763</v>
      </c>
      <c r="B49" s="9" t="s">
        <v>60</v>
      </c>
      <c r="C49" s="22" t="s">
        <v>9</v>
      </c>
    </row>
    <row r="50" spans="1:3" x14ac:dyDescent="0.25">
      <c r="A50" s="8">
        <v>20119743959</v>
      </c>
      <c r="B50" s="9" t="s">
        <v>61</v>
      </c>
      <c r="C50" s="22" t="s">
        <v>9</v>
      </c>
    </row>
    <row r="51" spans="1:3" x14ac:dyDescent="0.25">
      <c r="A51" s="8">
        <v>30711091552</v>
      </c>
      <c r="B51" s="9" t="s">
        <v>62</v>
      </c>
      <c r="C51" s="22" t="s">
        <v>12</v>
      </c>
    </row>
    <row r="52" spans="1:3" x14ac:dyDescent="0.25">
      <c r="A52" s="16">
        <v>30715833243</v>
      </c>
      <c r="B52" s="9" t="s">
        <v>63</v>
      </c>
      <c r="C52" s="22" t="s">
        <v>9</v>
      </c>
    </row>
    <row r="53" spans="1:3" x14ac:dyDescent="0.25">
      <c r="A53" s="18">
        <v>30712230459</v>
      </c>
      <c r="B53" s="9" t="s">
        <v>64</v>
      </c>
      <c r="C53" s="22" t="s">
        <v>9</v>
      </c>
    </row>
    <row r="54" spans="1:3" x14ac:dyDescent="0.25">
      <c r="A54" s="8">
        <v>27265832178</v>
      </c>
      <c r="B54" s="9" t="s">
        <v>65</v>
      </c>
      <c r="C54" s="22" t="s">
        <v>9</v>
      </c>
    </row>
    <row r="55" spans="1:3" x14ac:dyDescent="0.25">
      <c r="A55" s="8">
        <v>20043137817</v>
      </c>
      <c r="B55" s="9" t="s">
        <v>66</v>
      </c>
      <c r="C55" s="22" t="s">
        <v>12</v>
      </c>
    </row>
    <row r="56" spans="1:3" x14ac:dyDescent="0.25">
      <c r="A56" s="8">
        <v>20400104094</v>
      </c>
      <c r="B56" s="9" t="s">
        <v>67</v>
      </c>
      <c r="C56" s="22" t="s">
        <v>39</v>
      </c>
    </row>
    <row r="57" spans="1:3" x14ac:dyDescent="0.25">
      <c r="A57" s="16">
        <v>20086277523</v>
      </c>
      <c r="B57" s="9" t="s">
        <v>68</v>
      </c>
      <c r="C57" s="22" t="s">
        <v>39</v>
      </c>
    </row>
    <row r="58" spans="1:3" x14ac:dyDescent="0.25">
      <c r="A58" s="8">
        <v>20389908569</v>
      </c>
      <c r="B58" s="9" t="s">
        <v>69</v>
      </c>
      <c r="C58" s="22" t="s">
        <v>39</v>
      </c>
    </row>
    <row r="59" spans="1:3" x14ac:dyDescent="0.25">
      <c r="A59" s="15">
        <v>33714174539</v>
      </c>
      <c r="B59" s="9" t="s">
        <v>70</v>
      </c>
      <c r="C59" s="22" t="s">
        <v>9</v>
      </c>
    </row>
    <row r="60" spans="1:3" x14ac:dyDescent="0.25">
      <c r="A60" s="15">
        <v>20291406212</v>
      </c>
      <c r="B60" s="9" t="s">
        <v>71</v>
      </c>
      <c r="C60" s="22" t="s">
        <v>9</v>
      </c>
    </row>
    <row r="61" spans="1:3" x14ac:dyDescent="0.25">
      <c r="A61" s="15">
        <v>30716371812</v>
      </c>
      <c r="B61" s="9" t="s">
        <v>72</v>
      </c>
      <c r="C61" s="22" t="s">
        <v>9</v>
      </c>
    </row>
    <row r="62" spans="1:3" x14ac:dyDescent="0.25">
      <c r="A62" s="8">
        <v>27211511023</v>
      </c>
      <c r="B62" s="9" t="s">
        <v>73</v>
      </c>
      <c r="C62" s="22" t="s">
        <v>9</v>
      </c>
    </row>
    <row r="63" spans="1:3" x14ac:dyDescent="0.25">
      <c r="A63" s="8">
        <v>30714295957</v>
      </c>
      <c r="B63" s="9" t="s">
        <v>74</v>
      </c>
      <c r="C63" s="22" t="s">
        <v>12</v>
      </c>
    </row>
    <row r="64" spans="1:3" x14ac:dyDescent="0.25">
      <c r="A64" s="8">
        <v>27289847141</v>
      </c>
      <c r="B64" s="9" t="s">
        <v>75</v>
      </c>
      <c r="C64" s="22" t="s">
        <v>12</v>
      </c>
    </row>
    <row r="65" spans="1:3" x14ac:dyDescent="0.25">
      <c r="A65" s="8">
        <v>23255855204</v>
      </c>
      <c r="B65" s="9" t="s">
        <v>76</v>
      </c>
      <c r="C65" s="22" t="s">
        <v>17</v>
      </c>
    </row>
    <row r="66" spans="1:3" x14ac:dyDescent="0.25">
      <c r="A66" s="8">
        <v>27338342840</v>
      </c>
      <c r="B66" s="9" t="s">
        <v>77</v>
      </c>
      <c r="C66" s="23" t="s">
        <v>9</v>
      </c>
    </row>
    <row r="67" spans="1:3" x14ac:dyDescent="0.25">
      <c r="A67" s="8">
        <v>30709876135</v>
      </c>
      <c r="B67" s="9" t="s">
        <v>78</v>
      </c>
      <c r="C67" s="22" t="s">
        <v>9</v>
      </c>
    </row>
    <row r="68" spans="1:3" x14ac:dyDescent="0.25">
      <c r="A68" s="8">
        <v>30571666037</v>
      </c>
      <c r="B68" s="9" t="s">
        <v>79</v>
      </c>
      <c r="C68" s="22" t="s">
        <v>12</v>
      </c>
    </row>
    <row r="69" spans="1:3" x14ac:dyDescent="0.25">
      <c r="A69" s="8">
        <v>27364044319</v>
      </c>
      <c r="B69" s="9" t="s">
        <v>80</v>
      </c>
      <c r="C69" s="22" t="s">
        <v>9</v>
      </c>
    </row>
    <row r="70" spans="1:3" x14ac:dyDescent="0.25">
      <c r="A70" s="8">
        <v>30715116274</v>
      </c>
      <c r="B70" s="17" t="s">
        <v>81</v>
      </c>
      <c r="C70" s="22" t="s">
        <v>9</v>
      </c>
    </row>
    <row r="71" spans="1:3" x14ac:dyDescent="0.25">
      <c r="A71" s="8">
        <v>27326703384</v>
      </c>
      <c r="B71" s="9" t="s">
        <v>82</v>
      </c>
      <c r="C71" s="22" t="s">
        <v>23</v>
      </c>
    </row>
    <row r="72" spans="1:3" x14ac:dyDescent="0.25">
      <c r="A72" s="8">
        <v>20129871947</v>
      </c>
      <c r="B72" s="9" t="s">
        <v>83</v>
      </c>
      <c r="C72" s="22" t="s">
        <v>9</v>
      </c>
    </row>
    <row r="73" spans="1:3" x14ac:dyDescent="0.25">
      <c r="A73" s="24">
        <v>30648604021</v>
      </c>
      <c r="B73" s="9" t="s">
        <v>84</v>
      </c>
      <c r="C73" s="22" t="s">
        <v>9</v>
      </c>
    </row>
    <row r="74" spans="1:3" x14ac:dyDescent="0.25">
      <c r="A74" s="24">
        <v>20372769808</v>
      </c>
      <c r="B74" s="9" t="s">
        <v>85</v>
      </c>
      <c r="C74" s="22" t="s">
        <v>12</v>
      </c>
    </row>
    <row r="75" spans="1:3" x14ac:dyDescent="0.25">
      <c r="A75" s="15">
        <v>30575818826</v>
      </c>
      <c r="B75" s="9" t="s">
        <v>86</v>
      </c>
      <c r="C75" s="22" t="s">
        <v>12</v>
      </c>
    </row>
    <row r="76" spans="1:3" x14ac:dyDescent="0.25">
      <c r="A76" s="15">
        <v>30575945232</v>
      </c>
      <c r="B76" s="9" t="s">
        <v>87</v>
      </c>
      <c r="C76" s="22" t="s">
        <v>12</v>
      </c>
    </row>
    <row r="77" spans="1:3" x14ac:dyDescent="0.25">
      <c r="A77" s="25">
        <v>33712276539</v>
      </c>
      <c r="B77" s="9" t="s">
        <v>88</v>
      </c>
      <c r="C77" s="22" t="s">
        <v>12</v>
      </c>
    </row>
    <row r="78" spans="1:3" x14ac:dyDescent="0.25">
      <c r="A78" s="15">
        <v>30716174766</v>
      </c>
      <c r="B78" s="9" t="s">
        <v>89</v>
      </c>
      <c r="C78" s="22" t="s">
        <v>9</v>
      </c>
    </row>
    <row r="79" spans="1:3" x14ac:dyDescent="0.25">
      <c r="A79" s="15">
        <v>33715179119</v>
      </c>
      <c r="B79" s="9" t="s">
        <v>90</v>
      </c>
      <c r="C79" s="22" t="s">
        <v>12</v>
      </c>
    </row>
    <row r="80" spans="1:3" x14ac:dyDescent="0.25">
      <c r="A80" s="25">
        <v>30590360763</v>
      </c>
      <c r="B80" s="9" t="s">
        <v>91</v>
      </c>
      <c r="C80" s="22" t="s">
        <v>12</v>
      </c>
    </row>
    <row r="81" spans="1:3" x14ac:dyDescent="0.25">
      <c r="A81" s="15">
        <v>30707612971</v>
      </c>
      <c r="B81" s="9" t="s">
        <v>92</v>
      </c>
      <c r="C81" s="22" t="s">
        <v>7</v>
      </c>
    </row>
    <row r="82" spans="1:3" x14ac:dyDescent="0.25">
      <c r="A82" s="15">
        <v>30714758116</v>
      </c>
      <c r="B82" s="9" t="s">
        <v>93</v>
      </c>
      <c r="C82" s="22" t="s">
        <v>9</v>
      </c>
    </row>
    <row r="83" spans="1:3" x14ac:dyDescent="0.25">
      <c r="A83" s="15">
        <v>27318630157</v>
      </c>
      <c r="B83" s="9" t="s">
        <v>94</v>
      </c>
      <c r="C83" s="22" t="s">
        <v>12</v>
      </c>
    </row>
    <row r="84" spans="1:3" x14ac:dyDescent="0.25">
      <c r="A84" s="26">
        <v>30707535934</v>
      </c>
      <c r="B84" s="9" t="s">
        <v>95</v>
      </c>
      <c r="C84" s="22" t="s">
        <v>12</v>
      </c>
    </row>
    <row r="85" spans="1:3" x14ac:dyDescent="0.25">
      <c r="A85" s="15">
        <v>30696692951</v>
      </c>
      <c r="B85" s="9" t="s">
        <v>96</v>
      </c>
      <c r="C85" s="22" t="s">
        <v>12</v>
      </c>
    </row>
    <row r="86" spans="1:3" x14ac:dyDescent="0.25">
      <c r="A86" s="25">
        <v>30594832783</v>
      </c>
      <c r="B86" s="9" t="s">
        <v>97</v>
      </c>
      <c r="C86" s="22" t="s">
        <v>12</v>
      </c>
    </row>
    <row r="87" spans="1:3" x14ac:dyDescent="0.25">
      <c r="A87" s="15">
        <v>30707986189</v>
      </c>
      <c r="B87" s="17" t="s">
        <v>98</v>
      </c>
      <c r="C87" s="22" t="s">
        <v>9</v>
      </c>
    </row>
    <row r="88" spans="1:3" x14ac:dyDescent="0.25">
      <c r="A88" s="27">
        <v>23334822869</v>
      </c>
      <c r="B88" s="9" t="s">
        <v>99</v>
      </c>
      <c r="C88" s="22" t="s">
        <v>12</v>
      </c>
    </row>
    <row r="89" spans="1:3" x14ac:dyDescent="0.25">
      <c r="A89" s="14">
        <v>23258785479</v>
      </c>
      <c r="B89" s="9" t="s">
        <v>100</v>
      </c>
      <c r="C89" s="22" t="s">
        <v>12</v>
      </c>
    </row>
    <row r="90" spans="1:3" x14ac:dyDescent="0.25">
      <c r="A90" s="8">
        <v>20274215632</v>
      </c>
      <c r="B90" s="9" t="s">
        <v>101</v>
      </c>
      <c r="C90" s="22" t="s">
        <v>12</v>
      </c>
    </row>
    <row r="91" spans="1:3" x14ac:dyDescent="0.25">
      <c r="A91" s="8">
        <v>30688140923</v>
      </c>
      <c r="B91" s="9" t="s">
        <v>102</v>
      </c>
      <c r="C91" s="22" t="s">
        <v>9</v>
      </c>
    </row>
    <row r="92" spans="1:3" x14ac:dyDescent="0.25">
      <c r="A92" s="14">
        <v>30708736186</v>
      </c>
      <c r="B92" s="9" t="s">
        <v>103</v>
      </c>
      <c r="C92" s="22" t="s">
        <v>12</v>
      </c>
    </row>
    <row r="93" spans="1:3" x14ac:dyDescent="0.25">
      <c r="A93" s="8">
        <v>23359537069</v>
      </c>
      <c r="B93" s="9" t="s">
        <v>104</v>
      </c>
      <c r="C93" s="22" t="s">
        <v>9</v>
      </c>
    </row>
    <row r="94" spans="1:3" x14ac:dyDescent="0.25">
      <c r="A94" s="15">
        <v>33710268059</v>
      </c>
      <c r="B94" s="9" t="s">
        <v>105</v>
      </c>
      <c r="C94" s="22" t="s">
        <v>26</v>
      </c>
    </row>
    <row r="95" spans="1:3" x14ac:dyDescent="0.25">
      <c r="A95" s="28">
        <v>30605344352</v>
      </c>
      <c r="B95" s="9" t="s">
        <v>106</v>
      </c>
      <c r="C95" s="22" t="s">
        <v>107</v>
      </c>
    </row>
    <row r="96" spans="1:3" x14ac:dyDescent="0.25">
      <c r="A96" s="15">
        <v>20134281783</v>
      </c>
      <c r="B96" s="9" t="s">
        <v>108</v>
      </c>
      <c r="C96" s="22" t="s">
        <v>9</v>
      </c>
    </row>
    <row r="97" spans="1:3" x14ac:dyDescent="0.25">
      <c r="A97" s="29">
        <v>30682998330</v>
      </c>
      <c r="B97" s="9" t="s">
        <v>109</v>
      </c>
      <c r="C97" s="22" t="s">
        <v>12</v>
      </c>
    </row>
    <row r="98" spans="1:3" x14ac:dyDescent="0.25">
      <c r="A98" s="8">
        <v>20200212143</v>
      </c>
      <c r="B98" s="9" t="s">
        <v>110</v>
      </c>
      <c r="C98" s="22" t="s">
        <v>12</v>
      </c>
    </row>
    <row r="99" spans="1:3" x14ac:dyDescent="0.25">
      <c r="A99" s="25">
        <v>20233248283</v>
      </c>
      <c r="B99" s="9" t="s">
        <v>111</v>
      </c>
      <c r="C99" s="22" t="s">
        <v>9</v>
      </c>
    </row>
    <row r="100" spans="1:3" x14ac:dyDescent="0.25">
      <c r="A100" s="8">
        <v>33699685459</v>
      </c>
      <c r="B100" s="9" t="s">
        <v>112</v>
      </c>
      <c r="C100" s="22" t="s">
        <v>12</v>
      </c>
    </row>
    <row r="101" spans="1:3" x14ac:dyDescent="0.25">
      <c r="A101" s="18">
        <v>30708574836</v>
      </c>
      <c r="B101" s="9" t="s">
        <v>113</v>
      </c>
      <c r="C101" s="22" t="s">
        <v>114</v>
      </c>
    </row>
    <row r="102" spans="1:3" x14ac:dyDescent="0.25">
      <c r="A102" s="8">
        <v>27065000216</v>
      </c>
      <c r="B102" s="9" t="s">
        <v>115</v>
      </c>
      <c r="C102" s="22" t="s">
        <v>9</v>
      </c>
    </row>
    <row r="103" spans="1:3" x14ac:dyDescent="0.25">
      <c r="A103" s="30">
        <v>30548083156</v>
      </c>
      <c r="B103" s="17" t="s">
        <v>116</v>
      </c>
      <c r="C103" s="22" t="s">
        <v>23</v>
      </c>
    </row>
    <row r="104" spans="1:3" x14ac:dyDescent="0.25">
      <c r="A104" s="8">
        <v>30696850972</v>
      </c>
      <c r="B104" s="9" t="s">
        <v>117</v>
      </c>
      <c r="C104" s="22" t="s">
        <v>118</v>
      </c>
    </row>
    <row r="105" spans="1:3" x14ac:dyDescent="0.25">
      <c r="A105" s="8">
        <v>30709175897</v>
      </c>
      <c r="B105" s="9" t="s">
        <v>119</v>
      </c>
      <c r="C105" s="22" t="s">
        <v>12</v>
      </c>
    </row>
    <row r="106" spans="1:3" x14ac:dyDescent="0.25">
      <c r="A106" s="8">
        <v>30707833293</v>
      </c>
      <c r="B106" s="9" t="s">
        <v>120</v>
      </c>
      <c r="C106" s="22" t="s">
        <v>9</v>
      </c>
    </row>
    <row r="107" spans="1:3" x14ac:dyDescent="0.25">
      <c r="A107" s="8">
        <v>33708543409</v>
      </c>
      <c r="B107" s="9" t="s">
        <v>121</v>
      </c>
      <c r="C107" s="22" t="s">
        <v>12</v>
      </c>
    </row>
    <row r="108" spans="1:3" x14ac:dyDescent="0.25">
      <c r="A108" s="8">
        <v>30715242903</v>
      </c>
      <c r="B108" s="17" t="s">
        <v>122</v>
      </c>
      <c r="C108" s="22" t="s">
        <v>9</v>
      </c>
    </row>
    <row r="109" spans="1:3" x14ac:dyDescent="0.25">
      <c r="A109" s="8">
        <v>30711275106</v>
      </c>
      <c r="B109" s="9" t="s">
        <v>123</v>
      </c>
      <c r="C109" s="22" t="s">
        <v>12</v>
      </c>
    </row>
    <row r="110" spans="1:3" x14ac:dyDescent="0.25">
      <c r="A110" s="16">
        <v>30516186670</v>
      </c>
      <c r="B110" s="17" t="s">
        <v>124</v>
      </c>
      <c r="C110" s="22" t="s">
        <v>12</v>
      </c>
    </row>
    <row r="111" spans="1:3" x14ac:dyDescent="0.25">
      <c r="A111" s="14">
        <v>27340766445</v>
      </c>
      <c r="B111" s="9" t="s">
        <v>125</v>
      </c>
      <c r="C111" s="22" t="s">
        <v>12</v>
      </c>
    </row>
    <row r="112" spans="1:3" x14ac:dyDescent="0.25">
      <c r="A112" s="20">
        <v>20403969886</v>
      </c>
      <c r="B112" s="9" t="s">
        <v>126</v>
      </c>
      <c r="C112" s="22" t="s">
        <v>9</v>
      </c>
    </row>
    <row r="113" spans="1:3" x14ac:dyDescent="0.25">
      <c r="A113" s="8">
        <v>20253515512</v>
      </c>
      <c r="B113" s="9" t="s">
        <v>127</v>
      </c>
      <c r="C113" s="22" t="s">
        <v>9</v>
      </c>
    </row>
    <row r="114" spans="1:3" x14ac:dyDescent="0.25">
      <c r="A114" s="8">
        <v>33716792299</v>
      </c>
      <c r="B114" s="9" t="s">
        <v>128</v>
      </c>
      <c r="C114" s="22" t="s">
        <v>12</v>
      </c>
    </row>
    <row r="115" spans="1:3" x14ac:dyDescent="0.25">
      <c r="A115" s="8">
        <v>30708656018</v>
      </c>
      <c r="B115" s="9" t="s">
        <v>129</v>
      </c>
      <c r="C115" s="22" t="s">
        <v>12</v>
      </c>
    </row>
    <row r="116" spans="1:3" x14ac:dyDescent="0.25">
      <c r="A116" s="8">
        <v>20167634436</v>
      </c>
      <c r="B116" s="9" t="s">
        <v>130</v>
      </c>
      <c r="C116" s="22" t="s">
        <v>12</v>
      </c>
    </row>
    <row r="117" spans="1:3" x14ac:dyDescent="0.25">
      <c r="A117" s="15">
        <v>30701307115</v>
      </c>
      <c r="B117" s="9" t="s">
        <v>131</v>
      </c>
      <c r="C117" s="22" t="s">
        <v>17</v>
      </c>
    </row>
    <row r="118" spans="1:3" x14ac:dyDescent="0.25">
      <c r="A118" s="15">
        <v>30708285818</v>
      </c>
      <c r="B118" s="9" t="s">
        <v>132</v>
      </c>
      <c r="C118" s="22" t="s">
        <v>9</v>
      </c>
    </row>
    <row r="119" spans="1:3" x14ac:dyDescent="0.25">
      <c r="A119" s="26">
        <v>20325314983</v>
      </c>
      <c r="B119" s="9" t="s">
        <v>133</v>
      </c>
      <c r="C119" s="22" t="s">
        <v>9</v>
      </c>
    </row>
    <row r="120" spans="1:3" x14ac:dyDescent="0.25">
      <c r="A120" s="8">
        <v>20107037021</v>
      </c>
      <c r="B120" s="9" t="s">
        <v>134</v>
      </c>
      <c r="C120" s="22" t="s">
        <v>9</v>
      </c>
    </row>
    <row r="121" spans="1:3" x14ac:dyDescent="0.25">
      <c r="A121" s="8">
        <v>20045615473</v>
      </c>
      <c r="B121" s="9" t="s">
        <v>135</v>
      </c>
      <c r="C121" s="22" t="s">
        <v>26</v>
      </c>
    </row>
    <row r="122" spans="1:3" x14ac:dyDescent="0.25">
      <c r="A122" s="8">
        <v>30685849751</v>
      </c>
      <c r="B122" s="9" t="s">
        <v>136</v>
      </c>
      <c r="C122" s="22" t="s">
        <v>12</v>
      </c>
    </row>
    <row r="123" spans="1:3" x14ac:dyDescent="0.25">
      <c r="A123" s="15">
        <v>30708155795</v>
      </c>
      <c r="B123" s="9" t="s">
        <v>137</v>
      </c>
      <c r="C123" s="22" t="s">
        <v>9</v>
      </c>
    </row>
    <row r="124" spans="1:3" x14ac:dyDescent="0.25">
      <c r="A124" s="15">
        <v>27948446168</v>
      </c>
      <c r="B124" s="9" t="s">
        <v>138</v>
      </c>
      <c r="C124" s="22" t="s">
        <v>9</v>
      </c>
    </row>
    <row r="125" spans="1:3" x14ac:dyDescent="0.25">
      <c r="A125" s="15">
        <v>20219935464</v>
      </c>
      <c r="B125" s="9" t="s">
        <v>139</v>
      </c>
      <c r="C125" s="22" t="s">
        <v>17</v>
      </c>
    </row>
    <row r="126" spans="1:3" x14ac:dyDescent="0.25">
      <c r="A126" s="18">
        <v>20271532483</v>
      </c>
      <c r="B126" s="9" t="s">
        <v>140</v>
      </c>
      <c r="C126" s="22" t="s">
        <v>9</v>
      </c>
    </row>
    <row r="127" spans="1:3" x14ac:dyDescent="0.25">
      <c r="A127" s="8">
        <v>30541849307</v>
      </c>
      <c r="B127" s="9" t="s">
        <v>141</v>
      </c>
      <c r="C127" s="22" t="s">
        <v>12</v>
      </c>
    </row>
    <row r="128" spans="1:3" x14ac:dyDescent="0.25">
      <c r="A128" s="15">
        <v>20243132852</v>
      </c>
      <c r="B128" s="9" t="s">
        <v>142</v>
      </c>
      <c r="C128" s="22" t="s">
        <v>143</v>
      </c>
    </row>
    <row r="129" spans="1:3" x14ac:dyDescent="0.25">
      <c r="A129" s="25">
        <v>30711510822</v>
      </c>
      <c r="B129" s="9" t="s">
        <v>144</v>
      </c>
      <c r="C129" s="22" t="s">
        <v>12</v>
      </c>
    </row>
    <row r="130" spans="1:3" x14ac:dyDescent="0.25">
      <c r="A130" s="15">
        <v>30694549817</v>
      </c>
      <c r="B130" s="9" t="s">
        <v>145</v>
      </c>
      <c r="C130" s="22" t="s">
        <v>9</v>
      </c>
    </row>
    <row r="131" spans="1:3" x14ac:dyDescent="0.25">
      <c r="A131" s="15">
        <v>30715819461</v>
      </c>
      <c r="B131" s="9" t="s">
        <v>146</v>
      </c>
      <c r="C131" s="22" t="s">
        <v>147</v>
      </c>
    </row>
    <row r="132" spans="1:3" x14ac:dyDescent="0.25">
      <c r="A132" s="15">
        <v>30710374801</v>
      </c>
      <c r="B132" s="17" t="s">
        <v>148</v>
      </c>
      <c r="C132" s="22" t="s">
        <v>147</v>
      </c>
    </row>
    <row r="133" spans="1:3" x14ac:dyDescent="0.25">
      <c r="A133" s="15">
        <v>30716884631</v>
      </c>
      <c r="B133" s="9" t="s">
        <v>149</v>
      </c>
      <c r="C133" s="10" t="s">
        <v>12</v>
      </c>
    </row>
    <row r="134" spans="1:3" x14ac:dyDescent="0.25">
      <c r="A134" s="15">
        <v>27206941419</v>
      </c>
      <c r="B134" s="9" t="s">
        <v>150</v>
      </c>
      <c r="C134" s="22" t="s">
        <v>39</v>
      </c>
    </row>
    <row r="135" spans="1:3" x14ac:dyDescent="0.25">
      <c r="A135" s="15">
        <v>30702966066</v>
      </c>
      <c r="B135" s="9" t="s">
        <v>151</v>
      </c>
      <c r="C135" s="22" t="s">
        <v>9</v>
      </c>
    </row>
    <row r="136" spans="1:3" x14ac:dyDescent="0.25">
      <c r="A136" s="28">
        <v>23281233084</v>
      </c>
      <c r="B136" s="9" t="s">
        <v>152</v>
      </c>
      <c r="C136" s="22" t="s">
        <v>153</v>
      </c>
    </row>
    <row r="137" spans="1:3" x14ac:dyDescent="0.25">
      <c r="A137" s="15">
        <v>20211398060</v>
      </c>
      <c r="B137" s="9" t="s">
        <v>154</v>
      </c>
      <c r="C137" s="22" t="s">
        <v>9</v>
      </c>
    </row>
    <row r="138" spans="1:3" x14ac:dyDescent="0.25">
      <c r="A138" s="25">
        <v>30711727236</v>
      </c>
      <c r="B138" s="9" t="s">
        <v>155</v>
      </c>
      <c r="C138" s="22" t="s">
        <v>12</v>
      </c>
    </row>
    <row r="139" spans="1:3" x14ac:dyDescent="0.25">
      <c r="A139" s="15">
        <v>30714318221</v>
      </c>
      <c r="B139" s="9" t="s">
        <v>156</v>
      </c>
      <c r="C139" s="22" t="s">
        <v>12</v>
      </c>
    </row>
    <row r="140" spans="1:3" x14ac:dyDescent="0.25">
      <c r="A140" s="15">
        <v>20083442612</v>
      </c>
      <c r="B140" s="9" t="s">
        <v>157</v>
      </c>
      <c r="C140" s="22" t="s">
        <v>12</v>
      </c>
    </row>
    <row r="141" spans="1:3" x14ac:dyDescent="0.25">
      <c r="A141" s="31">
        <v>30537882871</v>
      </c>
      <c r="B141" s="17" t="s">
        <v>158</v>
      </c>
      <c r="C141" s="22" t="s">
        <v>26</v>
      </c>
    </row>
    <row r="142" spans="1:3" x14ac:dyDescent="0.25">
      <c r="A142" s="15">
        <v>30593630338</v>
      </c>
      <c r="B142" s="9" t="s">
        <v>159</v>
      </c>
      <c r="C142" s="22" t="s">
        <v>12</v>
      </c>
    </row>
    <row r="143" spans="1:3" x14ac:dyDescent="0.25">
      <c r="A143" s="15">
        <v>30696676026</v>
      </c>
      <c r="B143" s="9" t="s">
        <v>160</v>
      </c>
      <c r="C143" s="22" t="s">
        <v>9</v>
      </c>
    </row>
    <row r="144" spans="1:3" x14ac:dyDescent="0.25">
      <c r="A144" s="15">
        <v>30686489325</v>
      </c>
      <c r="B144" s="9" t="s">
        <v>161</v>
      </c>
      <c r="C144" s="22" t="s">
        <v>12</v>
      </c>
    </row>
    <row r="145" spans="1:3" x14ac:dyDescent="0.25">
      <c r="A145" s="15">
        <v>30709131865</v>
      </c>
      <c r="B145" s="9" t="s">
        <v>162</v>
      </c>
      <c r="C145" s="22" t="s">
        <v>12</v>
      </c>
    </row>
    <row r="146" spans="1:3" x14ac:dyDescent="0.25">
      <c r="A146" s="32">
        <v>20259499632</v>
      </c>
      <c r="B146" s="9" t="s">
        <v>163</v>
      </c>
      <c r="C146" s="22" t="s">
        <v>164</v>
      </c>
    </row>
    <row r="147" spans="1:3" x14ac:dyDescent="0.25">
      <c r="A147" s="15">
        <v>30588092468</v>
      </c>
      <c r="B147" s="9" t="s">
        <v>165</v>
      </c>
      <c r="C147" s="22" t="s">
        <v>12</v>
      </c>
    </row>
    <row r="148" spans="1:3" x14ac:dyDescent="0.25">
      <c r="A148" s="15">
        <v>30707118454</v>
      </c>
      <c r="B148" s="9" t="s">
        <v>166</v>
      </c>
      <c r="C148" s="22" t="s">
        <v>7</v>
      </c>
    </row>
    <row r="149" spans="1:3" x14ac:dyDescent="0.25">
      <c r="A149" s="15">
        <v>30709368067</v>
      </c>
      <c r="B149" s="17" t="s">
        <v>167</v>
      </c>
      <c r="C149" s="22" t="s">
        <v>147</v>
      </c>
    </row>
    <row r="150" spans="1:3" x14ac:dyDescent="0.25">
      <c r="A150" s="15">
        <v>20140958213</v>
      </c>
      <c r="B150" s="9" t="s">
        <v>168</v>
      </c>
      <c r="C150" s="22" t="s">
        <v>9</v>
      </c>
    </row>
    <row r="151" spans="1:3" x14ac:dyDescent="0.25">
      <c r="A151" s="15">
        <v>30659276964</v>
      </c>
      <c r="B151" s="9" t="s">
        <v>169</v>
      </c>
      <c r="C151" s="22" t="s">
        <v>170</v>
      </c>
    </row>
    <row r="152" spans="1:3" x14ac:dyDescent="0.25">
      <c r="A152" s="15">
        <v>20145036101</v>
      </c>
      <c r="B152" s="9" t="s">
        <v>171</v>
      </c>
      <c r="C152" s="22" t="s">
        <v>17</v>
      </c>
    </row>
    <row r="153" spans="1:3" x14ac:dyDescent="0.25">
      <c r="A153" s="15">
        <v>30711328498</v>
      </c>
      <c r="B153" s="9" t="s">
        <v>172</v>
      </c>
      <c r="C153" s="22" t="s">
        <v>143</v>
      </c>
    </row>
    <row r="154" spans="1:3" x14ac:dyDescent="0.25">
      <c r="A154" s="15">
        <v>30715537512</v>
      </c>
      <c r="B154" s="9" t="s">
        <v>173</v>
      </c>
      <c r="C154" s="22" t="s">
        <v>12</v>
      </c>
    </row>
    <row r="155" spans="1:3" x14ac:dyDescent="0.25">
      <c r="A155" s="15">
        <v>30537679855</v>
      </c>
      <c r="B155" s="9" t="s">
        <v>174</v>
      </c>
      <c r="C155" s="22" t="s">
        <v>12</v>
      </c>
    </row>
    <row r="156" spans="1:3" x14ac:dyDescent="0.25">
      <c r="A156" s="16" t="s">
        <v>175</v>
      </c>
      <c r="B156" s="33" t="s">
        <v>176</v>
      </c>
      <c r="C156" s="22" t="s">
        <v>17</v>
      </c>
    </row>
    <row r="157" spans="1:3" x14ac:dyDescent="0.25">
      <c r="A157" s="8">
        <v>30708542349</v>
      </c>
      <c r="B157" s="9" t="s">
        <v>177</v>
      </c>
      <c r="C157" s="22" t="s">
        <v>17</v>
      </c>
    </row>
    <row r="158" spans="1:3" x14ac:dyDescent="0.25">
      <c r="A158" s="25">
        <v>30526582884</v>
      </c>
      <c r="B158" s="9" t="s">
        <v>178</v>
      </c>
      <c r="C158" s="22" t="s">
        <v>17</v>
      </c>
    </row>
    <row r="159" spans="1:3" x14ac:dyDescent="0.25">
      <c r="A159" s="15">
        <v>30577744579</v>
      </c>
      <c r="B159" s="9" t="s">
        <v>179</v>
      </c>
      <c r="C159" s="22" t="s">
        <v>17</v>
      </c>
    </row>
    <row r="160" spans="1:3" x14ac:dyDescent="0.25">
      <c r="A160" s="15">
        <v>30715949292</v>
      </c>
      <c r="B160" s="9" t="s">
        <v>180</v>
      </c>
      <c r="C160" s="22" t="s">
        <v>23</v>
      </c>
    </row>
    <row r="161" spans="1:3" x14ac:dyDescent="0.25">
      <c r="A161" s="32">
        <v>30715980807</v>
      </c>
      <c r="B161" s="9" t="s">
        <v>181</v>
      </c>
      <c r="C161" s="22" t="s">
        <v>9</v>
      </c>
    </row>
    <row r="162" spans="1:3" x14ac:dyDescent="0.25">
      <c r="A162" s="8">
        <v>20359718765</v>
      </c>
      <c r="B162" s="9" t="s">
        <v>182</v>
      </c>
      <c r="C162" s="22" t="s">
        <v>12</v>
      </c>
    </row>
    <row r="163" spans="1:3" x14ac:dyDescent="0.25">
      <c r="A163" s="15">
        <v>30643518364</v>
      </c>
      <c r="B163" s="9" t="s">
        <v>183</v>
      </c>
      <c r="C163" s="22" t="s">
        <v>9</v>
      </c>
    </row>
    <row r="164" spans="1:3" x14ac:dyDescent="0.25">
      <c r="A164" s="15">
        <v>30692138747</v>
      </c>
      <c r="B164" s="9" t="s">
        <v>184</v>
      </c>
      <c r="C164" s="22" t="s">
        <v>12</v>
      </c>
    </row>
    <row r="165" spans="1:3" x14ac:dyDescent="0.25">
      <c r="A165" s="25">
        <v>33712234429</v>
      </c>
      <c r="B165" s="9" t="s">
        <v>185</v>
      </c>
      <c r="C165" s="22" t="s">
        <v>12</v>
      </c>
    </row>
    <row r="166" spans="1:3" x14ac:dyDescent="0.25">
      <c r="A166" s="15">
        <v>20353576012</v>
      </c>
      <c r="B166" s="9" t="s">
        <v>186</v>
      </c>
      <c r="C166" s="22" t="s">
        <v>12</v>
      </c>
    </row>
    <row r="167" spans="1:3" x14ac:dyDescent="0.25">
      <c r="A167" s="15">
        <v>20343766441</v>
      </c>
      <c r="B167" s="9" t="s">
        <v>187</v>
      </c>
      <c r="C167" s="22" t="s">
        <v>188</v>
      </c>
    </row>
    <row r="168" spans="1:3" x14ac:dyDescent="0.25">
      <c r="A168" s="31">
        <v>27062343449</v>
      </c>
      <c r="B168" s="17" t="s">
        <v>189</v>
      </c>
      <c r="C168" s="22" t="s">
        <v>17</v>
      </c>
    </row>
    <row r="169" spans="1:3" x14ac:dyDescent="0.25">
      <c r="A169" s="15">
        <v>30676642230</v>
      </c>
      <c r="B169" s="9" t="s">
        <v>190</v>
      </c>
      <c r="C169" s="22" t="s">
        <v>12</v>
      </c>
    </row>
    <row r="170" spans="1:3" x14ac:dyDescent="0.25">
      <c r="A170" s="15">
        <v>30709453293</v>
      </c>
      <c r="B170" s="9" t="s">
        <v>191</v>
      </c>
      <c r="C170" s="22" t="s">
        <v>12</v>
      </c>
    </row>
    <row r="171" spans="1:3" x14ac:dyDescent="0.25">
      <c r="A171" s="25">
        <v>30714690554</v>
      </c>
      <c r="B171" s="9" t="s">
        <v>192</v>
      </c>
      <c r="C171" s="22" t="s">
        <v>12</v>
      </c>
    </row>
    <row r="172" spans="1:3" x14ac:dyDescent="0.25">
      <c r="A172" s="15">
        <v>30716620634</v>
      </c>
      <c r="B172" s="9" t="s">
        <v>193</v>
      </c>
      <c r="C172" s="22" t="s">
        <v>12</v>
      </c>
    </row>
    <row r="173" spans="1:3" x14ac:dyDescent="0.25">
      <c r="A173" s="25">
        <v>30705466021</v>
      </c>
      <c r="B173" s="9" t="s">
        <v>194</v>
      </c>
      <c r="C173" s="22" t="s">
        <v>9</v>
      </c>
    </row>
    <row r="174" spans="1:3" x14ac:dyDescent="0.25">
      <c r="A174" s="15">
        <v>27301358852</v>
      </c>
      <c r="B174" s="9" t="s">
        <v>195</v>
      </c>
      <c r="C174" s="22" t="s">
        <v>17</v>
      </c>
    </row>
    <row r="175" spans="1:3" x14ac:dyDescent="0.25">
      <c r="A175" s="15">
        <v>20314536852</v>
      </c>
      <c r="B175" s="9" t="s">
        <v>196</v>
      </c>
      <c r="C175" s="22" t="s">
        <v>17</v>
      </c>
    </row>
    <row r="176" spans="1:3" x14ac:dyDescent="0.25">
      <c r="A176" s="15">
        <v>30710657250</v>
      </c>
      <c r="B176" s="9" t="s">
        <v>197</v>
      </c>
      <c r="C176" s="22" t="s">
        <v>12</v>
      </c>
    </row>
    <row r="177" spans="1:3" x14ac:dyDescent="0.25">
      <c r="A177" s="31">
        <v>30657418877</v>
      </c>
      <c r="B177" s="17" t="s">
        <v>198</v>
      </c>
      <c r="C177" s="22" t="s">
        <v>7</v>
      </c>
    </row>
    <row r="178" spans="1:3" x14ac:dyDescent="0.25">
      <c r="A178" s="15">
        <v>30708049928</v>
      </c>
      <c r="B178" s="9" t="s">
        <v>199</v>
      </c>
      <c r="C178" s="22" t="s">
        <v>7</v>
      </c>
    </row>
    <row r="179" spans="1:3" x14ac:dyDescent="0.25">
      <c r="A179" s="15">
        <v>20284183534</v>
      </c>
      <c r="B179" s="9" t="s">
        <v>200</v>
      </c>
      <c r="C179" s="22" t="s">
        <v>12</v>
      </c>
    </row>
    <row r="180" spans="1:3" x14ac:dyDescent="0.25">
      <c r="A180" s="32">
        <v>20115545397</v>
      </c>
      <c r="B180" s="17" t="s">
        <v>201</v>
      </c>
      <c r="C180" s="22" t="s">
        <v>147</v>
      </c>
    </row>
    <row r="181" spans="1:3" x14ac:dyDescent="0.25">
      <c r="A181" s="15">
        <v>20211408511</v>
      </c>
      <c r="B181" s="9" t="s">
        <v>202</v>
      </c>
      <c r="C181" s="22" t="s">
        <v>12</v>
      </c>
    </row>
    <row r="182" spans="1:3" x14ac:dyDescent="0.25">
      <c r="A182" s="32">
        <v>27242941301</v>
      </c>
      <c r="B182" s="9" t="s">
        <v>203</v>
      </c>
      <c r="C182" s="22" t="s">
        <v>39</v>
      </c>
    </row>
    <row r="183" spans="1:3" x14ac:dyDescent="0.25">
      <c r="A183" s="15">
        <v>20344800473</v>
      </c>
      <c r="B183" s="9" t="s">
        <v>204</v>
      </c>
      <c r="C183" s="22" t="s">
        <v>9</v>
      </c>
    </row>
    <row r="184" spans="1:3" x14ac:dyDescent="0.25">
      <c r="A184" s="28">
        <v>27204269527</v>
      </c>
      <c r="B184" s="9" t="s">
        <v>205</v>
      </c>
      <c r="C184" s="22" t="s">
        <v>147</v>
      </c>
    </row>
    <row r="185" spans="1:3" x14ac:dyDescent="0.25">
      <c r="A185" s="15">
        <v>30522428163</v>
      </c>
      <c r="B185" s="9" t="s">
        <v>206</v>
      </c>
      <c r="C185" s="22" t="s">
        <v>7</v>
      </c>
    </row>
    <row r="186" spans="1:3" x14ac:dyDescent="0.25">
      <c r="A186" s="15">
        <v>30685228501</v>
      </c>
      <c r="B186" s="17" t="s">
        <v>207</v>
      </c>
      <c r="C186" s="22" t="s">
        <v>7</v>
      </c>
    </row>
    <row r="187" spans="1:3" x14ac:dyDescent="0.25">
      <c r="A187" s="15">
        <v>27061922984</v>
      </c>
      <c r="B187" s="9" t="s">
        <v>208</v>
      </c>
      <c r="C187" s="22" t="s">
        <v>9</v>
      </c>
    </row>
    <row r="188" spans="1:3" x14ac:dyDescent="0.25">
      <c r="A188" s="15">
        <v>27121544917</v>
      </c>
      <c r="B188" s="9" t="s">
        <v>209</v>
      </c>
      <c r="C188" s="22" t="s">
        <v>39</v>
      </c>
    </row>
    <row r="189" spans="1:3" x14ac:dyDescent="0.25">
      <c r="A189" s="15">
        <v>30715567578</v>
      </c>
      <c r="B189" s="9" t="s">
        <v>210</v>
      </c>
      <c r="C189" s="22" t="s">
        <v>12</v>
      </c>
    </row>
    <row r="190" spans="1:3" x14ac:dyDescent="0.25">
      <c r="A190" s="15">
        <v>20186809565</v>
      </c>
      <c r="B190" s="9" t="s">
        <v>211</v>
      </c>
      <c r="C190" s="22" t="s">
        <v>9</v>
      </c>
    </row>
    <row r="191" spans="1:3" x14ac:dyDescent="0.25">
      <c r="A191" s="15">
        <v>23405137119</v>
      </c>
      <c r="B191" s="9" t="s">
        <v>212</v>
      </c>
      <c r="C191" s="22" t="s">
        <v>17</v>
      </c>
    </row>
    <row r="192" spans="1:3" x14ac:dyDescent="0.25">
      <c r="A192" s="15">
        <v>30594549712</v>
      </c>
      <c r="B192" s="9" t="s">
        <v>213</v>
      </c>
      <c r="C192" s="22" t="s">
        <v>12</v>
      </c>
    </row>
    <row r="193" spans="1:3" x14ac:dyDescent="0.25">
      <c r="A193" s="31">
        <v>30708855975</v>
      </c>
      <c r="B193" s="9" t="s">
        <v>214</v>
      </c>
      <c r="C193" s="22" t="s">
        <v>9</v>
      </c>
    </row>
    <row r="194" spans="1:3" x14ac:dyDescent="0.25">
      <c r="A194" s="28">
        <v>30546694263</v>
      </c>
      <c r="B194" s="9" t="s">
        <v>215</v>
      </c>
      <c r="C194" s="22" t="s">
        <v>7</v>
      </c>
    </row>
    <row r="195" spans="1:3" x14ac:dyDescent="0.25">
      <c r="A195" s="15">
        <v>30709737348</v>
      </c>
      <c r="B195" s="9" t="s">
        <v>216</v>
      </c>
      <c r="C195" s="22" t="s">
        <v>9</v>
      </c>
    </row>
    <row r="196" spans="1:3" x14ac:dyDescent="0.25">
      <c r="A196" s="15">
        <v>30690212265</v>
      </c>
      <c r="B196" s="9" t="s">
        <v>217</v>
      </c>
      <c r="C196" s="22" t="s">
        <v>17</v>
      </c>
    </row>
    <row r="197" spans="1:3" x14ac:dyDescent="0.25">
      <c r="A197" s="15">
        <v>27304678165</v>
      </c>
      <c r="B197" s="9" t="s">
        <v>218</v>
      </c>
      <c r="C197" s="22" t="s">
        <v>9</v>
      </c>
    </row>
    <row r="198" spans="1:3" x14ac:dyDescent="0.25">
      <c r="A198" s="32">
        <v>30711950113</v>
      </c>
      <c r="B198" s="9" t="s">
        <v>219</v>
      </c>
      <c r="C198" s="22" t="s">
        <v>9</v>
      </c>
    </row>
    <row r="199" spans="1:3" x14ac:dyDescent="0.25">
      <c r="A199" s="15">
        <v>23076996989</v>
      </c>
      <c r="B199" s="9" t="s">
        <v>220</v>
      </c>
      <c r="C199" s="22" t="s">
        <v>12</v>
      </c>
    </row>
    <row r="200" spans="1:3" x14ac:dyDescent="0.25">
      <c r="A200" s="25">
        <v>33709997489</v>
      </c>
      <c r="B200" s="9" t="s">
        <v>221</v>
      </c>
      <c r="C200" s="22" t="s">
        <v>9</v>
      </c>
    </row>
    <row r="201" spans="1:3" x14ac:dyDescent="0.25">
      <c r="A201" s="15">
        <v>30715621866</v>
      </c>
      <c r="B201" s="9" t="s">
        <v>222</v>
      </c>
      <c r="C201" s="22" t="s">
        <v>23</v>
      </c>
    </row>
    <row r="202" spans="1:3" x14ac:dyDescent="0.25">
      <c r="A202" s="15">
        <v>33710427629</v>
      </c>
      <c r="B202" s="9" t="s">
        <v>223</v>
      </c>
      <c r="C202" s="22" t="s">
        <v>17</v>
      </c>
    </row>
    <row r="203" spans="1:3" x14ac:dyDescent="0.25">
      <c r="A203" s="15">
        <v>20323836427</v>
      </c>
      <c r="B203" s="9" t="s">
        <v>224</v>
      </c>
      <c r="C203" s="22" t="s">
        <v>9</v>
      </c>
    </row>
    <row r="204" spans="1:3" x14ac:dyDescent="0.25">
      <c r="A204" s="32">
        <v>20292887648</v>
      </c>
      <c r="B204" s="9" t="s">
        <v>225</v>
      </c>
      <c r="C204" s="22" t="s">
        <v>9</v>
      </c>
    </row>
    <row r="205" spans="1:3" x14ac:dyDescent="0.25">
      <c r="A205" s="15">
        <v>20077028545</v>
      </c>
      <c r="B205" s="9" t="s">
        <v>226</v>
      </c>
      <c r="C205" s="22" t="s">
        <v>12</v>
      </c>
    </row>
    <row r="206" spans="1:3" x14ac:dyDescent="0.25">
      <c r="A206" s="15">
        <v>20410525888</v>
      </c>
      <c r="B206" s="9" t="s">
        <v>227</v>
      </c>
      <c r="C206" s="22" t="s">
        <v>9</v>
      </c>
    </row>
    <row r="207" spans="1:3" x14ac:dyDescent="0.25">
      <c r="A207" s="15">
        <v>20239531963</v>
      </c>
      <c r="B207" s="9" t="s">
        <v>228</v>
      </c>
      <c r="C207" s="22" t="s">
        <v>9</v>
      </c>
    </row>
    <row r="208" spans="1:3" x14ac:dyDescent="0.25">
      <c r="A208" s="28">
        <v>23920485979</v>
      </c>
      <c r="B208" s="9" t="s">
        <v>229</v>
      </c>
      <c r="C208" s="22" t="s">
        <v>9</v>
      </c>
    </row>
    <row r="209" spans="1:3" x14ac:dyDescent="0.25">
      <c r="A209" s="15">
        <v>30714432865</v>
      </c>
      <c r="B209" s="9" t="s">
        <v>230</v>
      </c>
      <c r="C209" s="22" t="s">
        <v>12</v>
      </c>
    </row>
    <row r="210" spans="1:3" x14ac:dyDescent="0.25">
      <c r="A210" s="15">
        <v>27365928016</v>
      </c>
      <c r="B210" s="9" t="s">
        <v>231</v>
      </c>
      <c r="C210" s="22" t="s">
        <v>188</v>
      </c>
    </row>
    <row r="211" spans="1:3" x14ac:dyDescent="0.25">
      <c r="A211" s="25">
        <v>30712097600</v>
      </c>
      <c r="B211" s="9" t="s">
        <v>232</v>
      </c>
      <c r="C211" s="22" t="s">
        <v>12</v>
      </c>
    </row>
    <row r="212" spans="1:3" x14ac:dyDescent="0.25">
      <c r="A212" s="15">
        <v>30712778403</v>
      </c>
      <c r="B212" s="17" t="s">
        <v>233</v>
      </c>
      <c r="C212" s="22" t="s">
        <v>147</v>
      </c>
    </row>
    <row r="213" spans="1:3" x14ac:dyDescent="0.25">
      <c r="A213" s="25">
        <v>20181426846</v>
      </c>
      <c r="B213" s="9" t="s">
        <v>234</v>
      </c>
      <c r="C213" s="22" t="s">
        <v>12</v>
      </c>
    </row>
    <row r="214" spans="1:3" x14ac:dyDescent="0.25">
      <c r="A214" s="15">
        <v>30663498513</v>
      </c>
      <c r="B214" s="9" t="s">
        <v>235</v>
      </c>
      <c r="C214" s="23" t="s">
        <v>49</v>
      </c>
    </row>
    <row r="215" spans="1:3" x14ac:dyDescent="0.25">
      <c r="A215" s="25">
        <v>30671637689</v>
      </c>
      <c r="B215" s="9" t="s">
        <v>236</v>
      </c>
      <c r="C215" s="22" t="s">
        <v>12</v>
      </c>
    </row>
    <row r="216" spans="1:3" x14ac:dyDescent="0.25">
      <c r="A216" s="15">
        <v>27147827682</v>
      </c>
      <c r="B216" s="17" t="s">
        <v>237</v>
      </c>
      <c r="C216" s="22" t="s">
        <v>39</v>
      </c>
    </row>
    <row r="217" spans="1:3" x14ac:dyDescent="0.25">
      <c r="A217" s="15">
        <v>23175716009</v>
      </c>
      <c r="B217" s="9" t="s">
        <v>238</v>
      </c>
      <c r="C217" s="22" t="s">
        <v>17</v>
      </c>
    </row>
    <row r="218" spans="1:3" x14ac:dyDescent="0.25">
      <c r="A218" s="15">
        <v>30715210904</v>
      </c>
      <c r="B218" s="9" t="s">
        <v>239</v>
      </c>
      <c r="C218" s="22" t="s">
        <v>9</v>
      </c>
    </row>
    <row r="219" spans="1:3" x14ac:dyDescent="0.25">
      <c r="A219" s="15">
        <v>30716770881</v>
      </c>
      <c r="B219" s="9" t="s">
        <v>240</v>
      </c>
      <c r="C219" s="22" t="s">
        <v>12</v>
      </c>
    </row>
    <row r="220" spans="1:3" x14ac:dyDescent="0.25">
      <c r="A220" s="15">
        <v>30710538014</v>
      </c>
      <c r="B220" s="9" t="s">
        <v>241</v>
      </c>
      <c r="C220" s="22" t="s">
        <v>7</v>
      </c>
    </row>
    <row r="221" spans="1:3" x14ac:dyDescent="0.25">
      <c r="A221" s="25">
        <v>20351722585</v>
      </c>
      <c r="B221" s="9" t="s">
        <v>242</v>
      </c>
      <c r="C221" s="22" t="s">
        <v>9</v>
      </c>
    </row>
    <row r="222" spans="1:3" x14ac:dyDescent="0.25">
      <c r="A222" s="25">
        <v>27165813893</v>
      </c>
      <c r="B222" s="9" t="s">
        <v>243</v>
      </c>
      <c r="C222" s="22" t="s">
        <v>9</v>
      </c>
    </row>
    <row r="223" spans="1:3" x14ac:dyDescent="0.25">
      <c r="A223" s="8">
        <v>23219640269</v>
      </c>
      <c r="B223" s="9" t="s">
        <v>244</v>
      </c>
      <c r="C223" s="22" t="s">
        <v>9</v>
      </c>
    </row>
    <row r="224" spans="1:3" x14ac:dyDescent="0.25">
      <c r="A224" s="15">
        <v>30710095171</v>
      </c>
      <c r="B224" s="9" t="s">
        <v>245</v>
      </c>
      <c r="C224" s="22" t="s">
        <v>9</v>
      </c>
    </row>
    <row r="225" spans="1:3" x14ac:dyDescent="0.25">
      <c r="A225" s="15">
        <v>20295867931</v>
      </c>
      <c r="B225" s="9" t="s">
        <v>246</v>
      </c>
      <c r="C225" s="22" t="s">
        <v>12</v>
      </c>
    </row>
    <row r="226" spans="1:3" x14ac:dyDescent="0.25">
      <c r="A226" s="15">
        <v>20361556691</v>
      </c>
      <c r="B226" s="9" t="s">
        <v>247</v>
      </c>
      <c r="C226" s="22" t="s">
        <v>12</v>
      </c>
    </row>
    <row r="227" spans="1:3" x14ac:dyDescent="0.25">
      <c r="A227" s="15">
        <v>20313759246</v>
      </c>
      <c r="B227" s="17" t="s">
        <v>248</v>
      </c>
      <c r="C227" s="22" t="s">
        <v>249</v>
      </c>
    </row>
    <row r="228" spans="1:3" x14ac:dyDescent="0.25">
      <c r="A228" s="15">
        <v>20186310838</v>
      </c>
      <c r="B228" s="9" t="s">
        <v>250</v>
      </c>
      <c r="C228" s="22" t="s">
        <v>9</v>
      </c>
    </row>
    <row r="229" spans="1:3" x14ac:dyDescent="0.25">
      <c r="A229" s="15">
        <v>30576630057</v>
      </c>
      <c r="B229" s="9" t="s">
        <v>251</v>
      </c>
      <c r="C229" s="22" t="s">
        <v>12</v>
      </c>
    </row>
    <row r="230" spans="1:3" x14ac:dyDescent="0.25">
      <c r="A230" s="31">
        <v>30714122718</v>
      </c>
      <c r="B230" s="9" t="s">
        <v>252</v>
      </c>
      <c r="C230" s="22" t="s">
        <v>9</v>
      </c>
    </row>
    <row r="231" spans="1:3" x14ac:dyDescent="0.25">
      <c r="A231" s="28">
        <v>30714696153</v>
      </c>
      <c r="B231" s="9" t="s">
        <v>253</v>
      </c>
      <c r="C231" s="22" t="s">
        <v>9</v>
      </c>
    </row>
    <row r="232" spans="1:3" x14ac:dyDescent="0.25">
      <c r="A232" s="15">
        <v>20242126158</v>
      </c>
      <c r="B232" s="9" t="s">
        <v>254</v>
      </c>
      <c r="C232" s="22" t="s">
        <v>9</v>
      </c>
    </row>
    <row r="233" spans="1:3" x14ac:dyDescent="0.25">
      <c r="A233" s="15">
        <v>20309759444</v>
      </c>
      <c r="B233" s="9" t="s">
        <v>255</v>
      </c>
      <c r="C233" s="22" t="s">
        <v>9</v>
      </c>
    </row>
    <row r="234" spans="1:3" x14ac:dyDescent="0.25">
      <c r="A234" s="15">
        <v>30712289046</v>
      </c>
      <c r="B234" s="9" t="s">
        <v>256</v>
      </c>
      <c r="C234" s="22" t="s">
        <v>12</v>
      </c>
    </row>
    <row r="235" spans="1:3" x14ac:dyDescent="0.25">
      <c r="A235" s="15">
        <v>30687310434</v>
      </c>
      <c r="B235" s="9" t="s">
        <v>257</v>
      </c>
      <c r="C235" s="22" t="s">
        <v>12</v>
      </c>
    </row>
    <row r="236" spans="1:3" x14ac:dyDescent="0.25">
      <c r="A236" s="15">
        <v>30687310434</v>
      </c>
      <c r="B236" s="9" t="s">
        <v>258</v>
      </c>
      <c r="C236" s="22" t="s">
        <v>12</v>
      </c>
    </row>
    <row r="237" spans="1:3" x14ac:dyDescent="0.25">
      <c r="A237" s="15">
        <v>30515800219</v>
      </c>
      <c r="B237" s="9" t="s">
        <v>259</v>
      </c>
      <c r="C237" s="22" t="s">
        <v>12</v>
      </c>
    </row>
    <row r="238" spans="1:3" x14ac:dyDescent="0.25">
      <c r="A238" s="15">
        <v>30651822021</v>
      </c>
      <c r="B238" s="9" t="s">
        <v>260</v>
      </c>
      <c r="C238" s="22" t="s">
        <v>9</v>
      </c>
    </row>
    <row r="239" spans="1:3" x14ac:dyDescent="0.25">
      <c r="A239" s="31">
        <v>30598739540</v>
      </c>
      <c r="B239" s="17" t="s">
        <v>261</v>
      </c>
      <c r="C239" s="22" t="s">
        <v>7</v>
      </c>
    </row>
    <row r="240" spans="1:3" x14ac:dyDescent="0.25">
      <c r="A240" s="25">
        <v>30554807301</v>
      </c>
      <c r="B240" s="9" t="s">
        <v>262</v>
      </c>
      <c r="C240" s="22" t="s">
        <v>12</v>
      </c>
    </row>
    <row r="241" spans="1:3" x14ac:dyDescent="0.25">
      <c r="A241" s="15">
        <v>30697558868</v>
      </c>
      <c r="B241" s="9" t="s">
        <v>263</v>
      </c>
      <c r="C241" s="22" t="s">
        <v>7</v>
      </c>
    </row>
    <row r="242" spans="1:3" x14ac:dyDescent="0.25">
      <c r="A242" s="15">
        <v>33708345399</v>
      </c>
      <c r="B242" s="9" t="s">
        <v>264</v>
      </c>
      <c r="C242" s="22" t="s">
        <v>9</v>
      </c>
    </row>
    <row r="243" spans="1:3" x14ac:dyDescent="0.25">
      <c r="A243" s="15">
        <v>30999077508</v>
      </c>
      <c r="B243" s="17" t="s">
        <v>265</v>
      </c>
      <c r="C243" s="22" t="s">
        <v>7</v>
      </c>
    </row>
    <row r="244" spans="1:3" x14ac:dyDescent="0.25">
      <c r="A244" s="15">
        <v>30708214813</v>
      </c>
      <c r="B244" s="9" t="s">
        <v>266</v>
      </c>
      <c r="C244" s="22" t="s">
        <v>9</v>
      </c>
    </row>
    <row r="245" spans="1:3" x14ac:dyDescent="0.25">
      <c r="A245" s="15">
        <v>23368458449</v>
      </c>
      <c r="B245" s="9" t="s">
        <v>267</v>
      </c>
      <c r="C245" s="22" t="s">
        <v>17</v>
      </c>
    </row>
    <row r="246" spans="1:3" x14ac:dyDescent="0.25">
      <c r="A246" s="15">
        <v>30707758682</v>
      </c>
      <c r="B246" s="9" t="s">
        <v>268</v>
      </c>
      <c r="C246" s="22" t="s">
        <v>7</v>
      </c>
    </row>
    <row r="247" spans="1:3" x14ac:dyDescent="0.25">
      <c r="A247" s="31">
        <v>30712187316</v>
      </c>
      <c r="B247" s="9" t="s">
        <v>269</v>
      </c>
      <c r="C247" s="22" t="s">
        <v>9</v>
      </c>
    </row>
    <row r="248" spans="1:3" x14ac:dyDescent="0.25">
      <c r="A248" s="15">
        <v>30547076679</v>
      </c>
      <c r="B248" s="9" t="s">
        <v>270</v>
      </c>
      <c r="C248" s="22" t="s">
        <v>12</v>
      </c>
    </row>
    <row r="249" spans="1:3" x14ac:dyDescent="0.25">
      <c r="A249" s="15">
        <v>30715123483</v>
      </c>
      <c r="B249" s="9" t="s">
        <v>271</v>
      </c>
      <c r="C249" s="22" t="s">
        <v>17</v>
      </c>
    </row>
    <row r="250" spans="1:3" x14ac:dyDescent="0.25">
      <c r="A250" s="15">
        <v>30708936762</v>
      </c>
      <c r="B250" s="9" t="s">
        <v>272</v>
      </c>
      <c r="C250" s="22" t="s">
        <v>12</v>
      </c>
    </row>
    <row r="251" spans="1:3" x14ac:dyDescent="0.25">
      <c r="A251" s="15">
        <v>30715937006</v>
      </c>
      <c r="B251" s="9" t="s">
        <v>273</v>
      </c>
      <c r="C251" s="22" t="s">
        <v>9</v>
      </c>
    </row>
    <row r="252" spans="1:3" x14ac:dyDescent="0.25">
      <c r="A252" s="15">
        <v>20167226524</v>
      </c>
      <c r="B252" s="9" t="s">
        <v>274</v>
      </c>
      <c r="C252" s="22" t="s">
        <v>12</v>
      </c>
    </row>
    <row r="253" spans="1:3" x14ac:dyDescent="0.25">
      <c r="A253" s="15">
        <v>33707660509</v>
      </c>
      <c r="B253" s="9" t="s">
        <v>275</v>
      </c>
      <c r="C253" s="22" t="s">
        <v>12</v>
      </c>
    </row>
    <row r="254" spans="1:3" x14ac:dyDescent="0.25">
      <c r="A254" s="15">
        <v>20244271740</v>
      </c>
      <c r="B254" s="9" t="s">
        <v>276</v>
      </c>
      <c r="C254" s="22" t="s">
        <v>9</v>
      </c>
    </row>
    <row r="255" spans="1:3" x14ac:dyDescent="0.25">
      <c r="A255" s="15">
        <v>20182999661</v>
      </c>
      <c r="B255" s="17" t="s">
        <v>277</v>
      </c>
      <c r="C255" s="22" t="s">
        <v>12</v>
      </c>
    </row>
    <row r="256" spans="1:3" x14ac:dyDescent="0.25">
      <c r="A256" s="15">
        <v>20924962756</v>
      </c>
      <c r="B256" s="9" t="s">
        <v>278</v>
      </c>
      <c r="C256" s="22" t="s">
        <v>9</v>
      </c>
    </row>
    <row r="257" spans="1:3" x14ac:dyDescent="0.25">
      <c r="A257" s="15">
        <v>23941647804</v>
      </c>
      <c r="B257" s="17" t="s">
        <v>279</v>
      </c>
      <c r="C257" s="22" t="s">
        <v>39</v>
      </c>
    </row>
    <row r="258" spans="1:3" x14ac:dyDescent="0.25">
      <c r="A258" s="8">
        <v>27310367813</v>
      </c>
      <c r="B258" s="9" t="s">
        <v>280</v>
      </c>
      <c r="C258" s="22" t="s">
        <v>9</v>
      </c>
    </row>
    <row r="259" spans="1:3" x14ac:dyDescent="0.25">
      <c r="A259" s="8">
        <v>30709046779</v>
      </c>
      <c r="B259" s="9" t="s">
        <v>281</v>
      </c>
      <c r="C259" s="22" t="s">
        <v>9</v>
      </c>
    </row>
    <row r="260" spans="1:3" x14ac:dyDescent="0.25">
      <c r="A260" s="8">
        <v>30711645884</v>
      </c>
      <c r="B260" s="9" t="s">
        <v>282</v>
      </c>
      <c r="C260" s="22" t="s">
        <v>12</v>
      </c>
    </row>
    <row r="261" spans="1:3" x14ac:dyDescent="0.25">
      <c r="A261" s="16">
        <v>27304914071</v>
      </c>
      <c r="B261" s="17" t="s">
        <v>283</v>
      </c>
      <c r="C261" s="22" t="s">
        <v>26</v>
      </c>
    </row>
    <row r="262" spans="1:3" x14ac:dyDescent="0.25">
      <c r="A262" s="8">
        <v>20220423655</v>
      </c>
      <c r="B262" s="17" t="s">
        <v>284</v>
      </c>
      <c r="C262" s="22" t="s">
        <v>9</v>
      </c>
    </row>
    <row r="263" spans="1:3" x14ac:dyDescent="0.25">
      <c r="A263" s="14">
        <v>20393873583</v>
      </c>
      <c r="B263" s="9" t="s">
        <v>285</v>
      </c>
      <c r="C263" s="22" t="s">
        <v>12</v>
      </c>
    </row>
    <row r="264" spans="1:3" x14ac:dyDescent="0.25">
      <c r="A264" s="8">
        <v>30525468956</v>
      </c>
      <c r="B264" s="9" t="s">
        <v>286</v>
      </c>
      <c r="C264" s="22" t="s">
        <v>9</v>
      </c>
    </row>
    <row r="265" spans="1:3" x14ac:dyDescent="0.25">
      <c r="A265" s="14">
        <v>30701950883</v>
      </c>
      <c r="B265" s="9" t="s">
        <v>287</v>
      </c>
      <c r="C265" s="22" t="s">
        <v>12</v>
      </c>
    </row>
    <row r="266" spans="1:3" x14ac:dyDescent="0.25">
      <c r="A266" s="15">
        <v>30540019297</v>
      </c>
      <c r="B266" s="9" t="s">
        <v>288</v>
      </c>
      <c r="C266" s="22" t="s">
        <v>12</v>
      </c>
    </row>
    <row r="267" spans="1:3" x14ac:dyDescent="0.25">
      <c r="A267" s="8">
        <v>30686525607</v>
      </c>
      <c r="B267" s="9" t="s">
        <v>289</v>
      </c>
      <c r="C267" s="22" t="s">
        <v>12</v>
      </c>
    </row>
    <row r="268" spans="1:3" x14ac:dyDescent="0.25">
      <c r="A268" s="15">
        <v>23945201304</v>
      </c>
      <c r="B268" s="9" t="s">
        <v>290</v>
      </c>
      <c r="C268" s="22" t="s">
        <v>9</v>
      </c>
    </row>
    <row r="269" spans="1:3" x14ac:dyDescent="0.25">
      <c r="A269" s="14">
        <v>30712019359</v>
      </c>
      <c r="B269" s="9" t="s">
        <v>291</v>
      </c>
      <c r="C269" s="22" t="s">
        <v>9</v>
      </c>
    </row>
    <row r="270" spans="1:3" x14ac:dyDescent="0.25">
      <c r="A270" s="8">
        <v>20160503336</v>
      </c>
      <c r="B270" s="9" t="s">
        <v>292</v>
      </c>
      <c r="C270" s="22" t="s">
        <v>12</v>
      </c>
    </row>
    <row r="271" spans="1:3" x14ac:dyDescent="0.25">
      <c r="A271" s="8">
        <v>27129657710</v>
      </c>
      <c r="B271" s="9" t="s">
        <v>293</v>
      </c>
      <c r="C271" s="22" t="s">
        <v>9</v>
      </c>
    </row>
    <row r="272" spans="1:3" x14ac:dyDescent="0.25">
      <c r="A272" s="32">
        <v>30711244383</v>
      </c>
      <c r="B272" s="9" t="s">
        <v>294</v>
      </c>
      <c r="C272" s="22" t="s">
        <v>7</v>
      </c>
    </row>
    <row r="273" spans="1:3" x14ac:dyDescent="0.25">
      <c r="A273" s="15">
        <v>30709879258</v>
      </c>
      <c r="B273" s="9" t="s">
        <v>295</v>
      </c>
      <c r="C273" s="22" t="s">
        <v>17</v>
      </c>
    </row>
    <row r="274" spans="1:3" x14ac:dyDescent="0.25">
      <c r="A274" s="15">
        <v>20180429388</v>
      </c>
      <c r="B274" s="9" t="s">
        <v>296</v>
      </c>
      <c r="C274" s="22" t="s">
        <v>9</v>
      </c>
    </row>
    <row r="275" spans="1:3" x14ac:dyDescent="0.25">
      <c r="A275" s="15">
        <v>30716229552</v>
      </c>
      <c r="B275" s="9" t="s">
        <v>297</v>
      </c>
      <c r="C275" s="22" t="s">
        <v>12</v>
      </c>
    </row>
    <row r="276" spans="1:3" x14ac:dyDescent="0.25">
      <c r="A276" s="15">
        <v>30643700952</v>
      </c>
      <c r="B276" s="9" t="s">
        <v>298</v>
      </c>
      <c r="C276" s="22" t="s">
        <v>9</v>
      </c>
    </row>
    <row r="277" spans="1:3" x14ac:dyDescent="0.25">
      <c r="A277" s="15">
        <v>30712448586</v>
      </c>
      <c r="B277" s="9" t="s">
        <v>299</v>
      </c>
      <c r="C277" s="22" t="s">
        <v>12</v>
      </c>
    </row>
    <row r="278" spans="1:3" x14ac:dyDescent="0.25">
      <c r="A278" s="15">
        <v>20929183143</v>
      </c>
      <c r="B278" s="9" t="s">
        <v>300</v>
      </c>
      <c r="C278" s="22" t="s">
        <v>12</v>
      </c>
    </row>
    <row r="279" spans="1:3" x14ac:dyDescent="0.25">
      <c r="A279" s="28">
        <v>27385671526</v>
      </c>
      <c r="B279" s="9" t="s">
        <v>301</v>
      </c>
      <c r="C279" s="22" t="s">
        <v>9</v>
      </c>
    </row>
    <row r="280" spans="1:3" x14ac:dyDescent="0.25">
      <c r="A280" s="8">
        <v>30657715383</v>
      </c>
      <c r="B280" s="9" t="s">
        <v>302</v>
      </c>
      <c r="C280" s="22" t="s">
        <v>12</v>
      </c>
    </row>
    <row r="281" spans="1:3" x14ac:dyDescent="0.25">
      <c r="A281" s="15">
        <v>30715589032</v>
      </c>
      <c r="B281" s="9" t="s">
        <v>303</v>
      </c>
      <c r="C281" s="22" t="s">
        <v>9</v>
      </c>
    </row>
    <row r="282" spans="1:3" x14ac:dyDescent="0.25">
      <c r="A282" s="15">
        <v>27119876171</v>
      </c>
      <c r="B282" s="9" t="s">
        <v>304</v>
      </c>
      <c r="C282" s="22" t="s">
        <v>7</v>
      </c>
    </row>
    <row r="283" spans="1:3" x14ac:dyDescent="0.25">
      <c r="A283" s="15">
        <v>33708218699</v>
      </c>
      <c r="B283" s="9" t="s">
        <v>305</v>
      </c>
      <c r="C283" s="22" t="s">
        <v>12</v>
      </c>
    </row>
    <row r="284" spans="1:3" x14ac:dyDescent="0.25">
      <c r="A284" s="15">
        <v>27251466756</v>
      </c>
      <c r="B284" s="9" t="s">
        <v>306</v>
      </c>
      <c r="C284" s="22" t="s">
        <v>39</v>
      </c>
    </row>
    <row r="285" spans="1:3" x14ac:dyDescent="0.25">
      <c r="A285" s="15">
        <v>27101420391</v>
      </c>
      <c r="B285" s="9" t="s">
        <v>307</v>
      </c>
      <c r="C285" s="22" t="s">
        <v>9</v>
      </c>
    </row>
    <row r="286" spans="1:3" x14ac:dyDescent="0.25">
      <c r="A286" s="15">
        <v>27228778937</v>
      </c>
      <c r="B286" s="9" t="s">
        <v>308</v>
      </c>
      <c r="C286" s="22" t="s">
        <v>9</v>
      </c>
    </row>
    <row r="287" spans="1:3" x14ac:dyDescent="0.25">
      <c r="A287" s="15">
        <v>20202134700</v>
      </c>
      <c r="B287" s="17" t="s">
        <v>309</v>
      </c>
      <c r="C287" s="22" t="s">
        <v>26</v>
      </c>
    </row>
    <row r="288" spans="1:3" x14ac:dyDescent="0.25">
      <c r="A288" s="8">
        <v>27256001980</v>
      </c>
      <c r="B288" s="9" t="s">
        <v>310</v>
      </c>
      <c r="C288" s="22" t="s">
        <v>39</v>
      </c>
    </row>
    <row r="289" spans="1:3" x14ac:dyDescent="0.25">
      <c r="A289" s="15">
        <v>30678628324</v>
      </c>
      <c r="B289" s="9" t="s">
        <v>311</v>
      </c>
      <c r="C289" s="22" t="s">
        <v>12</v>
      </c>
    </row>
    <row r="290" spans="1:3" x14ac:dyDescent="0.25">
      <c r="A290" s="25">
        <v>27232408737</v>
      </c>
      <c r="B290" s="9" t="s">
        <v>312</v>
      </c>
      <c r="C290" s="22" t="s">
        <v>12</v>
      </c>
    </row>
    <row r="291" spans="1:3" x14ac:dyDescent="0.25">
      <c r="A291" s="15">
        <v>30705740670</v>
      </c>
      <c r="B291" s="9" t="s">
        <v>313</v>
      </c>
      <c r="C291" s="22" t="s">
        <v>12</v>
      </c>
    </row>
    <row r="292" spans="1:3" x14ac:dyDescent="0.25">
      <c r="A292" s="15">
        <v>30710361351</v>
      </c>
      <c r="B292" s="9" t="s">
        <v>314</v>
      </c>
      <c r="C292" s="22" t="s">
        <v>12</v>
      </c>
    </row>
    <row r="293" spans="1:3" x14ac:dyDescent="0.25">
      <c r="A293" s="15">
        <v>30612865333</v>
      </c>
      <c r="B293" s="9" t="s">
        <v>315</v>
      </c>
      <c r="C293" s="22" t="s">
        <v>12</v>
      </c>
    </row>
    <row r="294" spans="1:3" x14ac:dyDescent="0.25">
      <c r="A294" s="15">
        <v>30707042679</v>
      </c>
      <c r="B294" s="9" t="s">
        <v>316</v>
      </c>
      <c r="C294" s="22" t="s">
        <v>9</v>
      </c>
    </row>
    <row r="295" spans="1:3" x14ac:dyDescent="0.25">
      <c r="A295" s="25">
        <v>30710912579</v>
      </c>
      <c r="B295" s="9" t="s">
        <v>317</v>
      </c>
      <c r="C295" s="22" t="s">
        <v>9</v>
      </c>
    </row>
    <row r="296" spans="1:3" x14ac:dyDescent="0.25">
      <c r="A296" s="8">
        <v>30658035033</v>
      </c>
      <c r="B296" s="9" t="s">
        <v>318</v>
      </c>
      <c r="C296" s="22" t="s">
        <v>7</v>
      </c>
    </row>
    <row r="297" spans="1:3" x14ac:dyDescent="0.25">
      <c r="A297" s="8">
        <v>30546771314</v>
      </c>
      <c r="B297" s="9" t="s">
        <v>319</v>
      </c>
      <c r="C297" s="22" t="s">
        <v>7</v>
      </c>
    </row>
    <row r="298" spans="1:3" x14ac:dyDescent="0.25">
      <c r="A298" s="8">
        <v>20299835260</v>
      </c>
      <c r="B298" s="9" t="s">
        <v>320</v>
      </c>
      <c r="C298" s="22" t="s">
        <v>9</v>
      </c>
    </row>
    <row r="299" spans="1:3" x14ac:dyDescent="0.25">
      <c r="A299" s="8">
        <v>30710816049</v>
      </c>
      <c r="B299" s="9" t="s">
        <v>321</v>
      </c>
      <c r="C299" s="22" t="s">
        <v>9</v>
      </c>
    </row>
    <row r="300" spans="1:3" x14ac:dyDescent="0.25">
      <c r="A300" s="8">
        <v>30703088534</v>
      </c>
      <c r="B300" s="9" t="s">
        <v>322</v>
      </c>
      <c r="C300" s="22" t="s">
        <v>9</v>
      </c>
    </row>
    <row r="301" spans="1:3" x14ac:dyDescent="0.25">
      <c r="A301" s="15">
        <v>30711350213</v>
      </c>
      <c r="B301" s="9" t="s">
        <v>323</v>
      </c>
      <c r="C301" s="22" t="s">
        <v>9</v>
      </c>
    </row>
    <row r="302" spans="1:3" x14ac:dyDescent="0.25">
      <c r="A302" s="15">
        <v>30709016012</v>
      </c>
      <c r="B302" s="9" t="s">
        <v>324</v>
      </c>
      <c r="C302" s="22" t="s">
        <v>7</v>
      </c>
    </row>
    <row r="303" spans="1:3" x14ac:dyDescent="0.25">
      <c r="A303" s="8">
        <v>20182095215</v>
      </c>
      <c r="B303" s="9" t="s">
        <v>325</v>
      </c>
      <c r="C303" s="22" t="s">
        <v>326</v>
      </c>
    </row>
    <row r="304" spans="1:3" x14ac:dyDescent="0.25">
      <c r="A304" s="20">
        <v>20265153209</v>
      </c>
      <c r="B304" s="9" t="s">
        <v>327</v>
      </c>
      <c r="C304" s="22" t="s">
        <v>17</v>
      </c>
    </row>
    <row r="305" spans="1:3" x14ac:dyDescent="0.25">
      <c r="A305" s="8">
        <v>30685116657</v>
      </c>
      <c r="B305" s="9" t="s">
        <v>328</v>
      </c>
      <c r="C305" s="22" t="s">
        <v>12</v>
      </c>
    </row>
    <row r="306" spans="1:3" x14ac:dyDescent="0.25">
      <c r="A306" s="8">
        <v>30715224468</v>
      </c>
      <c r="B306" s="9" t="s">
        <v>329</v>
      </c>
      <c r="C306" s="22" t="s">
        <v>9</v>
      </c>
    </row>
    <row r="307" spans="1:3" x14ac:dyDescent="0.25">
      <c r="A307" s="18">
        <v>20291935401</v>
      </c>
      <c r="B307" s="17" t="s">
        <v>330</v>
      </c>
      <c r="C307" s="22" t="s">
        <v>9</v>
      </c>
    </row>
    <row r="308" spans="1:3" x14ac:dyDescent="0.25">
      <c r="A308" s="15">
        <v>27250643182</v>
      </c>
      <c r="B308" s="9" t="s">
        <v>331</v>
      </c>
      <c r="C308" s="22" t="s">
        <v>12</v>
      </c>
    </row>
    <row r="309" spans="1:3" x14ac:dyDescent="0.25">
      <c r="A309" s="8">
        <v>30708150351</v>
      </c>
      <c r="B309" s="9" t="s">
        <v>332</v>
      </c>
      <c r="C309" s="22" t="s">
        <v>12</v>
      </c>
    </row>
    <row r="310" spans="1:3" x14ac:dyDescent="0.25">
      <c r="A310" s="8">
        <v>20127096733</v>
      </c>
      <c r="B310" s="9" t="s">
        <v>333</v>
      </c>
      <c r="C310" s="22" t="s">
        <v>9</v>
      </c>
    </row>
    <row r="311" spans="1:3" x14ac:dyDescent="0.25">
      <c r="A311" s="8">
        <v>27202892936</v>
      </c>
      <c r="B311" s="9" t="s">
        <v>334</v>
      </c>
      <c r="C311" s="22" t="s">
        <v>9</v>
      </c>
    </row>
    <row r="312" spans="1:3" x14ac:dyDescent="0.25">
      <c r="A312" s="8">
        <v>30709242888</v>
      </c>
      <c r="B312" s="9" t="s">
        <v>335</v>
      </c>
      <c r="C312" s="22" t="s">
        <v>9</v>
      </c>
    </row>
    <row r="313" spans="1:3" x14ac:dyDescent="0.25">
      <c r="A313" s="8">
        <v>30708823151</v>
      </c>
      <c r="B313" s="9" t="s">
        <v>336</v>
      </c>
      <c r="C313" s="22" t="s">
        <v>9</v>
      </c>
    </row>
    <row r="314" spans="1:3" x14ac:dyDescent="0.25">
      <c r="A314" s="8">
        <v>20045461611</v>
      </c>
      <c r="B314" s="9" t="s">
        <v>337</v>
      </c>
      <c r="C314" s="22" t="s">
        <v>12</v>
      </c>
    </row>
    <row r="315" spans="1:3" x14ac:dyDescent="0.25">
      <c r="A315" s="26">
        <v>23306035444</v>
      </c>
      <c r="B315" s="9" t="s">
        <v>338</v>
      </c>
      <c r="C315" s="22" t="s">
        <v>9</v>
      </c>
    </row>
    <row r="316" spans="1:3" x14ac:dyDescent="0.25">
      <c r="A316" s="15">
        <v>20174004146</v>
      </c>
      <c r="B316" s="9" t="s">
        <v>339</v>
      </c>
      <c r="C316" s="22" t="s">
        <v>17</v>
      </c>
    </row>
    <row r="317" spans="1:3" x14ac:dyDescent="0.25">
      <c r="A317" s="15">
        <v>20334976433</v>
      </c>
      <c r="B317" s="9" t="s">
        <v>340</v>
      </c>
      <c r="C317" s="22" t="s">
        <v>17</v>
      </c>
    </row>
    <row r="318" spans="1:3" x14ac:dyDescent="0.25">
      <c r="A318" s="8">
        <v>20315107807</v>
      </c>
      <c r="B318" s="9" t="s">
        <v>341</v>
      </c>
      <c r="C318" s="22" t="s">
        <v>17</v>
      </c>
    </row>
    <row r="319" spans="1:3" x14ac:dyDescent="0.25">
      <c r="A319" s="15">
        <v>20363081755</v>
      </c>
      <c r="B319" s="9" t="s">
        <v>342</v>
      </c>
      <c r="C319" s="22" t="s">
        <v>17</v>
      </c>
    </row>
    <row r="320" spans="1:3" x14ac:dyDescent="0.25">
      <c r="A320" s="28">
        <v>20232991527</v>
      </c>
      <c r="B320" s="9" t="s">
        <v>343</v>
      </c>
      <c r="C320" s="22" t="s">
        <v>9</v>
      </c>
    </row>
    <row r="321" spans="1:3" x14ac:dyDescent="0.25">
      <c r="A321" s="15">
        <v>30715515012</v>
      </c>
      <c r="B321" s="9" t="s">
        <v>344</v>
      </c>
      <c r="C321" s="22" t="s">
        <v>23</v>
      </c>
    </row>
    <row r="322" spans="1:3" x14ac:dyDescent="0.25">
      <c r="A322" s="15">
        <v>30714773255</v>
      </c>
      <c r="B322" s="9" t="s">
        <v>345</v>
      </c>
      <c r="C322" s="22" t="s">
        <v>12</v>
      </c>
    </row>
    <row r="323" spans="1:3" x14ac:dyDescent="0.25">
      <c r="A323" s="32">
        <v>30715284142</v>
      </c>
      <c r="B323" s="9" t="s">
        <v>346</v>
      </c>
      <c r="C323" s="22" t="s">
        <v>12</v>
      </c>
    </row>
    <row r="324" spans="1:3" x14ac:dyDescent="0.25">
      <c r="A324" s="15">
        <v>30717179389</v>
      </c>
      <c r="B324" s="9" t="s">
        <v>347</v>
      </c>
      <c r="C324" s="22" t="s">
        <v>12</v>
      </c>
    </row>
    <row r="325" spans="1:3" x14ac:dyDescent="0.25">
      <c r="A325" s="15">
        <v>20171082464</v>
      </c>
      <c r="B325" s="9" t="s">
        <v>348</v>
      </c>
      <c r="C325" s="22" t="s">
        <v>12</v>
      </c>
    </row>
    <row r="326" spans="1:3" x14ac:dyDescent="0.25">
      <c r="A326" s="8">
        <v>30709318965</v>
      </c>
      <c r="B326" s="9" t="s">
        <v>349</v>
      </c>
      <c r="C326" s="22" t="s">
        <v>9</v>
      </c>
    </row>
    <row r="327" spans="1:3" x14ac:dyDescent="0.25">
      <c r="A327" s="15">
        <v>30702652975</v>
      </c>
      <c r="B327" s="9" t="s">
        <v>350</v>
      </c>
      <c r="C327" s="22" t="s">
        <v>118</v>
      </c>
    </row>
    <row r="328" spans="1:3" x14ac:dyDescent="0.25">
      <c r="A328" s="28">
        <v>30715399519</v>
      </c>
      <c r="B328" s="17" t="s">
        <v>351</v>
      </c>
      <c r="C328" s="22" t="s">
        <v>352</v>
      </c>
    </row>
    <row r="329" spans="1:3" x14ac:dyDescent="0.25">
      <c r="A329" s="15">
        <v>20222347719</v>
      </c>
      <c r="B329" s="9" t="s">
        <v>353</v>
      </c>
      <c r="C329" s="22" t="s">
        <v>12</v>
      </c>
    </row>
    <row r="330" spans="1:3" x14ac:dyDescent="0.25">
      <c r="A330" s="15">
        <v>30536259194</v>
      </c>
      <c r="B330" s="17" t="s">
        <v>354</v>
      </c>
      <c r="C330" s="22" t="s">
        <v>17</v>
      </c>
    </row>
    <row r="331" spans="1:3" x14ac:dyDescent="0.25">
      <c r="A331" s="26">
        <v>27209647252</v>
      </c>
      <c r="B331" s="9" t="s">
        <v>355</v>
      </c>
      <c r="C331" s="22" t="s">
        <v>9</v>
      </c>
    </row>
    <row r="332" spans="1:3" x14ac:dyDescent="0.25">
      <c r="A332" s="15">
        <v>30646217977</v>
      </c>
      <c r="B332" s="9" t="s">
        <v>356</v>
      </c>
      <c r="C332" s="22" t="s">
        <v>7</v>
      </c>
    </row>
    <row r="333" spans="1:3" x14ac:dyDescent="0.25">
      <c r="A333" s="15">
        <v>30500053522</v>
      </c>
      <c r="B333" s="9" t="s">
        <v>357</v>
      </c>
      <c r="C333" s="22" t="s">
        <v>7</v>
      </c>
    </row>
    <row r="334" spans="1:3" x14ac:dyDescent="0.25">
      <c r="A334" s="15">
        <v>30546846217</v>
      </c>
      <c r="B334" s="17" t="s">
        <v>358</v>
      </c>
      <c r="C334" s="22" t="s">
        <v>7</v>
      </c>
    </row>
    <row r="335" spans="1:3" x14ac:dyDescent="0.25">
      <c r="A335" s="8">
        <v>30717024393</v>
      </c>
      <c r="B335" s="9" t="s">
        <v>359</v>
      </c>
      <c r="C335" s="22" t="s">
        <v>12</v>
      </c>
    </row>
    <row r="336" spans="1:3" x14ac:dyDescent="0.25">
      <c r="A336" s="8">
        <v>27405786066</v>
      </c>
      <c r="B336" s="9" t="s">
        <v>360</v>
      </c>
      <c r="C336" s="22" t="s">
        <v>12</v>
      </c>
    </row>
    <row r="337" spans="1:3" x14ac:dyDescent="0.25">
      <c r="A337" s="8">
        <v>23383224829</v>
      </c>
      <c r="B337" s="9" t="s">
        <v>361</v>
      </c>
      <c r="C337" s="22" t="s">
        <v>39</v>
      </c>
    </row>
    <row r="338" spans="1:3" x14ac:dyDescent="0.25">
      <c r="A338" s="8">
        <v>23411502619</v>
      </c>
      <c r="B338" s="9" t="s">
        <v>362</v>
      </c>
      <c r="C338" s="22" t="s">
        <v>39</v>
      </c>
    </row>
    <row r="339" spans="1:3" x14ac:dyDescent="0.25">
      <c r="A339" s="8">
        <v>30711377944</v>
      </c>
      <c r="B339" s="9" t="s">
        <v>363</v>
      </c>
      <c r="C339" s="22" t="s">
        <v>12</v>
      </c>
    </row>
    <row r="340" spans="1:3" x14ac:dyDescent="0.25">
      <c r="A340" s="8">
        <v>30678774495</v>
      </c>
      <c r="B340" s="9" t="s">
        <v>364</v>
      </c>
      <c r="C340" s="22" t="s">
        <v>12</v>
      </c>
    </row>
    <row r="341" spans="1:3" x14ac:dyDescent="0.25">
      <c r="A341" s="8">
        <v>20238751560</v>
      </c>
      <c r="B341" s="9" t="s">
        <v>365</v>
      </c>
      <c r="C341" s="22" t="s">
        <v>12</v>
      </c>
    </row>
    <row r="342" spans="1:3" x14ac:dyDescent="0.25">
      <c r="A342" s="15">
        <v>30661143610</v>
      </c>
      <c r="B342" s="9" t="s">
        <v>366</v>
      </c>
      <c r="C342" s="22" t="s">
        <v>9</v>
      </c>
    </row>
    <row r="343" spans="1:3" x14ac:dyDescent="0.25">
      <c r="A343" s="15">
        <v>30714331082</v>
      </c>
      <c r="B343" s="9" t="s">
        <v>367</v>
      </c>
      <c r="C343" s="22" t="s">
        <v>9</v>
      </c>
    </row>
    <row r="344" spans="1:3" x14ac:dyDescent="0.25">
      <c r="A344" s="15">
        <v>33707920349</v>
      </c>
      <c r="B344" s="9" t="s">
        <v>368</v>
      </c>
      <c r="C344" s="22" t="s">
        <v>9</v>
      </c>
    </row>
    <row r="345" spans="1:3" x14ac:dyDescent="0.25">
      <c r="A345" s="25">
        <v>30661498575</v>
      </c>
      <c r="B345" s="17" t="s">
        <v>369</v>
      </c>
      <c r="C345" s="22" t="s">
        <v>9</v>
      </c>
    </row>
    <row r="346" spans="1:3" x14ac:dyDescent="0.25">
      <c r="A346" s="25">
        <v>33716711469</v>
      </c>
      <c r="B346" s="9" t="s">
        <v>370</v>
      </c>
      <c r="C346" s="22" t="s">
        <v>9</v>
      </c>
    </row>
    <row r="347" spans="1:3" x14ac:dyDescent="0.25">
      <c r="A347" s="18">
        <v>33709738459</v>
      </c>
      <c r="B347" s="9" t="s">
        <v>371</v>
      </c>
      <c r="C347" s="22" t="s">
        <v>9</v>
      </c>
    </row>
    <row r="348" spans="1:3" x14ac:dyDescent="0.25">
      <c r="A348" s="15">
        <v>30696246234</v>
      </c>
      <c r="B348" s="17" t="s">
        <v>372</v>
      </c>
      <c r="C348" s="22" t="s">
        <v>9</v>
      </c>
    </row>
    <row r="349" spans="1:3" x14ac:dyDescent="0.25">
      <c r="A349" s="15">
        <v>30565786306</v>
      </c>
      <c r="B349" s="9" t="s">
        <v>373</v>
      </c>
      <c r="C349" s="22" t="s">
        <v>7</v>
      </c>
    </row>
    <row r="350" spans="1:3" x14ac:dyDescent="0.25">
      <c r="A350" s="15">
        <v>30683032227</v>
      </c>
      <c r="B350" s="9" t="s">
        <v>374</v>
      </c>
      <c r="C350" s="22" t="s">
        <v>7</v>
      </c>
    </row>
    <row r="351" spans="1:3" x14ac:dyDescent="0.25">
      <c r="A351" s="15">
        <v>30585412453</v>
      </c>
      <c r="B351" s="9" t="s">
        <v>375</v>
      </c>
      <c r="C351" s="22" t="s">
        <v>7</v>
      </c>
    </row>
    <row r="352" spans="1:3" x14ac:dyDescent="0.25">
      <c r="A352" s="15">
        <v>30590412631</v>
      </c>
      <c r="B352" s="9" t="s">
        <v>376</v>
      </c>
      <c r="C352" s="22" t="s">
        <v>7</v>
      </c>
    </row>
    <row r="353" spans="1:3" x14ac:dyDescent="0.25">
      <c r="A353" s="15">
        <v>30546666189</v>
      </c>
      <c r="B353" s="17" t="s">
        <v>377</v>
      </c>
      <c r="C353" s="22" t="s">
        <v>7</v>
      </c>
    </row>
    <row r="354" spans="1:3" x14ac:dyDescent="0.25">
      <c r="A354" s="32">
        <v>30608716390</v>
      </c>
      <c r="B354" s="17" t="s">
        <v>378</v>
      </c>
      <c r="C354" s="22" t="s">
        <v>7</v>
      </c>
    </row>
    <row r="355" spans="1:3" x14ac:dyDescent="0.25">
      <c r="A355" s="15">
        <v>30658137642</v>
      </c>
      <c r="B355" s="17" t="s">
        <v>379</v>
      </c>
      <c r="C355" s="22" t="s">
        <v>7</v>
      </c>
    </row>
    <row r="356" spans="1:3" x14ac:dyDescent="0.25">
      <c r="A356" s="15">
        <v>30707080198</v>
      </c>
      <c r="B356" s="9" t="s">
        <v>380</v>
      </c>
      <c r="C356" s="22" t="s">
        <v>9</v>
      </c>
    </row>
    <row r="357" spans="1:3" x14ac:dyDescent="0.25">
      <c r="A357" s="31">
        <v>30643862928</v>
      </c>
      <c r="B357" s="17" t="s">
        <v>381</v>
      </c>
      <c r="C357" s="22" t="s">
        <v>9</v>
      </c>
    </row>
    <row r="358" spans="1:3" x14ac:dyDescent="0.25">
      <c r="A358" s="15">
        <v>20330614014</v>
      </c>
      <c r="B358" s="9" t="s">
        <v>382</v>
      </c>
      <c r="C358" s="22" t="s">
        <v>9</v>
      </c>
    </row>
    <row r="359" spans="1:3" x14ac:dyDescent="0.25">
      <c r="A359" s="15">
        <v>20277164192</v>
      </c>
      <c r="B359" s="17" t="s">
        <v>383</v>
      </c>
      <c r="C359" s="22" t="s">
        <v>26</v>
      </c>
    </row>
    <row r="360" spans="1:3" x14ac:dyDescent="0.25">
      <c r="A360" s="15">
        <v>20043911369</v>
      </c>
      <c r="B360" s="9" t="s">
        <v>384</v>
      </c>
      <c r="C360" s="22" t="s">
        <v>9</v>
      </c>
    </row>
    <row r="361" spans="1:3" x14ac:dyDescent="0.25">
      <c r="A361" s="15">
        <v>20275351254</v>
      </c>
      <c r="B361" s="9" t="s">
        <v>385</v>
      </c>
      <c r="C361" s="22" t="s">
        <v>9</v>
      </c>
    </row>
    <row r="362" spans="1:3" x14ac:dyDescent="0.25">
      <c r="A362" s="15">
        <v>30695542476</v>
      </c>
      <c r="B362" s="9" t="s">
        <v>386</v>
      </c>
      <c r="C362" s="22" t="s">
        <v>26</v>
      </c>
    </row>
    <row r="363" spans="1:3" x14ac:dyDescent="0.25">
      <c r="A363" s="15">
        <v>30587197215</v>
      </c>
      <c r="B363" s="9" t="s">
        <v>387</v>
      </c>
      <c r="C363" s="22" t="s">
        <v>12</v>
      </c>
    </row>
    <row r="364" spans="1:3" x14ac:dyDescent="0.25">
      <c r="A364" s="15">
        <v>30591633984</v>
      </c>
      <c r="B364" s="9" t="s">
        <v>388</v>
      </c>
      <c r="C364" s="22" t="s">
        <v>9</v>
      </c>
    </row>
    <row r="365" spans="1:3" x14ac:dyDescent="0.25">
      <c r="A365" s="15">
        <v>30716815710</v>
      </c>
      <c r="B365" s="9" t="s">
        <v>389</v>
      </c>
      <c r="C365" s="22" t="s">
        <v>147</v>
      </c>
    </row>
    <row r="366" spans="1:3" x14ac:dyDescent="0.25">
      <c r="A366" s="8">
        <v>30605041287</v>
      </c>
      <c r="B366" s="9" t="s">
        <v>390</v>
      </c>
      <c r="C366" s="22" t="s">
        <v>12</v>
      </c>
    </row>
    <row r="367" spans="1:3" x14ac:dyDescent="0.25">
      <c r="A367" s="8">
        <v>27218733803</v>
      </c>
      <c r="B367" s="9" t="s">
        <v>391</v>
      </c>
      <c r="C367" s="22" t="s">
        <v>147</v>
      </c>
    </row>
    <row r="368" spans="1:3" x14ac:dyDescent="0.25">
      <c r="A368" s="14">
        <v>33693786369</v>
      </c>
      <c r="B368" s="9" t="s">
        <v>392</v>
      </c>
      <c r="C368" s="22" t="s">
        <v>12</v>
      </c>
    </row>
    <row r="369" spans="1:3" x14ac:dyDescent="0.25">
      <c r="A369" s="8">
        <v>30627583873</v>
      </c>
      <c r="B369" s="9" t="s">
        <v>393</v>
      </c>
      <c r="C369" s="22" t="s">
        <v>12</v>
      </c>
    </row>
    <row r="370" spans="1:3" x14ac:dyDescent="0.25">
      <c r="A370" s="8">
        <v>30715413678</v>
      </c>
      <c r="B370" s="9" t="s">
        <v>394</v>
      </c>
      <c r="C370" s="22" t="s">
        <v>12</v>
      </c>
    </row>
    <row r="371" spans="1:3" x14ac:dyDescent="0.25">
      <c r="A371" s="8">
        <v>20108555417</v>
      </c>
      <c r="B371" s="9" t="s">
        <v>395</v>
      </c>
      <c r="C371" s="22" t="s">
        <v>9</v>
      </c>
    </row>
    <row r="372" spans="1:3" x14ac:dyDescent="0.25">
      <c r="A372" s="8">
        <v>20280154602</v>
      </c>
      <c r="B372" s="9" t="s">
        <v>396</v>
      </c>
      <c r="C372" s="22" t="s">
        <v>17</v>
      </c>
    </row>
    <row r="373" spans="1:3" x14ac:dyDescent="0.25">
      <c r="A373" s="20">
        <v>23282830299</v>
      </c>
      <c r="B373" s="9" t="s">
        <v>397</v>
      </c>
      <c r="C373" s="23" t="s">
        <v>9</v>
      </c>
    </row>
    <row r="374" spans="1:3" x14ac:dyDescent="0.25">
      <c r="A374" s="15">
        <v>27316249154</v>
      </c>
      <c r="B374" s="9" t="s">
        <v>398</v>
      </c>
      <c r="C374" s="22" t="s">
        <v>9</v>
      </c>
    </row>
    <row r="375" spans="1:3" x14ac:dyDescent="0.25">
      <c r="A375" s="15">
        <v>20274327678</v>
      </c>
      <c r="B375" s="9" t="s">
        <v>399</v>
      </c>
      <c r="C375" s="22" t="s">
        <v>17</v>
      </c>
    </row>
    <row r="376" spans="1:3" x14ac:dyDescent="0.25">
      <c r="A376" s="15">
        <v>27182477368</v>
      </c>
      <c r="B376" s="9" t="s">
        <v>400</v>
      </c>
      <c r="C376" s="22" t="s">
        <v>7</v>
      </c>
    </row>
    <row r="377" spans="1:3" x14ac:dyDescent="0.25">
      <c r="A377" s="15">
        <v>20307462207</v>
      </c>
      <c r="B377" s="9" t="s">
        <v>401</v>
      </c>
      <c r="C377" s="22" t="s">
        <v>12</v>
      </c>
    </row>
    <row r="378" spans="1:3" x14ac:dyDescent="0.25">
      <c r="A378" s="15">
        <v>20113613646</v>
      </c>
      <c r="B378" s="9" t="s">
        <v>402</v>
      </c>
      <c r="C378" s="22" t="s">
        <v>12</v>
      </c>
    </row>
    <row r="379" spans="1:3" x14ac:dyDescent="0.25">
      <c r="A379" s="15">
        <v>30601502085</v>
      </c>
      <c r="B379" s="9" t="s">
        <v>403</v>
      </c>
      <c r="C379" s="22" t="s">
        <v>12</v>
      </c>
    </row>
    <row r="380" spans="1:3" x14ac:dyDescent="0.25">
      <c r="A380" s="15">
        <v>20184015820</v>
      </c>
      <c r="B380" s="9" t="s">
        <v>404</v>
      </c>
      <c r="C380" s="22" t="s">
        <v>12</v>
      </c>
    </row>
    <row r="381" spans="1:3" x14ac:dyDescent="0.25">
      <c r="A381" s="15">
        <v>30646512952</v>
      </c>
      <c r="B381" s="9" t="s">
        <v>405</v>
      </c>
      <c r="C381" s="22" t="s">
        <v>12</v>
      </c>
    </row>
    <row r="382" spans="1:3" x14ac:dyDescent="0.25">
      <c r="A382" s="15">
        <v>27279386715</v>
      </c>
      <c r="B382" s="9" t="s">
        <v>406</v>
      </c>
      <c r="C382" s="22" t="s">
        <v>12</v>
      </c>
    </row>
    <row r="383" spans="1:3" x14ac:dyDescent="0.25">
      <c r="A383" s="15">
        <v>27370346742</v>
      </c>
      <c r="B383" s="9" t="s">
        <v>407</v>
      </c>
      <c r="C383" s="22" t="s">
        <v>188</v>
      </c>
    </row>
    <row r="384" spans="1:3" x14ac:dyDescent="0.25">
      <c r="A384" s="15">
        <v>20046086806</v>
      </c>
      <c r="B384" s="9" t="s">
        <v>408</v>
      </c>
      <c r="C384" s="22" t="s">
        <v>12</v>
      </c>
    </row>
    <row r="385" spans="1:3" x14ac:dyDescent="0.25">
      <c r="A385" s="28">
        <v>27265302225</v>
      </c>
      <c r="B385" s="17" t="s">
        <v>409</v>
      </c>
      <c r="C385" s="22" t="s">
        <v>9</v>
      </c>
    </row>
    <row r="386" spans="1:3" x14ac:dyDescent="0.25">
      <c r="A386" s="15">
        <v>20264653313</v>
      </c>
      <c r="B386" s="9" t="s">
        <v>410</v>
      </c>
      <c r="C386" s="22" t="s">
        <v>17</v>
      </c>
    </row>
    <row r="387" spans="1:3" x14ac:dyDescent="0.25">
      <c r="A387" s="15">
        <v>30577428618</v>
      </c>
      <c r="B387" s="9" t="s">
        <v>411</v>
      </c>
      <c r="C387" s="22" t="s">
        <v>12</v>
      </c>
    </row>
    <row r="388" spans="1:3" x14ac:dyDescent="0.25">
      <c r="A388" s="15">
        <v>30715740806</v>
      </c>
      <c r="B388" s="9" t="s">
        <v>412</v>
      </c>
      <c r="C388" s="22" t="s">
        <v>12</v>
      </c>
    </row>
    <row r="389" spans="1:3" x14ac:dyDescent="0.25">
      <c r="A389" s="15">
        <v>20362272441</v>
      </c>
      <c r="B389" s="9" t="s">
        <v>413</v>
      </c>
      <c r="C389" s="22" t="s">
        <v>9</v>
      </c>
    </row>
    <row r="390" spans="1:3" x14ac:dyDescent="0.25">
      <c r="A390" s="15">
        <v>20253804336</v>
      </c>
      <c r="B390" s="9" t="s">
        <v>414</v>
      </c>
      <c r="C390" s="22" t="s">
        <v>9</v>
      </c>
    </row>
    <row r="391" spans="1:3" x14ac:dyDescent="0.25">
      <c r="A391" s="15">
        <v>30707970010</v>
      </c>
      <c r="B391" s="9" t="s">
        <v>415</v>
      </c>
      <c r="C391" s="22" t="s">
        <v>9</v>
      </c>
    </row>
    <row r="392" spans="1:3" x14ac:dyDescent="0.25">
      <c r="A392" s="15">
        <v>27368203829</v>
      </c>
      <c r="B392" s="9" t="s">
        <v>416</v>
      </c>
      <c r="C392" s="22" t="s">
        <v>9</v>
      </c>
    </row>
    <row r="393" spans="1:3" x14ac:dyDescent="0.25">
      <c r="A393" s="15">
        <v>30709776564</v>
      </c>
      <c r="B393" s="9" t="s">
        <v>417</v>
      </c>
      <c r="C393" s="22" t="s">
        <v>418</v>
      </c>
    </row>
    <row r="394" spans="1:3" x14ac:dyDescent="0.25">
      <c r="A394" s="25">
        <v>20285597405</v>
      </c>
      <c r="B394" s="9" t="s">
        <v>419</v>
      </c>
      <c r="C394" s="22" t="s">
        <v>12</v>
      </c>
    </row>
    <row r="395" spans="1:3" x14ac:dyDescent="0.25">
      <c r="A395" s="25">
        <v>30716821478</v>
      </c>
      <c r="B395" s="9" t="s">
        <v>420</v>
      </c>
      <c r="C395" s="22" t="s">
        <v>9</v>
      </c>
    </row>
    <row r="396" spans="1:3" x14ac:dyDescent="0.25">
      <c r="A396" s="31">
        <v>20182721787</v>
      </c>
      <c r="B396" s="17" t="s">
        <v>421</v>
      </c>
      <c r="C396" s="22" t="s">
        <v>9</v>
      </c>
    </row>
    <row r="397" spans="1:3" x14ac:dyDescent="0.25">
      <c r="A397" s="15">
        <v>20289111329</v>
      </c>
      <c r="B397" s="9" t="s">
        <v>422</v>
      </c>
      <c r="C397" s="22" t="s">
        <v>9</v>
      </c>
    </row>
    <row r="398" spans="1:3" x14ac:dyDescent="0.25">
      <c r="A398" s="15">
        <v>27233748205</v>
      </c>
      <c r="B398" s="9" t="s">
        <v>423</v>
      </c>
      <c r="C398" s="22" t="s">
        <v>9</v>
      </c>
    </row>
    <row r="399" spans="1:3" x14ac:dyDescent="0.25">
      <c r="A399" s="15">
        <v>30707370552</v>
      </c>
      <c r="B399" s="9" t="s">
        <v>424</v>
      </c>
      <c r="C399" s="22" t="s">
        <v>9</v>
      </c>
    </row>
    <row r="400" spans="1:3" x14ac:dyDescent="0.25">
      <c r="A400" s="15">
        <v>20142643384</v>
      </c>
      <c r="B400" s="9" t="s">
        <v>425</v>
      </c>
      <c r="C400" s="22" t="s">
        <v>9</v>
      </c>
    </row>
    <row r="401" spans="1:3" x14ac:dyDescent="0.25">
      <c r="A401" s="15">
        <v>20202500138</v>
      </c>
      <c r="B401" s="17" t="s">
        <v>426</v>
      </c>
      <c r="C401" s="22" t="s">
        <v>23</v>
      </c>
    </row>
    <row r="402" spans="1:3" x14ac:dyDescent="0.25">
      <c r="A402" s="15">
        <v>27181965709</v>
      </c>
      <c r="B402" s="9" t="s">
        <v>427</v>
      </c>
      <c r="C402" s="22" t="s">
        <v>17</v>
      </c>
    </row>
    <row r="403" spans="1:3" x14ac:dyDescent="0.25">
      <c r="A403" s="15">
        <v>30715141201</v>
      </c>
      <c r="B403" s="9" t="s">
        <v>428</v>
      </c>
      <c r="C403" s="22" t="s">
        <v>9</v>
      </c>
    </row>
    <row r="404" spans="1:3" x14ac:dyDescent="0.25">
      <c r="A404" s="15">
        <v>30709214078</v>
      </c>
      <c r="B404" s="9" t="s">
        <v>429</v>
      </c>
      <c r="C404" s="22" t="s">
        <v>9</v>
      </c>
    </row>
    <row r="405" spans="1:3" x14ac:dyDescent="0.25">
      <c r="A405" s="31">
        <v>30711764921</v>
      </c>
      <c r="B405" s="9" t="s">
        <v>430</v>
      </c>
      <c r="C405" s="22" t="s">
        <v>9</v>
      </c>
    </row>
    <row r="406" spans="1:3" x14ac:dyDescent="0.25">
      <c r="A406" s="15">
        <v>30710473990</v>
      </c>
      <c r="B406" s="9" t="s">
        <v>431</v>
      </c>
      <c r="C406" s="22" t="s">
        <v>12</v>
      </c>
    </row>
    <row r="407" spans="1:3" x14ac:dyDescent="0.25">
      <c r="A407" s="15">
        <v>30711013969</v>
      </c>
      <c r="B407" s="9" t="s">
        <v>432</v>
      </c>
      <c r="C407" s="22" t="s">
        <v>17</v>
      </c>
    </row>
    <row r="408" spans="1:3" x14ac:dyDescent="0.25">
      <c r="A408" s="15">
        <v>20319885812</v>
      </c>
      <c r="B408" s="9" t="s">
        <v>433</v>
      </c>
      <c r="C408" s="22" t="s">
        <v>9</v>
      </c>
    </row>
    <row r="409" spans="1:3" x14ac:dyDescent="0.25">
      <c r="A409" s="15">
        <v>23106878269</v>
      </c>
      <c r="B409" s="9" t="s">
        <v>434</v>
      </c>
      <c r="C409" s="22" t="s">
        <v>9</v>
      </c>
    </row>
    <row r="410" spans="1:3" x14ac:dyDescent="0.25">
      <c r="A410" s="15">
        <v>20133694146</v>
      </c>
      <c r="B410" s="9" t="s">
        <v>435</v>
      </c>
      <c r="C410" s="22" t="s">
        <v>12</v>
      </c>
    </row>
    <row r="411" spans="1:3" x14ac:dyDescent="0.25">
      <c r="A411" s="15">
        <v>20117741398</v>
      </c>
      <c r="B411" s="9" t="s">
        <v>436</v>
      </c>
      <c r="C411" s="22" t="s">
        <v>12</v>
      </c>
    </row>
    <row r="412" spans="1:3" x14ac:dyDescent="0.25">
      <c r="A412" s="15">
        <v>33716449829</v>
      </c>
      <c r="B412" s="9" t="s">
        <v>437</v>
      </c>
      <c r="C412" s="22" t="s">
        <v>17</v>
      </c>
    </row>
    <row r="413" spans="1:3" x14ac:dyDescent="0.25">
      <c r="A413" s="25">
        <v>30642659312</v>
      </c>
      <c r="B413" s="9" t="s">
        <v>438</v>
      </c>
      <c r="C413" s="22" t="s">
        <v>9</v>
      </c>
    </row>
    <row r="414" spans="1:3" x14ac:dyDescent="0.25">
      <c r="A414" s="31">
        <v>23233422029</v>
      </c>
      <c r="B414" s="17" t="s">
        <v>439</v>
      </c>
      <c r="C414" s="22" t="s">
        <v>9</v>
      </c>
    </row>
    <row r="415" spans="1:3" x14ac:dyDescent="0.25">
      <c r="A415" s="15">
        <v>20183700805</v>
      </c>
      <c r="B415" s="9" t="s">
        <v>440</v>
      </c>
      <c r="C415" s="22" t="s">
        <v>39</v>
      </c>
    </row>
    <row r="416" spans="1:3" x14ac:dyDescent="0.25">
      <c r="A416" s="15">
        <v>27313805293</v>
      </c>
      <c r="B416" s="9" t="s">
        <v>441</v>
      </c>
      <c r="C416" s="22" t="s">
        <v>12</v>
      </c>
    </row>
    <row r="417" spans="1:3" x14ac:dyDescent="0.25">
      <c r="A417" s="15">
        <v>30708552808</v>
      </c>
      <c r="B417" s="9" t="s">
        <v>442</v>
      </c>
      <c r="C417" s="22" t="s">
        <v>12</v>
      </c>
    </row>
    <row r="418" spans="1:3" x14ac:dyDescent="0.25">
      <c r="A418" s="28">
        <v>30715048066</v>
      </c>
      <c r="B418" s="9" t="s">
        <v>443</v>
      </c>
      <c r="C418" s="22" t="s">
        <v>12</v>
      </c>
    </row>
    <row r="419" spans="1:3" x14ac:dyDescent="0.25">
      <c r="A419" s="15">
        <v>23122329119</v>
      </c>
      <c r="B419" s="9" t="s">
        <v>444</v>
      </c>
      <c r="C419" s="22" t="s">
        <v>12</v>
      </c>
    </row>
    <row r="420" spans="1:3" x14ac:dyDescent="0.25">
      <c r="A420" s="15">
        <v>30710638973</v>
      </c>
      <c r="B420" s="9" t="s">
        <v>445</v>
      </c>
      <c r="C420" s="22" t="s">
        <v>12</v>
      </c>
    </row>
    <row r="421" spans="1:3" x14ac:dyDescent="0.25">
      <c r="A421" s="31">
        <v>30595553535</v>
      </c>
      <c r="B421" s="17" t="s">
        <v>446</v>
      </c>
      <c r="C421" s="22" t="s">
        <v>447</v>
      </c>
    </row>
    <row r="422" spans="1:3" x14ac:dyDescent="0.25">
      <c r="A422" s="15">
        <v>20044272009</v>
      </c>
      <c r="B422" s="9" t="s">
        <v>448</v>
      </c>
      <c r="C422" s="22" t="s">
        <v>147</v>
      </c>
    </row>
    <row r="423" spans="1:3" x14ac:dyDescent="0.25">
      <c r="A423" s="15">
        <v>20254412490</v>
      </c>
      <c r="B423" s="9" t="s">
        <v>449</v>
      </c>
      <c r="C423" s="22" t="s">
        <v>12</v>
      </c>
    </row>
    <row r="424" spans="1:3" x14ac:dyDescent="0.25">
      <c r="A424" s="32">
        <v>23111810184</v>
      </c>
      <c r="B424" s="9" t="s">
        <v>450</v>
      </c>
      <c r="C424" s="22" t="s">
        <v>7</v>
      </c>
    </row>
    <row r="425" spans="1:3" x14ac:dyDescent="0.25">
      <c r="A425" s="15">
        <v>20394693864</v>
      </c>
      <c r="B425" s="9" t="s">
        <v>451</v>
      </c>
      <c r="C425" s="22" t="s">
        <v>12</v>
      </c>
    </row>
    <row r="426" spans="1:3" x14ac:dyDescent="0.25">
      <c r="A426" s="15">
        <v>30711553564</v>
      </c>
      <c r="B426" s="9" t="s">
        <v>452</v>
      </c>
      <c r="C426" s="22" t="s">
        <v>9</v>
      </c>
    </row>
    <row r="427" spans="1:3" x14ac:dyDescent="0.25">
      <c r="A427" s="15">
        <v>30588919826</v>
      </c>
      <c r="B427" s="9" t="s">
        <v>453</v>
      </c>
      <c r="C427" s="22" t="s">
        <v>12</v>
      </c>
    </row>
    <row r="428" spans="1:3" x14ac:dyDescent="0.25">
      <c r="A428" s="15">
        <v>30586172308</v>
      </c>
      <c r="B428" s="9" t="s">
        <v>454</v>
      </c>
      <c r="C428" s="22" t="s">
        <v>147</v>
      </c>
    </row>
    <row r="429" spans="1:3" x14ac:dyDescent="0.25">
      <c r="A429" s="15">
        <v>27217606255</v>
      </c>
      <c r="B429" s="9" t="s">
        <v>455</v>
      </c>
      <c r="C429" s="22" t="s">
        <v>9</v>
      </c>
    </row>
    <row r="430" spans="1:3" x14ac:dyDescent="0.25">
      <c r="A430" s="15">
        <v>23255491784</v>
      </c>
      <c r="B430" s="9" t="s">
        <v>456</v>
      </c>
      <c r="C430" s="22" t="s">
        <v>9</v>
      </c>
    </row>
    <row r="431" spans="1:3" x14ac:dyDescent="0.25">
      <c r="A431" s="15">
        <v>33693506099</v>
      </c>
      <c r="B431" s="9" t="s">
        <v>457</v>
      </c>
      <c r="C431" s="22" t="s">
        <v>12</v>
      </c>
    </row>
    <row r="432" spans="1:3" x14ac:dyDescent="0.25">
      <c r="A432" s="15">
        <v>20268417762</v>
      </c>
      <c r="B432" s="9" t="s">
        <v>458</v>
      </c>
      <c r="C432" s="22" t="s">
        <v>12</v>
      </c>
    </row>
    <row r="433" spans="1:3" x14ac:dyDescent="0.25">
      <c r="A433" s="15">
        <v>33710130189</v>
      </c>
      <c r="B433" s="9" t="s">
        <v>459</v>
      </c>
      <c r="C433" s="22" t="s">
        <v>9</v>
      </c>
    </row>
    <row r="434" spans="1:3" x14ac:dyDescent="0.25">
      <c r="A434" s="15">
        <v>30690142860</v>
      </c>
      <c r="B434" s="9" t="s">
        <v>460</v>
      </c>
      <c r="C434" s="22" t="s">
        <v>17</v>
      </c>
    </row>
    <row r="435" spans="1:3" x14ac:dyDescent="0.25">
      <c r="A435" s="15">
        <v>30710276273</v>
      </c>
      <c r="B435" s="9" t="s">
        <v>461</v>
      </c>
      <c r="C435" s="22" t="s">
        <v>17</v>
      </c>
    </row>
    <row r="436" spans="1:3" x14ac:dyDescent="0.25">
      <c r="A436" s="15">
        <v>30709570664</v>
      </c>
      <c r="B436" s="9" t="s">
        <v>462</v>
      </c>
      <c r="C436" s="22" t="s">
        <v>9</v>
      </c>
    </row>
    <row r="437" spans="1:3" x14ac:dyDescent="0.25">
      <c r="A437" s="15">
        <v>30638340689</v>
      </c>
      <c r="B437" s="9" t="s">
        <v>463</v>
      </c>
      <c r="C437" s="22" t="s">
        <v>9</v>
      </c>
    </row>
    <row r="438" spans="1:3" x14ac:dyDescent="0.25">
      <c r="A438" s="15">
        <v>30709525839</v>
      </c>
      <c r="B438" s="9" t="s">
        <v>464</v>
      </c>
      <c r="C438" s="22" t="s">
        <v>9</v>
      </c>
    </row>
    <row r="439" spans="1:3" x14ac:dyDescent="0.25">
      <c r="A439" s="25">
        <v>30710682026</v>
      </c>
      <c r="B439" s="9" t="s">
        <v>465</v>
      </c>
      <c r="C439" s="22" t="s">
        <v>12</v>
      </c>
    </row>
    <row r="440" spans="1:3" x14ac:dyDescent="0.25">
      <c r="A440" s="15">
        <v>33709619719</v>
      </c>
      <c r="B440" s="9" t="s">
        <v>466</v>
      </c>
      <c r="C440" s="22" t="s">
        <v>12</v>
      </c>
    </row>
    <row r="441" spans="1:3" x14ac:dyDescent="0.25">
      <c r="A441" s="15">
        <v>30645722554</v>
      </c>
      <c r="B441" s="9" t="s">
        <v>467</v>
      </c>
      <c r="C441" s="22" t="s">
        <v>12</v>
      </c>
    </row>
    <row r="442" spans="1:3" x14ac:dyDescent="0.25">
      <c r="A442" s="15">
        <v>30715753541</v>
      </c>
      <c r="B442" s="9" t="s">
        <v>468</v>
      </c>
      <c r="C442" s="22" t="s">
        <v>12</v>
      </c>
    </row>
    <row r="443" spans="1:3" x14ac:dyDescent="0.25">
      <c r="A443" s="15">
        <v>30598960093</v>
      </c>
      <c r="B443" s="9" t="s">
        <v>469</v>
      </c>
      <c r="C443" s="22" t="s">
        <v>9</v>
      </c>
    </row>
    <row r="444" spans="1:3" x14ac:dyDescent="0.25">
      <c r="A444" s="15">
        <v>20351173913</v>
      </c>
      <c r="B444" s="9" t="s">
        <v>470</v>
      </c>
      <c r="C444" s="22" t="s">
        <v>9</v>
      </c>
    </row>
    <row r="445" spans="1:3" x14ac:dyDescent="0.25">
      <c r="A445" s="15">
        <v>30702071506</v>
      </c>
      <c r="B445" s="9" t="s">
        <v>471</v>
      </c>
      <c r="C445" s="22" t="s">
        <v>12</v>
      </c>
    </row>
    <row r="446" spans="1:3" x14ac:dyDescent="0.25">
      <c r="A446" s="15">
        <v>30711842809</v>
      </c>
      <c r="B446" s="9" t="s">
        <v>472</v>
      </c>
      <c r="C446" s="22" t="s">
        <v>12</v>
      </c>
    </row>
    <row r="447" spans="1:3" x14ac:dyDescent="0.25">
      <c r="A447" s="15">
        <v>30654118767</v>
      </c>
      <c r="B447" s="9" t="s">
        <v>473</v>
      </c>
      <c r="C447" s="22" t="s">
        <v>9</v>
      </c>
    </row>
    <row r="448" spans="1:3" x14ac:dyDescent="0.25">
      <c r="A448" s="34">
        <v>30716393360</v>
      </c>
      <c r="B448" s="9" t="s">
        <v>474</v>
      </c>
      <c r="C448" s="22" t="s">
        <v>9</v>
      </c>
    </row>
    <row r="449" spans="1:3" x14ac:dyDescent="0.25">
      <c r="A449" s="15">
        <v>33715594949</v>
      </c>
      <c r="B449" s="9" t="s">
        <v>475</v>
      </c>
      <c r="C449" s="22" t="s">
        <v>23</v>
      </c>
    </row>
    <row r="450" spans="1:3" x14ac:dyDescent="0.25">
      <c r="A450" s="32">
        <v>27066622997</v>
      </c>
      <c r="B450" s="9" t="s">
        <v>476</v>
      </c>
      <c r="C450" s="22" t="s">
        <v>447</v>
      </c>
    </row>
    <row r="451" spans="1:3" x14ac:dyDescent="0.25">
      <c r="A451" s="15">
        <v>27283627573</v>
      </c>
      <c r="B451" s="9" t="s">
        <v>477</v>
      </c>
      <c r="C451" s="22" t="s">
        <v>23</v>
      </c>
    </row>
    <row r="452" spans="1:3" x14ac:dyDescent="0.25">
      <c r="A452" s="25">
        <v>20300821872</v>
      </c>
      <c r="B452" s="9" t="s">
        <v>478</v>
      </c>
      <c r="C452" s="22" t="s">
        <v>12</v>
      </c>
    </row>
    <row r="453" spans="1:3" x14ac:dyDescent="0.25">
      <c r="A453" s="15">
        <v>30715668994</v>
      </c>
      <c r="B453" s="9" t="s">
        <v>479</v>
      </c>
      <c r="C453" s="22" t="s">
        <v>9</v>
      </c>
    </row>
    <row r="454" spans="1:3" x14ac:dyDescent="0.25">
      <c r="A454" s="15">
        <v>30577797281</v>
      </c>
      <c r="B454" s="9" t="s">
        <v>480</v>
      </c>
      <c r="C454" s="22" t="s">
        <v>7</v>
      </c>
    </row>
    <row r="455" spans="1:3" x14ac:dyDescent="0.25">
      <c r="A455" s="15">
        <v>23250955529</v>
      </c>
      <c r="B455" s="9" t="s">
        <v>481</v>
      </c>
      <c r="C455" s="22" t="s">
        <v>12</v>
      </c>
    </row>
    <row r="456" spans="1:3" x14ac:dyDescent="0.25">
      <c r="A456" s="15">
        <v>20314785593</v>
      </c>
      <c r="B456" s="9" t="s">
        <v>482</v>
      </c>
      <c r="C456" s="22" t="s">
        <v>9</v>
      </c>
    </row>
    <row r="457" spans="1:3" x14ac:dyDescent="0.25">
      <c r="A457" s="15">
        <v>30715458744</v>
      </c>
      <c r="B457" s="9" t="s">
        <v>483</v>
      </c>
      <c r="C457" s="22" t="s">
        <v>12</v>
      </c>
    </row>
    <row r="458" spans="1:3" x14ac:dyDescent="0.25">
      <c r="A458" s="26">
        <v>27267575997</v>
      </c>
      <c r="B458" s="9" t="s">
        <v>484</v>
      </c>
      <c r="C458" s="22" t="s">
        <v>17</v>
      </c>
    </row>
    <row r="459" spans="1:3" x14ac:dyDescent="0.25">
      <c r="A459" s="15">
        <v>20310122212</v>
      </c>
      <c r="B459" s="9" t="s">
        <v>484</v>
      </c>
      <c r="C459" s="22" t="s">
        <v>9</v>
      </c>
    </row>
    <row r="460" spans="1:3" x14ac:dyDescent="0.25">
      <c r="A460" s="15">
        <v>20229905199</v>
      </c>
      <c r="B460" s="9" t="s">
        <v>485</v>
      </c>
      <c r="C460" s="22" t="s">
        <v>12</v>
      </c>
    </row>
    <row r="461" spans="1:3" x14ac:dyDescent="0.25">
      <c r="A461" s="15">
        <v>30505459179</v>
      </c>
      <c r="B461" s="9" t="s">
        <v>486</v>
      </c>
      <c r="C461" s="22" t="s">
        <v>9</v>
      </c>
    </row>
    <row r="462" spans="1:3" x14ac:dyDescent="0.25">
      <c r="A462" s="15">
        <v>23145783224</v>
      </c>
      <c r="B462" s="9" t="s">
        <v>487</v>
      </c>
      <c r="C462" s="22" t="s">
        <v>9</v>
      </c>
    </row>
    <row r="463" spans="1:3" x14ac:dyDescent="0.25">
      <c r="A463" s="15">
        <v>30710114176</v>
      </c>
      <c r="B463" s="9" t="s">
        <v>488</v>
      </c>
      <c r="C463" s="22" t="s">
        <v>12</v>
      </c>
    </row>
    <row r="464" spans="1:3" x14ac:dyDescent="0.25">
      <c r="A464" s="15">
        <v>30700939797</v>
      </c>
      <c r="B464" s="9" t="s">
        <v>489</v>
      </c>
      <c r="C464" s="22" t="s">
        <v>9</v>
      </c>
    </row>
    <row r="465" spans="1:3" x14ac:dyDescent="0.25">
      <c r="A465" s="15">
        <v>30710177658</v>
      </c>
      <c r="B465" s="9" t="s">
        <v>490</v>
      </c>
      <c r="C465" s="22" t="s">
        <v>9</v>
      </c>
    </row>
    <row r="466" spans="1:3" x14ac:dyDescent="0.25">
      <c r="A466" s="15">
        <v>30687489221</v>
      </c>
      <c r="B466" s="9" t="s">
        <v>491</v>
      </c>
      <c r="C466" s="22" t="s">
        <v>17</v>
      </c>
    </row>
    <row r="467" spans="1:3" x14ac:dyDescent="0.25">
      <c r="A467" s="25">
        <v>20283639941</v>
      </c>
      <c r="B467" s="9" t="s">
        <v>492</v>
      </c>
      <c r="C467" s="22" t="s">
        <v>12</v>
      </c>
    </row>
    <row r="468" spans="1:3" x14ac:dyDescent="0.25">
      <c r="A468" s="31">
        <v>30708960736</v>
      </c>
      <c r="B468" s="17" t="s">
        <v>493</v>
      </c>
      <c r="C468" s="22" t="s">
        <v>9</v>
      </c>
    </row>
    <row r="469" spans="1:3" x14ac:dyDescent="0.25">
      <c r="A469" s="15">
        <v>33716532769</v>
      </c>
      <c r="B469" s="9" t="s">
        <v>494</v>
      </c>
      <c r="C469" s="22" t="s">
        <v>9</v>
      </c>
    </row>
    <row r="470" spans="1:3" x14ac:dyDescent="0.25">
      <c r="A470" s="15">
        <v>30639453738</v>
      </c>
      <c r="B470" s="9" t="s">
        <v>495</v>
      </c>
      <c r="C470" s="22" t="s">
        <v>118</v>
      </c>
    </row>
    <row r="471" spans="1:3" x14ac:dyDescent="0.25">
      <c r="A471" s="15">
        <v>30639453975</v>
      </c>
      <c r="B471" s="9" t="s">
        <v>496</v>
      </c>
      <c r="C471" s="22" t="s">
        <v>118</v>
      </c>
    </row>
    <row r="472" spans="1:3" x14ac:dyDescent="0.25">
      <c r="A472" s="15">
        <v>30678814357</v>
      </c>
      <c r="B472" s="9" t="s">
        <v>497</v>
      </c>
      <c r="C472" s="22" t="s">
        <v>118</v>
      </c>
    </row>
    <row r="473" spans="1:3" x14ac:dyDescent="0.25">
      <c r="A473" s="15">
        <v>30712450408</v>
      </c>
      <c r="B473" s="9" t="s">
        <v>498</v>
      </c>
      <c r="C473" s="22" t="s">
        <v>12</v>
      </c>
    </row>
    <row r="474" spans="1:3" x14ac:dyDescent="0.25">
      <c r="A474" s="15">
        <v>30716018373</v>
      </c>
      <c r="B474" s="9" t="s">
        <v>499</v>
      </c>
      <c r="C474" s="22" t="s">
        <v>17</v>
      </c>
    </row>
    <row r="475" spans="1:3" x14ac:dyDescent="0.25">
      <c r="A475" s="15">
        <v>30616031143</v>
      </c>
      <c r="B475" s="9" t="s">
        <v>500</v>
      </c>
      <c r="C475" s="22" t="s">
        <v>12</v>
      </c>
    </row>
    <row r="476" spans="1:3" x14ac:dyDescent="0.25">
      <c r="A476" s="15">
        <v>30683612916</v>
      </c>
      <c r="B476" s="9" t="s">
        <v>501</v>
      </c>
      <c r="C476" s="22" t="s">
        <v>17</v>
      </c>
    </row>
    <row r="477" spans="1:3" x14ac:dyDescent="0.25">
      <c r="A477" s="15">
        <v>30711188416</v>
      </c>
      <c r="B477" s="9" t="s">
        <v>502</v>
      </c>
      <c r="C477" s="22" t="s">
        <v>17</v>
      </c>
    </row>
    <row r="478" spans="1:3" x14ac:dyDescent="0.25">
      <c r="A478" s="15">
        <v>30711811253</v>
      </c>
      <c r="B478" s="9" t="s">
        <v>503</v>
      </c>
      <c r="C478" s="22" t="s">
        <v>9</v>
      </c>
    </row>
    <row r="479" spans="1:3" x14ac:dyDescent="0.25">
      <c r="A479" s="31">
        <v>30712305513</v>
      </c>
      <c r="B479" s="17" t="s">
        <v>504</v>
      </c>
      <c r="C479" s="22" t="s">
        <v>9</v>
      </c>
    </row>
    <row r="480" spans="1:3" x14ac:dyDescent="0.25">
      <c r="A480" s="15">
        <v>20131067446</v>
      </c>
      <c r="B480" s="9" t="s">
        <v>505</v>
      </c>
      <c r="C480" s="22" t="s">
        <v>9</v>
      </c>
    </row>
    <row r="481" spans="1:3" x14ac:dyDescent="0.25">
      <c r="A481" s="15">
        <v>30646150406</v>
      </c>
      <c r="B481" s="9" t="s">
        <v>506</v>
      </c>
      <c r="C481" s="22" t="s">
        <v>9</v>
      </c>
    </row>
    <row r="482" spans="1:3" x14ac:dyDescent="0.25">
      <c r="A482" s="15">
        <v>27299725761</v>
      </c>
      <c r="B482" s="9" t="s">
        <v>507</v>
      </c>
      <c r="C482" s="22" t="s">
        <v>9</v>
      </c>
    </row>
    <row r="483" spans="1:3" x14ac:dyDescent="0.25">
      <c r="A483" s="15">
        <v>30531602273</v>
      </c>
      <c r="B483" s="17" t="s">
        <v>508</v>
      </c>
      <c r="C483" s="22" t="s">
        <v>7</v>
      </c>
    </row>
    <row r="484" spans="1:3" x14ac:dyDescent="0.25">
      <c r="A484" s="26">
        <v>30556565798</v>
      </c>
      <c r="B484" s="9" t="s">
        <v>509</v>
      </c>
      <c r="C484" s="22" t="s">
        <v>17</v>
      </c>
    </row>
    <row r="485" spans="1:3" x14ac:dyDescent="0.25">
      <c r="A485" s="28">
        <v>20257137326</v>
      </c>
      <c r="B485" s="9" t="s">
        <v>510</v>
      </c>
      <c r="C485" s="22" t="s">
        <v>9</v>
      </c>
    </row>
    <row r="486" spans="1:3" x14ac:dyDescent="0.25">
      <c r="A486" s="15">
        <v>20216451679</v>
      </c>
      <c r="B486" s="9" t="s">
        <v>511</v>
      </c>
      <c r="C486" s="22" t="s">
        <v>9</v>
      </c>
    </row>
    <row r="487" spans="1:3" x14ac:dyDescent="0.25">
      <c r="A487" s="25">
        <v>27415594742</v>
      </c>
      <c r="B487" s="9" t="s">
        <v>512</v>
      </c>
      <c r="C487" s="22" t="s">
        <v>9</v>
      </c>
    </row>
    <row r="488" spans="1:3" x14ac:dyDescent="0.25">
      <c r="A488" s="31">
        <v>20247225243</v>
      </c>
      <c r="B488" s="9" t="s">
        <v>513</v>
      </c>
      <c r="C488" s="22" t="s">
        <v>9</v>
      </c>
    </row>
    <row r="489" spans="1:3" x14ac:dyDescent="0.25">
      <c r="A489" s="15">
        <v>30561769644</v>
      </c>
      <c r="B489" s="9" t="s">
        <v>514</v>
      </c>
      <c r="C489" s="22" t="s">
        <v>12</v>
      </c>
    </row>
    <row r="490" spans="1:3" x14ac:dyDescent="0.25">
      <c r="A490" s="15">
        <v>27247019370</v>
      </c>
      <c r="B490" s="9" t="s">
        <v>515</v>
      </c>
      <c r="C490" s="22" t="s">
        <v>9</v>
      </c>
    </row>
    <row r="491" spans="1:3" x14ac:dyDescent="0.25">
      <c r="A491" s="15">
        <v>30707977120</v>
      </c>
      <c r="B491" s="9" t="s">
        <v>516</v>
      </c>
      <c r="C491" s="22" t="s">
        <v>12</v>
      </c>
    </row>
    <row r="492" spans="1:3" x14ac:dyDescent="0.25">
      <c r="A492" s="28">
        <v>27211421202</v>
      </c>
      <c r="B492" s="9" t="s">
        <v>517</v>
      </c>
      <c r="C492" s="22" t="s">
        <v>9</v>
      </c>
    </row>
    <row r="493" spans="1:3" x14ac:dyDescent="0.25">
      <c r="A493" s="15">
        <v>30540059078</v>
      </c>
      <c r="B493" s="9" t="s">
        <v>518</v>
      </c>
      <c r="C493" s="22" t="s">
        <v>12</v>
      </c>
    </row>
    <row r="494" spans="1:3" x14ac:dyDescent="0.25">
      <c r="A494" s="15">
        <v>30714950750</v>
      </c>
      <c r="B494" s="9" t="s">
        <v>519</v>
      </c>
      <c r="C494" s="22" t="s">
        <v>9</v>
      </c>
    </row>
    <row r="495" spans="1:3" x14ac:dyDescent="0.25">
      <c r="A495" s="15">
        <v>20317488476</v>
      </c>
      <c r="B495" s="9" t="s">
        <v>520</v>
      </c>
      <c r="C495" s="22" t="s">
        <v>9</v>
      </c>
    </row>
    <row r="496" spans="1:3" x14ac:dyDescent="0.25">
      <c r="A496" s="15">
        <v>27256759646</v>
      </c>
      <c r="B496" s="9" t="s">
        <v>521</v>
      </c>
      <c r="C496" s="22" t="s">
        <v>9</v>
      </c>
    </row>
    <row r="497" spans="1:3" x14ac:dyDescent="0.25">
      <c r="A497" s="26">
        <v>20321447997</v>
      </c>
      <c r="B497" s="9" t="s">
        <v>522</v>
      </c>
      <c r="C497" s="22" t="s">
        <v>12</v>
      </c>
    </row>
    <row r="498" spans="1:3" x14ac:dyDescent="0.25">
      <c r="A498" s="15">
        <v>27237719145</v>
      </c>
      <c r="B498" s="9" t="s">
        <v>523</v>
      </c>
      <c r="C498" s="22" t="s">
        <v>9</v>
      </c>
    </row>
    <row r="499" spans="1:3" x14ac:dyDescent="0.25">
      <c r="A499" s="15">
        <v>27169596439</v>
      </c>
      <c r="B499" s="9" t="s">
        <v>524</v>
      </c>
      <c r="C499" s="22" t="s">
        <v>12</v>
      </c>
    </row>
    <row r="500" spans="1:3" x14ac:dyDescent="0.25">
      <c r="A500" s="31">
        <v>23929701364</v>
      </c>
      <c r="B500" s="17" t="s">
        <v>525</v>
      </c>
      <c r="C500" s="22" t="s">
        <v>17</v>
      </c>
    </row>
    <row r="501" spans="1:3" x14ac:dyDescent="0.25">
      <c r="A501" s="15">
        <v>30714867349</v>
      </c>
      <c r="B501" s="9" t="s">
        <v>526</v>
      </c>
      <c r="C501" s="22" t="s">
        <v>12</v>
      </c>
    </row>
    <row r="502" spans="1:3" x14ac:dyDescent="0.25">
      <c r="A502" s="15">
        <v>30708534907</v>
      </c>
      <c r="B502" s="9" t="s">
        <v>527</v>
      </c>
      <c r="C502" s="22" t="s">
        <v>9</v>
      </c>
    </row>
    <row r="503" spans="1:3" x14ac:dyDescent="0.25">
      <c r="A503" s="15">
        <v>20231247239</v>
      </c>
      <c r="B503" s="9" t="s">
        <v>528</v>
      </c>
      <c r="C503" s="22" t="s">
        <v>9</v>
      </c>
    </row>
    <row r="504" spans="1:3" x14ac:dyDescent="0.25">
      <c r="A504" s="15">
        <v>30717172651</v>
      </c>
      <c r="B504" s="9" t="s">
        <v>529</v>
      </c>
      <c r="C504" s="22" t="s">
        <v>9</v>
      </c>
    </row>
    <row r="505" spans="1:3" x14ac:dyDescent="0.25">
      <c r="A505" s="8">
        <v>20332986636</v>
      </c>
      <c r="B505" s="9" t="s">
        <v>530</v>
      </c>
      <c r="C505" s="22" t="s">
        <v>17</v>
      </c>
    </row>
    <row r="506" spans="1:3" x14ac:dyDescent="0.25">
      <c r="A506" s="15">
        <v>20167787372</v>
      </c>
      <c r="B506" s="9" t="s">
        <v>531</v>
      </c>
      <c r="C506" s="22" t="s">
        <v>17</v>
      </c>
    </row>
    <row r="507" spans="1:3" x14ac:dyDescent="0.25">
      <c r="A507" s="15">
        <v>20921994908</v>
      </c>
      <c r="B507" s="9" t="s">
        <v>532</v>
      </c>
      <c r="C507" s="22" t="s">
        <v>12</v>
      </c>
    </row>
    <row r="508" spans="1:3" x14ac:dyDescent="0.25">
      <c r="A508" s="15">
        <v>20168475803</v>
      </c>
      <c r="B508" s="9" t="s">
        <v>533</v>
      </c>
      <c r="C508" s="22" t="s">
        <v>12</v>
      </c>
    </row>
    <row r="509" spans="1:3" x14ac:dyDescent="0.25">
      <c r="A509" s="15">
        <v>27944827345</v>
      </c>
      <c r="B509" s="9" t="s">
        <v>534</v>
      </c>
      <c r="C509" s="22" t="s">
        <v>12</v>
      </c>
    </row>
    <row r="510" spans="1:3" x14ac:dyDescent="0.25">
      <c r="A510" s="15">
        <v>30708375582</v>
      </c>
      <c r="B510" s="9" t="s">
        <v>535</v>
      </c>
      <c r="C510" s="22" t="s">
        <v>17</v>
      </c>
    </row>
    <row r="511" spans="1:3" x14ac:dyDescent="0.25">
      <c r="A511" s="15">
        <v>23936845509</v>
      </c>
      <c r="B511" s="9" t="s">
        <v>536</v>
      </c>
      <c r="C511" s="22" t="s">
        <v>12</v>
      </c>
    </row>
    <row r="512" spans="1:3" x14ac:dyDescent="0.25">
      <c r="A512" s="15">
        <v>30707927409</v>
      </c>
      <c r="B512" s="9" t="s">
        <v>537</v>
      </c>
      <c r="C512" s="22" t="s">
        <v>17</v>
      </c>
    </row>
    <row r="513" spans="1:3" x14ac:dyDescent="0.25">
      <c r="A513" s="15">
        <v>30626009618</v>
      </c>
      <c r="B513" s="9" t="s">
        <v>538</v>
      </c>
      <c r="C513" s="22" t="s">
        <v>17</v>
      </c>
    </row>
    <row r="514" spans="1:3" x14ac:dyDescent="0.25">
      <c r="A514" s="15">
        <v>30709904872</v>
      </c>
      <c r="B514" s="9" t="s">
        <v>539</v>
      </c>
      <c r="C514" s="22" t="s">
        <v>17</v>
      </c>
    </row>
    <row r="515" spans="1:3" x14ac:dyDescent="0.25">
      <c r="A515" s="15">
        <v>30643922157</v>
      </c>
      <c r="B515" s="9" t="s">
        <v>540</v>
      </c>
      <c r="C515" s="22" t="s">
        <v>17</v>
      </c>
    </row>
    <row r="516" spans="1:3" x14ac:dyDescent="0.25">
      <c r="A516" s="15">
        <v>33717383139</v>
      </c>
      <c r="B516" s="9" t="s">
        <v>541</v>
      </c>
      <c r="C516" s="22" t="s">
        <v>12</v>
      </c>
    </row>
    <row r="517" spans="1:3" x14ac:dyDescent="0.25">
      <c r="A517" s="15">
        <v>30708847247</v>
      </c>
      <c r="B517" s="9" t="s">
        <v>542</v>
      </c>
      <c r="C517" s="22" t="s">
        <v>17</v>
      </c>
    </row>
    <row r="518" spans="1:3" x14ac:dyDescent="0.25">
      <c r="A518" s="15">
        <v>33710271149</v>
      </c>
      <c r="B518" s="9" t="s">
        <v>543</v>
      </c>
      <c r="C518" s="22" t="s">
        <v>12</v>
      </c>
    </row>
    <row r="519" spans="1:3" x14ac:dyDescent="0.25">
      <c r="A519" s="15">
        <v>20396584809</v>
      </c>
      <c r="B519" s="9" t="s">
        <v>544</v>
      </c>
      <c r="C519" s="22" t="s">
        <v>9</v>
      </c>
    </row>
    <row r="520" spans="1:3" x14ac:dyDescent="0.25">
      <c r="A520" s="15">
        <v>30709879258</v>
      </c>
      <c r="B520" s="9" t="s">
        <v>545</v>
      </c>
      <c r="C520" s="22" t="s">
        <v>17</v>
      </c>
    </row>
    <row r="521" spans="1:3" x14ac:dyDescent="0.25">
      <c r="A521" s="15">
        <v>30711296987</v>
      </c>
      <c r="B521" s="9" t="s">
        <v>546</v>
      </c>
      <c r="C521" s="22" t="s">
        <v>12</v>
      </c>
    </row>
    <row r="522" spans="1:3" x14ac:dyDescent="0.25">
      <c r="A522" s="15">
        <v>20392730444</v>
      </c>
      <c r="B522" s="9" t="s">
        <v>547</v>
      </c>
      <c r="C522" s="22" t="s">
        <v>17</v>
      </c>
    </row>
    <row r="523" spans="1:3" x14ac:dyDescent="0.25">
      <c r="A523" s="15">
        <v>30715393251</v>
      </c>
      <c r="B523" s="9" t="s">
        <v>548</v>
      </c>
      <c r="C523" s="22" t="s">
        <v>12</v>
      </c>
    </row>
    <row r="524" spans="1:3" x14ac:dyDescent="0.25">
      <c r="A524" s="15">
        <v>27119878468</v>
      </c>
      <c r="B524" s="9" t="s">
        <v>549</v>
      </c>
      <c r="C524" s="22" t="s">
        <v>9</v>
      </c>
    </row>
    <row r="525" spans="1:3" x14ac:dyDescent="0.25">
      <c r="A525" s="15">
        <v>30715869663</v>
      </c>
      <c r="B525" s="9" t="s">
        <v>550</v>
      </c>
      <c r="C525" s="22" t="s">
        <v>12</v>
      </c>
    </row>
    <row r="526" spans="1:3" x14ac:dyDescent="0.25">
      <c r="A526" s="15">
        <v>20224819049</v>
      </c>
      <c r="B526" s="9" t="s">
        <v>551</v>
      </c>
      <c r="C526" s="22" t="s">
        <v>12</v>
      </c>
    </row>
    <row r="527" spans="1:3" x14ac:dyDescent="0.25">
      <c r="A527" s="15">
        <v>20920321292</v>
      </c>
      <c r="B527" s="9" t="s">
        <v>552</v>
      </c>
      <c r="C527" s="22" t="s">
        <v>12</v>
      </c>
    </row>
    <row r="528" spans="1:3" x14ac:dyDescent="0.25">
      <c r="A528" s="15">
        <v>30526874249</v>
      </c>
      <c r="B528" s="9" t="s">
        <v>553</v>
      </c>
      <c r="C528" s="22" t="s">
        <v>12</v>
      </c>
    </row>
    <row r="529" spans="1:3" x14ac:dyDescent="0.25">
      <c r="A529" s="15">
        <v>20181517957</v>
      </c>
      <c r="B529" s="9" t="s">
        <v>554</v>
      </c>
      <c r="C529" s="22" t="s">
        <v>9</v>
      </c>
    </row>
    <row r="530" spans="1:3" x14ac:dyDescent="0.25">
      <c r="A530" s="15">
        <v>30606274161</v>
      </c>
      <c r="B530" s="9" t="s">
        <v>555</v>
      </c>
      <c r="C530" s="22" t="s">
        <v>7</v>
      </c>
    </row>
    <row r="531" spans="1:3" x14ac:dyDescent="0.25">
      <c r="A531" s="15">
        <v>20426451167</v>
      </c>
      <c r="B531" s="9" t="s">
        <v>556</v>
      </c>
      <c r="C531" s="22" t="s">
        <v>17</v>
      </c>
    </row>
    <row r="532" spans="1:3" x14ac:dyDescent="0.25">
      <c r="A532" s="15">
        <v>23928499804</v>
      </c>
      <c r="B532" s="9" t="s">
        <v>557</v>
      </c>
      <c r="C532" s="22" t="s">
        <v>12</v>
      </c>
    </row>
    <row r="533" spans="1:3" x14ac:dyDescent="0.25">
      <c r="A533" s="15">
        <v>30581106234</v>
      </c>
      <c r="B533" s="9" t="s">
        <v>558</v>
      </c>
      <c r="C533" s="22" t="s">
        <v>17</v>
      </c>
    </row>
    <row r="534" spans="1:3" x14ac:dyDescent="0.25">
      <c r="A534" s="15">
        <v>23324039759</v>
      </c>
      <c r="B534" s="9" t="s">
        <v>559</v>
      </c>
      <c r="C534" s="22" t="s">
        <v>12</v>
      </c>
    </row>
    <row r="535" spans="1:3" x14ac:dyDescent="0.25">
      <c r="A535" s="15">
        <v>33531122599</v>
      </c>
      <c r="B535" s="9" t="s">
        <v>560</v>
      </c>
      <c r="C535" s="22" t="s">
        <v>17</v>
      </c>
    </row>
    <row r="536" spans="1:3" x14ac:dyDescent="0.25">
      <c r="A536" s="15">
        <v>20272865869</v>
      </c>
      <c r="B536" s="9" t="s">
        <v>561</v>
      </c>
      <c r="C536" s="22" t="s">
        <v>9</v>
      </c>
    </row>
    <row r="537" spans="1:3" x14ac:dyDescent="0.25">
      <c r="A537" s="15">
        <v>20259150249</v>
      </c>
      <c r="B537" s="9" t="s">
        <v>562</v>
      </c>
      <c r="C537" s="22" t="s">
        <v>12</v>
      </c>
    </row>
    <row r="538" spans="1:3" x14ac:dyDescent="0.25">
      <c r="A538" s="15">
        <v>30693066022</v>
      </c>
      <c r="B538" s="9" t="s">
        <v>563</v>
      </c>
      <c r="C538" s="22" t="s">
        <v>12</v>
      </c>
    </row>
    <row r="539" spans="1:3" x14ac:dyDescent="0.25">
      <c r="A539" s="15">
        <v>30612099614</v>
      </c>
      <c r="B539" s="9" t="s">
        <v>564</v>
      </c>
      <c r="C539" s="22" t="s">
        <v>7</v>
      </c>
    </row>
    <row r="540" spans="1:3" x14ac:dyDescent="0.25">
      <c r="A540" s="15">
        <v>20410096103</v>
      </c>
      <c r="B540" s="9" t="s">
        <v>565</v>
      </c>
      <c r="C540" s="22" t="s">
        <v>12</v>
      </c>
    </row>
    <row r="541" spans="1:3" x14ac:dyDescent="0.25">
      <c r="A541" s="15">
        <v>30711416656</v>
      </c>
      <c r="B541" s="9" t="s">
        <v>566</v>
      </c>
      <c r="C541" s="22" t="s">
        <v>7</v>
      </c>
    </row>
    <row r="542" spans="1:3" x14ac:dyDescent="0.25">
      <c r="A542" s="15">
        <v>30712529721</v>
      </c>
      <c r="B542" s="9" t="s">
        <v>567</v>
      </c>
      <c r="C542" s="22" t="s">
        <v>7</v>
      </c>
    </row>
    <row r="543" spans="1:3" x14ac:dyDescent="0.25">
      <c r="A543" s="15">
        <v>30707513094</v>
      </c>
      <c r="B543" s="9" t="s">
        <v>568</v>
      </c>
      <c r="C543" s="22" t="s">
        <v>7</v>
      </c>
    </row>
    <row r="544" spans="1:3" x14ac:dyDescent="0.25">
      <c r="A544" s="15">
        <v>30571766287</v>
      </c>
      <c r="B544" s="9" t="s">
        <v>569</v>
      </c>
      <c r="C544" s="22" t="s">
        <v>7</v>
      </c>
    </row>
    <row r="545" spans="1:7" x14ac:dyDescent="0.25">
      <c r="A545" s="15">
        <v>30712136754</v>
      </c>
      <c r="B545" s="9" t="s">
        <v>570</v>
      </c>
      <c r="C545" s="22" t="s">
        <v>7</v>
      </c>
    </row>
    <row r="546" spans="1:7" x14ac:dyDescent="0.25">
      <c r="A546" s="15">
        <v>30636196858</v>
      </c>
      <c r="B546" s="9" t="s">
        <v>571</v>
      </c>
      <c r="C546" s="22" t="s">
        <v>7</v>
      </c>
    </row>
    <row r="547" spans="1:7" x14ac:dyDescent="0.25">
      <c r="A547" s="15">
        <v>30604958640</v>
      </c>
      <c r="B547" s="9" t="s">
        <v>572</v>
      </c>
      <c r="C547" s="22" t="s">
        <v>7</v>
      </c>
    </row>
    <row r="548" spans="1:7" x14ac:dyDescent="0.25">
      <c r="A548" s="15">
        <v>30547339416</v>
      </c>
      <c r="B548" s="9" t="s">
        <v>573</v>
      </c>
      <c r="C548" s="22" t="s">
        <v>7</v>
      </c>
    </row>
    <row r="549" spans="1:7" x14ac:dyDescent="0.25">
      <c r="A549" s="15">
        <v>30716234114</v>
      </c>
      <c r="B549" s="9" t="s">
        <v>574</v>
      </c>
      <c r="C549" s="22" t="s">
        <v>9</v>
      </c>
    </row>
    <row r="550" spans="1:7" x14ac:dyDescent="0.25">
      <c r="A550" s="15">
        <v>33716307749</v>
      </c>
      <c r="B550" s="9" t="s">
        <v>575</v>
      </c>
      <c r="C550" s="22" t="s">
        <v>9</v>
      </c>
    </row>
    <row r="551" spans="1:7" x14ac:dyDescent="0.25">
      <c r="A551" s="15">
        <v>27940269100</v>
      </c>
      <c r="B551" s="9" t="s">
        <v>576</v>
      </c>
      <c r="C551" s="22" t="s">
        <v>12</v>
      </c>
    </row>
    <row r="552" spans="1:7" x14ac:dyDescent="0.25">
      <c r="A552" s="15">
        <v>27243660535</v>
      </c>
      <c r="B552" s="9" t="s">
        <v>577</v>
      </c>
      <c r="C552" s="22" t="s">
        <v>578</v>
      </c>
    </row>
    <row r="553" spans="1:7" x14ac:dyDescent="0.25">
      <c r="A553" s="15">
        <v>30714228060</v>
      </c>
      <c r="B553" s="9" t="s">
        <v>579</v>
      </c>
      <c r="C553" s="22" t="s">
        <v>9</v>
      </c>
    </row>
    <row r="554" spans="1:7" x14ac:dyDescent="0.25">
      <c r="A554" s="15">
        <v>20186310005</v>
      </c>
      <c r="B554" s="9" t="s">
        <v>580</v>
      </c>
      <c r="C554" s="22" t="s">
        <v>12</v>
      </c>
    </row>
    <row r="555" spans="1:7" x14ac:dyDescent="0.25">
      <c r="A555" s="15">
        <v>30711776040</v>
      </c>
      <c r="B555" s="9" t="s">
        <v>581</v>
      </c>
      <c r="C555" s="22" t="s">
        <v>17</v>
      </c>
    </row>
    <row r="556" spans="1:7" x14ac:dyDescent="0.25">
      <c r="A556" s="15">
        <v>20253990903</v>
      </c>
      <c r="B556" s="9" t="s">
        <v>582</v>
      </c>
      <c r="C556" s="22" t="s">
        <v>9</v>
      </c>
    </row>
    <row r="557" spans="1:7" x14ac:dyDescent="0.25">
      <c r="A557" s="15">
        <v>20184052858</v>
      </c>
      <c r="B557" s="9" t="s">
        <v>583</v>
      </c>
      <c r="C557" s="22" t="s">
        <v>12</v>
      </c>
    </row>
    <row r="558" spans="1:7" x14ac:dyDescent="0.25">
      <c r="A558" s="15">
        <v>30677237119</v>
      </c>
      <c r="B558" s="9" t="s">
        <v>584</v>
      </c>
      <c r="C558" s="22" t="s">
        <v>143</v>
      </c>
      <c r="F558" s="35"/>
      <c r="G558"/>
    </row>
    <row r="559" spans="1:7" x14ac:dyDescent="0.25">
      <c r="A559" s="15">
        <v>30574876474</v>
      </c>
      <c r="B559" s="9" t="s">
        <v>585</v>
      </c>
      <c r="C559" s="22" t="s">
        <v>143</v>
      </c>
      <c r="F559" s="35"/>
      <c r="G559"/>
    </row>
    <row r="560" spans="1:7" x14ac:dyDescent="0.25">
      <c r="A560" s="15">
        <v>30714112836</v>
      </c>
      <c r="B560" s="9" t="s">
        <v>586</v>
      </c>
      <c r="C560" s="22" t="s">
        <v>143</v>
      </c>
      <c r="F560" s="35"/>
      <c r="G560"/>
    </row>
    <row r="561" spans="1:7" x14ac:dyDescent="0.25">
      <c r="A561" s="15">
        <v>30677237119</v>
      </c>
      <c r="B561" s="9" t="s">
        <v>584</v>
      </c>
      <c r="C561" s="22" t="s">
        <v>143</v>
      </c>
      <c r="F561" s="35"/>
      <c r="G561"/>
    </row>
    <row r="562" spans="1:7" x14ac:dyDescent="0.25">
      <c r="A562" s="15">
        <v>30663498513</v>
      </c>
      <c r="B562" s="9" t="s">
        <v>587</v>
      </c>
      <c r="C562" s="22" t="s">
        <v>143</v>
      </c>
      <c r="E562" s="35"/>
      <c r="F562"/>
      <c r="G562"/>
    </row>
    <row r="563" spans="1:7" x14ac:dyDescent="0.25">
      <c r="A563" s="15">
        <v>30715804812</v>
      </c>
      <c r="B563" s="9" t="s">
        <v>588</v>
      </c>
      <c r="C563" s="22" t="s">
        <v>143</v>
      </c>
      <c r="F563" s="35"/>
      <c r="G563"/>
    </row>
    <row r="564" spans="1:7" x14ac:dyDescent="0.25">
      <c r="A564" s="15">
        <v>20278292429</v>
      </c>
      <c r="B564" s="9" t="s">
        <v>589</v>
      </c>
      <c r="C564" s="22" t="s">
        <v>12</v>
      </c>
      <c r="F564" s="35"/>
      <c r="G564"/>
    </row>
    <row r="565" spans="1:7" x14ac:dyDescent="0.25">
      <c r="A565" s="15">
        <v>30707304886</v>
      </c>
      <c r="B565" s="9" t="s">
        <v>590</v>
      </c>
      <c r="C565" s="22" t="s">
        <v>143</v>
      </c>
      <c r="F565" s="35"/>
      <c r="G565"/>
    </row>
    <row r="566" spans="1:7" x14ac:dyDescent="0.25">
      <c r="A566" s="15">
        <v>20464199633</v>
      </c>
      <c r="B566" s="9" t="s">
        <v>591</v>
      </c>
      <c r="C566" s="22" t="s">
        <v>9</v>
      </c>
    </row>
    <row r="567" spans="1:7" x14ac:dyDescent="0.25">
      <c r="A567" s="15">
        <v>27179026967</v>
      </c>
      <c r="B567" s="9" t="s">
        <v>592</v>
      </c>
      <c r="C567" s="22" t="s">
        <v>578</v>
      </c>
    </row>
    <row r="568" spans="1:7" x14ac:dyDescent="0.25">
      <c r="A568" s="15">
        <v>30587842358</v>
      </c>
      <c r="B568" s="9" t="s">
        <v>593</v>
      </c>
      <c r="C568" s="22" t="s">
        <v>7</v>
      </c>
    </row>
    <row r="569" spans="1:7" x14ac:dyDescent="0.25">
      <c r="A569" s="15">
        <v>30661931066</v>
      </c>
      <c r="B569" s="9" t="s">
        <v>594</v>
      </c>
      <c r="C569" s="22" t="s">
        <v>7</v>
      </c>
    </row>
    <row r="570" spans="1:7" x14ac:dyDescent="0.25">
      <c r="A570" s="15">
        <v>30661273093</v>
      </c>
      <c r="B570" s="9" t="s">
        <v>595</v>
      </c>
      <c r="C570" s="22" t="s">
        <v>7</v>
      </c>
    </row>
    <row r="571" spans="1:7" x14ac:dyDescent="0.25">
      <c r="A571" s="15"/>
      <c r="B571" s="9"/>
      <c r="C571" s="22"/>
    </row>
    <row r="572" spans="1:7" x14ac:dyDescent="0.25">
      <c r="A572" s="15"/>
      <c r="B572" s="9"/>
      <c r="C572" s="22"/>
    </row>
    <row r="573" spans="1:7" x14ac:dyDescent="0.25">
      <c r="A573" s="15"/>
      <c r="B573" s="9"/>
      <c r="C573" s="22"/>
    </row>
    <row r="574" spans="1:7" x14ac:dyDescent="0.25">
      <c r="A574" s="15"/>
      <c r="B574" s="9"/>
      <c r="C574" s="22"/>
    </row>
    <row r="575" spans="1:7" x14ac:dyDescent="0.25">
      <c r="A575" s="15"/>
      <c r="B575" s="9"/>
      <c r="C575" s="22"/>
    </row>
    <row r="576" spans="1:7" x14ac:dyDescent="0.25">
      <c r="A576" s="15"/>
      <c r="B576" s="9"/>
      <c r="C576" s="22"/>
    </row>
    <row r="577" spans="1:3" x14ac:dyDescent="0.25">
      <c r="A577" s="15"/>
      <c r="B577" s="9"/>
      <c r="C577" s="22"/>
    </row>
    <row r="578" spans="1:3" x14ac:dyDescent="0.25">
      <c r="A578" s="15"/>
      <c r="B578" s="9"/>
      <c r="C578" s="22"/>
    </row>
    <row r="579" spans="1:3" x14ac:dyDescent="0.25">
      <c r="A579" s="15"/>
      <c r="B579" s="9"/>
      <c r="C579" s="22"/>
    </row>
    <row r="580" spans="1:3" x14ac:dyDescent="0.25">
      <c r="A580" s="15"/>
      <c r="B580" s="9"/>
      <c r="C580" s="22"/>
    </row>
    <row r="581" spans="1:3" x14ac:dyDescent="0.25">
      <c r="A581" s="15"/>
      <c r="B581" s="9"/>
      <c r="C581" s="22"/>
    </row>
    <row r="582" spans="1:3" x14ac:dyDescent="0.25">
      <c r="A582" s="15"/>
      <c r="B582" s="9"/>
      <c r="C582" s="22"/>
    </row>
    <row r="583" spans="1:3" x14ac:dyDescent="0.25">
      <c r="A583" s="15"/>
      <c r="B583" s="9"/>
      <c r="C583" s="22"/>
    </row>
    <row r="584" spans="1:3" x14ac:dyDescent="0.25">
      <c r="A584" s="15"/>
      <c r="B584" s="9"/>
      <c r="C584" s="22"/>
    </row>
    <row r="585" spans="1:3" x14ac:dyDescent="0.25">
      <c r="A585" s="15"/>
      <c r="B585" s="9"/>
      <c r="C585" s="22"/>
    </row>
    <row r="586" spans="1:3" x14ac:dyDescent="0.25">
      <c r="A586" s="15"/>
      <c r="B586" s="9"/>
      <c r="C586" s="22"/>
    </row>
    <row r="587" spans="1:3" x14ac:dyDescent="0.25">
      <c r="A587" s="15"/>
      <c r="B587" s="9"/>
      <c r="C587" s="22"/>
    </row>
    <row r="588" spans="1:3" x14ac:dyDescent="0.25">
      <c r="A588" s="15"/>
      <c r="B588" s="9"/>
      <c r="C588" s="22"/>
    </row>
    <row r="589" spans="1:3" x14ac:dyDescent="0.25">
      <c r="A589" s="15"/>
      <c r="B589" s="9"/>
      <c r="C589" s="22"/>
    </row>
    <row r="590" spans="1:3" x14ac:dyDescent="0.25">
      <c r="A590" s="15"/>
      <c r="B590" s="9"/>
      <c r="C590" s="22"/>
    </row>
    <row r="591" spans="1:3" x14ac:dyDescent="0.25">
      <c r="A591" s="15"/>
      <c r="B591" s="9"/>
      <c r="C591" s="22"/>
    </row>
    <row r="592" spans="1:3" x14ac:dyDescent="0.25">
      <c r="A592" s="15"/>
      <c r="B592" s="9"/>
      <c r="C592" s="22"/>
    </row>
    <row r="593" spans="1:3" x14ac:dyDescent="0.25">
      <c r="A593" s="15"/>
      <c r="B593" s="9"/>
      <c r="C593" s="22"/>
    </row>
    <row r="594" spans="1:3" x14ac:dyDescent="0.25">
      <c r="A594" s="15"/>
      <c r="B594" s="9"/>
      <c r="C594" s="22"/>
    </row>
    <row r="595" spans="1:3" x14ac:dyDescent="0.25">
      <c r="A595" s="15"/>
      <c r="B595" s="9"/>
      <c r="C595" s="22"/>
    </row>
    <row r="596" spans="1:3" x14ac:dyDescent="0.25">
      <c r="A596" s="15"/>
      <c r="B596" s="9"/>
      <c r="C596" s="22"/>
    </row>
    <row r="597" spans="1:3" x14ac:dyDescent="0.25">
      <c r="A597" s="15"/>
      <c r="B597" s="9"/>
      <c r="C597" s="22"/>
    </row>
    <row r="598" spans="1:3" x14ac:dyDescent="0.25">
      <c r="A598" s="15"/>
      <c r="B598" s="9"/>
      <c r="C598" s="22"/>
    </row>
    <row r="599" spans="1:3" x14ac:dyDescent="0.25">
      <c r="A599" s="15"/>
      <c r="B599" s="9"/>
      <c r="C599" s="22"/>
    </row>
    <row r="600" spans="1:3" x14ac:dyDescent="0.25">
      <c r="A600" s="15"/>
      <c r="B600" s="9"/>
      <c r="C600" s="22"/>
    </row>
    <row r="601" spans="1:3" x14ac:dyDescent="0.25">
      <c r="A601" s="15"/>
      <c r="B601" s="9"/>
      <c r="C601" s="22"/>
    </row>
    <row r="602" spans="1:3" x14ac:dyDescent="0.25">
      <c r="A602" s="15"/>
      <c r="B602" s="9"/>
      <c r="C602" s="22"/>
    </row>
    <row r="603" spans="1:3" x14ac:dyDescent="0.25">
      <c r="A603" s="15"/>
      <c r="B603" s="9"/>
      <c r="C603" s="22"/>
    </row>
    <row r="604" spans="1:3" x14ac:dyDescent="0.25">
      <c r="A604" s="15"/>
      <c r="B604" s="9"/>
      <c r="C604" s="22"/>
    </row>
    <row r="605" spans="1:3" x14ac:dyDescent="0.25">
      <c r="A605" s="15"/>
      <c r="B605" s="9"/>
      <c r="C605" s="22"/>
    </row>
    <row r="606" spans="1:3" x14ac:dyDescent="0.25">
      <c r="A606" s="15"/>
      <c r="B606" s="9"/>
      <c r="C606" s="22"/>
    </row>
    <row r="607" spans="1:3" x14ac:dyDescent="0.25">
      <c r="A607" s="15"/>
      <c r="B607" s="9"/>
      <c r="C607" s="22"/>
    </row>
    <row r="608" spans="1:3" x14ac:dyDescent="0.25">
      <c r="A608" s="15"/>
      <c r="B608" s="9"/>
      <c r="C608" s="22"/>
    </row>
    <row r="609" spans="1:3" x14ac:dyDescent="0.25">
      <c r="A609" s="15"/>
      <c r="B609" s="9"/>
      <c r="C609" s="22"/>
    </row>
    <row r="610" spans="1:3" x14ac:dyDescent="0.25">
      <c r="A610" s="15"/>
      <c r="B610" s="9"/>
      <c r="C610" s="22"/>
    </row>
    <row r="611" spans="1:3" x14ac:dyDescent="0.25">
      <c r="A611" s="15"/>
      <c r="B611" s="9"/>
      <c r="C611" s="22"/>
    </row>
    <row r="612" spans="1:3" x14ac:dyDescent="0.25">
      <c r="A612" s="15"/>
      <c r="B612" s="9"/>
      <c r="C612" s="22"/>
    </row>
    <row r="613" spans="1:3" x14ac:dyDescent="0.25">
      <c r="A613" s="15"/>
      <c r="B613" s="9"/>
      <c r="C613" s="22"/>
    </row>
    <row r="614" spans="1:3" x14ac:dyDescent="0.25">
      <c r="A614" s="15"/>
      <c r="B614" s="9"/>
      <c r="C614" s="22"/>
    </row>
    <row r="615" spans="1:3" x14ac:dyDescent="0.25">
      <c r="A615" s="15"/>
      <c r="B615" s="9"/>
      <c r="C615" s="22"/>
    </row>
    <row r="616" spans="1:3" x14ac:dyDescent="0.25">
      <c r="A616" s="15"/>
      <c r="B616" s="9"/>
      <c r="C616" s="22"/>
    </row>
    <row r="617" spans="1:3" x14ac:dyDescent="0.25">
      <c r="A617" s="15"/>
      <c r="B617" s="9"/>
      <c r="C617" s="22"/>
    </row>
    <row r="618" spans="1:3" x14ac:dyDescent="0.25">
      <c r="A618" s="15"/>
      <c r="B618" s="9"/>
      <c r="C618" s="22"/>
    </row>
    <row r="619" spans="1:3" x14ac:dyDescent="0.25">
      <c r="A619" s="15"/>
      <c r="B619" s="9"/>
      <c r="C619" s="22"/>
    </row>
    <row r="620" spans="1:3" x14ac:dyDescent="0.25">
      <c r="A620" s="15"/>
      <c r="B620" s="9"/>
      <c r="C620" s="22"/>
    </row>
    <row r="621" spans="1:3" x14ac:dyDescent="0.25">
      <c r="A621" s="15"/>
      <c r="B621" s="9"/>
      <c r="C621" s="22"/>
    </row>
    <row r="622" spans="1:3" x14ac:dyDescent="0.25">
      <c r="A622" s="15"/>
      <c r="B622" s="9"/>
      <c r="C622" s="22"/>
    </row>
    <row r="623" spans="1:3" x14ac:dyDescent="0.25">
      <c r="A623" s="15"/>
      <c r="B623" s="9"/>
      <c r="C623" s="22"/>
    </row>
    <row r="624" spans="1:3" x14ac:dyDescent="0.25">
      <c r="A624" s="15"/>
      <c r="B624" s="9"/>
      <c r="C624" s="22"/>
    </row>
    <row r="625" spans="1:3" x14ac:dyDescent="0.25">
      <c r="A625" s="15"/>
      <c r="B625" s="9"/>
      <c r="C625" s="22"/>
    </row>
    <row r="626" spans="1:3" x14ac:dyDescent="0.25">
      <c r="A626" s="15"/>
      <c r="B626" s="9"/>
      <c r="C626" s="22"/>
    </row>
    <row r="627" spans="1:3" x14ac:dyDescent="0.25">
      <c r="A627" s="15"/>
      <c r="B627" s="9"/>
      <c r="C627" s="22"/>
    </row>
    <row r="628" spans="1:3" x14ac:dyDescent="0.25">
      <c r="A628" s="15"/>
      <c r="B628" s="9"/>
      <c r="C628" s="22"/>
    </row>
    <row r="629" spans="1:3" x14ac:dyDescent="0.25">
      <c r="A629" s="15"/>
      <c r="B629" s="9"/>
      <c r="C629" s="22"/>
    </row>
    <row r="630" spans="1:3" x14ac:dyDescent="0.25">
      <c r="A630" s="15"/>
      <c r="B630" s="9"/>
      <c r="C630" s="22"/>
    </row>
    <row r="631" spans="1:3" x14ac:dyDescent="0.25">
      <c r="A631" s="15"/>
      <c r="B631" s="9"/>
      <c r="C631" s="22"/>
    </row>
    <row r="632" spans="1:3" x14ac:dyDescent="0.25">
      <c r="A632" s="15"/>
      <c r="B632" s="9"/>
      <c r="C632" s="22"/>
    </row>
    <row r="633" spans="1:3" x14ac:dyDescent="0.25">
      <c r="A633" s="15"/>
      <c r="B633" s="9"/>
      <c r="C633" s="22"/>
    </row>
    <row r="634" spans="1:3" x14ac:dyDescent="0.25">
      <c r="A634" s="15"/>
      <c r="B634" s="9"/>
      <c r="C634" s="22"/>
    </row>
    <row r="635" spans="1:3" x14ac:dyDescent="0.25">
      <c r="A635" s="15"/>
      <c r="B635" s="9"/>
      <c r="C635" s="22"/>
    </row>
    <row r="636" spans="1:3" x14ac:dyDescent="0.25">
      <c r="A636" s="15"/>
      <c r="B636" s="9"/>
      <c r="C636" s="22"/>
    </row>
    <row r="637" spans="1:3" x14ac:dyDescent="0.25">
      <c r="A637" s="15"/>
      <c r="B637" s="9"/>
      <c r="C637" s="22"/>
    </row>
    <row r="638" spans="1:3" x14ac:dyDescent="0.25">
      <c r="A638" s="15"/>
      <c r="B638" s="9"/>
      <c r="C638" s="22"/>
    </row>
    <row r="639" spans="1:3" x14ac:dyDescent="0.25">
      <c r="A639" s="15"/>
      <c r="B639" s="9"/>
      <c r="C639" s="22"/>
    </row>
    <row r="640" spans="1:3" x14ac:dyDescent="0.25">
      <c r="A640" s="15"/>
      <c r="B640" s="9"/>
      <c r="C640" s="22"/>
    </row>
    <row r="641" spans="1:3" x14ac:dyDescent="0.25">
      <c r="A641" s="15"/>
      <c r="B641" s="9"/>
      <c r="C641" s="22"/>
    </row>
    <row r="642" spans="1:3" x14ac:dyDescent="0.25">
      <c r="A642" s="15"/>
      <c r="B642" s="9"/>
      <c r="C642" s="22"/>
    </row>
    <row r="643" spans="1:3" x14ac:dyDescent="0.25">
      <c r="A643" s="15"/>
      <c r="B643" s="9"/>
      <c r="C643" s="22"/>
    </row>
    <row r="644" spans="1:3" x14ac:dyDescent="0.25">
      <c r="A644" s="15"/>
      <c r="B644" s="9"/>
      <c r="C644" s="22"/>
    </row>
    <row r="645" spans="1:3" x14ac:dyDescent="0.25">
      <c r="A645" s="15"/>
      <c r="B645" s="9"/>
      <c r="C645" s="22"/>
    </row>
    <row r="646" spans="1:3" x14ac:dyDescent="0.25">
      <c r="A646" s="15"/>
      <c r="B646" s="9"/>
      <c r="C646" s="22"/>
    </row>
    <row r="647" spans="1:3" x14ac:dyDescent="0.25">
      <c r="A647" s="15"/>
      <c r="B647" s="9"/>
      <c r="C647" s="22"/>
    </row>
    <row r="648" spans="1:3" x14ac:dyDescent="0.25">
      <c r="A648" s="15"/>
      <c r="B648" s="9"/>
      <c r="C648" s="22"/>
    </row>
    <row r="649" spans="1:3" x14ac:dyDescent="0.25">
      <c r="A649" s="15"/>
      <c r="B649" s="9"/>
      <c r="C649" s="22"/>
    </row>
    <row r="650" spans="1:3" x14ac:dyDescent="0.25">
      <c r="A650" s="15"/>
      <c r="B650" s="9"/>
      <c r="C650" s="22"/>
    </row>
    <row r="651" spans="1:3" x14ac:dyDescent="0.25">
      <c r="A651" s="15"/>
      <c r="B651" s="9"/>
      <c r="C651" s="22"/>
    </row>
    <row r="652" spans="1:3" x14ac:dyDescent="0.25">
      <c r="A652" s="15"/>
      <c r="B652" s="9"/>
      <c r="C652" s="22"/>
    </row>
    <row r="653" spans="1:3" x14ac:dyDescent="0.25">
      <c r="A653" s="15"/>
      <c r="B653" s="9"/>
      <c r="C653" s="22"/>
    </row>
    <row r="654" spans="1:3" x14ac:dyDescent="0.25">
      <c r="A654" s="15"/>
      <c r="B654" s="9"/>
      <c r="C654" s="22"/>
    </row>
    <row r="655" spans="1:3" x14ac:dyDescent="0.25">
      <c r="A655" s="15"/>
      <c r="B655" s="9"/>
      <c r="C655" s="22"/>
    </row>
    <row r="656" spans="1:3" x14ac:dyDescent="0.25">
      <c r="A656" s="15"/>
      <c r="B656" s="9"/>
      <c r="C656" s="22"/>
    </row>
    <row r="657" spans="1:3" x14ac:dyDescent="0.25">
      <c r="A657" s="15"/>
      <c r="B657" s="9"/>
      <c r="C657" s="22"/>
    </row>
    <row r="658" spans="1:3" x14ac:dyDescent="0.25">
      <c r="A658" s="15"/>
      <c r="B658" s="9"/>
      <c r="C658" s="22"/>
    </row>
    <row r="659" spans="1:3" x14ac:dyDescent="0.25">
      <c r="A659" s="15"/>
      <c r="B659" s="9"/>
      <c r="C659" s="22"/>
    </row>
    <row r="660" spans="1:3" x14ac:dyDescent="0.25">
      <c r="A660" s="15"/>
      <c r="B660" s="9"/>
      <c r="C660" s="22"/>
    </row>
    <row r="661" spans="1:3" x14ac:dyDescent="0.25">
      <c r="A661" s="15"/>
      <c r="B661" s="9"/>
      <c r="C661" s="22"/>
    </row>
    <row r="662" spans="1:3" x14ac:dyDescent="0.25">
      <c r="A662" s="15"/>
      <c r="B662" s="9"/>
      <c r="C662" s="22"/>
    </row>
    <row r="663" spans="1:3" x14ac:dyDescent="0.25">
      <c r="A663" s="15"/>
      <c r="B663" s="9"/>
      <c r="C663" s="22"/>
    </row>
    <row r="664" spans="1:3" x14ac:dyDescent="0.25">
      <c r="A664" s="15"/>
      <c r="B664" s="9"/>
      <c r="C664" s="22"/>
    </row>
    <row r="665" spans="1:3" x14ac:dyDescent="0.25">
      <c r="A665" s="15"/>
      <c r="B665" s="9"/>
      <c r="C665" s="22"/>
    </row>
    <row r="666" spans="1:3" x14ac:dyDescent="0.25">
      <c r="A666" s="15"/>
      <c r="B666" s="9"/>
      <c r="C666" s="22"/>
    </row>
    <row r="667" spans="1:3" x14ac:dyDescent="0.25">
      <c r="A667" s="15"/>
      <c r="B667" s="9"/>
      <c r="C667" s="22"/>
    </row>
    <row r="668" spans="1:3" x14ac:dyDescent="0.25">
      <c r="A668" s="15"/>
      <c r="B668" s="9"/>
      <c r="C668" s="22"/>
    </row>
    <row r="669" spans="1:3" x14ac:dyDescent="0.25">
      <c r="A669" s="15"/>
      <c r="B669" s="9"/>
      <c r="C669" s="22"/>
    </row>
    <row r="670" spans="1:3" x14ac:dyDescent="0.25">
      <c r="A670" s="15"/>
      <c r="B670" s="9"/>
      <c r="C670" s="22"/>
    </row>
    <row r="671" spans="1:3" x14ac:dyDescent="0.25">
      <c r="A671" s="15"/>
      <c r="B671" s="9"/>
      <c r="C671" s="22"/>
    </row>
    <row r="672" spans="1:3" x14ac:dyDescent="0.25">
      <c r="A672" s="15"/>
      <c r="B672" s="9"/>
      <c r="C672" s="22"/>
    </row>
    <row r="673" spans="1:3" x14ac:dyDescent="0.25">
      <c r="A673" s="15"/>
      <c r="B673" s="9"/>
      <c r="C673" s="22"/>
    </row>
    <row r="674" spans="1:3" x14ac:dyDescent="0.25">
      <c r="A674" s="15"/>
      <c r="B674" s="9"/>
      <c r="C674" s="22"/>
    </row>
    <row r="675" spans="1:3" x14ac:dyDescent="0.25">
      <c r="A675" s="15"/>
      <c r="B675" s="9"/>
      <c r="C675" s="22"/>
    </row>
    <row r="676" spans="1:3" x14ac:dyDescent="0.25">
      <c r="A676" s="15"/>
      <c r="B676" s="9"/>
      <c r="C676" s="22"/>
    </row>
    <row r="677" spans="1:3" x14ac:dyDescent="0.25">
      <c r="A677" s="15"/>
      <c r="B677" s="9"/>
      <c r="C677" s="22"/>
    </row>
    <row r="678" spans="1:3" x14ac:dyDescent="0.25">
      <c r="A678" s="15"/>
      <c r="B678" s="9"/>
      <c r="C678" s="22"/>
    </row>
    <row r="679" spans="1:3" x14ac:dyDescent="0.25">
      <c r="A679" s="15"/>
      <c r="B679" s="9"/>
      <c r="C679" s="22"/>
    </row>
    <row r="680" spans="1:3" x14ac:dyDescent="0.25">
      <c r="A680" s="15"/>
      <c r="B680" s="9"/>
      <c r="C680" s="22"/>
    </row>
    <row r="681" spans="1:3" x14ac:dyDescent="0.25">
      <c r="A681" s="15"/>
      <c r="B681" s="9"/>
      <c r="C681" s="22"/>
    </row>
    <row r="682" spans="1:3" x14ac:dyDescent="0.25">
      <c r="A682" s="15"/>
      <c r="B682" s="9"/>
      <c r="C682" s="22"/>
    </row>
    <row r="683" spans="1:3" x14ac:dyDescent="0.25">
      <c r="A683" s="15"/>
      <c r="B683" s="9"/>
      <c r="C683" s="22"/>
    </row>
    <row r="684" spans="1:3" x14ac:dyDescent="0.25">
      <c r="A684" s="15"/>
      <c r="B684" s="9"/>
      <c r="C684" s="22"/>
    </row>
    <row r="685" spans="1:3" x14ac:dyDescent="0.25">
      <c r="A685" s="15"/>
      <c r="B685" s="9"/>
      <c r="C685" s="22"/>
    </row>
    <row r="686" spans="1:3" x14ac:dyDescent="0.25">
      <c r="A686" s="15"/>
      <c r="B686" s="9"/>
      <c r="C686" s="22"/>
    </row>
    <row r="687" spans="1:3" x14ac:dyDescent="0.25">
      <c r="A687" s="15"/>
      <c r="B687" s="9"/>
      <c r="C687" s="22"/>
    </row>
    <row r="688" spans="1:3" x14ac:dyDescent="0.25">
      <c r="A688" s="15"/>
      <c r="B688" s="9"/>
      <c r="C688" s="22"/>
    </row>
    <row r="689" spans="1:3" x14ac:dyDescent="0.25">
      <c r="A689" s="15"/>
      <c r="B689" s="9"/>
      <c r="C689" s="22"/>
    </row>
    <row r="690" spans="1:3" x14ac:dyDescent="0.25">
      <c r="A690" s="15"/>
      <c r="B690" s="9"/>
      <c r="C690" s="22"/>
    </row>
    <row r="691" spans="1:3" x14ac:dyDescent="0.25">
      <c r="A691" s="15"/>
      <c r="B691" s="9"/>
      <c r="C691" s="22"/>
    </row>
    <row r="692" spans="1:3" x14ac:dyDescent="0.25">
      <c r="A692" s="15"/>
      <c r="B692" s="9"/>
      <c r="C692" s="22"/>
    </row>
    <row r="693" spans="1:3" x14ac:dyDescent="0.25">
      <c r="A693" s="15"/>
      <c r="B693" s="9"/>
      <c r="C693" s="22"/>
    </row>
    <row r="694" spans="1:3" x14ac:dyDescent="0.25">
      <c r="A694" s="15"/>
      <c r="B694" s="9"/>
      <c r="C694" s="22"/>
    </row>
    <row r="695" spans="1:3" x14ac:dyDescent="0.25">
      <c r="A695" s="15"/>
      <c r="B695" s="9"/>
      <c r="C695" s="22"/>
    </row>
    <row r="696" spans="1:3" x14ac:dyDescent="0.25">
      <c r="A696" s="15"/>
      <c r="B696" s="9"/>
      <c r="C696" s="22"/>
    </row>
    <row r="697" spans="1:3" x14ac:dyDescent="0.25">
      <c r="A697" s="15"/>
      <c r="B697" s="9"/>
      <c r="C697" s="22"/>
    </row>
    <row r="698" spans="1:3" x14ac:dyDescent="0.25">
      <c r="A698" s="15"/>
      <c r="B698" s="9"/>
      <c r="C698" s="22"/>
    </row>
    <row r="699" spans="1:3" x14ac:dyDescent="0.25">
      <c r="A699" s="15"/>
      <c r="B699" s="9"/>
      <c r="C699" s="22"/>
    </row>
    <row r="700" spans="1:3" x14ac:dyDescent="0.25">
      <c r="A700" s="15"/>
      <c r="B700" s="9"/>
      <c r="C700" s="22"/>
    </row>
    <row r="701" spans="1:3" x14ac:dyDescent="0.25">
      <c r="A701" s="15"/>
      <c r="B701" s="9"/>
      <c r="C701" s="22"/>
    </row>
    <row r="702" spans="1:3" x14ac:dyDescent="0.25">
      <c r="A702" s="15"/>
      <c r="B702" s="9"/>
      <c r="C702" s="22"/>
    </row>
    <row r="703" spans="1:3" x14ac:dyDescent="0.25">
      <c r="A703" s="15"/>
      <c r="B703" s="9"/>
      <c r="C703" s="22"/>
    </row>
    <row r="704" spans="1:3" x14ac:dyDescent="0.25">
      <c r="A704" s="15"/>
      <c r="B704" s="9"/>
      <c r="C704" s="22"/>
    </row>
    <row r="705" spans="1:3" x14ac:dyDescent="0.25">
      <c r="A705" s="15"/>
      <c r="B705" s="9"/>
      <c r="C705" s="22"/>
    </row>
    <row r="706" spans="1:3" x14ac:dyDescent="0.25">
      <c r="A706" s="15"/>
      <c r="B706" s="9"/>
      <c r="C706" s="22"/>
    </row>
    <row r="707" spans="1:3" x14ac:dyDescent="0.25">
      <c r="A707" s="15"/>
      <c r="B707" s="9"/>
      <c r="C707" s="22"/>
    </row>
    <row r="708" spans="1:3" x14ac:dyDescent="0.25">
      <c r="A708" s="15"/>
      <c r="B708" s="9"/>
      <c r="C708" s="22"/>
    </row>
    <row r="709" spans="1:3" x14ac:dyDescent="0.25">
      <c r="A709" s="15"/>
      <c r="B709" s="9"/>
      <c r="C709" s="22"/>
    </row>
    <row r="710" spans="1:3" x14ac:dyDescent="0.25">
      <c r="A710" s="15"/>
      <c r="B710" s="9"/>
      <c r="C710" s="22"/>
    </row>
    <row r="711" spans="1:3" x14ac:dyDescent="0.25">
      <c r="A711" s="15"/>
      <c r="B711" s="9"/>
      <c r="C711" s="22"/>
    </row>
    <row r="712" spans="1:3" x14ac:dyDescent="0.25">
      <c r="A712" s="15"/>
      <c r="B712" s="9"/>
      <c r="C712" s="22"/>
    </row>
    <row r="713" spans="1:3" x14ac:dyDescent="0.25">
      <c r="A713" s="15"/>
      <c r="B713" s="9"/>
      <c r="C713" s="22"/>
    </row>
    <row r="714" spans="1:3" x14ac:dyDescent="0.25">
      <c r="A714" s="15"/>
      <c r="B714" s="9"/>
      <c r="C714" s="22"/>
    </row>
    <row r="715" spans="1:3" x14ac:dyDescent="0.25">
      <c r="A715" s="15"/>
      <c r="B715" s="9"/>
      <c r="C715" s="22"/>
    </row>
    <row r="716" spans="1:3" x14ac:dyDescent="0.25">
      <c r="A716" s="15"/>
      <c r="B716" s="9"/>
      <c r="C716" s="22"/>
    </row>
    <row r="717" spans="1:3" x14ac:dyDescent="0.25">
      <c r="A717" s="15"/>
      <c r="B717" s="9"/>
      <c r="C717" s="22"/>
    </row>
    <row r="718" spans="1:3" x14ac:dyDescent="0.25">
      <c r="A718" s="15"/>
      <c r="B718" s="9"/>
      <c r="C718" s="22"/>
    </row>
    <row r="719" spans="1:3" x14ac:dyDescent="0.25">
      <c r="A719" s="15"/>
      <c r="B719" s="9"/>
      <c r="C719" s="22"/>
    </row>
    <row r="720" spans="1:3" x14ac:dyDescent="0.25">
      <c r="A720" s="15"/>
      <c r="B720" s="9"/>
      <c r="C720" s="22"/>
    </row>
    <row r="721" spans="1:3" x14ac:dyDescent="0.25">
      <c r="A721" s="15"/>
      <c r="B721" s="9"/>
      <c r="C721" s="22"/>
    </row>
    <row r="722" spans="1:3" x14ac:dyDescent="0.25">
      <c r="A722" s="15"/>
      <c r="B722" s="9"/>
      <c r="C722" s="22"/>
    </row>
    <row r="723" spans="1:3" x14ac:dyDescent="0.25">
      <c r="A723" s="15"/>
      <c r="B723" s="9"/>
      <c r="C723" s="22"/>
    </row>
    <row r="724" spans="1:3" x14ac:dyDescent="0.25">
      <c r="A724" s="15"/>
      <c r="B724" s="9"/>
      <c r="C724" s="22"/>
    </row>
    <row r="725" spans="1:3" x14ac:dyDescent="0.25">
      <c r="A725" s="15"/>
      <c r="B725" s="9"/>
      <c r="C725" s="22"/>
    </row>
    <row r="726" spans="1:3" x14ac:dyDescent="0.25">
      <c r="A726" s="15"/>
      <c r="B726" s="9"/>
      <c r="C726" s="22"/>
    </row>
    <row r="727" spans="1:3" x14ac:dyDescent="0.25">
      <c r="A727" s="15"/>
      <c r="B727" s="9"/>
      <c r="C727" s="22"/>
    </row>
    <row r="728" spans="1:3" x14ac:dyDescent="0.25">
      <c r="A728" s="15"/>
      <c r="B728" s="9"/>
      <c r="C728" s="22"/>
    </row>
    <row r="729" spans="1:3" x14ac:dyDescent="0.25">
      <c r="A729" s="15"/>
      <c r="B729" s="9"/>
      <c r="C729" s="22"/>
    </row>
    <row r="730" spans="1:3" x14ac:dyDescent="0.25">
      <c r="A730" s="15"/>
      <c r="B730" s="9"/>
      <c r="C730" s="22"/>
    </row>
    <row r="731" spans="1:3" x14ac:dyDescent="0.25">
      <c r="A731" s="15"/>
      <c r="B731" s="9"/>
      <c r="C731" s="22"/>
    </row>
    <row r="732" spans="1:3" x14ac:dyDescent="0.25">
      <c r="A732" s="15"/>
      <c r="B732" s="9"/>
      <c r="C732" s="22"/>
    </row>
    <row r="733" spans="1:3" x14ac:dyDescent="0.25">
      <c r="A733" s="15"/>
      <c r="B733" s="9"/>
      <c r="C733" s="22"/>
    </row>
    <row r="734" spans="1:3" x14ac:dyDescent="0.25">
      <c r="A734" s="15"/>
      <c r="B734" s="9"/>
      <c r="C734" s="22"/>
    </row>
    <row r="735" spans="1:3" x14ac:dyDescent="0.25">
      <c r="A735" s="15"/>
      <c r="B735" s="9"/>
      <c r="C735" s="22"/>
    </row>
    <row r="736" spans="1:3" x14ac:dyDescent="0.25">
      <c r="A736" s="15"/>
      <c r="B736" s="9"/>
      <c r="C736" s="22"/>
    </row>
    <row r="737" spans="1:3" x14ac:dyDescent="0.25">
      <c r="A737" s="15"/>
      <c r="B737" s="9"/>
      <c r="C737" s="22"/>
    </row>
    <row r="738" spans="1:3" x14ac:dyDescent="0.25">
      <c r="A738" s="15"/>
      <c r="B738" s="9"/>
      <c r="C738" s="22"/>
    </row>
    <row r="739" spans="1:3" x14ac:dyDescent="0.25">
      <c r="A739" s="15"/>
      <c r="B739" s="9"/>
      <c r="C739" s="22"/>
    </row>
    <row r="740" spans="1:3" x14ac:dyDescent="0.25">
      <c r="A740" s="15"/>
      <c r="B740" s="9"/>
      <c r="C740" s="22"/>
    </row>
    <row r="741" spans="1:3" x14ac:dyDescent="0.25">
      <c r="A741" s="15"/>
      <c r="B741" s="9"/>
      <c r="C741" s="22"/>
    </row>
    <row r="742" spans="1:3" x14ac:dyDescent="0.25">
      <c r="A742" s="15"/>
      <c r="B742" s="9"/>
      <c r="C742" s="22"/>
    </row>
    <row r="743" spans="1:3" x14ac:dyDescent="0.25">
      <c r="A743" s="15"/>
      <c r="B743" s="9"/>
      <c r="C743" s="22"/>
    </row>
    <row r="744" spans="1:3" x14ac:dyDescent="0.25">
      <c r="A744" s="15"/>
      <c r="B744" s="9"/>
      <c r="C744" s="22"/>
    </row>
    <row r="745" spans="1:3" x14ac:dyDescent="0.25">
      <c r="A745" s="15"/>
      <c r="B745" s="9"/>
      <c r="C745" s="22"/>
    </row>
    <row r="746" spans="1:3" x14ac:dyDescent="0.25">
      <c r="A746" s="15"/>
      <c r="B746" s="9"/>
      <c r="C746" s="22"/>
    </row>
    <row r="747" spans="1:3" x14ac:dyDescent="0.25">
      <c r="A747" s="15"/>
      <c r="B747" s="9"/>
      <c r="C747" s="22"/>
    </row>
    <row r="748" spans="1:3" x14ac:dyDescent="0.25">
      <c r="A748" s="15"/>
      <c r="B748" s="9"/>
      <c r="C748" s="22"/>
    </row>
    <row r="749" spans="1:3" x14ac:dyDescent="0.25">
      <c r="A749" s="15"/>
      <c r="B749" s="9"/>
      <c r="C749" s="22"/>
    </row>
    <row r="750" spans="1:3" x14ac:dyDescent="0.25">
      <c r="A750" s="15"/>
      <c r="B750" s="9"/>
      <c r="C750" s="22"/>
    </row>
    <row r="751" spans="1:3" x14ac:dyDescent="0.25">
      <c r="A751" s="15"/>
      <c r="B751" s="9"/>
      <c r="C751" s="22"/>
    </row>
    <row r="752" spans="1:3" x14ac:dyDescent="0.25">
      <c r="A752" s="15"/>
      <c r="B752" s="9"/>
      <c r="C752" s="22"/>
    </row>
    <row r="753" spans="1:3" x14ac:dyDescent="0.25">
      <c r="A753" s="15"/>
      <c r="B753" s="9"/>
      <c r="C753" s="22"/>
    </row>
    <row r="754" spans="1:3" x14ac:dyDescent="0.25">
      <c r="A754" s="15"/>
      <c r="B754" s="9"/>
      <c r="C754" s="22"/>
    </row>
    <row r="755" spans="1:3" x14ac:dyDescent="0.25">
      <c r="A755" s="15"/>
      <c r="B755" s="9"/>
      <c r="C755" s="22"/>
    </row>
    <row r="756" spans="1:3" x14ac:dyDescent="0.25">
      <c r="A756" s="15"/>
      <c r="B756" s="9"/>
      <c r="C756" s="22"/>
    </row>
    <row r="757" spans="1:3" x14ac:dyDescent="0.25">
      <c r="A757" s="15"/>
      <c r="B757" s="9"/>
      <c r="C757" s="22"/>
    </row>
    <row r="758" spans="1:3" x14ac:dyDescent="0.25">
      <c r="A758" s="15"/>
      <c r="B758" s="9"/>
      <c r="C758" s="22"/>
    </row>
    <row r="759" spans="1:3" x14ac:dyDescent="0.25">
      <c r="A759" s="15"/>
      <c r="B759" s="9"/>
      <c r="C759" s="22"/>
    </row>
    <row r="760" spans="1:3" x14ac:dyDescent="0.25">
      <c r="A760" s="15"/>
      <c r="B760" s="9"/>
      <c r="C760" s="22"/>
    </row>
    <row r="761" spans="1:3" x14ac:dyDescent="0.25">
      <c r="A761" s="15"/>
      <c r="B761" s="9"/>
      <c r="C761" s="22"/>
    </row>
    <row r="762" spans="1:3" x14ac:dyDescent="0.25">
      <c r="A762" s="15"/>
      <c r="B762" s="9"/>
      <c r="C762" s="22"/>
    </row>
    <row r="763" spans="1:3" x14ac:dyDescent="0.25">
      <c r="A763" s="15"/>
      <c r="B763" s="9"/>
      <c r="C763" s="22"/>
    </row>
    <row r="764" spans="1:3" x14ac:dyDescent="0.25">
      <c r="A764" s="15"/>
      <c r="B764" s="9"/>
      <c r="C764" s="22"/>
    </row>
    <row r="765" spans="1:3" x14ac:dyDescent="0.25">
      <c r="A765" s="15"/>
      <c r="B765" s="9"/>
      <c r="C765" s="22"/>
    </row>
    <row r="766" spans="1:3" x14ac:dyDescent="0.25">
      <c r="A766" s="15"/>
      <c r="B766" s="9"/>
      <c r="C766" s="22"/>
    </row>
    <row r="767" spans="1:3" x14ac:dyDescent="0.25">
      <c r="A767" s="15"/>
      <c r="B767" s="9"/>
      <c r="C767" s="22"/>
    </row>
    <row r="768" spans="1:3" x14ac:dyDescent="0.25">
      <c r="A768" s="15"/>
      <c r="B768" s="9"/>
      <c r="C768" s="22"/>
    </row>
    <row r="769" spans="1:3" x14ac:dyDescent="0.25">
      <c r="A769" s="15"/>
      <c r="B769" s="9"/>
      <c r="C769" s="22"/>
    </row>
    <row r="770" spans="1:3" x14ac:dyDescent="0.25">
      <c r="A770" s="15"/>
      <c r="B770" s="9"/>
      <c r="C770" s="22"/>
    </row>
    <row r="771" spans="1:3" x14ac:dyDescent="0.25">
      <c r="A771" s="15"/>
      <c r="B771" s="9"/>
      <c r="C771" s="22"/>
    </row>
    <row r="772" spans="1:3" x14ac:dyDescent="0.25">
      <c r="A772" s="15"/>
      <c r="B772" s="9"/>
      <c r="C772" s="22"/>
    </row>
    <row r="773" spans="1:3" x14ac:dyDescent="0.25">
      <c r="A773" s="15"/>
      <c r="B773" s="9"/>
      <c r="C773" s="22"/>
    </row>
    <row r="774" spans="1:3" x14ac:dyDescent="0.25">
      <c r="A774" s="15"/>
      <c r="B774" s="9"/>
      <c r="C774" s="22"/>
    </row>
    <row r="775" spans="1:3" x14ac:dyDescent="0.25">
      <c r="A775" s="15"/>
      <c r="B775" s="9"/>
      <c r="C775" s="22"/>
    </row>
    <row r="776" spans="1:3" x14ac:dyDescent="0.25">
      <c r="A776" s="15"/>
      <c r="B776" s="9"/>
      <c r="C776" s="22"/>
    </row>
    <row r="777" spans="1:3" x14ac:dyDescent="0.25">
      <c r="A777" s="15"/>
      <c r="B777" s="9"/>
      <c r="C777" s="22"/>
    </row>
    <row r="778" spans="1:3" x14ac:dyDescent="0.25">
      <c r="A778" s="15"/>
      <c r="B778" s="9"/>
      <c r="C778" s="22"/>
    </row>
    <row r="779" spans="1:3" x14ac:dyDescent="0.25">
      <c r="A779" s="15"/>
      <c r="B779" s="9"/>
      <c r="C779" s="22"/>
    </row>
    <row r="780" spans="1:3" x14ac:dyDescent="0.25">
      <c r="A780" s="15"/>
      <c r="B780" s="9"/>
      <c r="C780" s="22"/>
    </row>
    <row r="781" spans="1:3" x14ac:dyDescent="0.25">
      <c r="A781" s="15"/>
      <c r="B781" s="9"/>
      <c r="C781" s="22"/>
    </row>
    <row r="782" spans="1:3" x14ac:dyDescent="0.25">
      <c r="A782" s="15"/>
      <c r="B782" s="9"/>
      <c r="C782" s="22"/>
    </row>
    <row r="783" spans="1:3" x14ac:dyDescent="0.25">
      <c r="A783" s="15"/>
      <c r="B783" s="9"/>
      <c r="C783" s="22"/>
    </row>
    <row r="784" spans="1:3" x14ac:dyDescent="0.25">
      <c r="A784" s="15"/>
      <c r="B784" s="9"/>
      <c r="C784" s="22"/>
    </row>
    <row r="785" spans="1:3" x14ac:dyDescent="0.25">
      <c r="A785" s="15"/>
      <c r="B785" s="9"/>
      <c r="C785" s="22"/>
    </row>
    <row r="786" spans="1:3" x14ac:dyDescent="0.25">
      <c r="A786" s="15"/>
      <c r="B786" s="9"/>
      <c r="C786" s="22"/>
    </row>
    <row r="787" spans="1:3" x14ac:dyDescent="0.25">
      <c r="A787" s="15"/>
      <c r="B787" s="9"/>
      <c r="C787" s="22"/>
    </row>
    <row r="788" spans="1:3" x14ac:dyDescent="0.25">
      <c r="A788" s="15"/>
      <c r="B788" s="9"/>
      <c r="C788" s="22"/>
    </row>
    <row r="789" spans="1:3" x14ac:dyDescent="0.25">
      <c r="A789" s="15"/>
      <c r="B789" s="9"/>
      <c r="C789" s="22"/>
    </row>
    <row r="790" spans="1:3" x14ac:dyDescent="0.25">
      <c r="A790" s="15"/>
      <c r="B790" s="9"/>
      <c r="C790" s="22"/>
    </row>
    <row r="791" spans="1:3" x14ac:dyDescent="0.25">
      <c r="A791" s="15"/>
      <c r="B791" s="9"/>
      <c r="C791" s="22"/>
    </row>
    <row r="792" spans="1:3" x14ac:dyDescent="0.25">
      <c r="A792" s="15"/>
      <c r="B792" s="9"/>
      <c r="C792" s="22"/>
    </row>
    <row r="793" spans="1:3" x14ac:dyDescent="0.25">
      <c r="A793" s="15"/>
      <c r="B793" s="9"/>
      <c r="C793" s="22"/>
    </row>
    <row r="794" spans="1:3" x14ac:dyDescent="0.25">
      <c r="A794" s="15"/>
      <c r="B794" s="9"/>
      <c r="C794" s="22"/>
    </row>
    <row r="795" spans="1:3" x14ac:dyDescent="0.25">
      <c r="A795" s="15"/>
      <c r="B795" s="9"/>
      <c r="C795" s="22"/>
    </row>
    <row r="796" spans="1:3" x14ac:dyDescent="0.25">
      <c r="A796" s="15"/>
      <c r="B796" s="9"/>
      <c r="C796" s="22"/>
    </row>
    <row r="797" spans="1:3" x14ac:dyDescent="0.25">
      <c r="A797" s="15"/>
      <c r="B797" s="9"/>
      <c r="C797" s="22"/>
    </row>
  </sheetData>
  <autoFilter ref="A3:C540" xr:uid="{00000000-0009-0000-0000-000000000000}"/>
  <conditionalFormatting sqref="A10 A76:A77 A79 A81:A89 A92:A95 A107">
    <cfRule type="expression" dxfId="5" priority="7">
      <formula>AB10="ERROR CUIT"</formula>
    </cfRule>
  </conditionalFormatting>
  <conditionalFormatting sqref="A12:A13 A16:A19 A21:A24 A27 A64:A65 A75 A80 A110:A121">
    <cfRule type="expression" dxfId="4" priority="5">
      <formula>AC12="ERROR CUIT"</formula>
    </cfRule>
  </conditionalFormatting>
  <conditionalFormatting sqref="A15">
    <cfRule type="expression" dxfId="3" priority="4">
      <formula>AG26="ERROR CUIT"</formula>
    </cfRule>
  </conditionalFormatting>
  <conditionalFormatting sqref="A55 A57:A58 A62">
    <cfRule type="expression" dxfId="2" priority="6">
      <formula>Y55="ERROR CUIT"</formula>
    </cfRule>
  </conditionalFormatting>
  <conditionalFormatting sqref="A59:A61 A63">
    <cfRule type="expression" dxfId="1" priority="2">
      <formula>Z59="ERROR CUIT"</formula>
    </cfRule>
  </conditionalFormatting>
  <conditionalFormatting sqref="A123:A125">
    <cfRule type="expression" dxfId="0" priority="3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14 A17:A20 A27 A59:A61 A63:A65 A75 A97 A110:A119 A123:A125" xr:uid="{00000000-0002-0000-0000-000000000000}">
      <formula1>11</formula1>
      <formula2>0</formula2>
    </dataValidation>
    <dataValidation type="textLength" allowBlank="1" showInputMessage="1" showErrorMessage="1" sqref="B1:B48 B54:B1570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22"/>
  <sheetViews>
    <sheetView topLeftCell="A37" zoomScale="75" zoomScaleNormal="75" workbookViewId="0">
      <selection activeCell="G47" sqref="G47"/>
    </sheetView>
  </sheetViews>
  <sheetFormatPr baseColWidth="10" defaultColWidth="9.140625" defaultRowHeight="15" customHeight="1" x14ac:dyDescent="0.25"/>
  <cols>
    <col min="1" max="1" width="13.7109375" style="36" customWidth="1"/>
    <col min="2" max="2" width="10" style="7" customWidth="1"/>
    <col min="3" max="3" width="14.28515625" style="7" customWidth="1"/>
    <col min="4" max="4" width="14" style="1" customWidth="1"/>
    <col min="5" max="5" width="27.85546875" customWidth="1"/>
    <col min="6" max="6" width="13.7109375" style="7" customWidth="1"/>
    <col min="7" max="7" width="12.85546875" style="7" customWidth="1"/>
    <col min="8" max="8" width="13.5703125" style="7" customWidth="1"/>
    <col min="9" max="9" width="15.42578125" customWidth="1"/>
    <col min="11" max="11" width="10.140625" customWidth="1"/>
    <col min="12" max="12" width="11.28515625" customWidth="1"/>
    <col min="13" max="13" width="9.85546875" customWidth="1"/>
    <col min="14" max="14" width="11.7109375" customWidth="1"/>
    <col min="15" max="16" width="14.7109375" customWidth="1"/>
  </cols>
  <sheetData>
    <row r="1" spans="1:16" ht="21" x14ac:dyDescent="0.25">
      <c r="A1" s="274" t="s">
        <v>596</v>
      </c>
      <c r="B1" s="274"/>
      <c r="C1" s="274"/>
      <c r="D1" s="274"/>
      <c r="E1" s="274"/>
      <c r="F1" s="274"/>
      <c r="G1" s="274"/>
      <c r="H1" s="274"/>
      <c r="I1" s="274"/>
      <c r="J1" s="275">
        <v>45931</v>
      </c>
      <c r="K1" s="275"/>
      <c r="L1" s="275"/>
      <c r="M1" s="275"/>
      <c r="N1" s="275"/>
    </row>
    <row r="2" spans="1:16" ht="18.75" x14ac:dyDescent="0.3">
      <c r="A2" s="37"/>
      <c r="B2" s="38"/>
      <c r="C2" s="38"/>
      <c r="D2" s="39"/>
      <c r="E2" s="40"/>
      <c r="F2" s="41"/>
      <c r="G2" s="42"/>
      <c r="H2" s="42"/>
      <c r="I2" s="43"/>
      <c r="J2" s="43"/>
      <c r="K2" s="44"/>
      <c r="L2" s="44"/>
    </row>
    <row r="3" spans="1:16" x14ac:dyDescent="0.25">
      <c r="F3" s="38"/>
      <c r="G3" s="45"/>
      <c r="H3" s="46"/>
      <c r="I3" s="47"/>
      <c r="J3" s="44"/>
      <c r="K3" s="44"/>
    </row>
    <row r="4" spans="1:16" ht="15.75" x14ac:dyDescent="0.25">
      <c r="A4" s="276" t="s">
        <v>597</v>
      </c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</row>
    <row r="5" spans="1:16" x14ac:dyDescent="0.25">
      <c r="A5" s="48"/>
      <c r="B5" s="49"/>
      <c r="C5" s="49"/>
      <c r="D5" s="50"/>
      <c r="E5" s="49"/>
      <c r="F5" s="51"/>
      <c r="G5" s="51"/>
      <c r="H5" s="51"/>
      <c r="I5" s="49"/>
      <c r="J5" s="52"/>
      <c r="K5" s="52"/>
    </row>
    <row r="6" spans="1:16" ht="15.75" x14ac:dyDescent="0.25">
      <c r="A6" s="266" t="s">
        <v>598</v>
      </c>
      <c r="B6" s="266"/>
      <c r="C6" s="266"/>
      <c r="D6" s="50"/>
      <c r="E6" s="49"/>
      <c r="F6" s="51"/>
      <c r="G6" s="51"/>
      <c r="H6" s="51"/>
      <c r="I6" s="49"/>
      <c r="J6" s="52"/>
      <c r="K6" s="52"/>
    </row>
    <row r="7" spans="1:16" x14ac:dyDescent="0.25">
      <c r="A7" s="53" t="s">
        <v>599</v>
      </c>
      <c r="B7" s="54" t="s">
        <v>600</v>
      </c>
      <c r="C7" s="54" t="s">
        <v>601</v>
      </c>
      <c r="D7" s="55" t="s">
        <v>0</v>
      </c>
      <c r="E7" s="56" t="s">
        <v>2</v>
      </c>
      <c r="F7" s="54" t="s">
        <v>602</v>
      </c>
      <c r="G7" s="54" t="s">
        <v>603</v>
      </c>
      <c r="H7" s="54" t="s">
        <v>604</v>
      </c>
      <c r="I7" s="54" t="s">
        <v>605</v>
      </c>
      <c r="J7" s="54" t="s">
        <v>606</v>
      </c>
      <c r="K7" s="54" t="s">
        <v>607</v>
      </c>
      <c r="L7" s="54" t="s">
        <v>608</v>
      </c>
      <c r="M7" s="54" t="s">
        <v>609</v>
      </c>
      <c r="N7" s="54" t="s">
        <v>610</v>
      </c>
      <c r="O7" s="54" t="s">
        <v>611</v>
      </c>
      <c r="P7" s="54" t="s">
        <v>4</v>
      </c>
    </row>
    <row r="8" spans="1:16" ht="15" customHeight="1" x14ac:dyDescent="0.25">
      <c r="A8" s="57"/>
      <c r="B8" s="58"/>
      <c r="C8" s="59"/>
      <c r="D8" s="14"/>
      <c r="E8" s="60" t="e">
        <f>VLOOKUP(D8,Configuracion!$A$4:$C$590,2,FALSE())</f>
        <v>#N/A</v>
      </c>
      <c r="F8" s="61"/>
      <c r="G8" s="62">
        <f t="shared" ref="G8:G17" si="0">F8*21%</f>
        <v>0</v>
      </c>
      <c r="H8" s="62"/>
      <c r="I8" s="62"/>
      <c r="J8" s="62"/>
      <c r="K8" s="63"/>
      <c r="L8" s="62"/>
      <c r="M8" s="64"/>
      <c r="N8" s="62"/>
      <c r="O8" s="65">
        <f t="shared" ref="O8:O17" si="1">SUM(F8:N8)</f>
        <v>0</v>
      </c>
      <c r="P8" s="66" t="e">
        <f>VLOOKUP(D8,Configuracion!$A$4:$C$590,3,FALSE())</f>
        <v>#N/A</v>
      </c>
    </row>
    <row r="9" spans="1:16" ht="15" customHeight="1" x14ac:dyDescent="0.25">
      <c r="A9" s="57"/>
      <c r="B9" s="58"/>
      <c r="C9" s="59"/>
      <c r="D9" s="14"/>
      <c r="E9" s="60" t="e">
        <f>VLOOKUP(D9,Configuracion!$A$4:$C$590,2,FALSE())</f>
        <v>#N/A</v>
      </c>
      <c r="F9" s="61"/>
      <c r="G9" s="62">
        <f t="shared" si="0"/>
        <v>0</v>
      </c>
      <c r="H9" s="62"/>
      <c r="I9" s="62"/>
      <c r="J9" s="62"/>
      <c r="K9" s="63"/>
      <c r="L9" s="62"/>
      <c r="M9" s="64"/>
      <c r="N9" s="62"/>
      <c r="O9" s="65">
        <f t="shared" si="1"/>
        <v>0</v>
      </c>
      <c r="P9" s="66" t="e">
        <f>VLOOKUP(D9,Configuracion!$A$4:$C$590,3,FALSE())</f>
        <v>#N/A</v>
      </c>
    </row>
    <row r="10" spans="1:16" ht="15" customHeight="1" x14ac:dyDescent="0.25">
      <c r="A10" s="57"/>
      <c r="B10" s="58"/>
      <c r="C10" s="59"/>
      <c r="D10" s="14"/>
      <c r="E10" s="60" t="e">
        <f>VLOOKUP(D10,Configuracion!$A$4:$C$590,2,FALSE())</f>
        <v>#N/A</v>
      </c>
      <c r="F10" s="61"/>
      <c r="G10" s="62">
        <f t="shared" si="0"/>
        <v>0</v>
      </c>
      <c r="H10" s="62"/>
      <c r="I10" s="62"/>
      <c r="J10" s="62"/>
      <c r="K10" s="63"/>
      <c r="L10" s="62"/>
      <c r="M10" s="64"/>
      <c r="N10" s="62"/>
      <c r="O10" s="65">
        <f t="shared" si="1"/>
        <v>0</v>
      </c>
      <c r="P10" s="66" t="e">
        <f>VLOOKUP(D10,Configuracion!$A$4:$C$590,3,FALSE())</f>
        <v>#N/A</v>
      </c>
    </row>
    <row r="11" spans="1:16" ht="15" customHeight="1" x14ac:dyDescent="0.25">
      <c r="A11" s="57"/>
      <c r="B11" s="58"/>
      <c r="C11" s="59"/>
      <c r="D11" s="14"/>
      <c r="E11" s="60" t="e">
        <f>VLOOKUP(D11,Configuracion!$A$4:$C$590,2,FALSE())</f>
        <v>#N/A</v>
      </c>
      <c r="F11" s="61"/>
      <c r="G11" s="62">
        <f t="shared" si="0"/>
        <v>0</v>
      </c>
      <c r="H11" s="62"/>
      <c r="I11" s="62"/>
      <c r="J11" s="62"/>
      <c r="K11" s="63"/>
      <c r="L11" s="62"/>
      <c r="M11" s="64"/>
      <c r="N11" s="62"/>
      <c r="O11" s="65">
        <f t="shared" si="1"/>
        <v>0</v>
      </c>
      <c r="P11" s="66" t="e">
        <f>VLOOKUP(D11,Configuracion!$A$4:$C$590,3,FALSE())</f>
        <v>#N/A</v>
      </c>
    </row>
    <row r="12" spans="1:16" ht="15" customHeight="1" x14ac:dyDescent="0.25">
      <c r="A12" s="57"/>
      <c r="B12" s="58"/>
      <c r="C12" s="59"/>
      <c r="D12" s="14"/>
      <c r="E12" s="60" t="e">
        <f>VLOOKUP(D12,Configuracion!$A$4:$C$590,2,FALSE())</f>
        <v>#N/A</v>
      </c>
      <c r="F12" s="61"/>
      <c r="G12" s="62">
        <f t="shared" si="0"/>
        <v>0</v>
      </c>
      <c r="H12" s="62"/>
      <c r="I12" s="62"/>
      <c r="J12" s="62"/>
      <c r="K12" s="63"/>
      <c r="L12" s="62"/>
      <c r="M12" s="64"/>
      <c r="N12" s="62"/>
      <c r="O12" s="65">
        <f t="shared" si="1"/>
        <v>0</v>
      </c>
      <c r="P12" s="66" t="e">
        <f>VLOOKUP(D12,Configuracion!$A$4:$C$590,3,FALSE())</f>
        <v>#N/A</v>
      </c>
    </row>
    <row r="13" spans="1:16" ht="15" customHeight="1" x14ac:dyDescent="0.25">
      <c r="A13" s="57"/>
      <c r="B13" s="58"/>
      <c r="C13" s="59"/>
      <c r="D13" s="14"/>
      <c r="E13" s="60" t="e">
        <f>VLOOKUP(D13,Configuracion!$A$4:$C$590,2,FALSE())</f>
        <v>#N/A</v>
      </c>
      <c r="F13" s="61"/>
      <c r="G13" s="62">
        <f t="shared" si="0"/>
        <v>0</v>
      </c>
      <c r="H13" s="62"/>
      <c r="I13" s="62"/>
      <c r="J13" s="62"/>
      <c r="K13" s="63"/>
      <c r="L13" s="62"/>
      <c r="M13" s="64"/>
      <c r="N13" s="62"/>
      <c r="O13" s="65">
        <f t="shared" si="1"/>
        <v>0</v>
      </c>
      <c r="P13" s="66" t="e">
        <f>VLOOKUP(D13,Configuracion!$A$4:$C$590,3,FALSE())</f>
        <v>#N/A</v>
      </c>
    </row>
    <row r="14" spans="1:16" ht="15" customHeight="1" x14ac:dyDescent="0.25">
      <c r="A14" s="57"/>
      <c r="B14" s="58"/>
      <c r="C14" s="59"/>
      <c r="D14" s="14"/>
      <c r="E14" s="60" t="e">
        <f>VLOOKUP(D14,Configuracion!$A$4:$C$590,2,FALSE())</f>
        <v>#N/A</v>
      </c>
      <c r="F14" s="61"/>
      <c r="G14" s="62">
        <f t="shared" si="0"/>
        <v>0</v>
      </c>
      <c r="H14" s="62"/>
      <c r="I14" s="62"/>
      <c r="J14" s="62"/>
      <c r="K14" s="63"/>
      <c r="L14" s="62"/>
      <c r="M14" s="64"/>
      <c r="N14" s="62"/>
      <c r="O14" s="65">
        <f t="shared" si="1"/>
        <v>0</v>
      </c>
      <c r="P14" s="66" t="e">
        <f>VLOOKUP(D14,Configuracion!$A$4:$C$590,3,FALSE())</f>
        <v>#N/A</v>
      </c>
    </row>
    <row r="15" spans="1:16" ht="15" customHeight="1" x14ac:dyDescent="0.25">
      <c r="A15" s="57"/>
      <c r="B15" s="58"/>
      <c r="C15" s="59"/>
      <c r="D15" s="14"/>
      <c r="E15" s="60" t="e">
        <f>VLOOKUP(D15,Configuracion!$A$4:$C$590,2,FALSE())</f>
        <v>#N/A</v>
      </c>
      <c r="F15" s="61"/>
      <c r="G15" s="62">
        <f t="shared" si="0"/>
        <v>0</v>
      </c>
      <c r="H15" s="62"/>
      <c r="I15" s="62"/>
      <c r="J15" s="62"/>
      <c r="K15" s="63"/>
      <c r="L15" s="62"/>
      <c r="M15" s="64"/>
      <c r="N15" s="62"/>
      <c r="O15" s="65">
        <f t="shared" si="1"/>
        <v>0</v>
      </c>
      <c r="P15" s="66" t="e">
        <f>VLOOKUP(D15,Configuracion!$A$4:$C$590,3,FALSE())</f>
        <v>#N/A</v>
      </c>
    </row>
    <row r="16" spans="1:16" ht="15" customHeight="1" x14ac:dyDescent="0.25">
      <c r="A16" s="57"/>
      <c r="B16" s="58"/>
      <c r="C16" s="59"/>
      <c r="D16" s="14"/>
      <c r="E16" s="60" t="e">
        <f>VLOOKUP(D16,Configuracion!$A$4:$C$590,2,FALSE())</f>
        <v>#N/A</v>
      </c>
      <c r="F16" s="61"/>
      <c r="G16" s="62">
        <f t="shared" si="0"/>
        <v>0</v>
      </c>
      <c r="H16" s="62"/>
      <c r="I16" s="62"/>
      <c r="J16" s="62"/>
      <c r="K16" s="63"/>
      <c r="L16" s="62"/>
      <c r="M16" s="64"/>
      <c r="N16" s="62"/>
      <c r="O16" s="65">
        <f t="shared" si="1"/>
        <v>0</v>
      </c>
      <c r="P16" s="66" t="e">
        <f>VLOOKUP(D16,Configuracion!$A$4:$C$590,3,FALSE())</f>
        <v>#N/A</v>
      </c>
    </row>
    <row r="17" spans="1:16" ht="15" customHeight="1" x14ac:dyDescent="0.25">
      <c r="A17" s="57"/>
      <c r="B17" s="58"/>
      <c r="C17" s="59"/>
      <c r="D17" s="14"/>
      <c r="E17" s="60" t="e">
        <f>VLOOKUP(D17,Configuracion!$A$4:$C$590,2,FALSE())</f>
        <v>#N/A</v>
      </c>
      <c r="F17" s="61"/>
      <c r="G17" s="62">
        <f t="shared" si="0"/>
        <v>0</v>
      </c>
      <c r="H17" s="62"/>
      <c r="I17" s="62"/>
      <c r="J17" s="62"/>
      <c r="K17" s="63"/>
      <c r="L17" s="62"/>
      <c r="M17" s="64"/>
      <c r="N17" s="62"/>
      <c r="O17" s="65">
        <f t="shared" si="1"/>
        <v>0</v>
      </c>
      <c r="P17" s="66" t="e">
        <f>VLOOKUP(D17,Configuracion!$A$4:$C$590,3,FALSE())</f>
        <v>#N/A</v>
      </c>
    </row>
    <row r="18" spans="1:16" ht="15.75" customHeight="1" x14ac:dyDescent="0.25">
      <c r="A18" s="267" t="s">
        <v>611</v>
      </c>
      <c r="B18" s="267"/>
      <c r="C18" s="267"/>
      <c r="D18" s="267"/>
      <c r="E18" s="267"/>
      <c r="F18" s="67">
        <f t="shared" ref="F18:O18" si="2">SUM(F8:F17)</f>
        <v>0</v>
      </c>
      <c r="G18" s="67">
        <f t="shared" si="2"/>
        <v>0</v>
      </c>
      <c r="H18" s="67">
        <f t="shared" si="2"/>
        <v>0</v>
      </c>
      <c r="I18" s="67">
        <f t="shared" si="2"/>
        <v>0</v>
      </c>
      <c r="J18" s="67">
        <f t="shared" si="2"/>
        <v>0</v>
      </c>
      <c r="K18" s="67">
        <f t="shared" si="2"/>
        <v>0</v>
      </c>
      <c r="L18" s="67">
        <f t="shared" si="2"/>
        <v>0</v>
      </c>
      <c r="M18" s="67">
        <f t="shared" si="2"/>
        <v>0</v>
      </c>
      <c r="N18" s="67">
        <f t="shared" si="2"/>
        <v>0</v>
      </c>
      <c r="O18" s="67">
        <f t="shared" si="2"/>
        <v>0</v>
      </c>
    </row>
    <row r="19" spans="1:16" ht="15.75" customHeight="1" x14ac:dyDescent="0.25">
      <c r="F19" s="68" t="s">
        <v>612</v>
      </c>
      <c r="G19" s="271">
        <f>G18+H18+I18</f>
        <v>0</v>
      </c>
      <c r="H19" s="271"/>
      <c r="I19" s="271"/>
    </row>
    <row r="20" spans="1:16" x14ac:dyDescent="0.25">
      <c r="K20" t="s">
        <v>613</v>
      </c>
    </row>
    <row r="21" spans="1:16" ht="15.75" x14ac:dyDescent="0.25">
      <c r="A21" s="266" t="s">
        <v>614</v>
      </c>
      <c r="B21" s="266"/>
      <c r="C21" s="266"/>
      <c r="F21" s="69"/>
      <c r="G21" s="70"/>
      <c r="H21" s="70"/>
      <c r="I21" s="70"/>
    </row>
    <row r="22" spans="1:16" x14ac:dyDescent="0.25">
      <c r="A22" s="71" t="s">
        <v>599</v>
      </c>
      <c r="B22" s="72" t="s">
        <v>600</v>
      </c>
      <c r="C22" s="72" t="s">
        <v>615</v>
      </c>
      <c r="D22" s="73" t="s">
        <v>0</v>
      </c>
      <c r="E22" s="72" t="s">
        <v>2</v>
      </c>
      <c r="F22" s="72" t="s">
        <v>611</v>
      </c>
      <c r="G22" s="74" t="s">
        <v>4</v>
      </c>
      <c r="H22" s="70"/>
      <c r="I22" s="70"/>
    </row>
    <row r="23" spans="1:16" x14ac:dyDescent="0.25">
      <c r="A23" s="75"/>
      <c r="B23" s="76"/>
      <c r="C23" s="77"/>
      <c r="D23" s="20"/>
      <c r="E23" s="20" t="e">
        <f>VLOOKUP(D23,Configuracion!$A$4:$C$590,2,FALSE())</f>
        <v>#N/A</v>
      </c>
      <c r="F23" s="78"/>
      <c r="G23" s="66" t="e">
        <f>VLOOKUP(D23,Configuracion!$A$4:$C$590,3,FALSE())</f>
        <v>#N/A</v>
      </c>
      <c r="H23" s="79"/>
    </row>
    <row r="24" spans="1:16" x14ac:dyDescent="0.25">
      <c r="A24" s="75"/>
      <c r="B24" s="76"/>
      <c r="C24" s="77"/>
      <c r="D24" s="20"/>
      <c r="E24" s="20" t="e">
        <f>VLOOKUP(D24,Configuracion!$A$4:$C$590,2,FALSE())</f>
        <v>#N/A</v>
      </c>
      <c r="F24" s="78"/>
      <c r="G24" s="66" t="e">
        <f>VLOOKUP(D24,Configuracion!$A$4:$C$590,3,FALSE())</f>
        <v>#N/A</v>
      </c>
      <c r="H24" s="70"/>
      <c r="I24" s="70"/>
    </row>
    <row r="25" spans="1:16" x14ac:dyDescent="0.25">
      <c r="A25" s="75"/>
      <c r="B25" s="76"/>
      <c r="C25" s="77"/>
      <c r="D25" s="20"/>
      <c r="E25" s="20" t="e">
        <f>VLOOKUP(D25,Configuracion!$A$4:$C$590,2,FALSE())</f>
        <v>#N/A</v>
      </c>
      <c r="F25" s="78"/>
      <c r="G25" s="66" t="e">
        <f>VLOOKUP(D25,Configuracion!$A$4:$C$590,3,FALSE())</f>
        <v>#N/A</v>
      </c>
      <c r="H25" s="70"/>
      <c r="I25" s="70"/>
    </row>
    <row r="26" spans="1:16" x14ac:dyDescent="0.25">
      <c r="A26" s="75"/>
      <c r="B26" s="76"/>
      <c r="C26" s="77"/>
      <c r="D26" s="20"/>
      <c r="E26" s="20" t="e">
        <f>VLOOKUP(D26,Configuracion!$A$4:$C$590,2,FALSE())</f>
        <v>#N/A</v>
      </c>
      <c r="F26" s="78"/>
      <c r="G26" s="66" t="e">
        <f>VLOOKUP(D26,Configuracion!$A$4:$C$590,3,FALSE())</f>
        <v>#N/A</v>
      </c>
      <c r="H26" s="70"/>
      <c r="I26" s="70"/>
    </row>
    <row r="27" spans="1:16" x14ac:dyDescent="0.25">
      <c r="A27" s="75"/>
      <c r="B27" s="76"/>
      <c r="C27" s="77"/>
      <c r="D27" s="20"/>
      <c r="E27" s="20" t="e">
        <f>VLOOKUP(D27,Configuracion!$A$4:$C$590,2,FALSE())</f>
        <v>#N/A</v>
      </c>
      <c r="F27" s="78"/>
      <c r="G27" s="66" t="e">
        <f>VLOOKUP(D27,Configuracion!$A$4:$C$590,3,FALSE())</f>
        <v>#N/A</v>
      </c>
      <c r="H27" s="70"/>
      <c r="I27" s="70"/>
    </row>
    <row r="28" spans="1:16" x14ac:dyDescent="0.25">
      <c r="A28" s="75"/>
      <c r="B28" s="76"/>
      <c r="C28" s="77"/>
      <c r="D28" s="20"/>
      <c r="E28" s="20" t="e">
        <f>VLOOKUP(D28,Configuracion!$A$4:$C$590,2,FALSE())</f>
        <v>#N/A</v>
      </c>
      <c r="F28" s="78"/>
      <c r="G28" s="66" t="e">
        <f>VLOOKUP(D28,Configuracion!$A$4:$C$590,3,FALSE())</f>
        <v>#N/A</v>
      </c>
      <c r="H28" s="70"/>
      <c r="I28" s="70"/>
    </row>
    <row r="29" spans="1:16" x14ac:dyDescent="0.25">
      <c r="A29" s="75"/>
      <c r="B29" s="76"/>
      <c r="C29" s="77"/>
      <c r="D29" s="20"/>
      <c r="E29" s="20" t="e">
        <f>VLOOKUP(D29,Configuracion!$A$4:$C$590,2,FALSE())</f>
        <v>#N/A</v>
      </c>
      <c r="F29" s="78"/>
      <c r="G29" s="66" t="e">
        <f>VLOOKUP(D29,Configuracion!$A$4:$C$590,3,FALSE())</f>
        <v>#N/A</v>
      </c>
      <c r="H29" s="70"/>
      <c r="I29" s="70"/>
    </row>
    <row r="30" spans="1:16" x14ac:dyDescent="0.25">
      <c r="A30" s="75"/>
      <c r="B30" s="76"/>
      <c r="C30" s="77"/>
      <c r="D30" s="20"/>
      <c r="E30" s="20" t="e">
        <f>VLOOKUP(D30,Configuracion!$A$4:$C$590,2,FALSE())</f>
        <v>#N/A</v>
      </c>
      <c r="F30" s="78"/>
      <c r="G30" s="66" t="e">
        <f>VLOOKUP(D30,Configuracion!$A$4:$C$590,3,FALSE())</f>
        <v>#N/A</v>
      </c>
      <c r="H30" s="70"/>
      <c r="I30" s="70"/>
    </row>
    <row r="31" spans="1:16" x14ac:dyDescent="0.25">
      <c r="A31" s="75"/>
      <c r="B31" s="76"/>
      <c r="C31" s="77"/>
      <c r="D31" s="20"/>
      <c r="E31" s="20" t="e">
        <f>VLOOKUP(D31,Configuracion!$A$4:$C$590,2,FALSE())</f>
        <v>#N/A</v>
      </c>
      <c r="F31" s="78"/>
      <c r="G31" s="66" t="e">
        <f>VLOOKUP(D31,Configuracion!$A$4:$C$590,3,FALSE())</f>
        <v>#N/A</v>
      </c>
      <c r="H31" s="70"/>
      <c r="I31" s="70"/>
    </row>
    <row r="32" spans="1:16" x14ac:dyDescent="0.25">
      <c r="A32" s="75"/>
      <c r="B32" s="76"/>
      <c r="C32" s="77"/>
      <c r="D32" s="20"/>
      <c r="E32" s="20" t="e">
        <f>VLOOKUP(D32,Configuracion!$A$4:$C$590,2,FALSE())</f>
        <v>#N/A</v>
      </c>
      <c r="F32" s="78"/>
      <c r="G32" s="66" t="e">
        <f>VLOOKUP(D32,Configuracion!$A$4:$C$590,3,FALSE())</f>
        <v>#N/A</v>
      </c>
      <c r="H32" s="70"/>
      <c r="I32" s="70"/>
    </row>
    <row r="33" spans="1:15" x14ac:dyDescent="0.25">
      <c r="A33" s="75"/>
      <c r="B33" s="76"/>
      <c r="C33" s="77"/>
      <c r="D33" s="20"/>
      <c r="E33" s="20" t="e">
        <f>VLOOKUP(D33,Configuracion!$A$4:$C$590,2,FALSE())</f>
        <v>#N/A</v>
      </c>
      <c r="F33" s="78"/>
      <c r="G33" s="66" t="e">
        <f>VLOOKUP(D33,Configuracion!$A$4:$C$590,3,FALSE())</f>
        <v>#N/A</v>
      </c>
      <c r="H33" s="70"/>
      <c r="I33" s="70"/>
    </row>
    <row r="34" spans="1:15" x14ac:dyDescent="0.25">
      <c r="A34" s="75"/>
      <c r="B34" s="76"/>
      <c r="C34" s="77"/>
      <c r="D34" s="20"/>
      <c r="E34" s="20" t="e">
        <f>VLOOKUP(D34,Configuracion!$A$4:$C$590,2,FALSE())</f>
        <v>#N/A</v>
      </c>
      <c r="F34" s="78"/>
      <c r="G34" s="66" t="e">
        <f>VLOOKUP(D34,Configuracion!$A$4:$C$590,3,FALSE())</f>
        <v>#N/A</v>
      </c>
      <c r="H34" s="70"/>
      <c r="I34" s="70"/>
    </row>
    <row r="35" spans="1:15" x14ac:dyDescent="0.25">
      <c r="A35" s="75"/>
      <c r="B35" s="76"/>
      <c r="C35" s="77"/>
      <c r="D35" s="20"/>
      <c r="E35" s="20" t="e">
        <f>VLOOKUP(D35,Configuracion!$A$4:$C$590,2,FALSE())</f>
        <v>#N/A</v>
      </c>
      <c r="F35" s="78"/>
      <c r="G35" s="66" t="e">
        <f>VLOOKUP(D35,Configuracion!$A$4:$C$590,3,FALSE())</f>
        <v>#N/A</v>
      </c>
      <c r="H35" s="70"/>
      <c r="I35" s="70"/>
    </row>
    <row r="36" spans="1:15" x14ac:dyDescent="0.25">
      <c r="A36" s="75"/>
      <c r="B36" s="76"/>
      <c r="C36" s="77"/>
      <c r="D36" s="20"/>
      <c r="E36" s="20" t="e">
        <f>VLOOKUP(D36,Configuracion!$A$4:$C$590,2,FALSE())</f>
        <v>#N/A</v>
      </c>
      <c r="F36" s="78"/>
      <c r="G36" s="66" t="e">
        <f>VLOOKUP(D36,Configuracion!$A$4:$C$590,3,FALSE())</f>
        <v>#N/A</v>
      </c>
      <c r="H36" s="70"/>
      <c r="I36" s="70"/>
    </row>
    <row r="37" spans="1:15" x14ac:dyDescent="0.25">
      <c r="A37" s="75"/>
      <c r="B37" s="76"/>
      <c r="C37" s="77"/>
      <c r="D37" s="20"/>
      <c r="E37" s="20" t="e">
        <f>VLOOKUP(D37,Configuracion!$A$4:$C$590,2,FALSE())</f>
        <v>#N/A</v>
      </c>
      <c r="F37" s="78"/>
      <c r="G37" s="66" t="e">
        <f>VLOOKUP(D37,Configuracion!$A$4:$C$590,3,FALSE())</f>
        <v>#N/A</v>
      </c>
      <c r="H37" s="70"/>
      <c r="I37" s="70"/>
    </row>
    <row r="38" spans="1:15" x14ac:dyDescent="0.25">
      <c r="A38" s="75"/>
      <c r="B38" s="76"/>
      <c r="C38" s="77"/>
      <c r="D38" s="20"/>
      <c r="E38" s="20" t="e">
        <f>VLOOKUP(D38,Configuracion!$A$4:$C$590,2,FALSE())</f>
        <v>#N/A</v>
      </c>
      <c r="F38" s="78"/>
      <c r="G38" s="66" t="e">
        <f>VLOOKUP(D38,Configuracion!$A$4:$C$590,3,FALSE())</f>
        <v>#N/A</v>
      </c>
      <c r="H38" s="70"/>
      <c r="I38" s="70"/>
    </row>
    <row r="39" spans="1:15" x14ac:dyDescent="0.25">
      <c r="A39" s="75"/>
      <c r="B39" s="76"/>
      <c r="C39" s="77"/>
      <c r="D39" s="20"/>
      <c r="E39" s="20" t="e">
        <f>VLOOKUP(D39,Configuracion!$A$4:$C$590,2,FALSE())</f>
        <v>#N/A</v>
      </c>
      <c r="F39" s="78"/>
      <c r="G39" s="66" t="e">
        <f>VLOOKUP(D39,Configuracion!$A$4:$C$590,3,FALSE())</f>
        <v>#N/A</v>
      </c>
      <c r="H39" s="70"/>
      <c r="I39" s="70"/>
    </row>
    <row r="40" spans="1:15" x14ac:dyDescent="0.25">
      <c r="A40" s="75"/>
      <c r="B40" s="76"/>
      <c r="C40" s="77"/>
      <c r="D40" s="20"/>
      <c r="E40" s="20" t="e">
        <f>VLOOKUP(D40,Configuracion!$A$4:$C$590,2,FALSE())</f>
        <v>#N/A</v>
      </c>
      <c r="F40" s="78"/>
      <c r="G40" s="66" t="e">
        <f>VLOOKUP(D40,Configuracion!$A$4:$C$590,3,FALSE())</f>
        <v>#N/A</v>
      </c>
      <c r="H40" s="70"/>
      <c r="I40" s="70"/>
    </row>
    <row r="41" spans="1:15" x14ac:dyDescent="0.25">
      <c r="A41" s="75"/>
      <c r="B41" s="76"/>
      <c r="C41" s="77"/>
      <c r="D41" s="20"/>
      <c r="E41" s="20" t="e">
        <f>VLOOKUP(D41,Configuracion!$A$4:$C$590,2,FALSE())</f>
        <v>#N/A</v>
      </c>
      <c r="F41" s="78"/>
      <c r="G41" s="66" t="e">
        <f>VLOOKUP(D41,Configuracion!$A$4:$C$590,3,FALSE())</f>
        <v>#N/A</v>
      </c>
      <c r="H41" s="70"/>
      <c r="I41" s="70"/>
    </row>
    <row r="42" spans="1:15" x14ac:dyDescent="0.25">
      <c r="A42" s="272" t="s">
        <v>611</v>
      </c>
      <c r="B42" s="272"/>
      <c r="C42" s="272"/>
      <c r="D42" s="272"/>
      <c r="E42" s="272"/>
      <c r="F42" s="67">
        <f>SUM(F23:F41)</f>
        <v>0</v>
      </c>
      <c r="G42" s="70"/>
      <c r="H42" s="70"/>
      <c r="I42" s="70"/>
    </row>
    <row r="43" spans="1:15" x14ac:dyDescent="0.25">
      <c r="A43" s="80"/>
      <c r="B43" s="80"/>
      <c r="D43" s="81"/>
      <c r="E43" s="82"/>
      <c r="F43" s="83"/>
      <c r="G43" s="70"/>
      <c r="H43" s="70"/>
      <c r="I43" s="70"/>
    </row>
    <row r="44" spans="1:15" ht="15.75" x14ac:dyDescent="0.25">
      <c r="A44" s="266" t="s">
        <v>616</v>
      </c>
      <c r="B44" s="266"/>
      <c r="C44" s="266"/>
      <c r="D44" s="84"/>
      <c r="E44" s="85"/>
      <c r="F44" s="86"/>
      <c r="G44" s="70"/>
      <c r="H44" s="70"/>
      <c r="I44" s="70"/>
    </row>
    <row r="45" spans="1:15" x14ac:dyDescent="0.25">
      <c r="A45" s="87" t="s">
        <v>599</v>
      </c>
      <c r="B45" s="273" t="s">
        <v>617</v>
      </c>
      <c r="C45" s="273"/>
      <c r="D45" s="89" t="s">
        <v>0</v>
      </c>
      <c r="E45" s="88" t="s">
        <v>2</v>
      </c>
      <c r="F45" s="88" t="s">
        <v>618</v>
      </c>
      <c r="G45" s="88" t="s">
        <v>612</v>
      </c>
      <c r="H45" s="88" t="s">
        <v>619</v>
      </c>
      <c r="I45" s="90" t="s">
        <v>620</v>
      </c>
      <c r="O45" s="91"/>
    </row>
    <row r="46" spans="1:15" ht="15.75" x14ac:dyDescent="0.25">
      <c r="A46" s="92">
        <v>45950</v>
      </c>
      <c r="B46" s="268">
        <v>92687</v>
      </c>
      <c r="C46" s="268"/>
      <c r="D46" s="20">
        <v>30522428163</v>
      </c>
      <c r="E46" s="20" t="str">
        <f>VLOOKUP(D46,Configuracion!$A$4:$C$590,2,FALSE())</f>
        <v>GALENO ARGENTINA SA</v>
      </c>
      <c r="F46" s="93"/>
      <c r="G46" s="251">
        <v>693084.55</v>
      </c>
      <c r="H46" s="93"/>
      <c r="I46" s="94"/>
      <c r="J46" s="95"/>
      <c r="K46" s="95"/>
      <c r="L46" s="96"/>
      <c r="M46" s="97"/>
      <c r="N46" s="97"/>
    </row>
    <row r="47" spans="1:15" ht="15.75" x14ac:dyDescent="0.25">
      <c r="A47" s="92"/>
      <c r="B47" s="268"/>
      <c r="C47" s="268"/>
      <c r="D47" s="20"/>
      <c r="E47" s="20" t="e">
        <f>VLOOKUP(D47,Configuracion!$A$4:$C$590,2,FALSE())</f>
        <v>#N/A</v>
      </c>
      <c r="F47" s="93"/>
      <c r="G47" s="251"/>
      <c r="H47" s="93"/>
      <c r="I47" s="94"/>
      <c r="J47" s="95"/>
      <c r="K47" s="95"/>
      <c r="L47" s="96"/>
      <c r="M47" s="97"/>
      <c r="N47" s="97"/>
    </row>
    <row r="48" spans="1:15" ht="15.75" x14ac:dyDescent="0.25">
      <c r="A48" s="92"/>
      <c r="B48" s="268"/>
      <c r="C48" s="268"/>
      <c r="D48" s="20"/>
      <c r="E48" s="20" t="e">
        <f>VLOOKUP(D48,Configuracion!$A$4:$C$590,2,FALSE())</f>
        <v>#N/A</v>
      </c>
      <c r="F48" s="93"/>
      <c r="G48" s="251"/>
      <c r="H48" s="93"/>
      <c r="I48" s="94"/>
      <c r="J48" s="95"/>
      <c r="K48" s="95"/>
      <c r="L48" s="96"/>
      <c r="M48" s="97"/>
      <c r="N48" s="97"/>
    </row>
    <row r="49" spans="1:14" ht="15.75" x14ac:dyDescent="0.25">
      <c r="A49" s="92"/>
      <c r="B49" s="268"/>
      <c r="C49" s="268"/>
      <c r="D49" s="20"/>
      <c r="E49" s="20" t="e">
        <f>VLOOKUP(D49,Configuracion!$A$4:$C$590,2,FALSE())</f>
        <v>#N/A</v>
      </c>
      <c r="F49" s="93"/>
      <c r="G49" s="251"/>
      <c r="H49" s="93"/>
      <c r="I49" s="94"/>
      <c r="J49" s="95"/>
      <c r="K49" s="95"/>
      <c r="L49" s="96"/>
      <c r="M49" s="97"/>
      <c r="N49" s="97"/>
    </row>
    <row r="50" spans="1:14" ht="15.75" x14ac:dyDescent="0.25">
      <c r="A50" s="92"/>
      <c r="B50" s="268"/>
      <c r="C50" s="268"/>
      <c r="D50" s="20"/>
      <c r="E50" s="20" t="e">
        <f>VLOOKUP(D50,Configuracion!$A$4:$C$590,2,FALSE())</f>
        <v>#N/A</v>
      </c>
      <c r="F50" s="93"/>
      <c r="G50" s="251"/>
      <c r="H50" s="93"/>
      <c r="I50" s="94"/>
      <c r="J50" s="95"/>
      <c r="K50" s="95"/>
      <c r="L50" s="96"/>
      <c r="M50" s="97"/>
      <c r="N50" s="97"/>
    </row>
    <row r="51" spans="1:14" ht="15.75" x14ac:dyDescent="0.25">
      <c r="A51" s="92"/>
      <c r="B51" s="268"/>
      <c r="C51" s="268"/>
      <c r="D51" s="20"/>
      <c r="E51" s="20" t="e">
        <f>VLOOKUP(D51,Configuracion!$A$4:$C$590,2,FALSE())</f>
        <v>#N/A</v>
      </c>
      <c r="F51" s="93"/>
      <c r="G51" s="251"/>
      <c r="H51" s="93"/>
      <c r="I51" s="94"/>
      <c r="J51" s="95"/>
      <c r="K51" s="95"/>
      <c r="L51" s="96"/>
      <c r="M51" s="97"/>
      <c r="N51" s="97"/>
    </row>
    <row r="52" spans="1:14" ht="15.75" x14ac:dyDescent="0.25">
      <c r="A52" s="92"/>
      <c r="B52" s="268"/>
      <c r="C52" s="268"/>
      <c r="D52" s="20"/>
      <c r="E52" s="20" t="e">
        <f>VLOOKUP(D52,Configuracion!$A$4:$C$590,2,FALSE())</f>
        <v>#N/A</v>
      </c>
      <c r="F52" s="93"/>
      <c r="G52" s="251"/>
      <c r="H52" s="93"/>
      <c r="I52" s="94"/>
      <c r="J52" s="95"/>
      <c r="K52" s="95"/>
      <c r="L52" s="96"/>
      <c r="M52" s="97"/>
      <c r="N52" s="97"/>
    </row>
    <row r="53" spans="1:14" ht="15.75" x14ac:dyDescent="0.25">
      <c r="A53" s="92"/>
      <c r="B53" s="268"/>
      <c r="C53" s="268"/>
      <c r="D53" s="20"/>
      <c r="E53" s="20" t="e">
        <f>VLOOKUP(D53,Configuracion!$A$4:$C$590,2,FALSE())</f>
        <v>#N/A</v>
      </c>
      <c r="F53" s="93"/>
      <c r="G53" s="251"/>
      <c r="H53" s="93"/>
      <c r="I53" s="94"/>
      <c r="J53" s="95"/>
      <c r="K53" s="95"/>
      <c r="L53" s="96"/>
      <c r="M53" s="97"/>
      <c r="N53" s="97"/>
    </row>
    <row r="54" spans="1:14" ht="15.75" x14ac:dyDescent="0.25">
      <c r="A54" s="92"/>
      <c r="B54" s="268"/>
      <c r="C54" s="268"/>
      <c r="D54" s="20"/>
      <c r="E54" s="20" t="e">
        <f>VLOOKUP(D54,Configuracion!$A$4:$C$590,2,FALSE())</f>
        <v>#N/A</v>
      </c>
      <c r="F54" s="93"/>
      <c r="G54" s="251"/>
      <c r="H54" s="93"/>
      <c r="I54" s="94"/>
      <c r="J54" s="95"/>
      <c r="K54" s="95"/>
      <c r="L54" s="96"/>
      <c r="M54" s="97"/>
      <c r="N54" s="97"/>
    </row>
    <row r="55" spans="1:14" ht="15.75" x14ac:dyDescent="0.25">
      <c r="A55" s="92"/>
      <c r="B55" s="268"/>
      <c r="C55" s="268"/>
      <c r="D55" s="20"/>
      <c r="E55" s="20" t="e">
        <f>VLOOKUP(D55,Configuracion!$A$4:$C$590,2,FALSE())</f>
        <v>#N/A</v>
      </c>
      <c r="F55" s="93"/>
      <c r="G55" s="251"/>
      <c r="H55" s="93"/>
      <c r="I55" s="94"/>
      <c r="J55" s="95"/>
      <c r="K55" s="95"/>
      <c r="L55" s="96"/>
      <c r="M55" s="97"/>
      <c r="N55" s="97"/>
    </row>
    <row r="56" spans="1:14" ht="15.75" x14ac:dyDescent="0.25">
      <c r="A56" s="92"/>
      <c r="B56" s="268"/>
      <c r="C56" s="268"/>
      <c r="D56" s="20"/>
      <c r="E56" s="20" t="e">
        <f>VLOOKUP(D56,Configuracion!$A$4:$C$590,2,FALSE())</f>
        <v>#N/A</v>
      </c>
      <c r="F56" s="93"/>
      <c r="G56" s="251"/>
      <c r="H56" s="93"/>
      <c r="I56" s="94"/>
      <c r="J56" s="95"/>
      <c r="K56" s="95"/>
      <c r="L56" s="96"/>
      <c r="M56" s="97"/>
      <c r="N56" s="97"/>
    </row>
    <row r="57" spans="1:14" ht="15.75" x14ac:dyDescent="0.25">
      <c r="A57" s="92"/>
      <c r="B57" s="268"/>
      <c r="C57" s="268"/>
      <c r="D57" s="20"/>
      <c r="E57" s="20" t="e">
        <f>VLOOKUP(D57,Configuracion!$A$4:$C$590,2,FALSE())</f>
        <v>#N/A</v>
      </c>
      <c r="F57" s="93"/>
      <c r="G57" s="251"/>
      <c r="H57" s="93"/>
      <c r="I57" s="94"/>
      <c r="J57" s="95"/>
      <c r="K57" s="95"/>
      <c r="L57" s="96"/>
      <c r="M57" s="97"/>
      <c r="N57" s="97"/>
    </row>
    <row r="58" spans="1:14" ht="15.75" x14ac:dyDescent="0.25">
      <c r="A58" s="92"/>
      <c r="B58" s="268"/>
      <c r="C58" s="268"/>
      <c r="D58" s="20"/>
      <c r="E58" s="20" t="e">
        <f>VLOOKUP(D58,Configuracion!$A$4:$C$590,2,FALSE())</f>
        <v>#N/A</v>
      </c>
      <c r="F58" s="93"/>
      <c r="G58" s="251"/>
      <c r="H58" s="93"/>
      <c r="I58" s="94"/>
      <c r="J58" s="95"/>
      <c r="K58" s="95"/>
      <c r="L58" s="96"/>
      <c r="M58" s="97"/>
      <c r="N58" s="97"/>
    </row>
    <row r="59" spans="1:14" ht="15.75" x14ac:dyDescent="0.25">
      <c r="A59" s="92"/>
      <c r="B59" s="268"/>
      <c r="C59" s="268"/>
      <c r="D59" s="20"/>
      <c r="E59" s="20" t="e">
        <f>VLOOKUP(D59,Configuracion!$A$4:$C$590,2,FALSE())</f>
        <v>#N/A</v>
      </c>
      <c r="F59" s="93"/>
      <c r="G59" s="251"/>
      <c r="H59" s="93"/>
      <c r="I59" s="94"/>
      <c r="J59" s="95"/>
      <c r="K59" s="95"/>
      <c r="L59" s="96"/>
      <c r="M59" s="97"/>
      <c r="N59" s="97"/>
    </row>
    <row r="60" spans="1:14" ht="15.75" x14ac:dyDescent="0.25">
      <c r="A60" s="92"/>
      <c r="B60" s="268"/>
      <c r="C60" s="268"/>
      <c r="D60" s="20"/>
      <c r="E60" s="20" t="e">
        <f>VLOOKUP(D60,Configuracion!$A$4:$C$590,2,FALSE())</f>
        <v>#N/A</v>
      </c>
      <c r="F60" s="93"/>
      <c r="G60" s="251"/>
      <c r="H60" s="93"/>
      <c r="I60" s="94"/>
      <c r="J60" s="95"/>
      <c r="K60" s="95"/>
      <c r="L60" s="96"/>
      <c r="M60" s="97"/>
      <c r="N60" s="97"/>
    </row>
    <row r="61" spans="1:14" ht="15.75" x14ac:dyDescent="0.25">
      <c r="A61" s="92"/>
      <c r="B61" s="268"/>
      <c r="C61" s="268"/>
      <c r="D61" s="20"/>
      <c r="E61" s="20" t="e">
        <f>VLOOKUP(D61,Configuracion!$A$4:$C$590,2,FALSE())</f>
        <v>#N/A</v>
      </c>
      <c r="F61" s="93"/>
      <c r="G61" s="251"/>
      <c r="H61" s="93"/>
      <c r="I61" s="94"/>
      <c r="J61" s="95"/>
      <c r="K61" s="95"/>
      <c r="L61" s="96"/>
      <c r="M61" s="97"/>
      <c r="N61" s="97"/>
    </row>
    <row r="62" spans="1:14" ht="15.75" x14ac:dyDescent="0.25">
      <c r="A62" s="92"/>
      <c r="B62" s="268"/>
      <c r="C62" s="268"/>
      <c r="D62" s="20"/>
      <c r="E62" s="20" t="e">
        <f>VLOOKUP(D62,Configuracion!$A$4:$C$590,2,FALSE())</f>
        <v>#N/A</v>
      </c>
      <c r="F62" s="93"/>
      <c r="G62" s="251"/>
      <c r="H62" s="93"/>
      <c r="I62" s="94"/>
      <c r="J62" s="95"/>
      <c r="K62" s="95"/>
      <c r="L62" s="96"/>
      <c r="M62" s="97"/>
      <c r="N62" s="97"/>
    </row>
    <row r="63" spans="1:14" ht="15.75" x14ac:dyDescent="0.25">
      <c r="A63" s="92"/>
      <c r="B63" s="268"/>
      <c r="C63" s="268"/>
      <c r="D63" s="20"/>
      <c r="E63" s="20" t="e">
        <f>VLOOKUP(D63,Configuracion!$A$4:$C$590,2,FALSE())</f>
        <v>#N/A</v>
      </c>
      <c r="F63" s="93"/>
      <c r="G63" s="251"/>
      <c r="H63" s="93"/>
      <c r="I63" s="94"/>
      <c r="J63" s="95"/>
      <c r="K63" s="95"/>
      <c r="L63" s="96"/>
      <c r="M63" s="97"/>
      <c r="N63" s="97"/>
    </row>
    <row r="64" spans="1:14" ht="15.75" x14ac:dyDescent="0.25">
      <c r="A64" s="92"/>
      <c r="B64" s="268"/>
      <c r="C64" s="268"/>
      <c r="D64" s="20"/>
      <c r="E64" s="20" t="e">
        <f>VLOOKUP(D64,Configuracion!$A$4:$C$590,2,FALSE())</f>
        <v>#N/A</v>
      </c>
      <c r="F64" s="93"/>
      <c r="G64" s="251"/>
      <c r="H64" s="93"/>
      <c r="I64" s="94"/>
      <c r="J64" s="95"/>
      <c r="K64" s="95"/>
      <c r="L64" s="96"/>
      <c r="M64" s="97"/>
      <c r="N64" s="97"/>
    </row>
    <row r="65" spans="1:14" ht="15.75" x14ac:dyDescent="0.25">
      <c r="A65" s="92"/>
      <c r="B65" s="268"/>
      <c r="C65" s="268"/>
      <c r="D65" s="20"/>
      <c r="E65" s="20" t="e">
        <f>VLOOKUP(D65,Configuracion!$A$4:$C$590,2,FALSE())</f>
        <v>#N/A</v>
      </c>
      <c r="F65" s="93"/>
      <c r="G65" s="251"/>
      <c r="H65" s="93"/>
      <c r="I65" s="94"/>
      <c r="J65" s="95"/>
      <c r="K65" s="95"/>
      <c r="L65" s="96"/>
      <c r="M65" s="97"/>
      <c r="N65" s="97"/>
    </row>
    <row r="66" spans="1:14" ht="15.75" x14ac:dyDescent="0.25">
      <c r="A66" s="92"/>
      <c r="B66" s="268"/>
      <c r="C66" s="268"/>
      <c r="D66" s="20"/>
      <c r="E66" s="20" t="e">
        <f>VLOOKUP(D66,Configuracion!$A$4:$C$590,2,FALSE())</f>
        <v>#N/A</v>
      </c>
      <c r="F66" s="93"/>
      <c r="G66" s="251"/>
      <c r="H66" s="93"/>
      <c r="I66" s="94"/>
      <c r="J66" s="95"/>
      <c r="K66" s="95"/>
      <c r="L66" s="96"/>
      <c r="M66" s="97"/>
      <c r="N66" s="97"/>
    </row>
    <row r="67" spans="1:14" ht="15.75" x14ac:dyDescent="0.25">
      <c r="A67" s="92"/>
      <c r="B67" s="268"/>
      <c r="C67" s="268"/>
      <c r="D67" s="20"/>
      <c r="E67" s="20" t="e">
        <f>VLOOKUP(D67,Configuracion!$A$4:$C$590,2,FALSE())</f>
        <v>#N/A</v>
      </c>
      <c r="F67" s="93"/>
      <c r="G67" s="251"/>
      <c r="H67" s="93"/>
      <c r="I67" s="94"/>
      <c r="J67" s="95"/>
      <c r="K67" s="95"/>
      <c r="L67" s="96"/>
      <c r="M67" s="97"/>
      <c r="N67" s="97"/>
    </row>
    <row r="68" spans="1:14" ht="15.75" x14ac:dyDescent="0.25">
      <c r="A68" s="92"/>
      <c r="B68" s="268"/>
      <c r="C68" s="268"/>
      <c r="D68" s="20"/>
      <c r="E68" s="20" t="e">
        <f>VLOOKUP(D68,Configuracion!$A$4:$C$590,2,FALSE())</f>
        <v>#N/A</v>
      </c>
      <c r="F68" s="93"/>
      <c r="G68" s="251"/>
      <c r="H68" s="93"/>
      <c r="I68" s="94"/>
      <c r="J68" s="95"/>
      <c r="K68" s="95"/>
      <c r="L68" s="96"/>
      <c r="M68" s="97"/>
      <c r="N68" s="97"/>
    </row>
    <row r="69" spans="1:14" ht="15.75" x14ac:dyDescent="0.25">
      <c r="A69" s="92"/>
      <c r="B69" s="268"/>
      <c r="C69" s="268"/>
      <c r="D69" s="20"/>
      <c r="E69" s="20" t="e">
        <f>VLOOKUP(D69,Configuracion!$A$4:$C$590,2,FALSE())</f>
        <v>#N/A</v>
      </c>
      <c r="F69" s="93"/>
      <c r="G69" s="251"/>
      <c r="H69" s="93"/>
      <c r="I69" s="94"/>
      <c r="J69" s="95"/>
      <c r="K69" s="95"/>
      <c r="L69" s="96"/>
      <c r="M69" s="97"/>
      <c r="N69" s="97"/>
    </row>
    <row r="70" spans="1:14" ht="15.75" x14ac:dyDescent="0.25">
      <c r="A70" s="92"/>
      <c r="B70" s="268"/>
      <c r="C70" s="268"/>
      <c r="D70" s="20"/>
      <c r="E70" s="20" t="e">
        <f>VLOOKUP(D70,Configuracion!$A$4:$C$590,2,FALSE())</f>
        <v>#N/A</v>
      </c>
      <c r="F70" s="93"/>
      <c r="G70" s="251"/>
      <c r="H70" s="93"/>
      <c r="I70" s="94"/>
      <c r="J70" s="95"/>
      <c r="K70" s="95"/>
      <c r="L70" s="96"/>
      <c r="M70" s="97"/>
      <c r="N70" s="97"/>
    </row>
    <row r="71" spans="1:14" x14ac:dyDescent="0.25">
      <c r="A71" s="92"/>
      <c r="B71" s="268"/>
      <c r="C71" s="268"/>
      <c r="D71" s="20"/>
      <c r="E71" s="20" t="e">
        <f>VLOOKUP(D71,Configuracion!$A$4:$C$590,2,FALSE())</f>
        <v>#N/A</v>
      </c>
      <c r="F71" s="93"/>
      <c r="G71" s="251"/>
      <c r="H71" s="93"/>
      <c r="I71" s="94"/>
      <c r="J71" s="98"/>
      <c r="K71" s="44"/>
      <c r="L71" s="44"/>
    </row>
    <row r="72" spans="1:14" x14ac:dyDescent="0.25">
      <c r="A72" s="92"/>
      <c r="B72" s="268"/>
      <c r="C72" s="268"/>
      <c r="D72" s="20"/>
      <c r="E72" s="20" t="e">
        <f>VLOOKUP(D72,Configuracion!$A$4:$C$590,2,FALSE())</f>
        <v>#N/A</v>
      </c>
      <c r="F72" s="93"/>
      <c r="G72" s="251"/>
      <c r="H72" s="93"/>
      <c r="I72" s="94"/>
      <c r="J72" s="98"/>
      <c r="K72" s="44"/>
      <c r="L72" s="44"/>
    </row>
    <row r="73" spans="1:14" x14ac:dyDescent="0.25">
      <c r="A73" s="92"/>
      <c r="B73" s="268"/>
      <c r="C73" s="268"/>
      <c r="D73" s="20"/>
      <c r="E73" s="20" t="e">
        <f>VLOOKUP(D73,Configuracion!$A$4:$C$590,2,FALSE())</f>
        <v>#N/A</v>
      </c>
      <c r="F73" s="93"/>
      <c r="G73" s="251"/>
      <c r="H73" s="93"/>
      <c r="I73" s="94"/>
      <c r="J73" s="98"/>
      <c r="K73" s="44"/>
      <c r="L73" s="44"/>
    </row>
    <row r="74" spans="1:14" x14ac:dyDescent="0.25">
      <c r="A74" s="92"/>
      <c r="B74" s="268"/>
      <c r="C74" s="268"/>
      <c r="D74" s="20"/>
      <c r="E74" s="20" t="e">
        <f>VLOOKUP(D74,Configuracion!$A$4:$C$590,2,FALSE())</f>
        <v>#N/A</v>
      </c>
      <c r="F74" s="93"/>
      <c r="G74" s="251"/>
      <c r="H74" s="93"/>
      <c r="I74" s="94"/>
      <c r="J74" s="98"/>
      <c r="K74" s="44"/>
      <c r="L74" s="44"/>
    </row>
    <row r="75" spans="1:14" x14ac:dyDescent="0.25">
      <c r="A75" s="92"/>
      <c r="B75" s="268"/>
      <c r="C75" s="268"/>
      <c r="D75" s="20"/>
      <c r="E75" s="20" t="e">
        <f>VLOOKUP(D75,Configuracion!$A$4:$C$590,2,FALSE())</f>
        <v>#N/A</v>
      </c>
      <c r="F75" s="93"/>
      <c r="G75" s="251"/>
      <c r="H75" s="93"/>
      <c r="I75" s="94"/>
      <c r="J75" s="98"/>
      <c r="K75" s="44"/>
      <c r="L75" s="44"/>
    </row>
    <row r="76" spans="1:14" x14ac:dyDescent="0.25">
      <c r="A76" s="92"/>
      <c r="B76" s="268"/>
      <c r="C76" s="268"/>
      <c r="D76" s="20"/>
      <c r="E76" s="20" t="e">
        <f>VLOOKUP(D76,Configuracion!$A$4:$C$590,2,FALSE())</f>
        <v>#N/A</v>
      </c>
      <c r="F76" s="93"/>
      <c r="G76" s="251"/>
      <c r="H76" s="93"/>
      <c r="I76" s="94"/>
      <c r="J76" s="98"/>
      <c r="K76" s="44"/>
      <c r="L76" s="44"/>
    </row>
    <row r="77" spans="1:14" x14ac:dyDescent="0.25">
      <c r="A77" s="92"/>
      <c r="B77" s="268"/>
      <c r="C77" s="268"/>
      <c r="D77" s="20"/>
      <c r="E77" s="20" t="e">
        <f>VLOOKUP(D77,Configuracion!$A$4:$C$590,2,FALSE())</f>
        <v>#N/A</v>
      </c>
      <c r="F77" s="93"/>
      <c r="G77" s="251"/>
      <c r="H77" s="93"/>
      <c r="I77" s="94"/>
      <c r="J77" s="98"/>
      <c r="K77" s="44"/>
      <c r="L77" s="44"/>
    </row>
    <row r="78" spans="1:14" x14ac:dyDescent="0.25">
      <c r="A78" s="92"/>
      <c r="B78" s="268"/>
      <c r="C78" s="268"/>
      <c r="D78" s="20"/>
      <c r="E78" s="20" t="e">
        <f>VLOOKUP(D78,Configuracion!$A$4:$C$590,2,FALSE())</f>
        <v>#N/A</v>
      </c>
      <c r="F78" s="93"/>
      <c r="G78" s="251"/>
      <c r="H78" s="93"/>
      <c r="I78" s="94"/>
      <c r="J78" s="98"/>
      <c r="K78" s="44"/>
      <c r="L78" s="44"/>
    </row>
    <row r="79" spans="1:14" x14ac:dyDescent="0.25">
      <c r="A79" s="269" t="s">
        <v>611</v>
      </c>
      <c r="B79" s="269"/>
      <c r="C79" s="269"/>
      <c r="D79" s="269"/>
      <c r="E79" s="269"/>
      <c r="F79" s="99">
        <f>SUM(F46:F78)</f>
        <v>0</v>
      </c>
      <c r="G79" s="99">
        <f>SUM(G46:G78)</f>
        <v>693084.55</v>
      </c>
      <c r="H79" s="99">
        <f>SUM(H46:H78)</f>
        <v>0</v>
      </c>
      <c r="I79" s="99">
        <f>SUM(I46:I78)</f>
        <v>0</v>
      </c>
      <c r="J79" s="98"/>
      <c r="K79" s="44"/>
      <c r="L79" s="44"/>
    </row>
    <row r="80" spans="1:14" x14ac:dyDescent="0.25">
      <c r="A80" s="80"/>
      <c r="B80" s="80"/>
      <c r="D80" s="81"/>
      <c r="E80" s="82"/>
      <c r="F80" s="83"/>
      <c r="G80" s="70"/>
      <c r="H80" s="70"/>
      <c r="I80" s="70"/>
      <c r="J80" s="98"/>
      <c r="K80" s="44"/>
      <c r="L80" s="44"/>
    </row>
    <row r="81" spans="1:12" x14ac:dyDescent="0.25">
      <c r="A81" s="80"/>
      <c r="B81" s="80"/>
      <c r="D81" s="81"/>
      <c r="E81" s="82"/>
      <c r="F81" s="83"/>
      <c r="G81" s="70"/>
      <c r="H81" s="70"/>
      <c r="I81" s="70"/>
      <c r="J81" s="98"/>
      <c r="K81" s="44"/>
      <c r="L81" s="44"/>
    </row>
    <row r="82" spans="1:12" x14ac:dyDescent="0.25">
      <c r="J82" s="98"/>
      <c r="K82" s="44"/>
      <c r="L82" s="44"/>
    </row>
    <row r="83" spans="1:12" ht="15.75" x14ac:dyDescent="0.25">
      <c r="A83" s="270" t="s">
        <v>621</v>
      </c>
      <c r="B83" s="270"/>
      <c r="C83" s="270"/>
      <c r="D83" s="270"/>
      <c r="E83" s="270"/>
      <c r="F83" s="270"/>
      <c r="G83" s="270"/>
      <c r="H83" s="270"/>
      <c r="I83" s="270"/>
      <c r="J83" s="98"/>
      <c r="K83" s="44"/>
      <c r="L83" s="44"/>
    </row>
    <row r="84" spans="1:12" ht="15.75" x14ac:dyDescent="0.25">
      <c r="A84" s="100"/>
      <c r="B84" s="95"/>
      <c r="C84" s="95"/>
      <c r="D84" s="101"/>
      <c r="E84" s="95"/>
      <c r="F84" s="95"/>
      <c r="G84" s="95"/>
      <c r="H84" s="95"/>
      <c r="I84" s="95"/>
      <c r="J84" s="98"/>
      <c r="K84" s="44"/>
      <c r="L84" s="44"/>
    </row>
    <row r="85" spans="1:12" ht="15.75" x14ac:dyDescent="0.25">
      <c r="A85" s="266" t="s">
        <v>622</v>
      </c>
      <c r="B85" s="266"/>
      <c r="C85" s="266"/>
      <c r="D85" s="101"/>
      <c r="E85" s="95"/>
      <c r="F85" s="95"/>
      <c r="G85" s="95"/>
      <c r="H85" s="95"/>
      <c r="I85" s="95"/>
      <c r="J85" s="98"/>
      <c r="K85" s="44"/>
      <c r="L85" s="44"/>
    </row>
    <row r="86" spans="1:12" x14ac:dyDescent="0.25">
      <c r="A86" s="102" t="s">
        <v>599</v>
      </c>
      <c r="B86" s="56" t="s">
        <v>600</v>
      </c>
      <c r="C86" s="56" t="s">
        <v>623</v>
      </c>
      <c r="D86" s="103" t="s">
        <v>0</v>
      </c>
      <c r="E86" s="56" t="s">
        <v>2</v>
      </c>
      <c r="F86" s="56" t="s">
        <v>602</v>
      </c>
      <c r="G86" s="56" t="s">
        <v>612</v>
      </c>
      <c r="H86" s="56" t="s">
        <v>624</v>
      </c>
      <c r="I86" s="56" t="s">
        <v>611</v>
      </c>
      <c r="J86" s="98"/>
      <c r="K86" s="44"/>
      <c r="L86" s="44"/>
    </row>
    <row r="87" spans="1:12" x14ac:dyDescent="0.25">
      <c r="A87" s="104"/>
      <c r="B87" s="105"/>
      <c r="C87" s="106"/>
      <c r="D87" s="20"/>
      <c r="E87" s="20" t="e">
        <f>VLOOKUP(D87,Configuracion!$A$4:$C$590,2,FALSE())</f>
        <v>#N/A</v>
      </c>
      <c r="F87" s="107"/>
      <c r="G87" s="108">
        <f t="shared" ref="G87:G95" si="3">F87*0.21</f>
        <v>0</v>
      </c>
      <c r="H87" s="109"/>
      <c r="I87" s="110">
        <f t="shared" ref="I87:I95" si="4">SUM(F87:H87)</f>
        <v>0</v>
      </c>
    </row>
    <row r="88" spans="1:12" x14ac:dyDescent="0.25">
      <c r="A88" s="104"/>
      <c r="B88" s="105"/>
      <c r="C88" s="106"/>
      <c r="D88" s="20"/>
      <c r="E88" s="20" t="e">
        <f>VLOOKUP(D88,Configuracion!$A$4:$C$590,2,FALSE())</f>
        <v>#N/A</v>
      </c>
      <c r="F88" s="107"/>
      <c r="G88" s="108">
        <f t="shared" si="3"/>
        <v>0</v>
      </c>
      <c r="H88" s="109"/>
      <c r="I88" s="110">
        <f t="shared" si="4"/>
        <v>0</v>
      </c>
    </row>
    <row r="89" spans="1:12" ht="15" customHeight="1" x14ac:dyDescent="0.25">
      <c r="A89" s="104"/>
      <c r="B89" s="105"/>
      <c r="C89" s="106"/>
      <c r="D89" s="20"/>
      <c r="E89" s="20" t="e">
        <f>VLOOKUP(D89,Configuracion!$A$4:$C$590,2,FALSE())</f>
        <v>#N/A</v>
      </c>
      <c r="F89" s="107"/>
      <c r="G89" s="108">
        <f t="shared" si="3"/>
        <v>0</v>
      </c>
      <c r="H89" s="109"/>
      <c r="I89" s="110">
        <f t="shared" si="4"/>
        <v>0</v>
      </c>
    </row>
    <row r="90" spans="1:12" x14ac:dyDescent="0.25">
      <c r="A90" s="104"/>
      <c r="B90" s="105"/>
      <c r="C90" s="106"/>
      <c r="D90" s="20"/>
      <c r="E90" s="20" t="e">
        <f>VLOOKUP(D90,Configuracion!$A$4:$C$590,2,FALSE())</f>
        <v>#N/A</v>
      </c>
      <c r="F90" s="107"/>
      <c r="G90" s="108">
        <f t="shared" si="3"/>
        <v>0</v>
      </c>
      <c r="H90" s="109"/>
      <c r="I90" s="110">
        <f t="shared" si="4"/>
        <v>0</v>
      </c>
    </row>
    <row r="91" spans="1:12" x14ac:dyDescent="0.25">
      <c r="A91" s="104"/>
      <c r="B91" s="105"/>
      <c r="C91" s="106"/>
      <c r="D91" s="20"/>
      <c r="E91" s="20" t="e">
        <f>VLOOKUP(D91,Configuracion!$A$4:$C$590,2,FALSE())</f>
        <v>#N/A</v>
      </c>
      <c r="F91" s="107"/>
      <c r="G91" s="108">
        <f t="shared" si="3"/>
        <v>0</v>
      </c>
      <c r="H91" s="109"/>
      <c r="I91" s="110">
        <f t="shared" si="4"/>
        <v>0</v>
      </c>
    </row>
    <row r="92" spans="1:12" x14ac:dyDescent="0.25">
      <c r="A92" s="104"/>
      <c r="B92" s="105"/>
      <c r="C92" s="106"/>
      <c r="D92" s="20"/>
      <c r="E92" s="20" t="e">
        <f>VLOOKUP(D92,Configuracion!$A$4:$C$590,2,FALSE())</f>
        <v>#N/A</v>
      </c>
      <c r="F92" s="107"/>
      <c r="G92" s="108">
        <f t="shared" si="3"/>
        <v>0</v>
      </c>
      <c r="H92" s="109"/>
      <c r="I92" s="110">
        <f t="shared" si="4"/>
        <v>0</v>
      </c>
    </row>
    <row r="93" spans="1:12" x14ac:dyDescent="0.25">
      <c r="A93" s="104"/>
      <c r="B93" s="105"/>
      <c r="C93" s="106"/>
      <c r="D93" s="20"/>
      <c r="E93" s="20" t="e">
        <f>VLOOKUP(D93,Configuracion!$A$4:$C$590,2,FALSE())</f>
        <v>#N/A</v>
      </c>
      <c r="F93" s="107"/>
      <c r="G93" s="108">
        <f t="shared" si="3"/>
        <v>0</v>
      </c>
      <c r="H93" s="109"/>
      <c r="I93" s="110">
        <f t="shared" si="4"/>
        <v>0</v>
      </c>
    </row>
    <row r="94" spans="1:12" x14ac:dyDescent="0.25">
      <c r="A94" s="104"/>
      <c r="B94" s="105"/>
      <c r="C94" s="106"/>
      <c r="D94" s="20"/>
      <c r="E94" s="20" t="e">
        <f>VLOOKUP(D94,Configuracion!$A$4:$C$590,2,FALSE())</f>
        <v>#N/A</v>
      </c>
      <c r="F94" s="107"/>
      <c r="G94" s="108">
        <f t="shared" si="3"/>
        <v>0</v>
      </c>
      <c r="H94" s="109"/>
      <c r="I94" s="110">
        <f t="shared" si="4"/>
        <v>0</v>
      </c>
    </row>
    <row r="95" spans="1:12" x14ac:dyDescent="0.25">
      <c r="A95" s="104"/>
      <c r="B95" s="105"/>
      <c r="C95" s="106"/>
      <c r="D95" s="20"/>
      <c r="E95" s="20" t="e">
        <f>VLOOKUP(D95,Configuracion!$A$4:$C$590,2,FALSE())</f>
        <v>#N/A</v>
      </c>
      <c r="F95" s="107"/>
      <c r="G95" s="108">
        <f t="shared" si="3"/>
        <v>0</v>
      </c>
      <c r="H95" s="109"/>
      <c r="I95" s="110">
        <f t="shared" si="4"/>
        <v>0</v>
      </c>
    </row>
    <row r="96" spans="1:12" x14ac:dyDescent="0.25">
      <c r="A96" s="267" t="s">
        <v>611</v>
      </c>
      <c r="B96" s="267"/>
      <c r="C96" s="267"/>
      <c r="D96" s="267"/>
      <c r="E96" s="267"/>
      <c r="F96" s="111">
        <f>SUM(F87:F95)</f>
        <v>0</v>
      </c>
      <c r="G96" s="111">
        <f>SUM(G87:G95)</f>
        <v>0</v>
      </c>
      <c r="H96" s="111"/>
      <c r="I96" s="111">
        <f>SUM(I87:I95)</f>
        <v>0</v>
      </c>
    </row>
    <row r="97" spans="1:9" x14ac:dyDescent="0.25">
      <c r="C97" s="112"/>
      <c r="D97" s="113"/>
      <c r="E97" s="112"/>
      <c r="F97" s="114"/>
      <c r="G97" s="114"/>
      <c r="H97" s="114"/>
      <c r="I97" s="44"/>
    </row>
    <row r="99" spans="1:9" ht="15" customHeight="1" x14ac:dyDescent="0.25">
      <c r="A99" s="266" t="s">
        <v>625</v>
      </c>
      <c r="B99" s="266"/>
      <c r="C99" s="266"/>
      <c r="D99" s="101"/>
      <c r="E99" s="95"/>
      <c r="F99" s="95"/>
      <c r="G99" s="95"/>
      <c r="H99" s="95"/>
    </row>
    <row r="100" spans="1:9" ht="15" customHeight="1" x14ac:dyDescent="0.25">
      <c r="A100" s="102" t="s">
        <v>599</v>
      </c>
      <c r="B100" s="56" t="s">
        <v>600</v>
      </c>
      <c r="C100" s="56" t="s">
        <v>623</v>
      </c>
      <c r="D100" s="103" t="s">
        <v>0</v>
      </c>
      <c r="E100" s="56" t="s">
        <v>2</v>
      </c>
      <c r="F100" s="56" t="s">
        <v>602</v>
      </c>
      <c r="G100" s="56" t="s">
        <v>612</v>
      </c>
      <c r="H100" s="56" t="s">
        <v>611</v>
      </c>
    </row>
    <row r="101" spans="1:9" ht="15" customHeight="1" x14ac:dyDescent="0.25">
      <c r="A101" s="104"/>
      <c r="B101" s="76"/>
      <c r="C101" s="106"/>
      <c r="D101" s="20"/>
      <c r="E101" s="20" t="e">
        <f>VLOOKUP(D101,Configuracion!$A$4:$C$590,2,FALSE())</f>
        <v>#N/A</v>
      </c>
      <c r="F101" s="108">
        <f>H101/1.21</f>
        <v>0</v>
      </c>
      <c r="G101" s="108">
        <f>F101*0.21</f>
        <v>0</v>
      </c>
      <c r="H101" s="115"/>
    </row>
    <row r="102" spans="1:9" ht="15" customHeight="1" x14ac:dyDescent="0.25">
      <c r="A102" s="104"/>
      <c r="B102" s="76"/>
      <c r="C102" s="106"/>
      <c r="D102" s="20"/>
      <c r="E102" s="20" t="e">
        <f>VLOOKUP(D102,Configuracion!$A$4:$C$590,2,FALSE())</f>
        <v>#N/A</v>
      </c>
      <c r="F102" s="108">
        <f>H102/1.21</f>
        <v>0</v>
      </c>
      <c r="G102" s="108">
        <f>F102*0.21</f>
        <v>0</v>
      </c>
      <c r="H102" s="115"/>
    </row>
    <row r="103" spans="1:9" ht="15" customHeight="1" x14ac:dyDescent="0.25">
      <c r="A103" s="104"/>
      <c r="B103" s="76"/>
      <c r="C103" s="106"/>
      <c r="D103" s="20"/>
      <c r="E103" s="20" t="e">
        <f>VLOOKUP(D103,Configuracion!$A$4:$C$590,2,FALSE())</f>
        <v>#N/A</v>
      </c>
      <c r="F103" s="108">
        <f>H103/1.21</f>
        <v>0</v>
      </c>
      <c r="G103" s="108">
        <f>F103*0.21</f>
        <v>0</v>
      </c>
      <c r="H103" s="115"/>
    </row>
    <row r="104" spans="1:9" ht="15" customHeight="1" x14ac:dyDescent="0.25">
      <c r="A104" s="104"/>
      <c r="B104" s="76"/>
      <c r="C104" s="106"/>
      <c r="D104" s="20"/>
      <c r="E104" s="20" t="e">
        <f>VLOOKUP(D104,Configuracion!$A$4:$C$590,2,FALSE())</f>
        <v>#N/A</v>
      </c>
      <c r="F104" s="108">
        <f>H104/1.21</f>
        <v>0</v>
      </c>
      <c r="G104" s="108">
        <f>F104*0.21</f>
        <v>0</v>
      </c>
      <c r="H104" s="115"/>
    </row>
    <row r="105" spans="1:9" x14ac:dyDescent="0.25">
      <c r="A105" s="116"/>
      <c r="B105" s="117"/>
      <c r="C105" s="118"/>
      <c r="D105" s="119"/>
      <c r="E105" s="20" t="e">
        <f>VLOOKUP(D105,Configuracion!$A$4:$C$590,2,FALSE())</f>
        <v>#N/A</v>
      </c>
      <c r="F105" s="108">
        <f>H105/1.21</f>
        <v>0</v>
      </c>
      <c r="G105" s="108">
        <f>F105*0.21</f>
        <v>0</v>
      </c>
      <c r="H105" s="115"/>
    </row>
    <row r="106" spans="1:9" ht="15" customHeight="1" x14ac:dyDescent="0.25">
      <c r="A106" s="267" t="s">
        <v>611</v>
      </c>
      <c r="B106" s="267"/>
      <c r="C106" s="267"/>
      <c r="D106" s="267"/>
      <c r="E106" s="267"/>
      <c r="F106" s="111">
        <f>SUM(F101:F105)</f>
        <v>0</v>
      </c>
      <c r="G106" s="111">
        <f>SUM(G101:G105)</f>
        <v>0</v>
      </c>
      <c r="H106" s="111">
        <f>SUM(H101:H105)</f>
        <v>0</v>
      </c>
    </row>
    <row r="114" spans="1:6" ht="15" customHeight="1" x14ac:dyDescent="0.25">
      <c r="F114" s="120"/>
    </row>
    <row r="116" spans="1:6" ht="15" customHeight="1" x14ac:dyDescent="0.25">
      <c r="F116" s="121"/>
    </row>
    <row r="121" spans="1:6" ht="15" customHeight="1" x14ac:dyDescent="0.25">
      <c r="F121" s="122"/>
    </row>
    <row r="122" spans="1:6" ht="15" customHeight="1" x14ac:dyDescent="0.25">
      <c r="A122" s="123"/>
      <c r="B122" s="121"/>
      <c r="C122" s="121"/>
      <c r="D122" s="121"/>
      <c r="E122" s="121"/>
    </row>
  </sheetData>
  <mergeCells count="49">
    <mergeCell ref="A1:I1"/>
    <mergeCell ref="J1:N1"/>
    <mergeCell ref="A4:N4"/>
    <mergeCell ref="A6:C6"/>
    <mergeCell ref="A18:E18"/>
    <mergeCell ref="G19:I19"/>
    <mergeCell ref="A21:C21"/>
    <mergeCell ref="A42:E42"/>
    <mergeCell ref="A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A85:C85"/>
    <mergeCell ref="A96:E96"/>
    <mergeCell ref="A99:C99"/>
    <mergeCell ref="A106:E106"/>
    <mergeCell ref="B76:C76"/>
    <mergeCell ref="B77:C77"/>
    <mergeCell ref="B78:C78"/>
    <mergeCell ref="A79:E79"/>
    <mergeCell ref="A83:I83"/>
  </mergeCells>
  <pageMargins left="0.196527777777778" right="0" top="0.35416666666666702" bottom="0.35416666666666702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1"/>
  <sheetViews>
    <sheetView topLeftCell="A22" zoomScale="75" zoomScaleNormal="75" workbookViewId="0">
      <selection activeCell="D14" sqref="D14"/>
    </sheetView>
  </sheetViews>
  <sheetFormatPr baseColWidth="10" defaultColWidth="10.5703125" defaultRowHeight="15" customHeight="1" x14ac:dyDescent="0.25"/>
  <cols>
    <col min="1" max="1" width="32.7109375" customWidth="1"/>
    <col min="2" max="2" width="24.85546875" customWidth="1"/>
    <col min="3" max="3" width="20.7109375" customWidth="1"/>
    <col min="4" max="4" width="18.85546875" customWidth="1"/>
    <col min="5" max="5" width="22.85546875" customWidth="1"/>
    <col min="7" max="7" width="16.5703125" customWidth="1"/>
    <col min="10" max="10" width="11.5703125" customWidth="1"/>
  </cols>
  <sheetData>
    <row r="1" spans="1:8" ht="18" x14ac:dyDescent="0.25">
      <c r="A1" s="127"/>
      <c r="B1" s="277" t="s">
        <v>698</v>
      </c>
      <c r="C1" s="277"/>
      <c r="D1" s="277"/>
      <c r="E1" s="128"/>
    </row>
    <row r="2" spans="1:8" ht="18" x14ac:dyDescent="0.25">
      <c r="A2" s="129" t="s">
        <v>699</v>
      </c>
      <c r="B2" s="128"/>
      <c r="C2" s="127"/>
      <c r="D2" s="130">
        <v>45931</v>
      </c>
      <c r="E2" s="131"/>
    </row>
    <row r="3" spans="1:8" ht="18" x14ac:dyDescent="0.25">
      <c r="A3" s="127"/>
      <c r="B3" s="132"/>
      <c r="C3" s="127"/>
      <c r="D3" s="127"/>
      <c r="E3" s="133"/>
    </row>
    <row r="4" spans="1:8" x14ac:dyDescent="0.25">
      <c r="A4" s="134"/>
      <c r="B4" s="135" t="s">
        <v>700</v>
      </c>
      <c r="C4" s="136"/>
      <c r="D4" s="137"/>
      <c r="E4" s="138"/>
    </row>
    <row r="5" spans="1:8" x14ac:dyDescent="0.25">
      <c r="A5" s="139"/>
      <c r="B5" s="140" t="s">
        <v>701</v>
      </c>
      <c r="C5" s="140" t="s">
        <v>702</v>
      </c>
      <c r="D5" s="141" t="s">
        <v>703</v>
      </c>
      <c r="E5" s="138"/>
    </row>
    <row r="6" spans="1:8" x14ac:dyDescent="0.25">
      <c r="A6" s="142" t="s">
        <v>704</v>
      </c>
      <c r="B6" s="143">
        <f>+'Ventas 10'!D4+'Ventas 10'!D5</f>
        <v>133449375.25</v>
      </c>
      <c r="C6" s="144">
        <f>+B6*0.21</f>
        <v>28024368.802499998</v>
      </c>
      <c r="D6" s="144">
        <f>+B6+C6</f>
        <v>161473744.05250001</v>
      </c>
      <c r="E6" s="145"/>
    </row>
    <row r="7" spans="1:8" x14ac:dyDescent="0.25">
      <c r="A7" s="142" t="s">
        <v>705</v>
      </c>
      <c r="B7" s="143">
        <f>+'Ventas 10'!D6+'Ventas 10'!D7+'Ventas 10'!D8</f>
        <v>31019425.949999996</v>
      </c>
      <c r="C7" s="144">
        <f>+B7*0.21</f>
        <v>6514079.4494999992</v>
      </c>
      <c r="D7" s="144">
        <f>+B7+C7</f>
        <v>37533505.399499997</v>
      </c>
      <c r="E7" s="7"/>
    </row>
    <row r="8" spans="1:8" x14ac:dyDescent="0.25">
      <c r="A8" s="146"/>
      <c r="B8" s="147">
        <f>SUM(B6:B7)</f>
        <v>164468801.19999999</v>
      </c>
      <c r="C8" s="148">
        <f>SUM(C6:C7)</f>
        <v>34538448.251999997</v>
      </c>
      <c r="D8" s="149">
        <f>SUM(D6:D7)</f>
        <v>199007249.45200002</v>
      </c>
      <c r="E8" s="150"/>
      <c r="G8" s="151"/>
      <c r="H8" s="152"/>
    </row>
    <row r="9" spans="1:8" x14ac:dyDescent="0.25">
      <c r="A9" s="146"/>
      <c r="B9" s="153"/>
      <c r="C9" s="153"/>
      <c r="D9" s="153"/>
      <c r="E9" s="7"/>
    </row>
    <row r="10" spans="1:8" x14ac:dyDescent="0.25">
      <c r="A10" s="146"/>
      <c r="B10" s="154"/>
      <c r="C10" s="154"/>
      <c r="D10" s="91"/>
      <c r="E10" s="7"/>
    </row>
    <row r="11" spans="1:8" x14ac:dyDescent="0.25">
      <c r="A11" s="155"/>
      <c r="B11" s="156" t="s">
        <v>706</v>
      </c>
      <c r="C11" s="137"/>
      <c r="D11" s="137"/>
      <c r="E11" s="7"/>
    </row>
    <row r="12" spans="1:8" x14ac:dyDescent="0.25">
      <c r="A12" s="155"/>
      <c r="B12" s="140" t="s">
        <v>701</v>
      </c>
      <c r="C12" s="140" t="s">
        <v>612</v>
      </c>
      <c r="D12" s="141" t="s">
        <v>703</v>
      </c>
      <c r="E12" s="7"/>
    </row>
    <row r="13" spans="1:8" x14ac:dyDescent="0.25">
      <c r="A13" s="157" t="s">
        <v>707</v>
      </c>
      <c r="B13" s="158">
        <f>+'Compras 10'!I177+'Compras 10'!J177+'Compras 10'!K177</f>
        <v>51535702.245714284</v>
      </c>
      <c r="C13" s="158">
        <f>+'Compras 10'!N177</f>
        <v>10623453.060900001</v>
      </c>
      <c r="D13" s="159">
        <f>+'Compras 10'!U177</f>
        <v>79402287.756614283</v>
      </c>
      <c r="E13" s="160"/>
      <c r="G13" s="161"/>
    </row>
    <row r="14" spans="1:8" x14ac:dyDescent="0.25">
      <c r="A14" s="157"/>
      <c r="B14" s="162"/>
      <c r="C14" s="162"/>
      <c r="D14" s="162"/>
      <c r="E14" s="160"/>
    </row>
    <row r="15" spans="1:8" x14ac:dyDescent="0.25">
      <c r="A15" s="157"/>
      <c r="B15" s="126"/>
      <c r="C15" s="163"/>
      <c r="D15" s="126"/>
      <c r="E15" s="160"/>
    </row>
    <row r="16" spans="1:8" x14ac:dyDescent="0.25">
      <c r="A16" s="146"/>
      <c r="B16" s="164">
        <f>SUM(B13:B15)</f>
        <v>51535702.245714284</v>
      </c>
      <c r="C16" s="165">
        <f>SUM(C13:C15)</f>
        <v>10623453.060900001</v>
      </c>
      <c r="D16" s="166">
        <f>SUM(D13:D15)</f>
        <v>79402287.756614283</v>
      </c>
      <c r="E16" s="7"/>
    </row>
    <row r="17" spans="1:5" x14ac:dyDescent="0.25">
      <c r="A17" s="146"/>
      <c r="B17" s="167"/>
      <c r="C17" s="167"/>
      <c r="D17" s="167"/>
      <c r="E17" s="7"/>
    </row>
    <row r="18" spans="1:5" x14ac:dyDescent="0.25">
      <c r="A18" s="146"/>
      <c r="C18" s="168"/>
      <c r="D18" s="168"/>
      <c r="E18" s="169"/>
    </row>
    <row r="19" spans="1:5" x14ac:dyDescent="0.25">
      <c r="A19" s="156" t="s">
        <v>708</v>
      </c>
      <c r="B19" s="170" t="s">
        <v>709</v>
      </c>
      <c r="C19" s="170" t="s">
        <v>710</v>
      </c>
      <c r="D19" s="170" t="s">
        <v>711</v>
      </c>
      <c r="E19" s="170" t="s">
        <v>712</v>
      </c>
    </row>
    <row r="20" spans="1:5" x14ac:dyDescent="0.25">
      <c r="A20" s="171" t="s">
        <v>713</v>
      </c>
      <c r="B20" s="172"/>
      <c r="C20" s="173"/>
      <c r="D20" s="174"/>
      <c r="E20" s="175"/>
    </row>
    <row r="21" spans="1:5" x14ac:dyDescent="0.25">
      <c r="A21" s="171"/>
      <c r="B21" s="176"/>
      <c r="C21" s="177"/>
      <c r="D21" s="174"/>
      <c r="E21" s="178"/>
    </row>
    <row r="22" spans="1:5" x14ac:dyDescent="0.25">
      <c r="A22" s="171"/>
      <c r="B22" s="176"/>
      <c r="C22" s="177"/>
      <c r="D22" s="174"/>
      <c r="E22" s="178"/>
    </row>
    <row r="23" spans="1:5" x14ac:dyDescent="0.25">
      <c r="A23" s="171"/>
      <c r="B23" s="176"/>
      <c r="C23" s="177"/>
      <c r="D23" s="174"/>
      <c r="E23" s="178"/>
    </row>
    <row r="24" spans="1:5" x14ac:dyDescent="0.25">
      <c r="A24" s="171"/>
      <c r="B24" s="176"/>
      <c r="C24" s="173"/>
      <c r="D24" s="174"/>
      <c r="E24" s="175"/>
    </row>
    <row r="25" spans="1:5" x14ac:dyDescent="0.25">
      <c r="A25" s="171"/>
      <c r="B25" s="176"/>
      <c r="C25" s="173"/>
      <c r="D25" s="174"/>
      <c r="E25" s="175"/>
    </row>
    <row r="26" spans="1:5" x14ac:dyDescent="0.25">
      <c r="A26" s="171"/>
      <c r="B26" s="176"/>
      <c r="C26" s="173"/>
      <c r="D26" s="174"/>
      <c r="E26" s="175"/>
    </row>
    <row r="27" spans="1:5" x14ac:dyDescent="0.25">
      <c r="A27" s="171"/>
      <c r="B27" s="176"/>
      <c r="C27" s="173"/>
      <c r="D27" s="174"/>
      <c r="E27" s="175"/>
    </row>
    <row r="28" spans="1:5" x14ac:dyDescent="0.25">
      <c r="A28" s="171"/>
      <c r="B28" s="176"/>
      <c r="C28" s="173"/>
      <c r="D28" s="174"/>
      <c r="E28" s="175"/>
    </row>
    <row r="29" spans="1:5" x14ac:dyDescent="0.25">
      <c r="A29" s="171"/>
      <c r="B29" s="176"/>
      <c r="C29" s="173"/>
      <c r="D29" s="174"/>
      <c r="E29" s="175"/>
    </row>
    <row r="30" spans="1:5" x14ac:dyDescent="0.25">
      <c r="A30" s="171"/>
      <c r="B30" s="176"/>
      <c r="C30" s="173"/>
      <c r="D30" s="174"/>
      <c r="E30" s="175"/>
    </row>
    <row r="31" spans="1:5" x14ac:dyDescent="0.25">
      <c r="A31" s="171"/>
      <c r="B31" s="176"/>
      <c r="C31" s="173"/>
      <c r="D31" s="174"/>
      <c r="E31" s="175"/>
    </row>
    <row r="32" spans="1:5" x14ac:dyDescent="0.25">
      <c r="A32" s="171"/>
      <c r="B32" s="176"/>
      <c r="C32" s="173"/>
      <c r="D32" s="174"/>
      <c r="E32" s="175"/>
    </row>
    <row r="33" spans="1:6" x14ac:dyDescent="0.25">
      <c r="A33" s="171"/>
      <c r="B33" s="176"/>
      <c r="C33" s="173"/>
      <c r="D33" s="174"/>
      <c r="E33" s="175"/>
    </row>
    <row r="34" spans="1:6" x14ac:dyDescent="0.25">
      <c r="A34" s="171"/>
      <c r="B34" s="176"/>
      <c r="C34" s="179"/>
      <c r="D34" s="180"/>
      <c r="E34" s="175"/>
      <c r="F34" t="s">
        <v>613</v>
      </c>
    </row>
    <row r="35" spans="1:6" x14ac:dyDescent="0.25">
      <c r="B35" s="7"/>
      <c r="C35" s="181">
        <f>+'Octubre 25'!G79</f>
        <v>693084.55</v>
      </c>
      <c r="D35" s="7"/>
      <c r="E35" s="182"/>
    </row>
    <row r="36" spans="1:6" x14ac:dyDescent="0.25">
      <c r="B36" s="7"/>
      <c r="C36" s="91"/>
      <c r="D36" s="7"/>
    </row>
    <row r="37" spans="1:6" x14ac:dyDescent="0.25">
      <c r="A37" s="183" t="s">
        <v>714</v>
      </c>
      <c r="B37" s="184" t="s">
        <v>709</v>
      </c>
      <c r="C37" s="185" t="s">
        <v>710</v>
      </c>
      <c r="D37" s="184" t="s">
        <v>711</v>
      </c>
      <c r="E37" s="184" t="s">
        <v>712</v>
      </c>
    </row>
    <row r="38" spans="1:6" x14ac:dyDescent="0.25">
      <c r="A38" s="186"/>
      <c r="B38" s="187"/>
      <c r="C38" s="188"/>
      <c r="D38" s="179"/>
      <c r="E38" s="175"/>
    </row>
    <row r="39" spans="1:6" x14ac:dyDescent="0.25">
      <c r="A39" s="171"/>
      <c r="B39" s="189"/>
      <c r="C39" s="179"/>
      <c r="D39" s="179"/>
      <c r="E39" s="175"/>
    </row>
    <row r="40" spans="1:6" x14ac:dyDescent="0.25">
      <c r="A40" s="190"/>
      <c r="B40" s="191"/>
      <c r="C40" s="192"/>
      <c r="D40" s="193"/>
      <c r="E40" s="194"/>
    </row>
    <row r="41" spans="1:6" x14ac:dyDescent="0.25">
      <c r="B41" s="154"/>
      <c r="C41" s="195">
        <f>SUM(C38:C40)</f>
        <v>0</v>
      </c>
      <c r="D41" s="7"/>
      <c r="E41" s="182"/>
    </row>
    <row r="42" spans="1:6" x14ac:dyDescent="0.25">
      <c r="C42" s="91"/>
      <c r="E42" s="7"/>
    </row>
    <row r="43" spans="1:6" x14ac:dyDescent="0.25">
      <c r="A43" s="196" t="s">
        <v>715</v>
      </c>
      <c r="B43" s="197"/>
      <c r="C43" s="126">
        <f>+C41+C35</f>
        <v>693084.55</v>
      </c>
      <c r="E43" s="7"/>
    </row>
    <row r="44" spans="1:6" x14ac:dyDescent="0.25">
      <c r="A44" s="198"/>
      <c r="B44" s="198"/>
      <c r="C44" s="91"/>
      <c r="E44" s="7"/>
    </row>
    <row r="45" spans="1:6" x14ac:dyDescent="0.25">
      <c r="A45" s="198"/>
      <c r="B45" s="198"/>
      <c r="C45" s="91"/>
      <c r="E45" s="7"/>
    </row>
    <row r="46" spans="1:6" x14ac:dyDescent="0.25">
      <c r="C46" s="199" t="s">
        <v>716</v>
      </c>
      <c r="E46" s="7"/>
    </row>
    <row r="47" spans="1:6" x14ac:dyDescent="0.25">
      <c r="A47" s="200" t="s">
        <v>717</v>
      </c>
      <c r="B47" s="201"/>
      <c r="C47" s="202">
        <f>+C8-C16</f>
        <v>23914995.191099994</v>
      </c>
      <c r="D47" s="152"/>
      <c r="E47" s="7"/>
    </row>
    <row r="48" spans="1:6" x14ac:dyDescent="0.25">
      <c r="A48" s="203"/>
      <c r="B48" s="198"/>
      <c r="C48" s="204"/>
      <c r="D48" s="152"/>
      <c r="E48" s="7"/>
    </row>
    <row r="49" spans="1:5" x14ac:dyDescent="0.25">
      <c r="A49" s="205" t="s">
        <v>718</v>
      </c>
      <c r="B49" s="197"/>
      <c r="C49" s="206"/>
      <c r="D49" s="207" t="s">
        <v>719</v>
      </c>
      <c r="E49" s="7"/>
    </row>
    <row r="50" spans="1:5" x14ac:dyDescent="0.25">
      <c r="A50" s="203"/>
      <c r="B50" s="198"/>
      <c r="C50" s="204"/>
      <c r="D50" s="152"/>
      <c r="E50" s="7"/>
    </row>
    <row r="51" spans="1:5" x14ac:dyDescent="0.25">
      <c r="A51" s="208" t="s">
        <v>720</v>
      </c>
      <c r="B51" s="209"/>
      <c r="C51" s="210">
        <f>+C47-C49</f>
        <v>23914995.191099994</v>
      </c>
      <c r="D51" s="211"/>
      <c r="E51" s="212"/>
    </row>
    <row r="52" spans="1:5" x14ac:dyDescent="0.25">
      <c r="A52" s="213"/>
      <c r="B52" s="213"/>
      <c r="C52" s="214"/>
      <c r="D52" s="211"/>
      <c r="E52" s="212"/>
    </row>
    <row r="53" spans="1:5" x14ac:dyDescent="0.25">
      <c r="A53" s="213"/>
      <c r="B53" s="213"/>
      <c r="C53" s="214"/>
      <c r="D53" s="211"/>
      <c r="E53" s="212"/>
    </row>
    <row r="54" spans="1:5" x14ac:dyDescent="0.25">
      <c r="A54" s="213"/>
      <c r="B54" s="213"/>
      <c r="C54" s="214"/>
      <c r="D54" s="211"/>
      <c r="E54" s="212"/>
    </row>
    <row r="55" spans="1:5" x14ac:dyDescent="0.25">
      <c r="A55" s="215" t="s">
        <v>721</v>
      </c>
      <c r="B55" s="216"/>
      <c r="C55" s="217">
        <f>+C41+C35</f>
        <v>693084.55</v>
      </c>
      <c r="D55" s="152"/>
      <c r="E55" s="7"/>
    </row>
    <row r="56" spans="1:5" x14ac:dyDescent="0.25">
      <c r="A56" s="203"/>
      <c r="B56" s="198"/>
      <c r="C56" s="204"/>
      <c r="D56" s="152"/>
      <c r="E56" s="7"/>
    </row>
    <row r="57" spans="1:5" x14ac:dyDescent="0.25">
      <c r="A57" s="218" t="s">
        <v>722</v>
      </c>
      <c r="B57" s="219"/>
      <c r="C57" s="220"/>
      <c r="D57" s="7"/>
    </row>
    <row r="58" spans="1:5" x14ac:dyDescent="0.25">
      <c r="A58" s="221"/>
      <c r="B58" s="222"/>
      <c r="C58" s="204"/>
      <c r="D58" s="152"/>
      <c r="E58" s="7"/>
    </row>
    <row r="59" spans="1:5" x14ac:dyDescent="0.25">
      <c r="A59" s="208" t="s">
        <v>723</v>
      </c>
      <c r="B59" s="209"/>
      <c r="C59" s="223">
        <f>+C55+C57</f>
        <v>693084.55</v>
      </c>
      <c r="D59" s="152"/>
      <c r="E59" s="7"/>
    </row>
    <row r="60" spans="1:5" x14ac:dyDescent="0.25">
      <c r="A60" s="224"/>
      <c r="B60" s="146"/>
      <c r="C60" s="154"/>
      <c r="D60" s="152"/>
      <c r="E60" s="7"/>
    </row>
    <row r="61" spans="1:5" x14ac:dyDescent="0.25">
      <c r="A61" s="134"/>
      <c r="B61" s="146"/>
      <c r="C61" s="91"/>
      <c r="D61" s="152"/>
      <c r="E61" s="7"/>
    </row>
    <row r="62" spans="1:5" ht="18" x14ac:dyDescent="0.25">
      <c r="A62" s="225" t="s">
        <v>724</v>
      </c>
      <c r="B62" s="226"/>
      <c r="C62" s="227">
        <f>+C51-C59</f>
        <v>23221910.641099993</v>
      </c>
      <c r="D62" s="228"/>
      <c r="E62" s="229"/>
    </row>
    <row r="63" spans="1:5" ht="18" x14ac:dyDescent="0.25">
      <c r="A63" s="230" t="s">
        <v>725</v>
      </c>
    </row>
    <row r="66" spans="3:3" x14ac:dyDescent="0.25">
      <c r="C66" s="231"/>
    </row>
    <row r="67" spans="3:3" x14ac:dyDescent="0.25">
      <c r="C67" s="231"/>
    </row>
    <row r="68" spans="3:3" x14ac:dyDescent="0.25">
      <c r="C68" s="231"/>
    </row>
    <row r="69" spans="3:3" x14ac:dyDescent="0.25">
      <c r="C69" s="231"/>
    </row>
    <row r="70" spans="3:3" x14ac:dyDescent="0.25">
      <c r="C70" s="231"/>
    </row>
    <row r="71" spans="3:3" x14ac:dyDescent="0.25">
      <c r="C71" s="231"/>
    </row>
    <row r="72" spans="3:3" x14ac:dyDescent="0.25">
      <c r="C72" s="231"/>
    </row>
    <row r="73" spans="3:3" x14ac:dyDescent="0.25">
      <c r="C73" s="232"/>
    </row>
    <row r="74" spans="3:3" x14ac:dyDescent="0.25">
      <c r="C74" s="233"/>
    </row>
    <row r="75" spans="3:3" x14ac:dyDescent="0.25">
      <c r="C75" s="233"/>
    </row>
    <row r="76" spans="3:3" x14ac:dyDescent="0.25">
      <c r="C76" s="233"/>
    </row>
    <row r="77" spans="3:3" x14ac:dyDescent="0.25">
      <c r="C77" s="91"/>
    </row>
    <row r="78" spans="3:3" x14ac:dyDescent="0.25"/>
    <row r="79" spans="3:3" x14ac:dyDescent="0.25"/>
    <row r="80" spans="3:3" x14ac:dyDescent="0.25"/>
    <row r="81" x14ac:dyDescent="0.25"/>
  </sheetData>
  <mergeCells count="1">
    <mergeCell ref="B1:D1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466"/>
  <sheetViews>
    <sheetView tabSelected="1" zoomScaleNormal="100" workbookViewId="0">
      <selection activeCell="H9" sqref="H9"/>
    </sheetView>
  </sheetViews>
  <sheetFormatPr baseColWidth="10" defaultColWidth="10.5703125" defaultRowHeight="15" customHeight="1" x14ac:dyDescent="0.25"/>
  <cols>
    <col min="1" max="1" width="11.85546875" customWidth="1"/>
    <col min="2" max="2" width="33" customWidth="1"/>
    <col min="3" max="3" width="16.140625" customWidth="1"/>
    <col min="4" max="4" width="17.85546875" customWidth="1"/>
    <col min="5" max="5" width="15.7109375" customWidth="1"/>
    <col min="7" max="7" width="19" customWidth="1"/>
    <col min="8" max="8" width="15.28515625" customWidth="1"/>
    <col min="9" max="9" width="9.140625" customWidth="1"/>
    <col min="10" max="10" width="7.140625" customWidth="1"/>
    <col min="11" max="11" width="6.42578125" customWidth="1"/>
    <col min="12" max="12" width="10.7109375" customWidth="1"/>
    <col min="13" max="13" width="12.7109375" customWidth="1"/>
    <col min="14" max="17" width="11.85546875" customWidth="1"/>
    <col min="18" max="18" width="12.7109375" customWidth="1"/>
    <col min="19" max="19" width="15.42578125" customWidth="1"/>
    <col min="20" max="20" width="15.140625" customWidth="1"/>
  </cols>
  <sheetData>
    <row r="2" spans="1:20" ht="15.75" x14ac:dyDescent="0.25">
      <c r="C2" s="278" t="s">
        <v>770</v>
      </c>
      <c r="D2" s="278"/>
      <c r="E2" s="278"/>
      <c r="F2" s="278"/>
      <c r="G2" s="278"/>
    </row>
    <row r="3" spans="1:20" x14ac:dyDescent="0.25">
      <c r="C3" s="235"/>
      <c r="D3" s="236" t="s">
        <v>771</v>
      </c>
      <c r="E3" s="236" t="s">
        <v>612</v>
      </c>
      <c r="F3" s="236" t="s">
        <v>772</v>
      </c>
      <c r="G3" s="236" t="s">
        <v>773</v>
      </c>
    </row>
    <row r="4" spans="1:20" x14ac:dyDescent="0.25">
      <c r="C4" s="237" t="s">
        <v>598</v>
      </c>
      <c r="D4" s="238">
        <v>138326383.13</v>
      </c>
      <c r="E4" s="238">
        <f>+D4*0.21</f>
        <v>29048540.457299996</v>
      </c>
      <c r="F4" s="238"/>
      <c r="G4" s="238">
        <f>SUBTOTAL(9,D4:F4)</f>
        <v>167374923.5873</v>
      </c>
    </row>
    <row r="5" spans="1:20" x14ac:dyDescent="0.25">
      <c r="C5" s="237" t="s">
        <v>774</v>
      </c>
      <c r="D5" s="238">
        <v>-4877007.88</v>
      </c>
      <c r="E5" s="238">
        <f>+D5*0.21</f>
        <v>-1024171.6547999999</v>
      </c>
      <c r="F5" s="238"/>
      <c r="G5" s="238">
        <f>SUBTOTAL(9,D5:F5)</f>
        <v>-5901179.5347999996</v>
      </c>
    </row>
    <row r="6" spans="1:20" x14ac:dyDescent="0.25">
      <c r="C6" s="234" t="s">
        <v>775</v>
      </c>
      <c r="D6" s="238">
        <v>35076824.709999993</v>
      </c>
      <c r="E6" s="238">
        <f>+D6*0.21</f>
        <v>7366133.1890999982</v>
      </c>
      <c r="F6" s="238"/>
      <c r="G6" s="238">
        <f>SUBTOTAL(9,D6:F6)</f>
        <v>42442957.899099991</v>
      </c>
    </row>
    <row r="7" spans="1:20" x14ac:dyDescent="0.25">
      <c r="C7" s="234" t="s">
        <v>776</v>
      </c>
      <c r="D7" s="238">
        <v>-4057398.76</v>
      </c>
      <c r="E7" s="238">
        <f>+D7*0.21</f>
        <v>-852053.73959999997</v>
      </c>
      <c r="F7" s="238"/>
      <c r="G7" s="238">
        <f>SUBTOTAL(9,D7:F7)</f>
        <v>-4909452.4995999997</v>
      </c>
    </row>
    <row r="8" spans="1:20" x14ac:dyDescent="0.25">
      <c r="C8" s="234" t="s">
        <v>777</v>
      </c>
      <c r="D8" s="238"/>
      <c r="E8" s="238">
        <f>+D8*0.21</f>
        <v>0</v>
      </c>
      <c r="F8" s="238"/>
      <c r="G8" s="238">
        <f>SUBTOTAL(9,D8:F8)</f>
        <v>0</v>
      </c>
    </row>
    <row r="9" spans="1:20" x14ac:dyDescent="0.25">
      <c r="C9" s="125"/>
      <c r="D9" s="239">
        <f>SUBTOTAL(9,D4:D8)</f>
        <v>164468801.19999999</v>
      </c>
      <c r="E9" s="239">
        <f>SUBTOTAL(9,E4:E8)</f>
        <v>34538448.251999989</v>
      </c>
      <c r="F9" s="239">
        <v>0</v>
      </c>
      <c r="G9" s="239">
        <f>+E9+D9</f>
        <v>199007249.45199996</v>
      </c>
      <c r="H9" s="240">
        <f>+SUBTOTAL(109,H12:H466)</f>
        <v>164468801.20000017</v>
      </c>
    </row>
    <row r="11" spans="1:20" x14ac:dyDescent="0.25">
      <c r="A11" s="241" t="s">
        <v>712</v>
      </c>
      <c r="B11" s="241" t="s">
        <v>629</v>
      </c>
      <c r="C11" s="241" t="s">
        <v>630</v>
      </c>
      <c r="D11" s="241" t="s">
        <v>778</v>
      </c>
      <c r="E11" s="241" t="s">
        <v>779</v>
      </c>
      <c r="F11" s="241" t="s">
        <v>780</v>
      </c>
      <c r="G11" s="241" t="s">
        <v>628</v>
      </c>
      <c r="H11" s="241" t="s">
        <v>781</v>
      </c>
      <c r="I11" s="241" t="s">
        <v>782</v>
      </c>
      <c r="J11" s="241" t="s">
        <v>783</v>
      </c>
      <c r="K11" s="241" t="s">
        <v>784</v>
      </c>
      <c r="L11" s="241" t="s">
        <v>785</v>
      </c>
      <c r="M11" s="241" t="s">
        <v>786</v>
      </c>
      <c r="N11" s="241" t="s">
        <v>787</v>
      </c>
      <c r="O11" s="241" t="s">
        <v>619</v>
      </c>
      <c r="P11" s="241" t="s">
        <v>644</v>
      </c>
      <c r="Q11" s="241" t="s">
        <v>788</v>
      </c>
      <c r="R11" s="241" t="s">
        <v>789</v>
      </c>
      <c r="S11" s="241" t="s">
        <v>645</v>
      </c>
      <c r="T11" s="241" t="s">
        <v>790</v>
      </c>
    </row>
    <row r="12" spans="1:20" ht="15" customHeight="1" x14ac:dyDescent="0.25">
      <c r="A12" s="125" t="s">
        <v>960</v>
      </c>
      <c r="B12" s="125" t="s">
        <v>864</v>
      </c>
      <c r="C12" s="125" t="s">
        <v>865</v>
      </c>
      <c r="D12" s="125" t="s">
        <v>656</v>
      </c>
      <c r="E12" s="125" t="s">
        <v>793</v>
      </c>
      <c r="F12" s="125" t="s">
        <v>804</v>
      </c>
      <c r="G12" s="125" t="s">
        <v>961</v>
      </c>
      <c r="H12" s="125">
        <v>494958.68</v>
      </c>
      <c r="I12" s="125">
        <v>0</v>
      </c>
      <c r="J12" s="125">
        <v>0</v>
      </c>
      <c r="K12" s="125">
        <v>0</v>
      </c>
      <c r="L12" s="125">
        <v>0</v>
      </c>
      <c r="M12" s="125">
        <v>103941.32</v>
      </c>
      <c r="N12" s="125">
        <v>0</v>
      </c>
      <c r="O12" s="125">
        <v>0</v>
      </c>
      <c r="P12" s="125">
        <v>0</v>
      </c>
      <c r="Q12" s="125">
        <v>0</v>
      </c>
      <c r="R12" s="125">
        <v>103941.32</v>
      </c>
      <c r="S12" s="125">
        <v>598900</v>
      </c>
      <c r="T12" s="125"/>
    </row>
    <row r="13" spans="1:20" ht="15" customHeight="1" x14ac:dyDescent="0.25">
      <c r="A13" s="125" t="s">
        <v>960</v>
      </c>
      <c r="B13" s="125" t="s">
        <v>826</v>
      </c>
      <c r="C13" s="125" t="s">
        <v>827</v>
      </c>
      <c r="D13" s="125" t="s">
        <v>652</v>
      </c>
      <c r="E13" s="125" t="s">
        <v>828</v>
      </c>
      <c r="F13" s="125" t="s">
        <v>690</v>
      </c>
      <c r="G13" s="125" t="s">
        <v>962</v>
      </c>
      <c r="H13" s="125">
        <v>18181.82</v>
      </c>
      <c r="I13" s="125">
        <v>0</v>
      </c>
      <c r="J13" s="125">
        <v>0</v>
      </c>
      <c r="K13" s="125">
        <v>0</v>
      </c>
      <c r="L13" s="125">
        <v>0</v>
      </c>
      <c r="M13" s="125">
        <v>3818.18</v>
      </c>
      <c r="N13" s="125">
        <v>0</v>
      </c>
      <c r="O13" s="125">
        <v>0</v>
      </c>
      <c r="P13" s="125">
        <v>0</v>
      </c>
      <c r="Q13" s="125">
        <v>0</v>
      </c>
      <c r="R13" s="125">
        <v>3818.18</v>
      </c>
      <c r="S13" s="125">
        <v>22000</v>
      </c>
      <c r="T13" s="125"/>
    </row>
    <row r="14" spans="1:20" ht="15" customHeight="1" x14ac:dyDescent="0.25">
      <c r="A14" s="125" t="s">
        <v>960</v>
      </c>
      <c r="B14" s="125" t="s">
        <v>829</v>
      </c>
      <c r="C14" s="125" t="s">
        <v>830</v>
      </c>
      <c r="D14" s="125" t="s">
        <v>656</v>
      </c>
      <c r="E14" s="125" t="s">
        <v>963</v>
      </c>
      <c r="F14" s="125" t="s">
        <v>690</v>
      </c>
      <c r="G14" s="125" t="s">
        <v>964</v>
      </c>
      <c r="H14" s="125">
        <v>23140.5</v>
      </c>
      <c r="I14" s="125">
        <v>0</v>
      </c>
      <c r="J14" s="125">
        <v>0</v>
      </c>
      <c r="K14" s="125">
        <v>0</v>
      </c>
      <c r="L14" s="125">
        <v>0</v>
      </c>
      <c r="M14" s="125">
        <v>4859.5</v>
      </c>
      <c r="N14" s="125">
        <v>0</v>
      </c>
      <c r="O14" s="125">
        <v>0</v>
      </c>
      <c r="P14" s="125">
        <v>0</v>
      </c>
      <c r="Q14" s="125">
        <v>0</v>
      </c>
      <c r="R14" s="125">
        <v>4859.5</v>
      </c>
      <c r="S14" s="125">
        <v>28000</v>
      </c>
      <c r="T14" s="125"/>
    </row>
    <row r="15" spans="1:20" ht="15" customHeight="1" x14ac:dyDescent="0.25">
      <c r="A15" s="125" t="s">
        <v>960</v>
      </c>
      <c r="B15" s="125" t="s">
        <v>965</v>
      </c>
      <c r="C15" s="125" t="s">
        <v>966</v>
      </c>
      <c r="D15" s="125" t="s">
        <v>656</v>
      </c>
      <c r="E15" s="125" t="s">
        <v>793</v>
      </c>
      <c r="F15" s="125" t="s">
        <v>690</v>
      </c>
      <c r="G15" s="125" t="s">
        <v>967</v>
      </c>
      <c r="H15" s="125">
        <v>21487.599999999999</v>
      </c>
      <c r="I15" s="125">
        <v>0</v>
      </c>
      <c r="J15" s="125">
        <v>0</v>
      </c>
      <c r="K15" s="125">
        <v>0</v>
      </c>
      <c r="L15" s="125">
        <v>0</v>
      </c>
      <c r="M15" s="125">
        <v>4512.3999999999996</v>
      </c>
      <c r="N15" s="125">
        <v>0</v>
      </c>
      <c r="O15" s="125">
        <v>0</v>
      </c>
      <c r="P15" s="125">
        <v>0</v>
      </c>
      <c r="Q15" s="125">
        <v>0</v>
      </c>
      <c r="R15" s="125">
        <v>4512.3999999999996</v>
      </c>
      <c r="S15" s="125">
        <v>26000</v>
      </c>
      <c r="T15" s="125"/>
    </row>
    <row r="16" spans="1:20" ht="15" customHeight="1" x14ac:dyDescent="0.25">
      <c r="A16" s="125" t="s">
        <v>960</v>
      </c>
      <c r="B16" s="125" t="s">
        <v>968</v>
      </c>
      <c r="C16" s="125" t="s">
        <v>969</v>
      </c>
      <c r="D16" s="125" t="s">
        <v>656</v>
      </c>
      <c r="E16" s="125" t="s">
        <v>793</v>
      </c>
      <c r="F16" s="125" t="s">
        <v>690</v>
      </c>
      <c r="G16" s="125" t="s">
        <v>970</v>
      </c>
      <c r="H16" s="125">
        <v>27272.73</v>
      </c>
      <c r="I16" s="125">
        <v>0</v>
      </c>
      <c r="J16" s="125">
        <v>0</v>
      </c>
      <c r="K16" s="125">
        <v>0</v>
      </c>
      <c r="L16" s="125">
        <v>0</v>
      </c>
      <c r="M16" s="125">
        <v>5727.27</v>
      </c>
      <c r="N16" s="125">
        <v>0</v>
      </c>
      <c r="O16" s="125">
        <v>0</v>
      </c>
      <c r="P16" s="125">
        <v>0</v>
      </c>
      <c r="Q16" s="125">
        <v>0</v>
      </c>
      <c r="R16" s="125">
        <v>5727.27</v>
      </c>
      <c r="S16" s="125">
        <v>33000</v>
      </c>
      <c r="T16" s="125"/>
    </row>
    <row r="17" spans="1:20" ht="15" customHeight="1" x14ac:dyDescent="0.25">
      <c r="A17" s="125" t="s">
        <v>960</v>
      </c>
      <c r="B17" s="125" t="s">
        <v>971</v>
      </c>
      <c r="C17" s="125" t="s">
        <v>972</v>
      </c>
      <c r="D17" s="125" t="s">
        <v>656</v>
      </c>
      <c r="E17" s="125" t="s">
        <v>793</v>
      </c>
      <c r="F17" s="125" t="s">
        <v>690</v>
      </c>
      <c r="G17" s="125" t="s">
        <v>973</v>
      </c>
      <c r="H17" s="125">
        <v>42148.76</v>
      </c>
      <c r="I17" s="125">
        <v>0</v>
      </c>
      <c r="J17" s="125">
        <v>0</v>
      </c>
      <c r="K17" s="125">
        <v>0</v>
      </c>
      <c r="L17" s="125">
        <v>0</v>
      </c>
      <c r="M17" s="125">
        <v>8851.24</v>
      </c>
      <c r="N17" s="125">
        <v>0</v>
      </c>
      <c r="O17" s="125">
        <v>0</v>
      </c>
      <c r="P17" s="125">
        <v>0</v>
      </c>
      <c r="Q17" s="125">
        <v>0</v>
      </c>
      <c r="R17" s="125">
        <v>8851.24</v>
      </c>
      <c r="S17" s="125">
        <v>51000</v>
      </c>
      <c r="T17" s="125"/>
    </row>
    <row r="18" spans="1:20" ht="15" customHeight="1" x14ac:dyDescent="0.25">
      <c r="A18" s="125" t="s">
        <v>960</v>
      </c>
      <c r="B18" s="125" t="s">
        <v>974</v>
      </c>
      <c r="C18" s="125" t="s">
        <v>975</v>
      </c>
      <c r="D18" s="125" t="s">
        <v>656</v>
      </c>
      <c r="E18" s="125" t="s">
        <v>793</v>
      </c>
      <c r="F18" s="125" t="s">
        <v>690</v>
      </c>
      <c r="G18" s="125" t="s">
        <v>976</v>
      </c>
      <c r="H18" s="125">
        <v>18181.82</v>
      </c>
      <c r="I18" s="125">
        <v>0</v>
      </c>
      <c r="J18" s="125">
        <v>0</v>
      </c>
      <c r="K18" s="125">
        <v>0</v>
      </c>
      <c r="L18" s="125">
        <v>0</v>
      </c>
      <c r="M18" s="125">
        <v>3818.18</v>
      </c>
      <c r="N18" s="125">
        <v>0</v>
      </c>
      <c r="O18" s="125">
        <v>0</v>
      </c>
      <c r="P18" s="125">
        <v>0</v>
      </c>
      <c r="Q18" s="125">
        <v>0</v>
      </c>
      <c r="R18" s="125">
        <v>3818.18</v>
      </c>
      <c r="S18" s="125">
        <v>22000</v>
      </c>
      <c r="T18" s="125"/>
    </row>
    <row r="19" spans="1:20" ht="15" customHeight="1" x14ac:dyDescent="0.25">
      <c r="A19" s="125" t="s">
        <v>960</v>
      </c>
      <c r="B19" s="125" t="s">
        <v>815</v>
      </c>
      <c r="C19" s="125" t="s">
        <v>816</v>
      </c>
      <c r="D19" s="125" t="s">
        <v>656</v>
      </c>
      <c r="E19" s="125" t="s">
        <v>793</v>
      </c>
      <c r="F19" s="125" t="s">
        <v>690</v>
      </c>
      <c r="G19" s="125" t="s">
        <v>977</v>
      </c>
      <c r="H19" s="125">
        <v>28925.62</v>
      </c>
      <c r="I19" s="125">
        <v>0</v>
      </c>
      <c r="J19" s="125">
        <v>0</v>
      </c>
      <c r="K19" s="125">
        <v>0</v>
      </c>
      <c r="L19" s="125">
        <v>0</v>
      </c>
      <c r="M19" s="125">
        <v>6074.38</v>
      </c>
      <c r="N19" s="125">
        <v>0</v>
      </c>
      <c r="O19" s="125">
        <v>0</v>
      </c>
      <c r="P19" s="125">
        <v>0</v>
      </c>
      <c r="Q19" s="125">
        <v>0</v>
      </c>
      <c r="R19" s="125">
        <v>6074.38</v>
      </c>
      <c r="S19" s="125">
        <v>35000</v>
      </c>
      <c r="T19" s="125"/>
    </row>
    <row r="20" spans="1:20" ht="15" customHeight="1" x14ac:dyDescent="0.25">
      <c r="A20" s="125" t="s">
        <v>960</v>
      </c>
      <c r="B20" s="125" t="s">
        <v>791</v>
      </c>
      <c r="C20" s="125" t="s">
        <v>792</v>
      </c>
      <c r="D20" s="125" t="s">
        <v>656</v>
      </c>
      <c r="E20" s="125" t="s">
        <v>793</v>
      </c>
      <c r="F20" s="125" t="s">
        <v>690</v>
      </c>
      <c r="G20" s="125" t="s">
        <v>978</v>
      </c>
      <c r="H20" s="125">
        <v>14214.88</v>
      </c>
      <c r="I20" s="125">
        <v>0</v>
      </c>
      <c r="J20" s="125">
        <v>0</v>
      </c>
      <c r="K20" s="125">
        <v>0</v>
      </c>
      <c r="L20" s="125">
        <v>0</v>
      </c>
      <c r="M20" s="125">
        <v>2985.12</v>
      </c>
      <c r="N20" s="125">
        <v>0</v>
      </c>
      <c r="O20" s="125">
        <v>0</v>
      </c>
      <c r="P20" s="125">
        <v>0</v>
      </c>
      <c r="Q20" s="125">
        <v>0</v>
      </c>
      <c r="R20" s="125">
        <v>2985.12</v>
      </c>
      <c r="S20" s="125">
        <v>17200</v>
      </c>
      <c r="T20" s="125"/>
    </row>
    <row r="21" spans="1:20" ht="15" customHeight="1" x14ac:dyDescent="0.25">
      <c r="A21" s="125" t="s">
        <v>960</v>
      </c>
      <c r="B21" s="125" t="s">
        <v>806</v>
      </c>
      <c r="C21" s="125" t="s">
        <v>807</v>
      </c>
      <c r="D21" s="125" t="s">
        <v>652</v>
      </c>
      <c r="E21" s="125" t="s">
        <v>808</v>
      </c>
      <c r="F21" s="125" t="s">
        <v>650</v>
      </c>
      <c r="G21" s="125" t="s">
        <v>979</v>
      </c>
      <c r="H21" s="125">
        <v>434850.24</v>
      </c>
      <c r="I21" s="125">
        <v>0</v>
      </c>
      <c r="J21" s="125">
        <v>0</v>
      </c>
      <c r="K21" s="125">
        <v>0</v>
      </c>
      <c r="L21" s="125">
        <v>0</v>
      </c>
      <c r="M21" s="125">
        <v>91318.55</v>
      </c>
      <c r="N21" s="125">
        <v>0</v>
      </c>
      <c r="O21" s="125">
        <v>0</v>
      </c>
      <c r="P21" s="125">
        <v>0</v>
      </c>
      <c r="Q21" s="125">
        <v>0</v>
      </c>
      <c r="R21" s="125">
        <v>91318.55</v>
      </c>
      <c r="S21" s="125">
        <v>526168.79</v>
      </c>
      <c r="T21" s="125"/>
    </row>
    <row r="22" spans="1:20" ht="15" customHeight="1" x14ac:dyDescent="0.25">
      <c r="A22" s="125" t="s">
        <v>960</v>
      </c>
      <c r="B22" s="125" t="s">
        <v>791</v>
      </c>
      <c r="C22" s="125" t="s">
        <v>792</v>
      </c>
      <c r="D22" s="125" t="s">
        <v>656</v>
      </c>
      <c r="E22" s="125" t="s">
        <v>793</v>
      </c>
      <c r="F22" s="125" t="s">
        <v>690</v>
      </c>
      <c r="G22" s="125" t="s">
        <v>980</v>
      </c>
      <c r="H22" s="125">
        <v>26942.15</v>
      </c>
      <c r="I22" s="125">
        <v>0</v>
      </c>
      <c r="J22" s="125">
        <v>0</v>
      </c>
      <c r="K22" s="125">
        <v>0</v>
      </c>
      <c r="L22" s="125">
        <v>0</v>
      </c>
      <c r="M22" s="125">
        <v>5657.85</v>
      </c>
      <c r="N22" s="125">
        <v>0</v>
      </c>
      <c r="O22" s="125">
        <v>0</v>
      </c>
      <c r="P22" s="125">
        <v>0</v>
      </c>
      <c r="Q22" s="125">
        <v>0</v>
      </c>
      <c r="R22" s="125">
        <v>5657.85</v>
      </c>
      <c r="S22" s="125">
        <v>32600</v>
      </c>
      <c r="T22" s="125"/>
    </row>
    <row r="23" spans="1:20" ht="15" customHeight="1" x14ac:dyDescent="0.25">
      <c r="A23" s="125" t="s">
        <v>960</v>
      </c>
      <c r="B23" s="125" t="s">
        <v>791</v>
      </c>
      <c r="C23" s="125" t="s">
        <v>792</v>
      </c>
      <c r="D23" s="125" t="s">
        <v>656</v>
      </c>
      <c r="E23" s="125" t="s">
        <v>793</v>
      </c>
      <c r="F23" s="125" t="s">
        <v>690</v>
      </c>
      <c r="G23" s="125" t="s">
        <v>981</v>
      </c>
      <c r="H23" s="125">
        <v>18595.04</v>
      </c>
      <c r="I23" s="125">
        <v>0</v>
      </c>
      <c r="J23" s="125">
        <v>0</v>
      </c>
      <c r="K23" s="125">
        <v>0</v>
      </c>
      <c r="L23" s="125">
        <v>0</v>
      </c>
      <c r="M23" s="125">
        <v>3904.96</v>
      </c>
      <c r="N23" s="125">
        <v>0</v>
      </c>
      <c r="O23" s="125">
        <v>0</v>
      </c>
      <c r="P23" s="125">
        <v>0</v>
      </c>
      <c r="Q23" s="125">
        <v>0</v>
      </c>
      <c r="R23" s="125">
        <v>3904.96</v>
      </c>
      <c r="S23" s="125">
        <v>22500</v>
      </c>
      <c r="T23" s="125"/>
    </row>
    <row r="24" spans="1:20" ht="15" customHeight="1" x14ac:dyDescent="0.25">
      <c r="A24" s="125" t="s">
        <v>960</v>
      </c>
      <c r="B24" s="125" t="s">
        <v>811</v>
      </c>
      <c r="C24" s="125" t="s">
        <v>812</v>
      </c>
      <c r="D24" s="125" t="s">
        <v>656</v>
      </c>
      <c r="E24" s="125" t="s">
        <v>793</v>
      </c>
      <c r="F24" s="125" t="s">
        <v>804</v>
      </c>
      <c r="G24" s="125" t="s">
        <v>982</v>
      </c>
      <c r="H24" s="125">
        <v>156157.12</v>
      </c>
      <c r="I24" s="125">
        <v>0</v>
      </c>
      <c r="J24" s="125">
        <v>0</v>
      </c>
      <c r="K24" s="125">
        <v>0</v>
      </c>
      <c r="L24" s="125">
        <v>0</v>
      </c>
      <c r="M24" s="125">
        <v>32792.99</v>
      </c>
      <c r="N24" s="125">
        <v>0</v>
      </c>
      <c r="O24" s="125">
        <v>0</v>
      </c>
      <c r="P24" s="125">
        <v>0</v>
      </c>
      <c r="Q24" s="125">
        <v>0</v>
      </c>
      <c r="R24" s="125">
        <v>32792.99</v>
      </c>
      <c r="S24" s="125">
        <v>188950.11</v>
      </c>
      <c r="T24" s="125"/>
    </row>
    <row r="25" spans="1:20" ht="15" customHeight="1" x14ac:dyDescent="0.25">
      <c r="A25" s="125" t="s">
        <v>960</v>
      </c>
      <c r="B25" s="125" t="s">
        <v>819</v>
      </c>
      <c r="C25" s="125" t="s">
        <v>820</v>
      </c>
      <c r="D25" s="125" t="s">
        <v>656</v>
      </c>
      <c r="E25" s="125" t="s">
        <v>793</v>
      </c>
      <c r="F25" s="125" t="s">
        <v>650</v>
      </c>
      <c r="G25" s="125" t="s">
        <v>983</v>
      </c>
      <c r="H25" s="125">
        <v>404376.03</v>
      </c>
      <c r="I25" s="125">
        <v>0</v>
      </c>
      <c r="J25" s="125">
        <v>0</v>
      </c>
      <c r="K25" s="125">
        <v>0</v>
      </c>
      <c r="L25" s="125">
        <v>0</v>
      </c>
      <c r="M25" s="125">
        <v>84918.97</v>
      </c>
      <c r="N25" s="125">
        <v>0</v>
      </c>
      <c r="O25" s="125">
        <v>0</v>
      </c>
      <c r="P25" s="125">
        <v>0</v>
      </c>
      <c r="Q25" s="125">
        <v>0</v>
      </c>
      <c r="R25" s="125">
        <v>84918.97</v>
      </c>
      <c r="S25" s="125">
        <v>489295</v>
      </c>
      <c r="T25" s="125"/>
    </row>
    <row r="26" spans="1:20" ht="15" customHeight="1" x14ac:dyDescent="0.25">
      <c r="A26" s="125" t="s">
        <v>960</v>
      </c>
      <c r="B26" s="125" t="s">
        <v>791</v>
      </c>
      <c r="C26" s="125" t="s">
        <v>792</v>
      </c>
      <c r="D26" s="125" t="s">
        <v>656</v>
      </c>
      <c r="E26" s="125" t="s">
        <v>793</v>
      </c>
      <c r="F26" s="125" t="s">
        <v>690</v>
      </c>
      <c r="G26" s="125" t="s">
        <v>984</v>
      </c>
      <c r="H26" s="125">
        <v>10743.8</v>
      </c>
      <c r="I26" s="125">
        <v>0</v>
      </c>
      <c r="J26" s="125">
        <v>0</v>
      </c>
      <c r="K26" s="125">
        <v>0</v>
      </c>
      <c r="L26" s="125">
        <v>0</v>
      </c>
      <c r="M26" s="125">
        <v>2256.1999999999998</v>
      </c>
      <c r="N26" s="125">
        <v>0</v>
      </c>
      <c r="O26" s="125">
        <v>0</v>
      </c>
      <c r="P26" s="125">
        <v>0</v>
      </c>
      <c r="Q26" s="125">
        <v>0</v>
      </c>
      <c r="R26" s="125">
        <v>2256.1999999999998</v>
      </c>
      <c r="S26" s="125">
        <v>13000</v>
      </c>
      <c r="T26" s="125"/>
    </row>
    <row r="27" spans="1:20" ht="15" customHeight="1" x14ac:dyDescent="0.25">
      <c r="A27" s="125" t="s">
        <v>960</v>
      </c>
      <c r="B27" s="125" t="s">
        <v>791</v>
      </c>
      <c r="C27" s="125" t="s">
        <v>792</v>
      </c>
      <c r="D27" s="125" t="s">
        <v>656</v>
      </c>
      <c r="E27" s="125" t="s">
        <v>793</v>
      </c>
      <c r="F27" s="125" t="s">
        <v>690</v>
      </c>
      <c r="G27" s="125" t="s">
        <v>985</v>
      </c>
      <c r="H27" s="125">
        <v>19834.71</v>
      </c>
      <c r="I27" s="125">
        <v>0</v>
      </c>
      <c r="J27" s="125">
        <v>0</v>
      </c>
      <c r="K27" s="125">
        <v>0</v>
      </c>
      <c r="L27" s="125">
        <v>0</v>
      </c>
      <c r="M27" s="125">
        <v>4165.29</v>
      </c>
      <c r="N27" s="125">
        <v>0</v>
      </c>
      <c r="O27" s="125">
        <v>0</v>
      </c>
      <c r="P27" s="125">
        <v>0</v>
      </c>
      <c r="Q27" s="125">
        <v>0</v>
      </c>
      <c r="R27" s="125">
        <v>4165.29</v>
      </c>
      <c r="S27" s="125">
        <v>24000</v>
      </c>
      <c r="T27" s="125"/>
    </row>
    <row r="28" spans="1:20" ht="15" customHeight="1" x14ac:dyDescent="0.25">
      <c r="A28" s="125" t="s">
        <v>960</v>
      </c>
      <c r="B28" s="125" t="s">
        <v>791</v>
      </c>
      <c r="C28" s="125" t="s">
        <v>792</v>
      </c>
      <c r="D28" s="125" t="s">
        <v>656</v>
      </c>
      <c r="E28" s="125" t="s">
        <v>793</v>
      </c>
      <c r="F28" s="125" t="s">
        <v>690</v>
      </c>
      <c r="G28" s="125" t="s">
        <v>986</v>
      </c>
      <c r="H28" s="125">
        <v>44628.1</v>
      </c>
      <c r="I28" s="125">
        <v>0</v>
      </c>
      <c r="J28" s="125">
        <v>0</v>
      </c>
      <c r="K28" s="125">
        <v>0</v>
      </c>
      <c r="L28" s="125">
        <v>0</v>
      </c>
      <c r="M28" s="125">
        <v>9371.9</v>
      </c>
      <c r="N28" s="125">
        <v>0</v>
      </c>
      <c r="O28" s="125">
        <v>0</v>
      </c>
      <c r="P28" s="125">
        <v>0</v>
      </c>
      <c r="Q28" s="125">
        <v>0</v>
      </c>
      <c r="R28" s="125">
        <v>9371.9</v>
      </c>
      <c r="S28" s="125">
        <v>54000</v>
      </c>
      <c r="T28" s="125"/>
    </row>
    <row r="29" spans="1:20" ht="15" customHeight="1" x14ac:dyDescent="0.25">
      <c r="A29" s="125" t="s">
        <v>960</v>
      </c>
      <c r="B29" s="125" t="s">
        <v>791</v>
      </c>
      <c r="C29" s="125" t="s">
        <v>792</v>
      </c>
      <c r="D29" s="125" t="s">
        <v>656</v>
      </c>
      <c r="E29" s="125" t="s">
        <v>793</v>
      </c>
      <c r="F29" s="125" t="s">
        <v>690</v>
      </c>
      <c r="G29" s="125" t="s">
        <v>987</v>
      </c>
      <c r="H29" s="125">
        <v>18595.04</v>
      </c>
      <c r="I29" s="125">
        <v>0</v>
      </c>
      <c r="J29" s="125">
        <v>0</v>
      </c>
      <c r="K29" s="125">
        <v>0</v>
      </c>
      <c r="L29" s="125">
        <v>0</v>
      </c>
      <c r="M29" s="125">
        <v>3904.96</v>
      </c>
      <c r="N29" s="125">
        <v>0</v>
      </c>
      <c r="O29" s="125">
        <v>0</v>
      </c>
      <c r="P29" s="125">
        <v>0</v>
      </c>
      <c r="Q29" s="125">
        <v>0</v>
      </c>
      <c r="R29" s="125">
        <v>3904.96</v>
      </c>
      <c r="S29" s="125">
        <v>22500</v>
      </c>
      <c r="T29" s="125"/>
    </row>
    <row r="30" spans="1:20" ht="15" customHeight="1" x14ac:dyDescent="0.25">
      <c r="A30" s="125" t="s">
        <v>960</v>
      </c>
      <c r="B30" s="125" t="s">
        <v>791</v>
      </c>
      <c r="C30" s="125" t="s">
        <v>792</v>
      </c>
      <c r="D30" s="125" t="s">
        <v>656</v>
      </c>
      <c r="E30" s="125" t="s">
        <v>793</v>
      </c>
      <c r="F30" s="125" t="s">
        <v>690</v>
      </c>
      <c r="G30" s="125" t="s">
        <v>988</v>
      </c>
      <c r="H30" s="125">
        <v>18595.04</v>
      </c>
      <c r="I30" s="125">
        <v>0</v>
      </c>
      <c r="J30" s="125">
        <v>0</v>
      </c>
      <c r="K30" s="125">
        <v>0</v>
      </c>
      <c r="L30" s="125">
        <v>0</v>
      </c>
      <c r="M30" s="125">
        <v>3904.96</v>
      </c>
      <c r="N30" s="125">
        <v>0</v>
      </c>
      <c r="O30" s="125">
        <v>0</v>
      </c>
      <c r="P30" s="125">
        <v>0</v>
      </c>
      <c r="Q30" s="125">
        <v>0</v>
      </c>
      <c r="R30" s="125">
        <v>3904.96</v>
      </c>
      <c r="S30" s="125">
        <v>22500</v>
      </c>
      <c r="T30" s="125"/>
    </row>
    <row r="31" spans="1:20" ht="15" customHeight="1" x14ac:dyDescent="0.25">
      <c r="A31" s="125" t="s">
        <v>960</v>
      </c>
      <c r="B31" s="125" t="s">
        <v>809</v>
      </c>
      <c r="C31" s="125" t="s">
        <v>810</v>
      </c>
      <c r="D31" s="125" t="s">
        <v>656</v>
      </c>
      <c r="E31" s="125" t="s">
        <v>793</v>
      </c>
      <c r="F31" s="125" t="s">
        <v>804</v>
      </c>
      <c r="G31" s="125" t="s">
        <v>989</v>
      </c>
      <c r="H31" s="125">
        <v>116165.29</v>
      </c>
      <c r="I31" s="125">
        <v>0</v>
      </c>
      <c r="J31" s="125">
        <v>0</v>
      </c>
      <c r="K31" s="125">
        <v>0</v>
      </c>
      <c r="L31" s="125">
        <v>0</v>
      </c>
      <c r="M31" s="125">
        <v>24394.71</v>
      </c>
      <c r="N31" s="125">
        <v>0</v>
      </c>
      <c r="O31" s="125">
        <v>0</v>
      </c>
      <c r="P31" s="125">
        <v>0</v>
      </c>
      <c r="Q31" s="125">
        <v>0</v>
      </c>
      <c r="R31" s="125">
        <v>24394.71</v>
      </c>
      <c r="S31" s="125">
        <v>140560</v>
      </c>
      <c r="T31" s="125"/>
    </row>
    <row r="32" spans="1:20" ht="15" customHeight="1" x14ac:dyDescent="0.25">
      <c r="A32" s="125" t="s">
        <v>960</v>
      </c>
      <c r="B32" s="125" t="s">
        <v>809</v>
      </c>
      <c r="C32" s="125" t="s">
        <v>810</v>
      </c>
      <c r="D32" s="125" t="s">
        <v>656</v>
      </c>
      <c r="E32" s="125" t="s">
        <v>793</v>
      </c>
      <c r="F32" s="125" t="s">
        <v>804</v>
      </c>
      <c r="G32" s="125" t="s">
        <v>990</v>
      </c>
      <c r="H32" s="125">
        <v>116165.29</v>
      </c>
      <c r="I32" s="125">
        <v>0</v>
      </c>
      <c r="J32" s="125">
        <v>0</v>
      </c>
      <c r="K32" s="125">
        <v>0</v>
      </c>
      <c r="L32" s="125">
        <v>0</v>
      </c>
      <c r="M32" s="125">
        <v>24394.71</v>
      </c>
      <c r="N32" s="125">
        <v>0</v>
      </c>
      <c r="O32" s="125">
        <v>0</v>
      </c>
      <c r="P32" s="125">
        <v>0</v>
      </c>
      <c r="Q32" s="125">
        <v>0</v>
      </c>
      <c r="R32" s="125">
        <v>24394.71</v>
      </c>
      <c r="S32" s="125">
        <v>140560</v>
      </c>
      <c r="T32" s="125"/>
    </row>
    <row r="33" spans="1:20" ht="15" customHeight="1" x14ac:dyDescent="0.25">
      <c r="A33" s="125" t="s">
        <v>960</v>
      </c>
      <c r="B33" s="125" t="s">
        <v>791</v>
      </c>
      <c r="C33" s="125" t="s">
        <v>792</v>
      </c>
      <c r="D33" s="125" t="s">
        <v>656</v>
      </c>
      <c r="E33" s="125" t="s">
        <v>793</v>
      </c>
      <c r="F33" s="125" t="s">
        <v>690</v>
      </c>
      <c r="G33" s="125" t="s">
        <v>991</v>
      </c>
      <c r="H33" s="125">
        <v>8264.4599999999991</v>
      </c>
      <c r="I33" s="125">
        <v>0</v>
      </c>
      <c r="J33" s="125">
        <v>0</v>
      </c>
      <c r="K33" s="125">
        <v>0</v>
      </c>
      <c r="L33" s="125">
        <v>0</v>
      </c>
      <c r="M33" s="125">
        <v>1735.54</v>
      </c>
      <c r="N33" s="125">
        <v>0</v>
      </c>
      <c r="O33" s="125">
        <v>0</v>
      </c>
      <c r="P33" s="125">
        <v>0</v>
      </c>
      <c r="Q33" s="125">
        <v>0</v>
      </c>
      <c r="R33" s="125">
        <v>1735.54</v>
      </c>
      <c r="S33" s="125">
        <v>10000</v>
      </c>
      <c r="T33" s="125"/>
    </row>
    <row r="34" spans="1:20" ht="15" customHeight="1" x14ac:dyDescent="0.25">
      <c r="A34" s="125" t="s">
        <v>960</v>
      </c>
      <c r="B34" s="125" t="s">
        <v>809</v>
      </c>
      <c r="C34" s="125" t="s">
        <v>810</v>
      </c>
      <c r="D34" s="125" t="s">
        <v>656</v>
      </c>
      <c r="E34" s="125" t="s">
        <v>793</v>
      </c>
      <c r="F34" s="125" t="s">
        <v>804</v>
      </c>
      <c r="G34" s="125" t="s">
        <v>992</v>
      </c>
      <c r="H34" s="125">
        <v>-116165.29</v>
      </c>
      <c r="I34" s="125">
        <v>0</v>
      </c>
      <c r="J34" s="125">
        <v>0</v>
      </c>
      <c r="K34" s="125">
        <v>0</v>
      </c>
      <c r="L34" s="125">
        <v>0</v>
      </c>
      <c r="M34" s="125">
        <v>-24394.71</v>
      </c>
      <c r="N34" s="125">
        <v>0</v>
      </c>
      <c r="O34" s="125">
        <v>0</v>
      </c>
      <c r="P34" s="125">
        <v>0</v>
      </c>
      <c r="Q34" s="125">
        <v>0</v>
      </c>
      <c r="R34" s="125">
        <v>-24394.71</v>
      </c>
      <c r="S34" s="125">
        <v>-140560</v>
      </c>
      <c r="T34" s="125"/>
    </row>
    <row r="35" spans="1:20" ht="15" customHeight="1" x14ac:dyDescent="0.25">
      <c r="A35" s="125" t="s">
        <v>960</v>
      </c>
      <c r="B35" s="125" t="s">
        <v>791</v>
      </c>
      <c r="C35" s="125" t="s">
        <v>792</v>
      </c>
      <c r="D35" s="125" t="s">
        <v>656</v>
      </c>
      <c r="E35" s="125" t="s">
        <v>793</v>
      </c>
      <c r="F35" s="125" t="s">
        <v>690</v>
      </c>
      <c r="G35" s="125" t="s">
        <v>993</v>
      </c>
      <c r="H35" s="125">
        <v>37190.080000000002</v>
      </c>
      <c r="I35" s="125">
        <v>0</v>
      </c>
      <c r="J35" s="125">
        <v>0</v>
      </c>
      <c r="K35" s="125">
        <v>0</v>
      </c>
      <c r="L35" s="125">
        <v>0</v>
      </c>
      <c r="M35" s="125">
        <v>7809.92</v>
      </c>
      <c r="N35" s="125">
        <v>0</v>
      </c>
      <c r="O35" s="125">
        <v>0</v>
      </c>
      <c r="P35" s="125">
        <v>0</v>
      </c>
      <c r="Q35" s="125">
        <v>0</v>
      </c>
      <c r="R35" s="125">
        <v>7809.92</v>
      </c>
      <c r="S35" s="125">
        <v>45000</v>
      </c>
      <c r="T35" s="125"/>
    </row>
    <row r="36" spans="1:20" ht="15" customHeight="1" x14ac:dyDescent="0.25">
      <c r="A36" s="125" t="s">
        <v>960</v>
      </c>
      <c r="B36" s="125" t="s">
        <v>791</v>
      </c>
      <c r="C36" s="125" t="s">
        <v>792</v>
      </c>
      <c r="D36" s="125" t="s">
        <v>656</v>
      </c>
      <c r="E36" s="125" t="s">
        <v>793</v>
      </c>
      <c r="F36" s="125" t="s">
        <v>690</v>
      </c>
      <c r="G36" s="125" t="s">
        <v>994</v>
      </c>
      <c r="H36" s="125">
        <v>39669.42</v>
      </c>
      <c r="I36" s="125">
        <v>0</v>
      </c>
      <c r="J36" s="125">
        <v>0</v>
      </c>
      <c r="K36" s="125">
        <v>0</v>
      </c>
      <c r="L36" s="125">
        <v>0</v>
      </c>
      <c r="M36" s="125">
        <v>8330.58</v>
      </c>
      <c r="N36" s="125">
        <v>0</v>
      </c>
      <c r="O36" s="125">
        <v>0</v>
      </c>
      <c r="P36" s="125">
        <v>0</v>
      </c>
      <c r="Q36" s="125">
        <v>0</v>
      </c>
      <c r="R36" s="125">
        <v>8330.58</v>
      </c>
      <c r="S36" s="125">
        <v>48000</v>
      </c>
      <c r="T36" s="125"/>
    </row>
    <row r="37" spans="1:20" ht="15" customHeight="1" x14ac:dyDescent="0.25">
      <c r="A37" s="125" t="s">
        <v>960</v>
      </c>
      <c r="B37" s="125" t="s">
        <v>791</v>
      </c>
      <c r="C37" s="125" t="s">
        <v>792</v>
      </c>
      <c r="D37" s="125" t="s">
        <v>656</v>
      </c>
      <c r="E37" s="125" t="s">
        <v>793</v>
      </c>
      <c r="F37" s="125" t="s">
        <v>690</v>
      </c>
      <c r="G37" s="125" t="s">
        <v>995</v>
      </c>
      <c r="H37" s="125">
        <v>18595.04</v>
      </c>
      <c r="I37" s="125">
        <v>0</v>
      </c>
      <c r="J37" s="125">
        <v>0</v>
      </c>
      <c r="K37" s="125">
        <v>0</v>
      </c>
      <c r="L37" s="125">
        <v>0</v>
      </c>
      <c r="M37" s="125">
        <v>3904.96</v>
      </c>
      <c r="N37" s="125">
        <v>0</v>
      </c>
      <c r="O37" s="125">
        <v>0</v>
      </c>
      <c r="P37" s="125">
        <v>0</v>
      </c>
      <c r="Q37" s="125">
        <v>0</v>
      </c>
      <c r="R37" s="125">
        <v>3904.96</v>
      </c>
      <c r="S37" s="125">
        <v>22500</v>
      </c>
      <c r="T37" s="125"/>
    </row>
    <row r="38" spans="1:20" ht="15" customHeight="1" x14ac:dyDescent="0.25">
      <c r="A38" s="125" t="s">
        <v>960</v>
      </c>
      <c r="B38" s="125" t="s">
        <v>791</v>
      </c>
      <c r="C38" s="125" t="s">
        <v>792</v>
      </c>
      <c r="D38" s="125" t="s">
        <v>656</v>
      </c>
      <c r="E38" s="125" t="s">
        <v>793</v>
      </c>
      <c r="F38" s="125" t="s">
        <v>690</v>
      </c>
      <c r="G38" s="125" t="s">
        <v>996</v>
      </c>
      <c r="H38" s="125">
        <v>47520.66</v>
      </c>
      <c r="I38" s="125">
        <v>0</v>
      </c>
      <c r="J38" s="125">
        <v>0</v>
      </c>
      <c r="K38" s="125">
        <v>0</v>
      </c>
      <c r="L38" s="125">
        <v>0</v>
      </c>
      <c r="M38" s="125">
        <v>9979.34</v>
      </c>
      <c r="N38" s="125">
        <v>0</v>
      </c>
      <c r="O38" s="125">
        <v>0</v>
      </c>
      <c r="P38" s="125">
        <v>0</v>
      </c>
      <c r="Q38" s="125">
        <v>0</v>
      </c>
      <c r="R38" s="125">
        <v>9979.34</v>
      </c>
      <c r="S38" s="125">
        <v>57500</v>
      </c>
      <c r="T38" s="125"/>
    </row>
    <row r="39" spans="1:20" ht="15" customHeight="1" x14ac:dyDescent="0.25">
      <c r="A39" s="125" t="s">
        <v>960</v>
      </c>
      <c r="B39" s="125" t="s">
        <v>791</v>
      </c>
      <c r="C39" s="125" t="s">
        <v>792</v>
      </c>
      <c r="D39" s="125" t="s">
        <v>656</v>
      </c>
      <c r="E39" s="125" t="s">
        <v>793</v>
      </c>
      <c r="F39" s="125" t="s">
        <v>690</v>
      </c>
      <c r="G39" s="125" t="s">
        <v>997</v>
      </c>
      <c r="H39" s="125">
        <v>37190.080000000002</v>
      </c>
      <c r="I39" s="125">
        <v>0</v>
      </c>
      <c r="J39" s="125">
        <v>0</v>
      </c>
      <c r="K39" s="125">
        <v>0</v>
      </c>
      <c r="L39" s="125">
        <v>0</v>
      </c>
      <c r="M39" s="125">
        <v>7809.92</v>
      </c>
      <c r="N39" s="125">
        <v>0</v>
      </c>
      <c r="O39" s="125">
        <v>0</v>
      </c>
      <c r="P39" s="125">
        <v>0</v>
      </c>
      <c r="Q39" s="125">
        <v>0</v>
      </c>
      <c r="R39" s="125">
        <v>7809.92</v>
      </c>
      <c r="S39" s="125">
        <v>45000</v>
      </c>
      <c r="T39" s="125"/>
    </row>
    <row r="40" spans="1:20" ht="15" customHeight="1" x14ac:dyDescent="0.25">
      <c r="A40" s="125" t="s">
        <v>960</v>
      </c>
      <c r="B40" s="125" t="s">
        <v>791</v>
      </c>
      <c r="C40" s="125" t="s">
        <v>792</v>
      </c>
      <c r="D40" s="125" t="s">
        <v>656</v>
      </c>
      <c r="E40" s="125" t="s">
        <v>793</v>
      </c>
      <c r="F40" s="125" t="s">
        <v>690</v>
      </c>
      <c r="G40" s="125" t="s">
        <v>998</v>
      </c>
      <c r="H40" s="125">
        <v>14049.59</v>
      </c>
      <c r="I40" s="125">
        <v>0</v>
      </c>
      <c r="J40" s="125">
        <v>0</v>
      </c>
      <c r="K40" s="125">
        <v>0</v>
      </c>
      <c r="L40" s="125">
        <v>0</v>
      </c>
      <c r="M40" s="125">
        <v>2950.41</v>
      </c>
      <c r="N40" s="125">
        <v>0</v>
      </c>
      <c r="O40" s="125">
        <v>0</v>
      </c>
      <c r="P40" s="125">
        <v>0</v>
      </c>
      <c r="Q40" s="125">
        <v>0</v>
      </c>
      <c r="R40" s="125">
        <v>2950.41</v>
      </c>
      <c r="S40" s="125">
        <v>17000</v>
      </c>
      <c r="T40" s="125"/>
    </row>
    <row r="41" spans="1:20" ht="15" customHeight="1" x14ac:dyDescent="0.25">
      <c r="A41" s="125" t="s">
        <v>999</v>
      </c>
      <c r="B41" s="125" t="s">
        <v>791</v>
      </c>
      <c r="C41" s="125" t="s">
        <v>792</v>
      </c>
      <c r="D41" s="125" t="s">
        <v>656</v>
      </c>
      <c r="E41" s="125" t="s">
        <v>793</v>
      </c>
      <c r="F41" s="125" t="s">
        <v>690</v>
      </c>
      <c r="G41" s="125" t="s">
        <v>1000</v>
      </c>
      <c r="H41" s="125">
        <v>14049.59</v>
      </c>
      <c r="I41" s="125">
        <v>0</v>
      </c>
      <c r="J41" s="125">
        <v>0</v>
      </c>
      <c r="K41" s="125">
        <v>0</v>
      </c>
      <c r="L41" s="125">
        <v>0</v>
      </c>
      <c r="M41" s="125">
        <v>2950.41</v>
      </c>
      <c r="N41" s="125">
        <v>0</v>
      </c>
      <c r="O41" s="125">
        <v>0</v>
      </c>
      <c r="P41" s="125">
        <v>0</v>
      </c>
      <c r="Q41" s="125">
        <v>0</v>
      </c>
      <c r="R41" s="125">
        <v>2950.41</v>
      </c>
      <c r="S41" s="125">
        <v>17000</v>
      </c>
      <c r="T41" s="125"/>
    </row>
    <row r="42" spans="1:20" ht="15" customHeight="1" x14ac:dyDescent="0.25">
      <c r="A42" s="125" t="s">
        <v>999</v>
      </c>
      <c r="B42" s="125" t="s">
        <v>791</v>
      </c>
      <c r="C42" s="125" t="s">
        <v>792</v>
      </c>
      <c r="D42" s="125" t="s">
        <v>656</v>
      </c>
      <c r="E42" s="125" t="s">
        <v>793</v>
      </c>
      <c r="F42" s="125" t="s">
        <v>690</v>
      </c>
      <c r="G42" s="125" t="s">
        <v>1001</v>
      </c>
      <c r="H42" s="125">
        <v>37190.080000000002</v>
      </c>
      <c r="I42" s="125">
        <v>0</v>
      </c>
      <c r="J42" s="125">
        <v>0</v>
      </c>
      <c r="K42" s="125">
        <v>0</v>
      </c>
      <c r="L42" s="125">
        <v>0</v>
      </c>
      <c r="M42" s="125">
        <v>7809.92</v>
      </c>
      <c r="N42" s="125">
        <v>0</v>
      </c>
      <c r="O42" s="125">
        <v>0</v>
      </c>
      <c r="P42" s="125">
        <v>0</v>
      </c>
      <c r="Q42" s="125">
        <v>0</v>
      </c>
      <c r="R42" s="125">
        <v>7809.92</v>
      </c>
      <c r="S42" s="125">
        <v>45000</v>
      </c>
      <c r="T42" s="125"/>
    </row>
    <row r="43" spans="1:20" ht="15" customHeight="1" x14ac:dyDescent="0.25">
      <c r="A43" s="125" t="s">
        <v>999</v>
      </c>
      <c r="B43" s="125" t="s">
        <v>813</v>
      </c>
      <c r="C43" s="125" t="s">
        <v>814</v>
      </c>
      <c r="D43" s="125" t="s">
        <v>656</v>
      </c>
      <c r="E43" s="125" t="s">
        <v>793</v>
      </c>
      <c r="F43" s="125" t="s">
        <v>804</v>
      </c>
      <c r="G43" s="125" t="s">
        <v>1002</v>
      </c>
      <c r="H43" s="125">
        <v>551539.21</v>
      </c>
      <c r="I43" s="125">
        <v>0</v>
      </c>
      <c r="J43" s="125">
        <v>0</v>
      </c>
      <c r="K43" s="125">
        <v>0</v>
      </c>
      <c r="L43" s="125">
        <v>0</v>
      </c>
      <c r="M43" s="125">
        <v>115823.24</v>
      </c>
      <c r="N43" s="125">
        <v>0</v>
      </c>
      <c r="O43" s="125">
        <v>0</v>
      </c>
      <c r="P43" s="125">
        <v>0</v>
      </c>
      <c r="Q43" s="125">
        <v>0</v>
      </c>
      <c r="R43" s="125">
        <v>115823.24</v>
      </c>
      <c r="S43" s="125">
        <v>667362.44999999995</v>
      </c>
      <c r="T43" s="125"/>
    </row>
    <row r="44" spans="1:20" ht="15" customHeight="1" x14ac:dyDescent="0.25">
      <c r="A44" s="125" t="s">
        <v>999</v>
      </c>
      <c r="B44" s="125" t="s">
        <v>791</v>
      </c>
      <c r="C44" s="125" t="s">
        <v>792</v>
      </c>
      <c r="D44" s="125" t="s">
        <v>656</v>
      </c>
      <c r="E44" s="125" t="s">
        <v>793</v>
      </c>
      <c r="F44" s="125" t="s">
        <v>690</v>
      </c>
      <c r="G44" s="125" t="s">
        <v>1003</v>
      </c>
      <c r="H44" s="125">
        <v>18595.04</v>
      </c>
      <c r="I44" s="125">
        <v>0</v>
      </c>
      <c r="J44" s="125">
        <v>0</v>
      </c>
      <c r="K44" s="125">
        <v>0</v>
      </c>
      <c r="L44" s="125">
        <v>0</v>
      </c>
      <c r="M44" s="125">
        <v>3904.96</v>
      </c>
      <c r="N44" s="125">
        <v>0</v>
      </c>
      <c r="O44" s="125">
        <v>0</v>
      </c>
      <c r="P44" s="125">
        <v>0</v>
      </c>
      <c r="Q44" s="125">
        <v>0</v>
      </c>
      <c r="R44" s="125">
        <v>3904.96</v>
      </c>
      <c r="S44" s="125">
        <v>22500</v>
      </c>
      <c r="T44" s="125"/>
    </row>
    <row r="45" spans="1:20" ht="15" customHeight="1" x14ac:dyDescent="0.25">
      <c r="A45" s="125" t="s">
        <v>999</v>
      </c>
      <c r="B45" s="125" t="s">
        <v>791</v>
      </c>
      <c r="C45" s="125" t="s">
        <v>792</v>
      </c>
      <c r="D45" s="125" t="s">
        <v>656</v>
      </c>
      <c r="E45" s="125" t="s">
        <v>793</v>
      </c>
      <c r="F45" s="125" t="s">
        <v>690</v>
      </c>
      <c r="G45" s="125" t="s">
        <v>1004</v>
      </c>
      <c r="H45" s="125">
        <v>14049.59</v>
      </c>
      <c r="I45" s="125">
        <v>0</v>
      </c>
      <c r="J45" s="125">
        <v>0</v>
      </c>
      <c r="K45" s="125">
        <v>0</v>
      </c>
      <c r="L45" s="125">
        <v>0</v>
      </c>
      <c r="M45" s="125">
        <v>2950.41</v>
      </c>
      <c r="N45" s="125">
        <v>0</v>
      </c>
      <c r="O45" s="125">
        <v>0</v>
      </c>
      <c r="P45" s="125">
        <v>0</v>
      </c>
      <c r="Q45" s="125">
        <v>0</v>
      </c>
      <c r="R45" s="125">
        <v>2950.41</v>
      </c>
      <c r="S45" s="125">
        <v>17000</v>
      </c>
      <c r="T45" s="125"/>
    </row>
    <row r="46" spans="1:20" ht="15" customHeight="1" x14ac:dyDescent="0.25">
      <c r="A46" s="125" t="s">
        <v>999</v>
      </c>
      <c r="B46" s="125" t="s">
        <v>1005</v>
      </c>
      <c r="C46" s="125" t="s">
        <v>1006</v>
      </c>
      <c r="D46" s="125" t="s">
        <v>656</v>
      </c>
      <c r="E46" s="125" t="s">
        <v>793</v>
      </c>
      <c r="F46" s="125" t="s">
        <v>690</v>
      </c>
      <c r="G46" s="125" t="s">
        <v>1007</v>
      </c>
      <c r="H46" s="125">
        <v>94126.45</v>
      </c>
      <c r="I46" s="125">
        <v>0</v>
      </c>
      <c r="J46" s="125">
        <v>0</v>
      </c>
      <c r="K46" s="125">
        <v>0</v>
      </c>
      <c r="L46" s="125">
        <v>0</v>
      </c>
      <c r="M46" s="125">
        <v>19766.55</v>
      </c>
      <c r="N46" s="125">
        <v>0</v>
      </c>
      <c r="O46" s="125">
        <v>0</v>
      </c>
      <c r="P46" s="125">
        <v>0</v>
      </c>
      <c r="Q46" s="125">
        <v>0</v>
      </c>
      <c r="R46" s="125">
        <v>19766.55</v>
      </c>
      <c r="S46" s="125">
        <v>113893</v>
      </c>
      <c r="T46" s="125"/>
    </row>
    <row r="47" spans="1:20" ht="15" customHeight="1" x14ac:dyDescent="0.25">
      <c r="A47" s="125" t="s">
        <v>999</v>
      </c>
      <c r="B47" s="125" t="s">
        <v>817</v>
      </c>
      <c r="C47" s="125" t="s">
        <v>818</v>
      </c>
      <c r="D47" s="125" t="s">
        <v>656</v>
      </c>
      <c r="E47" s="125" t="s">
        <v>793</v>
      </c>
      <c r="F47" s="125" t="s">
        <v>650</v>
      </c>
      <c r="G47" s="125" t="s">
        <v>1008</v>
      </c>
      <c r="H47" s="125">
        <v>68466.12</v>
      </c>
      <c r="I47" s="125">
        <v>0</v>
      </c>
      <c r="J47" s="125">
        <v>0</v>
      </c>
      <c r="K47" s="125">
        <v>0</v>
      </c>
      <c r="L47" s="125">
        <v>0</v>
      </c>
      <c r="M47" s="125">
        <v>14377.88</v>
      </c>
      <c r="N47" s="125">
        <v>0</v>
      </c>
      <c r="O47" s="125">
        <v>0</v>
      </c>
      <c r="P47" s="125">
        <v>0</v>
      </c>
      <c r="Q47" s="125">
        <v>0</v>
      </c>
      <c r="R47" s="125">
        <v>14377.88</v>
      </c>
      <c r="S47" s="125">
        <v>82844</v>
      </c>
      <c r="T47" s="125"/>
    </row>
    <row r="48" spans="1:20" ht="15" customHeight="1" x14ac:dyDescent="0.25">
      <c r="A48" s="125" t="s">
        <v>999</v>
      </c>
      <c r="B48" s="125" t="s">
        <v>817</v>
      </c>
      <c r="C48" s="125" t="s">
        <v>818</v>
      </c>
      <c r="D48" s="125" t="s">
        <v>656</v>
      </c>
      <c r="E48" s="125" t="s">
        <v>793</v>
      </c>
      <c r="F48" s="125" t="s">
        <v>650</v>
      </c>
      <c r="G48" s="125" t="s">
        <v>1009</v>
      </c>
      <c r="H48" s="125">
        <v>20077.689999999999</v>
      </c>
      <c r="I48" s="125">
        <v>0</v>
      </c>
      <c r="J48" s="125">
        <v>0</v>
      </c>
      <c r="K48" s="125">
        <v>0</v>
      </c>
      <c r="L48" s="125">
        <v>0</v>
      </c>
      <c r="M48" s="125">
        <v>4216.3100000000004</v>
      </c>
      <c r="N48" s="125">
        <v>0</v>
      </c>
      <c r="O48" s="125">
        <v>0</v>
      </c>
      <c r="P48" s="125">
        <v>0</v>
      </c>
      <c r="Q48" s="125">
        <v>0</v>
      </c>
      <c r="R48" s="125">
        <v>4216.3100000000004</v>
      </c>
      <c r="S48" s="125">
        <v>24294</v>
      </c>
      <c r="T48" s="125"/>
    </row>
    <row r="49" spans="1:20" ht="15" customHeight="1" x14ac:dyDescent="0.25">
      <c r="A49" s="125" t="s">
        <v>999</v>
      </c>
      <c r="B49" s="125" t="s">
        <v>817</v>
      </c>
      <c r="C49" s="125" t="s">
        <v>818</v>
      </c>
      <c r="D49" s="125" t="s">
        <v>656</v>
      </c>
      <c r="E49" s="125" t="s">
        <v>793</v>
      </c>
      <c r="F49" s="125" t="s">
        <v>650</v>
      </c>
      <c r="G49" s="125" t="s">
        <v>1010</v>
      </c>
      <c r="H49" s="125">
        <v>28974.38</v>
      </c>
      <c r="I49" s="125">
        <v>0</v>
      </c>
      <c r="J49" s="125">
        <v>0</v>
      </c>
      <c r="K49" s="125">
        <v>0</v>
      </c>
      <c r="L49" s="125">
        <v>0</v>
      </c>
      <c r="M49" s="125">
        <v>6084.62</v>
      </c>
      <c r="N49" s="125">
        <v>0</v>
      </c>
      <c r="O49" s="125">
        <v>0</v>
      </c>
      <c r="P49" s="125">
        <v>0</v>
      </c>
      <c r="Q49" s="125">
        <v>0</v>
      </c>
      <c r="R49" s="125">
        <v>6084.62</v>
      </c>
      <c r="S49" s="125">
        <v>35059</v>
      </c>
      <c r="T49" s="125"/>
    </row>
    <row r="50" spans="1:20" ht="15" customHeight="1" x14ac:dyDescent="0.25">
      <c r="A50" s="125" t="s">
        <v>999</v>
      </c>
      <c r="B50" s="125" t="s">
        <v>817</v>
      </c>
      <c r="C50" s="125" t="s">
        <v>818</v>
      </c>
      <c r="D50" s="125" t="s">
        <v>656</v>
      </c>
      <c r="E50" s="125" t="s">
        <v>793</v>
      </c>
      <c r="F50" s="125" t="s">
        <v>650</v>
      </c>
      <c r="G50" s="125" t="s">
        <v>1011</v>
      </c>
      <c r="H50" s="125">
        <v>24153.72</v>
      </c>
      <c r="I50" s="125">
        <v>0</v>
      </c>
      <c r="J50" s="125">
        <v>0</v>
      </c>
      <c r="K50" s="125">
        <v>0</v>
      </c>
      <c r="L50" s="125">
        <v>0</v>
      </c>
      <c r="M50" s="125">
        <v>5072.28</v>
      </c>
      <c r="N50" s="125">
        <v>0</v>
      </c>
      <c r="O50" s="125">
        <v>0</v>
      </c>
      <c r="P50" s="125">
        <v>0</v>
      </c>
      <c r="Q50" s="125">
        <v>0</v>
      </c>
      <c r="R50" s="125">
        <v>5072.28</v>
      </c>
      <c r="S50" s="125">
        <v>29226</v>
      </c>
      <c r="T50" s="125"/>
    </row>
    <row r="51" spans="1:20" ht="15" customHeight="1" x14ac:dyDescent="0.25">
      <c r="A51" s="125" t="s">
        <v>999</v>
      </c>
      <c r="B51" s="125" t="s">
        <v>817</v>
      </c>
      <c r="C51" s="125" t="s">
        <v>818</v>
      </c>
      <c r="D51" s="125" t="s">
        <v>656</v>
      </c>
      <c r="E51" s="125" t="s">
        <v>793</v>
      </c>
      <c r="F51" s="125" t="s">
        <v>650</v>
      </c>
      <c r="G51" s="125" t="s">
        <v>1012</v>
      </c>
      <c r="H51" s="125">
        <v>67097.52</v>
      </c>
      <c r="I51" s="125">
        <v>0</v>
      </c>
      <c r="J51" s="125">
        <v>0</v>
      </c>
      <c r="K51" s="125">
        <v>0</v>
      </c>
      <c r="L51" s="125">
        <v>0</v>
      </c>
      <c r="M51" s="125">
        <v>14090.48</v>
      </c>
      <c r="N51" s="125">
        <v>0</v>
      </c>
      <c r="O51" s="125">
        <v>0</v>
      </c>
      <c r="P51" s="125">
        <v>0</v>
      </c>
      <c r="Q51" s="125">
        <v>0</v>
      </c>
      <c r="R51" s="125">
        <v>14090.48</v>
      </c>
      <c r="S51" s="125">
        <v>81188</v>
      </c>
      <c r="T51" s="125"/>
    </row>
    <row r="52" spans="1:20" ht="15" customHeight="1" x14ac:dyDescent="0.25">
      <c r="A52" s="125" t="s">
        <v>999</v>
      </c>
      <c r="B52" s="125" t="s">
        <v>817</v>
      </c>
      <c r="C52" s="125" t="s">
        <v>818</v>
      </c>
      <c r="D52" s="125" t="s">
        <v>656</v>
      </c>
      <c r="E52" s="125" t="s">
        <v>793</v>
      </c>
      <c r="F52" s="125" t="s">
        <v>650</v>
      </c>
      <c r="G52" s="125" t="s">
        <v>1013</v>
      </c>
      <c r="H52" s="125">
        <v>24153.72</v>
      </c>
      <c r="I52" s="125">
        <v>0</v>
      </c>
      <c r="J52" s="125">
        <v>0</v>
      </c>
      <c r="K52" s="125">
        <v>0</v>
      </c>
      <c r="L52" s="125">
        <v>0</v>
      </c>
      <c r="M52" s="125">
        <v>5072.28</v>
      </c>
      <c r="N52" s="125">
        <v>0</v>
      </c>
      <c r="O52" s="125">
        <v>0</v>
      </c>
      <c r="P52" s="125">
        <v>0</v>
      </c>
      <c r="Q52" s="125">
        <v>0</v>
      </c>
      <c r="R52" s="125">
        <v>5072.28</v>
      </c>
      <c r="S52" s="125">
        <v>29226</v>
      </c>
      <c r="T52" s="125"/>
    </row>
    <row r="53" spans="1:20" ht="15" customHeight="1" x14ac:dyDescent="0.25">
      <c r="A53" s="125" t="s">
        <v>999</v>
      </c>
      <c r="B53" s="125" t="s">
        <v>817</v>
      </c>
      <c r="C53" s="125" t="s">
        <v>818</v>
      </c>
      <c r="D53" s="125" t="s">
        <v>656</v>
      </c>
      <c r="E53" s="125" t="s">
        <v>793</v>
      </c>
      <c r="F53" s="125" t="s">
        <v>650</v>
      </c>
      <c r="G53" s="125" t="s">
        <v>1014</v>
      </c>
      <c r="H53" s="125">
        <v>24153.72</v>
      </c>
      <c r="I53" s="125">
        <v>0</v>
      </c>
      <c r="J53" s="125">
        <v>0</v>
      </c>
      <c r="K53" s="125">
        <v>0</v>
      </c>
      <c r="L53" s="125">
        <v>0</v>
      </c>
      <c r="M53" s="125">
        <v>5072.28</v>
      </c>
      <c r="N53" s="125">
        <v>0</v>
      </c>
      <c r="O53" s="125">
        <v>0</v>
      </c>
      <c r="P53" s="125">
        <v>0</v>
      </c>
      <c r="Q53" s="125">
        <v>0</v>
      </c>
      <c r="R53" s="125">
        <v>5072.28</v>
      </c>
      <c r="S53" s="125">
        <v>29226</v>
      </c>
      <c r="T53" s="125"/>
    </row>
    <row r="54" spans="1:20" ht="15" customHeight="1" x14ac:dyDescent="0.25">
      <c r="A54" s="125" t="s">
        <v>999</v>
      </c>
      <c r="B54" s="125" t="s">
        <v>817</v>
      </c>
      <c r="C54" s="125" t="s">
        <v>818</v>
      </c>
      <c r="D54" s="125" t="s">
        <v>656</v>
      </c>
      <c r="E54" s="125" t="s">
        <v>793</v>
      </c>
      <c r="F54" s="125" t="s">
        <v>650</v>
      </c>
      <c r="G54" s="125" t="s">
        <v>1015</v>
      </c>
      <c r="H54" s="125">
        <v>24153.72</v>
      </c>
      <c r="I54" s="125">
        <v>0</v>
      </c>
      <c r="J54" s="125">
        <v>0</v>
      </c>
      <c r="K54" s="125">
        <v>0</v>
      </c>
      <c r="L54" s="125">
        <v>0</v>
      </c>
      <c r="M54" s="125">
        <v>5072.28</v>
      </c>
      <c r="N54" s="125">
        <v>0</v>
      </c>
      <c r="O54" s="125">
        <v>0</v>
      </c>
      <c r="P54" s="125">
        <v>0</v>
      </c>
      <c r="Q54" s="125">
        <v>0</v>
      </c>
      <c r="R54" s="125">
        <v>5072.28</v>
      </c>
      <c r="S54" s="125">
        <v>29226</v>
      </c>
      <c r="T54" s="125"/>
    </row>
    <row r="55" spans="1:20" ht="15" customHeight="1" x14ac:dyDescent="0.25">
      <c r="A55" s="125" t="s">
        <v>999</v>
      </c>
      <c r="B55" s="125" t="s">
        <v>817</v>
      </c>
      <c r="C55" s="125" t="s">
        <v>818</v>
      </c>
      <c r="D55" s="125" t="s">
        <v>656</v>
      </c>
      <c r="E55" s="125" t="s">
        <v>793</v>
      </c>
      <c r="F55" s="125" t="s">
        <v>650</v>
      </c>
      <c r="G55" s="125" t="s">
        <v>1016</v>
      </c>
      <c r="H55" s="125">
        <v>24153.72</v>
      </c>
      <c r="I55" s="125">
        <v>0</v>
      </c>
      <c r="J55" s="125">
        <v>0</v>
      </c>
      <c r="K55" s="125">
        <v>0</v>
      </c>
      <c r="L55" s="125">
        <v>0</v>
      </c>
      <c r="M55" s="125">
        <v>5072.28</v>
      </c>
      <c r="N55" s="125">
        <v>0</v>
      </c>
      <c r="O55" s="125">
        <v>0</v>
      </c>
      <c r="P55" s="125">
        <v>0</v>
      </c>
      <c r="Q55" s="125">
        <v>0</v>
      </c>
      <c r="R55" s="125">
        <v>5072.28</v>
      </c>
      <c r="S55" s="125">
        <v>29226</v>
      </c>
      <c r="T55" s="125"/>
    </row>
    <row r="56" spans="1:20" ht="15" customHeight="1" x14ac:dyDescent="0.25">
      <c r="A56" s="125" t="s">
        <v>999</v>
      </c>
      <c r="B56" s="125" t="s">
        <v>817</v>
      </c>
      <c r="C56" s="125" t="s">
        <v>818</v>
      </c>
      <c r="D56" s="125" t="s">
        <v>656</v>
      </c>
      <c r="E56" s="125" t="s">
        <v>793</v>
      </c>
      <c r="F56" s="125" t="s">
        <v>650</v>
      </c>
      <c r="G56" s="125" t="s">
        <v>1017</v>
      </c>
      <c r="H56" s="125">
        <v>17116.53</v>
      </c>
      <c r="I56" s="125">
        <v>0</v>
      </c>
      <c r="J56" s="125">
        <v>0</v>
      </c>
      <c r="K56" s="125">
        <v>0</v>
      </c>
      <c r="L56" s="125">
        <v>0</v>
      </c>
      <c r="M56" s="125">
        <v>3594.47</v>
      </c>
      <c r="N56" s="125">
        <v>0</v>
      </c>
      <c r="O56" s="125">
        <v>0</v>
      </c>
      <c r="P56" s="125">
        <v>0</v>
      </c>
      <c r="Q56" s="125">
        <v>0</v>
      </c>
      <c r="R56" s="125">
        <v>3594.47</v>
      </c>
      <c r="S56" s="125">
        <v>20711</v>
      </c>
      <c r="T56" s="125"/>
    </row>
    <row r="57" spans="1:20" ht="15" customHeight="1" x14ac:dyDescent="0.25">
      <c r="A57" s="125" t="s">
        <v>999</v>
      </c>
      <c r="B57" s="125" t="s">
        <v>791</v>
      </c>
      <c r="C57" s="125" t="s">
        <v>792</v>
      </c>
      <c r="D57" s="125" t="s">
        <v>656</v>
      </c>
      <c r="E57" s="125" t="s">
        <v>793</v>
      </c>
      <c r="F57" s="125" t="s">
        <v>690</v>
      </c>
      <c r="G57" s="125" t="s">
        <v>1018</v>
      </c>
      <c r="H57" s="125">
        <v>18595.04</v>
      </c>
      <c r="I57" s="125">
        <v>0</v>
      </c>
      <c r="J57" s="125">
        <v>0</v>
      </c>
      <c r="K57" s="125">
        <v>0</v>
      </c>
      <c r="L57" s="125">
        <v>0</v>
      </c>
      <c r="M57" s="125">
        <v>3904.96</v>
      </c>
      <c r="N57" s="125">
        <v>0</v>
      </c>
      <c r="O57" s="125">
        <v>0</v>
      </c>
      <c r="P57" s="125">
        <v>0</v>
      </c>
      <c r="Q57" s="125">
        <v>0</v>
      </c>
      <c r="R57" s="125">
        <v>3904.96</v>
      </c>
      <c r="S57" s="125">
        <v>22500</v>
      </c>
      <c r="T57" s="125"/>
    </row>
    <row r="58" spans="1:20" ht="15" customHeight="1" x14ac:dyDescent="0.25">
      <c r="A58" s="125" t="s">
        <v>999</v>
      </c>
      <c r="B58" s="125" t="s">
        <v>817</v>
      </c>
      <c r="C58" s="125" t="s">
        <v>818</v>
      </c>
      <c r="D58" s="125" t="s">
        <v>656</v>
      </c>
      <c r="E58" s="125" t="s">
        <v>793</v>
      </c>
      <c r="F58" s="125" t="s">
        <v>650</v>
      </c>
      <c r="G58" s="125" t="s">
        <v>1019</v>
      </c>
      <c r="H58" s="125">
        <v>-24153.72</v>
      </c>
      <c r="I58" s="125">
        <v>0</v>
      </c>
      <c r="J58" s="125">
        <v>0</v>
      </c>
      <c r="K58" s="125">
        <v>0</v>
      </c>
      <c r="L58" s="125">
        <v>0</v>
      </c>
      <c r="M58" s="125">
        <v>-5072.28</v>
      </c>
      <c r="N58" s="125">
        <v>0</v>
      </c>
      <c r="O58" s="125">
        <v>0</v>
      </c>
      <c r="P58" s="125">
        <v>0</v>
      </c>
      <c r="Q58" s="125">
        <v>0</v>
      </c>
      <c r="R58" s="125">
        <v>-5072.28</v>
      </c>
      <c r="S58" s="125">
        <v>-29226</v>
      </c>
      <c r="T58" s="125"/>
    </row>
    <row r="59" spans="1:20" ht="15" customHeight="1" x14ac:dyDescent="0.25">
      <c r="A59" s="125" t="s">
        <v>999</v>
      </c>
      <c r="B59" s="125" t="s">
        <v>817</v>
      </c>
      <c r="C59" s="125" t="s">
        <v>818</v>
      </c>
      <c r="D59" s="125" t="s">
        <v>656</v>
      </c>
      <c r="E59" s="125" t="s">
        <v>793</v>
      </c>
      <c r="F59" s="125" t="s">
        <v>650</v>
      </c>
      <c r="G59" s="125" t="s">
        <v>1020</v>
      </c>
      <c r="H59" s="125">
        <v>20077.689999999999</v>
      </c>
      <c r="I59" s="125">
        <v>0</v>
      </c>
      <c r="J59" s="125">
        <v>0</v>
      </c>
      <c r="K59" s="125">
        <v>0</v>
      </c>
      <c r="L59" s="125">
        <v>0</v>
      </c>
      <c r="M59" s="125">
        <v>4216.3100000000004</v>
      </c>
      <c r="N59" s="125">
        <v>0</v>
      </c>
      <c r="O59" s="125">
        <v>0</v>
      </c>
      <c r="P59" s="125">
        <v>0</v>
      </c>
      <c r="Q59" s="125">
        <v>0</v>
      </c>
      <c r="R59" s="125">
        <v>4216.3100000000004</v>
      </c>
      <c r="S59" s="125">
        <v>24294</v>
      </c>
      <c r="T59" s="125"/>
    </row>
    <row r="60" spans="1:20" ht="15" customHeight="1" x14ac:dyDescent="0.25">
      <c r="A60" s="125" t="s">
        <v>999</v>
      </c>
      <c r="B60" s="125" t="s">
        <v>817</v>
      </c>
      <c r="C60" s="125" t="s">
        <v>818</v>
      </c>
      <c r="D60" s="125" t="s">
        <v>656</v>
      </c>
      <c r="E60" s="125" t="s">
        <v>793</v>
      </c>
      <c r="F60" s="125" t="s">
        <v>650</v>
      </c>
      <c r="G60" s="125" t="s">
        <v>1021</v>
      </c>
      <c r="H60" s="125">
        <v>-24153.72</v>
      </c>
      <c r="I60" s="125">
        <v>0</v>
      </c>
      <c r="J60" s="125">
        <v>0</v>
      </c>
      <c r="K60" s="125">
        <v>0</v>
      </c>
      <c r="L60" s="125">
        <v>0</v>
      </c>
      <c r="M60" s="125">
        <v>-5072.28</v>
      </c>
      <c r="N60" s="125">
        <v>0</v>
      </c>
      <c r="O60" s="125">
        <v>0</v>
      </c>
      <c r="P60" s="125">
        <v>0</v>
      </c>
      <c r="Q60" s="125">
        <v>0</v>
      </c>
      <c r="R60" s="125">
        <v>-5072.28</v>
      </c>
      <c r="S60" s="125">
        <v>-29226</v>
      </c>
      <c r="T60" s="125"/>
    </row>
    <row r="61" spans="1:20" ht="15" customHeight="1" x14ac:dyDescent="0.25">
      <c r="A61" s="125" t="s">
        <v>999</v>
      </c>
      <c r="B61" s="125" t="s">
        <v>817</v>
      </c>
      <c r="C61" s="125" t="s">
        <v>818</v>
      </c>
      <c r="D61" s="125" t="s">
        <v>656</v>
      </c>
      <c r="E61" s="125" t="s">
        <v>793</v>
      </c>
      <c r="F61" s="125" t="s">
        <v>650</v>
      </c>
      <c r="G61" s="125" t="s">
        <v>1022</v>
      </c>
      <c r="H61" s="125">
        <v>20077.689999999999</v>
      </c>
      <c r="I61" s="125">
        <v>0</v>
      </c>
      <c r="J61" s="125">
        <v>0</v>
      </c>
      <c r="K61" s="125">
        <v>0</v>
      </c>
      <c r="L61" s="125">
        <v>0</v>
      </c>
      <c r="M61" s="125">
        <v>4216.3100000000004</v>
      </c>
      <c r="N61" s="125">
        <v>0</v>
      </c>
      <c r="O61" s="125">
        <v>0</v>
      </c>
      <c r="P61" s="125">
        <v>0</v>
      </c>
      <c r="Q61" s="125">
        <v>0</v>
      </c>
      <c r="R61" s="125">
        <v>4216.3100000000004</v>
      </c>
      <c r="S61" s="125">
        <v>24294</v>
      </c>
      <c r="T61" s="125"/>
    </row>
    <row r="62" spans="1:20" ht="15" customHeight="1" x14ac:dyDescent="0.25">
      <c r="A62" s="125" t="s">
        <v>999</v>
      </c>
      <c r="B62" s="125" t="s">
        <v>817</v>
      </c>
      <c r="C62" s="125" t="s">
        <v>818</v>
      </c>
      <c r="D62" s="125" t="s">
        <v>656</v>
      </c>
      <c r="E62" s="125" t="s">
        <v>793</v>
      </c>
      <c r="F62" s="125" t="s">
        <v>650</v>
      </c>
      <c r="G62" s="125" t="s">
        <v>1023</v>
      </c>
      <c r="H62" s="125">
        <v>-24153.72</v>
      </c>
      <c r="I62" s="125">
        <v>0</v>
      </c>
      <c r="J62" s="125">
        <v>0</v>
      </c>
      <c r="K62" s="125">
        <v>0</v>
      </c>
      <c r="L62" s="125">
        <v>0</v>
      </c>
      <c r="M62" s="125">
        <v>-5072.28</v>
      </c>
      <c r="N62" s="125">
        <v>0</v>
      </c>
      <c r="O62" s="125">
        <v>0</v>
      </c>
      <c r="P62" s="125">
        <v>0</v>
      </c>
      <c r="Q62" s="125">
        <v>0</v>
      </c>
      <c r="R62" s="125">
        <v>-5072.28</v>
      </c>
      <c r="S62" s="125">
        <v>-29226</v>
      </c>
      <c r="T62" s="125"/>
    </row>
    <row r="63" spans="1:20" ht="15" customHeight="1" x14ac:dyDescent="0.25">
      <c r="A63" s="125" t="s">
        <v>999</v>
      </c>
      <c r="B63" s="125" t="s">
        <v>817</v>
      </c>
      <c r="C63" s="125" t="s">
        <v>818</v>
      </c>
      <c r="D63" s="125" t="s">
        <v>656</v>
      </c>
      <c r="E63" s="125" t="s">
        <v>793</v>
      </c>
      <c r="F63" s="125" t="s">
        <v>650</v>
      </c>
      <c r="G63" s="125" t="s">
        <v>1024</v>
      </c>
      <c r="H63" s="125">
        <v>20077.689999999999</v>
      </c>
      <c r="I63" s="125">
        <v>0</v>
      </c>
      <c r="J63" s="125">
        <v>0</v>
      </c>
      <c r="K63" s="125">
        <v>0</v>
      </c>
      <c r="L63" s="125">
        <v>0</v>
      </c>
      <c r="M63" s="125">
        <v>4216.3100000000004</v>
      </c>
      <c r="N63" s="125">
        <v>0</v>
      </c>
      <c r="O63" s="125">
        <v>0</v>
      </c>
      <c r="P63" s="125">
        <v>0</v>
      </c>
      <c r="Q63" s="125">
        <v>0</v>
      </c>
      <c r="R63" s="125">
        <v>4216.3100000000004</v>
      </c>
      <c r="S63" s="125">
        <v>24294</v>
      </c>
      <c r="T63" s="125"/>
    </row>
    <row r="64" spans="1:20" ht="15" customHeight="1" x14ac:dyDescent="0.25">
      <c r="A64" s="125" t="s">
        <v>999</v>
      </c>
      <c r="B64" s="125" t="s">
        <v>817</v>
      </c>
      <c r="C64" s="125" t="s">
        <v>818</v>
      </c>
      <c r="D64" s="125" t="s">
        <v>656</v>
      </c>
      <c r="E64" s="125" t="s">
        <v>793</v>
      </c>
      <c r="F64" s="125" t="s">
        <v>650</v>
      </c>
      <c r="G64" s="125" t="s">
        <v>1025</v>
      </c>
      <c r="H64" s="125">
        <v>-24153.72</v>
      </c>
      <c r="I64" s="125">
        <v>0</v>
      </c>
      <c r="J64" s="125">
        <v>0</v>
      </c>
      <c r="K64" s="125">
        <v>0</v>
      </c>
      <c r="L64" s="125">
        <v>0</v>
      </c>
      <c r="M64" s="125">
        <v>-5072.28</v>
      </c>
      <c r="N64" s="125">
        <v>0</v>
      </c>
      <c r="O64" s="125">
        <v>0</v>
      </c>
      <c r="P64" s="125">
        <v>0</v>
      </c>
      <c r="Q64" s="125">
        <v>0</v>
      </c>
      <c r="R64" s="125">
        <v>-5072.28</v>
      </c>
      <c r="S64" s="125">
        <v>-29226</v>
      </c>
      <c r="T64" s="125"/>
    </row>
    <row r="65" spans="1:20" ht="15" customHeight="1" x14ac:dyDescent="0.25">
      <c r="A65" s="125" t="s">
        <v>999</v>
      </c>
      <c r="B65" s="125" t="s">
        <v>817</v>
      </c>
      <c r="C65" s="125" t="s">
        <v>818</v>
      </c>
      <c r="D65" s="125" t="s">
        <v>656</v>
      </c>
      <c r="E65" s="125" t="s">
        <v>793</v>
      </c>
      <c r="F65" s="125" t="s">
        <v>650</v>
      </c>
      <c r="G65" s="125" t="s">
        <v>1026</v>
      </c>
      <c r="H65" s="125">
        <v>20077.689999999999</v>
      </c>
      <c r="I65" s="125">
        <v>0</v>
      </c>
      <c r="J65" s="125">
        <v>0</v>
      </c>
      <c r="K65" s="125">
        <v>0</v>
      </c>
      <c r="L65" s="125">
        <v>0</v>
      </c>
      <c r="M65" s="125">
        <v>4216.3100000000004</v>
      </c>
      <c r="N65" s="125">
        <v>0</v>
      </c>
      <c r="O65" s="125">
        <v>0</v>
      </c>
      <c r="P65" s="125">
        <v>0</v>
      </c>
      <c r="Q65" s="125">
        <v>0</v>
      </c>
      <c r="R65" s="125">
        <v>4216.3100000000004</v>
      </c>
      <c r="S65" s="125">
        <v>24294</v>
      </c>
      <c r="T65" s="125"/>
    </row>
    <row r="66" spans="1:20" ht="15" customHeight="1" x14ac:dyDescent="0.25">
      <c r="A66" s="125" t="s">
        <v>999</v>
      </c>
      <c r="B66" s="125" t="s">
        <v>817</v>
      </c>
      <c r="C66" s="125" t="s">
        <v>818</v>
      </c>
      <c r="D66" s="125" t="s">
        <v>656</v>
      </c>
      <c r="E66" s="125" t="s">
        <v>793</v>
      </c>
      <c r="F66" s="125" t="s">
        <v>650</v>
      </c>
      <c r="G66" s="125" t="s">
        <v>1027</v>
      </c>
      <c r="H66" s="125">
        <v>-24153.72</v>
      </c>
      <c r="I66" s="125">
        <v>0</v>
      </c>
      <c r="J66" s="125">
        <v>0</v>
      </c>
      <c r="K66" s="125">
        <v>0</v>
      </c>
      <c r="L66" s="125">
        <v>0</v>
      </c>
      <c r="M66" s="125">
        <v>-5072.28</v>
      </c>
      <c r="N66" s="125">
        <v>0</v>
      </c>
      <c r="O66" s="125">
        <v>0</v>
      </c>
      <c r="P66" s="125">
        <v>0</v>
      </c>
      <c r="Q66" s="125">
        <v>0</v>
      </c>
      <c r="R66" s="125">
        <v>-5072.28</v>
      </c>
      <c r="S66" s="125">
        <v>-29226</v>
      </c>
      <c r="T66" s="125"/>
    </row>
    <row r="67" spans="1:20" ht="15" customHeight="1" x14ac:dyDescent="0.25">
      <c r="A67" s="125" t="s">
        <v>999</v>
      </c>
      <c r="B67" s="125" t="s">
        <v>817</v>
      </c>
      <c r="C67" s="125" t="s">
        <v>818</v>
      </c>
      <c r="D67" s="125" t="s">
        <v>656</v>
      </c>
      <c r="E67" s="125" t="s">
        <v>793</v>
      </c>
      <c r="F67" s="125" t="s">
        <v>650</v>
      </c>
      <c r="G67" s="125" t="s">
        <v>1028</v>
      </c>
      <c r="H67" s="125">
        <v>20077.689999999999</v>
      </c>
      <c r="I67" s="125">
        <v>0</v>
      </c>
      <c r="J67" s="125">
        <v>0</v>
      </c>
      <c r="K67" s="125">
        <v>0</v>
      </c>
      <c r="L67" s="125">
        <v>0</v>
      </c>
      <c r="M67" s="125">
        <v>4216.3100000000004</v>
      </c>
      <c r="N67" s="125">
        <v>0</v>
      </c>
      <c r="O67" s="125">
        <v>0</v>
      </c>
      <c r="P67" s="125">
        <v>0</v>
      </c>
      <c r="Q67" s="125">
        <v>0</v>
      </c>
      <c r="R67" s="125">
        <v>4216.3100000000004</v>
      </c>
      <c r="S67" s="125">
        <v>24294</v>
      </c>
      <c r="T67" s="125"/>
    </row>
    <row r="68" spans="1:20" ht="15" customHeight="1" x14ac:dyDescent="0.25">
      <c r="A68" s="125" t="s">
        <v>999</v>
      </c>
      <c r="B68" s="125" t="s">
        <v>791</v>
      </c>
      <c r="C68" s="125" t="s">
        <v>792</v>
      </c>
      <c r="D68" s="125" t="s">
        <v>656</v>
      </c>
      <c r="E68" s="125" t="s">
        <v>793</v>
      </c>
      <c r="F68" s="125" t="s">
        <v>690</v>
      </c>
      <c r="G68" s="125" t="s">
        <v>1029</v>
      </c>
      <c r="H68" s="125">
        <v>19834.71</v>
      </c>
      <c r="I68" s="125">
        <v>0</v>
      </c>
      <c r="J68" s="125">
        <v>0</v>
      </c>
      <c r="K68" s="125">
        <v>0</v>
      </c>
      <c r="L68" s="125">
        <v>0</v>
      </c>
      <c r="M68" s="125">
        <v>4165.29</v>
      </c>
      <c r="N68" s="125">
        <v>0</v>
      </c>
      <c r="O68" s="125">
        <v>0</v>
      </c>
      <c r="P68" s="125">
        <v>0</v>
      </c>
      <c r="Q68" s="125">
        <v>0</v>
      </c>
      <c r="R68" s="125">
        <v>4165.29</v>
      </c>
      <c r="S68" s="125">
        <v>24000</v>
      </c>
      <c r="T68" s="125"/>
    </row>
    <row r="69" spans="1:20" ht="15" customHeight="1" x14ac:dyDescent="0.25">
      <c r="A69" s="125" t="s">
        <v>999</v>
      </c>
      <c r="B69" s="125" t="s">
        <v>791</v>
      </c>
      <c r="C69" s="125" t="s">
        <v>792</v>
      </c>
      <c r="D69" s="125" t="s">
        <v>656</v>
      </c>
      <c r="E69" s="125" t="s">
        <v>793</v>
      </c>
      <c r="F69" s="125" t="s">
        <v>690</v>
      </c>
      <c r="G69" s="125" t="s">
        <v>1030</v>
      </c>
      <c r="H69" s="125">
        <v>12396.69</v>
      </c>
      <c r="I69" s="125">
        <v>0</v>
      </c>
      <c r="J69" s="125">
        <v>0</v>
      </c>
      <c r="K69" s="125">
        <v>0</v>
      </c>
      <c r="L69" s="125">
        <v>0</v>
      </c>
      <c r="M69" s="125">
        <v>2603.31</v>
      </c>
      <c r="N69" s="125">
        <v>0</v>
      </c>
      <c r="O69" s="125">
        <v>0</v>
      </c>
      <c r="P69" s="125">
        <v>0</v>
      </c>
      <c r="Q69" s="125">
        <v>0</v>
      </c>
      <c r="R69" s="125">
        <v>2603.31</v>
      </c>
      <c r="S69" s="125">
        <v>15000</v>
      </c>
      <c r="T69" s="125"/>
    </row>
    <row r="70" spans="1:20" ht="15" customHeight="1" x14ac:dyDescent="0.25">
      <c r="A70" s="125" t="s">
        <v>999</v>
      </c>
      <c r="B70" s="125" t="s">
        <v>791</v>
      </c>
      <c r="C70" s="125" t="s">
        <v>792</v>
      </c>
      <c r="D70" s="125" t="s">
        <v>656</v>
      </c>
      <c r="E70" s="125" t="s">
        <v>793</v>
      </c>
      <c r="F70" s="125" t="s">
        <v>690</v>
      </c>
      <c r="G70" s="125" t="s">
        <v>1031</v>
      </c>
      <c r="H70" s="125">
        <v>18181.82</v>
      </c>
      <c r="I70" s="125">
        <v>0</v>
      </c>
      <c r="J70" s="125">
        <v>0</v>
      </c>
      <c r="K70" s="125">
        <v>0</v>
      </c>
      <c r="L70" s="125">
        <v>0</v>
      </c>
      <c r="M70" s="125">
        <v>3818.18</v>
      </c>
      <c r="N70" s="125">
        <v>0</v>
      </c>
      <c r="O70" s="125">
        <v>0</v>
      </c>
      <c r="P70" s="125">
        <v>0</v>
      </c>
      <c r="Q70" s="125">
        <v>0</v>
      </c>
      <c r="R70" s="125">
        <v>3818.18</v>
      </c>
      <c r="S70" s="125">
        <v>22000</v>
      </c>
      <c r="T70" s="125"/>
    </row>
    <row r="71" spans="1:20" ht="15" customHeight="1" x14ac:dyDescent="0.25">
      <c r="A71" s="125" t="s">
        <v>999</v>
      </c>
      <c r="B71" s="125" t="s">
        <v>791</v>
      </c>
      <c r="C71" s="125" t="s">
        <v>792</v>
      </c>
      <c r="D71" s="125" t="s">
        <v>656</v>
      </c>
      <c r="E71" s="125" t="s">
        <v>793</v>
      </c>
      <c r="F71" s="125" t="s">
        <v>690</v>
      </c>
      <c r="G71" s="125" t="s">
        <v>1032</v>
      </c>
      <c r="H71" s="125">
        <v>37190.080000000002</v>
      </c>
      <c r="I71" s="125">
        <v>0</v>
      </c>
      <c r="J71" s="125">
        <v>0</v>
      </c>
      <c r="K71" s="125">
        <v>0</v>
      </c>
      <c r="L71" s="125">
        <v>0</v>
      </c>
      <c r="M71" s="125">
        <v>7809.92</v>
      </c>
      <c r="N71" s="125">
        <v>0</v>
      </c>
      <c r="O71" s="125">
        <v>0</v>
      </c>
      <c r="P71" s="125">
        <v>0</v>
      </c>
      <c r="Q71" s="125">
        <v>0</v>
      </c>
      <c r="R71" s="125">
        <v>7809.92</v>
      </c>
      <c r="S71" s="125">
        <v>45000</v>
      </c>
      <c r="T71" s="125"/>
    </row>
    <row r="72" spans="1:20" ht="15" customHeight="1" x14ac:dyDescent="0.25">
      <c r="A72" s="125" t="s">
        <v>999</v>
      </c>
      <c r="B72" s="125" t="s">
        <v>791</v>
      </c>
      <c r="C72" s="125" t="s">
        <v>792</v>
      </c>
      <c r="D72" s="125" t="s">
        <v>656</v>
      </c>
      <c r="E72" s="125" t="s">
        <v>793</v>
      </c>
      <c r="F72" s="125" t="s">
        <v>690</v>
      </c>
      <c r="G72" s="125" t="s">
        <v>1033</v>
      </c>
      <c r="H72" s="125">
        <v>18595.04</v>
      </c>
      <c r="I72" s="125">
        <v>0</v>
      </c>
      <c r="J72" s="125">
        <v>0</v>
      </c>
      <c r="K72" s="125">
        <v>0</v>
      </c>
      <c r="L72" s="125">
        <v>0</v>
      </c>
      <c r="M72" s="125">
        <v>3904.96</v>
      </c>
      <c r="N72" s="125">
        <v>0</v>
      </c>
      <c r="O72" s="125">
        <v>0</v>
      </c>
      <c r="P72" s="125">
        <v>0</v>
      </c>
      <c r="Q72" s="125">
        <v>0</v>
      </c>
      <c r="R72" s="125">
        <v>3904.96</v>
      </c>
      <c r="S72" s="125">
        <v>22500</v>
      </c>
      <c r="T72" s="125"/>
    </row>
    <row r="73" spans="1:20" ht="15" customHeight="1" x14ac:dyDescent="0.25">
      <c r="A73" s="125" t="s">
        <v>999</v>
      </c>
      <c r="B73" s="125" t="s">
        <v>791</v>
      </c>
      <c r="C73" s="125" t="s">
        <v>792</v>
      </c>
      <c r="D73" s="125" t="s">
        <v>656</v>
      </c>
      <c r="E73" s="125" t="s">
        <v>793</v>
      </c>
      <c r="F73" s="125" t="s">
        <v>690</v>
      </c>
      <c r="G73" s="125" t="s">
        <v>1034</v>
      </c>
      <c r="H73" s="125">
        <v>24793.39</v>
      </c>
      <c r="I73" s="125">
        <v>0</v>
      </c>
      <c r="J73" s="125">
        <v>0</v>
      </c>
      <c r="K73" s="125">
        <v>0</v>
      </c>
      <c r="L73" s="125">
        <v>0</v>
      </c>
      <c r="M73" s="125">
        <v>5206.6099999999997</v>
      </c>
      <c r="N73" s="125">
        <v>0</v>
      </c>
      <c r="O73" s="125">
        <v>0</v>
      </c>
      <c r="P73" s="125">
        <v>0</v>
      </c>
      <c r="Q73" s="125">
        <v>0</v>
      </c>
      <c r="R73" s="125">
        <v>5206.6099999999997</v>
      </c>
      <c r="S73" s="125">
        <v>30000</v>
      </c>
      <c r="T73" s="125"/>
    </row>
    <row r="74" spans="1:20" ht="15" customHeight="1" x14ac:dyDescent="0.25">
      <c r="A74" s="125" t="s">
        <v>999</v>
      </c>
      <c r="B74" s="125" t="s">
        <v>791</v>
      </c>
      <c r="C74" s="125" t="s">
        <v>792</v>
      </c>
      <c r="D74" s="125" t="s">
        <v>656</v>
      </c>
      <c r="E74" s="125" t="s">
        <v>793</v>
      </c>
      <c r="F74" s="125" t="s">
        <v>690</v>
      </c>
      <c r="G74" s="125" t="s">
        <v>1035</v>
      </c>
      <c r="H74" s="125">
        <v>16528.93</v>
      </c>
      <c r="I74" s="125">
        <v>0</v>
      </c>
      <c r="J74" s="125">
        <v>0</v>
      </c>
      <c r="K74" s="125">
        <v>0</v>
      </c>
      <c r="L74" s="125">
        <v>0</v>
      </c>
      <c r="M74" s="125">
        <v>3471.07</v>
      </c>
      <c r="N74" s="125">
        <v>0</v>
      </c>
      <c r="O74" s="125">
        <v>0</v>
      </c>
      <c r="P74" s="125">
        <v>0</v>
      </c>
      <c r="Q74" s="125">
        <v>0</v>
      </c>
      <c r="R74" s="125">
        <v>3471.07</v>
      </c>
      <c r="S74" s="125">
        <v>20000</v>
      </c>
      <c r="T74" s="125"/>
    </row>
    <row r="75" spans="1:20" ht="15" customHeight="1" x14ac:dyDescent="0.25">
      <c r="A75" s="125" t="s">
        <v>999</v>
      </c>
      <c r="B75" s="125" t="s">
        <v>791</v>
      </c>
      <c r="C75" s="125" t="s">
        <v>792</v>
      </c>
      <c r="D75" s="125" t="s">
        <v>656</v>
      </c>
      <c r="E75" s="125" t="s">
        <v>793</v>
      </c>
      <c r="F75" s="125" t="s">
        <v>690</v>
      </c>
      <c r="G75" s="125" t="s">
        <v>1036</v>
      </c>
      <c r="H75" s="125">
        <v>10743.8</v>
      </c>
      <c r="I75" s="125">
        <v>0</v>
      </c>
      <c r="J75" s="125">
        <v>0</v>
      </c>
      <c r="K75" s="125">
        <v>0</v>
      </c>
      <c r="L75" s="125">
        <v>0</v>
      </c>
      <c r="M75" s="125">
        <v>2256.1999999999998</v>
      </c>
      <c r="N75" s="125">
        <v>0</v>
      </c>
      <c r="O75" s="125">
        <v>0</v>
      </c>
      <c r="P75" s="125">
        <v>0</v>
      </c>
      <c r="Q75" s="125">
        <v>0</v>
      </c>
      <c r="R75" s="125">
        <v>2256.1999999999998</v>
      </c>
      <c r="S75" s="125">
        <v>13000</v>
      </c>
      <c r="T75" s="125"/>
    </row>
    <row r="76" spans="1:20" ht="15" customHeight="1" x14ac:dyDescent="0.25">
      <c r="A76" s="125" t="s">
        <v>999</v>
      </c>
      <c r="B76" s="125" t="s">
        <v>791</v>
      </c>
      <c r="C76" s="125" t="s">
        <v>792</v>
      </c>
      <c r="D76" s="125" t="s">
        <v>656</v>
      </c>
      <c r="E76" s="125" t="s">
        <v>793</v>
      </c>
      <c r="F76" s="125" t="s">
        <v>690</v>
      </c>
      <c r="G76" s="125" t="s">
        <v>1037</v>
      </c>
      <c r="H76" s="125">
        <v>86776.86</v>
      </c>
      <c r="I76" s="125">
        <v>0</v>
      </c>
      <c r="J76" s="125">
        <v>0</v>
      </c>
      <c r="K76" s="125">
        <v>0</v>
      </c>
      <c r="L76" s="125">
        <v>0</v>
      </c>
      <c r="M76" s="125">
        <v>18223.14</v>
      </c>
      <c r="N76" s="125">
        <v>0</v>
      </c>
      <c r="O76" s="125">
        <v>0</v>
      </c>
      <c r="P76" s="125">
        <v>0</v>
      </c>
      <c r="Q76" s="125">
        <v>0</v>
      </c>
      <c r="R76" s="125">
        <v>18223.14</v>
      </c>
      <c r="S76" s="125">
        <v>105000</v>
      </c>
      <c r="T76" s="125"/>
    </row>
    <row r="77" spans="1:20" ht="15" customHeight="1" x14ac:dyDescent="0.25">
      <c r="A77" s="125" t="s">
        <v>999</v>
      </c>
      <c r="B77" s="125" t="s">
        <v>791</v>
      </c>
      <c r="C77" s="125" t="s">
        <v>792</v>
      </c>
      <c r="D77" s="125" t="s">
        <v>656</v>
      </c>
      <c r="E77" s="125" t="s">
        <v>793</v>
      </c>
      <c r="F77" s="125" t="s">
        <v>690</v>
      </c>
      <c r="G77" s="125" t="s">
        <v>1038</v>
      </c>
      <c r="H77" s="125">
        <v>86776.86</v>
      </c>
      <c r="I77" s="125">
        <v>0</v>
      </c>
      <c r="J77" s="125">
        <v>0</v>
      </c>
      <c r="K77" s="125">
        <v>0</v>
      </c>
      <c r="L77" s="125">
        <v>0</v>
      </c>
      <c r="M77" s="125">
        <v>18223.14</v>
      </c>
      <c r="N77" s="125">
        <v>0</v>
      </c>
      <c r="O77" s="125">
        <v>0</v>
      </c>
      <c r="P77" s="125">
        <v>0</v>
      </c>
      <c r="Q77" s="125">
        <v>0</v>
      </c>
      <c r="R77" s="125">
        <v>18223.14</v>
      </c>
      <c r="S77" s="125">
        <v>105000</v>
      </c>
      <c r="T77" s="125"/>
    </row>
    <row r="78" spans="1:20" ht="15" customHeight="1" x14ac:dyDescent="0.25">
      <c r="A78" s="125" t="s">
        <v>999</v>
      </c>
      <c r="B78" s="125" t="s">
        <v>798</v>
      </c>
      <c r="C78" s="125" t="s">
        <v>799</v>
      </c>
      <c r="D78" s="125" t="s">
        <v>656</v>
      </c>
      <c r="E78" s="125" t="s">
        <v>793</v>
      </c>
      <c r="F78" s="125" t="s">
        <v>650</v>
      </c>
      <c r="G78" s="125" t="s">
        <v>1039</v>
      </c>
      <c r="H78" s="125">
        <v>1773489.83</v>
      </c>
      <c r="I78" s="125">
        <v>0</v>
      </c>
      <c r="J78" s="125">
        <v>0</v>
      </c>
      <c r="K78" s="125">
        <v>0</v>
      </c>
      <c r="L78" s="125">
        <v>0</v>
      </c>
      <c r="M78" s="125">
        <v>372432.86</v>
      </c>
      <c r="N78" s="125">
        <v>0</v>
      </c>
      <c r="O78" s="125">
        <v>0</v>
      </c>
      <c r="P78" s="125">
        <v>0</v>
      </c>
      <c r="Q78" s="125">
        <v>0</v>
      </c>
      <c r="R78" s="125">
        <v>372432.86</v>
      </c>
      <c r="S78" s="125">
        <v>2145922.69</v>
      </c>
      <c r="T78" s="125"/>
    </row>
    <row r="79" spans="1:20" ht="15" customHeight="1" x14ac:dyDescent="0.25">
      <c r="A79" s="125" t="s">
        <v>999</v>
      </c>
      <c r="B79" s="125" t="s">
        <v>798</v>
      </c>
      <c r="C79" s="125" t="s">
        <v>799</v>
      </c>
      <c r="D79" s="125" t="s">
        <v>656</v>
      </c>
      <c r="E79" s="125" t="s">
        <v>793</v>
      </c>
      <c r="F79" s="125" t="s">
        <v>650</v>
      </c>
      <c r="G79" s="125" t="s">
        <v>1040</v>
      </c>
      <c r="H79" s="125">
        <v>6010281.5800000001</v>
      </c>
      <c r="I79" s="125">
        <v>0</v>
      </c>
      <c r="J79" s="125">
        <v>0</v>
      </c>
      <c r="K79" s="125">
        <v>0</v>
      </c>
      <c r="L79" s="125">
        <v>0</v>
      </c>
      <c r="M79" s="125">
        <v>1262159.1299999999</v>
      </c>
      <c r="N79" s="125">
        <v>0</v>
      </c>
      <c r="O79" s="125">
        <v>0</v>
      </c>
      <c r="P79" s="125">
        <v>0</v>
      </c>
      <c r="Q79" s="125">
        <v>0</v>
      </c>
      <c r="R79" s="125">
        <v>1262159.1299999999</v>
      </c>
      <c r="S79" s="125">
        <v>7272440.71</v>
      </c>
      <c r="T79" s="125"/>
    </row>
    <row r="80" spans="1:20" ht="15" customHeight="1" x14ac:dyDescent="0.25">
      <c r="A80" s="125" t="s">
        <v>1041</v>
      </c>
      <c r="B80" s="125" t="s">
        <v>791</v>
      </c>
      <c r="C80" s="125" t="s">
        <v>792</v>
      </c>
      <c r="D80" s="125" t="s">
        <v>656</v>
      </c>
      <c r="E80" s="125" t="s">
        <v>793</v>
      </c>
      <c r="F80" s="125" t="s">
        <v>690</v>
      </c>
      <c r="G80" s="125" t="s">
        <v>1042</v>
      </c>
      <c r="H80" s="125">
        <v>24793.39</v>
      </c>
      <c r="I80" s="125">
        <v>0</v>
      </c>
      <c r="J80" s="125">
        <v>0</v>
      </c>
      <c r="K80" s="125">
        <v>0</v>
      </c>
      <c r="L80" s="125">
        <v>0</v>
      </c>
      <c r="M80" s="125">
        <v>5206.6099999999997</v>
      </c>
      <c r="N80" s="125">
        <v>0</v>
      </c>
      <c r="O80" s="125">
        <v>0</v>
      </c>
      <c r="P80" s="125">
        <v>0</v>
      </c>
      <c r="Q80" s="125">
        <v>0</v>
      </c>
      <c r="R80" s="125">
        <v>5206.6099999999997</v>
      </c>
      <c r="S80" s="125">
        <v>30000</v>
      </c>
      <c r="T80" s="125"/>
    </row>
    <row r="81" spans="1:20" ht="15" customHeight="1" x14ac:dyDescent="0.25">
      <c r="A81" s="125" t="s">
        <v>1041</v>
      </c>
      <c r="B81" s="125" t="s">
        <v>791</v>
      </c>
      <c r="C81" s="125" t="s">
        <v>792</v>
      </c>
      <c r="D81" s="125" t="s">
        <v>656</v>
      </c>
      <c r="E81" s="125" t="s">
        <v>793</v>
      </c>
      <c r="F81" s="125" t="s">
        <v>690</v>
      </c>
      <c r="G81" s="125" t="s">
        <v>1043</v>
      </c>
      <c r="H81" s="125">
        <v>22314.05</v>
      </c>
      <c r="I81" s="125">
        <v>0</v>
      </c>
      <c r="J81" s="125">
        <v>0</v>
      </c>
      <c r="K81" s="125">
        <v>0</v>
      </c>
      <c r="L81" s="125">
        <v>0</v>
      </c>
      <c r="M81" s="125">
        <v>4685.95</v>
      </c>
      <c r="N81" s="125">
        <v>0</v>
      </c>
      <c r="O81" s="125">
        <v>0</v>
      </c>
      <c r="P81" s="125">
        <v>0</v>
      </c>
      <c r="Q81" s="125">
        <v>0</v>
      </c>
      <c r="R81" s="125">
        <v>4685.95</v>
      </c>
      <c r="S81" s="125">
        <v>27000</v>
      </c>
      <c r="T81" s="125"/>
    </row>
    <row r="82" spans="1:20" ht="15" customHeight="1" x14ac:dyDescent="0.25">
      <c r="A82" s="125" t="s">
        <v>1041</v>
      </c>
      <c r="B82" s="125" t="s">
        <v>791</v>
      </c>
      <c r="C82" s="125" t="s">
        <v>792</v>
      </c>
      <c r="D82" s="125" t="s">
        <v>656</v>
      </c>
      <c r="E82" s="125" t="s">
        <v>793</v>
      </c>
      <c r="F82" s="125" t="s">
        <v>690</v>
      </c>
      <c r="G82" s="125" t="s">
        <v>1044</v>
      </c>
      <c r="H82" s="125">
        <v>57851.24</v>
      </c>
      <c r="I82" s="125">
        <v>0</v>
      </c>
      <c r="J82" s="125">
        <v>0</v>
      </c>
      <c r="K82" s="125">
        <v>0</v>
      </c>
      <c r="L82" s="125">
        <v>0</v>
      </c>
      <c r="M82" s="125">
        <v>12148.76</v>
      </c>
      <c r="N82" s="125">
        <v>0</v>
      </c>
      <c r="O82" s="125">
        <v>0</v>
      </c>
      <c r="P82" s="125">
        <v>0</v>
      </c>
      <c r="Q82" s="125">
        <v>0</v>
      </c>
      <c r="R82" s="125">
        <v>12148.76</v>
      </c>
      <c r="S82" s="125">
        <v>70000</v>
      </c>
      <c r="T82" s="125"/>
    </row>
    <row r="83" spans="1:20" ht="15" customHeight="1" x14ac:dyDescent="0.25">
      <c r="A83" s="125" t="s">
        <v>1041</v>
      </c>
      <c r="B83" s="125" t="s">
        <v>791</v>
      </c>
      <c r="C83" s="125" t="s">
        <v>792</v>
      </c>
      <c r="D83" s="125" t="s">
        <v>656</v>
      </c>
      <c r="E83" s="125" t="s">
        <v>793</v>
      </c>
      <c r="F83" s="125" t="s">
        <v>690</v>
      </c>
      <c r="G83" s="125" t="s">
        <v>1045</v>
      </c>
      <c r="H83" s="125">
        <v>57851.24</v>
      </c>
      <c r="I83" s="125">
        <v>0</v>
      </c>
      <c r="J83" s="125">
        <v>0</v>
      </c>
      <c r="K83" s="125">
        <v>0</v>
      </c>
      <c r="L83" s="125">
        <v>0</v>
      </c>
      <c r="M83" s="125">
        <v>12148.76</v>
      </c>
      <c r="N83" s="125">
        <v>0</v>
      </c>
      <c r="O83" s="125">
        <v>0</v>
      </c>
      <c r="P83" s="125">
        <v>0</v>
      </c>
      <c r="Q83" s="125">
        <v>0</v>
      </c>
      <c r="R83" s="125">
        <v>12148.76</v>
      </c>
      <c r="S83" s="125">
        <v>70000</v>
      </c>
      <c r="T83" s="125"/>
    </row>
    <row r="84" spans="1:20" ht="15" customHeight="1" x14ac:dyDescent="0.25">
      <c r="A84" s="125" t="s">
        <v>1041</v>
      </c>
      <c r="B84" s="125" t="s">
        <v>791</v>
      </c>
      <c r="C84" s="125" t="s">
        <v>792</v>
      </c>
      <c r="D84" s="125" t="s">
        <v>656</v>
      </c>
      <c r="E84" s="125" t="s">
        <v>793</v>
      </c>
      <c r="F84" s="125" t="s">
        <v>690</v>
      </c>
      <c r="G84" s="125" t="s">
        <v>1046</v>
      </c>
      <c r="H84" s="125">
        <v>47933.88</v>
      </c>
      <c r="I84" s="125">
        <v>0</v>
      </c>
      <c r="J84" s="125">
        <v>0</v>
      </c>
      <c r="K84" s="125">
        <v>0</v>
      </c>
      <c r="L84" s="125">
        <v>0</v>
      </c>
      <c r="M84" s="125">
        <v>10066.120000000001</v>
      </c>
      <c r="N84" s="125">
        <v>0</v>
      </c>
      <c r="O84" s="125">
        <v>0</v>
      </c>
      <c r="P84" s="125">
        <v>0</v>
      </c>
      <c r="Q84" s="125">
        <v>0</v>
      </c>
      <c r="R84" s="125">
        <v>10066.120000000001</v>
      </c>
      <c r="S84" s="125">
        <v>58000</v>
      </c>
      <c r="T84" s="125"/>
    </row>
    <row r="85" spans="1:20" ht="15" customHeight="1" x14ac:dyDescent="0.25">
      <c r="A85" s="125" t="s">
        <v>1041</v>
      </c>
      <c r="B85" s="125" t="s">
        <v>791</v>
      </c>
      <c r="C85" s="125" t="s">
        <v>792</v>
      </c>
      <c r="D85" s="125" t="s">
        <v>656</v>
      </c>
      <c r="E85" s="125" t="s">
        <v>793</v>
      </c>
      <c r="F85" s="125" t="s">
        <v>690</v>
      </c>
      <c r="G85" s="125" t="s">
        <v>1047</v>
      </c>
      <c r="H85" s="125">
        <v>33884.300000000003</v>
      </c>
      <c r="I85" s="125">
        <v>0</v>
      </c>
      <c r="J85" s="125">
        <v>0</v>
      </c>
      <c r="K85" s="125">
        <v>0</v>
      </c>
      <c r="L85" s="125">
        <v>0</v>
      </c>
      <c r="M85" s="125">
        <v>7115.7</v>
      </c>
      <c r="N85" s="125">
        <v>0</v>
      </c>
      <c r="O85" s="125">
        <v>0</v>
      </c>
      <c r="P85" s="125">
        <v>0</v>
      </c>
      <c r="Q85" s="125">
        <v>0</v>
      </c>
      <c r="R85" s="125">
        <v>7115.7</v>
      </c>
      <c r="S85" s="125">
        <v>41000</v>
      </c>
      <c r="T85" s="125"/>
    </row>
    <row r="86" spans="1:20" ht="15" customHeight="1" x14ac:dyDescent="0.25">
      <c r="A86" s="125" t="s">
        <v>1041</v>
      </c>
      <c r="B86" s="125" t="s">
        <v>1048</v>
      </c>
      <c r="C86" s="125" t="s">
        <v>1049</v>
      </c>
      <c r="D86" s="125" t="s">
        <v>656</v>
      </c>
      <c r="E86" s="125" t="s">
        <v>793</v>
      </c>
      <c r="F86" s="125" t="s">
        <v>690</v>
      </c>
      <c r="G86" s="125" t="s">
        <v>1050</v>
      </c>
      <c r="H86" s="125">
        <v>398347.11</v>
      </c>
      <c r="I86" s="125">
        <v>0</v>
      </c>
      <c r="J86" s="125">
        <v>0</v>
      </c>
      <c r="K86" s="125">
        <v>0</v>
      </c>
      <c r="L86" s="125">
        <v>0</v>
      </c>
      <c r="M86" s="125">
        <v>83652.89</v>
      </c>
      <c r="N86" s="125">
        <v>0</v>
      </c>
      <c r="O86" s="125">
        <v>0</v>
      </c>
      <c r="P86" s="125">
        <v>0</v>
      </c>
      <c r="Q86" s="125">
        <v>0</v>
      </c>
      <c r="R86" s="125">
        <v>83652.89</v>
      </c>
      <c r="S86" s="125">
        <v>482000</v>
      </c>
      <c r="T86" s="125"/>
    </row>
    <row r="87" spans="1:20" ht="15" customHeight="1" x14ac:dyDescent="0.25">
      <c r="A87" s="125" t="s">
        <v>1041</v>
      </c>
      <c r="B87" s="125" t="s">
        <v>791</v>
      </c>
      <c r="C87" s="125" t="s">
        <v>792</v>
      </c>
      <c r="D87" s="125" t="s">
        <v>656</v>
      </c>
      <c r="E87" s="125" t="s">
        <v>793</v>
      </c>
      <c r="F87" s="125" t="s">
        <v>690</v>
      </c>
      <c r="G87" s="125" t="s">
        <v>1051</v>
      </c>
      <c r="H87" s="125">
        <v>29586.78</v>
      </c>
      <c r="I87" s="125">
        <v>0</v>
      </c>
      <c r="J87" s="125">
        <v>0</v>
      </c>
      <c r="K87" s="125">
        <v>0</v>
      </c>
      <c r="L87" s="125">
        <v>0</v>
      </c>
      <c r="M87" s="125">
        <v>6213.22</v>
      </c>
      <c r="N87" s="125">
        <v>0</v>
      </c>
      <c r="O87" s="125">
        <v>0</v>
      </c>
      <c r="P87" s="125">
        <v>0</v>
      </c>
      <c r="Q87" s="125">
        <v>0</v>
      </c>
      <c r="R87" s="125">
        <v>6213.22</v>
      </c>
      <c r="S87" s="125">
        <v>35800</v>
      </c>
      <c r="T87" s="125"/>
    </row>
    <row r="88" spans="1:20" ht="15" customHeight="1" x14ac:dyDescent="0.25">
      <c r="A88" s="125" t="s">
        <v>1041</v>
      </c>
      <c r="B88" s="125" t="s">
        <v>791</v>
      </c>
      <c r="C88" s="125" t="s">
        <v>792</v>
      </c>
      <c r="D88" s="125" t="s">
        <v>656</v>
      </c>
      <c r="E88" s="125" t="s">
        <v>793</v>
      </c>
      <c r="F88" s="125" t="s">
        <v>690</v>
      </c>
      <c r="G88" s="125" t="s">
        <v>1052</v>
      </c>
      <c r="H88" s="125">
        <v>40495.870000000003</v>
      </c>
      <c r="I88" s="125">
        <v>0</v>
      </c>
      <c r="J88" s="125">
        <v>0</v>
      </c>
      <c r="K88" s="125">
        <v>0</v>
      </c>
      <c r="L88" s="125">
        <v>0</v>
      </c>
      <c r="M88" s="125">
        <v>8504.1299999999992</v>
      </c>
      <c r="N88" s="125">
        <v>0</v>
      </c>
      <c r="O88" s="125">
        <v>0</v>
      </c>
      <c r="P88" s="125">
        <v>0</v>
      </c>
      <c r="Q88" s="125">
        <v>0</v>
      </c>
      <c r="R88" s="125">
        <v>8504.1299999999992</v>
      </c>
      <c r="S88" s="125">
        <v>49000</v>
      </c>
      <c r="T88" s="125"/>
    </row>
    <row r="89" spans="1:20" ht="15" customHeight="1" x14ac:dyDescent="0.25">
      <c r="A89" s="125" t="s">
        <v>1041</v>
      </c>
      <c r="B89" s="125" t="s">
        <v>791</v>
      </c>
      <c r="C89" s="125" t="s">
        <v>792</v>
      </c>
      <c r="D89" s="125" t="s">
        <v>656</v>
      </c>
      <c r="E89" s="125" t="s">
        <v>793</v>
      </c>
      <c r="F89" s="125" t="s">
        <v>690</v>
      </c>
      <c r="G89" s="125" t="s">
        <v>1053</v>
      </c>
      <c r="H89" s="125">
        <v>13223.14</v>
      </c>
      <c r="I89" s="125">
        <v>0</v>
      </c>
      <c r="J89" s="125">
        <v>0</v>
      </c>
      <c r="K89" s="125">
        <v>0</v>
      </c>
      <c r="L89" s="125">
        <v>0</v>
      </c>
      <c r="M89" s="125">
        <v>2776.86</v>
      </c>
      <c r="N89" s="125">
        <v>0</v>
      </c>
      <c r="O89" s="125">
        <v>0</v>
      </c>
      <c r="P89" s="125">
        <v>0</v>
      </c>
      <c r="Q89" s="125">
        <v>0</v>
      </c>
      <c r="R89" s="125">
        <v>2776.86</v>
      </c>
      <c r="S89" s="125">
        <v>16000</v>
      </c>
      <c r="T89" s="125"/>
    </row>
    <row r="90" spans="1:20" ht="15" customHeight="1" x14ac:dyDescent="0.25">
      <c r="A90" s="125" t="s">
        <v>1041</v>
      </c>
      <c r="B90" s="125" t="s">
        <v>1054</v>
      </c>
      <c r="C90" s="125" t="s">
        <v>1055</v>
      </c>
      <c r="D90" s="125" t="s">
        <v>656</v>
      </c>
      <c r="E90" s="125" t="s">
        <v>793</v>
      </c>
      <c r="F90" s="125" t="s">
        <v>690</v>
      </c>
      <c r="G90" s="125" t="s">
        <v>1056</v>
      </c>
      <c r="H90" s="125">
        <v>21487.599999999999</v>
      </c>
      <c r="I90" s="125">
        <v>0</v>
      </c>
      <c r="J90" s="125">
        <v>0</v>
      </c>
      <c r="K90" s="125">
        <v>0</v>
      </c>
      <c r="L90" s="125">
        <v>0</v>
      </c>
      <c r="M90" s="125">
        <v>4512.3999999999996</v>
      </c>
      <c r="N90" s="125">
        <v>0</v>
      </c>
      <c r="O90" s="125">
        <v>0</v>
      </c>
      <c r="P90" s="125">
        <v>0</v>
      </c>
      <c r="Q90" s="125">
        <v>0</v>
      </c>
      <c r="R90" s="125">
        <v>4512.3999999999996</v>
      </c>
      <c r="S90" s="125">
        <v>26000</v>
      </c>
      <c r="T90" s="125"/>
    </row>
    <row r="91" spans="1:20" ht="15" customHeight="1" x14ac:dyDescent="0.25">
      <c r="A91" s="125" t="s">
        <v>1041</v>
      </c>
      <c r="B91" s="125" t="s">
        <v>791</v>
      </c>
      <c r="C91" s="125" t="s">
        <v>792</v>
      </c>
      <c r="D91" s="125" t="s">
        <v>656</v>
      </c>
      <c r="E91" s="125" t="s">
        <v>793</v>
      </c>
      <c r="F91" s="125" t="s">
        <v>690</v>
      </c>
      <c r="G91" s="125" t="s">
        <v>1057</v>
      </c>
      <c r="H91" s="125">
        <v>28925.62</v>
      </c>
      <c r="I91" s="125">
        <v>0</v>
      </c>
      <c r="J91" s="125">
        <v>0</v>
      </c>
      <c r="K91" s="125">
        <v>0</v>
      </c>
      <c r="L91" s="125">
        <v>0</v>
      </c>
      <c r="M91" s="125">
        <v>6074.38</v>
      </c>
      <c r="N91" s="125">
        <v>0</v>
      </c>
      <c r="O91" s="125">
        <v>0</v>
      </c>
      <c r="P91" s="125">
        <v>0</v>
      </c>
      <c r="Q91" s="125">
        <v>0</v>
      </c>
      <c r="R91" s="125">
        <v>6074.38</v>
      </c>
      <c r="S91" s="125">
        <v>35000</v>
      </c>
      <c r="T91" s="125"/>
    </row>
    <row r="92" spans="1:20" ht="15" customHeight="1" x14ac:dyDescent="0.25">
      <c r="A92" s="125" t="s">
        <v>1041</v>
      </c>
      <c r="B92" s="125" t="s">
        <v>791</v>
      </c>
      <c r="C92" s="125" t="s">
        <v>792</v>
      </c>
      <c r="D92" s="125" t="s">
        <v>656</v>
      </c>
      <c r="E92" s="125" t="s">
        <v>793</v>
      </c>
      <c r="F92" s="125" t="s">
        <v>690</v>
      </c>
      <c r="G92" s="125" t="s">
        <v>1058</v>
      </c>
      <c r="H92" s="125">
        <v>28925.62</v>
      </c>
      <c r="I92" s="125">
        <v>0</v>
      </c>
      <c r="J92" s="125">
        <v>0</v>
      </c>
      <c r="K92" s="125">
        <v>0</v>
      </c>
      <c r="L92" s="125">
        <v>0</v>
      </c>
      <c r="M92" s="125">
        <v>6074.38</v>
      </c>
      <c r="N92" s="125">
        <v>0</v>
      </c>
      <c r="O92" s="125">
        <v>0</v>
      </c>
      <c r="P92" s="125">
        <v>0</v>
      </c>
      <c r="Q92" s="125">
        <v>0</v>
      </c>
      <c r="R92" s="125">
        <v>6074.38</v>
      </c>
      <c r="S92" s="125">
        <v>35000</v>
      </c>
      <c r="T92" s="125"/>
    </row>
    <row r="93" spans="1:20" ht="15" customHeight="1" x14ac:dyDescent="0.25">
      <c r="A93" s="125" t="s">
        <v>1041</v>
      </c>
      <c r="B93" s="125" t="s">
        <v>791</v>
      </c>
      <c r="C93" s="125" t="s">
        <v>792</v>
      </c>
      <c r="D93" s="125" t="s">
        <v>656</v>
      </c>
      <c r="E93" s="125" t="s">
        <v>793</v>
      </c>
      <c r="F93" s="125" t="s">
        <v>690</v>
      </c>
      <c r="G93" s="125" t="s">
        <v>1059</v>
      </c>
      <c r="H93" s="125">
        <v>28925.62</v>
      </c>
      <c r="I93" s="125">
        <v>0</v>
      </c>
      <c r="J93" s="125">
        <v>0</v>
      </c>
      <c r="K93" s="125">
        <v>0</v>
      </c>
      <c r="L93" s="125">
        <v>0</v>
      </c>
      <c r="M93" s="125">
        <v>6074.38</v>
      </c>
      <c r="N93" s="125">
        <v>0</v>
      </c>
      <c r="O93" s="125">
        <v>0</v>
      </c>
      <c r="P93" s="125">
        <v>0</v>
      </c>
      <c r="Q93" s="125">
        <v>0</v>
      </c>
      <c r="R93" s="125">
        <v>6074.38</v>
      </c>
      <c r="S93" s="125">
        <v>35000</v>
      </c>
      <c r="T93" s="125"/>
    </row>
    <row r="94" spans="1:20" ht="15" customHeight="1" x14ac:dyDescent="0.25">
      <c r="A94" s="125" t="s">
        <v>1041</v>
      </c>
      <c r="B94" s="125" t="s">
        <v>206</v>
      </c>
      <c r="C94" s="125" t="s">
        <v>805</v>
      </c>
      <c r="D94" s="125" t="s">
        <v>656</v>
      </c>
      <c r="E94" s="125" t="s">
        <v>793</v>
      </c>
      <c r="F94" s="125" t="s">
        <v>650</v>
      </c>
      <c r="G94" s="125" t="s">
        <v>1060</v>
      </c>
      <c r="H94" s="125">
        <v>118281.37</v>
      </c>
      <c r="I94" s="125">
        <v>0</v>
      </c>
      <c r="J94" s="125">
        <v>0</v>
      </c>
      <c r="K94" s="125">
        <v>0</v>
      </c>
      <c r="L94" s="125">
        <v>0</v>
      </c>
      <c r="M94" s="125">
        <v>24839.09</v>
      </c>
      <c r="N94" s="125">
        <v>0</v>
      </c>
      <c r="O94" s="125">
        <v>0</v>
      </c>
      <c r="P94" s="125">
        <v>0</v>
      </c>
      <c r="Q94" s="125">
        <v>0</v>
      </c>
      <c r="R94" s="125">
        <v>24839.09</v>
      </c>
      <c r="S94" s="125">
        <v>143120.46</v>
      </c>
      <c r="T94" s="125"/>
    </row>
    <row r="95" spans="1:20" ht="15" customHeight="1" x14ac:dyDescent="0.25">
      <c r="A95" s="125" t="s">
        <v>1041</v>
      </c>
      <c r="B95" s="125" t="s">
        <v>206</v>
      </c>
      <c r="C95" s="125" t="s">
        <v>805</v>
      </c>
      <c r="D95" s="125" t="s">
        <v>656</v>
      </c>
      <c r="E95" s="125" t="s">
        <v>793</v>
      </c>
      <c r="F95" s="125" t="s">
        <v>650</v>
      </c>
      <c r="G95" s="125" t="s">
        <v>1061</v>
      </c>
      <c r="H95" s="125">
        <v>3504418.12</v>
      </c>
      <c r="I95" s="125">
        <v>0</v>
      </c>
      <c r="J95" s="125">
        <v>0</v>
      </c>
      <c r="K95" s="125">
        <v>0</v>
      </c>
      <c r="L95" s="125">
        <v>0</v>
      </c>
      <c r="M95" s="125">
        <v>735927.81</v>
      </c>
      <c r="N95" s="125">
        <v>0</v>
      </c>
      <c r="O95" s="125">
        <v>0</v>
      </c>
      <c r="P95" s="125">
        <v>0</v>
      </c>
      <c r="Q95" s="125">
        <v>0</v>
      </c>
      <c r="R95" s="125">
        <v>735927.81</v>
      </c>
      <c r="S95" s="125">
        <v>4240345.93</v>
      </c>
      <c r="T95" s="125"/>
    </row>
    <row r="96" spans="1:20" ht="15" customHeight="1" x14ac:dyDescent="0.25">
      <c r="A96" s="125" t="s">
        <v>1041</v>
      </c>
      <c r="B96" s="125" t="s">
        <v>791</v>
      </c>
      <c r="C96" s="125" t="s">
        <v>792</v>
      </c>
      <c r="D96" s="125" t="s">
        <v>656</v>
      </c>
      <c r="E96" s="125" t="s">
        <v>793</v>
      </c>
      <c r="F96" s="125" t="s">
        <v>690</v>
      </c>
      <c r="G96" s="125" t="s">
        <v>1062</v>
      </c>
      <c r="H96" s="125">
        <v>33322.31</v>
      </c>
      <c r="I96" s="125">
        <v>0</v>
      </c>
      <c r="J96" s="125">
        <v>0</v>
      </c>
      <c r="K96" s="125">
        <v>0</v>
      </c>
      <c r="L96" s="125">
        <v>0</v>
      </c>
      <c r="M96" s="125">
        <v>6997.69</v>
      </c>
      <c r="N96" s="125">
        <v>0</v>
      </c>
      <c r="O96" s="125">
        <v>0</v>
      </c>
      <c r="P96" s="125">
        <v>0</v>
      </c>
      <c r="Q96" s="125">
        <v>0</v>
      </c>
      <c r="R96" s="125">
        <v>6997.69</v>
      </c>
      <c r="S96" s="125">
        <v>40320</v>
      </c>
      <c r="T96" s="125"/>
    </row>
    <row r="97" spans="1:20" ht="15" customHeight="1" x14ac:dyDescent="0.25">
      <c r="A97" s="125" t="s">
        <v>1041</v>
      </c>
      <c r="B97" s="125" t="s">
        <v>791</v>
      </c>
      <c r="C97" s="125" t="s">
        <v>792</v>
      </c>
      <c r="D97" s="125" t="s">
        <v>656</v>
      </c>
      <c r="E97" s="125" t="s">
        <v>793</v>
      </c>
      <c r="F97" s="125" t="s">
        <v>690</v>
      </c>
      <c r="G97" s="125" t="s">
        <v>1063</v>
      </c>
      <c r="H97" s="125">
        <v>18595.04</v>
      </c>
      <c r="I97" s="125">
        <v>0</v>
      </c>
      <c r="J97" s="125">
        <v>0</v>
      </c>
      <c r="K97" s="125">
        <v>0</v>
      </c>
      <c r="L97" s="125">
        <v>0</v>
      </c>
      <c r="M97" s="125">
        <v>3904.96</v>
      </c>
      <c r="N97" s="125">
        <v>0</v>
      </c>
      <c r="O97" s="125">
        <v>0</v>
      </c>
      <c r="P97" s="125">
        <v>0</v>
      </c>
      <c r="Q97" s="125">
        <v>0</v>
      </c>
      <c r="R97" s="125">
        <v>3904.96</v>
      </c>
      <c r="S97" s="125">
        <v>22500</v>
      </c>
      <c r="T97" s="125"/>
    </row>
    <row r="98" spans="1:20" ht="15" customHeight="1" x14ac:dyDescent="0.25">
      <c r="A98" s="125" t="s">
        <v>1041</v>
      </c>
      <c r="B98" s="125" t="s">
        <v>206</v>
      </c>
      <c r="C98" s="125" t="s">
        <v>805</v>
      </c>
      <c r="D98" s="125" t="s">
        <v>656</v>
      </c>
      <c r="E98" s="125" t="s">
        <v>793</v>
      </c>
      <c r="F98" s="125" t="s">
        <v>650</v>
      </c>
      <c r="G98" s="125" t="s">
        <v>1064</v>
      </c>
      <c r="H98" s="125">
        <v>2387399.4700000002</v>
      </c>
      <c r="I98" s="125">
        <v>0</v>
      </c>
      <c r="J98" s="125">
        <v>0</v>
      </c>
      <c r="K98" s="125">
        <v>0</v>
      </c>
      <c r="L98" s="125">
        <v>0</v>
      </c>
      <c r="M98" s="125">
        <v>501353.89</v>
      </c>
      <c r="N98" s="125">
        <v>0</v>
      </c>
      <c r="O98" s="125">
        <v>0</v>
      </c>
      <c r="P98" s="125">
        <v>0</v>
      </c>
      <c r="Q98" s="125">
        <v>0</v>
      </c>
      <c r="R98" s="125">
        <v>501353.89</v>
      </c>
      <c r="S98" s="125">
        <v>2888753.36</v>
      </c>
      <c r="T98" s="125"/>
    </row>
    <row r="99" spans="1:20" ht="15" customHeight="1" x14ac:dyDescent="0.25">
      <c r="A99" s="125" t="s">
        <v>1041</v>
      </c>
      <c r="B99" s="125" t="s">
        <v>791</v>
      </c>
      <c r="C99" s="125" t="s">
        <v>792</v>
      </c>
      <c r="D99" s="125" t="s">
        <v>656</v>
      </c>
      <c r="E99" s="125" t="s">
        <v>793</v>
      </c>
      <c r="F99" s="125" t="s">
        <v>690</v>
      </c>
      <c r="G99" s="125" t="s">
        <v>1065</v>
      </c>
      <c r="H99" s="125">
        <v>18595.04</v>
      </c>
      <c r="I99" s="125">
        <v>0</v>
      </c>
      <c r="J99" s="125">
        <v>0</v>
      </c>
      <c r="K99" s="125">
        <v>0</v>
      </c>
      <c r="L99" s="125">
        <v>0</v>
      </c>
      <c r="M99" s="125">
        <v>3904.96</v>
      </c>
      <c r="N99" s="125">
        <v>0</v>
      </c>
      <c r="O99" s="125">
        <v>0</v>
      </c>
      <c r="P99" s="125">
        <v>0</v>
      </c>
      <c r="Q99" s="125">
        <v>0</v>
      </c>
      <c r="R99" s="125">
        <v>3904.96</v>
      </c>
      <c r="S99" s="125">
        <v>22500</v>
      </c>
      <c r="T99" s="125"/>
    </row>
    <row r="100" spans="1:20" ht="15" customHeight="1" x14ac:dyDescent="0.25">
      <c r="A100" s="125" t="s">
        <v>1041</v>
      </c>
      <c r="B100" s="125" t="s">
        <v>206</v>
      </c>
      <c r="C100" s="125" t="s">
        <v>805</v>
      </c>
      <c r="D100" s="125" t="s">
        <v>656</v>
      </c>
      <c r="E100" s="125" t="s">
        <v>793</v>
      </c>
      <c r="F100" s="125" t="s">
        <v>650</v>
      </c>
      <c r="G100" s="125" t="s">
        <v>1066</v>
      </c>
      <c r="H100" s="125">
        <v>25828019.379999999</v>
      </c>
      <c r="I100" s="125">
        <v>0</v>
      </c>
      <c r="J100" s="125">
        <v>0</v>
      </c>
      <c r="K100" s="125">
        <v>0</v>
      </c>
      <c r="L100" s="125">
        <v>0</v>
      </c>
      <c r="M100" s="125">
        <v>5423884.0700000003</v>
      </c>
      <c r="N100" s="125">
        <v>0</v>
      </c>
      <c r="O100" s="125">
        <v>0</v>
      </c>
      <c r="P100" s="125">
        <v>0</v>
      </c>
      <c r="Q100" s="125">
        <v>0</v>
      </c>
      <c r="R100" s="125">
        <v>5423884.0700000003</v>
      </c>
      <c r="S100" s="125">
        <v>31251903.449999999</v>
      </c>
      <c r="T100" s="125"/>
    </row>
    <row r="101" spans="1:20" ht="15" customHeight="1" x14ac:dyDescent="0.25">
      <c r="A101" s="125" t="s">
        <v>1041</v>
      </c>
      <c r="B101" s="125" t="s">
        <v>791</v>
      </c>
      <c r="C101" s="125" t="s">
        <v>792</v>
      </c>
      <c r="D101" s="125" t="s">
        <v>656</v>
      </c>
      <c r="E101" s="125" t="s">
        <v>793</v>
      </c>
      <c r="F101" s="125" t="s">
        <v>690</v>
      </c>
      <c r="G101" s="125" t="s">
        <v>1067</v>
      </c>
      <c r="H101" s="125">
        <v>14049.59</v>
      </c>
      <c r="I101" s="125">
        <v>0</v>
      </c>
      <c r="J101" s="125">
        <v>0</v>
      </c>
      <c r="K101" s="125">
        <v>0</v>
      </c>
      <c r="L101" s="125">
        <v>0</v>
      </c>
      <c r="M101" s="125">
        <v>2950.41</v>
      </c>
      <c r="N101" s="125">
        <v>0</v>
      </c>
      <c r="O101" s="125">
        <v>0</v>
      </c>
      <c r="P101" s="125">
        <v>0</v>
      </c>
      <c r="Q101" s="125">
        <v>0</v>
      </c>
      <c r="R101" s="125">
        <v>2950.41</v>
      </c>
      <c r="S101" s="125">
        <v>17000</v>
      </c>
      <c r="T101" s="125"/>
    </row>
    <row r="102" spans="1:20" ht="15" customHeight="1" x14ac:dyDescent="0.25">
      <c r="A102" s="125" t="s">
        <v>1041</v>
      </c>
      <c r="B102" s="125" t="s">
        <v>206</v>
      </c>
      <c r="C102" s="125" t="s">
        <v>805</v>
      </c>
      <c r="D102" s="125" t="s">
        <v>656</v>
      </c>
      <c r="E102" s="125" t="s">
        <v>793</v>
      </c>
      <c r="F102" s="125" t="s">
        <v>650</v>
      </c>
      <c r="G102" s="125" t="s">
        <v>1068</v>
      </c>
      <c r="H102" s="125">
        <v>1901769.83</v>
      </c>
      <c r="I102" s="125">
        <v>0</v>
      </c>
      <c r="J102" s="125">
        <v>0</v>
      </c>
      <c r="K102" s="125">
        <v>0</v>
      </c>
      <c r="L102" s="125">
        <v>0</v>
      </c>
      <c r="M102" s="125">
        <v>399371.67</v>
      </c>
      <c r="N102" s="125">
        <v>0</v>
      </c>
      <c r="O102" s="125">
        <v>0</v>
      </c>
      <c r="P102" s="125">
        <v>0</v>
      </c>
      <c r="Q102" s="125">
        <v>0</v>
      </c>
      <c r="R102" s="125">
        <v>399371.67</v>
      </c>
      <c r="S102" s="125">
        <v>2301141.5</v>
      </c>
      <c r="T102" s="125"/>
    </row>
    <row r="103" spans="1:20" ht="15" customHeight="1" x14ac:dyDescent="0.25">
      <c r="A103" s="125" t="s">
        <v>1069</v>
      </c>
      <c r="B103" s="125" t="s">
        <v>791</v>
      </c>
      <c r="C103" s="125" t="s">
        <v>792</v>
      </c>
      <c r="D103" s="125" t="s">
        <v>656</v>
      </c>
      <c r="E103" s="125" t="s">
        <v>793</v>
      </c>
      <c r="F103" s="125" t="s">
        <v>690</v>
      </c>
      <c r="G103" s="125" t="s">
        <v>1070</v>
      </c>
      <c r="H103" s="125">
        <v>42975.21</v>
      </c>
      <c r="I103" s="125">
        <v>0</v>
      </c>
      <c r="J103" s="125">
        <v>0</v>
      </c>
      <c r="K103" s="125">
        <v>0</v>
      </c>
      <c r="L103" s="125">
        <v>0</v>
      </c>
      <c r="M103" s="125">
        <v>9024.7900000000009</v>
      </c>
      <c r="N103" s="125">
        <v>0</v>
      </c>
      <c r="O103" s="125">
        <v>0</v>
      </c>
      <c r="P103" s="125">
        <v>0</v>
      </c>
      <c r="Q103" s="125">
        <v>0</v>
      </c>
      <c r="R103" s="125">
        <v>9024.7900000000009</v>
      </c>
      <c r="S103" s="125">
        <v>52000</v>
      </c>
      <c r="T103" s="125"/>
    </row>
    <row r="104" spans="1:20" ht="15" customHeight="1" x14ac:dyDescent="0.25">
      <c r="A104" s="125" t="s">
        <v>1069</v>
      </c>
      <c r="B104" s="125" t="s">
        <v>791</v>
      </c>
      <c r="C104" s="125" t="s">
        <v>792</v>
      </c>
      <c r="D104" s="125" t="s">
        <v>656</v>
      </c>
      <c r="E104" s="125" t="s">
        <v>793</v>
      </c>
      <c r="F104" s="125" t="s">
        <v>690</v>
      </c>
      <c r="G104" s="125" t="s">
        <v>1071</v>
      </c>
      <c r="H104" s="125">
        <v>18181.82</v>
      </c>
      <c r="I104" s="125">
        <v>0</v>
      </c>
      <c r="J104" s="125">
        <v>0</v>
      </c>
      <c r="K104" s="125">
        <v>0</v>
      </c>
      <c r="L104" s="125">
        <v>0</v>
      </c>
      <c r="M104" s="125">
        <v>3818.18</v>
      </c>
      <c r="N104" s="125">
        <v>0</v>
      </c>
      <c r="O104" s="125">
        <v>0</v>
      </c>
      <c r="P104" s="125">
        <v>0</v>
      </c>
      <c r="Q104" s="125">
        <v>0</v>
      </c>
      <c r="R104" s="125">
        <v>3818.18</v>
      </c>
      <c r="S104" s="125">
        <v>22000</v>
      </c>
      <c r="T104" s="125"/>
    </row>
    <row r="105" spans="1:20" ht="15" customHeight="1" x14ac:dyDescent="0.25">
      <c r="A105" s="125" t="s">
        <v>1069</v>
      </c>
      <c r="B105" s="125" t="s">
        <v>791</v>
      </c>
      <c r="C105" s="125" t="s">
        <v>792</v>
      </c>
      <c r="D105" s="125" t="s">
        <v>656</v>
      </c>
      <c r="E105" s="125" t="s">
        <v>793</v>
      </c>
      <c r="F105" s="125" t="s">
        <v>690</v>
      </c>
      <c r="G105" s="125" t="s">
        <v>1072</v>
      </c>
      <c r="H105" s="125">
        <v>27272.73</v>
      </c>
      <c r="I105" s="125">
        <v>0</v>
      </c>
      <c r="J105" s="125">
        <v>0</v>
      </c>
      <c r="K105" s="125">
        <v>0</v>
      </c>
      <c r="L105" s="125">
        <v>0</v>
      </c>
      <c r="M105" s="125">
        <v>5727.27</v>
      </c>
      <c r="N105" s="125">
        <v>0</v>
      </c>
      <c r="O105" s="125">
        <v>0</v>
      </c>
      <c r="P105" s="125">
        <v>0</v>
      </c>
      <c r="Q105" s="125">
        <v>0</v>
      </c>
      <c r="R105" s="125">
        <v>5727.27</v>
      </c>
      <c r="S105" s="125">
        <v>33000</v>
      </c>
      <c r="T105" s="125"/>
    </row>
    <row r="106" spans="1:20" ht="15" customHeight="1" x14ac:dyDescent="0.25">
      <c r="A106" s="125" t="s">
        <v>1069</v>
      </c>
      <c r="B106" s="125" t="s">
        <v>1073</v>
      </c>
      <c r="C106" s="125" t="s">
        <v>1074</v>
      </c>
      <c r="D106" s="125" t="s">
        <v>1075</v>
      </c>
      <c r="E106" s="125" t="s">
        <v>1076</v>
      </c>
      <c r="F106" s="125" t="s">
        <v>804</v>
      </c>
      <c r="G106" s="125" t="s">
        <v>1077</v>
      </c>
      <c r="H106" s="125">
        <v>11889669.42</v>
      </c>
      <c r="I106" s="125">
        <v>0</v>
      </c>
      <c r="J106" s="125">
        <v>0</v>
      </c>
      <c r="K106" s="125">
        <v>0</v>
      </c>
      <c r="L106" s="125">
        <v>0</v>
      </c>
      <c r="M106" s="125">
        <v>2496830.58</v>
      </c>
      <c r="N106" s="125">
        <v>0</v>
      </c>
      <c r="O106" s="125">
        <v>0</v>
      </c>
      <c r="P106" s="125">
        <v>0</v>
      </c>
      <c r="Q106" s="125">
        <v>0</v>
      </c>
      <c r="R106" s="125">
        <v>2496830.58</v>
      </c>
      <c r="S106" s="125">
        <v>14386500</v>
      </c>
      <c r="T106" s="125"/>
    </row>
    <row r="107" spans="1:20" ht="15" customHeight="1" x14ac:dyDescent="0.25">
      <c r="A107" s="125" t="s">
        <v>1069</v>
      </c>
      <c r="B107" s="125" t="s">
        <v>791</v>
      </c>
      <c r="C107" s="125" t="s">
        <v>792</v>
      </c>
      <c r="D107" s="125" t="s">
        <v>656</v>
      </c>
      <c r="E107" s="125" t="s">
        <v>793</v>
      </c>
      <c r="F107" s="125" t="s">
        <v>690</v>
      </c>
      <c r="G107" s="125" t="s">
        <v>1078</v>
      </c>
      <c r="H107" s="125">
        <v>24958.68</v>
      </c>
      <c r="I107" s="125">
        <v>0</v>
      </c>
      <c r="J107" s="125">
        <v>0</v>
      </c>
      <c r="K107" s="125">
        <v>0</v>
      </c>
      <c r="L107" s="125">
        <v>0</v>
      </c>
      <c r="M107" s="125">
        <v>5241.32</v>
      </c>
      <c r="N107" s="125">
        <v>0</v>
      </c>
      <c r="O107" s="125">
        <v>0</v>
      </c>
      <c r="P107" s="125">
        <v>0</v>
      </c>
      <c r="Q107" s="125">
        <v>0</v>
      </c>
      <c r="R107" s="125">
        <v>5241.32</v>
      </c>
      <c r="S107" s="125">
        <v>30200</v>
      </c>
      <c r="T107" s="125"/>
    </row>
    <row r="108" spans="1:20" ht="15" customHeight="1" x14ac:dyDescent="0.25">
      <c r="A108" s="125" t="s">
        <v>1069</v>
      </c>
      <c r="B108" s="125" t="s">
        <v>791</v>
      </c>
      <c r="C108" s="125" t="s">
        <v>792</v>
      </c>
      <c r="D108" s="125" t="s">
        <v>656</v>
      </c>
      <c r="E108" s="125" t="s">
        <v>793</v>
      </c>
      <c r="F108" s="125" t="s">
        <v>690</v>
      </c>
      <c r="G108" s="125" t="s">
        <v>1079</v>
      </c>
      <c r="H108" s="125">
        <v>28925.62</v>
      </c>
      <c r="I108" s="125">
        <v>0</v>
      </c>
      <c r="J108" s="125">
        <v>0</v>
      </c>
      <c r="K108" s="125">
        <v>0</v>
      </c>
      <c r="L108" s="125">
        <v>0</v>
      </c>
      <c r="M108" s="125">
        <v>6074.38</v>
      </c>
      <c r="N108" s="125">
        <v>0</v>
      </c>
      <c r="O108" s="125">
        <v>0</v>
      </c>
      <c r="P108" s="125">
        <v>0</v>
      </c>
      <c r="Q108" s="125">
        <v>0</v>
      </c>
      <c r="R108" s="125">
        <v>6074.38</v>
      </c>
      <c r="S108" s="125">
        <v>35000</v>
      </c>
      <c r="T108" s="125"/>
    </row>
    <row r="109" spans="1:20" ht="15" customHeight="1" x14ac:dyDescent="0.25">
      <c r="A109" s="125" t="s">
        <v>1069</v>
      </c>
      <c r="B109" s="125" t="s">
        <v>44</v>
      </c>
      <c r="C109" s="125" t="s">
        <v>823</v>
      </c>
      <c r="D109" s="125" t="s">
        <v>824</v>
      </c>
      <c r="E109" s="125" t="s">
        <v>825</v>
      </c>
      <c r="F109" s="125" t="s">
        <v>804</v>
      </c>
      <c r="G109" s="125" t="s">
        <v>1080</v>
      </c>
      <c r="H109" s="125">
        <v>1967191.15</v>
      </c>
      <c r="I109" s="125">
        <v>0</v>
      </c>
      <c r="J109" s="125">
        <v>0</v>
      </c>
      <c r="K109" s="125">
        <v>0</v>
      </c>
      <c r="L109" s="125">
        <v>0</v>
      </c>
      <c r="M109" s="125">
        <v>413110.14</v>
      </c>
      <c r="N109" s="125">
        <v>0</v>
      </c>
      <c r="O109" s="125">
        <v>0</v>
      </c>
      <c r="P109" s="125">
        <v>0</v>
      </c>
      <c r="Q109" s="125">
        <v>0</v>
      </c>
      <c r="R109" s="125">
        <v>413110.14</v>
      </c>
      <c r="S109" s="125">
        <v>2380301.29</v>
      </c>
      <c r="T109" s="125"/>
    </row>
    <row r="110" spans="1:20" ht="15" customHeight="1" x14ac:dyDescent="0.25">
      <c r="A110" s="125" t="s">
        <v>1069</v>
      </c>
      <c r="B110" s="125" t="s">
        <v>1081</v>
      </c>
      <c r="C110" s="125" t="s">
        <v>1082</v>
      </c>
      <c r="D110" s="125" t="s">
        <v>656</v>
      </c>
      <c r="E110" s="125" t="s">
        <v>793</v>
      </c>
      <c r="F110" s="125" t="s">
        <v>690</v>
      </c>
      <c r="G110" s="125" t="s">
        <v>1083</v>
      </c>
      <c r="H110" s="125">
        <v>49586.78</v>
      </c>
      <c r="I110" s="125">
        <v>0</v>
      </c>
      <c r="J110" s="125">
        <v>0</v>
      </c>
      <c r="K110" s="125">
        <v>0</v>
      </c>
      <c r="L110" s="125">
        <v>0</v>
      </c>
      <c r="M110" s="125">
        <v>10413.219999999999</v>
      </c>
      <c r="N110" s="125">
        <v>0</v>
      </c>
      <c r="O110" s="125">
        <v>0</v>
      </c>
      <c r="P110" s="125">
        <v>0</v>
      </c>
      <c r="Q110" s="125">
        <v>0</v>
      </c>
      <c r="R110" s="125">
        <v>10413.219999999999</v>
      </c>
      <c r="S110" s="125">
        <v>60000</v>
      </c>
      <c r="T110" s="125"/>
    </row>
    <row r="111" spans="1:20" ht="15" customHeight="1" x14ac:dyDescent="0.25">
      <c r="A111" s="125" t="s">
        <v>1069</v>
      </c>
      <c r="B111" s="125" t="s">
        <v>791</v>
      </c>
      <c r="C111" s="125" t="s">
        <v>792</v>
      </c>
      <c r="D111" s="125" t="s">
        <v>656</v>
      </c>
      <c r="E111" s="125" t="s">
        <v>793</v>
      </c>
      <c r="F111" s="125" t="s">
        <v>690</v>
      </c>
      <c r="G111" s="125" t="s">
        <v>1084</v>
      </c>
      <c r="H111" s="125">
        <v>10909.09</v>
      </c>
      <c r="I111" s="125">
        <v>0</v>
      </c>
      <c r="J111" s="125">
        <v>0</v>
      </c>
      <c r="K111" s="125">
        <v>0</v>
      </c>
      <c r="L111" s="125">
        <v>0</v>
      </c>
      <c r="M111" s="125">
        <v>2290.91</v>
      </c>
      <c r="N111" s="125">
        <v>0</v>
      </c>
      <c r="O111" s="125">
        <v>0</v>
      </c>
      <c r="P111" s="125">
        <v>0</v>
      </c>
      <c r="Q111" s="125">
        <v>0</v>
      </c>
      <c r="R111" s="125">
        <v>2290.91</v>
      </c>
      <c r="S111" s="125">
        <v>13200</v>
      </c>
      <c r="T111" s="125"/>
    </row>
    <row r="112" spans="1:20" ht="15" customHeight="1" x14ac:dyDescent="0.25">
      <c r="A112" s="125" t="s">
        <v>1069</v>
      </c>
      <c r="B112" s="125" t="s">
        <v>791</v>
      </c>
      <c r="C112" s="125" t="s">
        <v>792</v>
      </c>
      <c r="D112" s="125" t="s">
        <v>656</v>
      </c>
      <c r="E112" s="125" t="s">
        <v>793</v>
      </c>
      <c r="F112" s="125" t="s">
        <v>690</v>
      </c>
      <c r="G112" s="125" t="s">
        <v>1085</v>
      </c>
      <c r="H112" s="125">
        <v>18595.04</v>
      </c>
      <c r="I112" s="125">
        <v>0</v>
      </c>
      <c r="J112" s="125">
        <v>0</v>
      </c>
      <c r="K112" s="125">
        <v>0</v>
      </c>
      <c r="L112" s="125">
        <v>0</v>
      </c>
      <c r="M112" s="125">
        <v>3904.96</v>
      </c>
      <c r="N112" s="125">
        <v>0</v>
      </c>
      <c r="O112" s="125">
        <v>0</v>
      </c>
      <c r="P112" s="125">
        <v>0</v>
      </c>
      <c r="Q112" s="125">
        <v>0</v>
      </c>
      <c r="R112" s="125">
        <v>3904.96</v>
      </c>
      <c r="S112" s="125">
        <v>22500</v>
      </c>
      <c r="T112" s="125"/>
    </row>
    <row r="113" spans="1:20" ht="15" customHeight="1" x14ac:dyDescent="0.25">
      <c r="A113" s="125" t="s">
        <v>1069</v>
      </c>
      <c r="B113" s="125" t="s">
        <v>791</v>
      </c>
      <c r="C113" s="125" t="s">
        <v>792</v>
      </c>
      <c r="D113" s="125" t="s">
        <v>656</v>
      </c>
      <c r="E113" s="125" t="s">
        <v>793</v>
      </c>
      <c r="F113" s="125" t="s">
        <v>690</v>
      </c>
      <c r="G113" s="125" t="s">
        <v>1086</v>
      </c>
      <c r="H113" s="125">
        <v>28925.62</v>
      </c>
      <c r="I113" s="125">
        <v>0</v>
      </c>
      <c r="J113" s="125">
        <v>0</v>
      </c>
      <c r="K113" s="125">
        <v>0</v>
      </c>
      <c r="L113" s="125">
        <v>0</v>
      </c>
      <c r="M113" s="125">
        <v>6074.38</v>
      </c>
      <c r="N113" s="125">
        <v>0</v>
      </c>
      <c r="O113" s="125">
        <v>0</v>
      </c>
      <c r="P113" s="125">
        <v>0</v>
      </c>
      <c r="Q113" s="125">
        <v>0</v>
      </c>
      <c r="R113" s="125">
        <v>6074.38</v>
      </c>
      <c r="S113" s="125">
        <v>35000</v>
      </c>
      <c r="T113" s="125"/>
    </row>
    <row r="114" spans="1:20" ht="15" customHeight="1" x14ac:dyDescent="0.25">
      <c r="A114" s="125" t="s">
        <v>1069</v>
      </c>
      <c r="B114" s="125" t="s">
        <v>791</v>
      </c>
      <c r="C114" s="125" t="s">
        <v>792</v>
      </c>
      <c r="D114" s="125" t="s">
        <v>656</v>
      </c>
      <c r="E114" s="125" t="s">
        <v>793</v>
      </c>
      <c r="F114" s="125" t="s">
        <v>690</v>
      </c>
      <c r="G114" s="125" t="s">
        <v>1087</v>
      </c>
      <c r="H114" s="125">
        <v>24793.39</v>
      </c>
      <c r="I114" s="125">
        <v>0</v>
      </c>
      <c r="J114" s="125">
        <v>0</v>
      </c>
      <c r="K114" s="125">
        <v>0</v>
      </c>
      <c r="L114" s="125">
        <v>0</v>
      </c>
      <c r="M114" s="125">
        <v>5206.6099999999997</v>
      </c>
      <c r="N114" s="125">
        <v>0</v>
      </c>
      <c r="O114" s="125">
        <v>0</v>
      </c>
      <c r="P114" s="125">
        <v>0</v>
      </c>
      <c r="Q114" s="125">
        <v>0</v>
      </c>
      <c r="R114" s="125">
        <v>5206.6099999999997</v>
      </c>
      <c r="S114" s="125">
        <v>30000</v>
      </c>
      <c r="T114" s="125"/>
    </row>
    <row r="115" spans="1:20" ht="15" customHeight="1" x14ac:dyDescent="0.25">
      <c r="A115" s="125" t="s">
        <v>1069</v>
      </c>
      <c r="B115" s="125" t="s">
        <v>819</v>
      </c>
      <c r="C115" s="125" t="s">
        <v>820</v>
      </c>
      <c r="D115" s="125" t="s">
        <v>656</v>
      </c>
      <c r="E115" s="125" t="s">
        <v>793</v>
      </c>
      <c r="F115" s="125" t="s">
        <v>650</v>
      </c>
      <c r="G115" s="125" t="s">
        <v>1088</v>
      </c>
      <c r="H115" s="125">
        <v>-404376.03</v>
      </c>
      <c r="I115" s="125">
        <v>0</v>
      </c>
      <c r="J115" s="125">
        <v>0</v>
      </c>
      <c r="K115" s="125">
        <v>0</v>
      </c>
      <c r="L115" s="125">
        <v>0</v>
      </c>
      <c r="M115" s="125">
        <v>-84918.97</v>
      </c>
      <c r="N115" s="125">
        <v>0</v>
      </c>
      <c r="O115" s="125">
        <v>0</v>
      </c>
      <c r="P115" s="125">
        <v>0</v>
      </c>
      <c r="Q115" s="125">
        <v>0</v>
      </c>
      <c r="R115" s="125">
        <v>-84918.97</v>
      </c>
      <c r="S115" s="125">
        <v>-489295</v>
      </c>
      <c r="T115" s="125"/>
    </row>
    <row r="116" spans="1:20" ht="15" customHeight="1" x14ac:dyDescent="0.25">
      <c r="A116" s="125" t="s">
        <v>1069</v>
      </c>
      <c r="B116" s="125" t="s">
        <v>791</v>
      </c>
      <c r="C116" s="125" t="s">
        <v>792</v>
      </c>
      <c r="D116" s="125" t="s">
        <v>656</v>
      </c>
      <c r="E116" s="125" t="s">
        <v>793</v>
      </c>
      <c r="F116" s="125" t="s">
        <v>690</v>
      </c>
      <c r="G116" s="125" t="s">
        <v>1089</v>
      </c>
      <c r="H116" s="125">
        <v>11570.25</v>
      </c>
      <c r="I116" s="125">
        <v>0</v>
      </c>
      <c r="J116" s="125">
        <v>0</v>
      </c>
      <c r="K116" s="125">
        <v>0</v>
      </c>
      <c r="L116" s="125">
        <v>0</v>
      </c>
      <c r="M116" s="125">
        <v>2429.75</v>
      </c>
      <c r="N116" s="125">
        <v>0</v>
      </c>
      <c r="O116" s="125">
        <v>0</v>
      </c>
      <c r="P116" s="125">
        <v>0</v>
      </c>
      <c r="Q116" s="125">
        <v>0</v>
      </c>
      <c r="R116" s="125">
        <v>2429.75</v>
      </c>
      <c r="S116" s="125">
        <v>14000</v>
      </c>
      <c r="T116" s="125"/>
    </row>
    <row r="117" spans="1:20" ht="15" customHeight="1" x14ac:dyDescent="0.25">
      <c r="A117" s="125" t="s">
        <v>1069</v>
      </c>
      <c r="B117" s="125" t="s">
        <v>819</v>
      </c>
      <c r="C117" s="125" t="s">
        <v>820</v>
      </c>
      <c r="D117" s="125" t="s">
        <v>656</v>
      </c>
      <c r="E117" s="125" t="s">
        <v>793</v>
      </c>
      <c r="F117" s="125" t="s">
        <v>650</v>
      </c>
      <c r="G117" s="125" t="s">
        <v>1090</v>
      </c>
      <c r="H117" s="125">
        <v>412059.17</v>
      </c>
      <c r="I117" s="125">
        <v>0</v>
      </c>
      <c r="J117" s="125">
        <v>0</v>
      </c>
      <c r="K117" s="125">
        <v>0</v>
      </c>
      <c r="L117" s="125">
        <v>0</v>
      </c>
      <c r="M117" s="125">
        <v>86532.42</v>
      </c>
      <c r="N117" s="125">
        <v>0</v>
      </c>
      <c r="O117" s="125">
        <v>0</v>
      </c>
      <c r="P117" s="125">
        <v>0</v>
      </c>
      <c r="Q117" s="125">
        <v>0</v>
      </c>
      <c r="R117" s="125">
        <v>86532.42</v>
      </c>
      <c r="S117" s="125">
        <v>498591.59</v>
      </c>
      <c r="T117" s="125"/>
    </row>
    <row r="118" spans="1:20" ht="15" customHeight="1" x14ac:dyDescent="0.25">
      <c r="A118" s="125" t="s">
        <v>1069</v>
      </c>
      <c r="B118" s="125" t="s">
        <v>791</v>
      </c>
      <c r="C118" s="125" t="s">
        <v>792</v>
      </c>
      <c r="D118" s="125" t="s">
        <v>656</v>
      </c>
      <c r="E118" s="125" t="s">
        <v>793</v>
      </c>
      <c r="F118" s="125" t="s">
        <v>690</v>
      </c>
      <c r="G118" s="125" t="s">
        <v>1091</v>
      </c>
      <c r="H118" s="125">
        <v>16528.93</v>
      </c>
      <c r="I118" s="125">
        <v>0</v>
      </c>
      <c r="J118" s="125">
        <v>0</v>
      </c>
      <c r="K118" s="125">
        <v>0</v>
      </c>
      <c r="L118" s="125">
        <v>0</v>
      </c>
      <c r="M118" s="125">
        <v>3471.07</v>
      </c>
      <c r="N118" s="125">
        <v>0</v>
      </c>
      <c r="O118" s="125">
        <v>0</v>
      </c>
      <c r="P118" s="125">
        <v>0</v>
      </c>
      <c r="Q118" s="125">
        <v>0</v>
      </c>
      <c r="R118" s="125">
        <v>3471.07</v>
      </c>
      <c r="S118" s="125">
        <v>20000</v>
      </c>
      <c r="T118" s="125"/>
    </row>
    <row r="119" spans="1:20" ht="15" customHeight="1" x14ac:dyDescent="0.25">
      <c r="A119" s="125" t="s">
        <v>1069</v>
      </c>
      <c r="B119" s="125" t="s">
        <v>791</v>
      </c>
      <c r="C119" s="125" t="s">
        <v>792</v>
      </c>
      <c r="D119" s="125" t="s">
        <v>656</v>
      </c>
      <c r="E119" s="125" t="s">
        <v>793</v>
      </c>
      <c r="F119" s="125" t="s">
        <v>690</v>
      </c>
      <c r="G119" s="125" t="s">
        <v>1092</v>
      </c>
      <c r="H119" s="125">
        <v>28925.62</v>
      </c>
      <c r="I119" s="125">
        <v>0</v>
      </c>
      <c r="J119" s="125">
        <v>0</v>
      </c>
      <c r="K119" s="125">
        <v>0</v>
      </c>
      <c r="L119" s="125">
        <v>0</v>
      </c>
      <c r="M119" s="125">
        <v>6074.38</v>
      </c>
      <c r="N119" s="125">
        <v>0</v>
      </c>
      <c r="O119" s="125">
        <v>0</v>
      </c>
      <c r="P119" s="125">
        <v>0</v>
      </c>
      <c r="Q119" s="125">
        <v>0</v>
      </c>
      <c r="R119" s="125">
        <v>6074.38</v>
      </c>
      <c r="S119" s="125">
        <v>35000</v>
      </c>
      <c r="T119" s="125"/>
    </row>
    <row r="120" spans="1:20" ht="15" customHeight="1" x14ac:dyDescent="0.25">
      <c r="A120" s="125" t="s">
        <v>1093</v>
      </c>
      <c r="B120" s="125" t="s">
        <v>791</v>
      </c>
      <c r="C120" s="125" t="s">
        <v>792</v>
      </c>
      <c r="D120" s="125" t="s">
        <v>656</v>
      </c>
      <c r="E120" s="125" t="s">
        <v>793</v>
      </c>
      <c r="F120" s="125" t="s">
        <v>690</v>
      </c>
      <c r="G120" s="125" t="s">
        <v>1094</v>
      </c>
      <c r="H120" s="125">
        <v>14214.88</v>
      </c>
      <c r="I120" s="125">
        <v>0</v>
      </c>
      <c r="J120" s="125">
        <v>0</v>
      </c>
      <c r="K120" s="125">
        <v>0</v>
      </c>
      <c r="L120" s="125">
        <v>0</v>
      </c>
      <c r="M120" s="125">
        <v>2985.12</v>
      </c>
      <c r="N120" s="125">
        <v>0</v>
      </c>
      <c r="O120" s="125">
        <v>0</v>
      </c>
      <c r="P120" s="125">
        <v>0</v>
      </c>
      <c r="Q120" s="125">
        <v>0</v>
      </c>
      <c r="R120" s="125">
        <v>2985.12</v>
      </c>
      <c r="S120" s="125">
        <v>17200</v>
      </c>
      <c r="T120" s="125"/>
    </row>
    <row r="121" spans="1:20" ht="15" customHeight="1" x14ac:dyDescent="0.25">
      <c r="A121" s="125" t="s">
        <v>1093</v>
      </c>
      <c r="B121" s="125" t="s">
        <v>791</v>
      </c>
      <c r="C121" s="125" t="s">
        <v>792</v>
      </c>
      <c r="D121" s="125" t="s">
        <v>656</v>
      </c>
      <c r="E121" s="125" t="s">
        <v>793</v>
      </c>
      <c r="F121" s="125" t="s">
        <v>690</v>
      </c>
      <c r="G121" s="125" t="s">
        <v>1095</v>
      </c>
      <c r="H121" s="125">
        <v>28099.17</v>
      </c>
      <c r="I121" s="125">
        <v>0</v>
      </c>
      <c r="J121" s="125">
        <v>0</v>
      </c>
      <c r="K121" s="125">
        <v>0</v>
      </c>
      <c r="L121" s="125">
        <v>0</v>
      </c>
      <c r="M121" s="125">
        <v>5900.83</v>
      </c>
      <c r="N121" s="125">
        <v>0</v>
      </c>
      <c r="O121" s="125">
        <v>0</v>
      </c>
      <c r="P121" s="125">
        <v>0</v>
      </c>
      <c r="Q121" s="125">
        <v>0</v>
      </c>
      <c r="R121" s="125">
        <v>5900.83</v>
      </c>
      <c r="S121" s="125">
        <v>34000</v>
      </c>
      <c r="T121" s="125"/>
    </row>
    <row r="122" spans="1:20" ht="15" customHeight="1" x14ac:dyDescent="0.25">
      <c r="A122" s="125" t="s">
        <v>1093</v>
      </c>
      <c r="B122" s="125" t="s">
        <v>791</v>
      </c>
      <c r="C122" s="125" t="s">
        <v>792</v>
      </c>
      <c r="D122" s="125" t="s">
        <v>656</v>
      </c>
      <c r="E122" s="125" t="s">
        <v>793</v>
      </c>
      <c r="F122" s="125" t="s">
        <v>690</v>
      </c>
      <c r="G122" s="125" t="s">
        <v>1096</v>
      </c>
      <c r="H122" s="125">
        <v>14462.81</v>
      </c>
      <c r="I122" s="125">
        <v>0</v>
      </c>
      <c r="J122" s="125">
        <v>0</v>
      </c>
      <c r="K122" s="125">
        <v>0</v>
      </c>
      <c r="L122" s="125">
        <v>0</v>
      </c>
      <c r="M122" s="125">
        <v>3037.19</v>
      </c>
      <c r="N122" s="125">
        <v>0</v>
      </c>
      <c r="O122" s="125">
        <v>0</v>
      </c>
      <c r="P122" s="125">
        <v>0</v>
      </c>
      <c r="Q122" s="125">
        <v>0</v>
      </c>
      <c r="R122" s="125">
        <v>3037.19</v>
      </c>
      <c r="S122" s="125">
        <v>17500</v>
      </c>
      <c r="T122" s="125"/>
    </row>
    <row r="123" spans="1:20" ht="15" customHeight="1" x14ac:dyDescent="0.25">
      <c r="A123" s="125" t="s">
        <v>1093</v>
      </c>
      <c r="B123" s="125" t="s">
        <v>867</v>
      </c>
      <c r="C123" s="125" t="s">
        <v>868</v>
      </c>
      <c r="D123" s="125" t="s">
        <v>652</v>
      </c>
      <c r="E123" s="125" t="s">
        <v>869</v>
      </c>
      <c r="F123" s="125" t="s">
        <v>690</v>
      </c>
      <c r="G123" s="125" t="s">
        <v>1097</v>
      </c>
      <c r="H123" s="125">
        <v>28099.17</v>
      </c>
      <c r="I123" s="125">
        <v>0</v>
      </c>
      <c r="J123" s="125">
        <v>0</v>
      </c>
      <c r="K123" s="125">
        <v>0</v>
      </c>
      <c r="L123" s="125">
        <v>0</v>
      </c>
      <c r="M123" s="125">
        <v>5900.83</v>
      </c>
      <c r="N123" s="125">
        <v>0</v>
      </c>
      <c r="O123" s="125">
        <v>0</v>
      </c>
      <c r="P123" s="125">
        <v>0</v>
      </c>
      <c r="Q123" s="125">
        <v>0</v>
      </c>
      <c r="R123" s="125">
        <v>5900.83</v>
      </c>
      <c r="S123" s="125">
        <v>34000</v>
      </c>
      <c r="T123" s="125"/>
    </row>
    <row r="124" spans="1:20" ht="15" customHeight="1" x14ac:dyDescent="0.25">
      <c r="A124" s="125" t="s">
        <v>1093</v>
      </c>
      <c r="B124" s="125" t="s">
        <v>839</v>
      </c>
      <c r="C124" s="125"/>
      <c r="D124" s="125" t="s">
        <v>652</v>
      </c>
      <c r="E124" s="125" t="s">
        <v>793</v>
      </c>
      <c r="F124" s="125" t="s">
        <v>690</v>
      </c>
      <c r="G124" s="125" t="s">
        <v>1098</v>
      </c>
      <c r="H124" s="125">
        <v>17355.37</v>
      </c>
      <c r="I124" s="125">
        <v>0</v>
      </c>
      <c r="J124" s="125">
        <v>0</v>
      </c>
      <c r="K124" s="125">
        <v>0</v>
      </c>
      <c r="L124" s="125">
        <v>0</v>
      </c>
      <c r="M124" s="125">
        <v>3644.63</v>
      </c>
      <c r="N124" s="125">
        <v>0</v>
      </c>
      <c r="O124" s="125">
        <v>0</v>
      </c>
      <c r="P124" s="125">
        <v>0</v>
      </c>
      <c r="Q124" s="125">
        <v>0</v>
      </c>
      <c r="R124" s="125">
        <v>3644.63</v>
      </c>
      <c r="S124" s="125">
        <v>21000</v>
      </c>
      <c r="T124" s="125"/>
    </row>
    <row r="125" spans="1:20" ht="15" customHeight="1" x14ac:dyDescent="0.25">
      <c r="A125" s="125" t="s">
        <v>1093</v>
      </c>
      <c r="B125" s="125" t="s">
        <v>846</v>
      </c>
      <c r="C125" s="125" t="s">
        <v>847</v>
      </c>
      <c r="D125" s="125" t="s">
        <v>656</v>
      </c>
      <c r="E125" s="125" t="s">
        <v>793</v>
      </c>
      <c r="F125" s="125" t="s">
        <v>690</v>
      </c>
      <c r="G125" s="125" t="s">
        <v>1099</v>
      </c>
      <c r="H125" s="125">
        <v>28925.62</v>
      </c>
      <c r="I125" s="125">
        <v>0</v>
      </c>
      <c r="J125" s="125">
        <v>0</v>
      </c>
      <c r="K125" s="125">
        <v>0</v>
      </c>
      <c r="L125" s="125">
        <v>0</v>
      </c>
      <c r="M125" s="125">
        <v>6074.38</v>
      </c>
      <c r="N125" s="125">
        <v>0</v>
      </c>
      <c r="O125" s="125">
        <v>0</v>
      </c>
      <c r="P125" s="125">
        <v>0</v>
      </c>
      <c r="Q125" s="125">
        <v>0</v>
      </c>
      <c r="R125" s="125">
        <v>6074.38</v>
      </c>
      <c r="S125" s="125">
        <v>35000</v>
      </c>
      <c r="T125" s="125"/>
    </row>
    <row r="126" spans="1:20" ht="15" customHeight="1" x14ac:dyDescent="0.25">
      <c r="A126" s="125" t="s">
        <v>1093</v>
      </c>
      <c r="B126" s="125" t="s">
        <v>833</v>
      </c>
      <c r="C126" s="125" t="s">
        <v>834</v>
      </c>
      <c r="D126" s="125" t="s">
        <v>652</v>
      </c>
      <c r="E126" s="125" t="s">
        <v>835</v>
      </c>
      <c r="F126" s="125" t="s">
        <v>690</v>
      </c>
      <c r="G126" s="125" t="s">
        <v>1100</v>
      </c>
      <c r="H126" s="125">
        <v>8603.31</v>
      </c>
      <c r="I126" s="125">
        <v>0</v>
      </c>
      <c r="J126" s="125">
        <v>0</v>
      </c>
      <c r="K126" s="125">
        <v>0</v>
      </c>
      <c r="L126" s="125">
        <v>0</v>
      </c>
      <c r="M126" s="125">
        <v>1806.69</v>
      </c>
      <c r="N126" s="125">
        <v>0</v>
      </c>
      <c r="O126" s="125">
        <v>0</v>
      </c>
      <c r="P126" s="125">
        <v>0</v>
      </c>
      <c r="Q126" s="125">
        <v>0</v>
      </c>
      <c r="R126" s="125">
        <v>1806.69</v>
      </c>
      <c r="S126" s="125">
        <v>10410</v>
      </c>
      <c r="T126" s="125"/>
    </row>
    <row r="127" spans="1:20" ht="15" customHeight="1" x14ac:dyDescent="0.25">
      <c r="A127" s="125" t="s">
        <v>1093</v>
      </c>
      <c r="B127" s="125" t="s">
        <v>821</v>
      </c>
      <c r="C127" s="125" t="s">
        <v>822</v>
      </c>
      <c r="D127" s="125" t="s">
        <v>656</v>
      </c>
      <c r="E127" s="125" t="s">
        <v>793</v>
      </c>
      <c r="F127" s="125" t="s">
        <v>690</v>
      </c>
      <c r="G127" s="125" t="s">
        <v>1101</v>
      </c>
      <c r="H127" s="125">
        <v>26033.06</v>
      </c>
      <c r="I127" s="125">
        <v>0</v>
      </c>
      <c r="J127" s="125">
        <v>0</v>
      </c>
      <c r="K127" s="125">
        <v>0</v>
      </c>
      <c r="L127" s="125">
        <v>0</v>
      </c>
      <c r="M127" s="125">
        <v>5466.94</v>
      </c>
      <c r="N127" s="125">
        <v>0</v>
      </c>
      <c r="O127" s="125">
        <v>0</v>
      </c>
      <c r="P127" s="125">
        <v>0</v>
      </c>
      <c r="Q127" s="125">
        <v>0</v>
      </c>
      <c r="R127" s="125">
        <v>5466.94</v>
      </c>
      <c r="S127" s="125">
        <v>31500</v>
      </c>
      <c r="T127" s="125"/>
    </row>
    <row r="128" spans="1:20" ht="15" customHeight="1" x14ac:dyDescent="0.25">
      <c r="A128" s="125" t="s">
        <v>1093</v>
      </c>
      <c r="B128" s="125" t="s">
        <v>1102</v>
      </c>
      <c r="C128" s="125" t="s">
        <v>1103</v>
      </c>
      <c r="D128" s="125" t="s">
        <v>656</v>
      </c>
      <c r="E128" s="125" t="s">
        <v>793</v>
      </c>
      <c r="F128" s="125" t="s">
        <v>690</v>
      </c>
      <c r="G128" s="125" t="s">
        <v>1104</v>
      </c>
      <c r="H128" s="125">
        <v>39669.42</v>
      </c>
      <c r="I128" s="125">
        <v>0</v>
      </c>
      <c r="J128" s="125">
        <v>0</v>
      </c>
      <c r="K128" s="125">
        <v>0</v>
      </c>
      <c r="L128" s="125">
        <v>0</v>
      </c>
      <c r="M128" s="125">
        <v>8330.58</v>
      </c>
      <c r="N128" s="125">
        <v>0</v>
      </c>
      <c r="O128" s="125">
        <v>0</v>
      </c>
      <c r="P128" s="125">
        <v>0</v>
      </c>
      <c r="Q128" s="125">
        <v>0</v>
      </c>
      <c r="R128" s="125">
        <v>8330.58</v>
      </c>
      <c r="S128" s="125">
        <v>48000</v>
      </c>
      <c r="T128" s="125"/>
    </row>
    <row r="129" spans="1:20" ht="15" customHeight="1" x14ac:dyDescent="0.25">
      <c r="A129" s="125" t="s">
        <v>1093</v>
      </c>
      <c r="B129" s="125" t="s">
        <v>838</v>
      </c>
      <c r="C129" s="125"/>
      <c r="D129" s="125" t="s">
        <v>652</v>
      </c>
      <c r="E129" s="125" t="s">
        <v>793</v>
      </c>
      <c r="F129" s="125" t="s">
        <v>690</v>
      </c>
      <c r="G129" s="125" t="s">
        <v>1105</v>
      </c>
      <c r="H129" s="125">
        <v>58677.69</v>
      </c>
      <c r="I129" s="125">
        <v>0</v>
      </c>
      <c r="J129" s="125">
        <v>0</v>
      </c>
      <c r="K129" s="125">
        <v>0</v>
      </c>
      <c r="L129" s="125">
        <v>0</v>
      </c>
      <c r="M129" s="125">
        <v>12322.31</v>
      </c>
      <c r="N129" s="125">
        <v>0</v>
      </c>
      <c r="O129" s="125">
        <v>0</v>
      </c>
      <c r="P129" s="125">
        <v>0</v>
      </c>
      <c r="Q129" s="125">
        <v>0</v>
      </c>
      <c r="R129" s="125">
        <v>12322.31</v>
      </c>
      <c r="S129" s="125">
        <v>71000</v>
      </c>
      <c r="T129" s="125"/>
    </row>
    <row r="130" spans="1:20" ht="15" customHeight="1" x14ac:dyDescent="0.25">
      <c r="A130" s="125" t="s">
        <v>1093</v>
      </c>
      <c r="B130" s="125" t="s">
        <v>839</v>
      </c>
      <c r="C130" s="125"/>
      <c r="D130" s="125" t="s">
        <v>652</v>
      </c>
      <c r="E130" s="125" t="s">
        <v>793</v>
      </c>
      <c r="F130" s="125" t="s">
        <v>690</v>
      </c>
      <c r="G130" s="125" t="s">
        <v>1106</v>
      </c>
      <c r="H130" s="125">
        <v>39669.42</v>
      </c>
      <c r="I130" s="125">
        <v>0</v>
      </c>
      <c r="J130" s="125">
        <v>0</v>
      </c>
      <c r="K130" s="125">
        <v>0</v>
      </c>
      <c r="L130" s="125">
        <v>0</v>
      </c>
      <c r="M130" s="125">
        <v>8330.58</v>
      </c>
      <c r="N130" s="125">
        <v>0</v>
      </c>
      <c r="O130" s="125">
        <v>0</v>
      </c>
      <c r="P130" s="125">
        <v>0</v>
      </c>
      <c r="Q130" s="125">
        <v>0</v>
      </c>
      <c r="R130" s="125">
        <v>8330.58</v>
      </c>
      <c r="S130" s="125">
        <v>48000</v>
      </c>
      <c r="T130" s="125"/>
    </row>
    <row r="131" spans="1:20" ht="15" customHeight="1" x14ac:dyDescent="0.25">
      <c r="A131" s="125" t="s">
        <v>1093</v>
      </c>
      <c r="B131" s="125" t="s">
        <v>836</v>
      </c>
      <c r="C131" s="125" t="s">
        <v>837</v>
      </c>
      <c r="D131" s="125" t="s">
        <v>656</v>
      </c>
      <c r="E131" s="125" t="s">
        <v>1107</v>
      </c>
      <c r="F131" s="125" t="s">
        <v>690</v>
      </c>
      <c r="G131" s="125" t="s">
        <v>1108</v>
      </c>
      <c r="H131" s="125">
        <v>36363.64</v>
      </c>
      <c r="I131" s="125">
        <v>0</v>
      </c>
      <c r="J131" s="125">
        <v>0</v>
      </c>
      <c r="K131" s="125">
        <v>0</v>
      </c>
      <c r="L131" s="125">
        <v>0</v>
      </c>
      <c r="M131" s="125">
        <v>7636.36</v>
      </c>
      <c r="N131" s="125">
        <v>0</v>
      </c>
      <c r="O131" s="125">
        <v>0</v>
      </c>
      <c r="P131" s="125">
        <v>0</v>
      </c>
      <c r="Q131" s="125">
        <v>0</v>
      </c>
      <c r="R131" s="125">
        <v>7636.36</v>
      </c>
      <c r="S131" s="125">
        <v>44000</v>
      </c>
      <c r="T131" s="125"/>
    </row>
    <row r="132" spans="1:20" ht="15" customHeight="1" x14ac:dyDescent="0.25">
      <c r="A132" s="125" t="s">
        <v>1093</v>
      </c>
      <c r="B132" s="125" t="s">
        <v>842</v>
      </c>
      <c r="C132" s="125" t="s">
        <v>843</v>
      </c>
      <c r="D132" s="125" t="s">
        <v>652</v>
      </c>
      <c r="E132" s="125" t="s">
        <v>793</v>
      </c>
      <c r="F132" s="125" t="s">
        <v>690</v>
      </c>
      <c r="G132" s="125" t="s">
        <v>1109</v>
      </c>
      <c r="H132" s="125">
        <v>52066.12</v>
      </c>
      <c r="I132" s="125">
        <v>0</v>
      </c>
      <c r="J132" s="125">
        <v>0</v>
      </c>
      <c r="K132" s="125">
        <v>0</v>
      </c>
      <c r="L132" s="125">
        <v>0</v>
      </c>
      <c r="M132" s="125">
        <v>10933.88</v>
      </c>
      <c r="N132" s="125">
        <v>0</v>
      </c>
      <c r="O132" s="125">
        <v>0</v>
      </c>
      <c r="P132" s="125">
        <v>0</v>
      </c>
      <c r="Q132" s="125">
        <v>0</v>
      </c>
      <c r="R132" s="125">
        <v>10933.88</v>
      </c>
      <c r="S132" s="125">
        <v>63000</v>
      </c>
      <c r="T132" s="125"/>
    </row>
    <row r="133" spans="1:20" ht="15" customHeight="1" x14ac:dyDescent="0.25">
      <c r="A133" s="125" t="s">
        <v>1093</v>
      </c>
      <c r="B133" s="125" t="s">
        <v>844</v>
      </c>
      <c r="C133" s="125" t="s">
        <v>845</v>
      </c>
      <c r="D133" s="125" t="s">
        <v>656</v>
      </c>
      <c r="E133" s="125" t="s">
        <v>793</v>
      </c>
      <c r="F133" s="125" t="s">
        <v>690</v>
      </c>
      <c r="G133" s="125" t="s">
        <v>1110</v>
      </c>
      <c r="H133" s="125">
        <v>37190.080000000002</v>
      </c>
      <c r="I133" s="125">
        <v>0</v>
      </c>
      <c r="J133" s="125">
        <v>0</v>
      </c>
      <c r="K133" s="125">
        <v>0</v>
      </c>
      <c r="L133" s="125">
        <v>0</v>
      </c>
      <c r="M133" s="125">
        <v>7809.92</v>
      </c>
      <c r="N133" s="125">
        <v>0</v>
      </c>
      <c r="O133" s="125">
        <v>0</v>
      </c>
      <c r="P133" s="125">
        <v>0</v>
      </c>
      <c r="Q133" s="125">
        <v>0</v>
      </c>
      <c r="R133" s="125">
        <v>7809.92</v>
      </c>
      <c r="S133" s="125">
        <v>45000</v>
      </c>
      <c r="T133" s="125"/>
    </row>
    <row r="134" spans="1:20" ht="15" customHeight="1" x14ac:dyDescent="0.25">
      <c r="A134" s="125" t="s">
        <v>1093</v>
      </c>
      <c r="B134" s="125" t="s">
        <v>791</v>
      </c>
      <c r="C134" s="125" t="s">
        <v>792</v>
      </c>
      <c r="D134" s="125" t="s">
        <v>656</v>
      </c>
      <c r="E134" s="125" t="s">
        <v>793</v>
      </c>
      <c r="F134" s="125" t="s">
        <v>690</v>
      </c>
      <c r="G134" s="125" t="s">
        <v>1111</v>
      </c>
      <c r="H134" s="125">
        <v>23966.94</v>
      </c>
      <c r="I134" s="125">
        <v>0</v>
      </c>
      <c r="J134" s="125">
        <v>0</v>
      </c>
      <c r="K134" s="125">
        <v>0</v>
      </c>
      <c r="L134" s="125">
        <v>0</v>
      </c>
      <c r="M134" s="125">
        <v>5033.0600000000004</v>
      </c>
      <c r="N134" s="125">
        <v>0</v>
      </c>
      <c r="O134" s="125">
        <v>0</v>
      </c>
      <c r="P134" s="125">
        <v>0</v>
      </c>
      <c r="Q134" s="125">
        <v>0</v>
      </c>
      <c r="R134" s="125">
        <v>5033.0600000000004</v>
      </c>
      <c r="S134" s="125">
        <v>29000</v>
      </c>
      <c r="T134" s="125"/>
    </row>
    <row r="135" spans="1:20" ht="15" customHeight="1" x14ac:dyDescent="0.25">
      <c r="A135" s="125" t="s">
        <v>1093</v>
      </c>
      <c r="B135" s="125" t="s">
        <v>791</v>
      </c>
      <c r="C135" s="125" t="s">
        <v>792</v>
      </c>
      <c r="D135" s="125" t="s">
        <v>656</v>
      </c>
      <c r="E135" s="125" t="s">
        <v>793</v>
      </c>
      <c r="F135" s="125" t="s">
        <v>690</v>
      </c>
      <c r="G135" s="125" t="s">
        <v>1112</v>
      </c>
      <c r="H135" s="125">
        <v>13884.3</v>
      </c>
      <c r="I135" s="125">
        <v>0</v>
      </c>
      <c r="J135" s="125">
        <v>0</v>
      </c>
      <c r="K135" s="125">
        <v>0</v>
      </c>
      <c r="L135" s="125">
        <v>0</v>
      </c>
      <c r="M135" s="125">
        <v>2915.7</v>
      </c>
      <c r="N135" s="125">
        <v>0</v>
      </c>
      <c r="O135" s="125">
        <v>0</v>
      </c>
      <c r="P135" s="125">
        <v>0</v>
      </c>
      <c r="Q135" s="125">
        <v>0</v>
      </c>
      <c r="R135" s="125">
        <v>2915.7</v>
      </c>
      <c r="S135" s="125">
        <v>16800</v>
      </c>
      <c r="T135" s="125"/>
    </row>
    <row r="136" spans="1:20" ht="15" customHeight="1" x14ac:dyDescent="0.25">
      <c r="A136" s="125" t="s">
        <v>1093</v>
      </c>
      <c r="B136" s="125" t="s">
        <v>791</v>
      </c>
      <c r="C136" s="125" t="s">
        <v>792</v>
      </c>
      <c r="D136" s="125" t="s">
        <v>656</v>
      </c>
      <c r="E136" s="125" t="s">
        <v>793</v>
      </c>
      <c r="F136" s="125" t="s">
        <v>690</v>
      </c>
      <c r="G136" s="125" t="s">
        <v>1113</v>
      </c>
      <c r="H136" s="125">
        <v>14380.17</v>
      </c>
      <c r="I136" s="125">
        <v>0</v>
      </c>
      <c r="J136" s="125">
        <v>0</v>
      </c>
      <c r="K136" s="125">
        <v>0</v>
      </c>
      <c r="L136" s="125">
        <v>0</v>
      </c>
      <c r="M136" s="125">
        <v>3019.83</v>
      </c>
      <c r="N136" s="125">
        <v>0</v>
      </c>
      <c r="O136" s="125">
        <v>0</v>
      </c>
      <c r="P136" s="125">
        <v>0</v>
      </c>
      <c r="Q136" s="125">
        <v>0</v>
      </c>
      <c r="R136" s="125">
        <v>3019.83</v>
      </c>
      <c r="S136" s="125">
        <v>17400</v>
      </c>
      <c r="T136" s="125"/>
    </row>
    <row r="137" spans="1:20" ht="15" customHeight="1" x14ac:dyDescent="0.25">
      <c r="A137" s="125" t="s">
        <v>1093</v>
      </c>
      <c r="B137" s="125" t="s">
        <v>1114</v>
      </c>
      <c r="C137" s="125" t="s">
        <v>1115</v>
      </c>
      <c r="D137" s="125" t="s">
        <v>656</v>
      </c>
      <c r="E137" s="125" t="s">
        <v>793</v>
      </c>
      <c r="F137" s="125" t="s">
        <v>690</v>
      </c>
      <c r="G137" s="125" t="s">
        <v>1116</v>
      </c>
      <c r="H137" s="125">
        <v>57851.24</v>
      </c>
      <c r="I137" s="125">
        <v>0</v>
      </c>
      <c r="J137" s="125">
        <v>0</v>
      </c>
      <c r="K137" s="125">
        <v>0</v>
      </c>
      <c r="L137" s="125">
        <v>0</v>
      </c>
      <c r="M137" s="125">
        <v>12148.76</v>
      </c>
      <c r="N137" s="125">
        <v>0</v>
      </c>
      <c r="O137" s="125">
        <v>0</v>
      </c>
      <c r="P137" s="125">
        <v>0</v>
      </c>
      <c r="Q137" s="125">
        <v>0</v>
      </c>
      <c r="R137" s="125">
        <v>12148.76</v>
      </c>
      <c r="S137" s="125">
        <v>70000</v>
      </c>
      <c r="T137" s="125"/>
    </row>
    <row r="138" spans="1:20" ht="15" customHeight="1" x14ac:dyDescent="0.25">
      <c r="A138" s="125" t="s">
        <v>1093</v>
      </c>
      <c r="B138" s="125" t="s">
        <v>850</v>
      </c>
      <c r="C138" s="125" t="s">
        <v>851</v>
      </c>
      <c r="D138" s="125" t="s">
        <v>652</v>
      </c>
      <c r="E138" s="125" t="s">
        <v>793</v>
      </c>
      <c r="F138" s="125" t="s">
        <v>690</v>
      </c>
      <c r="G138" s="125" t="s">
        <v>1117</v>
      </c>
      <c r="H138" s="125">
        <v>33057.85</v>
      </c>
      <c r="I138" s="125">
        <v>0</v>
      </c>
      <c r="J138" s="125">
        <v>0</v>
      </c>
      <c r="K138" s="125">
        <v>0</v>
      </c>
      <c r="L138" s="125">
        <v>0</v>
      </c>
      <c r="M138" s="125">
        <v>6942.15</v>
      </c>
      <c r="N138" s="125">
        <v>0</v>
      </c>
      <c r="O138" s="125">
        <v>0</v>
      </c>
      <c r="P138" s="125">
        <v>0</v>
      </c>
      <c r="Q138" s="125">
        <v>0</v>
      </c>
      <c r="R138" s="125">
        <v>6942.15</v>
      </c>
      <c r="S138" s="125">
        <v>40000</v>
      </c>
      <c r="T138" s="125"/>
    </row>
    <row r="139" spans="1:20" ht="15" customHeight="1" x14ac:dyDescent="0.25">
      <c r="A139" s="125" t="s">
        <v>1093</v>
      </c>
      <c r="B139" s="125" t="s">
        <v>1118</v>
      </c>
      <c r="C139" s="125"/>
      <c r="D139" s="125" t="s">
        <v>656</v>
      </c>
      <c r="E139" s="125" t="s">
        <v>793</v>
      </c>
      <c r="F139" s="125" t="s">
        <v>690</v>
      </c>
      <c r="G139" s="125" t="s">
        <v>1119</v>
      </c>
      <c r="H139" s="125">
        <v>66115.7</v>
      </c>
      <c r="I139" s="125">
        <v>0</v>
      </c>
      <c r="J139" s="125">
        <v>0</v>
      </c>
      <c r="K139" s="125">
        <v>0</v>
      </c>
      <c r="L139" s="125">
        <v>0</v>
      </c>
      <c r="M139" s="125">
        <v>13884.3</v>
      </c>
      <c r="N139" s="125">
        <v>0</v>
      </c>
      <c r="O139" s="125">
        <v>0</v>
      </c>
      <c r="P139" s="125">
        <v>0</v>
      </c>
      <c r="Q139" s="125">
        <v>0</v>
      </c>
      <c r="R139" s="125">
        <v>13884.3</v>
      </c>
      <c r="S139" s="125">
        <v>80000</v>
      </c>
      <c r="T139" s="125"/>
    </row>
    <row r="140" spans="1:20" ht="15" customHeight="1" x14ac:dyDescent="0.25">
      <c r="A140" s="125" t="s">
        <v>1093</v>
      </c>
      <c r="B140" s="125" t="s">
        <v>854</v>
      </c>
      <c r="C140" s="125" t="s">
        <v>855</v>
      </c>
      <c r="D140" s="125" t="s">
        <v>652</v>
      </c>
      <c r="E140" s="125" t="s">
        <v>856</v>
      </c>
      <c r="F140" s="125" t="s">
        <v>690</v>
      </c>
      <c r="G140" s="125" t="s">
        <v>1120</v>
      </c>
      <c r="H140" s="125">
        <v>45454.55</v>
      </c>
      <c r="I140" s="125">
        <v>0</v>
      </c>
      <c r="J140" s="125">
        <v>0</v>
      </c>
      <c r="K140" s="125">
        <v>0</v>
      </c>
      <c r="L140" s="125">
        <v>0</v>
      </c>
      <c r="M140" s="125">
        <v>9545.4500000000007</v>
      </c>
      <c r="N140" s="125">
        <v>0</v>
      </c>
      <c r="O140" s="125">
        <v>0</v>
      </c>
      <c r="P140" s="125">
        <v>0</v>
      </c>
      <c r="Q140" s="125">
        <v>0</v>
      </c>
      <c r="R140" s="125">
        <v>9545.4500000000007</v>
      </c>
      <c r="S140" s="125">
        <v>55000</v>
      </c>
      <c r="T140" s="125"/>
    </row>
    <row r="141" spans="1:20" ht="15" customHeight="1" x14ac:dyDescent="0.25">
      <c r="A141" s="125" t="s">
        <v>1093</v>
      </c>
      <c r="B141" s="125" t="s">
        <v>791</v>
      </c>
      <c r="C141" s="125" t="s">
        <v>792</v>
      </c>
      <c r="D141" s="125" t="s">
        <v>656</v>
      </c>
      <c r="E141" s="125" t="s">
        <v>793</v>
      </c>
      <c r="F141" s="125" t="s">
        <v>690</v>
      </c>
      <c r="G141" s="125" t="s">
        <v>1121</v>
      </c>
      <c r="H141" s="125">
        <v>27851.24</v>
      </c>
      <c r="I141" s="125">
        <v>0</v>
      </c>
      <c r="J141" s="125">
        <v>0</v>
      </c>
      <c r="K141" s="125">
        <v>0</v>
      </c>
      <c r="L141" s="125">
        <v>0</v>
      </c>
      <c r="M141" s="125">
        <v>5848.76</v>
      </c>
      <c r="N141" s="125">
        <v>0</v>
      </c>
      <c r="O141" s="125">
        <v>0</v>
      </c>
      <c r="P141" s="125">
        <v>0</v>
      </c>
      <c r="Q141" s="125">
        <v>0</v>
      </c>
      <c r="R141" s="125">
        <v>5848.76</v>
      </c>
      <c r="S141" s="125">
        <v>33700</v>
      </c>
      <c r="T141" s="125"/>
    </row>
    <row r="142" spans="1:20" ht="15" customHeight="1" x14ac:dyDescent="0.25">
      <c r="A142" s="125" t="s">
        <v>1093</v>
      </c>
      <c r="B142" s="125" t="s">
        <v>848</v>
      </c>
      <c r="C142" s="125" t="s">
        <v>849</v>
      </c>
      <c r="D142" s="125" t="s">
        <v>652</v>
      </c>
      <c r="E142" s="125" t="s">
        <v>835</v>
      </c>
      <c r="F142" s="125" t="s">
        <v>690</v>
      </c>
      <c r="G142" s="125" t="s">
        <v>1122</v>
      </c>
      <c r="H142" s="125">
        <v>24793.39</v>
      </c>
      <c r="I142" s="125">
        <v>0</v>
      </c>
      <c r="J142" s="125">
        <v>0</v>
      </c>
      <c r="K142" s="125">
        <v>0</v>
      </c>
      <c r="L142" s="125">
        <v>0</v>
      </c>
      <c r="M142" s="125">
        <v>5206.6099999999997</v>
      </c>
      <c r="N142" s="125">
        <v>0</v>
      </c>
      <c r="O142" s="125">
        <v>0</v>
      </c>
      <c r="P142" s="125">
        <v>0</v>
      </c>
      <c r="Q142" s="125">
        <v>0</v>
      </c>
      <c r="R142" s="125">
        <v>5206.6099999999997</v>
      </c>
      <c r="S142" s="125">
        <v>30000</v>
      </c>
      <c r="T142" s="125"/>
    </row>
    <row r="143" spans="1:20" ht="15" customHeight="1" x14ac:dyDescent="0.25">
      <c r="A143" s="125" t="s">
        <v>1093</v>
      </c>
      <c r="B143" s="125" t="s">
        <v>791</v>
      </c>
      <c r="C143" s="125" t="s">
        <v>792</v>
      </c>
      <c r="D143" s="125" t="s">
        <v>656</v>
      </c>
      <c r="E143" s="125" t="s">
        <v>793</v>
      </c>
      <c r="F143" s="125" t="s">
        <v>690</v>
      </c>
      <c r="G143" s="125" t="s">
        <v>1123</v>
      </c>
      <c r="H143" s="125">
        <v>28925.62</v>
      </c>
      <c r="I143" s="125">
        <v>0</v>
      </c>
      <c r="J143" s="125">
        <v>0</v>
      </c>
      <c r="K143" s="125">
        <v>0</v>
      </c>
      <c r="L143" s="125">
        <v>0</v>
      </c>
      <c r="M143" s="125">
        <v>6074.38</v>
      </c>
      <c r="N143" s="125">
        <v>0</v>
      </c>
      <c r="O143" s="125">
        <v>0</v>
      </c>
      <c r="P143" s="125">
        <v>0</v>
      </c>
      <c r="Q143" s="125">
        <v>0</v>
      </c>
      <c r="R143" s="125">
        <v>6074.38</v>
      </c>
      <c r="S143" s="125">
        <v>35000</v>
      </c>
      <c r="T143" s="125"/>
    </row>
    <row r="144" spans="1:20" ht="15" customHeight="1" x14ac:dyDescent="0.25">
      <c r="A144" s="125" t="s">
        <v>1093</v>
      </c>
      <c r="B144" s="125" t="s">
        <v>852</v>
      </c>
      <c r="C144" s="125" t="s">
        <v>853</v>
      </c>
      <c r="D144" s="125" t="s">
        <v>656</v>
      </c>
      <c r="E144" s="125" t="s">
        <v>793</v>
      </c>
      <c r="F144" s="125" t="s">
        <v>690</v>
      </c>
      <c r="G144" s="125" t="s">
        <v>1124</v>
      </c>
      <c r="H144" s="125">
        <v>29752.07</v>
      </c>
      <c r="I144" s="125">
        <v>0</v>
      </c>
      <c r="J144" s="125">
        <v>0</v>
      </c>
      <c r="K144" s="125">
        <v>0</v>
      </c>
      <c r="L144" s="125">
        <v>0</v>
      </c>
      <c r="M144" s="125">
        <v>6247.93</v>
      </c>
      <c r="N144" s="125">
        <v>0</v>
      </c>
      <c r="O144" s="125">
        <v>0</v>
      </c>
      <c r="P144" s="125">
        <v>0</v>
      </c>
      <c r="Q144" s="125">
        <v>0</v>
      </c>
      <c r="R144" s="125">
        <v>6247.93</v>
      </c>
      <c r="S144" s="125">
        <v>36000</v>
      </c>
      <c r="T144" s="125"/>
    </row>
    <row r="145" spans="1:20" ht="15" customHeight="1" x14ac:dyDescent="0.25">
      <c r="A145" s="125" t="s">
        <v>1093</v>
      </c>
      <c r="B145" s="125" t="s">
        <v>791</v>
      </c>
      <c r="C145" s="125" t="s">
        <v>792</v>
      </c>
      <c r="D145" s="125" t="s">
        <v>656</v>
      </c>
      <c r="E145" s="125" t="s">
        <v>793</v>
      </c>
      <c r="F145" s="125" t="s">
        <v>690</v>
      </c>
      <c r="G145" s="125" t="s">
        <v>1125</v>
      </c>
      <c r="H145" s="125">
        <v>26942.15</v>
      </c>
      <c r="I145" s="125">
        <v>0</v>
      </c>
      <c r="J145" s="125">
        <v>0</v>
      </c>
      <c r="K145" s="125">
        <v>0</v>
      </c>
      <c r="L145" s="125">
        <v>0</v>
      </c>
      <c r="M145" s="125">
        <v>5657.85</v>
      </c>
      <c r="N145" s="125">
        <v>0</v>
      </c>
      <c r="O145" s="125">
        <v>0</v>
      </c>
      <c r="P145" s="125">
        <v>0</v>
      </c>
      <c r="Q145" s="125">
        <v>0</v>
      </c>
      <c r="R145" s="125">
        <v>5657.85</v>
      </c>
      <c r="S145" s="125">
        <v>32600</v>
      </c>
      <c r="T145" s="125"/>
    </row>
    <row r="146" spans="1:20" ht="15" customHeight="1" x14ac:dyDescent="0.25">
      <c r="A146" s="125" t="s">
        <v>1093</v>
      </c>
      <c r="B146" s="125" t="s">
        <v>791</v>
      </c>
      <c r="C146" s="125" t="s">
        <v>792</v>
      </c>
      <c r="D146" s="125" t="s">
        <v>656</v>
      </c>
      <c r="E146" s="125" t="s">
        <v>793</v>
      </c>
      <c r="F146" s="125" t="s">
        <v>690</v>
      </c>
      <c r="G146" s="125" t="s">
        <v>1126</v>
      </c>
      <c r="H146" s="125">
        <v>28925.62</v>
      </c>
      <c r="I146" s="125">
        <v>0</v>
      </c>
      <c r="J146" s="125">
        <v>0</v>
      </c>
      <c r="K146" s="125">
        <v>0</v>
      </c>
      <c r="L146" s="125">
        <v>0</v>
      </c>
      <c r="M146" s="125">
        <v>6074.38</v>
      </c>
      <c r="N146" s="125">
        <v>0</v>
      </c>
      <c r="O146" s="125">
        <v>0</v>
      </c>
      <c r="P146" s="125">
        <v>0</v>
      </c>
      <c r="Q146" s="125">
        <v>0</v>
      </c>
      <c r="R146" s="125">
        <v>6074.38</v>
      </c>
      <c r="S146" s="125">
        <v>35000</v>
      </c>
      <c r="T146" s="125"/>
    </row>
    <row r="147" spans="1:20" ht="15" customHeight="1" x14ac:dyDescent="0.25">
      <c r="A147" s="125" t="s">
        <v>1093</v>
      </c>
      <c r="B147" s="125" t="s">
        <v>791</v>
      </c>
      <c r="C147" s="125" t="s">
        <v>792</v>
      </c>
      <c r="D147" s="125" t="s">
        <v>656</v>
      </c>
      <c r="E147" s="125" t="s">
        <v>793</v>
      </c>
      <c r="F147" s="125" t="s">
        <v>690</v>
      </c>
      <c r="G147" s="125" t="s">
        <v>1127</v>
      </c>
      <c r="H147" s="125">
        <v>41322.31</v>
      </c>
      <c r="I147" s="125">
        <v>0</v>
      </c>
      <c r="J147" s="125">
        <v>0</v>
      </c>
      <c r="K147" s="125">
        <v>0</v>
      </c>
      <c r="L147" s="125">
        <v>0</v>
      </c>
      <c r="M147" s="125">
        <v>8677.69</v>
      </c>
      <c r="N147" s="125">
        <v>0</v>
      </c>
      <c r="O147" s="125">
        <v>0</v>
      </c>
      <c r="P147" s="125">
        <v>0</v>
      </c>
      <c r="Q147" s="125">
        <v>0</v>
      </c>
      <c r="R147" s="125">
        <v>8677.69</v>
      </c>
      <c r="S147" s="125">
        <v>50000</v>
      </c>
      <c r="T147" s="125"/>
    </row>
    <row r="148" spans="1:20" ht="15" customHeight="1" x14ac:dyDescent="0.25">
      <c r="A148" s="125" t="s">
        <v>1093</v>
      </c>
      <c r="B148" s="125" t="s">
        <v>791</v>
      </c>
      <c r="C148" s="125" t="s">
        <v>792</v>
      </c>
      <c r="D148" s="125" t="s">
        <v>656</v>
      </c>
      <c r="E148" s="125" t="s">
        <v>793</v>
      </c>
      <c r="F148" s="125" t="s">
        <v>690</v>
      </c>
      <c r="G148" s="125" t="s">
        <v>1128</v>
      </c>
      <c r="H148" s="125">
        <v>20661.16</v>
      </c>
      <c r="I148" s="125">
        <v>0</v>
      </c>
      <c r="J148" s="125">
        <v>0</v>
      </c>
      <c r="K148" s="125">
        <v>0</v>
      </c>
      <c r="L148" s="125">
        <v>0</v>
      </c>
      <c r="M148" s="125">
        <v>4338.84</v>
      </c>
      <c r="N148" s="125">
        <v>0</v>
      </c>
      <c r="O148" s="125">
        <v>0</v>
      </c>
      <c r="P148" s="125">
        <v>0</v>
      </c>
      <c r="Q148" s="125">
        <v>0</v>
      </c>
      <c r="R148" s="125">
        <v>4338.84</v>
      </c>
      <c r="S148" s="125">
        <v>25000</v>
      </c>
      <c r="T148" s="125"/>
    </row>
    <row r="149" spans="1:20" ht="15" customHeight="1" x14ac:dyDescent="0.25">
      <c r="A149" s="125" t="s">
        <v>1093</v>
      </c>
      <c r="B149" s="125" t="s">
        <v>1129</v>
      </c>
      <c r="C149" s="125" t="s">
        <v>1130</v>
      </c>
      <c r="D149" s="125" t="s">
        <v>656</v>
      </c>
      <c r="E149" s="125" t="s">
        <v>793</v>
      </c>
      <c r="F149" s="125" t="s">
        <v>690</v>
      </c>
      <c r="G149" s="125" t="s">
        <v>1131</v>
      </c>
      <c r="H149" s="125">
        <v>21487.599999999999</v>
      </c>
      <c r="I149" s="125">
        <v>0</v>
      </c>
      <c r="J149" s="125">
        <v>0</v>
      </c>
      <c r="K149" s="125">
        <v>0</v>
      </c>
      <c r="L149" s="125">
        <v>0</v>
      </c>
      <c r="M149" s="125">
        <v>4512.3999999999996</v>
      </c>
      <c r="N149" s="125">
        <v>0</v>
      </c>
      <c r="O149" s="125">
        <v>0</v>
      </c>
      <c r="P149" s="125">
        <v>0</v>
      </c>
      <c r="Q149" s="125">
        <v>0</v>
      </c>
      <c r="R149" s="125">
        <v>4512.3999999999996</v>
      </c>
      <c r="S149" s="125">
        <v>26000</v>
      </c>
      <c r="T149" s="125"/>
    </row>
    <row r="150" spans="1:20" ht="15" customHeight="1" x14ac:dyDescent="0.25">
      <c r="A150" s="125" t="s">
        <v>1093</v>
      </c>
      <c r="B150" s="125" t="s">
        <v>791</v>
      </c>
      <c r="C150" s="125" t="s">
        <v>792</v>
      </c>
      <c r="D150" s="125" t="s">
        <v>656</v>
      </c>
      <c r="E150" s="125" t="s">
        <v>793</v>
      </c>
      <c r="F150" s="125" t="s">
        <v>690</v>
      </c>
      <c r="G150" s="125" t="s">
        <v>1132</v>
      </c>
      <c r="H150" s="125">
        <v>24793.39</v>
      </c>
      <c r="I150" s="125">
        <v>0</v>
      </c>
      <c r="J150" s="125">
        <v>0</v>
      </c>
      <c r="K150" s="125">
        <v>0</v>
      </c>
      <c r="L150" s="125">
        <v>0</v>
      </c>
      <c r="M150" s="125">
        <v>5206.6099999999997</v>
      </c>
      <c r="N150" s="125">
        <v>0</v>
      </c>
      <c r="O150" s="125">
        <v>0</v>
      </c>
      <c r="P150" s="125">
        <v>0</v>
      </c>
      <c r="Q150" s="125">
        <v>0</v>
      </c>
      <c r="R150" s="125">
        <v>5206.6099999999997</v>
      </c>
      <c r="S150" s="125">
        <v>30000</v>
      </c>
      <c r="T150" s="125"/>
    </row>
    <row r="151" spans="1:20" ht="15" customHeight="1" x14ac:dyDescent="0.25">
      <c r="A151" s="125" t="s">
        <v>1093</v>
      </c>
      <c r="B151" s="125" t="s">
        <v>791</v>
      </c>
      <c r="C151" s="125" t="s">
        <v>792</v>
      </c>
      <c r="D151" s="125" t="s">
        <v>656</v>
      </c>
      <c r="E151" s="125" t="s">
        <v>793</v>
      </c>
      <c r="F151" s="125" t="s">
        <v>690</v>
      </c>
      <c r="G151" s="125" t="s">
        <v>1133</v>
      </c>
      <c r="H151" s="125">
        <v>74380.17</v>
      </c>
      <c r="I151" s="125">
        <v>0</v>
      </c>
      <c r="J151" s="125">
        <v>0</v>
      </c>
      <c r="K151" s="125">
        <v>0</v>
      </c>
      <c r="L151" s="125">
        <v>0</v>
      </c>
      <c r="M151" s="125">
        <v>15619.83</v>
      </c>
      <c r="N151" s="125">
        <v>0</v>
      </c>
      <c r="O151" s="125">
        <v>0</v>
      </c>
      <c r="P151" s="125">
        <v>0</v>
      </c>
      <c r="Q151" s="125">
        <v>0</v>
      </c>
      <c r="R151" s="125">
        <v>15619.83</v>
      </c>
      <c r="S151" s="125">
        <v>90000</v>
      </c>
      <c r="T151" s="125"/>
    </row>
    <row r="152" spans="1:20" ht="15" customHeight="1" x14ac:dyDescent="0.25">
      <c r="A152" s="125" t="s">
        <v>1093</v>
      </c>
      <c r="B152" s="125" t="s">
        <v>791</v>
      </c>
      <c r="C152" s="125" t="s">
        <v>792</v>
      </c>
      <c r="D152" s="125" t="s">
        <v>656</v>
      </c>
      <c r="E152" s="125" t="s">
        <v>793</v>
      </c>
      <c r="F152" s="125" t="s">
        <v>690</v>
      </c>
      <c r="G152" s="125" t="s">
        <v>1134</v>
      </c>
      <c r="H152" s="125">
        <v>37190.080000000002</v>
      </c>
      <c r="I152" s="125">
        <v>0</v>
      </c>
      <c r="J152" s="125">
        <v>0</v>
      </c>
      <c r="K152" s="125">
        <v>0</v>
      </c>
      <c r="L152" s="125">
        <v>0</v>
      </c>
      <c r="M152" s="125">
        <v>7809.92</v>
      </c>
      <c r="N152" s="125">
        <v>0</v>
      </c>
      <c r="O152" s="125">
        <v>0</v>
      </c>
      <c r="P152" s="125">
        <v>0</v>
      </c>
      <c r="Q152" s="125">
        <v>0</v>
      </c>
      <c r="R152" s="125">
        <v>7809.92</v>
      </c>
      <c r="S152" s="125">
        <v>45000</v>
      </c>
      <c r="T152" s="125"/>
    </row>
    <row r="153" spans="1:20" ht="15" customHeight="1" x14ac:dyDescent="0.25">
      <c r="A153" s="125" t="s">
        <v>1093</v>
      </c>
      <c r="B153" s="125" t="s">
        <v>791</v>
      </c>
      <c r="C153" s="125" t="s">
        <v>792</v>
      </c>
      <c r="D153" s="125" t="s">
        <v>656</v>
      </c>
      <c r="E153" s="125" t="s">
        <v>793</v>
      </c>
      <c r="F153" s="125" t="s">
        <v>690</v>
      </c>
      <c r="G153" s="125" t="s">
        <v>1135</v>
      </c>
      <c r="H153" s="125">
        <v>41322.31</v>
      </c>
      <c r="I153" s="125">
        <v>0</v>
      </c>
      <c r="J153" s="125">
        <v>0</v>
      </c>
      <c r="K153" s="125">
        <v>0</v>
      </c>
      <c r="L153" s="125">
        <v>0</v>
      </c>
      <c r="M153" s="125">
        <v>8677.69</v>
      </c>
      <c r="N153" s="125">
        <v>0</v>
      </c>
      <c r="O153" s="125">
        <v>0</v>
      </c>
      <c r="P153" s="125">
        <v>0</v>
      </c>
      <c r="Q153" s="125">
        <v>0</v>
      </c>
      <c r="R153" s="125">
        <v>8677.69</v>
      </c>
      <c r="S153" s="125">
        <v>50000</v>
      </c>
      <c r="T153" s="125"/>
    </row>
    <row r="154" spans="1:20" ht="15" customHeight="1" x14ac:dyDescent="0.25">
      <c r="A154" s="125" t="s">
        <v>1093</v>
      </c>
      <c r="B154" s="125" t="s">
        <v>791</v>
      </c>
      <c r="C154" s="125" t="s">
        <v>792</v>
      </c>
      <c r="D154" s="125" t="s">
        <v>656</v>
      </c>
      <c r="E154" s="125" t="s">
        <v>793</v>
      </c>
      <c r="F154" s="125" t="s">
        <v>690</v>
      </c>
      <c r="G154" s="125" t="s">
        <v>1136</v>
      </c>
      <c r="H154" s="125">
        <v>44628.1</v>
      </c>
      <c r="I154" s="125">
        <v>0</v>
      </c>
      <c r="J154" s="125">
        <v>0</v>
      </c>
      <c r="K154" s="125">
        <v>0</v>
      </c>
      <c r="L154" s="125">
        <v>0</v>
      </c>
      <c r="M154" s="125">
        <v>9371.9</v>
      </c>
      <c r="N154" s="125">
        <v>0</v>
      </c>
      <c r="O154" s="125">
        <v>0</v>
      </c>
      <c r="P154" s="125">
        <v>0</v>
      </c>
      <c r="Q154" s="125">
        <v>0</v>
      </c>
      <c r="R154" s="125">
        <v>9371.9</v>
      </c>
      <c r="S154" s="125">
        <v>54000</v>
      </c>
      <c r="T154" s="125"/>
    </row>
    <row r="155" spans="1:20" ht="15" customHeight="1" x14ac:dyDescent="0.25">
      <c r="A155" s="125" t="s">
        <v>1137</v>
      </c>
      <c r="B155" s="125" t="s">
        <v>794</v>
      </c>
      <c r="C155" s="125"/>
      <c r="D155" s="125" t="s">
        <v>652</v>
      </c>
      <c r="E155" s="125" t="s">
        <v>795</v>
      </c>
      <c r="F155" s="125" t="s">
        <v>690</v>
      </c>
      <c r="G155" s="125" t="s">
        <v>1138</v>
      </c>
      <c r="H155" s="125">
        <v>28925.62</v>
      </c>
      <c r="I155" s="125">
        <v>0</v>
      </c>
      <c r="J155" s="125">
        <v>0</v>
      </c>
      <c r="K155" s="125">
        <v>0</v>
      </c>
      <c r="L155" s="125">
        <v>0</v>
      </c>
      <c r="M155" s="125">
        <v>6074.38</v>
      </c>
      <c r="N155" s="125">
        <v>0</v>
      </c>
      <c r="O155" s="125">
        <v>0</v>
      </c>
      <c r="P155" s="125">
        <v>0</v>
      </c>
      <c r="Q155" s="125">
        <v>0</v>
      </c>
      <c r="R155" s="125">
        <v>6074.38</v>
      </c>
      <c r="S155" s="125">
        <v>35000</v>
      </c>
      <c r="T155" s="125"/>
    </row>
    <row r="156" spans="1:20" ht="15" customHeight="1" x14ac:dyDescent="0.25">
      <c r="A156" s="125" t="s">
        <v>1137</v>
      </c>
      <c r="B156" s="125" t="s">
        <v>791</v>
      </c>
      <c r="C156" s="125" t="s">
        <v>792</v>
      </c>
      <c r="D156" s="125" t="s">
        <v>656</v>
      </c>
      <c r="E156" s="125" t="s">
        <v>793</v>
      </c>
      <c r="F156" s="125" t="s">
        <v>690</v>
      </c>
      <c r="G156" s="125" t="s">
        <v>1139</v>
      </c>
      <c r="H156" s="125">
        <v>9917.36</v>
      </c>
      <c r="I156" s="125">
        <v>0</v>
      </c>
      <c r="J156" s="125">
        <v>0</v>
      </c>
      <c r="K156" s="125">
        <v>0</v>
      </c>
      <c r="L156" s="125">
        <v>0</v>
      </c>
      <c r="M156" s="125">
        <v>2082.64</v>
      </c>
      <c r="N156" s="125">
        <v>0</v>
      </c>
      <c r="O156" s="125">
        <v>0</v>
      </c>
      <c r="P156" s="125">
        <v>0</v>
      </c>
      <c r="Q156" s="125">
        <v>0</v>
      </c>
      <c r="R156" s="125">
        <v>2082.64</v>
      </c>
      <c r="S156" s="125">
        <v>12000</v>
      </c>
      <c r="T156" s="125"/>
    </row>
    <row r="157" spans="1:20" ht="15" customHeight="1" x14ac:dyDescent="0.25">
      <c r="A157" s="125" t="s">
        <v>1137</v>
      </c>
      <c r="B157" s="125" t="s">
        <v>791</v>
      </c>
      <c r="C157" s="125" t="s">
        <v>792</v>
      </c>
      <c r="D157" s="125" t="s">
        <v>656</v>
      </c>
      <c r="E157" s="125" t="s">
        <v>793</v>
      </c>
      <c r="F157" s="125" t="s">
        <v>690</v>
      </c>
      <c r="G157" s="125" t="s">
        <v>1140</v>
      </c>
      <c r="H157" s="125">
        <v>31818.18</v>
      </c>
      <c r="I157" s="125">
        <v>0</v>
      </c>
      <c r="J157" s="125">
        <v>0</v>
      </c>
      <c r="K157" s="125">
        <v>0</v>
      </c>
      <c r="L157" s="125">
        <v>0</v>
      </c>
      <c r="M157" s="125">
        <v>6681.82</v>
      </c>
      <c r="N157" s="125">
        <v>0</v>
      </c>
      <c r="O157" s="125">
        <v>0</v>
      </c>
      <c r="P157" s="125">
        <v>0</v>
      </c>
      <c r="Q157" s="125">
        <v>0</v>
      </c>
      <c r="R157" s="125">
        <v>6681.82</v>
      </c>
      <c r="S157" s="125">
        <v>38500</v>
      </c>
      <c r="T157" s="125"/>
    </row>
    <row r="158" spans="1:20" ht="15" customHeight="1" x14ac:dyDescent="0.25">
      <c r="A158" s="125" t="s">
        <v>1137</v>
      </c>
      <c r="B158" s="125" t="s">
        <v>791</v>
      </c>
      <c r="C158" s="125" t="s">
        <v>792</v>
      </c>
      <c r="D158" s="125" t="s">
        <v>656</v>
      </c>
      <c r="E158" s="125" t="s">
        <v>793</v>
      </c>
      <c r="F158" s="125" t="s">
        <v>690</v>
      </c>
      <c r="G158" s="125" t="s">
        <v>1141</v>
      </c>
      <c r="H158" s="125">
        <v>18595.04</v>
      </c>
      <c r="I158" s="125">
        <v>0</v>
      </c>
      <c r="J158" s="125">
        <v>0</v>
      </c>
      <c r="K158" s="125">
        <v>0</v>
      </c>
      <c r="L158" s="125">
        <v>0</v>
      </c>
      <c r="M158" s="125">
        <v>3904.96</v>
      </c>
      <c r="N158" s="125">
        <v>0</v>
      </c>
      <c r="O158" s="125">
        <v>0</v>
      </c>
      <c r="P158" s="125">
        <v>0</v>
      </c>
      <c r="Q158" s="125">
        <v>0</v>
      </c>
      <c r="R158" s="125">
        <v>3904.96</v>
      </c>
      <c r="S158" s="125">
        <v>22500</v>
      </c>
      <c r="T158" s="125"/>
    </row>
    <row r="159" spans="1:20" ht="15" customHeight="1" x14ac:dyDescent="0.25">
      <c r="A159" s="125" t="s">
        <v>1137</v>
      </c>
      <c r="B159" s="125" t="s">
        <v>791</v>
      </c>
      <c r="C159" s="125" t="s">
        <v>792</v>
      </c>
      <c r="D159" s="125" t="s">
        <v>656</v>
      </c>
      <c r="E159" s="125" t="s">
        <v>793</v>
      </c>
      <c r="F159" s="125" t="s">
        <v>690</v>
      </c>
      <c r="G159" s="125" t="s">
        <v>1142</v>
      </c>
      <c r="H159" s="125">
        <v>57851.24</v>
      </c>
      <c r="I159" s="125">
        <v>0</v>
      </c>
      <c r="J159" s="125">
        <v>0</v>
      </c>
      <c r="K159" s="125">
        <v>0</v>
      </c>
      <c r="L159" s="125">
        <v>0</v>
      </c>
      <c r="M159" s="125">
        <v>12148.76</v>
      </c>
      <c r="N159" s="125">
        <v>0</v>
      </c>
      <c r="O159" s="125">
        <v>0</v>
      </c>
      <c r="P159" s="125">
        <v>0</v>
      </c>
      <c r="Q159" s="125">
        <v>0</v>
      </c>
      <c r="R159" s="125">
        <v>12148.76</v>
      </c>
      <c r="S159" s="125">
        <v>70000</v>
      </c>
      <c r="T159" s="125"/>
    </row>
    <row r="160" spans="1:20" ht="15" customHeight="1" x14ac:dyDescent="0.25">
      <c r="A160" s="125" t="s">
        <v>1137</v>
      </c>
      <c r="B160" s="125" t="s">
        <v>791</v>
      </c>
      <c r="C160" s="125" t="s">
        <v>792</v>
      </c>
      <c r="D160" s="125" t="s">
        <v>656</v>
      </c>
      <c r="E160" s="125" t="s">
        <v>793</v>
      </c>
      <c r="F160" s="125" t="s">
        <v>690</v>
      </c>
      <c r="G160" s="125" t="s">
        <v>1143</v>
      </c>
      <c r="H160" s="125">
        <v>23140.5</v>
      </c>
      <c r="I160" s="125">
        <v>0</v>
      </c>
      <c r="J160" s="125">
        <v>0</v>
      </c>
      <c r="K160" s="125">
        <v>0</v>
      </c>
      <c r="L160" s="125">
        <v>0</v>
      </c>
      <c r="M160" s="125">
        <v>4859.5</v>
      </c>
      <c r="N160" s="125">
        <v>0</v>
      </c>
      <c r="O160" s="125">
        <v>0</v>
      </c>
      <c r="P160" s="125">
        <v>0</v>
      </c>
      <c r="Q160" s="125">
        <v>0</v>
      </c>
      <c r="R160" s="125">
        <v>4859.5</v>
      </c>
      <c r="S160" s="125">
        <v>28000</v>
      </c>
      <c r="T160" s="125"/>
    </row>
    <row r="161" spans="1:20" ht="15" customHeight="1" x14ac:dyDescent="0.25">
      <c r="A161" s="125" t="s">
        <v>1137</v>
      </c>
      <c r="B161" s="125" t="s">
        <v>791</v>
      </c>
      <c r="C161" s="125" t="s">
        <v>792</v>
      </c>
      <c r="D161" s="125" t="s">
        <v>656</v>
      </c>
      <c r="E161" s="125" t="s">
        <v>793</v>
      </c>
      <c r="F161" s="125" t="s">
        <v>690</v>
      </c>
      <c r="G161" s="125" t="s">
        <v>1144</v>
      </c>
      <c r="H161" s="125">
        <v>28925.62</v>
      </c>
      <c r="I161" s="125">
        <v>0</v>
      </c>
      <c r="J161" s="125">
        <v>0</v>
      </c>
      <c r="K161" s="125">
        <v>0</v>
      </c>
      <c r="L161" s="125">
        <v>0</v>
      </c>
      <c r="M161" s="125">
        <v>6074.38</v>
      </c>
      <c r="N161" s="125">
        <v>0</v>
      </c>
      <c r="O161" s="125">
        <v>0</v>
      </c>
      <c r="P161" s="125">
        <v>0</v>
      </c>
      <c r="Q161" s="125">
        <v>0</v>
      </c>
      <c r="R161" s="125">
        <v>6074.38</v>
      </c>
      <c r="S161" s="125">
        <v>35000</v>
      </c>
      <c r="T161" s="125"/>
    </row>
    <row r="162" spans="1:20" ht="15" customHeight="1" x14ac:dyDescent="0.25">
      <c r="A162" s="125" t="s">
        <v>1137</v>
      </c>
      <c r="B162" s="125" t="s">
        <v>1145</v>
      </c>
      <c r="C162" s="125" t="s">
        <v>1146</v>
      </c>
      <c r="D162" s="125" t="s">
        <v>652</v>
      </c>
      <c r="E162" s="125" t="s">
        <v>1147</v>
      </c>
      <c r="F162" s="125" t="s">
        <v>690</v>
      </c>
      <c r="G162" s="125" t="s">
        <v>1148</v>
      </c>
      <c r="H162" s="125">
        <v>27520.66</v>
      </c>
      <c r="I162" s="125">
        <v>0</v>
      </c>
      <c r="J162" s="125">
        <v>0</v>
      </c>
      <c r="K162" s="125">
        <v>0</v>
      </c>
      <c r="L162" s="125">
        <v>0</v>
      </c>
      <c r="M162" s="125">
        <v>5779.34</v>
      </c>
      <c r="N162" s="125">
        <v>0</v>
      </c>
      <c r="O162" s="125">
        <v>0</v>
      </c>
      <c r="P162" s="125">
        <v>0</v>
      </c>
      <c r="Q162" s="125">
        <v>0</v>
      </c>
      <c r="R162" s="125">
        <v>5779.34</v>
      </c>
      <c r="S162" s="125">
        <v>33300</v>
      </c>
      <c r="T162" s="125"/>
    </row>
    <row r="163" spans="1:20" ht="15" customHeight="1" x14ac:dyDescent="0.25">
      <c r="A163" s="125" t="s">
        <v>1137</v>
      </c>
      <c r="B163" s="125" t="s">
        <v>791</v>
      </c>
      <c r="C163" s="125" t="s">
        <v>792</v>
      </c>
      <c r="D163" s="125" t="s">
        <v>656</v>
      </c>
      <c r="E163" s="125" t="s">
        <v>793</v>
      </c>
      <c r="F163" s="125" t="s">
        <v>690</v>
      </c>
      <c r="G163" s="125" t="s">
        <v>1149</v>
      </c>
      <c r="H163" s="125">
        <v>18595.04</v>
      </c>
      <c r="I163" s="125">
        <v>0</v>
      </c>
      <c r="J163" s="125">
        <v>0</v>
      </c>
      <c r="K163" s="125">
        <v>0</v>
      </c>
      <c r="L163" s="125">
        <v>0</v>
      </c>
      <c r="M163" s="125">
        <v>3904.96</v>
      </c>
      <c r="N163" s="125">
        <v>0</v>
      </c>
      <c r="O163" s="125">
        <v>0</v>
      </c>
      <c r="P163" s="125">
        <v>0</v>
      </c>
      <c r="Q163" s="125">
        <v>0</v>
      </c>
      <c r="R163" s="125">
        <v>3904.96</v>
      </c>
      <c r="S163" s="125">
        <v>22500</v>
      </c>
      <c r="T163" s="125"/>
    </row>
    <row r="164" spans="1:20" ht="15" customHeight="1" x14ac:dyDescent="0.25">
      <c r="A164" s="125" t="s">
        <v>1137</v>
      </c>
      <c r="B164" s="125" t="s">
        <v>791</v>
      </c>
      <c r="C164" s="125" t="s">
        <v>792</v>
      </c>
      <c r="D164" s="125" t="s">
        <v>656</v>
      </c>
      <c r="E164" s="125" t="s">
        <v>793</v>
      </c>
      <c r="F164" s="125" t="s">
        <v>690</v>
      </c>
      <c r="G164" s="125" t="s">
        <v>1150</v>
      </c>
      <c r="H164" s="125">
        <v>14876.03</v>
      </c>
      <c r="I164" s="125">
        <v>0</v>
      </c>
      <c r="J164" s="125">
        <v>0</v>
      </c>
      <c r="K164" s="125">
        <v>0</v>
      </c>
      <c r="L164" s="125">
        <v>0</v>
      </c>
      <c r="M164" s="125">
        <v>3123.97</v>
      </c>
      <c r="N164" s="125">
        <v>0</v>
      </c>
      <c r="O164" s="125">
        <v>0</v>
      </c>
      <c r="P164" s="125">
        <v>0</v>
      </c>
      <c r="Q164" s="125">
        <v>0</v>
      </c>
      <c r="R164" s="125">
        <v>3123.97</v>
      </c>
      <c r="S164" s="125">
        <v>18000</v>
      </c>
      <c r="T164" s="125"/>
    </row>
    <row r="165" spans="1:20" ht="15" customHeight="1" x14ac:dyDescent="0.25">
      <c r="A165" s="125" t="s">
        <v>1137</v>
      </c>
      <c r="B165" s="125" t="s">
        <v>791</v>
      </c>
      <c r="C165" s="125" t="s">
        <v>792</v>
      </c>
      <c r="D165" s="125" t="s">
        <v>656</v>
      </c>
      <c r="E165" s="125" t="s">
        <v>793</v>
      </c>
      <c r="F165" s="125" t="s">
        <v>690</v>
      </c>
      <c r="G165" s="125" t="s">
        <v>1151</v>
      </c>
      <c r="H165" s="125">
        <v>3305.79</v>
      </c>
      <c r="I165" s="125">
        <v>0</v>
      </c>
      <c r="J165" s="125">
        <v>0</v>
      </c>
      <c r="K165" s="125">
        <v>0</v>
      </c>
      <c r="L165" s="125">
        <v>0</v>
      </c>
      <c r="M165" s="125">
        <v>694.21</v>
      </c>
      <c r="N165" s="125">
        <v>0</v>
      </c>
      <c r="O165" s="125">
        <v>0</v>
      </c>
      <c r="P165" s="125">
        <v>0</v>
      </c>
      <c r="Q165" s="125">
        <v>0</v>
      </c>
      <c r="R165" s="125">
        <v>694.21</v>
      </c>
      <c r="S165" s="125">
        <v>4000</v>
      </c>
      <c r="T165" s="125"/>
    </row>
    <row r="166" spans="1:20" ht="15" customHeight="1" x14ac:dyDescent="0.25">
      <c r="A166" s="125" t="s">
        <v>1137</v>
      </c>
      <c r="B166" s="125" t="s">
        <v>791</v>
      </c>
      <c r="C166" s="125" t="s">
        <v>792</v>
      </c>
      <c r="D166" s="125" t="s">
        <v>656</v>
      </c>
      <c r="E166" s="125" t="s">
        <v>793</v>
      </c>
      <c r="F166" s="125" t="s">
        <v>690</v>
      </c>
      <c r="G166" s="125" t="s">
        <v>1152</v>
      </c>
      <c r="H166" s="125">
        <v>16528.93</v>
      </c>
      <c r="I166" s="125">
        <v>0</v>
      </c>
      <c r="J166" s="125">
        <v>0</v>
      </c>
      <c r="K166" s="125">
        <v>0</v>
      </c>
      <c r="L166" s="125">
        <v>0</v>
      </c>
      <c r="M166" s="125">
        <v>3471.07</v>
      </c>
      <c r="N166" s="125">
        <v>0</v>
      </c>
      <c r="O166" s="125">
        <v>0</v>
      </c>
      <c r="P166" s="125">
        <v>0</v>
      </c>
      <c r="Q166" s="125">
        <v>0</v>
      </c>
      <c r="R166" s="125">
        <v>3471.07</v>
      </c>
      <c r="S166" s="125">
        <v>20000</v>
      </c>
      <c r="T166" s="125"/>
    </row>
    <row r="167" spans="1:20" ht="15" customHeight="1" x14ac:dyDescent="0.25">
      <c r="A167" s="125" t="s">
        <v>1137</v>
      </c>
      <c r="B167" s="125" t="s">
        <v>791</v>
      </c>
      <c r="C167" s="125" t="s">
        <v>792</v>
      </c>
      <c r="D167" s="125" t="s">
        <v>656</v>
      </c>
      <c r="E167" s="125" t="s">
        <v>793</v>
      </c>
      <c r="F167" s="125" t="s">
        <v>690</v>
      </c>
      <c r="G167" s="125" t="s">
        <v>1153</v>
      </c>
      <c r="H167" s="125">
        <v>14049.59</v>
      </c>
      <c r="I167" s="125">
        <v>0</v>
      </c>
      <c r="J167" s="125">
        <v>0</v>
      </c>
      <c r="K167" s="125">
        <v>0</v>
      </c>
      <c r="L167" s="125">
        <v>0</v>
      </c>
      <c r="M167" s="125">
        <v>2950.41</v>
      </c>
      <c r="N167" s="125">
        <v>0</v>
      </c>
      <c r="O167" s="125">
        <v>0</v>
      </c>
      <c r="P167" s="125">
        <v>0</v>
      </c>
      <c r="Q167" s="125">
        <v>0</v>
      </c>
      <c r="R167" s="125">
        <v>2950.41</v>
      </c>
      <c r="S167" s="125">
        <v>17000</v>
      </c>
      <c r="T167" s="125"/>
    </row>
    <row r="168" spans="1:20" ht="15" customHeight="1" x14ac:dyDescent="0.25">
      <c r="A168" s="125" t="s">
        <v>1137</v>
      </c>
      <c r="B168" s="125" t="s">
        <v>791</v>
      </c>
      <c r="C168" s="125" t="s">
        <v>792</v>
      </c>
      <c r="D168" s="125" t="s">
        <v>656</v>
      </c>
      <c r="E168" s="125" t="s">
        <v>793</v>
      </c>
      <c r="F168" s="125" t="s">
        <v>690</v>
      </c>
      <c r="G168" s="125" t="s">
        <v>1154</v>
      </c>
      <c r="H168" s="125">
        <v>37190.080000000002</v>
      </c>
      <c r="I168" s="125">
        <v>0</v>
      </c>
      <c r="J168" s="125">
        <v>0</v>
      </c>
      <c r="K168" s="125">
        <v>0</v>
      </c>
      <c r="L168" s="125">
        <v>0</v>
      </c>
      <c r="M168" s="125">
        <v>7809.92</v>
      </c>
      <c r="N168" s="125">
        <v>0</v>
      </c>
      <c r="O168" s="125">
        <v>0</v>
      </c>
      <c r="P168" s="125">
        <v>0</v>
      </c>
      <c r="Q168" s="125">
        <v>0</v>
      </c>
      <c r="R168" s="125">
        <v>7809.92</v>
      </c>
      <c r="S168" s="125">
        <v>45000</v>
      </c>
      <c r="T168" s="125"/>
    </row>
    <row r="169" spans="1:20" ht="15" customHeight="1" x14ac:dyDescent="0.25">
      <c r="A169" s="125" t="s">
        <v>1137</v>
      </c>
      <c r="B169" s="125" t="s">
        <v>791</v>
      </c>
      <c r="C169" s="125" t="s">
        <v>792</v>
      </c>
      <c r="D169" s="125" t="s">
        <v>656</v>
      </c>
      <c r="E169" s="125" t="s">
        <v>793</v>
      </c>
      <c r="F169" s="125" t="s">
        <v>690</v>
      </c>
      <c r="G169" s="125" t="s">
        <v>1155</v>
      </c>
      <c r="H169" s="125">
        <v>18595.04</v>
      </c>
      <c r="I169" s="125">
        <v>0</v>
      </c>
      <c r="J169" s="125">
        <v>0</v>
      </c>
      <c r="K169" s="125">
        <v>0</v>
      </c>
      <c r="L169" s="125">
        <v>0</v>
      </c>
      <c r="M169" s="125">
        <v>3904.96</v>
      </c>
      <c r="N169" s="125">
        <v>0</v>
      </c>
      <c r="O169" s="125">
        <v>0</v>
      </c>
      <c r="P169" s="125">
        <v>0</v>
      </c>
      <c r="Q169" s="125">
        <v>0</v>
      </c>
      <c r="R169" s="125">
        <v>3904.96</v>
      </c>
      <c r="S169" s="125">
        <v>22500</v>
      </c>
      <c r="T169" s="125"/>
    </row>
    <row r="170" spans="1:20" ht="15" customHeight="1" x14ac:dyDescent="0.25">
      <c r="A170" s="125" t="s">
        <v>1137</v>
      </c>
      <c r="B170" s="125" t="s">
        <v>357</v>
      </c>
      <c r="C170" s="125" t="s">
        <v>859</v>
      </c>
      <c r="D170" s="125" t="s">
        <v>656</v>
      </c>
      <c r="E170" s="125" t="s">
        <v>793</v>
      </c>
      <c r="F170" s="125" t="s">
        <v>650</v>
      </c>
      <c r="G170" s="125" t="s">
        <v>1156</v>
      </c>
      <c r="H170" s="125">
        <v>280991.74</v>
      </c>
      <c r="I170" s="125">
        <v>0</v>
      </c>
      <c r="J170" s="125">
        <v>0</v>
      </c>
      <c r="K170" s="125">
        <v>0</v>
      </c>
      <c r="L170" s="125">
        <v>0</v>
      </c>
      <c r="M170" s="125">
        <v>59008.26</v>
      </c>
      <c r="N170" s="125">
        <v>0</v>
      </c>
      <c r="O170" s="125">
        <v>0</v>
      </c>
      <c r="P170" s="125">
        <v>0</v>
      </c>
      <c r="Q170" s="125">
        <v>0</v>
      </c>
      <c r="R170" s="125">
        <v>59008.26</v>
      </c>
      <c r="S170" s="125">
        <v>340000</v>
      </c>
      <c r="T170" s="125"/>
    </row>
    <row r="171" spans="1:20" ht="15" customHeight="1" x14ac:dyDescent="0.25">
      <c r="A171" s="125" t="s">
        <v>1137</v>
      </c>
      <c r="B171" s="125" t="s">
        <v>791</v>
      </c>
      <c r="C171" s="125" t="s">
        <v>792</v>
      </c>
      <c r="D171" s="125" t="s">
        <v>656</v>
      </c>
      <c r="E171" s="125" t="s">
        <v>793</v>
      </c>
      <c r="F171" s="125" t="s">
        <v>690</v>
      </c>
      <c r="G171" s="125" t="s">
        <v>1157</v>
      </c>
      <c r="H171" s="125">
        <v>57851.24</v>
      </c>
      <c r="I171" s="125">
        <v>0</v>
      </c>
      <c r="J171" s="125">
        <v>0</v>
      </c>
      <c r="K171" s="125">
        <v>0</v>
      </c>
      <c r="L171" s="125">
        <v>0</v>
      </c>
      <c r="M171" s="125">
        <v>12148.76</v>
      </c>
      <c r="N171" s="125">
        <v>0</v>
      </c>
      <c r="O171" s="125">
        <v>0</v>
      </c>
      <c r="P171" s="125">
        <v>0</v>
      </c>
      <c r="Q171" s="125">
        <v>0</v>
      </c>
      <c r="R171" s="125">
        <v>12148.76</v>
      </c>
      <c r="S171" s="125">
        <v>70000</v>
      </c>
      <c r="T171" s="125"/>
    </row>
    <row r="172" spans="1:20" ht="15" customHeight="1" x14ac:dyDescent="0.25">
      <c r="A172" s="125" t="s">
        <v>1137</v>
      </c>
      <c r="B172" s="125" t="s">
        <v>1158</v>
      </c>
      <c r="C172" s="125" t="s">
        <v>1159</v>
      </c>
      <c r="D172" s="125" t="s">
        <v>656</v>
      </c>
      <c r="E172" s="125" t="s">
        <v>793</v>
      </c>
      <c r="F172" s="125" t="s">
        <v>690</v>
      </c>
      <c r="G172" s="125" t="s">
        <v>1160</v>
      </c>
      <c r="H172" s="125">
        <v>90909.09</v>
      </c>
      <c r="I172" s="125">
        <v>0</v>
      </c>
      <c r="J172" s="125">
        <v>0</v>
      </c>
      <c r="K172" s="125">
        <v>0</v>
      </c>
      <c r="L172" s="125">
        <v>0</v>
      </c>
      <c r="M172" s="125">
        <v>19090.91</v>
      </c>
      <c r="N172" s="125">
        <v>0</v>
      </c>
      <c r="O172" s="125">
        <v>0</v>
      </c>
      <c r="P172" s="125">
        <v>0</v>
      </c>
      <c r="Q172" s="125">
        <v>0</v>
      </c>
      <c r="R172" s="125">
        <v>19090.91</v>
      </c>
      <c r="S172" s="125">
        <v>110000</v>
      </c>
      <c r="T172" s="125"/>
    </row>
    <row r="173" spans="1:20" ht="15" customHeight="1" x14ac:dyDescent="0.25">
      <c r="A173" s="125" t="s">
        <v>1137</v>
      </c>
      <c r="B173" s="125" t="s">
        <v>791</v>
      </c>
      <c r="C173" s="125" t="s">
        <v>792</v>
      </c>
      <c r="D173" s="125" t="s">
        <v>656</v>
      </c>
      <c r="E173" s="125" t="s">
        <v>793</v>
      </c>
      <c r="F173" s="125" t="s">
        <v>690</v>
      </c>
      <c r="G173" s="125" t="s">
        <v>1161</v>
      </c>
      <c r="H173" s="125">
        <v>28099.17</v>
      </c>
      <c r="I173" s="125">
        <v>0</v>
      </c>
      <c r="J173" s="125">
        <v>0</v>
      </c>
      <c r="K173" s="125">
        <v>0</v>
      </c>
      <c r="L173" s="125">
        <v>0</v>
      </c>
      <c r="M173" s="125">
        <v>5900.83</v>
      </c>
      <c r="N173" s="125">
        <v>0</v>
      </c>
      <c r="O173" s="125">
        <v>0</v>
      </c>
      <c r="P173" s="125">
        <v>0</v>
      </c>
      <c r="Q173" s="125">
        <v>0</v>
      </c>
      <c r="R173" s="125">
        <v>5900.83</v>
      </c>
      <c r="S173" s="125">
        <v>34000</v>
      </c>
      <c r="T173" s="125"/>
    </row>
    <row r="174" spans="1:20" ht="15" customHeight="1" x14ac:dyDescent="0.25">
      <c r="A174" s="125" t="s">
        <v>1137</v>
      </c>
      <c r="B174" s="125" t="s">
        <v>791</v>
      </c>
      <c r="C174" s="125" t="s">
        <v>792</v>
      </c>
      <c r="D174" s="125" t="s">
        <v>656</v>
      </c>
      <c r="E174" s="125" t="s">
        <v>793</v>
      </c>
      <c r="F174" s="125" t="s">
        <v>690</v>
      </c>
      <c r="G174" s="125" t="s">
        <v>1162</v>
      </c>
      <c r="H174" s="125">
        <v>3305.79</v>
      </c>
      <c r="I174" s="125">
        <v>0</v>
      </c>
      <c r="J174" s="125">
        <v>0</v>
      </c>
      <c r="K174" s="125">
        <v>0</v>
      </c>
      <c r="L174" s="125">
        <v>0</v>
      </c>
      <c r="M174" s="125">
        <v>694.21</v>
      </c>
      <c r="N174" s="125">
        <v>0</v>
      </c>
      <c r="O174" s="125">
        <v>0</v>
      </c>
      <c r="P174" s="125">
        <v>0</v>
      </c>
      <c r="Q174" s="125">
        <v>0</v>
      </c>
      <c r="R174" s="125">
        <v>694.21</v>
      </c>
      <c r="S174" s="125">
        <v>4000</v>
      </c>
      <c r="T174" s="125"/>
    </row>
    <row r="175" spans="1:20" ht="15" customHeight="1" x14ac:dyDescent="0.25">
      <c r="A175" s="125" t="s">
        <v>1137</v>
      </c>
      <c r="B175" s="125" t="s">
        <v>791</v>
      </c>
      <c r="C175" s="125" t="s">
        <v>792</v>
      </c>
      <c r="D175" s="125" t="s">
        <v>656</v>
      </c>
      <c r="E175" s="125" t="s">
        <v>793</v>
      </c>
      <c r="F175" s="125" t="s">
        <v>690</v>
      </c>
      <c r="G175" s="125" t="s">
        <v>1163</v>
      </c>
      <c r="H175" s="125">
        <v>20413.22</v>
      </c>
      <c r="I175" s="125">
        <v>0</v>
      </c>
      <c r="J175" s="125">
        <v>0</v>
      </c>
      <c r="K175" s="125">
        <v>0</v>
      </c>
      <c r="L175" s="125">
        <v>0</v>
      </c>
      <c r="M175" s="125">
        <v>4286.78</v>
      </c>
      <c r="N175" s="125">
        <v>0</v>
      </c>
      <c r="O175" s="125">
        <v>0</v>
      </c>
      <c r="P175" s="125">
        <v>0</v>
      </c>
      <c r="Q175" s="125">
        <v>0</v>
      </c>
      <c r="R175" s="125">
        <v>4286.78</v>
      </c>
      <c r="S175" s="125">
        <v>24700</v>
      </c>
      <c r="T175" s="125"/>
    </row>
    <row r="176" spans="1:20" ht="15" customHeight="1" x14ac:dyDescent="0.25">
      <c r="A176" s="125" t="s">
        <v>1164</v>
      </c>
      <c r="B176" s="125" t="s">
        <v>791</v>
      </c>
      <c r="C176" s="125" t="s">
        <v>792</v>
      </c>
      <c r="D176" s="125" t="s">
        <v>656</v>
      </c>
      <c r="E176" s="125" t="s">
        <v>793</v>
      </c>
      <c r="F176" s="125" t="s">
        <v>690</v>
      </c>
      <c r="G176" s="125" t="s">
        <v>1165</v>
      </c>
      <c r="H176" s="125">
        <v>61570.25</v>
      </c>
      <c r="I176" s="125">
        <v>0</v>
      </c>
      <c r="J176" s="125">
        <v>0</v>
      </c>
      <c r="K176" s="125">
        <v>0</v>
      </c>
      <c r="L176" s="125">
        <v>0</v>
      </c>
      <c r="M176" s="125">
        <v>12929.75</v>
      </c>
      <c r="N176" s="125">
        <v>0</v>
      </c>
      <c r="O176" s="125">
        <v>0</v>
      </c>
      <c r="P176" s="125">
        <v>0</v>
      </c>
      <c r="Q176" s="125">
        <v>0</v>
      </c>
      <c r="R176" s="125">
        <v>12929.75</v>
      </c>
      <c r="S176" s="125">
        <v>74500</v>
      </c>
      <c r="T176" s="125"/>
    </row>
    <row r="177" spans="1:20" ht="15" customHeight="1" x14ac:dyDescent="0.25">
      <c r="A177" s="125" t="s">
        <v>1164</v>
      </c>
      <c r="B177" s="125" t="s">
        <v>791</v>
      </c>
      <c r="C177" s="125" t="s">
        <v>792</v>
      </c>
      <c r="D177" s="125" t="s">
        <v>656</v>
      </c>
      <c r="E177" s="125" t="s">
        <v>793</v>
      </c>
      <c r="F177" s="125" t="s">
        <v>690</v>
      </c>
      <c r="G177" s="125" t="s">
        <v>1166</v>
      </c>
      <c r="H177" s="125">
        <v>18595.04</v>
      </c>
      <c r="I177" s="125">
        <v>0</v>
      </c>
      <c r="J177" s="125">
        <v>0</v>
      </c>
      <c r="K177" s="125">
        <v>0</v>
      </c>
      <c r="L177" s="125">
        <v>0</v>
      </c>
      <c r="M177" s="125">
        <v>3904.96</v>
      </c>
      <c r="N177" s="125">
        <v>0</v>
      </c>
      <c r="O177" s="125">
        <v>0</v>
      </c>
      <c r="P177" s="125">
        <v>0</v>
      </c>
      <c r="Q177" s="125">
        <v>0</v>
      </c>
      <c r="R177" s="125">
        <v>3904.96</v>
      </c>
      <c r="S177" s="125">
        <v>22500</v>
      </c>
      <c r="T177" s="125"/>
    </row>
    <row r="178" spans="1:20" ht="15" customHeight="1" x14ac:dyDescent="0.25">
      <c r="A178" s="125" t="s">
        <v>1164</v>
      </c>
      <c r="B178" s="125" t="s">
        <v>791</v>
      </c>
      <c r="C178" s="125" t="s">
        <v>792</v>
      </c>
      <c r="D178" s="125" t="s">
        <v>656</v>
      </c>
      <c r="E178" s="125" t="s">
        <v>793</v>
      </c>
      <c r="F178" s="125" t="s">
        <v>690</v>
      </c>
      <c r="G178" s="125" t="s">
        <v>1167</v>
      </c>
      <c r="H178" s="125">
        <v>27272.73</v>
      </c>
      <c r="I178" s="125">
        <v>0</v>
      </c>
      <c r="J178" s="125">
        <v>0</v>
      </c>
      <c r="K178" s="125">
        <v>0</v>
      </c>
      <c r="L178" s="125">
        <v>0</v>
      </c>
      <c r="M178" s="125">
        <v>5727.27</v>
      </c>
      <c r="N178" s="125">
        <v>0</v>
      </c>
      <c r="O178" s="125">
        <v>0</v>
      </c>
      <c r="P178" s="125">
        <v>0</v>
      </c>
      <c r="Q178" s="125">
        <v>0</v>
      </c>
      <c r="R178" s="125">
        <v>5727.27</v>
      </c>
      <c r="S178" s="125">
        <v>33000</v>
      </c>
      <c r="T178" s="125"/>
    </row>
    <row r="179" spans="1:20" ht="15" customHeight="1" x14ac:dyDescent="0.25">
      <c r="A179" s="125" t="s">
        <v>1164</v>
      </c>
      <c r="B179" s="125" t="s">
        <v>791</v>
      </c>
      <c r="C179" s="125" t="s">
        <v>792</v>
      </c>
      <c r="D179" s="125" t="s">
        <v>656</v>
      </c>
      <c r="E179" s="125" t="s">
        <v>793</v>
      </c>
      <c r="F179" s="125" t="s">
        <v>690</v>
      </c>
      <c r="G179" s="125" t="s">
        <v>1168</v>
      </c>
      <c r="H179" s="125">
        <v>37190.080000000002</v>
      </c>
      <c r="I179" s="125">
        <v>0</v>
      </c>
      <c r="J179" s="125">
        <v>0</v>
      </c>
      <c r="K179" s="125">
        <v>0</v>
      </c>
      <c r="L179" s="125">
        <v>0</v>
      </c>
      <c r="M179" s="125">
        <v>7809.92</v>
      </c>
      <c r="N179" s="125">
        <v>0</v>
      </c>
      <c r="O179" s="125">
        <v>0</v>
      </c>
      <c r="P179" s="125">
        <v>0</v>
      </c>
      <c r="Q179" s="125">
        <v>0</v>
      </c>
      <c r="R179" s="125">
        <v>7809.92</v>
      </c>
      <c r="S179" s="125">
        <v>45000</v>
      </c>
      <c r="T179" s="125"/>
    </row>
    <row r="180" spans="1:20" ht="15" customHeight="1" x14ac:dyDescent="0.25">
      <c r="A180" s="125" t="s">
        <v>1164</v>
      </c>
      <c r="B180" s="125" t="s">
        <v>791</v>
      </c>
      <c r="C180" s="125" t="s">
        <v>792</v>
      </c>
      <c r="D180" s="125" t="s">
        <v>656</v>
      </c>
      <c r="E180" s="125" t="s">
        <v>793</v>
      </c>
      <c r="F180" s="125" t="s">
        <v>690</v>
      </c>
      <c r="G180" s="125" t="s">
        <v>1169</v>
      </c>
      <c r="H180" s="125">
        <v>18181.82</v>
      </c>
      <c r="I180" s="125">
        <v>0</v>
      </c>
      <c r="J180" s="125">
        <v>0</v>
      </c>
      <c r="K180" s="125">
        <v>0</v>
      </c>
      <c r="L180" s="125">
        <v>0</v>
      </c>
      <c r="M180" s="125">
        <v>3818.18</v>
      </c>
      <c r="N180" s="125">
        <v>0</v>
      </c>
      <c r="O180" s="125">
        <v>0</v>
      </c>
      <c r="P180" s="125">
        <v>0</v>
      </c>
      <c r="Q180" s="125">
        <v>0</v>
      </c>
      <c r="R180" s="125">
        <v>3818.18</v>
      </c>
      <c r="S180" s="125">
        <v>22000</v>
      </c>
      <c r="T180" s="125"/>
    </row>
    <row r="181" spans="1:20" ht="15" customHeight="1" x14ac:dyDescent="0.25">
      <c r="A181" s="125" t="s">
        <v>1164</v>
      </c>
      <c r="B181" s="125" t="s">
        <v>1170</v>
      </c>
      <c r="C181" s="125" t="s">
        <v>1171</v>
      </c>
      <c r="D181" s="125" t="s">
        <v>656</v>
      </c>
      <c r="E181" s="125" t="s">
        <v>793</v>
      </c>
      <c r="F181" s="125" t="s">
        <v>804</v>
      </c>
      <c r="G181" s="125" t="s">
        <v>1172</v>
      </c>
      <c r="H181" s="125">
        <v>3814049.59</v>
      </c>
      <c r="I181" s="125">
        <v>0</v>
      </c>
      <c r="J181" s="125">
        <v>0</v>
      </c>
      <c r="K181" s="125">
        <v>0</v>
      </c>
      <c r="L181" s="125">
        <v>0</v>
      </c>
      <c r="M181" s="125">
        <v>800950.41</v>
      </c>
      <c r="N181" s="125">
        <v>0</v>
      </c>
      <c r="O181" s="125">
        <v>0</v>
      </c>
      <c r="P181" s="125">
        <v>0</v>
      </c>
      <c r="Q181" s="125">
        <v>0</v>
      </c>
      <c r="R181" s="125">
        <v>800950.41</v>
      </c>
      <c r="S181" s="125">
        <v>4615000</v>
      </c>
      <c r="T181" s="125"/>
    </row>
    <row r="182" spans="1:20" ht="15" customHeight="1" x14ac:dyDescent="0.25">
      <c r="A182" s="125" t="s">
        <v>1164</v>
      </c>
      <c r="B182" s="125" t="s">
        <v>791</v>
      </c>
      <c r="C182" s="125" t="s">
        <v>792</v>
      </c>
      <c r="D182" s="125" t="s">
        <v>656</v>
      </c>
      <c r="E182" s="125" t="s">
        <v>793</v>
      </c>
      <c r="F182" s="125" t="s">
        <v>690</v>
      </c>
      <c r="G182" s="125" t="s">
        <v>1173</v>
      </c>
      <c r="H182" s="125">
        <v>10743.8</v>
      </c>
      <c r="I182" s="125">
        <v>0</v>
      </c>
      <c r="J182" s="125">
        <v>0</v>
      </c>
      <c r="K182" s="125">
        <v>0</v>
      </c>
      <c r="L182" s="125">
        <v>0</v>
      </c>
      <c r="M182" s="125">
        <v>2256.1999999999998</v>
      </c>
      <c r="N182" s="125">
        <v>0</v>
      </c>
      <c r="O182" s="125">
        <v>0</v>
      </c>
      <c r="P182" s="125">
        <v>0</v>
      </c>
      <c r="Q182" s="125">
        <v>0</v>
      </c>
      <c r="R182" s="125">
        <v>2256.1999999999998</v>
      </c>
      <c r="S182" s="125">
        <v>13000</v>
      </c>
      <c r="T182" s="125"/>
    </row>
    <row r="183" spans="1:20" ht="15" customHeight="1" x14ac:dyDescent="0.25">
      <c r="A183" s="125" t="s">
        <v>1164</v>
      </c>
      <c r="B183" s="125" t="s">
        <v>1174</v>
      </c>
      <c r="C183" s="125" t="s">
        <v>1175</v>
      </c>
      <c r="D183" s="125" t="s">
        <v>656</v>
      </c>
      <c r="E183" s="125" t="s">
        <v>793</v>
      </c>
      <c r="F183" s="125" t="s">
        <v>650</v>
      </c>
      <c r="G183" s="125" t="s">
        <v>1176</v>
      </c>
      <c r="H183" s="125">
        <v>1157988.79</v>
      </c>
      <c r="I183" s="125">
        <v>0</v>
      </c>
      <c r="J183" s="125">
        <v>0</v>
      </c>
      <c r="K183" s="125">
        <v>0</v>
      </c>
      <c r="L183" s="125">
        <v>0</v>
      </c>
      <c r="M183" s="125">
        <v>243177.65</v>
      </c>
      <c r="N183" s="125">
        <v>0</v>
      </c>
      <c r="O183" s="125">
        <v>0</v>
      </c>
      <c r="P183" s="125">
        <v>0</v>
      </c>
      <c r="Q183" s="125">
        <v>0</v>
      </c>
      <c r="R183" s="125">
        <v>243177.65</v>
      </c>
      <c r="S183" s="125">
        <v>1401166.44</v>
      </c>
      <c r="T183" s="125"/>
    </row>
    <row r="184" spans="1:20" ht="15" customHeight="1" x14ac:dyDescent="0.25">
      <c r="A184" s="125" t="s">
        <v>1164</v>
      </c>
      <c r="B184" s="125" t="s">
        <v>92</v>
      </c>
      <c r="C184" s="125" t="s">
        <v>879</v>
      </c>
      <c r="D184" s="125" t="s">
        <v>656</v>
      </c>
      <c r="E184" s="125" t="s">
        <v>793</v>
      </c>
      <c r="F184" s="125" t="s">
        <v>650</v>
      </c>
      <c r="G184" s="125" t="s">
        <v>1177</v>
      </c>
      <c r="H184" s="125">
        <v>142907.54999999999</v>
      </c>
      <c r="I184" s="125">
        <v>0</v>
      </c>
      <c r="J184" s="125">
        <v>0</v>
      </c>
      <c r="K184" s="125">
        <v>0</v>
      </c>
      <c r="L184" s="125">
        <v>0</v>
      </c>
      <c r="M184" s="125">
        <v>30010.59</v>
      </c>
      <c r="N184" s="125">
        <v>0</v>
      </c>
      <c r="O184" s="125">
        <v>0</v>
      </c>
      <c r="P184" s="125">
        <v>0</v>
      </c>
      <c r="Q184" s="125">
        <v>0</v>
      </c>
      <c r="R184" s="125">
        <v>30010.59</v>
      </c>
      <c r="S184" s="125">
        <v>172918.14</v>
      </c>
      <c r="T184" s="125"/>
    </row>
    <row r="185" spans="1:20" ht="15" customHeight="1" x14ac:dyDescent="0.25">
      <c r="A185" s="125" t="s">
        <v>1164</v>
      </c>
      <c r="B185" s="125" t="s">
        <v>593</v>
      </c>
      <c r="C185" s="125" t="s">
        <v>1178</v>
      </c>
      <c r="D185" s="125" t="s">
        <v>656</v>
      </c>
      <c r="E185" s="125" t="s">
        <v>793</v>
      </c>
      <c r="F185" s="125" t="s">
        <v>650</v>
      </c>
      <c r="G185" s="125" t="s">
        <v>1179</v>
      </c>
      <c r="H185" s="125">
        <v>179340.24</v>
      </c>
      <c r="I185" s="125">
        <v>0</v>
      </c>
      <c r="J185" s="125">
        <v>0</v>
      </c>
      <c r="K185" s="125">
        <v>0</v>
      </c>
      <c r="L185" s="125">
        <v>0</v>
      </c>
      <c r="M185" s="125">
        <v>37661.449999999997</v>
      </c>
      <c r="N185" s="125">
        <v>0</v>
      </c>
      <c r="O185" s="125">
        <v>0</v>
      </c>
      <c r="P185" s="125">
        <v>0</v>
      </c>
      <c r="Q185" s="125">
        <v>0</v>
      </c>
      <c r="R185" s="125">
        <v>37661.449999999997</v>
      </c>
      <c r="S185" s="125">
        <v>217001.69</v>
      </c>
      <c r="T185" s="125"/>
    </row>
    <row r="186" spans="1:20" ht="15" customHeight="1" x14ac:dyDescent="0.25">
      <c r="A186" s="125" t="s">
        <v>1164</v>
      </c>
      <c r="B186" s="125" t="s">
        <v>1180</v>
      </c>
      <c r="C186" s="125" t="s">
        <v>1181</v>
      </c>
      <c r="D186" s="125" t="s">
        <v>652</v>
      </c>
      <c r="E186" s="125" t="s">
        <v>856</v>
      </c>
      <c r="F186" s="125" t="s">
        <v>650</v>
      </c>
      <c r="G186" s="125" t="s">
        <v>1182</v>
      </c>
      <c r="H186" s="125">
        <v>184642</v>
      </c>
      <c r="I186" s="125">
        <v>0</v>
      </c>
      <c r="J186" s="125">
        <v>0</v>
      </c>
      <c r="K186" s="125">
        <v>0</v>
      </c>
      <c r="L186" s="125">
        <v>0</v>
      </c>
      <c r="M186" s="125">
        <v>38774.82</v>
      </c>
      <c r="N186" s="125">
        <v>0</v>
      </c>
      <c r="O186" s="125">
        <v>0</v>
      </c>
      <c r="P186" s="125">
        <v>0</v>
      </c>
      <c r="Q186" s="125">
        <v>0</v>
      </c>
      <c r="R186" s="125">
        <v>38774.82</v>
      </c>
      <c r="S186" s="125">
        <v>223416.82</v>
      </c>
      <c r="T186" s="125"/>
    </row>
    <row r="187" spans="1:20" ht="15" customHeight="1" x14ac:dyDescent="0.25">
      <c r="A187" s="125" t="s">
        <v>1164</v>
      </c>
      <c r="B187" s="125" t="s">
        <v>880</v>
      </c>
      <c r="C187" s="125" t="s">
        <v>881</v>
      </c>
      <c r="D187" s="125" t="s">
        <v>656</v>
      </c>
      <c r="E187" s="125" t="s">
        <v>793</v>
      </c>
      <c r="F187" s="125" t="s">
        <v>650</v>
      </c>
      <c r="G187" s="125" t="s">
        <v>1183</v>
      </c>
      <c r="H187" s="125">
        <v>200547.26</v>
      </c>
      <c r="I187" s="125">
        <v>0</v>
      </c>
      <c r="J187" s="125">
        <v>0</v>
      </c>
      <c r="K187" s="125">
        <v>0</v>
      </c>
      <c r="L187" s="125">
        <v>0</v>
      </c>
      <c r="M187" s="125">
        <v>42114.92</v>
      </c>
      <c r="N187" s="125">
        <v>0</v>
      </c>
      <c r="O187" s="125">
        <v>0</v>
      </c>
      <c r="P187" s="125">
        <v>0</v>
      </c>
      <c r="Q187" s="125">
        <v>0</v>
      </c>
      <c r="R187" s="125">
        <v>42114.92</v>
      </c>
      <c r="S187" s="125">
        <v>242662.18</v>
      </c>
      <c r="T187" s="125"/>
    </row>
    <row r="188" spans="1:20" ht="15" customHeight="1" x14ac:dyDescent="0.25">
      <c r="A188" s="125" t="s">
        <v>1164</v>
      </c>
      <c r="B188" s="125" t="s">
        <v>791</v>
      </c>
      <c r="C188" s="125" t="s">
        <v>792</v>
      </c>
      <c r="D188" s="125" t="s">
        <v>656</v>
      </c>
      <c r="E188" s="125" t="s">
        <v>793</v>
      </c>
      <c r="F188" s="125" t="s">
        <v>690</v>
      </c>
      <c r="G188" s="125" t="s">
        <v>1184</v>
      </c>
      <c r="H188" s="125">
        <v>61983.47</v>
      </c>
      <c r="I188" s="125">
        <v>0</v>
      </c>
      <c r="J188" s="125">
        <v>0</v>
      </c>
      <c r="K188" s="125">
        <v>0</v>
      </c>
      <c r="L188" s="125">
        <v>0</v>
      </c>
      <c r="M188" s="125">
        <v>13016.53</v>
      </c>
      <c r="N188" s="125">
        <v>0</v>
      </c>
      <c r="O188" s="125">
        <v>0</v>
      </c>
      <c r="P188" s="125">
        <v>0</v>
      </c>
      <c r="Q188" s="125">
        <v>0</v>
      </c>
      <c r="R188" s="125">
        <v>13016.53</v>
      </c>
      <c r="S188" s="125">
        <v>75000</v>
      </c>
      <c r="T188" s="125"/>
    </row>
    <row r="189" spans="1:20" ht="15" customHeight="1" x14ac:dyDescent="0.25">
      <c r="A189" s="125" t="s">
        <v>1164</v>
      </c>
      <c r="B189" s="125" t="s">
        <v>880</v>
      </c>
      <c r="C189" s="125" t="s">
        <v>881</v>
      </c>
      <c r="D189" s="125" t="s">
        <v>656</v>
      </c>
      <c r="E189" s="125" t="s">
        <v>793</v>
      </c>
      <c r="F189" s="125" t="s">
        <v>650</v>
      </c>
      <c r="G189" s="125" t="s">
        <v>1185</v>
      </c>
      <c r="H189" s="125">
        <v>142907.54999999999</v>
      </c>
      <c r="I189" s="125">
        <v>0</v>
      </c>
      <c r="J189" s="125">
        <v>0</v>
      </c>
      <c r="K189" s="125">
        <v>0</v>
      </c>
      <c r="L189" s="125">
        <v>0</v>
      </c>
      <c r="M189" s="125">
        <v>30010.59</v>
      </c>
      <c r="N189" s="125">
        <v>0</v>
      </c>
      <c r="O189" s="125">
        <v>0</v>
      </c>
      <c r="P189" s="125">
        <v>0</v>
      </c>
      <c r="Q189" s="125">
        <v>0</v>
      </c>
      <c r="R189" s="125">
        <v>30010.59</v>
      </c>
      <c r="S189" s="125">
        <v>172918.14</v>
      </c>
      <c r="T189" s="125"/>
    </row>
    <row r="190" spans="1:20" ht="15" customHeight="1" x14ac:dyDescent="0.25">
      <c r="A190" s="125" t="s">
        <v>1164</v>
      </c>
      <c r="B190" s="125" t="s">
        <v>1186</v>
      </c>
      <c r="C190" s="125" t="s">
        <v>1187</v>
      </c>
      <c r="D190" s="125" t="s">
        <v>656</v>
      </c>
      <c r="E190" s="125" t="s">
        <v>793</v>
      </c>
      <c r="F190" s="125" t="s">
        <v>690</v>
      </c>
      <c r="G190" s="125" t="s">
        <v>1188</v>
      </c>
      <c r="H190" s="125">
        <v>47933.88</v>
      </c>
      <c r="I190" s="125">
        <v>0</v>
      </c>
      <c r="J190" s="125">
        <v>0</v>
      </c>
      <c r="K190" s="125">
        <v>0</v>
      </c>
      <c r="L190" s="125">
        <v>0</v>
      </c>
      <c r="M190" s="125">
        <v>10066.120000000001</v>
      </c>
      <c r="N190" s="125">
        <v>0</v>
      </c>
      <c r="O190" s="125">
        <v>0</v>
      </c>
      <c r="P190" s="125">
        <v>0</v>
      </c>
      <c r="Q190" s="125">
        <v>0</v>
      </c>
      <c r="R190" s="125">
        <v>10066.120000000001</v>
      </c>
      <c r="S190" s="125">
        <v>58000</v>
      </c>
      <c r="T190" s="125"/>
    </row>
    <row r="191" spans="1:20" ht="15" customHeight="1" x14ac:dyDescent="0.25">
      <c r="A191" s="125" t="s">
        <v>1164</v>
      </c>
      <c r="B191" s="125" t="s">
        <v>791</v>
      </c>
      <c r="C191" s="125" t="s">
        <v>792</v>
      </c>
      <c r="D191" s="125" t="s">
        <v>656</v>
      </c>
      <c r="E191" s="125" t="s">
        <v>793</v>
      </c>
      <c r="F191" s="125" t="s">
        <v>690</v>
      </c>
      <c r="G191" s="125" t="s">
        <v>1189</v>
      </c>
      <c r="H191" s="125">
        <v>20661.16</v>
      </c>
      <c r="I191" s="125">
        <v>0</v>
      </c>
      <c r="J191" s="125">
        <v>0</v>
      </c>
      <c r="K191" s="125">
        <v>0</v>
      </c>
      <c r="L191" s="125">
        <v>0</v>
      </c>
      <c r="M191" s="125">
        <v>4338.84</v>
      </c>
      <c r="N191" s="125">
        <v>0</v>
      </c>
      <c r="O191" s="125">
        <v>0</v>
      </c>
      <c r="P191" s="125">
        <v>0</v>
      </c>
      <c r="Q191" s="125">
        <v>0</v>
      </c>
      <c r="R191" s="125">
        <v>4338.84</v>
      </c>
      <c r="S191" s="125">
        <v>25000</v>
      </c>
      <c r="T191" s="125"/>
    </row>
    <row r="192" spans="1:20" ht="15" customHeight="1" x14ac:dyDescent="0.25">
      <c r="A192" s="125" t="s">
        <v>1164</v>
      </c>
      <c r="B192" s="125" t="s">
        <v>791</v>
      </c>
      <c r="C192" s="125" t="s">
        <v>792</v>
      </c>
      <c r="D192" s="125" t="s">
        <v>656</v>
      </c>
      <c r="E192" s="125" t="s">
        <v>793</v>
      </c>
      <c r="F192" s="125" t="s">
        <v>690</v>
      </c>
      <c r="G192" s="125" t="s">
        <v>1190</v>
      </c>
      <c r="H192" s="125">
        <v>37190.080000000002</v>
      </c>
      <c r="I192" s="125">
        <v>0</v>
      </c>
      <c r="J192" s="125">
        <v>0</v>
      </c>
      <c r="K192" s="125">
        <v>0</v>
      </c>
      <c r="L192" s="125">
        <v>0</v>
      </c>
      <c r="M192" s="125">
        <v>7809.92</v>
      </c>
      <c r="N192" s="125">
        <v>0</v>
      </c>
      <c r="O192" s="125">
        <v>0</v>
      </c>
      <c r="P192" s="125">
        <v>0</v>
      </c>
      <c r="Q192" s="125">
        <v>0</v>
      </c>
      <c r="R192" s="125">
        <v>7809.92</v>
      </c>
      <c r="S192" s="125">
        <v>45000</v>
      </c>
      <c r="T192" s="125"/>
    </row>
    <row r="193" spans="1:20" ht="15" customHeight="1" x14ac:dyDescent="0.25">
      <c r="A193" s="125" t="s">
        <v>1164</v>
      </c>
      <c r="B193" s="125" t="s">
        <v>791</v>
      </c>
      <c r="C193" s="125" t="s">
        <v>792</v>
      </c>
      <c r="D193" s="125" t="s">
        <v>656</v>
      </c>
      <c r="E193" s="125" t="s">
        <v>793</v>
      </c>
      <c r="F193" s="125" t="s">
        <v>690</v>
      </c>
      <c r="G193" s="125" t="s">
        <v>1191</v>
      </c>
      <c r="H193" s="125">
        <v>49586.78</v>
      </c>
      <c r="I193" s="125">
        <v>0</v>
      </c>
      <c r="J193" s="125">
        <v>0</v>
      </c>
      <c r="K193" s="125">
        <v>0</v>
      </c>
      <c r="L193" s="125">
        <v>0</v>
      </c>
      <c r="M193" s="125">
        <v>10413.219999999999</v>
      </c>
      <c r="N193" s="125">
        <v>0</v>
      </c>
      <c r="O193" s="125">
        <v>0</v>
      </c>
      <c r="P193" s="125">
        <v>0</v>
      </c>
      <c r="Q193" s="125">
        <v>0</v>
      </c>
      <c r="R193" s="125">
        <v>10413.219999999999</v>
      </c>
      <c r="S193" s="125">
        <v>60000</v>
      </c>
      <c r="T193" s="125"/>
    </row>
    <row r="194" spans="1:20" ht="15" customHeight="1" x14ac:dyDescent="0.25">
      <c r="A194" s="125" t="s">
        <v>1164</v>
      </c>
      <c r="B194" s="125" t="s">
        <v>791</v>
      </c>
      <c r="C194" s="125" t="s">
        <v>792</v>
      </c>
      <c r="D194" s="125" t="s">
        <v>656</v>
      </c>
      <c r="E194" s="125" t="s">
        <v>793</v>
      </c>
      <c r="F194" s="125" t="s">
        <v>690</v>
      </c>
      <c r="G194" s="125" t="s">
        <v>1192</v>
      </c>
      <c r="H194" s="125">
        <v>36363.64</v>
      </c>
      <c r="I194" s="125">
        <v>0</v>
      </c>
      <c r="J194" s="125">
        <v>0</v>
      </c>
      <c r="K194" s="125">
        <v>0</v>
      </c>
      <c r="L194" s="125">
        <v>0</v>
      </c>
      <c r="M194" s="125">
        <v>7636.36</v>
      </c>
      <c r="N194" s="125">
        <v>0</v>
      </c>
      <c r="O194" s="125">
        <v>0</v>
      </c>
      <c r="P194" s="125">
        <v>0</v>
      </c>
      <c r="Q194" s="125">
        <v>0</v>
      </c>
      <c r="R194" s="125">
        <v>7636.36</v>
      </c>
      <c r="S194" s="125">
        <v>44000</v>
      </c>
      <c r="T194" s="125"/>
    </row>
    <row r="195" spans="1:20" ht="15" customHeight="1" x14ac:dyDescent="0.25">
      <c r="A195" s="125" t="s">
        <v>1164</v>
      </c>
      <c r="B195" s="125" t="s">
        <v>791</v>
      </c>
      <c r="C195" s="125" t="s">
        <v>792</v>
      </c>
      <c r="D195" s="125" t="s">
        <v>656</v>
      </c>
      <c r="E195" s="125" t="s">
        <v>793</v>
      </c>
      <c r="F195" s="125" t="s">
        <v>690</v>
      </c>
      <c r="G195" s="125" t="s">
        <v>1193</v>
      </c>
      <c r="H195" s="125">
        <v>11570.25</v>
      </c>
      <c r="I195" s="125">
        <v>0</v>
      </c>
      <c r="J195" s="125">
        <v>0</v>
      </c>
      <c r="K195" s="125">
        <v>0</v>
      </c>
      <c r="L195" s="125">
        <v>0</v>
      </c>
      <c r="M195" s="125">
        <v>2429.75</v>
      </c>
      <c r="N195" s="125">
        <v>0</v>
      </c>
      <c r="O195" s="125">
        <v>0</v>
      </c>
      <c r="P195" s="125">
        <v>0</v>
      </c>
      <c r="Q195" s="125">
        <v>0</v>
      </c>
      <c r="R195" s="125">
        <v>2429.75</v>
      </c>
      <c r="S195" s="125">
        <v>14000</v>
      </c>
      <c r="T195" s="125"/>
    </row>
    <row r="196" spans="1:20" ht="15" customHeight="1" x14ac:dyDescent="0.25">
      <c r="A196" s="125" t="s">
        <v>1194</v>
      </c>
      <c r="B196" s="125" t="s">
        <v>1195</v>
      </c>
      <c r="C196" s="125" t="s">
        <v>1196</v>
      </c>
      <c r="D196" s="125" t="s">
        <v>656</v>
      </c>
      <c r="E196" s="125" t="s">
        <v>793</v>
      </c>
      <c r="F196" s="125" t="s">
        <v>690</v>
      </c>
      <c r="G196" s="125" t="s">
        <v>1197</v>
      </c>
      <c r="H196" s="125">
        <v>85123.97</v>
      </c>
      <c r="I196" s="125">
        <v>0</v>
      </c>
      <c r="J196" s="125">
        <v>0</v>
      </c>
      <c r="K196" s="125">
        <v>0</v>
      </c>
      <c r="L196" s="125">
        <v>0</v>
      </c>
      <c r="M196" s="125">
        <v>17876.03</v>
      </c>
      <c r="N196" s="125">
        <v>0</v>
      </c>
      <c r="O196" s="125">
        <v>0</v>
      </c>
      <c r="P196" s="125">
        <v>0</v>
      </c>
      <c r="Q196" s="125">
        <v>0</v>
      </c>
      <c r="R196" s="125">
        <v>17876.03</v>
      </c>
      <c r="S196" s="125">
        <v>103000</v>
      </c>
      <c r="T196" s="125"/>
    </row>
    <row r="197" spans="1:20" ht="15" customHeight="1" x14ac:dyDescent="0.25">
      <c r="A197" s="125" t="s">
        <v>1194</v>
      </c>
      <c r="B197" s="125" t="s">
        <v>888</v>
      </c>
      <c r="C197" s="125" t="s">
        <v>889</v>
      </c>
      <c r="D197" s="125" t="s">
        <v>656</v>
      </c>
      <c r="E197" s="125" t="s">
        <v>793</v>
      </c>
      <c r="F197" s="125" t="s">
        <v>690</v>
      </c>
      <c r="G197" s="125" t="s">
        <v>1198</v>
      </c>
      <c r="H197" s="125">
        <v>18181.82</v>
      </c>
      <c r="I197" s="125">
        <v>0</v>
      </c>
      <c r="J197" s="125">
        <v>0</v>
      </c>
      <c r="K197" s="125">
        <v>0</v>
      </c>
      <c r="L197" s="125">
        <v>0</v>
      </c>
      <c r="M197" s="125">
        <v>3818.18</v>
      </c>
      <c r="N197" s="125">
        <v>0</v>
      </c>
      <c r="O197" s="125">
        <v>0</v>
      </c>
      <c r="P197" s="125">
        <v>0</v>
      </c>
      <c r="Q197" s="125">
        <v>0</v>
      </c>
      <c r="R197" s="125">
        <v>3818.18</v>
      </c>
      <c r="S197" s="125">
        <v>22000</v>
      </c>
      <c r="T197" s="125"/>
    </row>
    <row r="198" spans="1:20" ht="15" customHeight="1" x14ac:dyDescent="0.25">
      <c r="A198" s="125" t="s">
        <v>1194</v>
      </c>
      <c r="B198" s="125" t="s">
        <v>877</v>
      </c>
      <c r="C198" s="125" t="s">
        <v>878</v>
      </c>
      <c r="D198" s="125" t="s">
        <v>656</v>
      </c>
      <c r="E198" s="125" t="s">
        <v>793</v>
      </c>
      <c r="F198" s="125" t="s">
        <v>804</v>
      </c>
      <c r="G198" s="125" t="s">
        <v>1199</v>
      </c>
      <c r="H198" s="125">
        <v>18181.82</v>
      </c>
      <c r="I198" s="125">
        <v>0</v>
      </c>
      <c r="J198" s="125">
        <v>0</v>
      </c>
      <c r="K198" s="125">
        <v>0</v>
      </c>
      <c r="L198" s="125">
        <v>0</v>
      </c>
      <c r="M198" s="125">
        <v>3818.18</v>
      </c>
      <c r="N198" s="125">
        <v>0</v>
      </c>
      <c r="O198" s="125">
        <v>0</v>
      </c>
      <c r="P198" s="125">
        <v>0</v>
      </c>
      <c r="Q198" s="125">
        <v>0</v>
      </c>
      <c r="R198" s="125">
        <v>3818.18</v>
      </c>
      <c r="S198" s="125">
        <v>22000</v>
      </c>
      <c r="T198" s="125"/>
    </row>
    <row r="199" spans="1:20" ht="15" customHeight="1" x14ac:dyDescent="0.25">
      <c r="A199" s="125" t="s">
        <v>1194</v>
      </c>
      <c r="B199" s="125" t="s">
        <v>892</v>
      </c>
      <c r="C199" s="125" t="s">
        <v>893</v>
      </c>
      <c r="D199" s="125" t="s">
        <v>656</v>
      </c>
      <c r="E199" s="125" t="s">
        <v>1200</v>
      </c>
      <c r="F199" s="125" t="s">
        <v>690</v>
      </c>
      <c r="G199" s="125" t="s">
        <v>1201</v>
      </c>
      <c r="H199" s="125">
        <v>33057.85</v>
      </c>
      <c r="I199" s="125">
        <v>0</v>
      </c>
      <c r="J199" s="125">
        <v>0</v>
      </c>
      <c r="K199" s="125">
        <v>0</v>
      </c>
      <c r="L199" s="125">
        <v>0</v>
      </c>
      <c r="M199" s="125">
        <v>6942.15</v>
      </c>
      <c r="N199" s="125">
        <v>0</v>
      </c>
      <c r="O199" s="125">
        <v>0</v>
      </c>
      <c r="P199" s="125">
        <v>0</v>
      </c>
      <c r="Q199" s="125">
        <v>0</v>
      </c>
      <c r="R199" s="125">
        <v>6942.15</v>
      </c>
      <c r="S199" s="125">
        <v>40000</v>
      </c>
      <c r="T199" s="125"/>
    </row>
    <row r="200" spans="1:20" ht="15" customHeight="1" x14ac:dyDescent="0.25">
      <c r="A200" s="125" t="s">
        <v>1194</v>
      </c>
      <c r="B200" s="125" t="s">
        <v>862</v>
      </c>
      <c r="C200" s="125" t="s">
        <v>863</v>
      </c>
      <c r="D200" s="125" t="s">
        <v>656</v>
      </c>
      <c r="E200" s="125" t="s">
        <v>793</v>
      </c>
      <c r="F200" s="125" t="s">
        <v>690</v>
      </c>
      <c r="G200" s="125" t="s">
        <v>1202</v>
      </c>
      <c r="H200" s="125">
        <v>8793.39</v>
      </c>
      <c r="I200" s="125">
        <v>0</v>
      </c>
      <c r="J200" s="125">
        <v>0</v>
      </c>
      <c r="K200" s="125">
        <v>0</v>
      </c>
      <c r="L200" s="125">
        <v>0</v>
      </c>
      <c r="M200" s="125">
        <v>1846.61</v>
      </c>
      <c r="N200" s="125">
        <v>0</v>
      </c>
      <c r="O200" s="125">
        <v>0</v>
      </c>
      <c r="P200" s="125">
        <v>0</v>
      </c>
      <c r="Q200" s="125">
        <v>0</v>
      </c>
      <c r="R200" s="125">
        <v>1846.61</v>
      </c>
      <c r="S200" s="125">
        <v>10640</v>
      </c>
      <c r="T200" s="125"/>
    </row>
    <row r="201" spans="1:20" ht="15" customHeight="1" x14ac:dyDescent="0.25">
      <c r="A201" s="125" t="s">
        <v>1194</v>
      </c>
      <c r="B201" s="125" t="s">
        <v>870</v>
      </c>
      <c r="C201" s="125" t="s">
        <v>871</v>
      </c>
      <c r="D201" s="125" t="s">
        <v>656</v>
      </c>
      <c r="E201" s="125" t="s">
        <v>793</v>
      </c>
      <c r="F201" s="125" t="s">
        <v>690</v>
      </c>
      <c r="G201" s="125" t="s">
        <v>1203</v>
      </c>
      <c r="H201" s="125">
        <v>18181.82</v>
      </c>
      <c r="I201" s="125">
        <v>0</v>
      </c>
      <c r="J201" s="125">
        <v>0</v>
      </c>
      <c r="K201" s="125">
        <v>0</v>
      </c>
      <c r="L201" s="125">
        <v>0</v>
      </c>
      <c r="M201" s="125">
        <v>3818.18</v>
      </c>
      <c r="N201" s="125">
        <v>0</v>
      </c>
      <c r="O201" s="125">
        <v>0</v>
      </c>
      <c r="P201" s="125">
        <v>0</v>
      </c>
      <c r="Q201" s="125">
        <v>0</v>
      </c>
      <c r="R201" s="125">
        <v>3818.18</v>
      </c>
      <c r="S201" s="125">
        <v>22000</v>
      </c>
      <c r="T201" s="125"/>
    </row>
    <row r="202" spans="1:20" ht="15" customHeight="1" x14ac:dyDescent="0.25">
      <c r="A202" s="125" t="s">
        <v>1194</v>
      </c>
      <c r="B202" s="125" t="s">
        <v>886</v>
      </c>
      <c r="C202" s="125" t="s">
        <v>887</v>
      </c>
      <c r="D202" s="125" t="s">
        <v>652</v>
      </c>
      <c r="E202" s="125" t="s">
        <v>835</v>
      </c>
      <c r="F202" s="125" t="s">
        <v>690</v>
      </c>
      <c r="G202" s="125" t="s">
        <v>1204</v>
      </c>
      <c r="H202" s="125">
        <v>32231.4</v>
      </c>
      <c r="I202" s="125">
        <v>0</v>
      </c>
      <c r="J202" s="125">
        <v>0</v>
      </c>
      <c r="K202" s="125">
        <v>0</v>
      </c>
      <c r="L202" s="125">
        <v>0</v>
      </c>
      <c r="M202" s="125">
        <v>6768.6</v>
      </c>
      <c r="N202" s="125">
        <v>0</v>
      </c>
      <c r="O202" s="125">
        <v>0</v>
      </c>
      <c r="P202" s="125">
        <v>0</v>
      </c>
      <c r="Q202" s="125">
        <v>0</v>
      </c>
      <c r="R202" s="125">
        <v>6768.6</v>
      </c>
      <c r="S202" s="125">
        <v>39000</v>
      </c>
      <c r="T202" s="125"/>
    </row>
    <row r="203" spans="1:20" ht="15" customHeight="1" x14ac:dyDescent="0.25">
      <c r="A203" s="125" t="s">
        <v>1194</v>
      </c>
      <c r="B203" s="125" t="s">
        <v>890</v>
      </c>
      <c r="C203" s="125" t="s">
        <v>891</v>
      </c>
      <c r="D203" s="125" t="s">
        <v>656</v>
      </c>
      <c r="E203" s="125" t="s">
        <v>793</v>
      </c>
      <c r="F203" s="125" t="s">
        <v>804</v>
      </c>
      <c r="G203" s="125" t="s">
        <v>1205</v>
      </c>
      <c r="H203" s="125">
        <v>97520.66</v>
      </c>
      <c r="I203" s="125">
        <v>0</v>
      </c>
      <c r="J203" s="125">
        <v>0</v>
      </c>
      <c r="K203" s="125">
        <v>0</v>
      </c>
      <c r="L203" s="125">
        <v>0</v>
      </c>
      <c r="M203" s="125">
        <v>20479.34</v>
      </c>
      <c r="N203" s="125">
        <v>0</v>
      </c>
      <c r="O203" s="125">
        <v>0</v>
      </c>
      <c r="P203" s="125">
        <v>0</v>
      </c>
      <c r="Q203" s="125">
        <v>0</v>
      </c>
      <c r="R203" s="125">
        <v>20479.34</v>
      </c>
      <c r="S203" s="125">
        <v>118000</v>
      </c>
      <c r="T203" s="125"/>
    </row>
    <row r="204" spans="1:20" ht="15" customHeight="1" x14ac:dyDescent="0.25">
      <c r="A204" s="125" t="s">
        <v>1194</v>
      </c>
      <c r="B204" s="125" t="s">
        <v>840</v>
      </c>
      <c r="C204" s="125" t="s">
        <v>841</v>
      </c>
      <c r="D204" s="125" t="s">
        <v>656</v>
      </c>
      <c r="E204" s="125" t="s">
        <v>793</v>
      </c>
      <c r="F204" s="125" t="s">
        <v>690</v>
      </c>
      <c r="G204" s="125" t="s">
        <v>1206</v>
      </c>
      <c r="H204" s="125">
        <v>21487.599999999999</v>
      </c>
      <c r="I204" s="125">
        <v>0</v>
      </c>
      <c r="J204" s="125">
        <v>0</v>
      </c>
      <c r="K204" s="125">
        <v>0</v>
      </c>
      <c r="L204" s="125">
        <v>0</v>
      </c>
      <c r="M204" s="125">
        <v>4512.3999999999996</v>
      </c>
      <c r="N204" s="125">
        <v>0</v>
      </c>
      <c r="O204" s="125">
        <v>0</v>
      </c>
      <c r="P204" s="125">
        <v>0</v>
      </c>
      <c r="Q204" s="125">
        <v>0</v>
      </c>
      <c r="R204" s="125">
        <v>4512.3999999999996</v>
      </c>
      <c r="S204" s="125">
        <v>26000</v>
      </c>
      <c r="T204" s="125"/>
    </row>
    <row r="205" spans="1:20" ht="15" customHeight="1" x14ac:dyDescent="0.25">
      <c r="A205" s="125" t="s">
        <v>1194</v>
      </c>
      <c r="B205" s="125" t="s">
        <v>860</v>
      </c>
      <c r="C205" s="125" t="s">
        <v>861</v>
      </c>
      <c r="D205" s="125" t="s">
        <v>656</v>
      </c>
      <c r="E205" s="125" t="s">
        <v>793</v>
      </c>
      <c r="F205" s="125" t="s">
        <v>690</v>
      </c>
      <c r="G205" s="125" t="s">
        <v>1207</v>
      </c>
      <c r="H205" s="125">
        <v>28925.62</v>
      </c>
      <c r="I205" s="125">
        <v>0</v>
      </c>
      <c r="J205" s="125">
        <v>0</v>
      </c>
      <c r="K205" s="125">
        <v>0</v>
      </c>
      <c r="L205" s="125">
        <v>0</v>
      </c>
      <c r="M205" s="125">
        <v>6074.38</v>
      </c>
      <c r="N205" s="125">
        <v>0</v>
      </c>
      <c r="O205" s="125">
        <v>0</v>
      </c>
      <c r="P205" s="125">
        <v>0</v>
      </c>
      <c r="Q205" s="125">
        <v>0</v>
      </c>
      <c r="R205" s="125">
        <v>6074.38</v>
      </c>
      <c r="S205" s="125">
        <v>35000</v>
      </c>
      <c r="T205" s="125"/>
    </row>
    <row r="206" spans="1:20" ht="15" customHeight="1" x14ac:dyDescent="0.25">
      <c r="A206" s="125" t="s">
        <v>1194</v>
      </c>
      <c r="B206" s="125" t="s">
        <v>796</v>
      </c>
      <c r="C206" s="125" t="s">
        <v>797</v>
      </c>
      <c r="D206" s="125" t="s">
        <v>656</v>
      </c>
      <c r="E206" s="125" t="s">
        <v>793</v>
      </c>
      <c r="F206" s="125" t="s">
        <v>690</v>
      </c>
      <c r="G206" s="125" t="s">
        <v>1208</v>
      </c>
      <c r="H206" s="125">
        <v>28925.62</v>
      </c>
      <c r="I206" s="125">
        <v>0</v>
      </c>
      <c r="J206" s="125">
        <v>0</v>
      </c>
      <c r="K206" s="125">
        <v>0</v>
      </c>
      <c r="L206" s="125">
        <v>0</v>
      </c>
      <c r="M206" s="125">
        <v>6074.38</v>
      </c>
      <c r="N206" s="125">
        <v>0</v>
      </c>
      <c r="O206" s="125">
        <v>0</v>
      </c>
      <c r="P206" s="125">
        <v>0</v>
      </c>
      <c r="Q206" s="125">
        <v>0</v>
      </c>
      <c r="R206" s="125">
        <v>6074.38</v>
      </c>
      <c r="S206" s="125">
        <v>35000</v>
      </c>
      <c r="T206" s="125"/>
    </row>
    <row r="207" spans="1:20" ht="15" customHeight="1" x14ac:dyDescent="0.25">
      <c r="A207" s="125" t="s">
        <v>1194</v>
      </c>
      <c r="B207" s="125" t="s">
        <v>857</v>
      </c>
      <c r="C207" s="125" t="s">
        <v>858</v>
      </c>
      <c r="D207" s="125" t="s">
        <v>656</v>
      </c>
      <c r="E207" s="125" t="s">
        <v>793</v>
      </c>
      <c r="F207" s="125" t="s">
        <v>690</v>
      </c>
      <c r="G207" s="125" t="s">
        <v>1209</v>
      </c>
      <c r="H207" s="125">
        <v>20661.16</v>
      </c>
      <c r="I207" s="125">
        <v>0</v>
      </c>
      <c r="J207" s="125">
        <v>0</v>
      </c>
      <c r="K207" s="125">
        <v>0</v>
      </c>
      <c r="L207" s="125">
        <v>0</v>
      </c>
      <c r="M207" s="125">
        <v>4338.84</v>
      </c>
      <c r="N207" s="125">
        <v>0</v>
      </c>
      <c r="O207" s="125">
        <v>0</v>
      </c>
      <c r="P207" s="125">
        <v>0</v>
      </c>
      <c r="Q207" s="125">
        <v>0</v>
      </c>
      <c r="R207" s="125">
        <v>4338.84</v>
      </c>
      <c r="S207" s="125">
        <v>25000</v>
      </c>
      <c r="T207" s="125"/>
    </row>
    <row r="208" spans="1:20" ht="15" customHeight="1" x14ac:dyDescent="0.25">
      <c r="A208" s="125" t="s">
        <v>1194</v>
      </c>
      <c r="B208" s="125" t="s">
        <v>866</v>
      </c>
      <c r="C208" s="125"/>
      <c r="D208" s="125" t="s">
        <v>656</v>
      </c>
      <c r="E208" s="125" t="s">
        <v>793</v>
      </c>
      <c r="F208" s="125" t="s">
        <v>690</v>
      </c>
      <c r="G208" s="125" t="s">
        <v>1210</v>
      </c>
      <c r="H208" s="125">
        <v>61983.47</v>
      </c>
      <c r="I208" s="125">
        <v>0</v>
      </c>
      <c r="J208" s="125">
        <v>0</v>
      </c>
      <c r="K208" s="125">
        <v>0</v>
      </c>
      <c r="L208" s="125">
        <v>0</v>
      </c>
      <c r="M208" s="125">
        <v>13016.53</v>
      </c>
      <c r="N208" s="125">
        <v>0</v>
      </c>
      <c r="O208" s="125">
        <v>0</v>
      </c>
      <c r="P208" s="125">
        <v>0</v>
      </c>
      <c r="Q208" s="125">
        <v>0</v>
      </c>
      <c r="R208" s="125">
        <v>13016.53</v>
      </c>
      <c r="S208" s="125">
        <v>75000</v>
      </c>
      <c r="T208" s="125"/>
    </row>
    <row r="209" spans="1:20" ht="15" customHeight="1" x14ac:dyDescent="0.25">
      <c r="A209" s="125" t="s">
        <v>1194</v>
      </c>
      <c r="B209" s="125" t="s">
        <v>872</v>
      </c>
      <c r="C209" s="125" t="s">
        <v>873</v>
      </c>
      <c r="D209" s="125" t="s">
        <v>656</v>
      </c>
      <c r="E209" s="125" t="s">
        <v>793</v>
      </c>
      <c r="F209" s="125" t="s">
        <v>690</v>
      </c>
      <c r="G209" s="125" t="s">
        <v>1211</v>
      </c>
      <c r="H209" s="125">
        <v>28925.62</v>
      </c>
      <c r="I209" s="125">
        <v>0</v>
      </c>
      <c r="J209" s="125">
        <v>0</v>
      </c>
      <c r="K209" s="125">
        <v>0</v>
      </c>
      <c r="L209" s="125">
        <v>0</v>
      </c>
      <c r="M209" s="125">
        <v>6074.38</v>
      </c>
      <c r="N209" s="125">
        <v>0</v>
      </c>
      <c r="O209" s="125">
        <v>0</v>
      </c>
      <c r="P209" s="125">
        <v>0</v>
      </c>
      <c r="Q209" s="125">
        <v>0</v>
      </c>
      <c r="R209" s="125">
        <v>6074.38</v>
      </c>
      <c r="S209" s="125">
        <v>35000</v>
      </c>
      <c r="T209" s="125"/>
    </row>
    <row r="210" spans="1:20" ht="15" customHeight="1" x14ac:dyDescent="0.25">
      <c r="A210" s="125" t="s">
        <v>1194</v>
      </c>
      <c r="B210" s="125" t="s">
        <v>1212</v>
      </c>
      <c r="C210" s="125" t="s">
        <v>1213</v>
      </c>
      <c r="D210" s="125" t="s">
        <v>656</v>
      </c>
      <c r="E210" s="125" t="s">
        <v>793</v>
      </c>
      <c r="F210" s="125" t="s">
        <v>690</v>
      </c>
      <c r="G210" s="125" t="s">
        <v>1214</v>
      </c>
      <c r="H210" s="125">
        <v>50413.22</v>
      </c>
      <c r="I210" s="125">
        <v>0</v>
      </c>
      <c r="J210" s="125">
        <v>0</v>
      </c>
      <c r="K210" s="125">
        <v>0</v>
      </c>
      <c r="L210" s="125">
        <v>0</v>
      </c>
      <c r="M210" s="125">
        <v>10586.78</v>
      </c>
      <c r="N210" s="125">
        <v>0</v>
      </c>
      <c r="O210" s="125">
        <v>0</v>
      </c>
      <c r="P210" s="125">
        <v>0</v>
      </c>
      <c r="Q210" s="125">
        <v>0</v>
      </c>
      <c r="R210" s="125">
        <v>10586.78</v>
      </c>
      <c r="S210" s="125">
        <v>61000</v>
      </c>
      <c r="T210" s="125"/>
    </row>
    <row r="211" spans="1:20" ht="15" customHeight="1" x14ac:dyDescent="0.25">
      <c r="A211" s="125" t="s">
        <v>1194</v>
      </c>
      <c r="B211" s="125" t="s">
        <v>791</v>
      </c>
      <c r="C211" s="125" t="s">
        <v>792</v>
      </c>
      <c r="D211" s="125" t="s">
        <v>656</v>
      </c>
      <c r="E211" s="125" t="s">
        <v>793</v>
      </c>
      <c r="F211" s="125" t="s">
        <v>690</v>
      </c>
      <c r="G211" s="125" t="s">
        <v>1215</v>
      </c>
      <c r="H211" s="125">
        <v>94876.03</v>
      </c>
      <c r="I211" s="125">
        <v>0</v>
      </c>
      <c r="J211" s="125">
        <v>0</v>
      </c>
      <c r="K211" s="125">
        <v>0</v>
      </c>
      <c r="L211" s="125">
        <v>0</v>
      </c>
      <c r="M211" s="125">
        <v>19923.97</v>
      </c>
      <c r="N211" s="125">
        <v>0</v>
      </c>
      <c r="O211" s="125">
        <v>0</v>
      </c>
      <c r="P211" s="125">
        <v>0</v>
      </c>
      <c r="Q211" s="125">
        <v>0</v>
      </c>
      <c r="R211" s="125">
        <v>19923.97</v>
      </c>
      <c r="S211" s="125">
        <v>114800</v>
      </c>
      <c r="T211" s="125"/>
    </row>
    <row r="212" spans="1:20" ht="15" customHeight="1" x14ac:dyDescent="0.25">
      <c r="A212" s="125" t="s">
        <v>1194</v>
      </c>
      <c r="B212" s="125" t="s">
        <v>791</v>
      </c>
      <c r="C212" s="125" t="s">
        <v>792</v>
      </c>
      <c r="D212" s="125" t="s">
        <v>656</v>
      </c>
      <c r="E212" s="125" t="s">
        <v>793</v>
      </c>
      <c r="F212" s="125" t="s">
        <v>690</v>
      </c>
      <c r="G212" s="125" t="s">
        <v>1216</v>
      </c>
      <c r="H212" s="125">
        <v>14049.59</v>
      </c>
      <c r="I212" s="125">
        <v>0</v>
      </c>
      <c r="J212" s="125">
        <v>0</v>
      </c>
      <c r="K212" s="125">
        <v>0</v>
      </c>
      <c r="L212" s="125">
        <v>0</v>
      </c>
      <c r="M212" s="125">
        <v>2950.41</v>
      </c>
      <c r="N212" s="125">
        <v>0</v>
      </c>
      <c r="O212" s="125">
        <v>0</v>
      </c>
      <c r="P212" s="125">
        <v>0</v>
      </c>
      <c r="Q212" s="125">
        <v>0</v>
      </c>
      <c r="R212" s="125">
        <v>2950.41</v>
      </c>
      <c r="S212" s="125">
        <v>17000</v>
      </c>
      <c r="T212" s="125"/>
    </row>
    <row r="213" spans="1:20" ht="15" customHeight="1" x14ac:dyDescent="0.25">
      <c r="A213" s="125" t="s">
        <v>1194</v>
      </c>
      <c r="B213" s="125" t="s">
        <v>791</v>
      </c>
      <c r="C213" s="125" t="s">
        <v>792</v>
      </c>
      <c r="D213" s="125" t="s">
        <v>656</v>
      </c>
      <c r="E213" s="125" t="s">
        <v>793</v>
      </c>
      <c r="F213" s="125" t="s">
        <v>690</v>
      </c>
      <c r="G213" s="125" t="s">
        <v>1217</v>
      </c>
      <c r="H213" s="125">
        <v>20413.22</v>
      </c>
      <c r="I213" s="125">
        <v>0</v>
      </c>
      <c r="J213" s="125">
        <v>0</v>
      </c>
      <c r="K213" s="125">
        <v>0</v>
      </c>
      <c r="L213" s="125">
        <v>0</v>
      </c>
      <c r="M213" s="125">
        <v>4286.78</v>
      </c>
      <c r="N213" s="125">
        <v>0</v>
      </c>
      <c r="O213" s="125">
        <v>0</v>
      </c>
      <c r="P213" s="125">
        <v>0</v>
      </c>
      <c r="Q213" s="125">
        <v>0</v>
      </c>
      <c r="R213" s="125">
        <v>4286.78</v>
      </c>
      <c r="S213" s="125">
        <v>24700</v>
      </c>
      <c r="T213" s="125"/>
    </row>
    <row r="214" spans="1:20" ht="15" customHeight="1" x14ac:dyDescent="0.25">
      <c r="A214" s="125" t="s">
        <v>1194</v>
      </c>
      <c r="B214" s="125" t="s">
        <v>791</v>
      </c>
      <c r="C214" s="125" t="s">
        <v>792</v>
      </c>
      <c r="D214" s="125" t="s">
        <v>656</v>
      </c>
      <c r="E214" s="125" t="s">
        <v>793</v>
      </c>
      <c r="F214" s="125" t="s">
        <v>690</v>
      </c>
      <c r="G214" s="125" t="s">
        <v>1218</v>
      </c>
      <c r="H214" s="125">
        <v>28925.62</v>
      </c>
      <c r="I214" s="125">
        <v>0</v>
      </c>
      <c r="J214" s="125">
        <v>0</v>
      </c>
      <c r="K214" s="125">
        <v>0</v>
      </c>
      <c r="L214" s="125">
        <v>0</v>
      </c>
      <c r="M214" s="125">
        <v>6074.38</v>
      </c>
      <c r="N214" s="125">
        <v>0</v>
      </c>
      <c r="O214" s="125">
        <v>0</v>
      </c>
      <c r="P214" s="125">
        <v>0</v>
      </c>
      <c r="Q214" s="125">
        <v>0</v>
      </c>
      <c r="R214" s="125">
        <v>6074.38</v>
      </c>
      <c r="S214" s="125">
        <v>35000</v>
      </c>
      <c r="T214" s="125"/>
    </row>
    <row r="215" spans="1:20" ht="15" customHeight="1" x14ac:dyDescent="0.25">
      <c r="A215" s="125" t="s">
        <v>1194</v>
      </c>
      <c r="B215" s="125" t="s">
        <v>791</v>
      </c>
      <c r="C215" s="125" t="s">
        <v>792</v>
      </c>
      <c r="D215" s="125" t="s">
        <v>656</v>
      </c>
      <c r="E215" s="125" t="s">
        <v>793</v>
      </c>
      <c r="F215" s="125" t="s">
        <v>690</v>
      </c>
      <c r="G215" s="125" t="s">
        <v>1219</v>
      </c>
      <c r="H215" s="125">
        <v>38636.36</v>
      </c>
      <c r="I215" s="125">
        <v>0</v>
      </c>
      <c r="J215" s="125">
        <v>0</v>
      </c>
      <c r="K215" s="125">
        <v>0</v>
      </c>
      <c r="L215" s="125">
        <v>0</v>
      </c>
      <c r="M215" s="125">
        <v>8113.64</v>
      </c>
      <c r="N215" s="125">
        <v>0</v>
      </c>
      <c r="O215" s="125">
        <v>0</v>
      </c>
      <c r="P215" s="125">
        <v>0</v>
      </c>
      <c r="Q215" s="125">
        <v>0</v>
      </c>
      <c r="R215" s="125">
        <v>8113.64</v>
      </c>
      <c r="S215" s="125">
        <v>46750</v>
      </c>
      <c r="T215" s="125"/>
    </row>
    <row r="216" spans="1:20" ht="15" customHeight="1" x14ac:dyDescent="0.25">
      <c r="A216" s="125" t="s">
        <v>1194</v>
      </c>
      <c r="B216" s="125" t="s">
        <v>791</v>
      </c>
      <c r="C216" s="125" t="s">
        <v>792</v>
      </c>
      <c r="D216" s="125" t="s">
        <v>656</v>
      </c>
      <c r="E216" s="125" t="s">
        <v>793</v>
      </c>
      <c r="F216" s="125" t="s">
        <v>690</v>
      </c>
      <c r="G216" s="125" t="s">
        <v>1220</v>
      </c>
      <c r="H216" s="125">
        <v>37024.79</v>
      </c>
      <c r="I216" s="125">
        <v>0</v>
      </c>
      <c r="J216" s="125">
        <v>0</v>
      </c>
      <c r="K216" s="125">
        <v>0</v>
      </c>
      <c r="L216" s="125">
        <v>0</v>
      </c>
      <c r="M216" s="125">
        <v>7775.21</v>
      </c>
      <c r="N216" s="125">
        <v>0</v>
      </c>
      <c r="O216" s="125">
        <v>0</v>
      </c>
      <c r="P216" s="125">
        <v>0</v>
      </c>
      <c r="Q216" s="125">
        <v>0</v>
      </c>
      <c r="R216" s="125">
        <v>7775.21</v>
      </c>
      <c r="S216" s="125">
        <v>44800</v>
      </c>
      <c r="T216" s="125"/>
    </row>
    <row r="217" spans="1:20" ht="15" customHeight="1" x14ac:dyDescent="0.25">
      <c r="A217" s="125" t="s">
        <v>1194</v>
      </c>
      <c r="B217" s="125" t="s">
        <v>817</v>
      </c>
      <c r="C217" s="125" t="s">
        <v>818</v>
      </c>
      <c r="D217" s="125" t="s">
        <v>656</v>
      </c>
      <c r="E217" s="125" t="s">
        <v>793</v>
      </c>
      <c r="F217" s="125" t="s">
        <v>650</v>
      </c>
      <c r="G217" s="125" t="s">
        <v>1221</v>
      </c>
      <c r="H217" s="125">
        <v>38636.36</v>
      </c>
      <c r="I217" s="125">
        <v>0</v>
      </c>
      <c r="J217" s="125">
        <v>0</v>
      </c>
      <c r="K217" s="125">
        <v>0</v>
      </c>
      <c r="L217" s="125">
        <v>0</v>
      </c>
      <c r="M217" s="125">
        <v>8113.64</v>
      </c>
      <c r="N217" s="125">
        <v>0</v>
      </c>
      <c r="O217" s="125">
        <v>0</v>
      </c>
      <c r="P217" s="125">
        <v>0</v>
      </c>
      <c r="Q217" s="125">
        <v>0</v>
      </c>
      <c r="R217" s="125">
        <v>8113.64</v>
      </c>
      <c r="S217" s="125">
        <v>46750</v>
      </c>
      <c r="T217" s="125"/>
    </row>
    <row r="218" spans="1:20" ht="15" customHeight="1" x14ac:dyDescent="0.25">
      <c r="A218" s="125" t="s">
        <v>1194</v>
      </c>
      <c r="B218" s="125" t="s">
        <v>1170</v>
      </c>
      <c r="C218" s="125" t="s">
        <v>1171</v>
      </c>
      <c r="D218" s="125" t="s">
        <v>656</v>
      </c>
      <c r="E218" s="125" t="s">
        <v>793</v>
      </c>
      <c r="F218" s="125" t="s">
        <v>804</v>
      </c>
      <c r="G218" s="125" t="s">
        <v>1222</v>
      </c>
      <c r="H218" s="125">
        <v>640495.87</v>
      </c>
      <c r="I218" s="125">
        <v>0</v>
      </c>
      <c r="J218" s="125">
        <v>0</v>
      </c>
      <c r="K218" s="125">
        <v>0</v>
      </c>
      <c r="L218" s="125">
        <v>0</v>
      </c>
      <c r="M218" s="125">
        <v>134504.13</v>
      </c>
      <c r="N218" s="125">
        <v>0</v>
      </c>
      <c r="O218" s="125">
        <v>0</v>
      </c>
      <c r="P218" s="125">
        <v>0</v>
      </c>
      <c r="Q218" s="125">
        <v>0</v>
      </c>
      <c r="R218" s="125">
        <v>134504.13</v>
      </c>
      <c r="S218" s="125">
        <v>775000</v>
      </c>
      <c r="T218" s="125"/>
    </row>
    <row r="219" spans="1:20" ht="15" customHeight="1" x14ac:dyDescent="0.25">
      <c r="A219" s="125" t="s">
        <v>1194</v>
      </c>
      <c r="B219" s="125" t="s">
        <v>791</v>
      </c>
      <c r="C219" s="125" t="s">
        <v>792</v>
      </c>
      <c r="D219" s="125" t="s">
        <v>656</v>
      </c>
      <c r="E219" s="125" t="s">
        <v>793</v>
      </c>
      <c r="F219" s="125" t="s">
        <v>690</v>
      </c>
      <c r="G219" s="125" t="s">
        <v>1223</v>
      </c>
      <c r="H219" s="125">
        <v>18595.04</v>
      </c>
      <c r="I219" s="125">
        <v>0</v>
      </c>
      <c r="J219" s="125">
        <v>0</v>
      </c>
      <c r="K219" s="125">
        <v>0</v>
      </c>
      <c r="L219" s="125">
        <v>0</v>
      </c>
      <c r="M219" s="125">
        <v>3904.96</v>
      </c>
      <c r="N219" s="125">
        <v>0</v>
      </c>
      <c r="O219" s="125">
        <v>0</v>
      </c>
      <c r="P219" s="125">
        <v>0</v>
      </c>
      <c r="Q219" s="125">
        <v>0</v>
      </c>
      <c r="R219" s="125">
        <v>3904.96</v>
      </c>
      <c r="S219" s="125">
        <v>22500</v>
      </c>
      <c r="T219" s="125"/>
    </row>
    <row r="220" spans="1:20" ht="15" customHeight="1" x14ac:dyDescent="0.25">
      <c r="A220" s="125" t="s">
        <v>1194</v>
      </c>
      <c r="B220" s="125" t="s">
        <v>798</v>
      </c>
      <c r="C220" s="125" t="s">
        <v>799</v>
      </c>
      <c r="D220" s="125" t="s">
        <v>656</v>
      </c>
      <c r="E220" s="125" t="s">
        <v>793</v>
      </c>
      <c r="F220" s="125" t="s">
        <v>650</v>
      </c>
      <c r="G220" s="125" t="s">
        <v>1224</v>
      </c>
      <c r="H220" s="125">
        <v>1899173.55</v>
      </c>
      <c r="I220" s="125">
        <v>0</v>
      </c>
      <c r="J220" s="125">
        <v>0</v>
      </c>
      <c r="K220" s="125">
        <v>0</v>
      </c>
      <c r="L220" s="125">
        <v>0</v>
      </c>
      <c r="M220" s="125">
        <v>398826.45</v>
      </c>
      <c r="N220" s="125">
        <v>0</v>
      </c>
      <c r="O220" s="125">
        <v>0</v>
      </c>
      <c r="P220" s="125">
        <v>0</v>
      </c>
      <c r="Q220" s="125">
        <v>0</v>
      </c>
      <c r="R220" s="125">
        <v>398826.45</v>
      </c>
      <c r="S220" s="125">
        <v>2298000</v>
      </c>
      <c r="T220" s="125"/>
    </row>
    <row r="221" spans="1:20" ht="15" customHeight="1" x14ac:dyDescent="0.25">
      <c r="A221" s="125" t="s">
        <v>1194</v>
      </c>
      <c r="B221" s="125" t="s">
        <v>44</v>
      </c>
      <c r="C221" s="125" t="s">
        <v>823</v>
      </c>
      <c r="D221" s="125" t="s">
        <v>824</v>
      </c>
      <c r="E221" s="125" t="s">
        <v>825</v>
      </c>
      <c r="F221" s="125" t="s">
        <v>804</v>
      </c>
      <c r="G221" s="125" t="s">
        <v>1225</v>
      </c>
      <c r="H221" s="125">
        <v>188252.07</v>
      </c>
      <c r="I221" s="125">
        <v>0</v>
      </c>
      <c r="J221" s="125">
        <v>0</v>
      </c>
      <c r="K221" s="125">
        <v>0</v>
      </c>
      <c r="L221" s="125">
        <v>0</v>
      </c>
      <c r="M221" s="125">
        <v>39532.93</v>
      </c>
      <c r="N221" s="125">
        <v>0</v>
      </c>
      <c r="O221" s="125">
        <v>0</v>
      </c>
      <c r="P221" s="125">
        <v>0</v>
      </c>
      <c r="Q221" s="125">
        <v>0</v>
      </c>
      <c r="R221" s="125">
        <v>39532.93</v>
      </c>
      <c r="S221" s="125">
        <v>227785</v>
      </c>
      <c r="T221" s="125"/>
    </row>
    <row r="222" spans="1:20" ht="15" customHeight="1" x14ac:dyDescent="0.25">
      <c r="A222" s="125" t="s">
        <v>1194</v>
      </c>
      <c r="B222" s="125" t="s">
        <v>791</v>
      </c>
      <c r="C222" s="125" t="s">
        <v>792</v>
      </c>
      <c r="D222" s="125" t="s">
        <v>656</v>
      </c>
      <c r="E222" s="125" t="s">
        <v>793</v>
      </c>
      <c r="F222" s="125" t="s">
        <v>690</v>
      </c>
      <c r="G222" s="125" t="s">
        <v>1226</v>
      </c>
      <c r="H222" s="125">
        <v>33884.300000000003</v>
      </c>
      <c r="I222" s="125">
        <v>0</v>
      </c>
      <c r="J222" s="125">
        <v>0</v>
      </c>
      <c r="K222" s="125">
        <v>0</v>
      </c>
      <c r="L222" s="125">
        <v>0</v>
      </c>
      <c r="M222" s="125">
        <v>7115.7</v>
      </c>
      <c r="N222" s="125">
        <v>0</v>
      </c>
      <c r="O222" s="125">
        <v>0</v>
      </c>
      <c r="P222" s="125">
        <v>0</v>
      </c>
      <c r="Q222" s="125">
        <v>0</v>
      </c>
      <c r="R222" s="125">
        <v>7115.7</v>
      </c>
      <c r="S222" s="125">
        <v>41000</v>
      </c>
      <c r="T222" s="125"/>
    </row>
    <row r="223" spans="1:20" ht="15" customHeight="1" x14ac:dyDescent="0.25">
      <c r="A223" s="125" t="s">
        <v>1194</v>
      </c>
      <c r="B223" s="125" t="s">
        <v>791</v>
      </c>
      <c r="C223" s="125" t="s">
        <v>792</v>
      </c>
      <c r="D223" s="125" t="s">
        <v>656</v>
      </c>
      <c r="E223" s="125" t="s">
        <v>793</v>
      </c>
      <c r="F223" s="125" t="s">
        <v>690</v>
      </c>
      <c r="G223" s="125" t="s">
        <v>1227</v>
      </c>
      <c r="H223" s="125">
        <v>28925.62</v>
      </c>
      <c r="I223" s="125">
        <v>0</v>
      </c>
      <c r="J223" s="125">
        <v>0</v>
      </c>
      <c r="K223" s="125">
        <v>0</v>
      </c>
      <c r="L223" s="125">
        <v>0</v>
      </c>
      <c r="M223" s="125">
        <v>6074.38</v>
      </c>
      <c r="N223" s="125">
        <v>0</v>
      </c>
      <c r="O223" s="125">
        <v>0</v>
      </c>
      <c r="P223" s="125">
        <v>0</v>
      </c>
      <c r="Q223" s="125">
        <v>0</v>
      </c>
      <c r="R223" s="125">
        <v>6074.38</v>
      </c>
      <c r="S223" s="125">
        <v>35000</v>
      </c>
      <c r="T223" s="125"/>
    </row>
    <row r="224" spans="1:20" ht="15" customHeight="1" x14ac:dyDescent="0.25">
      <c r="A224" s="125" t="s">
        <v>1194</v>
      </c>
      <c r="B224" s="125" t="s">
        <v>791</v>
      </c>
      <c r="C224" s="125" t="s">
        <v>792</v>
      </c>
      <c r="D224" s="125" t="s">
        <v>656</v>
      </c>
      <c r="E224" s="125" t="s">
        <v>793</v>
      </c>
      <c r="F224" s="125" t="s">
        <v>690</v>
      </c>
      <c r="G224" s="125" t="s">
        <v>1228</v>
      </c>
      <c r="H224" s="125">
        <v>13884.3</v>
      </c>
      <c r="I224" s="125">
        <v>0</v>
      </c>
      <c r="J224" s="125">
        <v>0</v>
      </c>
      <c r="K224" s="125">
        <v>0</v>
      </c>
      <c r="L224" s="125">
        <v>0</v>
      </c>
      <c r="M224" s="125">
        <v>2915.7</v>
      </c>
      <c r="N224" s="125">
        <v>0</v>
      </c>
      <c r="O224" s="125">
        <v>0</v>
      </c>
      <c r="P224" s="125">
        <v>0</v>
      </c>
      <c r="Q224" s="125">
        <v>0</v>
      </c>
      <c r="R224" s="125">
        <v>2915.7</v>
      </c>
      <c r="S224" s="125">
        <v>16800</v>
      </c>
      <c r="T224" s="125"/>
    </row>
    <row r="225" spans="1:20" ht="15" customHeight="1" x14ac:dyDescent="0.25">
      <c r="A225" s="125" t="s">
        <v>1194</v>
      </c>
      <c r="B225" s="125" t="s">
        <v>791</v>
      </c>
      <c r="C225" s="125" t="s">
        <v>792</v>
      </c>
      <c r="D225" s="125" t="s">
        <v>656</v>
      </c>
      <c r="E225" s="125" t="s">
        <v>793</v>
      </c>
      <c r="F225" s="125" t="s">
        <v>690</v>
      </c>
      <c r="G225" s="125" t="s">
        <v>1229</v>
      </c>
      <c r="H225" s="125">
        <v>8512.4</v>
      </c>
      <c r="I225" s="125">
        <v>0</v>
      </c>
      <c r="J225" s="125">
        <v>0</v>
      </c>
      <c r="K225" s="125">
        <v>0</v>
      </c>
      <c r="L225" s="125">
        <v>0</v>
      </c>
      <c r="M225" s="125">
        <v>1787.6</v>
      </c>
      <c r="N225" s="125">
        <v>0</v>
      </c>
      <c r="O225" s="125">
        <v>0</v>
      </c>
      <c r="P225" s="125">
        <v>0</v>
      </c>
      <c r="Q225" s="125">
        <v>0</v>
      </c>
      <c r="R225" s="125">
        <v>1787.6</v>
      </c>
      <c r="S225" s="125">
        <v>10300</v>
      </c>
      <c r="T225" s="125"/>
    </row>
    <row r="226" spans="1:20" ht="15" customHeight="1" x14ac:dyDescent="0.25">
      <c r="A226" s="125" t="s">
        <v>1194</v>
      </c>
      <c r="B226" s="125" t="s">
        <v>206</v>
      </c>
      <c r="C226" s="125" t="s">
        <v>805</v>
      </c>
      <c r="D226" s="125" t="s">
        <v>656</v>
      </c>
      <c r="E226" s="125" t="s">
        <v>793</v>
      </c>
      <c r="F226" s="125" t="s">
        <v>650</v>
      </c>
      <c r="G226" s="125" t="s">
        <v>1230</v>
      </c>
      <c r="H226" s="125">
        <v>13165289.26</v>
      </c>
      <c r="I226" s="125">
        <v>0</v>
      </c>
      <c r="J226" s="125">
        <v>0</v>
      </c>
      <c r="K226" s="125">
        <v>0</v>
      </c>
      <c r="L226" s="125">
        <v>0</v>
      </c>
      <c r="M226" s="125">
        <v>2764710.74</v>
      </c>
      <c r="N226" s="125">
        <v>0</v>
      </c>
      <c r="O226" s="125">
        <v>0</v>
      </c>
      <c r="P226" s="125">
        <v>0</v>
      </c>
      <c r="Q226" s="125">
        <v>0</v>
      </c>
      <c r="R226" s="125">
        <v>2764710.74</v>
      </c>
      <c r="S226" s="125">
        <v>15930000</v>
      </c>
      <c r="T226" s="125"/>
    </row>
    <row r="227" spans="1:20" ht="15" customHeight="1" x14ac:dyDescent="0.25">
      <c r="A227" s="125" t="s">
        <v>1194</v>
      </c>
      <c r="B227" s="125" t="s">
        <v>791</v>
      </c>
      <c r="C227" s="125" t="s">
        <v>792</v>
      </c>
      <c r="D227" s="125" t="s">
        <v>656</v>
      </c>
      <c r="E227" s="125" t="s">
        <v>793</v>
      </c>
      <c r="F227" s="125" t="s">
        <v>690</v>
      </c>
      <c r="G227" s="125" t="s">
        <v>1231</v>
      </c>
      <c r="H227" s="125">
        <v>8429.75</v>
      </c>
      <c r="I227" s="125">
        <v>0</v>
      </c>
      <c r="J227" s="125">
        <v>0</v>
      </c>
      <c r="K227" s="125">
        <v>0</v>
      </c>
      <c r="L227" s="125">
        <v>0</v>
      </c>
      <c r="M227" s="125">
        <v>1770.25</v>
      </c>
      <c r="N227" s="125">
        <v>0</v>
      </c>
      <c r="O227" s="125">
        <v>0</v>
      </c>
      <c r="P227" s="125">
        <v>0</v>
      </c>
      <c r="Q227" s="125">
        <v>0</v>
      </c>
      <c r="R227" s="125">
        <v>1770.25</v>
      </c>
      <c r="S227" s="125">
        <v>10200</v>
      </c>
      <c r="T227" s="125"/>
    </row>
    <row r="228" spans="1:20" ht="15" customHeight="1" x14ac:dyDescent="0.25">
      <c r="A228" s="125" t="s">
        <v>1232</v>
      </c>
      <c r="B228" s="125" t="s">
        <v>791</v>
      </c>
      <c r="C228" s="125" t="s">
        <v>792</v>
      </c>
      <c r="D228" s="125" t="s">
        <v>656</v>
      </c>
      <c r="E228" s="125" t="s">
        <v>793</v>
      </c>
      <c r="F228" s="125" t="s">
        <v>690</v>
      </c>
      <c r="G228" s="125" t="s">
        <v>1233</v>
      </c>
      <c r="H228" s="125">
        <v>6446.28</v>
      </c>
      <c r="I228" s="125">
        <v>0</v>
      </c>
      <c r="J228" s="125">
        <v>0</v>
      </c>
      <c r="K228" s="125">
        <v>0</v>
      </c>
      <c r="L228" s="125">
        <v>0</v>
      </c>
      <c r="M228" s="125">
        <v>1353.72</v>
      </c>
      <c r="N228" s="125">
        <v>0</v>
      </c>
      <c r="O228" s="125">
        <v>0</v>
      </c>
      <c r="P228" s="125">
        <v>0</v>
      </c>
      <c r="Q228" s="125">
        <v>0</v>
      </c>
      <c r="R228" s="125">
        <v>1353.72</v>
      </c>
      <c r="S228" s="125">
        <v>7800</v>
      </c>
      <c r="T228" s="125"/>
    </row>
    <row r="229" spans="1:20" ht="15" customHeight="1" x14ac:dyDescent="0.25">
      <c r="A229" s="125" t="s">
        <v>1232</v>
      </c>
      <c r="B229" s="125" t="s">
        <v>791</v>
      </c>
      <c r="C229" s="125" t="s">
        <v>792</v>
      </c>
      <c r="D229" s="125" t="s">
        <v>656</v>
      </c>
      <c r="E229" s="125" t="s">
        <v>793</v>
      </c>
      <c r="F229" s="125" t="s">
        <v>690</v>
      </c>
      <c r="G229" s="125" t="s">
        <v>1234</v>
      </c>
      <c r="H229" s="125">
        <v>24793.39</v>
      </c>
      <c r="I229" s="125">
        <v>0</v>
      </c>
      <c r="J229" s="125">
        <v>0</v>
      </c>
      <c r="K229" s="125">
        <v>0</v>
      </c>
      <c r="L229" s="125">
        <v>0</v>
      </c>
      <c r="M229" s="125">
        <v>5206.6099999999997</v>
      </c>
      <c r="N229" s="125">
        <v>0</v>
      </c>
      <c r="O229" s="125">
        <v>0</v>
      </c>
      <c r="P229" s="125">
        <v>0</v>
      </c>
      <c r="Q229" s="125">
        <v>0</v>
      </c>
      <c r="R229" s="125">
        <v>5206.6099999999997</v>
      </c>
      <c r="S229" s="125">
        <v>30000</v>
      </c>
      <c r="T229" s="125"/>
    </row>
    <row r="230" spans="1:20" ht="15" customHeight="1" x14ac:dyDescent="0.25">
      <c r="A230" s="125" t="s">
        <v>1232</v>
      </c>
      <c r="B230" s="125" t="s">
        <v>791</v>
      </c>
      <c r="C230" s="125" t="s">
        <v>792</v>
      </c>
      <c r="D230" s="125" t="s">
        <v>656</v>
      </c>
      <c r="E230" s="125" t="s">
        <v>793</v>
      </c>
      <c r="F230" s="125" t="s">
        <v>690</v>
      </c>
      <c r="G230" s="125" t="s">
        <v>1235</v>
      </c>
      <c r="H230" s="125">
        <v>18595.04</v>
      </c>
      <c r="I230" s="125">
        <v>0</v>
      </c>
      <c r="J230" s="125">
        <v>0</v>
      </c>
      <c r="K230" s="125">
        <v>0</v>
      </c>
      <c r="L230" s="125">
        <v>0</v>
      </c>
      <c r="M230" s="125">
        <v>3904.96</v>
      </c>
      <c r="N230" s="125">
        <v>0</v>
      </c>
      <c r="O230" s="125">
        <v>0</v>
      </c>
      <c r="P230" s="125">
        <v>0</v>
      </c>
      <c r="Q230" s="125">
        <v>0</v>
      </c>
      <c r="R230" s="125">
        <v>3904.96</v>
      </c>
      <c r="S230" s="125">
        <v>22500</v>
      </c>
      <c r="T230" s="125"/>
    </row>
    <row r="231" spans="1:20" ht="15" customHeight="1" x14ac:dyDescent="0.25">
      <c r="A231" s="125" t="s">
        <v>1232</v>
      </c>
      <c r="B231" s="125" t="s">
        <v>791</v>
      </c>
      <c r="C231" s="125" t="s">
        <v>792</v>
      </c>
      <c r="D231" s="125" t="s">
        <v>656</v>
      </c>
      <c r="E231" s="125" t="s">
        <v>793</v>
      </c>
      <c r="F231" s="125" t="s">
        <v>690</v>
      </c>
      <c r="G231" s="125" t="s">
        <v>1236</v>
      </c>
      <c r="H231" s="125">
        <v>14049.59</v>
      </c>
      <c r="I231" s="125">
        <v>0</v>
      </c>
      <c r="J231" s="125">
        <v>0</v>
      </c>
      <c r="K231" s="125">
        <v>0</v>
      </c>
      <c r="L231" s="125">
        <v>0</v>
      </c>
      <c r="M231" s="125">
        <v>2950.41</v>
      </c>
      <c r="N231" s="125">
        <v>0</v>
      </c>
      <c r="O231" s="125">
        <v>0</v>
      </c>
      <c r="P231" s="125">
        <v>0</v>
      </c>
      <c r="Q231" s="125">
        <v>0</v>
      </c>
      <c r="R231" s="125">
        <v>2950.41</v>
      </c>
      <c r="S231" s="125">
        <v>17000</v>
      </c>
      <c r="T231" s="125"/>
    </row>
    <row r="232" spans="1:20" ht="15" customHeight="1" x14ac:dyDescent="0.25">
      <c r="A232" s="125" t="s">
        <v>1232</v>
      </c>
      <c r="B232" s="125" t="s">
        <v>791</v>
      </c>
      <c r="C232" s="125" t="s">
        <v>792</v>
      </c>
      <c r="D232" s="125" t="s">
        <v>656</v>
      </c>
      <c r="E232" s="125" t="s">
        <v>793</v>
      </c>
      <c r="F232" s="125" t="s">
        <v>690</v>
      </c>
      <c r="G232" s="125" t="s">
        <v>1237</v>
      </c>
      <c r="H232" s="125">
        <v>28925.62</v>
      </c>
      <c r="I232" s="125">
        <v>0</v>
      </c>
      <c r="J232" s="125">
        <v>0</v>
      </c>
      <c r="K232" s="125">
        <v>0</v>
      </c>
      <c r="L232" s="125">
        <v>0</v>
      </c>
      <c r="M232" s="125">
        <v>6074.38</v>
      </c>
      <c r="N232" s="125">
        <v>0</v>
      </c>
      <c r="O232" s="125">
        <v>0</v>
      </c>
      <c r="P232" s="125">
        <v>0</v>
      </c>
      <c r="Q232" s="125">
        <v>0</v>
      </c>
      <c r="R232" s="125">
        <v>6074.38</v>
      </c>
      <c r="S232" s="125">
        <v>35000</v>
      </c>
      <c r="T232" s="125"/>
    </row>
    <row r="233" spans="1:20" ht="15" customHeight="1" x14ac:dyDescent="0.25">
      <c r="A233" s="125" t="s">
        <v>1232</v>
      </c>
      <c r="B233" s="125" t="s">
        <v>1238</v>
      </c>
      <c r="C233" s="125" t="s">
        <v>1239</v>
      </c>
      <c r="D233" s="125" t="s">
        <v>656</v>
      </c>
      <c r="E233" s="125" t="s">
        <v>793</v>
      </c>
      <c r="F233" s="125" t="s">
        <v>690</v>
      </c>
      <c r="G233" s="125" t="s">
        <v>1240</v>
      </c>
      <c r="H233" s="125">
        <v>21487.599999999999</v>
      </c>
      <c r="I233" s="125">
        <v>0</v>
      </c>
      <c r="J233" s="125">
        <v>0</v>
      </c>
      <c r="K233" s="125">
        <v>0</v>
      </c>
      <c r="L233" s="125">
        <v>0</v>
      </c>
      <c r="M233" s="125">
        <v>4512.3999999999996</v>
      </c>
      <c r="N233" s="125">
        <v>0</v>
      </c>
      <c r="O233" s="125">
        <v>0</v>
      </c>
      <c r="P233" s="125">
        <v>0</v>
      </c>
      <c r="Q233" s="125">
        <v>0</v>
      </c>
      <c r="R233" s="125">
        <v>4512.3999999999996</v>
      </c>
      <c r="S233" s="125">
        <v>26000</v>
      </c>
      <c r="T233" s="125"/>
    </row>
    <row r="234" spans="1:20" ht="15" customHeight="1" x14ac:dyDescent="0.25">
      <c r="A234" s="125" t="s">
        <v>1232</v>
      </c>
      <c r="B234" s="125" t="s">
        <v>791</v>
      </c>
      <c r="C234" s="125" t="s">
        <v>792</v>
      </c>
      <c r="D234" s="125" t="s">
        <v>656</v>
      </c>
      <c r="E234" s="125" t="s">
        <v>793</v>
      </c>
      <c r="F234" s="125" t="s">
        <v>690</v>
      </c>
      <c r="G234" s="125" t="s">
        <v>1241</v>
      </c>
      <c r="H234" s="125">
        <v>3305.79</v>
      </c>
      <c r="I234" s="125">
        <v>0</v>
      </c>
      <c r="J234" s="125">
        <v>0</v>
      </c>
      <c r="K234" s="125">
        <v>0</v>
      </c>
      <c r="L234" s="125">
        <v>0</v>
      </c>
      <c r="M234" s="125">
        <v>694.21</v>
      </c>
      <c r="N234" s="125">
        <v>0</v>
      </c>
      <c r="O234" s="125">
        <v>0</v>
      </c>
      <c r="P234" s="125">
        <v>0</v>
      </c>
      <c r="Q234" s="125">
        <v>0</v>
      </c>
      <c r="R234" s="125">
        <v>694.21</v>
      </c>
      <c r="S234" s="125">
        <v>4000</v>
      </c>
      <c r="T234" s="125"/>
    </row>
    <row r="235" spans="1:20" ht="15" customHeight="1" x14ac:dyDescent="0.25">
      <c r="A235" s="125" t="s">
        <v>1232</v>
      </c>
      <c r="B235" s="125" t="s">
        <v>791</v>
      </c>
      <c r="C235" s="125" t="s">
        <v>792</v>
      </c>
      <c r="D235" s="125" t="s">
        <v>656</v>
      </c>
      <c r="E235" s="125" t="s">
        <v>793</v>
      </c>
      <c r="F235" s="125" t="s">
        <v>690</v>
      </c>
      <c r="G235" s="125" t="s">
        <v>1242</v>
      </c>
      <c r="H235" s="125">
        <v>18595.04</v>
      </c>
      <c r="I235" s="125">
        <v>0</v>
      </c>
      <c r="J235" s="125">
        <v>0</v>
      </c>
      <c r="K235" s="125">
        <v>0</v>
      </c>
      <c r="L235" s="125">
        <v>0</v>
      </c>
      <c r="M235" s="125">
        <v>3904.96</v>
      </c>
      <c r="N235" s="125">
        <v>0</v>
      </c>
      <c r="O235" s="125">
        <v>0</v>
      </c>
      <c r="P235" s="125">
        <v>0</v>
      </c>
      <c r="Q235" s="125">
        <v>0</v>
      </c>
      <c r="R235" s="125">
        <v>3904.96</v>
      </c>
      <c r="S235" s="125">
        <v>22500</v>
      </c>
      <c r="T235" s="125"/>
    </row>
    <row r="236" spans="1:20" ht="15" customHeight="1" x14ac:dyDescent="0.25">
      <c r="A236" s="125" t="s">
        <v>1232</v>
      </c>
      <c r="B236" s="125" t="s">
        <v>791</v>
      </c>
      <c r="C236" s="125" t="s">
        <v>792</v>
      </c>
      <c r="D236" s="125" t="s">
        <v>656</v>
      </c>
      <c r="E236" s="125" t="s">
        <v>793</v>
      </c>
      <c r="F236" s="125" t="s">
        <v>690</v>
      </c>
      <c r="G236" s="125" t="s">
        <v>1243</v>
      </c>
      <c r="H236" s="125">
        <v>57851.24</v>
      </c>
      <c r="I236" s="125">
        <v>0</v>
      </c>
      <c r="J236" s="125">
        <v>0</v>
      </c>
      <c r="K236" s="125">
        <v>0</v>
      </c>
      <c r="L236" s="125">
        <v>0</v>
      </c>
      <c r="M236" s="125">
        <v>12148.76</v>
      </c>
      <c r="N236" s="125">
        <v>0</v>
      </c>
      <c r="O236" s="125">
        <v>0</v>
      </c>
      <c r="P236" s="125">
        <v>0</v>
      </c>
      <c r="Q236" s="125">
        <v>0</v>
      </c>
      <c r="R236" s="125">
        <v>12148.76</v>
      </c>
      <c r="S236" s="125">
        <v>70000</v>
      </c>
      <c r="T236" s="125"/>
    </row>
    <row r="237" spans="1:20" ht="15" customHeight="1" x14ac:dyDescent="0.25">
      <c r="A237" s="125" t="s">
        <v>1232</v>
      </c>
      <c r="B237" s="125" t="s">
        <v>791</v>
      </c>
      <c r="C237" s="125" t="s">
        <v>792</v>
      </c>
      <c r="D237" s="125" t="s">
        <v>656</v>
      </c>
      <c r="E237" s="125" t="s">
        <v>793</v>
      </c>
      <c r="F237" s="125" t="s">
        <v>690</v>
      </c>
      <c r="G237" s="125" t="s">
        <v>1244</v>
      </c>
      <c r="H237" s="125">
        <v>104132.23</v>
      </c>
      <c r="I237" s="125">
        <v>0</v>
      </c>
      <c r="J237" s="125">
        <v>0</v>
      </c>
      <c r="K237" s="125">
        <v>0</v>
      </c>
      <c r="L237" s="125">
        <v>0</v>
      </c>
      <c r="M237" s="125">
        <v>21867.77</v>
      </c>
      <c r="N237" s="125">
        <v>0</v>
      </c>
      <c r="O237" s="125">
        <v>0</v>
      </c>
      <c r="P237" s="125">
        <v>0</v>
      </c>
      <c r="Q237" s="125">
        <v>0</v>
      </c>
      <c r="R237" s="125">
        <v>21867.77</v>
      </c>
      <c r="S237" s="125">
        <v>126000</v>
      </c>
      <c r="T237" s="125"/>
    </row>
    <row r="238" spans="1:20" ht="15" customHeight="1" x14ac:dyDescent="0.25">
      <c r="A238" s="125" t="s">
        <v>1232</v>
      </c>
      <c r="B238" s="125" t="s">
        <v>791</v>
      </c>
      <c r="C238" s="125" t="s">
        <v>792</v>
      </c>
      <c r="D238" s="125" t="s">
        <v>656</v>
      </c>
      <c r="E238" s="125" t="s">
        <v>793</v>
      </c>
      <c r="F238" s="125" t="s">
        <v>690</v>
      </c>
      <c r="G238" s="125" t="s">
        <v>1245</v>
      </c>
      <c r="H238" s="125">
        <v>14049.59</v>
      </c>
      <c r="I238" s="125">
        <v>0</v>
      </c>
      <c r="J238" s="125">
        <v>0</v>
      </c>
      <c r="K238" s="125">
        <v>0</v>
      </c>
      <c r="L238" s="125">
        <v>0</v>
      </c>
      <c r="M238" s="125">
        <v>2950.41</v>
      </c>
      <c r="N238" s="125">
        <v>0</v>
      </c>
      <c r="O238" s="125">
        <v>0</v>
      </c>
      <c r="P238" s="125">
        <v>0</v>
      </c>
      <c r="Q238" s="125">
        <v>0</v>
      </c>
      <c r="R238" s="125">
        <v>2950.41</v>
      </c>
      <c r="S238" s="125">
        <v>17000</v>
      </c>
      <c r="T238" s="125"/>
    </row>
    <row r="239" spans="1:20" ht="15" customHeight="1" x14ac:dyDescent="0.25">
      <c r="A239" s="125" t="s">
        <v>1232</v>
      </c>
      <c r="B239" s="125" t="s">
        <v>791</v>
      </c>
      <c r="C239" s="125" t="s">
        <v>792</v>
      </c>
      <c r="D239" s="125" t="s">
        <v>656</v>
      </c>
      <c r="E239" s="125" t="s">
        <v>793</v>
      </c>
      <c r="F239" s="125" t="s">
        <v>690</v>
      </c>
      <c r="G239" s="125" t="s">
        <v>1246</v>
      </c>
      <c r="H239" s="125">
        <v>28925.62</v>
      </c>
      <c r="I239" s="125">
        <v>0</v>
      </c>
      <c r="J239" s="125">
        <v>0</v>
      </c>
      <c r="K239" s="125">
        <v>0</v>
      </c>
      <c r="L239" s="125">
        <v>0</v>
      </c>
      <c r="M239" s="125">
        <v>6074.38</v>
      </c>
      <c r="N239" s="125">
        <v>0</v>
      </c>
      <c r="O239" s="125">
        <v>0</v>
      </c>
      <c r="P239" s="125">
        <v>0</v>
      </c>
      <c r="Q239" s="125">
        <v>0</v>
      </c>
      <c r="R239" s="125">
        <v>6074.38</v>
      </c>
      <c r="S239" s="125">
        <v>35000</v>
      </c>
      <c r="T239" s="125"/>
    </row>
    <row r="240" spans="1:20" ht="15" customHeight="1" x14ac:dyDescent="0.25">
      <c r="A240" s="125" t="s">
        <v>1232</v>
      </c>
      <c r="B240" s="125" t="s">
        <v>791</v>
      </c>
      <c r="C240" s="125" t="s">
        <v>792</v>
      </c>
      <c r="D240" s="125" t="s">
        <v>656</v>
      </c>
      <c r="E240" s="125" t="s">
        <v>793</v>
      </c>
      <c r="F240" s="125" t="s">
        <v>690</v>
      </c>
      <c r="G240" s="125" t="s">
        <v>1247</v>
      </c>
      <c r="H240" s="125">
        <v>5950.41</v>
      </c>
      <c r="I240" s="125">
        <v>0</v>
      </c>
      <c r="J240" s="125">
        <v>0</v>
      </c>
      <c r="K240" s="125">
        <v>0</v>
      </c>
      <c r="L240" s="125">
        <v>0</v>
      </c>
      <c r="M240" s="125">
        <v>1249.5899999999999</v>
      </c>
      <c r="N240" s="125">
        <v>0</v>
      </c>
      <c r="O240" s="125">
        <v>0</v>
      </c>
      <c r="P240" s="125">
        <v>0</v>
      </c>
      <c r="Q240" s="125">
        <v>0</v>
      </c>
      <c r="R240" s="125">
        <v>1249.5899999999999</v>
      </c>
      <c r="S240" s="125">
        <v>7200</v>
      </c>
      <c r="T240" s="125"/>
    </row>
    <row r="241" spans="1:20" ht="15" customHeight="1" x14ac:dyDescent="0.25">
      <c r="A241" s="125" t="s">
        <v>1232</v>
      </c>
      <c r="B241" s="125" t="s">
        <v>791</v>
      </c>
      <c r="C241" s="125" t="s">
        <v>792</v>
      </c>
      <c r="D241" s="125" t="s">
        <v>656</v>
      </c>
      <c r="E241" s="125" t="s">
        <v>793</v>
      </c>
      <c r="F241" s="125" t="s">
        <v>690</v>
      </c>
      <c r="G241" s="125" t="s">
        <v>1248</v>
      </c>
      <c r="H241" s="125">
        <v>37190.080000000002</v>
      </c>
      <c r="I241" s="125">
        <v>0</v>
      </c>
      <c r="J241" s="125">
        <v>0</v>
      </c>
      <c r="K241" s="125">
        <v>0</v>
      </c>
      <c r="L241" s="125">
        <v>0</v>
      </c>
      <c r="M241" s="125">
        <v>7809.92</v>
      </c>
      <c r="N241" s="125">
        <v>0</v>
      </c>
      <c r="O241" s="125">
        <v>0</v>
      </c>
      <c r="P241" s="125">
        <v>0</v>
      </c>
      <c r="Q241" s="125">
        <v>0</v>
      </c>
      <c r="R241" s="125">
        <v>7809.92</v>
      </c>
      <c r="S241" s="125">
        <v>45000</v>
      </c>
      <c r="T241" s="125"/>
    </row>
    <row r="242" spans="1:20" ht="15" customHeight="1" x14ac:dyDescent="0.25">
      <c r="A242" s="125" t="s">
        <v>1232</v>
      </c>
      <c r="B242" s="125" t="s">
        <v>791</v>
      </c>
      <c r="C242" s="125" t="s">
        <v>792</v>
      </c>
      <c r="D242" s="125" t="s">
        <v>656</v>
      </c>
      <c r="E242" s="125" t="s">
        <v>793</v>
      </c>
      <c r="F242" s="125" t="s">
        <v>690</v>
      </c>
      <c r="G242" s="125" t="s">
        <v>1249</v>
      </c>
      <c r="H242" s="125">
        <v>18595.04</v>
      </c>
      <c r="I242" s="125">
        <v>0</v>
      </c>
      <c r="J242" s="125">
        <v>0</v>
      </c>
      <c r="K242" s="125">
        <v>0</v>
      </c>
      <c r="L242" s="125">
        <v>0</v>
      </c>
      <c r="M242" s="125">
        <v>3904.96</v>
      </c>
      <c r="N242" s="125">
        <v>0</v>
      </c>
      <c r="O242" s="125">
        <v>0</v>
      </c>
      <c r="P242" s="125">
        <v>0</v>
      </c>
      <c r="Q242" s="125">
        <v>0</v>
      </c>
      <c r="R242" s="125">
        <v>3904.96</v>
      </c>
      <c r="S242" s="125">
        <v>22500</v>
      </c>
      <c r="T242" s="125"/>
    </row>
    <row r="243" spans="1:20" ht="15" customHeight="1" x14ac:dyDescent="0.25">
      <c r="A243" s="125" t="s">
        <v>1232</v>
      </c>
      <c r="B243" s="125" t="s">
        <v>791</v>
      </c>
      <c r="C243" s="125" t="s">
        <v>792</v>
      </c>
      <c r="D243" s="125" t="s">
        <v>656</v>
      </c>
      <c r="E243" s="125" t="s">
        <v>793</v>
      </c>
      <c r="F243" s="125" t="s">
        <v>690</v>
      </c>
      <c r="G243" s="125" t="s">
        <v>1250</v>
      </c>
      <c r="H243" s="125">
        <v>12396.69</v>
      </c>
      <c r="I243" s="125">
        <v>0</v>
      </c>
      <c r="J243" s="125">
        <v>0</v>
      </c>
      <c r="K243" s="125">
        <v>0</v>
      </c>
      <c r="L243" s="125">
        <v>0</v>
      </c>
      <c r="M243" s="125">
        <v>2603.31</v>
      </c>
      <c r="N243" s="125">
        <v>0</v>
      </c>
      <c r="O243" s="125">
        <v>0</v>
      </c>
      <c r="P243" s="125">
        <v>0</v>
      </c>
      <c r="Q243" s="125">
        <v>0</v>
      </c>
      <c r="R243" s="125">
        <v>2603.31</v>
      </c>
      <c r="S243" s="125">
        <v>15000</v>
      </c>
      <c r="T243" s="125"/>
    </row>
    <row r="244" spans="1:20" ht="15" customHeight="1" x14ac:dyDescent="0.25">
      <c r="A244" s="125" t="s">
        <v>1232</v>
      </c>
      <c r="B244" s="125" t="s">
        <v>791</v>
      </c>
      <c r="C244" s="125" t="s">
        <v>792</v>
      </c>
      <c r="D244" s="125" t="s">
        <v>656</v>
      </c>
      <c r="E244" s="125" t="s">
        <v>793</v>
      </c>
      <c r="F244" s="125" t="s">
        <v>690</v>
      </c>
      <c r="G244" s="125" t="s">
        <v>1251</v>
      </c>
      <c r="H244" s="125">
        <v>44628.1</v>
      </c>
      <c r="I244" s="125">
        <v>0</v>
      </c>
      <c r="J244" s="125">
        <v>0</v>
      </c>
      <c r="K244" s="125">
        <v>0</v>
      </c>
      <c r="L244" s="125">
        <v>0</v>
      </c>
      <c r="M244" s="125">
        <v>9371.9</v>
      </c>
      <c r="N244" s="125">
        <v>0</v>
      </c>
      <c r="O244" s="125">
        <v>0</v>
      </c>
      <c r="P244" s="125">
        <v>0</v>
      </c>
      <c r="Q244" s="125">
        <v>0</v>
      </c>
      <c r="R244" s="125">
        <v>9371.9</v>
      </c>
      <c r="S244" s="125">
        <v>54000</v>
      </c>
      <c r="T244" s="125"/>
    </row>
    <row r="245" spans="1:20" ht="15" customHeight="1" x14ac:dyDescent="0.25">
      <c r="A245" s="125" t="s">
        <v>1232</v>
      </c>
      <c r="B245" s="125" t="s">
        <v>791</v>
      </c>
      <c r="C245" s="125" t="s">
        <v>792</v>
      </c>
      <c r="D245" s="125" t="s">
        <v>656</v>
      </c>
      <c r="E245" s="125" t="s">
        <v>793</v>
      </c>
      <c r="F245" s="125" t="s">
        <v>690</v>
      </c>
      <c r="G245" s="125" t="s">
        <v>1252</v>
      </c>
      <c r="H245" s="125">
        <v>30495.87</v>
      </c>
      <c r="I245" s="125">
        <v>0</v>
      </c>
      <c r="J245" s="125">
        <v>0</v>
      </c>
      <c r="K245" s="125">
        <v>0</v>
      </c>
      <c r="L245" s="125">
        <v>0</v>
      </c>
      <c r="M245" s="125">
        <v>6404.13</v>
      </c>
      <c r="N245" s="125">
        <v>0</v>
      </c>
      <c r="O245" s="125">
        <v>0</v>
      </c>
      <c r="P245" s="125">
        <v>0</v>
      </c>
      <c r="Q245" s="125">
        <v>0</v>
      </c>
      <c r="R245" s="125">
        <v>6404.13</v>
      </c>
      <c r="S245" s="125">
        <v>36900</v>
      </c>
      <c r="T245" s="125"/>
    </row>
    <row r="246" spans="1:20" ht="15" customHeight="1" x14ac:dyDescent="0.25">
      <c r="A246" s="125" t="s">
        <v>1232</v>
      </c>
      <c r="B246" s="125" t="s">
        <v>791</v>
      </c>
      <c r="C246" s="125" t="s">
        <v>792</v>
      </c>
      <c r="D246" s="125" t="s">
        <v>656</v>
      </c>
      <c r="E246" s="125" t="s">
        <v>793</v>
      </c>
      <c r="F246" s="125" t="s">
        <v>690</v>
      </c>
      <c r="G246" s="125" t="s">
        <v>1253</v>
      </c>
      <c r="H246" s="125">
        <v>31404.959999999999</v>
      </c>
      <c r="I246" s="125">
        <v>0</v>
      </c>
      <c r="J246" s="125">
        <v>0</v>
      </c>
      <c r="K246" s="125">
        <v>0</v>
      </c>
      <c r="L246" s="125">
        <v>0</v>
      </c>
      <c r="M246" s="125">
        <v>6595.04</v>
      </c>
      <c r="N246" s="125">
        <v>0</v>
      </c>
      <c r="O246" s="125">
        <v>0</v>
      </c>
      <c r="P246" s="125">
        <v>0</v>
      </c>
      <c r="Q246" s="125">
        <v>0</v>
      </c>
      <c r="R246" s="125">
        <v>6595.04</v>
      </c>
      <c r="S246" s="125">
        <v>38000</v>
      </c>
      <c r="T246" s="125"/>
    </row>
    <row r="247" spans="1:20" ht="15" customHeight="1" x14ac:dyDescent="0.25">
      <c r="A247" s="125" t="s">
        <v>1232</v>
      </c>
      <c r="B247" s="125" t="s">
        <v>791</v>
      </c>
      <c r="C247" s="125" t="s">
        <v>792</v>
      </c>
      <c r="D247" s="125" t="s">
        <v>656</v>
      </c>
      <c r="E247" s="125" t="s">
        <v>793</v>
      </c>
      <c r="F247" s="125" t="s">
        <v>690</v>
      </c>
      <c r="G247" s="125" t="s">
        <v>1254</v>
      </c>
      <c r="H247" s="125">
        <v>41322.31</v>
      </c>
      <c r="I247" s="125">
        <v>0</v>
      </c>
      <c r="J247" s="125">
        <v>0</v>
      </c>
      <c r="K247" s="125">
        <v>0</v>
      </c>
      <c r="L247" s="125">
        <v>0</v>
      </c>
      <c r="M247" s="125">
        <v>8677.69</v>
      </c>
      <c r="N247" s="125">
        <v>0</v>
      </c>
      <c r="O247" s="125">
        <v>0</v>
      </c>
      <c r="P247" s="125">
        <v>0</v>
      </c>
      <c r="Q247" s="125">
        <v>0</v>
      </c>
      <c r="R247" s="125">
        <v>8677.69</v>
      </c>
      <c r="S247" s="125">
        <v>50000</v>
      </c>
      <c r="T247" s="125"/>
    </row>
    <row r="248" spans="1:20" ht="15" customHeight="1" x14ac:dyDescent="0.25">
      <c r="A248" s="125" t="s">
        <v>1232</v>
      </c>
      <c r="B248" s="125" t="s">
        <v>791</v>
      </c>
      <c r="C248" s="125" t="s">
        <v>792</v>
      </c>
      <c r="D248" s="125" t="s">
        <v>656</v>
      </c>
      <c r="E248" s="125" t="s">
        <v>793</v>
      </c>
      <c r="F248" s="125" t="s">
        <v>690</v>
      </c>
      <c r="G248" s="125" t="s">
        <v>1255</v>
      </c>
      <c r="H248" s="125">
        <v>17851.240000000002</v>
      </c>
      <c r="I248" s="125">
        <v>0</v>
      </c>
      <c r="J248" s="125">
        <v>0</v>
      </c>
      <c r="K248" s="125">
        <v>0</v>
      </c>
      <c r="L248" s="125">
        <v>0</v>
      </c>
      <c r="M248" s="125">
        <v>3748.76</v>
      </c>
      <c r="N248" s="125">
        <v>0</v>
      </c>
      <c r="O248" s="125">
        <v>0</v>
      </c>
      <c r="P248" s="125">
        <v>0</v>
      </c>
      <c r="Q248" s="125">
        <v>0</v>
      </c>
      <c r="R248" s="125">
        <v>3748.76</v>
      </c>
      <c r="S248" s="125">
        <v>21600</v>
      </c>
      <c r="T248" s="125"/>
    </row>
    <row r="249" spans="1:20" ht="15" customHeight="1" x14ac:dyDescent="0.25">
      <c r="A249" s="125" t="s">
        <v>1232</v>
      </c>
      <c r="B249" s="125" t="s">
        <v>791</v>
      </c>
      <c r="C249" s="125" t="s">
        <v>792</v>
      </c>
      <c r="D249" s="125" t="s">
        <v>656</v>
      </c>
      <c r="E249" s="125" t="s">
        <v>793</v>
      </c>
      <c r="F249" s="125" t="s">
        <v>690</v>
      </c>
      <c r="G249" s="125" t="s">
        <v>1256</v>
      </c>
      <c r="H249" s="125">
        <v>49586.78</v>
      </c>
      <c r="I249" s="125">
        <v>0</v>
      </c>
      <c r="J249" s="125">
        <v>0</v>
      </c>
      <c r="K249" s="125">
        <v>0</v>
      </c>
      <c r="L249" s="125">
        <v>0</v>
      </c>
      <c r="M249" s="125">
        <v>10413.219999999999</v>
      </c>
      <c r="N249" s="125">
        <v>0</v>
      </c>
      <c r="O249" s="125">
        <v>0</v>
      </c>
      <c r="P249" s="125">
        <v>0</v>
      </c>
      <c r="Q249" s="125">
        <v>0</v>
      </c>
      <c r="R249" s="125">
        <v>10413.219999999999</v>
      </c>
      <c r="S249" s="125">
        <v>60000</v>
      </c>
      <c r="T249" s="125"/>
    </row>
    <row r="250" spans="1:20" ht="15" customHeight="1" x14ac:dyDescent="0.25">
      <c r="A250" s="125" t="s">
        <v>1257</v>
      </c>
      <c r="B250" s="125" t="s">
        <v>791</v>
      </c>
      <c r="C250" s="125" t="s">
        <v>792</v>
      </c>
      <c r="D250" s="125" t="s">
        <v>656</v>
      </c>
      <c r="E250" s="125" t="s">
        <v>793</v>
      </c>
      <c r="F250" s="125" t="s">
        <v>690</v>
      </c>
      <c r="G250" s="125" t="s">
        <v>1258</v>
      </c>
      <c r="H250" s="125">
        <v>23966.94</v>
      </c>
      <c r="I250" s="125">
        <v>0</v>
      </c>
      <c r="J250" s="125">
        <v>0</v>
      </c>
      <c r="K250" s="125">
        <v>0</v>
      </c>
      <c r="L250" s="125">
        <v>0</v>
      </c>
      <c r="M250" s="125">
        <v>5033.0600000000004</v>
      </c>
      <c r="N250" s="125">
        <v>0</v>
      </c>
      <c r="O250" s="125">
        <v>0</v>
      </c>
      <c r="P250" s="125">
        <v>0</v>
      </c>
      <c r="Q250" s="125">
        <v>0</v>
      </c>
      <c r="R250" s="125">
        <v>5033.0600000000004</v>
      </c>
      <c r="S250" s="125">
        <v>29000</v>
      </c>
      <c r="T250" s="125"/>
    </row>
    <row r="251" spans="1:20" ht="15" customHeight="1" x14ac:dyDescent="0.25">
      <c r="A251" s="125" t="s">
        <v>1257</v>
      </c>
      <c r="B251" s="125" t="s">
        <v>791</v>
      </c>
      <c r="C251" s="125" t="s">
        <v>792</v>
      </c>
      <c r="D251" s="125" t="s">
        <v>656</v>
      </c>
      <c r="E251" s="125" t="s">
        <v>793</v>
      </c>
      <c r="F251" s="125" t="s">
        <v>690</v>
      </c>
      <c r="G251" s="125" t="s">
        <v>1259</v>
      </c>
      <c r="H251" s="125">
        <v>18181.82</v>
      </c>
      <c r="I251" s="125">
        <v>0</v>
      </c>
      <c r="J251" s="125">
        <v>0</v>
      </c>
      <c r="K251" s="125">
        <v>0</v>
      </c>
      <c r="L251" s="125">
        <v>0</v>
      </c>
      <c r="M251" s="125">
        <v>3818.18</v>
      </c>
      <c r="N251" s="125">
        <v>0</v>
      </c>
      <c r="O251" s="125">
        <v>0</v>
      </c>
      <c r="P251" s="125">
        <v>0</v>
      </c>
      <c r="Q251" s="125">
        <v>0</v>
      </c>
      <c r="R251" s="125">
        <v>3818.18</v>
      </c>
      <c r="S251" s="125">
        <v>22000</v>
      </c>
      <c r="T251" s="125"/>
    </row>
    <row r="252" spans="1:20" ht="15" customHeight="1" x14ac:dyDescent="0.25">
      <c r="A252" s="125" t="s">
        <v>1257</v>
      </c>
      <c r="B252" s="125" t="s">
        <v>791</v>
      </c>
      <c r="C252" s="125" t="s">
        <v>792</v>
      </c>
      <c r="D252" s="125" t="s">
        <v>656</v>
      </c>
      <c r="E252" s="125" t="s">
        <v>793</v>
      </c>
      <c r="F252" s="125" t="s">
        <v>690</v>
      </c>
      <c r="G252" s="125" t="s">
        <v>1260</v>
      </c>
      <c r="H252" s="125">
        <v>3719.01</v>
      </c>
      <c r="I252" s="125">
        <v>0</v>
      </c>
      <c r="J252" s="125">
        <v>0</v>
      </c>
      <c r="K252" s="125">
        <v>0</v>
      </c>
      <c r="L252" s="125">
        <v>0</v>
      </c>
      <c r="M252" s="125">
        <v>780.99</v>
      </c>
      <c r="N252" s="125">
        <v>0</v>
      </c>
      <c r="O252" s="125">
        <v>0</v>
      </c>
      <c r="P252" s="125">
        <v>0</v>
      </c>
      <c r="Q252" s="125">
        <v>0</v>
      </c>
      <c r="R252" s="125">
        <v>780.99</v>
      </c>
      <c r="S252" s="125">
        <v>4500</v>
      </c>
      <c r="T252" s="125"/>
    </row>
    <row r="253" spans="1:20" ht="15" customHeight="1" x14ac:dyDescent="0.25">
      <c r="A253" s="125" t="s">
        <v>1257</v>
      </c>
      <c r="B253" s="125" t="s">
        <v>791</v>
      </c>
      <c r="C253" s="125" t="s">
        <v>792</v>
      </c>
      <c r="D253" s="125" t="s">
        <v>656</v>
      </c>
      <c r="E253" s="125" t="s">
        <v>793</v>
      </c>
      <c r="F253" s="125" t="s">
        <v>690</v>
      </c>
      <c r="G253" s="125" t="s">
        <v>1261</v>
      </c>
      <c r="H253" s="125">
        <v>18595.04</v>
      </c>
      <c r="I253" s="125">
        <v>0</v>
      </c>
      <c r="J253" s="125">
        <v>0</v>
      </c>
      <c r="K253" s="125">
        <v>0</v>
      </c>
      <c r="L253" s="125">
        <v>0</v>
      </c>
      <c r="M253" s="125">
        <v>3904.96</v>
      </c>
      <c r="N253" s="125">
        <v>0</v>
      </c>
      <c r="O253" s="125">
        <v>0</v>
      </c>
      <c r="P253" s="125">
        <v>0</v>
      </c>
      <c r="Q253" s="125">
        <v>0</v>
      </c>
      <c r="R253" s="125">
        <v>3904.96</v>
      </c>
      <c r="S253" s="125">
        <v>22500</v>
      </c>
      <c r="T253" s="125"/>
    </row>
    <row r="254" spans="1:20" ht="15" customHeight="1" x14ac:dyDescent="0.25">
      <c r="A254" s="125" t="s">
        <v>1257</v>
      </c>
      <c r="B254" s="125" t="s">
        <v>791</v>
      </c>
      <c r="C254" s="125" t="s">
        <v>792</v>
      </c>
      <c r="D254" s="125" t="s">
        <v>656</v>
      </c>
      <c r="E254" s="125" t="s">
        <v>793</v>
      </c>
      <c r="F254" s="125" t="s">
        <v>690</v>
      </c>
      <c r="G254" s="125" t="s">
        <v>1262</v>
      </c>
      <c r="H254" s="125">
        <v>25619.83</v>
      </c>
      <c r="I254" s="125">
        <v>0</v>
      </c>
      <c r="J254" s="125">
        <v>0</v>
      </c>
      <c r="K254" s="125">
        <v>0</v>
      </c>
      <c r="L254" s="125">
        <v>0</v>
      </c>
      <c r="M254" s="125">
        <v>5380.17</v>
      </c>
      <c r="N254" s="125">
        <v>0</v>
      </c>
      <c r="O254" s="125">
        <v>0</v>
      </c>
      <c r="P254" s="125">
        <v>0</v>
      </c>
      <c r="Q254" s="125">
        <v>0</v>
      </c>
      <c r="R254" s="125">
        <v>5380.17</v>
      </c>
      <c r="S254" s="125">
        <v>31000</v>
      </c>
      <c r="T254" s="125"/>
    </row>
    <row r="255" spans="1:20" ht="15" customHeight="1" x14ac:dyDescent="0.25">
      <c r="A255" s="125" t="s">
        <v>1257</v>
      </c>
      <c r="B255" s="125" t="s">
        <v>791</v>
      </c>
      <c r="C255" s="125" t="s">
        <v>792</v>
      </c>
      <c r="D255" s="125" t="s">
        <v>656</v>
      </c>
      <c r="E255" s="125" t="s">
        <v>793</v>
      </c>
      <c r="F255" s="125" t="s">
        <v>690</v>
      </c>
      <c r="G255" s="125" t="s">
        <v>1263</v>
      </c>
      <c r="H255" s="125">
        <v>9256.2000000000007</v>
      </c>
      <c r="I255" s="125">
        <v>0</v>
      </c>
      <c r="J255" s="125">
        <v>0</v>
      </c>
      <c r="K255" s="125">
        <v>0</v>
      </c>
      <c r="L255" s="125">
        <v>0</v>
      </c>
      <c r="M255" s="125">
        <v>1943.8</v>
      </c>
      <c r="N255" s="125">
        <v>0</v>
      </c>
      <c r="O255" s="125">
        <v>0</v>
      </c>
      <c r="P255" s="125">
        <v>0</v>
      </c>
      <c r="Q255" s="125">
        <v>0</v>
      </c>
      <c r="R255" s="125">
        <v>1943.8</v>
      </c>
      <c r="S255" s="125">
        <v>11200</v>
      </c>
      <c r="T255" s="125"/>
    </row>
    <row r="256" spans="1:20" ht="15" customHeight="1" x14ac:dyDescent="0.25">
      <c r="A256" s="125" t="s">
        <v>1257</v>
      </c>
      <c r="B256" s="125" t="s">
        <v>791</v>
      </c>
      <c r="C256" s="125" t="s">
        <v>792</v>
      </c>
      <c r="D256" s="125" t="s">
        <v>656</v>
      </c>
      <c r="E256" s="125" t="s">
        <v>793</v>
      </c>
      <c r="F256" s="125" t="s">
        <v>690</v>
      </c>
      <c r="G256" s="125" t="s">
        <v>1264</v>
      </c>
      <c r="H256" s="125">
        <v>57851.24</v>
      </c>
      <c r="I256" s="125">
        <v>0</v>
      </c>
      <c r="J256" s="125">
        <v>0</v>
      </c>
      <c r="K256" s="125">
        <v>0</v>
      </c>
      <c r="L256" s="125">
        <v>0</v>
      </c>
      <c r="M256" s="125">
        <v>12148.76</v>
      </c>
      <c r="N256" s="125">
        <v>0</v>
      </c>
      <c r="O256" s="125">
        <v>0</v>
      </c>
      <c r="P256" s="125">
        <v>0</v>
      </c>
      <c r="Q256" s="125">
        <v>0</v>
      </c>
      <c r="R256" s="125">
        <v>12148.76</v>
      </c>
      <c r="S256" s="125">
        <v>70000</v>
      </c>
      <c r="T256" s="125"/>
    </row>
    <row r="257" spans="1:20" ht="15" customHeight="1" x14ac:dyDescent="0.25">
      <c r="A257" s="125" t="s">
        <v>1257</v>
      </c>
      <c r="B257" s="125" t="s">
        <v>791</v>
      </c>
      <c r="C257" s="125" t="s">
        <v>792</v>
      </c>
      <c r="D257" s="125" t="s">
        <v>656</v>
      </c>
      <c r="E257" s="125" t="s">
        <v>793</v>
      </c>
      <c r="F257" s="125" t="s">
        <v>690</v>
      </c>
      <c r="G257" s="125" t="s">
        <v>1265</v>
      </c>
      <c r="H257" s="125">
        <v>55785.120000000003</v>
      </c>
      <c r="I257" s="125">
        <v>0</v>
      </c>
      <c r="J257" s="125">
        <v>0</v>
      </c>
      <c r="K257" s="125">
        <v>0</v>
      </c>
      <c r="L257" s="125">
        <v>0</v>
      </c>
      <c r="M257" s="125">
        <v>11714.88</v>
      </c>
      <c r="N257" s="125">
        <v>0</v>
      </c>
      <c r="O257" s="125">
        <v>0</v>
      </c>
      <c r="P257" s="125">
        <v>0</v>
      </c>
      <c r="Q257" s="125">
        <v>0</v>
      </c>
      <c r="R257" s="125">
        <v>11714.88</v>
      </c>
      <c r="S257" s="125">
        <v>67500</v>
      </c>
      <c r="T257" s="125"/>
    </row>
    <row r="258" spans="1:20" ht="15" customHeight="1" x14ac:dyDescent="0.25">
      <c r="A258" s="125" t="s">
        <v>1257</v>
      </c>
      <c r="B258" s="125" t="s">
        <v>791</v>
      </c>
      <c r="C258" s="125" t="s">
        <v>792</v>
      </c>
      <c r="D258" s="125" t="s">
        <v>656</v>
      </c>
      <c r="E258" s="125" t="s">
        <v>793</v>
      </c>
      <c r="F258" s="125" t="s">
        <v>690</v>
      </c>
      <c r="G258" s="125" t="s">
        <v>1266</v>
      </c>
      <c r="H258" s="125">
        <v>37190.080000000002</v>
      </c>
      <c r="I258" s="125">
        <v>0</v>
      </c>
      <c r="J258" s="125">
        <v>0</v>
      </c>
      <c r="K258" s="125">
        <v>0</v>
      </c>
      <c r="L258" s="125">
        <v>0</v>
      </c>
      <c r="M258" s="125">
        <v>7809.92</v>
      </c>
      <c r="N258" s="125">
        <v>0</v>
      </c>
      <c r="O258" s="125">
        <v>0</v>
      </c>
      <c r="P258" s="125">
        <v>0</v>
      </c>
      <c r="Q258" s="125">
        <v>0</v>
      </c>
      <c r="R258" s="125">
        <v>7809.92</v>
      </c>
      <c r="S258" s="125">
        <v>45000</v>
      </c>
      <c r="T258" s="125"/>
    </row>
    <row r="259" spans="1:20" ht="15" customHeight="1" x14ac:dyDescent="0.25">
      <c r="A259" s="125" t="s">
        <v>1257</v>
      </c>
      <c r="B259" s="125" t="s">
        <v>791</v>
      </c>
      <c r="C259" s="125" t="s">
        <v>792</v>
      </c>
      <c r="D259" s="125" t="s">
        <v>656</v>
      </c>
      <c r="E259" s="125" t="s">
        <v>793</v>
      </c>
      <c r="F259" s="125" t="s">
        <v>690</v>
      </c>
      <c r="G259" s="125" t="s">
        <v>1267</v>
      </c>
      <c r="H259" s="125">
        <v>23966.94</v>
      </c>
      <c r="I259" s="125">
        <v>0</v>
      </c>
      <c r="J259" s="125">
        <v>0</v>
      </c>
      <c r="K259" s="125">
        <v>0</v>
      </c>
      <c r="L259" s="125">
        <v>0</v>
      </c>
      <c r="M259" s="125">
        <v>5033.0600000000004</v>
      </c>
      <c r="N259" s="125">
        <v>0</v>
      </c>
      <c r="O259" s="125">
        <v>0</v>
      </c>
      <c r="P259" s="125">
        <v>0</v>
      </c>
      <c r="Q259" s="125">
        <v>0</v>
      </c>
      <c r="R259" s="125">
        <v>5033.0600000000004</v>
      </c>
      <c r="S259" s="125">
        <v>29000</v>
      </c>
      <c r="T259" s="125"/>
    </row>
    <row r="260" spans="1:20" ht="15" customHeight="1" x14ac:dyDescent="0.25">
      <c r="A260" s="125" t="s">
        <v>1257</v>
      </c>
      <c r="B260" s="125" t="s">
        <v>791</v>
      </c>
      <c r="C260" s="125" t="s">
        <v>792</v>
      </c>
      <c r="D260" s="125" t="s">
        <v>656</v>
      </c>
      <c r="E260" s="125" t="s">
        <v>793</v>
      </c>
      <c r="F260" s="125" t="s">
        <v>690</v>
      </c>
      <c r="G260" s="125" t="s">
        <v>1268</v>
      </c>
      <c r="H260" s="125">
        <v>24545.45</v>
      </c>
      <c r="I260" s="125">
        <v>0</v>
      </c>
      <c r="J260" s="125">
        <v>0</v>
      </c>
      <c r="K260" s="125">
        <v>0</v>
      </c>
      <c r="L260" s="125">
        <v>0</v>
      </c>
      <c r="M260" s="125">
        <v>5154.55</v>
      </c>
      <c r="N260" s="125">
        <v>0</v>
      </c>
      <c r="O260" s="125">
        <v>0</v>
      </c>
      <c r="P260" s="125">
        <v>0</v>
      </c>
      <c r="Q260" s="125">
        <v>0</v>
      </c>
      <c r="R260" s="125">
        <v>5154.55</v>
      </c>
      <c r="S260" s="125">
        <v>29700</v>
      </c>
      <c r="T260" s="125"/>
    </row>
    <row r="261" spans="1:20" ht="15" customHeight="1" x14ac:dyDescent="0.25">
      <c r="A261" s="125" t="s">
        <v>1257</v>
      </c>
      <c r="B261" s="125" t="s">
        <v>791</v>
      </c>
      <c r="C261" s="125" t="s">
        <v>792</v>
      </c>
      <c r="D261" s="125" t="s">
        <v>656</v>
      </c>
      <c r="E261" s="125" t="s">
        <v>793</v>
      </c>
      <c r="F261" s="125" t="s">
        <v>690</v>
      </c>
      <c r="G261" s="125" t="s">
        <v>1269</v>
      </c>
      <c r="H261" s="125">
        <v>28925.62</v>
      </c>
      <c r="I261" s="125">
        <v>0</v>
      </c>
      <c r="J261" s="125">
        <v>0</v>
      </c>
      <c r="K261" s="125">
        <v>0</v>
      </c>
      <c r="L261" s="125">
        <v>0</v>
      </c>
      <c r="M261" s="125">
        <v>6074.38</v>
      </c>
      <c r="N261" s="125">
        <v>0</v>
      </c>
      <c r="O261" s="125">
        <v>0</v>
      </c>
      <c r="P261" s="125">
        <v>0</v>
      </c>
      <c r="Q261" s="125">
        <v>0</v>
      </c>
      <c r="R261" s="125">
        <v>6074.38</v>
      </c>
      <c r="S261" s="125">
        <v>35000</v>
      </c>
      <c r="T261" s="125"/>
    </row>
    <row r="262" spans="1:20" ht="15" customHeight="1" x14ac:dyDescent="0.25">
      <c r="A262" s="125" t="s">
        <v>1270</v>
      </c>
      <c r="B262" s="125" t="s">
        <v>791</v>
      </c>
      <c r="C262" s="125" t="s">
        <v>792</v>
      </c>
      <c r="D262" s="125" t="s">
        <v>656</v>
      </c>
      <c r="E262" s="125" t="s">
        <v>793</v>
      </c>
      <c r="F262" s="125" t="s">
        <v>690</v>
      </c>
      <c r="G262" s="125" t="s">
        <v>1271</v>
      </c>
      <c r="H262" s="125">
        <v>98347.11</v>
      </c>
      <c r="I262" s="125">
        <v>0</v>
      </c>
      <c r="J262" s="125">
        <v>0</v>
      </c>
      <c r="K262" s="125">
        <v>0</v>
      </c>
      <c r="L262" s="125">
        <v>0</v>
      </c>
      <c r="M262" s="125">
        <v>20652.89</v>
      </c>
      <c r="N262" s="125">
        <v>0</v>
      </c>
      <c r="O262" s="125">
        <v>0</v>
      </c>
      <c r="P262" s="125">
        <v>0</v>
      </c>
      <c r="Q262" s="125">
        <v>0</v>
      </c>
      <c r="R262" s="125">
        <v>20652.89</v>
      </c>
      <c r="S262" s="125">
        <v>119000</v>
      </c>
      <c r="T262" s="125"/>
    </row>
    <row r="263" spans="1:20" ht="15" customHeight="1" x14ac:dyDescent="0.25">
      <c r="A263" s="125" t="s">
        <v>1270</v>
      </c>
      <c r="B263" s="125" t="s">
        <v>874</v>
      </c>
      <c r="C263" s="125" t="s">
        <v>875</v>
      </c>
      <c r="D263" s="125" t="s">
        <v>652</v>
      </c>
      <c r="E263" s="125" t="s">
        <v>876</v>
      </c>
      <c r="F263" s="125" t="s">
        <v>690</v>
      </c>
      <c r="G263" s="125" t="s">
        <v>1272</v>
      </c>
      <c r="H263" s="125">
        <v>42975.21</v>
      </c>
      <c r="I263" s="125">
        <v>0</v>
      </c>
      <c r="J263" s="125">
        <v>0</v>
      </c>
      <c r="K263" s="125">
        <v>0</v>
      </c>
      <c r="L263" s="125">
        <v>0</v>
      </c>
      <c r="M263" s="125">
        <v>9024.7900000000009</v>
      </c>
      <c r="N263" s="125">
        <v>0</v>
      </c>
      <c r="O263" s="125">
        <v>0</v>
      </c>
      <c r="P263" s="125">
        <v>0</v>
      </c>
      <c r="Q263" s="125">
        <v>0</v>
      </c>
      <c r="R263" s="125">
        <v>9024.7900000000009</v>
      </c>
      <c r="S263" s="125">
        <v>52000</v>
      </c>
      <c r="T263" s="125"/>
    </row>
    <row r="264" spans="1:20" ht="15" customHeight="1" x14ac:dyDescent="0.25">
      <c r="A264" s="125" t="s">
        <v>1270</v>
      </c>
      <c r="B264" s="125" t="s">
        <v>791</v>
      </c>
      <c r="C264" s="125" t="s">
        <v>792</v>
      </c>
      <c r="D264" s="125" t="s">
        <v>656</v>
      </c>
      <c r="E264" s="125" t="s">
        <v>793</v>
      </c>
      <c r="F264" s="125" t="s">
        <v>690</v>
      </c>
      <c r="G264" s="125" t="s">
        <v>1273</v>
      </c>
      <c r="H264" s="125">
        <v>63636.36</v>
      </c>
      <c r="I264" s="125">
        <v>0</v>
      </c>
      <c r="J264" s="125">
        <v>0</v>
      </c>
      <c r="K264" s="125">
        <v>0</v>
      </c>
      <c r="L264" s="125">
        <v>0</v>
      </c>
      <c r="M264" s="125">
        <v>13363.64</v>
      </c>
      <c r="N264" s="125">
        <v>0</v>
      </c>
      <c r="O264" s="125">
        <v>0</v>
      </c>
      <c r="P264" s="125">
        <v>0</v>
      </c>
      <c r="Q264" s="125">
        <v>0</v>
      </c>
      <c r="R264" s="125">
        <v>13363.64</v>
      </c>
      <c r="S264" s="125">
        <v>77000</v>
      </c>
      <c r="T264" s="125"/>
    </row>
    <row r="265" spans="1:20" ht="15" customHeight="1" x14ac:dyDescent="0.25">
      <c r="A265" s="125" t="s">
        <v>1270</v>
      </c>
      <c r="B265" s="125" t="s">
        <v>791</v>
      </c>
      <c r="C265" s="125" t="s">
        <v>792</v>
      </c>
      <c r="D265" s="125" t="s">
        <v>656</v>
      </c>
      <c r="E265" s="125" t="s">
        <v>793</v>
      </c>
      <c r="F265" s="125" t="s">
        <v>690</v>
      </c>
      <c r="G265" s="125" t="s">
        <v>1274</v>
      </c>
      <c r="H265" s="125">
        <v>18595.04</v>
      </c>
      <c r="I265" s="125">
        <v>0</v>
      </c>
      <c r="J265" s="125">
        <v>0</v>
      </c>
      <c r="K265" s="125">
        <v>0</v>
      </c>
      <c r="L265" s="125">
        <v>0</v>
      </c>
      <c r="M265" s="125">
        <v>3904.96</v>
      </c>
      <c r="N265" s="125">
        <v>0</v>
      </c>
      <c r="O265" s="125">
        <v>0</v>
      </c>
      <c r="P265" s="125">
        <v>0</v>
      </c>
      <c r="Q265" s="125">
        <v>0</v>
      </c>
      <c r="R265" s="125">
        <v>3904.96</v>
      </c>
      <c r="S265" s="125">
        <v>22500</v>
      </c>
      <c r="T265" s="125"/>
    </row>
    <row r="266" spans="1:20" ht="15" customHeight="1" x14ac:dyDescent="0.25">
      <c r="A266" s="125" t="s">
        <v>1270</v>
      </c>
      <c r="B266" s="125" t="s">
        <v>791</v>
      </c>
      <c r="C266" s="125" t="s">
        <v>792</v>
      </c>
      <c r="D266" s="125" t="s">
        <v>656</v>
      </c>
      <c r="E266" s="125" t="s">
        <v>793</v>
      </c>
      <c r="F266" s="125" t="s">
        <v>690</v>
      </c>
      <c r="G266" s="125" t="s">
        <v>1275</v>
      </c>
      <c r="H266" s="125">
        <v>10743.8</v>
      </c>
      <c r="I266" s="125">
        <v>0</v>
      </c>
      <c r="J266" s="125">
        <v>0</v>
      </c>
      <c r="K266" s="125">
        <v>0</v>
      </c>
      <c r="L266" s="125">
        <v>0</v>
      </c>
      <c r="M266" s="125">
        <v>2256.1999999999998</v>
      </c>
      <c r="N266" s="125">
        <v>0</v>
      </c>
      <c r="O266" s="125">
        <v>0</v>
      </c>
      <c r="P266" s="125">
        <v>0</v>
      </c>
      <c r="Q266" s="125">
        <v>0</v>
      </c>
      <c r="R266" s="125">
        <v>2256.1999999999998</v>
      </c>
      <c r="S266" s="125">
        <v>13000</v>
      </c>
      <c r="T266" s="125"/>
    </row>
    <row r="267" spans="1:20" ht="15" customHeight="1" x14ac:dyDescent="0.25">
      <c r="A267" s="125" t="s">
        <v>1270</v>
      </c>
      <c r="B267" s="125" t="s">
        <v>791</v>
      </c>
      <c r="C267" s="125" t="s">
        <v>792</v>
      </c>
      <c r="D267" s="125" t="s">
        <v>656</v>
      </c>
      <c r="E267" s="125" t="s">
        <v>793</v>
      </c>
      <c r="F267" s="125" t="s">
        <v>690</v>
      </c>
      <c r="G267" s="125" t="s">
        <v>1276</v>
      </c>
      <c r="H267" s="125">
        <v>16528.93</v>
      </c>
      <c r="I267" s="125">
        <v>0</v>
      </c>
      <c r="J267" s="125">
        <v>0</v>
      </c>
      <c r="K267" s="125">
        <v>0</v>
      </c>
      <c r="L267" s="125">
        <v>0</v>
      </c>
      <c r="M267" s="125">
        <v>3471.07</v>
      </c>
      <c r="N267" s="125">
        <v>0</v>
      </c>
      <c r="O267" s="125">
        <v>0</v>
      </c>
      <c r="P267" s="125">
        <v>0</v>
      </c>
      <c r="Q267" s="125">
        <v>0</v>
      </c>
      <c r="R267" s="125">
        <v>3471.07</v>
      </c>
      <c r="S267" s="125">
        <v>20000</v>
      </c>
      <c r="T267" s="125"/>
    </row>
    <row r="268" spans="1:20" ht="15" customHeight="1" x14ac:dyDescent="0.25">
      <c r="A268" s="125" t="s">
        <v>1270</v>
      </c>
      <c r="B268" s="125" t="s">
        <v>791</v>
      </c>
      <c r="C268" s="125" t="s">
        <v>792</v>
      </c>
      <c r="D268" s="125" t="s">
        <v>656</v>
      </c>
      <c r="E268" s="125" t="s">
        <v>793</v>
      </c>
      <c r="F268" s="125" t="s">
        <v>690</v>
      </c>
      <c r="G268" s="125" t="s">
        <v>1277</v>
      </c>
      <c r="H268" s="125">
        <v>14049.59</v>
      </c>
      <c r="I268" s="125">
        <v>0</v>
      </c>
      <c r="J268" s="125">
        <v>0</v>
      </c>
      <c r="K268" s="125">
        <v>0</v>
      </c>
      <c r="L268" s="125">
        <v>0</v>
      </c>
      <c r="M268" s="125">
        <v>2950.41</v>
      </c>
      <c r="N268" s="125">
        <v>0</v>
      </c>
      <c r="O268" s="125">
        <v>0</v>
      </c>
      <c r="P268" s="125">
        <v>0</v>
      </c>
      <c r="Q268" s="125">
        <v>0</v>
      </c>
      <c r="R268" s="125">
        <v>2950.41</v>
      </c>
      <c r="S268" s="125">
        <v>17000</v>
      </c>
      <c r="T268" s="125"/>
    </row>
    <row r="269" spans="1:20" ht="15" customHeight="1" x14ac:dyDescent="0.25">
      <c r="A269" s="125" t="s">
        <v>1270</v>
      </c>
      <c r="B269" s="125" t="s">
        <v>791</v>
      </c>
      <c r="C269" s="125" t="s">
        <v>792</v>
      </c>
      <c r="D269" s="125" t="s">
        <v>656</v>
      </c>
      <c r="E269" s="125" t="s">
        <v>793</v>
      </c>
      <c r="F269" s="125" t="s">
        <v>690</v>
      </c>
      <c r="G269" s="125" t="s">
        <v>1278</v>
      </c>
      <c r="H269" s="125">
        <v>18595.04</v>
      </c>
      <c r="I269" s="125">
        <v>0</v>
      </c>
      <c r="J269" s="125">
        <v>0</v>
      </c>
      <c r="K269" s="125">
        <v>0</v>
      </c>
      <c r="L269" s="125">
        <v>0</v>
      </c>
      <c r="M269" s="125">
        <v>3904.96</v>
      </c>
      <c r="N269" s="125">
        <v>0</v>
      </c>
      <c r="O269" s="125">
        <v>0</v>
      </c>
      <c r="P269" s="125">
        <v>0</v>
      </c>
      <c r="Q269" s="125">
        <v>0</v>
      </c>
      <c r="R269" s="125">
        <v>3904.96</v>
      </c>
      <c r="S269" s="125">
        <v>22500</v>
      </c>
      <c r="T269" s="125"/>
    </row>
    <row r="270" spans="1:20" ht="15" customHeight="1" x14ac:dyDescent="0.25">
      <c r="A270" s="125" t="s">
        <v>1270</v>
      </c>
      <c r="B270" s="125" t="s">
        <v>791</v>
      </c>
      <c r="C270" s="125" t="s">
        <v>792</v>
      </c>
      <c r="D270" s="125" t="s">
        <v>656</v>
      </c>
      <c r="E270" s="125" t="s">
        <v>793</v>
      </c>
      <c r="F270" s="125" t="s">
        <v>690</v>
      </c>
      <c r="G270" s="125" t="s">
        <v>1279</v>
      </c>
      <c r="H270" s="125">
        <v>18595.04</v>
      </c>
      <c r="I270" s="125">
        <v>0</v>
      </c>
      <c r="J270" s="125">
        <v>0</v>
      </c>
      <c r="K270" s="125">
        <v>0</v>
      </c>
      <c r="L270" s="125">
        <v>0</v>
      </c>
      <c r="M270" s="125">
        <v>3904.96</v>
      </c>
      <c r="N270" s="125">
        <v>0</v>
      </c>
      <c r="O270" s="125">
        <v>0</v>
      </c>
      <c r="P270" s="125">
        <v>0</v>
      </c>
      <c r="Q270" s="125">
        <v>0</v>
      </c>
      <c r="R270" s="125">
        <v>3904.96</v>
      </c>
      <c r="S270" s="125">
        <v>22500</v>
      </c>
      <c r="T270" s="125"/>
    </row>
    <row r="271" spans="1:20" ht="15" customHeight="1" x14ac:dyDescent="0.25">
      <c r="A271" s="125" t="s">
        <v>1270</v>
      </c>
      <c r="B271" s="125" t="s">
        <v>791</v>
      </c>
      <c r="C271" s="125" t="s">
        <v>792</v>
      </c>
      <c r="D271" s="125" t="s">
        <v>656</v>
      </c>
      <c r="E271" s="125" t="s">
        <v>793</v>
      </c>
      <c r="F271" s="125" t="s">
        <v>690</v>
      </c>
      <c r="G271" s="125" t="s">
        <v>1280</v>
      </c>
      <c r="H271" s="125">
        <v>20661.16</v>
      </c>
      <c r="I271" s="125">
        <v>0</v>
      </c>
      <c r="J271" s="125">
        <v>0</v>
      </c>
      <c r="K271" s="125">
        <v>0</v>
      </c>
      <c r="L271" s="125">
        <v>0</v>
      </c>
      <c r="M271" s="125">
        <v>4338.84</v>
      </c>
      <c r="N271" s="125">
        <v>0</v>
      </c>
      <c r="O271" s="125">
        <v>0</v>
      </c>
      <c r="P271" s="125">
        <v>0</v>
      </c>
      <c r="Q271" s="125">
        <v>0</v>
      </c>
      <c r="R271" s="125">
        <v>4338.84</v>
      </c>
      <c r="S271" s="125">
        <v>25000</v>
      </c>
      <c r="T271" s="125"/>
    </row>
    <row r="272" spans="1:20" ht="15" customHeight="1" x14ac:dyDescent="0.25">
      <c r="A272" s="125" t="s">
        <v>1270</v>
      </c>
      <c r="B272" s="125" t="s">
        <v>791</v>
      </c>
      <c r="C272" s="125" t="s">
        <v>792</v>
      </c>
      <c r="D272" s="125" t="s">
        <v>656</v>
      </c>
      <c r="E272" s="125" t="s">
        <v>793</v>
      </c>
      <c r="F272" s="125" t="s">
        <v>690</v>
      </c>
      <c r="G272" s="125" t="s">
        <v>1281</v>
      </c>
      <c r="H272" s="125">
        <v>18595.04</v>
      </c>
      <c r="I272" s="125">
        <v>0</v>
      </c>
      <c r="J272" s="125">
        <v>0</v>
      </c>
      <c r="K272" s="125">
        <v>0</v>
      </c>
      <c r="L272" s="125">
        <v>0</v>
      </c>
      <c r="M272" s="125">
        <v>3904.96</v>
      </c>
      <c r="N272" s="125">
        <v>0</v>
      </c>
      <c r="O272" s="125">
        <v>0</v>
      </c>
      <c r="P272" s="125">
        <v>0</v>
      </c>
      <c r="Q272" s="125">
        <v>0</v>
      </c>
      <c r="R272" s="125">
        <v>3904.96</v>
      </c>
      <c r="S272" s="125">
        <v>22500</v>
      </c>
      <c r="T272" s="125"/>
    </row>
    <row r="273" spans="1:20" ht="15" customHeight="1" x14ac:dyDescent="0.25">
      <c r="A273" s="125" t="s">
        <v>1270</v>
      </c>
      <c r="B273" s="125" t="s">
        <v>791</v>
      </c>
      <c r="C273" s="125" t="s">
        <v>792</v>
      </c>
      <c r="D273" s="125" t="s">
        <v>656</v>
      </c>
      <c r="E273" s="125" t="s">
        <v>793</v>
      </c>
      <c r="F273" s="125" t="s">
        <v>690</v>
      </c>
      <c r="G273" s="125" t="s">
        <v>1282</v>
      </c>
      <c r="H273" s="125">
        <v>8264.4599999999991</v>
      </c>
      <c r="I273" s="125">
        <v>0</v>
      </c>
      <c r="J273" s="125">
        <v>0</v>
      </c>
      <c r="K273" s="125">
        <v>0</v>
      </c>
      <c r="L273" s="125">
        <v>0</v>
      </c>
      <c r="M273" s="125">
        <v>1735.54</v>
      </c>
      <c r="N273" s="125">
        <v>0</v>
      </c>
      <c r="O273" s="125">
        <v>0</v>
      </c>
      <c r="P273" s="125">
        <v>0</v>
      </c>
      <c r="Q273" s="125">
        <v>0</v>
      </c>
      <c r="R273" s="125">
        <v>1735.54</v>
      </c>
      <c r="S273" s="125">
        <v>10000</v>
      </c>
      <c r="T273" s="125"/>
    </row>
    <row r="274" spans="1:20" ht="15" customHeight="1" x14ac:dyDescent="0.25">
      <c r="A274" s="125" t="s">
        <v>1270</v>
      </c>
      <c r="B274" s="125" t="s">
        <v>791</v>
      </c>
      <c r="C274" s="125" t="s">
        <v>792</v>
      </c>
      <c r="D274" s="125" t="s">
        <v>656</v>
      </c>
      <c r="E274" s="125" t="s">
        <v>793</v>
      </c>
      <c r="F274" s="125" t="s">
        <v>690</v>
      </c>
      <c r="G274" s="125" t="s">
        <v>1283</v>
      </c>
      <c r="H274" s="125">
        <v>12396.69</v>
      </c>
      <c r="I274" s="125">
        <v>0</v>
      </c>
      <c r="J274" s="125">
        <v>0</v>
      </c>
      <c r="K274" s="125">
        <v>0</v>
      </c>
      <c r="L274" s="125">
        <v>0</v>
      </c>
      <c r="M274" s="125">
        <v>2603.31</v>
      </c>
      <c r="N274" s="125">
        <v>0</v>
      </c>
      <c r="O274" s="125">
        <v>0</v>
      </c>
      <c r="P274" s="125">
        <v>0</v>
      </c>
      <c r="Q274" s="125">
        <v>0</v>
      </c>
      <c r="R274" s="125">
        <v>2603.31</v>
      </c>
      <c r="S274" s="125">
        <v>15000</v>
      </c>
      <c r="T274" s="125"/>
    </row>
    <row r="275" spans="1:20" ht="15" customHeight="1" x14ac:dyDescent="0.25">
      <c r="A275" s="125" t="s">
        <v>1270</v>
      </c>
      <c r="B275" s="125" t="s">
        <v>831</v>
      </c>
      <c r="C275" s="125" t="s">
        <v>832</v>
      </c>
      <c r="D275" s="125" t="s">
        <v>656</v>
      </c>
      <c r="E275" s="125" t="s">
        <v>793</v>
      </c>
      <c r="F275" s="125" t="s">
        <v>690</v>
      </c>
      <c r="G275" s="125" t="s">
        <v>1284</v>
      </c>
      <c r="H275" s="125">
        <v>17355.37</v>
      </c>
      <c r="I275" s="125">
        <v>0</v>
      </c>
      <c r="J275" s="125">
        <v>0</v>
      </c>
      <c r="K275" s="125">
        <v>0</v>
      </c>
      <c r="L275" s="125">
        <v>0</v>
      </c>
      <c r="M275" s="125">
        <v>3644.63</v>
      </c>
      <c r="N275" s="125">
        <v>0</v>
      </c>
      <c r="O275" s="125">
        <v>0</v>
      </c>
      <c r="P275" s="125">
        <v>0</v>
      </c>
      <c r="Q275" s="125">
        <v>0</v>
      </c>
      <c r="R275" s="125">
        <v>3644.63</v>
      </c>
      <c r="S275" s="125">
        <v>21000</v>
      </c>
      <c r="T275" s="125"/>
    </row>
    <row r="276" spans="1:20" ht="15" customHeight="1" x14ac:dyDescent="0.25">
      <c r="A276" s="125" t="s">
        <v>1270</v>
      </c>
      <c r="B276" s="125" t="s">
        <v>831</v>
      </c>
      <c r="C276" s="125" t="s">
        <v>832</v>
      </c>
      <c r="D276" s="125" t="s">
        <v>656</v>
      </c>
      <c r="E276" s="125" t="s">
        <v>793</v>
      </c>
      <c r="F276" s="125" t="s">
        <v>690</v>
      </c>
      <c r="G276" s="125" t="s">
        <v>1285</v>
      </c>
      <c r="H276" s="125">
        <v>17355.37</v>
      </c>
      <c r="I276" s="125">
        <v>0</v>
      </c>
      <c r="J276" s="125">
        <v>0</v>
      </c>
      <c r="K276" s="125">
        <v>0</v>
      </c>
      <c r="L276" s="125">
        <v>0</v>
      </c>
      <c r="M276" s="125">
        <v>3644.63</v>
      </c>
      <c r="N276" s="125">
        <v>0</v>
      </c>
      <c r="O276" s="125">
        <v>0</v>
      </c>
      <c r="P276" s="125">
        <v>0</v>
      </c>
      <c r="Q276" s="125">
        <v>0</v>
      </c>
      <c r="R276" s="125">
        <v>3644.63</v>
      </c>
      <c r="S276" s="125">
        <v>21000</v>
      </c>
      <c r="T276" s="125"/>
    </row>
    <row r="277" spans="1:20" ht="15" customHeight="1" x14ac:dyDescent="0.25">
      <c r="A277" s="125" t="s">
        <v>1270</v>
      </c>
      <c r="B277" s="125" t="s">
        <v>791</v>
      </c>
      <c r="C277" s="125" t="s">
        <v>792</v>
      </c>
      <c r="D277" s="125" t="s">
        <v>656</v>
      </c>
      <c r="E277" s="125" t="s">
        <v>793</v>
      </c>
      <c r="F277" s="125" t="s">
        <v>690</v>
      </c>
      <c r="G277" s="125" t="s">
        <v>1286</v>
      </c>
      <c r="H277" s="125">
        <v>3388.43</v>
      </c>
      <c r="I277" s="125">
        <v>0</v>
      </c>
      <c r="J277" s="125">
        <v>0</v>
      </c>
      <c r="K277" s="125">
        <v>0</v>
      </c>
      <c r="L277" s="125">
        <v>0</v>
      </c>
      <c r="M277" s="125">
        <v>711.57</v>
      </c>
      <c r="N277" s="125">
        <v>0</v>
      </c>
      <c r="O277" s="125">
        <v>0</v>
      </c>
      <c r="P277" s="125">
        <v>0</v>
      </c>
      <c r="Q277" s="125">
        <v>0</v>
      </c>
      <c r="R277" s="125">
        <v>711.57</v>
      </c>
      <c r="S277" s="125">
        <v>4100</v>
      </c>
      <c r="T277" s="125"/>
    </row>
    <row r="278" spans="1:20" ht="15" customHeight="1" x14ac:dyDescent="0.25">
      <c r="A278" s="125" t="s">
        <v>1270</v>
      </c>
      <c r="B278" s="125" t="s">
        <v>1287</v>
      </c>
      <c r="C278" s="125" t="s">
        <v>1288</v>
      </c>
      <c r="D278" s="125" t="s">
        <v>656</v>
      </c>
      <c r="E278" s="125" t="s">
        <v>793</v>
      </c>
      <c r="F278" s="125" t="s">
        <v>654</v>
      </c>
      <c r="G278" s="125" t="s">
        <v>1289</v>
      </c>
      <c r="H278" s="125">
        <v>127272.73</v>
      </c>
      <c r="I278" s="125">
        <v>0</v>
      </c>
      <c r="J278" s="125">
        <v>0</v>
      </c>
      <c r="K278" s="125">
        <v>0</v>
      </c>
      <c r="L278" s="125">
        <v>0</v>
      </c>
      <c r="M278" s="125">
        <v>26727.27</v>
      </c>
      <c r="N278" s="125">
        <v>0</v>
      </c>
      <c r="O278" s="125">
        <v>0</v>
      </c>
      <c r="P278" s="125">
        <v>0</v>
      </c>
      <c r="Q278" s="125">
        <v>0</v>
      </c>
      <c r="R278" s="125">
        <v>26727.27</v>
      </c>
      <c r="S278" s="125">
        <v>154000</v>
      </c>
      <c r="T278" s="125"/>
    </row>
    <row r="279" spans="1:20" ht="15" customHeight="1" x14ac:dyDescent="0.25">
      <c r="A279" s="125" t="s">
        <v>1270</v>
      </c>
      <c r="B279" s="125" t="s">
        <v>791</v>
      </c>
      <c r="C279" s="125" t="s">
        <v>792</v>
      </c>
      <c r="D279" s="125" t="s">
        <v>656</v>
      </c>
      <c r="E279" s="125" t="s">
        <v>793</v>
      </c>
      <c r="F279" s="125" t="s">
        <v>690</v>
      </c>
      <c r="G279" s="125" t="s">
        <v>1290</v>
      </c>
      <c r="H279" s="125">
        <v>18595.04</v>
      </c>
      <c r="I279" s="125">
        <v>0</v>
      </c>
      <c r="J279" s="125">
        <v>0</v>
      </c>
      <c r="K279" s="125">
        <v>0</v>
      </c>
      <c r="L279" s="125">
        <v>0</v>
      </c>
      <c r="M279" s="125">
        <v>3904.96</v>
      </c>
      <c r="N279" s="125">
        <v>0</v>
      </c>
      <c r="O279" s="125">
        <v>0</v>
      </c>
      <c r="P279" s="125">
        <v>0</v>
      </c>
      <c r="Q279" s="125">
        <v>0</v>
      </c>
      <c r="R279" s="125">
        <v>3904.96</v>
      </c>
      <c r="S279" s="125">
        <v>22500</v>
      </c>
      <c r="T279" s="125"/>
    </row>
    <row r="280" spans="1:20" ht="15" customHeight="1" x14ac:dyDescent="0.25">
      <c r="A280" s="125" t="s">
        <v>1270</v>
      </c>
      <c r="B280" s="125" t="s">
        <v>791</v>
      </c>
      <c r="C280" s="125" t="s">
        <v>792</v>
      </c>
      <c r="D280" s="125" t="s">
        <v>656</v>
      </c>
      <c r="E280" s="125" t="s">
        <v>793</v>
      </c>
      <c r="F280" s="125" t="s">
        <v>690</v>
      </c>
      <c r="G280" s="125" t="s">
        <v>1291</v>
      </c>
      <c r="H280" s="125">
        <v>18595.04</v>
      </c>
      <c r="I280" s="125">
        <v>0</v>
      </c>
      <c r="J280" s="125">
        <v>0</v>
      </c>
      <c r="K280" s="125">
        <v>0</v>
      </c>
      <c r="L280" s="125">
        <v>0</v>
      </c>
      <c r="M280" s="125">
        <v>3904.96</v>
      </c>
      <c r="N280" s="125">
        <v>0</v>
      </c>
      <c r="O280" s="125">
        <v>0</v>
      </c>
      <c r="P280" s="125">
        <v>0</v>
      </c>
      <c r="Q280" s="125">
        <v>0</v>
      </c>
      <c r="R280" s="125">
        <v>3904.96</v>
      </c>
      <c r="S280" s="125">
        <v>22500</v>
      </c>
      <c r="T280" s="125"/>
    </row>
    <row r="281" spans="1:20" ht="15" customHeight="1" x14ac:dyDescent="0.25">
      <c r="A281" s="125" t="s">
        <v>1270</v>
      </c>
      <c r="B281" s="125" t="s">
        <v>791</v>
      </c>
      <c r="C281" s="125" t="s">
        <v>792</v>
      </c>
      <c r="D281" s="125" t="s">
        <v>656</v>
      </c>
      <c r="E281" s="125" t="s">
        <v>793</v>
      </c>
      <c r="F281" s="125" t="s">
        <v>690</v>
      </c>
      <c r="G281" s="125" t="s">
        <v>1292</v>
      </c>
      <c r="H281" s="125">
        <v>28925.62</v>
      </c>
      <c r="I281" s="125">
        <v>0</v>
      </c>
      <c r="J281" s="125">
        <v>0</v>
      </c>
      <c r="K281" s="125">
        <v>0</v>
      </c>
      <c r="L281" s="125">
        <v>0</v>
      </c>
      <c r="M281" s="125">
        <v>6074.38</v>
      </c>
      <c r="N281" s="125">
        <v>0</v>
      </c>
      <c r="O281" s="125">
        <v>0</v>
      </c>
      <c r="P281" s="125">
        <v>0</v>
      </c>
      <c r="Q281" s="125">
        <v>0</v>
      </c>
      <c r="R281" s="125">
        <v>6074.38</v>
      </c>
      <c r="S281" s="125">
        <v>35000</v>
      </c>
      <c r="T281" s="125"/>
    </row>
    <row r="282" spans="1:20" ht="15" customHeight="1" x14ac:dyDescent="0.25">
      <c r="A282" s="125" t="s">
        <v>1293</v>
      </c>
      <c r="B282" s="125" t="s">
        <v>791</v>
      </c>
      <c r="C282" s="125" t="s">
        <v>792</v>
      </c>
      <c r="D282" s="125" t="s">
        <v>656</v>
      </c>
      <c r="E282" s="125" t="s">
        <v>793</v>
      </c>
      <c r="F282" s="125" t="s">
        <v>690</v>
      </c>
      <c r="G282" s="125" t="s">
        <v>1294</v>
      </c>
      <c r="H282" s="125">
        <v>6942.15</v>
      </c>
      <c r="I282" s="125">
        <v>0</v>
      </c>
      <c r="J282" s="125">
        <v>0</v>
      </c>
      <c r="K282" s="125">
        <v>0</v>
      </c>
      <c r="L282" s="125">
        <v>0</v>
      </c>
      <c r="M282" s="125">
        <v>1457.85</v>
      </c>
      <c r="N282" s="125">
        <v>0</v>
      </c>
      <c r="O282" s="125">
        <v>0</v>
      </c>
      <c r="P282" s="125">
        <v>0</v>
      </c>
      <c r="Q282" s="125">
        <v>0</v>
      </c>
      <c r="R282" s="125">
        <v>1457.85</v>
      </c>
      <c r="S282" s="125">
        <v>8400</v>
      </c>
      <c r="T282" s="125"/>
    </row>
    <row r="283" spans="1:20" ht="15" customHeight="1" x14ac:dyDescent="0.25">
      <c r="A283" s="125" t="s">
        <v>1293</v>
      </c>
      <c r="B283" s="125" t="s">
        <v>791</v>
      </c>
      <c r="C283" s="125" t="s">
        <v>792</v>
      </c>
      <c r="D283" s="125" t="s">
        <v>656</v>
      </c>
      <c r="E283" s="125" t="s">
        <v>793</v>
      </c>
      <c r="F283" s="125" t="s">
        <v>690</v>
      </c>
      <c r="G283" s="125" t="s">
        <v>1295</v>
      </c>
      <c r="H283" s="125">
        <v>12396.69</v>
      </c>
      <c r="I283" s="125">
        <v>0</v>
      </c>
      <c r="J283" s="125">
        <v>0</v>
      </c>
      <c r="K283" s="125">
        <v>0</v>
      </c>
      <c r="L283" s="125">
        <v>0</v>
      </c>
      <c r="M283" s="125">
        <v>2603.31</v>
      </c>
      <c r="N283" s="125">
        <v>0</v>
      </c>
      <c r="O283" s="125">
        <v>0</v>
      </c>
      <c r="P283" s="125">
        <v>0</v>
      </c>
      <c r="Q283" s="125">
        <v>0</v>
      </c>
      <c r="R283" s="125">
        <v>2603.31</v>
      </c>
      <c r="S283" s="125">
        <v>15000</v>
      </c>
      <c r="T283" s="125"/>
    </row>
    <row r="284" spans="1:20" ht="15" customHeight="1" x14ac:dyDescent="0.25">
      <c r="A284" s="125" t="s">
        <v>1293</v>
      </c>
      <c r="B284" s="125" t="s">
        <v>791</v>
      </c>
      <c r="C284" s="125" t="s">
        <v>792</v>
      </c>
      <c r="D284" s="125" t="s">
        <v>656</v>
      </c>
      <c r="E284" s="125" t="s">
        <v>793</v>
      </c>
      <c r="F284" s="125" t="s">
        <v>690</v>
      </c>
      <c r="G284" s="125" t="s">
        <v>1296</v>
      </c>
      <c r="H284" s="125">
        <v>18595.04</v>
      </c>
      <c r="I284" s="125">
        <v>0</v>
      </c>
      <c r="J284" s="125">
        <v>0</v>
      </c>
      <c r="K284" s="125">
        <v>0</v>
      </c>
      <c r="L284" s="125">
        <v>0</v>
      </c>
      <c r="M284" s="125">
        <v>3904.96</v>
      </c>
      <c r="N284" s="125">
        <v>0</v>
      </c>
      <c r="O284" s="125">
        <v>0</v>
      </c>
      <c r="P284" s="125">
        <v>0</v>
      </c>
      <c r="Q284" s="125">
        <v>0</v>
      </c>
      <c r="R284" s="125">
        <v>3904.96</v>
      </c>
      <c r="S284" s="125">
        <v>22500</v>
      </c>
      <c r="T284" s="125"/>
    </row>
    <row r="285" spans="1:20" ht="15" customHeight="1" x14ac:dyDescent="0.25">
      <c r="A285" s="125" t="s">
        <v>1293</v>
      </c>
      <c r="B285" s="125" t="s">
        <v>791</v>
      </c>
      <c r="C285" s="125" t="s">
        <v>792</v>
      </c>
      <c r="D285" s="125" t="s">
        <v>656</v>
      </c>
      <c r="E285" s="125" t="s">
        <v>793</v>
      </c>
      <c r="F285" s="125" t="s">
        <v>690</v>
      </c>
      <c r="G285" s="125" t="s">
        <v>1297</v>
      </c>
      <c r="H285" s="125">
        <v>44628.1</v>
      </c>
      <c r="I285" s="125">
        <v>0</v>
      </c>
      <c r="J285" s="125">
        <v>0</v>
      </c>
      <c r="K285" s="125">
        <v>0</v>
      </c>
      <c r="L285" s="125">
        <v>0</v>
      </c>
      <c r="M285" s="125">
        <v>9371.9</v>
      </c>
      <c r="N285" s="125">
        <v>0</v>
      </c>
      <c r="O285" s="125">
        <v>0</v>
      </c>
      <c r="P285" s="125">
        <v>0</v>
      </c>
      <c r="Q285" s="125">
        <v>0</v>
      </c>
      <c r="R285" s="125">
        <v>9371.9</v>
      </c>
      <c r="S285" s="125">
        <v>54000</v>
      </c>
      <c r="T285" s="125"/>
    </row>
    <row r="286" spans="1:20" ht="15" customHeight="1" x14ac:dyDescent="0.25">
      <c r="A286" s="125" t="s">
        <v>1293</v>
      </c>
      <c r="B286" s="125" t="s">
        <v>791</v>
      </c>
      <c r="C286" s="125" t="s">
        <v>792</v>
      </c>
      <c r="D286" s="125" t="s">
        <v>656</v>
      </c>
      <c r="E286" s="125" t="s">
        <v>793</v>
      </c>
      <c r="F286" s="125" t="s">
        <v>690</v>
      </c>
      <c r="G286" s="125" t="s">
        <v>1298</v>
      </c>
      <c r="H286" s="125">
        <v>18595.04</v>
      </c>
      <c r="I286" s="125">
        <v>0</v>
      </c>
      <c r="J286" s="125">
        <v>0</v>
      </c>
      <c r="K286" s="125">
        <v>0</v>
      </c>
      <c r="L286" s="125">
        <v>0</v>
      </c>
      <c r="M286" s="125">
        <v>3904.96</v>
      </c>
      <c r="N286" s="125">
        <v>0</v>
      </c>
      <c r="O286" s="125">
        <v>0</v>
      </c>
      <c r="P286" s="125">
        <v>0</v>
      </c>
      <c r="Q286" s="125">
        <v>0</v>
      </c>
      <c r="R286" s="125">
        <v>3904.96</v>
      </c>
      <c r="S286" s="125">
        <v>22500</v>
      </c>
      <c r="T286" s="125"/>
    </row>
    <row r="287" spans="1:20" ht="15" customHeight="1" x14ac:dyDescent="0.25">
      <c r="A287" s="125" t="s">
        <v>1293</v>
      </c>
      <c r="B287" s="125" t="s">
        <v>1299</v>
      </c>
      <c r="C287" s="125" t="s">
        <v>1300</v>
      </c>
      <c r="D287" s="125" t="s">
        <v>656</v>
      </c>
      <c r="E287" s="125" t="s">
        <v>793</v>
      </c>
      <c r="F287" s="125" t="s">
        <v>690</v>
      </c>
      <c r="G287" s="125" t="s">
        <v>1301</v>
      </c>
      <c r="H287" s="125">
        <v>18181.82</v>
      </c>
      <c r="I287" s="125">
        <v>0</v>
      </c>
      <c r="J287" s="125">
        <v>0</v>
      </c>
      <c r="K287" s="125">
        <v>0</v>
      </c>
      <c r="L287" s="125">
        <v>0</v>
      </c>
      <c r="M287" s="125">
        <v>3818.18</v>
      </c>
      <c r="N287" s="125">
        <v>0</v>
      </c>
      <c r="O287" s="125">
        <v>0</v>
      </c>
      <c r="P287" s="125">
        <v>0</v>
      </c>
      <c r="Q287" s="125">
        <v>0</v>
      </c>
      <c r="R287" s="125">
        <v>3818.18</v>
      </c>
      <c r="S287" s="125">
        <v>22000</v>
      </c>
      <c r="T287" s="125"/>
    </row>
    <row r="288" spans="1:20" ht="15" customHeight="1" x14ac:dyDescent="0.25">
      <c r="A288" s="125" t="s">
        <v>1293</v>
      </c>
      <c r="B288" s="125" t="s">
        <v>791</v>
      </c>
      <c r="C288" s="125" t="s">
        <v>792</v>
      </c>
      <c r="D288" s="125" t="s">
        <v>656</v>
      </c>
      <c r="E288" s="125" t="s">
        <v>793</v>
      </c>
      <c r="F288" s="125" t="s">
        <v>690</v>
      </c>
      <c r="G288" s="125" t="s">
        <v>1302</v>
      </c>
      <c r="H288" s="125">
        <v>7438.02</v>
      </c>
      <c r="I288" s="125">
        <v>0</v>
      </c>
      <c r="J288" s="125">
        <v>0</v>
      </c>
      <c r="K288" s="125">
        <v>0</v>
      </c>
      <c r="L288" s="125">
        <v>0</v>
      </c>
      <c r="M288" s="125">
        <v>1561.98</v>
      </c>
      <c r="N288" s="125">
        <v>0</v>
      </c>
      <c r="O288" s="125">
        <v>0</v>
      </c>
      <c r="P288" s="125">
        <v>0</v>
      </c>
      <c r="Q288" s="125">
        <v>0</v>
      </c>
      <c r="R288" s="125">
        <v>1561.98</v>
      </c>
      <c r="S288" s="125">
        <v>9000</v>
      </c>
      <c r="T288" s="125"/>
    </row>
    <row r="289" spans="1:20" ht="15" customHeight="1" x14ac:dyDescent="0.25">
      <c r="A289" s="125" t="s">
        <v>1293</v>
      </c>
      <c r="B289" s="125" t="s">
        <v>791</v>
      </c>
      <c r="C289" s="125" t="s">
        <v>792</v>
      </c>
      <c r="D289" s="125" t="s">
        <v>656</v>
      </c>
      <c r="E289" s="125" t="s">
        <v>793</v>
      </c>
      <c r="F289" s="125" t="s">
        <v>690</v>
      </c>
      <c r="G289" s="125" t="s">
        <v>1303</v>
      </c>
      <c r="H289" s="125">
        <v>12396.69</v>
      </c>
      <c r="I289" s="125">
        <v>0</v>
      </c>
      <c r="J289" s="125">
        <v>0</v>
      </c>
      <c r="K289" s="125">
        <v>0</v>
      </c>
      <c r="L289" s="125">
        <v>0</v>
      </c>
      <c r="M289" s="125">
        <v>2603.31</v>
      </c>
      <c r="N289" s="125">
        <v>0</v>
      </c>
      <c r="O289" s="125">
        <v>0</v>
      </c>
      <c r="P289" s="125">
        <v>0</v>
      </c>
      <c r="Q289" s="125">
        <v>0</v>
      </c>
      <c r="R289" s="125">
        <v>2603.31</v>
      </c>
      <c r="S289" s="125">
        <v>15000</v>
      </c>
      <c r="T289" s="125"/>
    </row>
    <row r="290" spans="1:20" ht="15" customHeight="1" x14ac:dyDescent="0.25">
      <c r="A290" s="125" t="s">
        <v>1293</v>
      </c>
      <c r="B290" s="125" t="s">
        <v>791</v>
      </c>
      <c r="C290" s="125" t="s">
        <v>792</v>
      </c>
      <c r="D290" s="125" t="s">
        <v>656</v>
      </c>
      <c r="E290" s="125" t="s">
        <v>793</v>
      </c>
      <c r="F290" s="125" t="s">
        <v>690</v>
      </c>
      <c r="G290" s="125" t="s">
        <v>1304</v>
      </c>
      <c r="H290" s="125">
        <v>16528.93</v>
      </c>
      <c r="I290" s="125">
        <v>0</v>
      </c>
      <c r="J290" s="125">
        <v>0</v>
      </c>
      <c r="K290" s="125">
        <v>0</v>
      </c>
      <c r="L290" s="125">
        <v>0</v>
      </c>
      <c r="M290" s="125">
        <v>3471.07</v>
      </c>
      <c r="N290" s="125">
        <v>0</v>
      </c>
      <c r="O290" s="125">
        <v>0</v>
      </c>
      <c r="P290" s="125">
        <v>0</v>
      </c>
      <c r="Q290" s="125">
        <v>0</v>
      </c>
      <c r="R290" s="125">
        <v>3471.07</v>
      </c>
      <c r="S290" s="125">
        <v>20000</v>
      </c>
      <c r="T290" s="125"/>
    </row>
    <row r="291" spans="1:20" ht="15" customHeight="1" x14ac:dyDescent="0.25">
      <c r="A291" s="125" t="s">
        <v>1293</v>
      </c>
      <c r="B291" s="125" t="s">
        <v>791</v>
      </c>
      <c r="C291" s="125" t="s">
        <v>792</v>
      </c>
      <c r="D291" s="125" t="s">
        <v>656</v>
      </c>
      <c r="E291" s="125" t="s">
        <v>793</v>
      </c>
      <c r="F291" s="125" t="s">
        <v>690</v>
      </c>
      <c r="G291" s="125" t="s">
        <v>1305</v>
      </c>
      <c r="H291" s="125">
        <v>26446.28</v>
      </c>
      <c r="I291" s="125">
        <v>0</v>
      </c>
      <c r="J291" s="125">
        <v>0</v>
      </c>
      <c r="K291" s="125">
        <v>0</v>
      </c>
      <c r="L291" s="125">
        <v>0</v>
      </c>
      <c r="M291" s="125">
        <v>5553.72</v>
      </c>
      <c r="N291" s="125">
        <v>0</v>
      </c>
      <c r="O291" s="125">
        <v>0</v>
      </c>
      <c r="P291" s="125">
        <v>0</v>
      </c>
      <c r="Q291" s="125">
        <v>0</v>
      </c>
      <c r="R291" s="125">
        <v>5553.72</v>
      </c>
      <c r="S291" s="125">
        <v>32000</v>
      </c>
      <c r="T291" s="125"/>
    </row>
    <row r="292" spans="1:20" ht="15" customHeight="1" x14ac:dyDescent="0.25">
      <c r="A292" s="125" t="s">
        <v>1293</v>
      </c>
      <c r="B292" s="125" t="s">
        <v>791</v>
      </c>
      <c r="C292" s="125" t="s">
        <v>792</v>
      </c>
      <c r="D292" s="125" t="s">
        <v>656</v>
      </c>
      <c r="E292" s="125" t="s">
        <v>793</v>
      </c>
      <c r="F292" s="125" t="s">
        <v>690</v>
      </c>
      <c r="G292" s="125" t="s">
        <v>1306</v>
      </c>
      <c r="H292" s="125">
        <v>22314.05</v>
      </c>
      <c r="I292" s="125">
        <v>0</v>
      </c>
      <c r="J292" s="125">
        <v>0</v>
      </c>
      <c r="K292" s="125">
        <v>0</v>
      </c>
      <c r="L292" s="125">
        <v>0</v>
      </c>
      <c r="M292" s="125">
        <v>4685.95</v>
      </c>
      <c r="N292" s="125">
        <v>0</v>
      </c>
      <c r="O292" s="125">
        <v>0</v>
      </c>
      <c r="P292" s="125">
        <v>0</v>
      </c>
      <c r="Q292" s="125">
        <v>0</v>
      </c>
      <c r="R292" s="125">
        <v>4685.95</v>
      </c>
      <c r="S292" s="125">
        <v>27000</v>
      </c>
      <c r="T292" s="125"/>
    </row>
    <row r="293" spans="1:20" ht="15" customHeight="1" x14ac:dyDescent="0.25">
      <c r="A293" s="125" t="s">
        <v>1293</v>
      </c>
      <c r="B293" s="125" t="s">
        <v>791</v>
      </c>
      <c r="C293" s="125" t="s">
        <v>792</v>
      </c>
      <c r="D293" s="125" t="s">
        <v>656</v>
      </c>
      <c r="E293" s="125" t="s">
        <v>793</v>
      </c>
      <c r="F293" s="125" t="s">
        <v>690</v>
      </c>
      <c r="G293" s="125" t="s">
        <v>1307</v>
      </c>
      <c r="H293" s="125">
        <v>14049.59</v>
      </c>
      <c r="I293" s="125">
        <v>0</v>
      </c>
      <c r="J293" s="125">
        <v>0</v>
      </c>
      <c r="K293" s="125">
        <v>0</v>
      </c>
      <c r="L293" s="125">
        <v>0</v>
      </c>
      <c r="M293" s="125">
        <v>2950.41</v>
      </c>
      <c r="N293" s="125">
        <v>0</v>
      </c>
      <c r="O293" s="125">
        <v>0</v>
      </c>
      <c r="P293" s="125">
        <v>0</v>
      </c>
      <c r="Q293" s="125">
        <v>0</v>
      </c>
      <c r="R293" s="125">
        <v>2950.41</v>
      </c>
      <c r="S293" s="125">
        <v>17000</v>
      </c>
      <c r="T293" s="125"/>
    </row>
    <row r="294" spans="1:20" ht="15" customHeight="1" x14ac:dyDescent="0.25">
      <c r="A294" s="125" t="s">
        <v>1293</v>
      </c>
      <c r="B294" s="125" t="s">
        <v>791</v>
      </c>
      <c r="C294" s="125" t="s">
        <v>792</v>
      </c>
      <c r="D294" s="125" t="s">
        <v>656</v>
      </c>
      <c r="E294" s="125" t="s">
        <v>793</v>
      </c>
      <c r="F294" s="125" t="s">
        <v>690</v>
      </c>
      <c r="G294" s="125" t="s">
        <v>1308</v>
      </c>
      <c r="H294" s="125">
        <v>41322.31</v>
      </c>
      <c r="I294" s="125">
        <v>0</v>
      </c>
      <c r="J294" s="125">
        <v>0</v>
      </c>
      <c r="K294" s="125">
        <v>0</v>
      </c>
      <c r="L294" s="125">
        <v>0</v>
      </c>
      <c r="M294" s="125">
        <v>8677.69</v>
      </c>
      <c r="N294" s="125">
        <v>0</v>
      </c>
      <c r="O294" s="125">
        <v>0</v>
      </c>
      <c r="P294" s="125">
        <v>0</v>
      </c>
      <c r="Q294" s="125">
        <v>0</v>
      </c>
      <c r="R294" s="125">
        <v>8677.69</v>
      </c>
      <c r="S294" s="125">
        <v>50000</v>
      </c>
      <c r="T294" s="125"/>
    </row>
    <row r="295" spans="1:20" ht="15" customHeight="1" x14ac:dyDescent="0.25">
      <c r="A295" s="125" t="s">
        <v>1293</v>
      </c>
      <c r="B295" s="125" t="s">
        <v>791</v>
      </c>
      <c r="C295" s="125" t="s">
        <v>792</v>
      </c>
      <c r="D295" s="125" t="s">
        <v>656</v>
      </c>
      <c r="E295" s="125" t="s">
        <v>793</v>
      </c>
      <c r="F295" s="125" t="s">
        <v>690</v>
      </c>
      <c r="G295" s="125" t="s">
        <v>1309</v>
      </c>
      <c r="H295" s="125">
        <v>65289.26</v>
      </c>
      <c r="I295" s="125">
        <v>0</v>
      </c>
      <c r="J295" s="125">
        <v>0</v>
      </c>
      <c r="K295" s="125">
        <v>0</v>
      </c>
      <c r="L295" s="125">
        <v>0</v>
      </c>
      <c r="M295" s="125">
        <v>13710.74</v>
      </c>
      <c r="N295" s="125">
        <v>0</v>
      </c>
      <c r="O295" s="125">
        <v>0</v>
      </c>
      <c r="P295" s="125">
        <v>0</v>
      </c>
      <c r="Q295" s="125">
        <v>0</v>
      </c>
      <c r="R295" s="125">
        <v>13710.74</v>
      </c>
      <c r="S295" s="125">
        <v>79000</v>
      </c>
      <c r="T295" s="125"/>
    </row>
    <row r="296" spans="1:20" ht="15" customHeight="1" x14ac:dyDescent="0.25">
      <c r="A296" s="125" t="s">
        <v>1293</v>
      </c>
      <c r="B296" s="125" t="s">
        <v>791</v>
      </c>
      <c r="C296" s="125" t="s">
        <v>792</v>
      </c>
      <c r="D296" s="125" t="s">
        <v>656</v>
      </c>
      <c r="E296" s="125" t="s">
        <v>793</v>
      </c>
      <c r="F296" s="125" t="s">
        <v>690</v>
      </c>
      <c r="G296" s="125" t="s">
        <v>1310</v>
      </c>
      <c r="H296" s="125">
        <v>11322.31</v>
      </c>
      <c r="I296" s="125">
        <v>0</v>
      </c>
      <c r="J296" s="125">
        <v>0</v>
      </c>
      <c r="K296" s="125">
        <v>0</v>
      </c>
      <c r="L296" s="125">
        <v>0</v>
      </c>
      <c r="M296" s="125">
        <v>2377.69</v>
      </c>
      <c r="N296" s="125">
        <v>0</v>
      </c>
      <c r="O296" s="125">
        <v>0</v>
      </c>
      <c r="P296" s="125">
        <v>0</v>
      </c>
      <c r="Q296" s="125">
        <v>0</v>
      </c>
      <c r="R296" s="125">
        <v>2377.69</v>
      </c>
      <c r="S296" s="125">
        <v>13700</v>
      </c>
      <c r="T296" s="125"/>
    </row>
    <row r="297" spans="1:20" ht="15" customHeight="1" x14ac:dyDescent="0.25">
      <c r="A297" s="125" t="s">
        <v>1311</v>
      </c>
      <c r="B297" s="125" t="s">
        <v>791</v>
      </c>
      <c r="C297" s="125" t="s">
        <v>792</v>
      </c>
      <c r="D297" s="125" t="s">
        <v>656</v>
      </c>
      <c r="E297" s="125" t="s">
        <v>793</v>
      </c>
      <c r="F297" s="125" t="s">
        <v>690</v>
      </c>
      <c r="G297" s="125" t="s">
        <v>1312</v>
      </c>
      <c r="H297" s="125">
        <v>78512.399999999994</v>
      </c>
      <c r="I297" s="125">
        <v>0</v>
      </c>
      <c r="J297" s="125">
        <v>0</v>
      </c>
      <c r="K297" s="125">
        <v>0</v>
      </c>
      <c r="L297" s="125">
        <v>0</v>
      </c>
      <c r="M297" s="125">
        <v>16487.599999999999</v>
      </c>
      <c r="N297" s="125">
        <v>0</v>
      </c>
      <c r="O297" s="125">
        <v>0</v>
      </c>
      <c r="P297" s="125">
        <v>0</v>
      </c>
      <c r="Q297" s="125">
        <v>0</v>
      </c>
      <c r="R297" s="125">
        <v>16487.599999999999</v>
      </c>
      <c r="S297" s="125">
        <v>95000</v>
      </c>
      <c r="T297" s="125"/>
    </row>
    <row r="298" spans="1:20" ht="15" customHeight="1" x14ac:dyDescent="0.25">
      <c r="A298" s="125" t="s">
        <v>1311</v>
      </c>
      <c r="B298" s="125" t="s">
        <v>1313</v>
      </c>
      <c r="C298" s="125" t="s">
        <v>1314</v>
      </c>
      <c r="D298" s="125" t="s">
        <v>656</v>
      </c>
      <c r="E298" s="125" t="s">
        <v>793</v>
      </c>
      <c r="F298" s="125" t="s">
        <v>690</v>
      </c>
      <c r="G298" s="125" t="s">
        <v>1315</v>
      </c>
      <c r="H298" s="125">
        <v>37190.080000000002</v>
      </c>
      <c r="I298" s="125">
        <v>0</v>
      </c>
      <c r="J298" s="125">
        <v>0</v>
      </c>
      <c r="K298" s="125">
        <v>0</v>
      </c>
      <c r="L298" s="125">
        <v>0</v>
      </c>
      <c r="M298" s="125">
        <v>7809.92</v>
      </c>
      <c r="N298" s="125">
        <v>0</v>
      </c>
      <c r="O298" s="125">
        <v>0</v>
      </c>
      <c r="P298" s="125">
        <v>0</v>
      </c>
      <c r="Q298" s="125">
        <v>0</v>
      </c>
      <c r="R298" s="125">
        <v>7809.92</v>
      </c>
      <c r="S298" s="125">
        <v>45000</v>
      </c>
      <c r="T298" s="125"/>
    </row>
    <row r="299" spans="1:20" ht="15" customHeight="1" x14ac:dyDescent="0.25">
      <c r="A299" s="125" t="s">
        <v>1311</v>
      </c>
      <c r="B299" s="125" t="s">
        <v>791</v>
      </c>
      <c r="C299" s="125" t="s">
        <v>792</v>
      </c>
      <c r="D299" s="125" t="s">
        <v>656</v>
      </c>
      <c r="E299" s="125" t="s">
        <v>793</v>
      </c>
      <c r="F299" s="125" t="s">
        <v>690</v>
      </c>
      <c r="G299" s="125" t="s">
        <v>1316</v>
      </c>
      <c r="H299" s="125">
        <v>18595.04</v>
      </c>
      <c r="I299" s="125">
        <v>0</v>
      </c>
      <c r="J299" s="125">
        <v>0</v>
      </c>
      <c r="K299" s="125">
        <v>0</v>
      </c>
      <c r="L299" s="125">
        <v>0</v>
      </c>
      <c r="M299" s="125">
        <v>3904.96</v>
      </c>
      <c r="N299" s="125">
        <v>0</v>
      </c>
      <c r="O299" s="125">
        <v>0</v>
      </c>
      <c r="P299" s="125">
        <v>0</v>
      </c>
      <c r="Q299" s="125">
        <v>0</v>
      </c>
      <c r="R299" s="125">
        <v>3904.96</v>
      </c>
      <c r="S299" s="125">
        <v>22500</v>
      </c>
      <c r="T299" s="125"/>
    </row>
    <row r="300" spans="1:20" ht="15" customHeight="1" x14ac:dyDescent="0.25">
      <c r="A300" s="125" t="s">
        <v>1311</v>
      </c>
      <c r="B300" s="125" t="s">
        <v>791</v>
      </c>
      <c r="C300" s="125" t="s">
        <v>792</v>
      </c>
      <c r="D300" s="125" t="s">
        <v>656</v>
      </c>
      <c r="E300" s="125" t="s">
        <v>793</v>
      </c>
      <c r="F300" s="125" t="s">
        <v>690</v>
      </c>
      <c r="G300" s="125" t="s">
        <v>1317</v>
      </c>
      <c r="H300" s="125">
        <v>29752.07</v>
      </c>
      <c r="I300" s="125">
        <v>0</v>
      </c>
      <c r="J300" s="125">
        <v>0</v>
      </c>
      <c r="K300" s="125">
        <v>0</v>
      </c>
      <c r="L300" s="125">
        <v>0</v>
      </c>
      <c r="M300" s="125">
        <v>6247.93</v>
      </c>
      <c r="N300" s="125">
        <v>0</v>
      </c>
      <c r="O300" s="125">
        <v>0</v>
      </c>
      <c r="P300" s="125">
        <v>0</v>
      </c>
      <c r="Q300" s="125">
        <v>0</v>
      </c>
      <c r="R300" s="125">
        <v>6247.93</v>
      </c>
      <c r="S300" s="125">
        <v>36000</v>
      </c>
      <c r="T300" s="125"/>
    </row>
    <row r="301" spans="1:20" ht="15" customHeight="1" x14ac:dyDescent="0.25">
      <c r="A301" s="125" t="s">
        <v>1311</v>
      </c>
      <c r="B301" s="125" t="s">
        <v>1318</v>
      </c>
      <c r="C301" s="125" t="s">
        <v>1319</v>
      </c>
      <c r="D301" s="125" t="s">
        <v>652</v>
      </c>
      <c r="E301" s="125" t="s">
        <v>1320</v>
      </c>
      <c r="F301" s="125" t="s">
        <v>650</v>
      </c>
      <c r="G301" s="125" t="s">
        <v>1321</v>
      </c>
      <c r="H301" s="125">
        <v>37190.080000000002</v>
      </c>
      <c r="I301" s="125">
        <v>0</v>
      </c>
      <c r="J301" s="125">
        <v>0</v>
      </c>
      <c r="K301" s="125">
        <v>0</v>
      </c>
      <c r="L301" s="125">
        <v>0</v>
      </c>
      <c r="M301" s="125">
        <v>7809.92</v>
      </c>
      <c r="N301" s="125">
        <v>0</v>
      </c>
      <c r="O301" s="125">
        <v>0</v>
      </c>
      <c r="P301" s="125">
        <v>0</v>
      </c>
      <c r="Q301" s="125">
        <v>0</v>
      </c>
      <c r="R301" s="125">
        <v>7809.92</v>
      </c>
      <c r="S301" s="125">
        <v>45000</v>
      </c>
      <c r="T301" s="125"/>
    </row>
    <row r="302" spans="1:20" ht="15" customHeight="1" x14ac:dyDescent="0.25">
      <c r="A302" s="125" t="s">
        <v>1311</v>
      </c>
      <c r="B302" s="125" t="s">
        <v>791</v>
      </c>
      <c r="C302" s="125" t="s">
        <v>792</v>
      </c>
      <c r="D302" s="125" t="s">
        <v>656</v>
      </c>
      <c r="E302" s="125" t="s">
        <v>793</v>
      </c>
      <c r="F302" s="125" t="s">
        <v>690</v>
      </c>
      <c r="G302" s="125" t="s">
        <v>1322</v>
      </c>
      <c r="H302" s="125">
        <v>9917.36</v>
      </c>
      <c r="I302" s="125">
        <v>0</v>
      </c>
      <c r="J302" s="125">
        <v>0</v>
      </c>
      <c r="K302" s="125">
        <v>0</v>
      </c>
      <c r="L302" s="125">
        <v>0</v>
      </c>
      <c r="M302" s="125">
        <v>2082.64</v>
      </c>
      <c r="N302" s="125">
        <v>0</v>
      </c>
      <c r="O302" s="125">
        <v>0</v>
      </c>
      <c r="P302" s="125">
        <v>0</v>
      </c>
      <c r="Q302" s="125">
        <v>0</v>
      </c>
      <c r="R302" s="125">
        <v>2082.64</v>
      </c>
      <c r="S302" s="125">
        <v>12000</v>
      </c>
      <c r="T302" s="125"/>
    </row>
    <row r="303" spans="1:20" ht="15" customHeight="1" x14ac:dyDescent="0.25">
      <c r="A303" s="125" t="s">
        <v>1311</v>
      </c>
      <c r="B303" s="125" t="s">
        <v>1323</v>
      </c>
      <c r="C303" s="125" t="s">
        <v>1324</v>
      </c>
      <c r="D303" s="125" t="s">
        <v>656</v>
      </c>
      <c r="E303" s="125" t="s">
        <v>793</v>
      </c>
      <c r="F303" s="125" t="s">
        <v>650</v>
      </c>
      <c r="G303" s="125" t="s">
        <v>1325</v>
      </c>
      <c r="H303" s="125">
        <v>7559107.4400000004</v>
      </c>
      <c r="I303" s="125">
        <v>0</v>
      </c>
      <c r="J303" s="125">
        <v>0</v>
      </c>
      <c r="K303" s="125">
        <v>0</v>
      </c>
      <c r="L303" s="125">
        <v>0</v>
      </c>
      <c r="M303" s="125">
        <v>1587412.56</v>
      </c>
      <c r="N303" s="125">
        <v>0</v>
      </c>
      <c r="O303" s="125">
        <v>0</v>
      </c>
      <c r="P303" s="125">
        <v>0</v>
      </c>
      <c r="Q303" s="125">
        <v>0</v>
      </c>
      <c r="R303" s="125">
        <v>1587412.56</v>
      </c>
      <c r="S303" s="125">
        <v>9146520</v>
      </c>
      <c r="T303" s="125"/>
    </row>
    <row r="304" spans="1:20" ht="15" customHeight="1" x14ac:dyDescent="0.25">
      <c r="A304" s="125" t="s">
        <v>1311</v>
      </c>
      <c r="B304" s="125" t="s">
        <v>791</v>
      </c>
      <c r="C304" s="125" t="s">
        <v>792</v>
      </c>
      <c r="D304" s="125" t="s">
        <v>656</v>
      </c>
      <c r="E304" s="125" t="s">
        <v>793</v>
      </c>
      <c r="F304" s="125" t="s">
        <v>690</v>
      </c>
      <c r="G304" s="125" t="s">
        <v>1326</v>
      </c>
      <c r="H304" s="125">
        <v>24793.39</v>
      </c>
      <c r="I304" s="125">
        <v>0</v>
      </c>
      <c r="J304" s="125">
        <v>0</v>
      </c>
      <c r="K304" s="125">
        <v>0</v>
      </c>
      <c r="L304" s="125">
        <v>0</v>
      </c>
      <c r="M304" s="125">
        <v>5206.6099999999997</v>
      </c>
      <c r="N304" s="125">
        <v>0</v>
      </c>
      <c r="O304" s="125">
        <v>0</v>
      </c>
      <c r="P304" s="125">
        <v>0</v>
      </c>
      <c r="Q304" s="125">
        <v>0</v>
      </c>
      <c r="R304" s="125">
        <v>5206.6099999999997</v>
      </c>
      <c r="S304" s="125">
        <v>30000</v>
      </c>
      <c r="T304" s="125"/>
    </row>
    <row r="305" spans="1:20" ht="15" customHeight="1" x14ac:dyDescent="0.25">
      <c r="A305" s="125" t="s">
        <v>1311</v>
      </c>
      <c r="B305" s="125" t="s">
        <v>791</v>
      </c>
      <c r="C305" s="125" t="s">
        <v>792</v>
      </c>
      <c r="D305" s="125" t="s">
        <v>656</v>
      </c>
      <c r="E305" s="125" t="s">
        <v>793</v>
      </c>
      <c r="F305" s="125" t="s">
        <v>690</v>
      </c>
      <c r="G305" s="125" t="s">
        <v>1327</v>
      </c>
      <c r="H305" s="125">
        <v>28925.62</v>
      </c>
      <c r="I305" s="125">
        <v>0</v>
      </c>
      <c r="J305" s="125">
        <v>0</v>
      </c>
      <c r="K305" s="125">
        <v>0</v>
      </c>
      <c r="L305" s="125">
        <v>0</v>
      </c>
      <c r="M305" s="125">
        <v>6074.38</v>
      </c>
      <c r="N305" s="125">
        <v>0</v>
      </c>
      <c r="O305" s="125">
        <v>0</v>
      </c>
      <c r="P305" s="125">
        <v>0</v>
      </c>
      <c r="Q305" s="125">
        <v>0</v>
      </c>
      <c r="R305" s="125">
        <v>6074.38</v>
      </c>
      <c r="S305" s="125">
        <v>35000</v>
      </c>
      <c r="T305" s="125"/>
    </row>
    <row r="306" spans="1:20" ht="15" customHeight="1" x14ac:dyDescent="0.25">
      <c r="A306" s="125" t="s">
        <v>1311</v>
      </c>
      <c r="B306" s="125" t="s">
        <v>791</v>
      </c>
      <c r="C306" s="125" t="s">
        <v>792</v>
      </c>
      <c r="D306" s="125" t="s">
        <v>656</v>
      </c>
      <c r="E306" s="125" t="s">
        <v>793</v>
      </c>
      <c r="F306" s="125" t="s">
        <v>690</v>
      </c>
      <c r="G306" s="125" t="s">
        <v>1328</v>
      </c>
      <c r="H306" s="125">
        <v>28925.62</v>
      </c>
      <c r="I306" s="125">
        <v>0</v>
      </c>
      <c r="J306" s="125">
        <v>0</v>
      </c>
      <c r="K306" s="125">
        <v>0</v>
      </c>
      <c r="L306" s="125">
        <v>0</v>
      </c>
      <c r="M306" s="125">
        <v>6074.38</v>
      </c>
      <c r="N306" s="125">
        <v>0</v>
      </c>
      <c r="O306" s="125">
        <v>0</v>
      </c>
      <c r="P306" s="125">
        <v>0</v>
      </c>
      <c r="Q306" s="125">
        <v>0</v>
      </c>
      <c r="R306" s="125">
        <v>6074.38</v>
      </c>
      <c r="S306" s="125">
        <v>35000</v>
      </c>
      <c r="T306" s="125"/>
    </row>
    <row r="307" spans="1:20" ht="15" customHeight="1" x14ac:dyDescent="0.25">
      <c r="A307" s="125" t="s">
        <v>1311</v>
      </c>
      <c r="B307" s="125" t="s">
        <v>817</v>
      </c>
      <c r="C307" s="125" t="s">
        <v>818</v>
      </c>
      <c r="D307" s="125" t="s">
        <v>656</v>
      </c>
      <c r="E307" s="125" t="s">
        <v>793</v>
      </c>
      <c r="F307" s="125" t="s">
        <v>650</v>
      </c>
      <c r="G307" s="125" t="s">
        <v>1329</v>
      </c>
      <c r="H307" s="125">
        <v>46968.15</v>
      </c>
      <c r="I307" s="125">
        <v>0</v>
      </c>
      <c r="J307" s="125">
        <v>0</v>
      </c>
      <c r="K307" s="125">
        <v>0</v>
      </c>
      <c r="L307" s="125">
        <v>0</v>
      </c>
      <c r="M307" s="125">
        <v>9863.31</v>
      </c>
      <c r="N307" s="125">
        <v>0</v>
      </c>
      <c r="O307" s="125">
        <v>0</v>
      </c>
      <c r="P307" s="125">
        <v>0</v>
      </c>
      <c r="Q307" s="125">
        <v>0</v>
      </c>
      <c r="R307" s="125">
        <v>9863.31</v>
      </c>
      <c r="S307" s="125">
        <v>56831.46</v>
      </c>
      <c r="T307" s="125"/>
    </row>
    <row r="308" spans="1:20" ht="15" customHeight="1" x14ac:dyDescent="0.25">
      <c r="A308" s="125" t="s">
        <v>1330</v>
      </c>
      <c r="B308" s="125" t="s">
        <v>791</v>
      </c>
      <c r="C308" s="125" t="s">
        <v>792</v>
      </c>
      <c r="D308" s="125" t="s">
        <v>656</v>
      </c>
      <c r="E308" s="125" t="s">
        <v>793</v>
      </c>
      <c r="F308" s="125" t="s">
        <v>690</v>
      </c>
      <c r="G308" s="125" t="s">
        <v>1331</v>
      </c>
      <c r="H308" s="125">
        <v>18595.04</v>
      </c>
      <c r="I308" s="125">
        <v>0</v>
      </c>
      <c r="J308" s="125">
        <v>0</v>
      </c>
      <c r="K308" s="125">
        <v>0</v>
      </c>
      <c r="L308" s="125">
        <v>0</v>
      </c>
      <c r="M308" s="125">
        <v>3904.96</v>
      </c>
      <c r="N308" s="125">
        <v>0</v>
      </c>
      <c r="O308" s="125">
        <v>0</v>
      </c>
      <c r="P308" s="125">
        <v>0</v>
      </c>
      <c r="Q308" s="125">
        <v>0</v>
      </c>
      <c r="R308" s="125">
        <v>3904.96</v>
      </c>
      <c r="S308" s="125">
        <v>22500</v>
      </c>
      <c r="T308" s="125"/>
    </row>
    <row r="309" spans="1:20" ht="15" customHeight="1" x14ac:dyDescent="0.25">
      <c r="A309" s="125" t="s">
        <v>1330</v>
      </c>
      <c r="B309" s="125" t="s">
        <v>791</v>
      </c>
      <c r="C309" s="125" t="s">
        <v>792</v>
      </c>
      <c r="D309" s="125" t="s">
        <v>656</v>
      </c>
      <c r="E309" s="125" t="s">
        <v>793</v>
      </c>
      <c r="F309" s="125" t="s">
        <v>690</v>
      </c>
      <c r="G309" s="125" t="s">
        <v>1332</v>
      </c>
      <c r="H309" s="125">
        <v>19008.259999999998</v>
      </c>
      <c r="I309" s="125">
        <v>0</v>
      </c>
      <c r="J309" s="125">
        <v>0</v>
      </c>
      <c r="K309" s="125">
        <v>0</v>
      </c>
      <c r="L309" s="125">
        <v>0</v>
      </c>
      <c r="M309" s="125">
        <v>3991.74</v>
      </c>
      <c r="N309" s="125">
        <v>0</v>
      </c>
      <c r="O309" s="125">
        <v>0</v>
      </c>
      <c r="P309" s="125">
        <v>0</v>
      </c>
      <c r="Q309" s="125">
        <v>0</v>
      </c>
      <c r="R309" s="125">
        <v>3991.74</v>
      </c>
      <c r="S309" s="125">
        <v>23000</v>
      </c>
      <c r="T309" s="125"/>
    </row>
    <row r="310" spans="1:20" ht="15" customHeight="1" x14ac:dyDescent="0.25">
      <c r="A310" s="125" t="s">
        <v>1330</v>
      </c>
      <c r="B310" s="125" t="s">
        <v>1333</v>
      </c>
      <c r="C310" s="125" t="s">
        <v>1334</v>
      </c>
      <c r="D310" s="125" t="s">
        <v>656</v>
      </c>
      <c r="E310" s="125" t="s">
        <v>793</v>
      </c>
      <c r="F310" s="125" t="s">
        <v>690</v>
      </c>
      <c r="G310" s="125" t="s">
        <v>1335</v>
      </c>
      <c r="H310" s="125">
        <v>61983.47</v>
      </c>
      <c r="I310" s="125">
        <v>0</v>
      </c>
      <c r="J310" s="125">
        <v>0</v>
      </c>
      <c r="K310" s="125">
        <v>0</v>
      </c>
      <c r="L310" s="125">
        <v>0</v>
      </c>
      <c r="M310" s="125">
        <v>13016.53</v>
      </c>
      <c r="N310" s="125">
        <v>0</v>
      </c>
      <c r="O310" s="125">
        <v>0</v>
      </c>
      <c r="P310" s="125">
        <v>0</v>
      </c>
      <c r="Q310" s="125">
        <v>0</v>
      </c>
      <c r="R310" s="125">
        <v>13016.53</v>
      </c>
      <c r="S310" s="125">
        <v>75000</v>
      </c>
      <c r="T310" s="125"/>
    </row>
    <row r="311" spans="1:20" ht="15" customHeight="1" x14ac:dyDescent="0.25">
      <c r="A311" s="125" t="s">
        <v>1330</v>
      </c>
      <c r="B311" s="125" t="s">
        <v>791</v>
      </c>
      <c r="C311" s="125" t="s">
        <v>792</v>
      </c>
      <c r="D311" s="125" t="s">
        <v>656</v>
      </c>
      <c r="E311" s="125" t="s">
        <v>793</v>
      </c>
      <c r="F311" s="125" t="s">
        <v>690</v>
      </c>
      <c r="G311" s="125" t="s">
        <v>1336</v>
      </c>
      <c r="H311" s="125">
        <v>41322.31</v>
      </c>
      <c r="I311" s="125">
        <v>0</v>
      </c>
      <c r="J311" s="125">
        <v>0</v>
      </c>
      <c r="K311" s="125">
        <v>0</v>
      </c>
      <c r="L311" s="125">
        <v>0</v>
      </c>
      <c r="M311" s="125">
        <v>8677.69</v>
      </c>
      <c r="N311" s="125">
        <v>0</v>
      </c>
      <c r="O311" s="125">
        <v>0</v>
      </c>
      <c r="P311" s="125">
        <v>0</v>
      </c>
      <c r="Q311" s="125">
        <v>0</v>
      </c>
      <c r="R311" s="125">
        <v>8677.69</v>
      </c>
      <c r="S311" s="125">
        <v>50000</v>
      </c>
      <c r="T311" s="125"/>
    </row>
    <row r="312" spans="1:20" ht="15" customHeight="1" x14ac:dyDescent="0.25">
      <c r="A312" s="125" t="s">
        <v>1330</v>
      </c>
      <c r="B312" s="125" t="s">
        <v>1337</v>
      </c>
      <c r="C312" s="125" t="s">
        <v>1338</v>
      </c>
      <c r="D312" s="125" t="s">
        <v>656</v>
      </c>
      <c r="E312" s="125" t="s">
        <v>793</v>
      </c>
      <c r="F312" s="125" t="s">
        <v>690</v>
      </c>
      <c r="G312" s="125" t="s">
        <v>1339</v>
      </c>
      <c r="H312" s="125">
        <v>41322.31</v>
      </c>
      <c r="I312" s="125">
        <v>0</v>
      </c>
      <c r="J312" s="125">
        <v>0</v>
      </c>
      <c r="K312" s="125">
        <v>0</v>
      </c>
      <c r="L312" s="125">
        <v>0</v>
      </c>
      <c r="M312" s="125">
        <v>8677.69</v>
      </c>
      <c r="N312" s="125">
        <v>0</v>
      </c>
      <c r="O312" s="125">
        <v>0</v>
      </c>
      <c r="P312" s="125">
        <v>0</v>
      </c>
      <c r="Q312" s="125">
        <v>0</v>
      </c>
      <c r="R312" s="125">
        <v>8677.69</v>
      </c>
      <c r="S312" s="125">
        <v>50000</v>
      </c>
      <c r="T312" s="125"/>
    </row>
    <row r="313" spans="1:20" ht="15" customHeight="1" x14ac:dyDescent="0.25">
      <c r="A313" s="125" t="s">
        <v>1330</v>
      </c>
      <c r="B313" s="125" t="s">
        <v>791</v>
      </c>
      <c r="C313" s="125" t="s">
        <v>792</v>
      </c>
      <c r="D313" s="125" t="s">
        <v>656</v>
      </c>
      <c r="E313" s="125" t="s">
        <v>793</v>
      </c>
      <c r="F313" s="125" t="s">
        <v>690</v>
      </c>
      <c r="G313" s="125" t="s">
        <v>1340</v>
      </c>
      <c r="H313" s="125">
        <v>124958.68</v>
      </c>
      <c r="I313" s="125">
        <v>0</v>
      </c>
      <c r="J313" s="125">
        <v>0</v>
      </c>
      <c r="K313" s="125">
        <v>0</v>
      </c>
      <c r="L313" s="125">
        <v>0</v>
      </c>
      <c r="M313" s="125">
        <v>26241.32</v>
      </c>
      <c r="N313" s="125">
        <v>0</v>
      </c>
      <c r="O313" s="125">
        <v>0</v>
      </c>
      <c r="P313" s="125">
        <v>0</v>
      </c>
      <c r="Q313" s="125">
        <v>0</v>
      </c>
      <c r="R313" s="125">
        <v>26241.32</v>
      </c>
      <c r="S313" s="125">
        <v>151200</v>
      </c>
      <c r="T313" s="125"/>
    </row>
    <row r="314" spans="1:20" ht="15" customHeight="1" x14ac:dyDescent="0.25">
      <c r="A314" s="125" t="s">
        <v>1330</v>
      </c>
      <c r="B314" s="125" t="s">
        <v>791</v>
      </c>
      <c r="C314" s="125" t="s">
        <v>792</v>
      </c>
      <c r="D314" s="125" t="s">
        <v>656</v>
      </c>
      <c r="E314" s="125" t="s">
        <v>793</v>
      </c>
      <c r="F314" s="125" t="s">
        <v>690</v>
      </c>
      <c r="G314" s="125" t="s">
        <v>1341</v>
      </c>
      <c r="H314" s="125">
        <v>33884.300000000003</v>
      </c>
      <c r="I314" s="125">
        <v>0</v>
      </c>
      <c r="J314" s="125">
        <v>0</v>
      </c>
      <c r="K314" s="125">
        <v>0</v>
      </c>
      <c r="L314" s="125">
        <v>0</v>
      </c>
      <c r="M314" s="125">
        <v>7115.7</v>
      </c>
      <c r="N314" s="125">
        <v>0</v>
      </c>
      <c r="O314" s="125">
        <v>0</v>
      </c>
      <c r="P314" s="125">
        <v>0</v>
      </c>
      <c r="Q314" s="125">
        <v>0</v>
      </c>
      <c r="R314" s="125">
        <v>7115.7</v>
      </c>
      <c r="S314" s="125">
        <v>41000</v>
      </c>
      <c r="T314" s="125"/>
    </row>
    <row r="315" spans="1:20" ht="15" customHeight="1" x14ac:dyDescent="0.25">
      <c r="A315" s="125" t="s">
        <v>1330</v>
      </c>
      <c r="B315" s="125" t="s">
        <v>1342</v>
      </c>
      <c r="C315" s="125" t="s">
        <v>1343</v>
      </c>
      <c r="D315" s="125" t="s">
        <v>656</v>
      </c>
      <c r="E315" s="125" t="s">
        <v>793</v>
      </c>
      <c r="F315" s="125" t="s">
        <v>650</v>
      </c>
      <c r="G315" s="125" t="s">
        <v>1344</v>
      </c>
      <c r="H315" s="125">
        <v>127272.73</v>
      </c>
      <c r="I315" s="125">
        <v>0</v>
      </c>
      <c r="J315" s="125">
        <v>0</v>
      </c>
      <c r="K315" s="125">
        <v>0</v>
      </c>
      <c r="L315" s="125">
        <v>0</v>
      </c>
      <c r="M315" s="125">
        <v>26727.27</v>
      </c>
      <c r="N315" s="125">
        <v>0</v>
      </c>
      <c r="O315" s="125">
        <v>0</v>
      </c>
      <c r="P315" s="125">
        <v>0</v>
      </c>
      <c r="Q315" s="125">
        <v>0</v>
      </c>
      <c r="R315" s="125">
        <v>26727.27</v>
      </c>
      <c r="S315" s="125">
        <v>154000</v>
      </c>
      <c r="T315" s="125"/>
    </row>
    <row r="316" spans="1:20" ht="15" customHeight="1" x14ac:dyDescent="0.25">
      <c r="A316" s="125" t="s">
        <v>1330</v>
      </c>
      <c r="B316" s="125" t="s">
        <v>1342</v>
      </c>
      <c r="C316" s="125" t="s">
        <v>1343</v>
      </c>
      <c r="D316" s="125" t="s">
        <v>656</v>
      </c>
      <c r="E316" s="125" t="s">
        <v>793</v>
      </c>
      <c r="F316" s="125" t="s">
        <v>650</v>
      </c>
      <c r="G316" s="125" t="s">
        <v>1345</v>
      </c>
      <c r="H316" s="125">
        <v>-127272.73</v>
      </c>
      <c r="I316" s="125">
        <v>0</v>
      </c>
      <c r="J316" s="125">
        <v>0</v>
      </c>
      <c r="K316" s="125">
        <v>0</v>
      </c>
      <c r="L316" s="125">
        <v>0</v>
      </c>
      <c r="M316" s="125">
        <v>-26727.27</v>
      </c>
      <c r="N316" s="125">
        <v>0</v>
      </c>
      <c r="O316" s="125">
        <v>0</v>
      </c>
      <c r="P316" s="125">
        <v>0</v>
      </c>
      <c r="Q316" s="125">
        <v>0</v>
      </c>
      <c r="R316" s="125">
        <v>-26727.27</v>
      </c>
      <c r="S316" s="125">
        <v>-154000</v>
      </c>
      <c r="T316" s="125"/>
    </row>
    <row r="317" spans="1:20" ht="15" customHeight="1" x14ac:dyDescent="0.25">
      <c r="A317" s="125" t="s">
        <v>1330</v>
      </c>
      <c r="B317" s="125" t="s">
        <v>1346</v>
      </c>
      <c r="C317" s="125" t="s">
        <v>1347</v>
      </c>
      <c r="D317" s="125" t="s">
        <v>656</v>
      </c>
      <c r="E317" s="125" t="s">
        <v>793</v>
      </c>
      <c r="F317" s="125" t="s">
        <v>650</v>
      </c>
      <c r="G317" s="125" t="s">
        <v>1348</v>
      </c>
      <c r="H317" s="125">
        <v>127272.73</v>
      </c>
      <c r="I317" s="125">
        <v>0</v>
      </c>
      <c r="J317" s="125">
        <v>0</v>
      </c>
      <c r="K317" s="125">
        <v>0</v>
      </c>
      <c r="L317" s="125">
        <v>0</v>
      </c>
      <c r="M317" s="125">
        <v>26727.27</v>
      </c>
      <c r="N317" s="125">
        <v>0</v>
      </c>
      <c r="O317" s="125">
        <v>0</v>
      </c>
      <c r="P317" s="125">
        <v>0</v>
      </c>
      <c r="Q317" s="125">
        <v>0</v>
      </c>
      <c r="R317" s="125">
        <v>26727.27</v>
      </c>
      <c r="S317" s="125">
        <v>154000</v>
      </c>
      <c r="T317" s="125"/>
    </row>
    <row r="318" spans="1:20" ht="15" customHeight="1" x14ac:dyDescent="0.25">
      <c r="A318" s="125" t="s">
        <v>1330</v>
      </c>
      <c r="B318" s="125" t="s">
        <v>791</v>
      </c>
      <c r="C318" s="125" t="s">
        <v>792</v>
      </c>
      <c r="D318" s="125" t="s">
        <v>656</v>
      </c>
      <c r="E318" s="125" t="s">
        <v>793</v>
      </c>
      <c r="F318" s="125" t="s">
        <v>690</v>
      </c>
      <c r="G318" s="125" t="s">
        <v>1349</v>
      </c>
      <c r="H318" s="125">
        <v>26446.28</v>
      </c>
      <c r="I318" s="125">
        <v>0</v>
      </c>
      <c r="J318" s="125">
        <v>0</v>
      </c>
      <c r="K318" s="125">
        <v>0</v>
      </c>
      <c r="L318" s="125">
        <v>0</v>
      </c>
      <c r="M318" s="125">
        <v>5553.72</v>
      </c>
      <c r="N318" s="125">
        <v>0</v>
      </c>
      <c r="O318" s="125">
        <v>0</v>
      </c>
      <c r="P318" s="125">
        <v>0</v>
      </c>
      <c r="Q318" s="125">
        <v>0</v>
      </c>
      <c r="R318" s="125">
        <v>5553.72</v>
      </c>
      <c r="S318" s="125">
        <v>32000</v>
      </c>
      <c r="T318" s="125"/>
    </row>
    <row r="319" spans="1:20" ht="15" customHeight="1" x14ac:dyDescent="0.25">
      <c r="A319" s="125" t="s">
        <v>1330</v>
      </c>
      <c r="B319" s="125" t="s">
        <v>1350</v>
      </c>
      <c r="C319" s="125" t="s">
        <v>1351</v>
      </c>
      <c r="D319" s="125" t="s">
        <v>652</v>
      </c>
      <c r="E319" s="125" t="s">
        <v>1352</v>
      </c>
      <c r="F319" s="125" t="s">
        <v>650</v>
      </c>
      <c r="G319" s="125" t="s">
        <v>1353</v>
      </c>
      <c r="H319" s="125">
        <v>26280.99</v>
      </c>
      <c r="I319" s="125">
        <v>0</v>
      </c>
      <c r="J319" s="125">
        <v>0</v>
      </c>
      <c r="K319" s="125">
        <v>0</v>
      </c>
      <c r="L319" s="125">
        <v>0</v>
      </c>
      <c r="M319" s="125">
        <v>5519.01</v>
      </c>
      <c r="N319" s="125">
        <v>0</v>
      </c>
      <c r="O319" s="125">
        <v>0</v>
      </c>
      <c r="P319" s="125">
        <v>0</v>
      </c>
      <c r="Q319" s="125">
        <v>0</v>
      </c>
      <c r="R319" s="125">
        <v>5519.01</v>
      </c>
      <c r="S319" s="125">
        <v>31800</v>
      </c>
      <c r="T319" s="125"/>
    </row>
    <row r="320" spans="1:20" ht="15" customHeight="1" x14ac:dyDescent="0.25">
      <c r="A320" s="125" t="s">
        <v>1330</v>
      </c>
      <c r="B320" s="125" t="s">
        <v>1342</v>
      </c>
      <c r="C320" s="125" t="s">
        <v>1343</v>
      </c>
      <c r="D320" s="125" t="s">
        <v>656</v>
      </c>
      <c r="E320" s="125" t="s">
        <v>793</v>
      </c>
      <c r="F320" s="125" t="s">
        <v>650</v>
      </c>
      <c r="G320" s="125" t="s">
        <v>1354</v>
      </c>
      <c r="H320" s="125">
        <v>78305.789999999994</v>
      </c>
      <c r="I320" s="125">
        <v>0</v>
      </c>
      <c r="J320" s="125">
        <v>0</v>
      </c>
      <c r="K320" s="125">
        <v>0</v>
      </c>
      <c r="L320" s="125">
        <v>0</v>
      </c>
      <c r="M320" s="125">
        <v>16444.21</v>
      </c>
      <c r="N320" s="125">
        <v>0</v>
      </c>
      <c r="O320" s="125">
        <v>0</v>
      </c>
      <c r="P320" s="125">
        <v>0</v>
      </c>
      <c r="Q320" s="125">
        <v>0</v>
      </c>
      <c r="R320" s="125">
        <v>16444.21</v>
      </c>
      <c r="S320" s="125">
        <v>94750</v>
      </c>
      <c r="T320" s="125"/>
    </row>
    <row r="321" spans="1:20" ht="15" customHeight="1" x14ac:dyDescent="0.25">
      <c r="A321" s="125" t="s">
        <v>1330</v>
      </c>
      <c r="B321" s="125" t="s">
        <v>1342</v>
      </c>
      <c r="C321" s="125" t="s">
        <v>1343</v>
      </c>
      <c r="D321" s="125" t="s">
        <v>656</v>
      </c>
      <c r="E321" s="125" t="s">
        <v>793</v>
      </c>
      <c r="F321" s="125" t="s">
        <v>650</v>
      </c>
      <c r="G321" s="125" t="s">
        <v>1355</v>
      </c>
      <c r="H321" s="125">
        <v>-78305.789999999994</v>
      </c>
      <c r="I321" s="125">
        <v>0</v>
      </c>
      <c r="J321" s="125">
        <v>0</v>
      </c>
      <c r="K321" s="125">
        <v>0</v>
      </c>
      <c r="L321" s="125">
        <v>0</v>
      </c>
      <c r="M321" s="125">
        <v>-16444.21</v>
      </c>
      <c r="N321" s="125">
        <v>0</v>
      </c>
      <c r="O321" s="125">
        <v>0</v>
      </c>
      <c r="P321" s="125">
        <v>0</v>
      </c>
      <c r="Q321" s="125">
        <v>0</v>
      </c>
      <c r="R321" s="125">
        <v>-16444.21</v>
      </c>
      <c r="S321" s="125">
        <v>-94750</v>
      </c>
      <c r="T321" s="125"/>
    </row>
    <row r="322" spans="1:20" ht="15" customHeight="1" x14ac:dyDescent="0.25">
      <c r="A322" s="125" t="s">
        <v>1330</v>
      </c>
      <c r="B322" s="125" t="s">
        <v>1350</v>
      </c>
      <c r="C322" s="125" t="s">
        <v>1351</v>
      </c>
      <c r="D322" s="125" t="s">
        <v>652</v>
      </c>
      <c r="E322" s="125" t="s">
        <v>1352</v>
      </c>
      <c r="F322" s="125" t="s">
        <v>650</v>
      </c>
      <c r="G322" s="125" t="s">
        <v>1356</v>
      </c>
      <c r="H322" s="125">
        <v>-26280.99</v>
      </c>
      <c r="I322" s="125">
        <v>0</v>
      </c>
      <c r="J322" s="125">
        <v>0</v>
      </c>
      <c r="K322" s="125">
        <v>0</v>
      </c>
      <c r="L322" s="125">
        <v>0</v>
      </c>
      <c r="M322" s="125">
        <v>-5519.01</v>
      </c>
      <c r="N322" s="125">
        <v>0</v>
      </c>
      <c r="O322" s="125">
        <v>0</v>
      </c>
      <c r="P322" s="125">
        <v>0</v>
      </c>
      <c r="Q322" s="125">
        <v>0</v>
      </c>
      <c r="R322" s="125">
        <v>-5519.01</v>
      </c>
      <c r="S322" s="125">
        <v>-31800</v>
      </c>
      <c r="T322" s="125"/>
    </row>
    <row r="323" spans="1:20" ht="15" customHeight="1" x14ac:dyDescent="0.25">
      <c r="A323" s="125" t="s">
        <v>1330</v>
      </c>
      <c r="B323" s="125" t="s">
        <v>1346</v>
      </c>
      <c r="C323" s="125" t="s">
        <v>1347</v>
      </c>
      <c r="D323" s="125" t="s">
        <v>656</v>
      </c>
      <c r="E323" s="125" t="s">
        <v>793</v>
      </c>
      <c r="F323" s="125" t="s">
        <v>650</v>
      </c>
      <c r="G323" s="125" t="s">
        <v>1357</v>
      </c>
      <c r="H323" s="125">
        <v>-127272.73</v>
      </c>
      <c r="I323" s="125">
        <v>0</v>
      </c>
      <c r="J323" s="125">
        <v>0</v>
      </c>
      <c r="K323" s="125">
        <v>0</v>
      </c>
      <c r="L323" s="125">
        <v>0</v>
      </c>
      <c r="M323" s="125">
        <v>-26727.27</v>
      </c>
      <c r="N323" s="125">
        <v>0</v>
      </c>
      <c r="O323" s="125">
        <v>0</v>
      </c>
      <c r="P323" s="125">
        <v>0</v>
      </c>
      <c r="Q323" s="125">
        <v>0</v>
      </c>
      <c r="R323" s="125">
        <v>-26727.27</v>
      </c>
      <c r="S323" s="125">
        <v>-154000</v>
      </c>
      <c r="T323" s="125"/>
    </row>
    <row r="324" spans="1:20" ht="15" customHeight="1" x14ac:dyDescent="0.25">
      <c r="A324" s="125" t="s">
        <v>1330</v>
      </c>
      <c r="B324" s="125" t="s">
        <v>791</v>
      </c>
      <c r="C324" s="125" t="s">
        <v>792</v>
      </c>
      <c r="D324" s="125" t="s">
        <v>656</v>
      </c>
      <c r="E324" s="125" t="s">
        <v>793</v>
      </c>
      <c r="F324" s="125" t="s">
        <v>690</v>
      </c>
      <c r="G324" s="125" t="s">
        <v>1358</v>
      </c>
      <c r="H324" s="125">
        <v>10743.8</v>
      </c>
      <c r="I324" s="125">
        <v>0</v>
      </c>
      <c r="J324" s="125">
        <v>0</v>
      </c>
      <c r="K324" s="125">
        <v>0</v>
      </c>
      <c r="L324" s="125">
        <v>0</v>
      </c>
      <c r="M324" s="125">
        <v>2256.1999999999998</v>
      </c>
      <c r="N324" s="125">
        <v>0</v>
      </c>
      <c r="O324" s="125">
        <v>0</v>
      </c>
      <c r="P324" s="125">
        <v>0</v>
      </c>
      <c r="Q324" s="125">
        <v>0</v>
      </c>
      <c r="R324" s="125">
        <v>2256.1999999999998</v>
      </c>
      <c r="S324" s="125">
        <v>13000</v>
      </c>
      <c r="T324" s="125"/>
    </row>
    <row r="325" spans="1:20" ht="15" customHeight="1" x14ac:dyDescent="0.25">
      <c r="A325" s="125" t="s">
        <v>1330</v>
      </c>
      <c r="B325" s="125" t="s">
        <v>44</v>
      </c>
      <c r="C325" s="125" t="s">
        <v>823</v>
      </c>
      <c r="D325" s="125" t="s">
        <v>824</v>
      </c>
      <c r="E325" s="125" t="s">
        <v>825</v>
      </c>
      <c r="F325" s="125" t="s">
        <v>804</v>
      </c>
      <c r="G325" s="125" t="s">
        <v>1359</v>
      </c>
      <c r="H325" s="125">
        <v>-94126.03</v>
      </c>
      <c r="I325" s="125">
        <v>0</v>
      </c>
      <c r="J325" s="125">
        <v>0</v>
      </c>
      <c r="K325" s="125">
        <v>0</v>
      </c>
      <c r="L325" s="125">
        <v>0</v>
      </c>
      <c r="M325" s="125">
        <v>-19766.47</v>
      </c>
      <c r="N325" s="125">
        <v>0</v>
      </c>
      <c r="O325" s="125">
        <v>0</v>
      </c>
      <c r="P325" s="125">
        <v>0</v>
      </c>
      <c r="Q325" s="125">
        <v>0</v>
      </c>
      <c r="R325" s="125">
        <v>-19766.47</v>
      </c>
      <c r="S325" s="125">
        <v>-113892.5</v>
      </c>
      <c r="T325" s="125"/>
    </row>
    <row r="326" spans="1:20" ht="15" customHeight="1" x14ac:dyDescent="0.25">
      <c r="A326" s="125" t="s">
        <v>1330</v>
      </c>
      <c r="B326" s="125" t="s">
        <v>791</v>
      </c>
      <c r="C326" s="125" t="s">
        <v>792</v>
      </c>
      <c r="D326" s="125" t="s">
        <v>656</v>
      </c>
      <c r="E326" s="125" t="s">
        <v>793</v>
      </c>
      <c r="F326" s="125" t="s">
        <v>690</v>
      </c>
      <c r="G326" s="125" t="s">
        <v>1360</v>
      </c>
      <c r="H326" s="125">
        <v>16528.93</v>
      </c>
      <c r="I326" s="125">
        <v>0</v>
      </c>
      <c r="J326" s="125">
        <v>0</v>
      </c>
      <c r="K326" s="125">
        <v>0</v>
      </c>
      <c r="L326" s="125">
        <v>0</v>
      </c>
      <c r="M326" s="125">
        <v>3471.07</v>
      </c>
      <c r="N326" s="125">
        <v>0</v>
      </c>
      <c r="O326" s="125">
        <v>0</v>
      </c>
      <c r="P326" s="125">
        <v>0</v>
      </c>
      <c r="Q326" s="125">
        <v>0</v>
      </c>
      <c r="R326" s="125">
        <v>3471.07</v>
      </c>
      <c r="S326" s="125">
        <v>20000</v>
      </c>
      <c r="T326" s="125"/>
    </row>
    <row r="327" spans="1:20" ht="15" customHeight="1" x14ac:dyDescent="0.25">
      <c r="A327" s="125" t="s">
        <v>1330</v>
      </c>
      <c r="B327" s="125" t="s">
        <v>791</v>
      </c>
      <c r="C327" s="125" t="s">
        <v>792</v>
      </c>
      <c r="D327" s="125" t="s">
        <v>656</v>
      </c>
      <c r="E327" s="125" t="s">
        <v>793</v>
      </c>
      <c r="F327" s="125" t="s">
        <v>690</v>
      </c>
      <c r="G327" s="125" t="s">
        <v>1361</v>
      </c>
      <c r="H327" s="125">
        <v>10495.87</v>
      </c>
      <c r="I327" s="125">
        <v>0</v>
      </c>
      <c r="J327" s="125">
        <v>0</v>
      </c>
      <c r="K327" s="125">
        <v>0</v>
      </c>
      <c r="L327" s="125">
        <v>0</v>
      </c>
      <c r="M327" s="125">
        <v>2204.13</v>
      </c>
      <c r="N327" s="125">
        <v>0</v>
      </c>
      <c r="O327" s="125">
        <v>0</v>
      </c>
      <c r="P327" s="125">
        <v>0</v>
      </c>
      <c r="Q327" s="125">
        <v>0</v>
      </c>
      <c r="R327" s="125">
        <v>2204.13</v>
      </c>
      <c r="S327" s="125">
        <v>12700</v>
      </c>
      <c r="T327" s="125"/>
    </row>
    <row r="328" spans="1:20" ht="15" customHeight="1" x14ac:dyDescent="0.25">
      <c r="A328" s="125" t="s">
        <v>1330</v>
      </c>
      <c r="B328" s="125" t="s">
        <v>791</v>
      </c>
      <c r="C328" s="125" t="s">
        <v>792</v>
      </c>
      <c r="D328" s="125" t="s">
        <v>656</v>
      </c>
      <c r="E328" s="125" t="s">
        <v>793</v>
      </c>
      <c r="F328" s="125" t="s">
        <v>690</v>
      </c>
      <c r="G328" s="125" t="s">
        <v>1362</v>
      </c>
      <c r="H328" s="125">
        <v>3719.01</v>
      </c>
      <c r="I328" s="125">
        <v>0</v>
      </c>
      <c r="J328" s="125">
        <v>0</v>
      </c>
      <c r="K328" s="125">
        <v>0</v>
      </c>
      <c r="L328" s="125">
        <v>0</v>
      </c>
      <c r="M328" s="125">
        <v>780.99</v>
      </c>
      <c r="N328" s="125">
        <v>0</v>
      </c>
      <c r="O328" s="125">
        <v>0</v>
      </c>
      <c r="P328" s="125">
        <v>0</v>
      </c>
      <c r="Q328" s="125">
        <v>0</v>
      </c>
      <c r="R328" s="125">
        <v>780.99</v>
      </c>
      <c r="S328" s="125">
        <v>4500</v>
      </c>
      <c r="T328" s="125"/>
    </row>
    <row r="329" spans="1:20" ht="15" customHeight="1" x14ac:dyDescent="0.25">
      <c r="A329" s="125" t="s">
        <v>1363</v>
      </c>
      <c r="B329" s="125" t="s">
        <v>791</v>
      </c>
      <c r="C329" s="125" t="s">
        <v>792</v>
      </c>
      <c r="D329" s="125" t="s">
        <v>656</v>
      </c>
      <c r="E329" s="125" t="s">
        <v>793</v>
      </c>
      <c r="F329" s="125" t="s">
        <v>690</v>
      </c>
      <c r="G329" s="125" t="s">
        <v>1364</v>
      </c>
      <c r="H329" s="125">
        <v>22314.05</v>
      </c>
      <c r="I329" s="125">
        <v>0</v>
      </c>
      <c r="J329" s="125">
        <v>0</v>
      </c>
      <c r="K329" s="125">
        <v>0</v>
      </c>
      <c r="L329" s="125">
        <v>0</v>
      </c>
      <c r="M329" s="125">
        <v>4685.95</v>
      </c>
      <c r="N329" s="125">
        <v>0</v>
      </c>
      <c r="O329" s="125">
        <v>0</v>
      </c>
      <c r="P329" s="125">
        <v>0</v>
      </c>
      <c r="Q329" s="125">
        <v>0</v>
      </c>
      <c r="R329" s="125">
        <v>4685.95</v>
      </c>
      <c r="S329" s="125">
        <v>27000</v>
      </c>
      <c r="T329" s="125"/>
    </row>
    <row r="330" spans="1:20" ht="15" customHeight="1" x14ac:dyDescent="0.25">
      <c r="A330" s="125" t="s">
        <v>1363</v>
      </c>
      <c r="B330" s="125" t="s">
        <v>791</v>
      </c>
      <c r="C330" s="125" t="s">
        <v>792</v>
      </c>
      <c r="D330" s="125" t="s">
        <v>656</v>
      </c>
      <c r="E330" s="125" t="s">
        <v>793</v>
      </c>
      <c r="F330" s="125" t="s">
        <v>690</v>
      </c>
      <c r="G330" s="125" t="s">
        <v>1365</v>
      </c>
      <c r="H330" s="125">
        <v>18595.04</v>
      </c>
      <c r="I330" s="125">
        <v>0</v>
      </c>
      <c r="J330" s="125">
        <v>0</v>
      </c>
      <c r="K330" s="125">
        <v>0</v>
      </c>
      <c r="L330" s="125">
        <v>0</v>
      </c>
      <c r="M330" s="125">
        <v>3904.96</v>
      </c>
      <c r="N330" s="125">
        <v>0</v>
      </c>
      <c r="O330" s="125">
        <v>0</v>
      </c>
      <c r="P330" s="125">
        <v>0</v>
      </c>
      <c r="Q330" s="125">
        <v>0</v>
      </c>
      <c r="R330" s="125">
        <v>3904.96</v>
      </c>
      <c r="S330" s="125">
        <v>22500</v>
      </c>
      <c r="T330" s="125"/>
    </row>
    <row r="331" spans="1:20" ht="15" customHeight="1" x14ac:dyDescent="0.25">
      <c r="A331" s="125" t="s">
        <v>1363</v>
      </c>
      <c r="B331" s="125" t="s">
        <v>1366</v>
      </c>
      <c r="C331" s="125" t="s">
        <v>1367</v>
      </c>
      <c r="D331" s="125" t="s">
        <v>656</v>
      </c>
      <c r="E331" s="125" t="s">
        <v>793</v>
      </c>
      <c r="F331" s="125" t="s">
        <v>650</v>
      </c>
      <c r="G331" s="125" t="s">
        <v>1368</v>
      </c>
      <c r="H331" s="125">
        <v>684704.13</v>
      </c>
      <c r="I331" s="125">
        <v>0</v>
      </c>
      <c r="J331" s="125">
        <v>0</v>
      </c>
      <c r="K331" s="125">
        <v>0</v>
      </c>
      <c r="L331" s="125">
        <v>0</v>
      </c>
      <c r="M331" s="125">
        <v>143787.87</v>
      </c>
      <c r="N331" s="125">
        <v>0</v>
      </c>
      <c r="O331" s="125">
        <v>0</v>
      </c>
      <c r="P331" s="125">
        <v>0</v>
      </c>
      <c r="Q331" s="125">
        <v>0</v>
      </c>
      <c r="R331" s="125">
        <v>143787.87</v>
      </c>
      <c r="S331" s="125">
        <v>828492</v>
      </c>
      <c r="T331" s="125"/>
    </row>
    <row r="332" spans="1:20" ht="15" customHeight="1" x14ac:dyDescent="0.25">
      <c r="A332" s="125" t="s">
        <v>1363</v>
      </c>
      <c r="B332" s="125" t="s">
        <v>791</v>
      </c>
      <c r="C332" s="125" t="s">
        <v>792</v>
      </c>
      <c r="D332" s="125" t="s">
        <v>656</v>
      </c>
      <c r="E332" s="125" t="s">
        <v>793</v>
      </c>
      <c r="F332" s="125" t="s">
        <v>690</v>
      </c>
      <c r="G332" s="125" t="s">
        <v>1369</v>
      </c>
      <c r="H332" s="125">
        <v>50413.22</v>
      </c>
      <c r="I332" s="125">
        <v>0</v>
      </c>
      <c r="J332" s="125">
        <v>0</v>
      </c>
      <c r="K332" s="125">
        <v>0</v>
      </c>
      <c r="L332" s="125">
        <v>0</v>
      </c>
      <c r="M332" s="125">
        <v>10586.78</v>
      </c>
      <c r="N332" s="125">
        <v>0</v>
      </c>
      <c r="O332" s="125">
        <v>0</v>
      </c>
      <c r="P332" s="125">
        <v>0</v>
      </c>
      <c r="Q332" s="125">
        <v>0</v>
      </c>
      <c r="R332" s="125">
        <v>10586.78</v>
      </c>
      <c r="S332" s="125">
        <v>61000</v>
      </c>
      <c r="T332" s="125"/>
    </row>
    <row r="333" spans="1:20" ht="15" customHeight="1" x14ac:dyDescent="0.25">
      <c r="A333" s="125" t="s">
        <v>1363</v>
      </c>
      <c r="B333" s="125" t="s">
        <v>791</v>
      </c>
      <c r="C333" s="125" t="s">
        <v>792</v>
      </c>
      <c r="D333" s="125" t="s">
        <v>656</v>
      </c>
      <c r="E333" s="125" t="s">
        <v>793</v>
      </c>
      <c r="F333" s="125" t="s">
        <v>690</v>
      </c>
      <c r="G333" s="125" t="s">
        <v>1370</v>
      </c>
      <c r="H333" s="125">
        <v>18595.04</v>
      </c>
      <c r="I333" s="125">
        <v>0</v>
      </c>
      <c r="J333" s="125">
        <v>0</v>
      </c>
      <c r="K333" s="125">
        <v>0</v>
      </c>
      <c r="L333" s="125">
        <v>0</v>
      </c>
      <c r="M333" s="125">
        <v>3904.96</v>
      </c>
      <c r="N333" s="125">
        <v>0</v>
      </c>
      <c r="O333" s="125">
        <v>0</v>
      </c>
      <c r="P333" s="125">
        <v>0</v>
      </c>
      <c r="Q333" s="125">
        <v>0</v>
      </c>
      <c r="R333" s="125">
        <v>3904.96</v>
      </c>
      <c r="S333" s="125">
        <v>22500</v>
      </c>
      <c r="T333" s="125"/>
    </row>
    <row r="334" spans="1:20" ht="15" customHeight="1" x14ac:dyDescent="0.25">
      <c r="A334" s="125" t="s">
        <v>1363</v>
      </c>
      <c r="B334" s="125" t="s">
        <v>1366</v>
      </c>
      <c r="C334" s="125" t="s">
        <v>1367</v>
      </c>
      <c r="D334" s="125" t="s">
        <v>656</v>
      </c>
      <c r="E334" s="125" t="s">
        <v>793</v>
      </c>
      <c r="F334" s="125" t="s">
        <v>650</v>
      </c>
      <c r="G334" s="125" t="s">
        <v>1371</v>
      </c>
      <c r="H334" s="125">
        <v>422040.6</v>
      </c>
      <c r="I334" s="125">
        <v>0</v>
      </c>
      <c r="J334" s="125">
        <v>0</v>
      </c>
      <c r="K334" s="125">
        <v>0</v>
      </c>
      <c r="L334" s="125">
        <v>0</v>
      </c>
      <c r="M334" s="125">
        <v>88628.53</v>
      </c>
      <c r="N334" s="125">
        <v>0</v>
      </c>
      <c r="O334" s="125">
        <v>0</v>
      </c>
      <c r="P334" s="125">
        <v>0</v>
      </c>
      <c r="Q334" s="125">
        <v>0</v>
      </c>
      <c r="R334" s="125">
        <v>88628.53</v>
      </c>
      <c r="S334" s="125">
        <v>510669.13</v>
      </c>
      <c r="T334" s="125"/>
    </row>
    <row r="335" spans="1:20" ht="15" customHeight="1" x14ac:dyDescent="0.25">
      <c r="A335" s="125" t="s">
        <v>1363</v>
      </c>
      <c r="B335" s="125" t="s">
        <v>1366</v>
      </c>
      <c r="C335" s="125" t="s">
        <v>1367</v>
      </c>
      <c r="D335" s="125" t="s">
        <v>656</v>
      </c>
      <c r="E335" s="125" t="s">
        <v>793</v>
      </c>
      <c r="F335" s="125" t="s">
        <v>650</v>
      </c>
      <c r="G335" s="125" t="s">
        <v>1372</v>
      </c>
      <c r="H335" s="125">
        <v>430060.2</v>
      </c>
      <c r="I335" s="125">
        <v>0</v>
      </c>
      <c r="J335" s="125">
        <v>0</v>
      </c>
      <c r="K335" s="125">
        <v>0</v>
      </c>
      <c r="L335" s="125">
        <v>0</v>
      </c>
      <c r="M335" s="125">
        <v>90312.639999999999</v>
      </c>
      <c r="N335" s="125">
        <v>0</v>
      </c>
      <c r="O335" s="125">
        <v>0</v>
      </c>
      <c r="P335" s="125">
        <v>0</v>
      </c>
      <c r="Q335" s="125">
        <v>0</v>
      </c>
      <c r="R335" s="125">
        <v>90312.639999999999</v>
      </c>
      <c r="S335" s="125">
        <v>520372.84</v>
      </c>
      <c r="T335" s="125"/>
    </row>
    <row r="336" spans="1:20" ht="15" customHeight="1" x14ac:dyDescent="0.25">
      <c r="A336" s="125" t="s">
        <v>1363</v>
      </c>
      <c r="B336" s="125" t="s">
        <v>791</v>
      </c>
      <c r="C336" s="125" t="s">
        <v>792</v>
      </c>
      <c r="D336" s="125" t="s">
        <v>656</v>
      </c>
      <c r="E336" s="125" t="s">
        <v>793</v>
      </c>
      <c r="F336" s="125" t="s">
        <v>690</v>
      </c>
      <c r="G336" s="125" t="s">
        <v>1373</v>
      </c>
      <c r="H336" s="125">
        <v>26446.28</v>
      </c>
      <c r="I336" s="125">
        <v>0</v>
      </c>
      <c r="J336" s="125">
        <v>0</v>
      </c>
      <c r="K336" s="125">
        <v>0</v>
      </c>
      <c r="L336" s="125">
        <v>0</v>
      </c>
      <c r="M336" s="125">
        <v>5553.72</v>
      </c>
      <c r="N336" s="125">
        <v>0</v>
      </c>
      <c r="O336" s="125">
        <v>0</v>
      </c>
      <c r="P336" s="125">
        <v>0</v>
      </c>
      <c r="Q336" s="125">
        <v>0</v>
      </c>
      <c r="R336" s="125">
        <v>5553.72</v>
      </c>
      <c r="S336" s="125">
        <v>32000</v>
      </c>
      <c r="T336" s="125"/>
    </row>
    <row r="337" spans="1:20" ht="15" customHeight="1" x14ac:dyDescent="0.25">
      <c r="A337" s="125" t="s">
        <v>1363</v>
      </c>
      <c r="B337" s="125" t="s">
        <v>1374</v>
      </c>
      <c r="C337" s="125" t="s">
        <v>1375</v>
      </c>
      <c r="D337" s="125" t="s">
        <v>656</v>
      </c>
      <c r="E337" s="125" t="s">
        <v>793</v>
      </c>
      <c r="F337" s="125" t="s">
        <v>690</v>
      </c>
      <c r="G337" s="125" t="s">
        <v>1376</v>
      </c>
      <c r="H337" s="125">
        <v>27272.73</v>
      </c>
      <c r="I337" s="125">
        <v>0</v>
      </c>
      <c r="J337" s="125">
        <v>0</v>
      </c>
      <c r="K337" s="125">
        <v>0</v>
      </c>
      <c r="L337" s="125">
        <v>0</v>
      </c>
      <c r="M337" s="125">
        <v>5727.27</v>
      </c>
      <c r="N337" s="125">
        <v>0</v>
      </c>
      <c r="O337" s="125">
        <v>0</v>
      </c>
      <c r="P337" s="125">
        <v>0</v>
      </c>
      <c r="Q337" s="125">
        <v>0</v>
      </c>
      <c r="R337" s="125">
        <v>5727.27</v>
      </c>
      <c r="S337" s="125">
        <v>33000</v>
      </c>
      <c r="T337" s="125"/>
    </row>
    <row r="338" spans="1:20" ht="15" customHeight="1" x14ac:dyDescent="0.25">
      <c r="A338" s="125" t="s">
        <v>1363</v>
      </c>
      <c r="B338" s="125" t="s">
        <v>798</v>
      </c>
      <c r="C338" s="125" t="s">
        <v>799</v>
      </c>
      <c r="D338" s="125" t="s">
        <v>656</v>
      </c>
      <c r="E338" s="125" t="s">
        <v>793</v>
      </c>
      <c r="F338" s="125" t="s">
        <v>650</v>
      </c>
      <c r="G338" s="125" t="s">
        <v>1377</v>
      </c>
      <c r="H338" s="125">
        <v>5524793.3899999997</v>
      </c>
      <c r="I338" s="125">
        <v>0</v>
      </c>
      <c r="J338" s="125">
        <v>0</v>
      </c>
      <c r="K338" s="125">
        <v>0</v>
      </c>
      <c r="L338" s="125">
        <v>0</v>
      </c>
      <c r="M338" s="125">
        <v>1160206.6100000001</v>
      </c>
      <c r="N338" s="125">
        <v>0</v>
      </c>
      <c r="O338" s="125">
        <v>0</v>
      </c>
      <c r="P338" s="125">
        <v>0</v>
      </c>
      <c r="Q338" s="125">
        <v>0</v>
      </c>
      <c r="R338" s="125">
        <v>1160206.6100000001</v>
      </c>
      <c r="S338" s="125">
        <v>6685000</v>
      </c>
      <c r="T338" s="125"/>
    </row>
    <row r="339" spans="1:20" ht="15" customHeight="1" x14ac:dyDescent="0.25">
      <c r="A339" s="125" t="s">
        <v>1363</v>
      </c>
      <c r="B339" s="125" t="s">
        <v>1378</v>
      </c>
      <c r="C339" s="125" t="s">
        <v>1379</v>
      </c>
      <c r="D339" s="125" t="s">
        <v>656</v>
      </c>
      <c r="E339" s="125" t="s">
        <v>793</v>
      </c>
      <c r="F339" s="125" t="s">
        <v>690</v>
      </c>
      <c r="G339" s="125" t="s">
        <v>1380</v>
      </c>
      <c r="H339" s="125">
        <v>28925.62</v>
      </c>
      <c r="I339" s="125">
        <v>0</v>
      </c>
      <c r="J339" s="125">
        <v>0</v>
      </c>
      <c r="K339" s="125">
        <v>0</v>
      </c>
      <c r="L339" s="125">
        <v>0</v>
      </c>
      <c r="M339" s="125">
        <v>6074.38</v>
      </c>
      <c r="N339" s="125">
        <v>0</v>
      </c>
      <c r="O339" s="125">
        <v>0</v>
      </c>
      <c r="P339" s="125">
        <v>0</v>
      </c>
      <c r="Q339" s="125">
        <v>0</v>
      </c>
      <c r="R339" s="125">
        <v>6074.38</v>
      </c>
      <c r="S339" s="125">
        <v>35000</v>
      </c>
      <c r="T339" s="125"/>
    </row>
    <row r="340" spans="1:20" ht="15" customHeight="1" x14ac:dyDescent="0.25">
      <c r="A340" s="125" t="s">
        <v>1363</v>
      </c>
      <c r="B340" s="125" t="s">
        <v>1381</v>
      </c>
      <c r="C340" s="125" t="s">
        <v>1382</v>
      </c>
      <c r="D340" s="125" t="s">
        <v>656</v>
      </c>
      <c r="E340" s="125" t="s">
        <v>793</v>
      </c>
      <c r="F340" s="125" t="s">
        <v>690</v>
      </c>
      <c r="G340" s="125" t="s">
        <v>1383</v>
      </c>
      <c r="H340" s="125">
        <v>21487.599999999999</v>
      </c>
      <c r="I340" s="125">
        <v>0</v>
      </c>
      <c r="J340" s="125">
        <v>0</v>
      </c>
      <c r="K340" s="125">
        <v>0</v>
      </c>
      <c r="L340" s="125">
        <v>0</v>
      </c>
      <c r="M340" s="125">
        <v>4512.3999999999996</v>
      </c>
      <c r="N340" s="125">
        <v>0</v>
      </c>
      <c r="O340" s="125">
        <v>0</v>
      </c>
      <c r="P340" s="125">
        <v>0</v>
      </c>
      <c r="Q340" s="125">
        <v>0</v>
      </c>
      <c r="R340" s="125">
        <v>4512.3999999999996</v>
      </c>
      <c r="S340" s="125">
        <v>26000</v>
      </c>
      <c r="T340" s="125"/>
    </row>
    <row r="341" spans="1:20" ht="15" customHeight="1" x14ac:dyDescent="0.25">
      <c r="A341" s="125" t="s">
        <v>1363</v>
      </c>
      <c r="B341" s="125" t="s">
        <v>1381</v>
      </c>
      <c r="C341" s="125" t="s">
        <v>1382</v>
      </c>
      <c r="D341" s="125" t="s">
        <v>656</v>
      </c>
      <c r="E341" s="125" t="s">
        <v>793</v>
      </c>
      <c r="F341" s="125" t="s">
        <v>690</v>
      </c>
      <c r="G341" s="125" t="s">
        <v>1384</v>
      </c>
      <c r="H341" s="125">
        <v>0</v>
      </c>
      <c r="I341" s="125">
        <v>45000</v>
      </c>
      <c r="J341" s="125">
        <v>0</v>
      </c>
      <c r="K341" s="125">
        <v>0</v>
      </c>
      <c r="L341" s="125">
        <v>0</v>
      </c>
      <c r="M341" s="125">
        <v>0</v>
      </c>
      <c r="N341" s="125">
        <v>0</v>
      </c>
      <c r="O341" s="125">
        <v>0</v>
      </c>
      <c r="P341" s="125">
        <v>0</v>
      </c>
      <c r="Q341" s="125">
        <v>0</v>
      </c>
      <c r="R341" s="125">
        <v>0</v>
      </c>
      <c r="S341" s="125">
        <v>45000</v>
      </c>
      <c r="T341" s="125"/>
    </row>
    <row r="342" spans="1:20" ht="15" customHeight="1" x14ac:dyDescent="0.25">
      <c r="A342" s="125" t="s">
        <v>1363</v>
      </c>
      <c r="B342" s="125" t="s">
        <v>791</v>
      </c>
      <c r="C342" s="125" t="s">
        <v>792</v>
      </c>
      <c r="D342" s="125" t="s">
        <v>656</v>
      </c>
      <c r="E342" s="125" t="s">
        <v>793</v>
      </c>
      <c r="F342" s="125" t="s">
        <v>690</v>
      </c>
      <c r="G342" s="125" t="s">
        <v>1385</v>
      </c>
      <c r="H342" s="125">
        <v>28925.62</v>
      </c>
      <c r="I342" s="125">
        <v>0</v>
      </c>
      <c r="J342" s="125">
        <v>0</v>
      </c>
      <c r="K342" s="125">
        <v>0</v>
      </c>
      <c r="L342" s="125">
        <v>0</v>
      </c>
      <c r="M342" s="125">
        <v>6074.38</v>
      </c>
      <c r="N342" s="125">
        <v>0</v>
      </c>
      <c r="O342" s="125">
        <v>0</v>
      </c>
      <c r="P342" s="125">
        <v>0</v>
      </c>
      <c r="Q342" s="125">
        <v>0</v>
      </c>
      <c r="R342" s="125">
        <v>6074.38</v>
      </c>
      <c r="S342" s="125">
        <v>35000</v>
      </c>
      <c r="T342" s="125"/>
    </row>
    <row r="343" spans="1:20" ht="15" customHeight="1" x14ac:dyDescent="0.25">
      <c r="A343" s="125" t="s">
        <v>1363</v>
      </c>
      <c r="B343" s="125" t="s">
        <v>1386</v>
      </c>
      <c r="C343" s="125" t="s">
        <v>1387</v>
      </c>
      <c r="D343" s="125" t="s">
        <v>656</v>
      </c>
      <c r="E343" s="125" t="s">
        <v>793</v>
      </c>
      <c r="F343" s="125" t="s">
        <v>690</v>
      </c>
      <c r="G343" s="125" t="s">
        <v>1388</v>
      </c>
      <c r="H343" s="125">
        <v>60330.58</v>
      </c>
      <c r="I343" s="125">
        <v>0</v>
      </c>
      <c r="J343" s="125">
        <v>0</v>
      </c>
      <c r="K343" s="125">
        <v>0</v>
      </c>
      <c r="L343" s="125">
        <v>0</v>
      </c>
      <c r="M343" s="125">
        <v>12669.42</v>
      </c>
      <c r="N343" s="125">
        <v>0</v>
      </c>
      <c r="O343" s="125">
        <v>0</v>
      </c>
      <c r="P343" s="125">
        <v>0</v>
      </c>
      <c r="Q343" s="125">
        <v>0</v>
      </c>
      <c r="R343" s="125">
        <v>12669.42</v>
      </c>
      <c r="S343" s="125">
        <v>73000</v>
      </c>
      <c r="T343" s="125"/>
    </row>
    <row r="344" spans="1:20" ht="15" customHeight="1" x14ac:dyDescent="0.25">
      <c r="A344" s="125" t="s">
        <v>1363</v>
      </c>
      <c r="B344" s="125" t="s">
        <v>791</v>
      </c>
      <c r="C344" s="125" t="s">
        <v>792</v>
      </c>
      <c r="D344" s="125" t="s">
        <v>656</v>
      </c>
      <c r="E344" s="125" t="s">
        <v>793</v>
      </c>
      <c r="F344" s="125" t="s">
        <v>690</v>
      </c>
      <c r="G344" s="125" t="s">
        <v>1389</v>
      </c>
      <c r="H344" s="125">
        <v>8429.75</v>
      </c>
      <c r="I344" s="125">
        <v>0</v>
      </c>
      <c r="J344" s="125">
        <v>0</v>
      </c>
      <c r="K344" s="125">
        <v>0</v>
      </c>
      <c r="L344" s="125">
        <v>0</v>
      </c>
      <c r="M344" s="125">
        <v>1770.25</v>
      </c>
      <c r="N344" s="125">
        <v>0</v>
      </c>
      <c r="O344" s="125">
        <v>0</v>
      </c>
      <c r="P344" s="125">
        <v>0</v>
      </c>
      <c r="Q344" s="125">
        <v>0</v>
      </c>
      <c r="R344" s="125">
        <v>1770.25</v>
      </c>
      <c r="S344" s="125">
        <v>10200</v>
      </c>
      <c r="T344" s="125"/>
    </row>
    <row r="345" spans="1:20" ht="15" customHeight="1" x14ac:dyDescent="0.25">
      <c r="A345" s="125" t="s">
        <v>1363</v>
      </c>
      <c r="B345" s="125" t="s">
        <v>884</v>
      </c>
      <c r="C345" s="125" t="s">
        <v>885</v>
      </c>
      <c r="D345" s="125" t="s">
        <v>656</v>
      </c>
      <c r="E345" s="125" t="s">
        <v>793</v>
      </c>
      <c r="F345" s="125" t="s">
        <v>690</v>
      </c>
      <c r="G345" s="125" t="s">
        <v>1390</v>
      </c>
      <c r="H345" s="125">
        <v>24793.39</v>
      </c>
      <c r="I345" s="125">
        <v>0</v>
      </c>
      <c r="J345" s="125">
        <v>0</v>
      </c>
      <c r="K345" s="125">
        <v>0</v>
      </c>
      <c r="L345" s="125">
        <v>0</v>
      </c>
      <c r="M345" s="125">
        <v>5206.6099999999997</v>
      </c>
      <c r="N345" s="125">
        <v>0</v>
      </c>
      <c r="O345" s="125">
        <v>0</v>
      </c>
      <c r="P345" s="125">
        <v>0</v>
      </c>
      <c r="Q345" s="125">
        <v>0</v>
      </c>
      <c r="R345" s="125">
        <v>5206.6099999999997</v>
      </c>
      <c r="S345" s="125">
        <v>30000</v>
      </c>
      <c r="T345" s="125"/>
    </row>
    <row r="346" spans="1:20" ht="15" customHeight="1" x14ac:dyDescent="0.25">
      <c r="A346" s="125" t="s">
        <v>1363</v>
      </c>
      <c r="B346" s="125" t="s">
        <v>791</v>
      </c>
      <c r="C346" s="125" t="s">
        <v>792</v>
      </c>
      <c r="D346" s="125" t="s">
        <v>656</v>
      </c>
      <c r="E346" s="125" t="s">
        <v>793</v>
      </c>
      <c r="F346" s="125" t="s">
        <v>690</v>
      </c>
      <c r="G346" s="125" t="s">
        <v>1391</v>
      </c>
      <c r="H346" s="125">
        <v>7438.02</v>
      </c>
      <c r="I346" s="125">
        <v>0</v>
      </c>
      <c r="J346" s="125">
        <v>0</v>
      </c>
      <c r="K346" s="125">
        <v>0</v>
      </c>
      <c r="L346" s="125">
        <v>0</v>
      </c>
      <c r="M346" s="125">
        <v>1561.98</v>
      </c>
      <c r="N346" s="125">
        <v>0</v>
      </c>
      <c r="O346" s="125">
        <v>0</v>
      </c>
      <c r="P346" s="125">
        <v>0</v>
      </c>
      <c r="Q346" s="125">
        <v>0</v>
      </c>
      <c r="R346" s="125">
        <v>1561.98</v>
      </c>
      <c r="S346" s="125">
        <v>9000</v>
      </c>
      <c r="T346" s="125"/>
    </row>
    <row r="347" spans="1:20" ht="15" customHeight="1" x14ac:dyDescent="0.25">
      <c r="A347" s="125" t="s">
        <v>1363</v>
      </c>
      <c r="B347" s="125" t="s">
        <v>791</v>
      </c>
      <c r="C347" s="125" t="s">
        <v>792</v>
      </c>
      <c r="D347" s="125" t="s">
        <v>656</v>
      </c>
      <c r="E347" s="125" t="s">
        <v>793</v>
      </c>
      <c r="F347" s="125" t="s">
        <v>690</v>
      </c>
      <c r="G347" s="125" t="s">
        <v>1392</v>
      </c>
      <c r="H347" s="125">
        <v>18842.98</v>
      </c>
      <c r="I347" s="125">
        <v>0</v>
      </c>
      <c r="J347" s="125">
        <v>0</v>
      </c>
      <c r="K347" s="125">
        <v>0</v>
      </c>
      <c r="L347" s="125">
        <v>0</v>
      </c>
      <c r="M347" s="125">
        <v>3957.02</v>
      </c>
      <c r="N347" s="125">
        <v>0</v>
      </c>
      <c r="O347" s="125">
        <v>0</v>
      </c>
      <c r="P347" s="125">
        <v>0</v>
      </c>
      <c r="Q347" s="125">
        <v>0</v>
      </c>
      <c r="R347" s="125">
        <v>3957.02</v>
      </c>
      <c r="S347" s="125">
        <v>22800</v>
      </c>
      <c r="T347" s="125"/>
    </row>
    <row r="348" spans="1:20" ht="15" customHeight="1" x14ac:dyDescent="0.25">
      <c r="A348" s="125" t="s">
        <v>1363</v>
      </c>
      <c r="B348" s="125" t="s">
        <v>791</v>
      </c>
      <c r="C348" s="125" t="s">
        <v>792</v>
      </c>
      <c r="D348" s="125" t="s">
        <v>656</v>
      </c>
      <c r="E348" s="125" t="s">
        <v>793</v>
      </c>
      <c r="F348" s="125" t="s">
        <v>690</v>
      </c>
      <c r="G348" s="125" t="s">
        <v>1393</v>
      </c>
      <c r="H348" s="125">
        <v>14214.88</v>
      </c>
      <c r="I348" s="125">
        <v>0</v>
      </c>
      <c r="J348" s="125">
        <v>0</v>
      </c>
      <c r="K348" s="125">
        <v>0</v>
      </c>
      <c r="L348" s="125">
        <v>0</v>
      </c>
      <c r="M348" s="125">
        <v>2985.12</v>
      </c>
      <c r="N348" s="125">
        <v>0</v>
      </c>
      <c r="O348" s="125">
        <v>0</v>
      </c>
      <c r="P348" s="125">
        <v>0</v>
      </c>
      <c r="Q348" s="125">
        <v>0</v>
      </c>
      <c r="R348" s="125">
        <v>2985.12</v>
      </c>
      <c r="S348" s="125">
        <v>17200</v>
      </c>
      <c r="T348" s="125"/>
    </row>
    <row r="349" spans="1:20" ht="15" customHeight="1" x14ac:dyDescent="0.25">
      <c r="A349" s="125" t="s">
        <v>1363</v>
      </c>
      <c r="B349" s="125" t="s">
        <v>1394</v>
      </c>
      <c r="C349" s="125" t="s">
        <v>1395</v>
      </c>
      <c r="D349" s="125" t="s">
        <v>656</v>
      </c>
      <c r="E349" s="125" t="s">
        <v>793</v>
      </c>
      <c r="F349" s="125" t="s">
        <v>690</v>
      </c>
      <c r="G349" s="125" t="s">
        <v>1396</v>
      </c>
      <c r="H349" s="125">
        <v>166942.15</v>
      </c>
      <c r="I349" s="125">
        <v>0</v>
      </c>
      <c r="J349" s="125">
        <v>0</v>
      </c>
      <c r="K349" s="125">
        <v>0</v>
      </c>
      <c r="L349" s="125">
        <v>0</v>
      </c>
      <c r="M349" s="125">
        <v>35057.85</v>
      </c>
      <c r="N349" s="125">
        <v>0</v>
      </c>
      <c r="O349" s="125">
        <v>0</v>
      </c>
      <c r="P349" s="125">
        <v>0</v>
      </c>
      <c r="Q349" s="125">
        <v>0</v>
      </c>
      <c r="R349" s="125">
        <v>35057.85</v>
      </c>
      <c r="S349" s="125">
        <v>202000</v>
      </c>
      <c r="T349" s="125"/>
    </row>
    <row r="350" spans="1:20" ht="15" customHeight="1" x14ac:dyDescent="0.25">
      <c r="A350" s="125" t="s">
        <v>1363</v>
      </c>
      <c r="B350" s="125" t="s">
        <v>206</v>
      </c>
      <c r="C350" s="125" t="s">
        <v>805</v>
      </c>
      <c r="D350" s="125" t="s">
        <v>656</v>
      </c>
      <c r="E350" s="125" t="s">
        <v>793</v>
      </c>
      <c r="F350" s="125" t="s">
        <v>650</v>
      </c>
      <c r="G350" s="125" t="s">
        <v>1397</v>
      </c>
      <c r="H350" s="125">
        <v>3039901.65</v>
      </c>
      <c r="I350" s="125">
        <v>0</v>
      </c>
      <c r="J350" s="125">
        <v>0</v>
      </c>
      <c r="K350" s="125">
        <v>0</v>
      </c>
      <c r="L350" s="125">
        <v>0</v>
      </c>
      <c r="M350" s="125">
        <v>638379.35</v>
      </c>
      <c r="N350" s="125">
        <v>0</v>
      </c>
      <c r="O350" s="125">
        <v>0</v>
      </c>
      <c r="P350" s="125">
        <v>0</v>
      </c>
      <c r="Q350" s="125">
        <v>0</v>
      </c>
      <c r="R350" s="125">
        <v>638379.35</v>
      </c>
      <c r="S350" s="125">
        <v>3678281</v>
      </c>
      <c r="T350" s="125"/>
    </row>
    <row r="351" spans="1:20" ht="15" customHeight="1" x14ac:dyDescent="0.25">
      <c r="A351" s="125" t="s">
        <v>1363</v>
      </c>
      <c r="B351" s="125" t="s">
        <v>798</v>
      </c>
      <c r="C351" s="125" t="s">
        <v>799</v>
      </c>
      <c r="D351" s="125" t="s">
        <v>656</v>
      </c>
      <c r="E351" s="125" t="s">
        <v>793</v>
      </c>
      <c r="F351" s="125" t="s">
        <v>650</v>
      </c>
      <c r="G351" s="125" t="s">
        <v>1398</v>
      </c>
      <c r="H351" s="125">
        <v>477041.32</v>
      </c>
      <c r="I351" s="125">
        <v>0</v>
      </c>
      <c r="J351" s="125">
        <v>0</v>
      </c>
      <c r="K351" s="125">
        <v>0</v>
      </c>
      <c r="L351" s="125">
        <v>0</v>
      </c>
      <c r="M351" s="125">
        <v>100178.68</v>
      </c>
      <c r="N351" s="125">
        <v>0</v>
      </c>
      <c r="O351" s="125">
        <v>0</v>
      </c>
      <c r="P351" s="125">
        <v>0</v>
      </c>
      <c r="Q351" s="125">
        <v>0</v>
      </c>
      <c r="R351" s="125">
        <v>100178.68</v>
      </c>
      <c r="S351" s="125">
        <v>577220</v>
      </c>
      <c r="T351" s="125"/>
    </row>
    <row r="352" spans="1:20" ht="15" customHeight="1" x14ac:dyDescent="0.25">
      <c r="A352" s="125" t="s">
        <v>1363</v>
      </c>
      <c r="B352" s="125" t="s">
        <v>791</v>
      </c>
      <c r="C352" s="125" t="s">
        <v>792</v>
      </c>
      <c r="D352" s="125" t="s">
        <v>656</v>
      </c>
      <c r="E352" s="125" t="s">
        <v>793</v>
      </c>
      <c r="F352" s="125" t="s">
        <v>690</v>
      </c>
      <c r="G352" s="125" t="s">
        <v>1399</v>
      </c>
      <c r="H352" s="125">
        <v>31900.83</v>
      </c>
      <c r="I352" s="125">
        <v>0</v>
      </c>
      <c r="J352" s="125">
        <v>0</v>
      </c>
      <c r="K352" s="125">
        <v>0</v>
      </c>
      <c r="L352" s="125">
        <v>0</v>
      </c>
      <c r="M352" s="125">
        <v>6699.17</v>
      </c>
      <c r="N352" s="125">
        <v>0</v>
      </c>
      <c r="O352" s="125">
        <v>0</v>
      </c>
      <c r="P352" s="125">
        <v>0</v>
      </c>
      <c r="Q352" s="125">
        <v>0</v>
      </c>
      <c r="R352" s="125">
        <v>6699.17</v>
      </c>
      <c r="S352" s="125">
        <v>38600</v>
      </c>
      <c r="T352" s="125"/>
    </row>
    <row r="353" spans="1:20" ht="15" customHeight="1" x14ac:dyDescent="0.25">
      <c r="A353" s="125" t="s">
        <v>1363</v>
      </c>
      <c r="B353" s="125" t="s">
        <v>798</v>
      </c>
      <c r="C353" s="125" t="s">
        <v>799</v>
      </c>
      <c r="D353" s="125" t="s">
        <v>656</v>
      </c>
      <c r="E353" s="125" t="s">
        <v>793</v>
      </c>
      <c r="F353" s="125" t="s">
        <v>650</v>
      </c>
      <c r="G353" s="125" t="s">
        <v>1400</v>
      </c>
      <c r="H353" s="125">
        <v>582793.39</v>
      </c>
      <c r="I353" s="125">
        <v>0</v>
      </c>
      <c r="J353" s="125">
        <v>0</v>
      </c>
      <c r="K353" s="125">
        <v>0</v>
      </c>
      <c r="L353" s="125">
        <v>0</v>
      </c>
      <c r="M353" s="125">
        <v>122386.61</v>
      </c>
      <c r="N353" s="125">
        <v>0</v>
      </c>
      <c r="O353" s="125">
        <v>0</v>
      </c>
      <c r="P353" s="125">
        <v>0</v>
      </c>
      <c r="Q353" s="125">
        <v>0</v>
      </c>
      <c r="R353" s="125">
        <v>122386.61</v>
      </c>
      <c r="S353" s="125">
        <v>705180</v>
      </c>
      <c r="T353" s="125"/>
    </row>
    <row r="354" spans="1:20" ht="15" customHeight="1" x14ac:dyDescent="0.25">
      <c r="A354" s="125" t="s">
        <v>1401</v>
      </c>
      <c r="B354" s="125" t="s">
        <v>791</v>
      </c>
      <c r="C354" s="125" t="s">
        <v>792</v>
      </c>
      <c r="D354" s="125" t="s">
        <v>656</v>
      </c>
      <c r="E354" s="125" t="s">
        <v>793</v>
      </c>
      <c r="F354" s="125" t="s">
        <v>690</v>
      </c>
      <c r="G354" s="125" t="s">
        <v>1402</v>
      </c>
      <c r="H354" s="125">
        <v>37190.080000000002</v>
      </c>
      <c r="I354" s="125">
        <v>0</v>
      </c>
      <c r="J354" s="125">
        <v>0</v>
      </c>
      <c r="K354" s="125">
        <v>0</v>
      </c>
      <c r="L354" s="125">
        <v>0</v>
      </c>
      <c r="M354" s="125">
        <v>7809.92</v>
      </c>
      <c r="N354" s="125">
        <v>0</v>
      </c>
      <c r="O354" s="125">
        <v>0</v>
      </c>
      <c r="P354" s="125">
        <v>0</v>
      </c>
      <c r="Q354" s="125">
        <v>0</v>
      </c>
      <c r="R354" s="125">
        <v>7809.92</v>
      </c>
      <c r="S354" s="125">
        <v>45000</v>
      </c>
      <c r="T354" s="125"/>
    </row>
    <row r="355" spans="1:20" ht="15" customHeight="1" x14ac:dyDescent="0.25">
      <c r="A355" s="125" t="s">
        <v>1401</v>
      </c>
      <c r="B355" s="125" t="s">
        <v>791</v>
      </c>
      <c r="C355" s="125" t="s">
        <v>792</v>
      </c>
      <c r="D355" s="125" t="s">
        <v>656</v>
      </c>
      <c r="E355" s="125" t="s">
        <v>793</v>
      </c>
      <c r="F355" s="125" t="s">
        <v>690</v>
      </c>
      <c r="G355" s="125" t="s">
        <v>1403</v>
      </c>
      <c r="H355" s="125">
        <v>33884.300000000003</v>
      </c>
      <c r="I355" s="125">
        <v>0</v>
      </c>
      <c r="J355" s="125">
        <v>0</v>
      </c>
      <c r="K355" s="125">
        <v>0</v>
      </c>
      <c r="L355" s="125">
        <v>0</v>
      </c>
      <c r="M355" s="125">
        <v>7115.7</v>
      </c>
      <c r="N355" s="125">
        <v>0</v>
      </c>
      <c r="O355" s="125">
        <v>0</v>
      </c>
      <c r="P355" s="125">
        <v>0</v>
      </c>
      <c r="Q355" s="125">
        <v>0</v>
      </c>
      <c r="R355" s="125">
        <v>7115.7</v>
      </c>
      <c r="S355" s="125">
        <v>41000</v>
      </c>
      <c r="T355" s="125"/>
    </row>
    <row r="356" spans="1:20" ht="15" customHeight="1" x14ac:dyDescent="0.25">
      <c r="A356" s="125" t="s">
        <v>1401</v>
      </c>
      <c r="B356" s="125" t="s">
        <v>791</v>
      </c>
      <c r="C356" s="125" t="s">
        <v>792</v>
      </c>
      <c r="D356" s="125" t="s">
        <v>656</v>
      </c>
      <c r="E356" s="125" t="s">
        <v>793</v>
      </c>
      <c r="F356" s="125" t="s">
        <v>690</v>
      </c>
      <c r="G356" s="125" t="s">
        <v>1404</v>
      </c>
      <c r="H356" s="125">
        <v>2066.12</v>
      </c>
      <c r="I356" s="125">
        <v>0</v>
      </c>
      <c r="J356" s="125">
        <v>0</v>
      </c>
      <c r="K356" s="125">
        <v>0</v>
      </c>
      <c r="L356" s="125">
        <v>0</v>
      </c>
      <c r="M356" s="125">
        <v>433.88</v>
      </c>
      <c r="N356" s="125">
        <v>0</v>
      </c>
      <c r="O356" s="125">
        <v>0</v>
      </c>
      <c r="P356" s="125">
        <v>0</v>
      </c>
      <c r="Q356" s="125">
        <v>0</v>
      </c>
      <c r="R356" s="125">
        <v>433.88</v>
      </c>
      <c r="S356" s="125">
        <v>2500</v>
      </c>
      <c r="T356" s="125"/>
    </row>
    <row r="357" spans="1:20" ht="15" customHeight="1" x14ac:dyDescent="0.25">
      <c r="A357" s="125" t="s">
        <v>1401</v>
      </c>
      <c r="B357" s="125" t="s">
        <v>1405</v>
      </c>
      <c r="C357" s="125" t="s">
        <v>1406</v>
      </c>
      <c r="D357" s="125" t="s">
        <v>656</v>
      </c>
      <c r="E357" s="125" t="s">
        <v>793</v>
      </c>
      <c r="F357" s="125" t="s">
        <v>690</v>
      </c>
      <c r="G357" s="125" t="s">
        <v>1407</v>
      </c>
      <c r="H357" s="125">
        <v>68595.039999999994</v>
      </c>
      <c r="I357" s="125">
        <v>0</v>
      </c>
      <c r="J357" s="125">
        <v>0</v>
      </c>
      <c r="K357" s="125">
        <v>0</v>
      </c>
      <c r="L357" s="125">
        <v>0</v>
      </c>
      <c r="M357" s="125">
        <v>14404.96</v>
      </c>
      <c r="N357" s="125">
        <v>0</v>
      </c>
      <c r="O357" s="125">
        <v>0</v>
      </c>
      <c r="P357" s="125">
        <v>0</v>
      </c>
      <c r="Q357" s="125">
        <v>0</v>
      </c>
      <c r="R357" s="125">
        <v>14404.96</v>
      </c>
      <c r="S357" s="125">
        <v>83000</v>
      </c>
      <c r="T357" s="125"/>
    </row>
    <row r="358" spans="1:20" ht="15" customHeight="1" x14ac:dyDescent="0.25">
      <c r="A358" s="125" t="s">
        <v>1401</v>
      </c>
      <c r="B358" s="125" t="s">
        <v>791</v>
      </c>
      <c r="C358" s="125" t="s">
        <v>792</v>
      </c>
      <c r="D358" s="125" t="s">
        <v>656</v>
      </c>
      <c r="E358" s="125" t="s">
        <v>793</v>
      </c>
      <c r="F358" s="125" t="s">
        <v>690</v>
      </c>
      <c r="G358" s="125" t="s">
        <v>1408</v>
      </c>
      <c r="H358" s="125">
        <v>18595.04</v>
      </c>
      <c r="I358" s="125">
        <v>0</v>
      </c>
      <c r="J358" s="125">
        <v>0</v>
      </c>
      <c r="K358" s="125">
        <v>0</v>
      </c>
      <c r="L358" s="125">
        <v>0</v>
      </c>
      <c r="M358" s="125">
        <v>3904.96</v>
      </c>
      <c r="N358" s="125">
        <v>0</v>
      </c>
      <c r="O358" s="125">
        <v>0</v>
      </c>
      <c r="P358" s="125">
        <v>0</v>
      </c>
      <c r="Q358" s="125">
        <v>0</v>
      </c>
      <c r="R358" s="125">
        <v>3904.96</v>
      </c>
      <c r="S358" s="125">
        <v>22500</v>
      </c>
      <c r="T358" s="125"/>
    </row>
    <row r="359" spans="1:20" ht="15" customHeight="1" x14ac:dyDescent="0.25">
      <c r="A359" s="125" t="s">
        <v>1401</v>
      </c>
      <c r="B359" s="125" t="s">
        <v>864</v>
      </c>
      <c r="C359" s="125" t="s">
        <v>865</v>
      </c>
      <c r="D359" s="125" t="s">
        <v>656</v>
      </c>
      <c r="E359" s="125" t="s">
        <v>793</v>
      </c>
      <c r="F359" s="125" t="s">
        <v>804</v>
      </c>
      <c r="G359" s="125" t="s">
        <v>1409</v>
      </c>
      <c r="H359" s="125">
        <v>111570.25</v>
      </c>
      <c r="I359" s="125">
        <v>0</v>
      </c>
      <c r="J359" s="125">
        <v>0</v>
      </c>
      <c r="K359" s="125">
        <v>0</v>
      </c>
      <c r="L359" s="125">
        <v>0</v>
      </c>
      <c r="M359" s="125">
        <v>23429.75</v>
      </c>
      <c r="N359" s="125">
        <v>0</v>
      </c>
      <c r="O359" s="125">
        <v>0</v>
      </c>
      <c r="P359" s="125">
        <v>0</v>
      </c>
      <c r="Q359" s="125">
        <v>0</v>
      </c>
      <c r="R359" s="125">
        <v>23429.75</v>
      </c>
      <c r="S359" s="125">
        <v>135000</v>
      </c>
      <c r="T359" s="125"/>
    </row>
    <row r="360" spans="1:20" ht="15" customHeight="1" x14ac:dyDescent="0.25">
      <c r="A360" s="125" t="s">
        <v>1401</v>
      </c>
      <c r="B360" s="125" t="s">
        <v>44</v>
      </c>
      <c r="C360" s="125" t="s">
        <v>823</v>
      </c>
      <c r="D360" s="125" t="s">
        <v>824</v>
      </c>
      <c r="E360" s="125" t="s">
        <v>825</v>
      </c>
      <c r="F360" s="125" t="s">
        <v>804</v>
      </c>
      <c r="G360" s="125" t="s">
        <v>1410</v>
      </c>
      <c r="H360" s="125">
        <v>574986.78</v>
      </c>
      <c r="I360" s="125">
        <v>0</v>
      </c>
      <c r="J360" s="125">
        <v>0</v>
      </c>
      <c r="K360" s="125">
        <v>0</v>
      </c>
      <c r="L360" s="125">
        <v>0</v>
      </c>
      <c r="M360" s="125">
        <v>120747.22</v>
      </c>
      <c r="N360" s="125">
        <v>0</v>
      </c>
      <c r="O360" s="125">
        <v>0</v>
      </c>
      <c r="P360" s="125">
        <v>0</v>
      </c>
      <c r="Q360" s="125">
        <v>0</v>
      </c>
      <c r="R360" s="125">
        <v>120747.22</v>
      </c>
      <c r="S360" s="125">
        <v>695734</v>
      </c>
      <c r="T360" s="125"/>
    </row>
    <row r="361" spans="1:20" ht="15" customHeight="1" x14ac:dyDescent="0.25">
      <c r="A361" s="125" t="s">
        <v>1401</v>
      </c>
      <c r="B361" s="125" t="s">
        <v>798</v>
      </c>
      <c r="C361" s="125" t="s">
        <v>799</v>
      </c>
      <c r="D361" s="125" t="s">
        <v>656</v>
      </c>
      <c r="E361" s="125" t="s">
        <v>793</v>
      </c>
      <c r="F361" s="125" t="s">
        <v>650</v>
      </c>
      <c r="G361" s="125" t="s">
        <v>1411</v>
      </c>
      <c r="H361" s="125">
        <v>732231.4</v>
      </c>
      <c r="I361" s="125">
        <v>0</v>
      </c>
      <c r="J361" s="125">
        <v>0</v>
      </c>
      <c r="K361" s="125">
        <v>0</v>
      </c>
      <c r="L361" s="125">
        <v>0</v>
      </c>
      <c r="M361" s="125">
        <v>153768.6</v>
      </c>
      <c r="N361" s="125">
        <v>0</v>
      </c>
      <c r="O361" s="125">
        <v>0</v>
      </c>
      <c r="P361" s="125">
        <v>0</v>
      </c>
      <c r="Q361" s="125">
        <v>0</v>
      </c>
      <c r="R361" s="125">
        <v>153768.6</v>
      </c>
      <c r="S361" s="125">
        <v>886000</v>
      </c>
      <c r="T361" s="125"/>
    </row>
    <row r="362" spans="1:20" ht="15" customHeight="1" x14ac:dyDescent="0.25">
      <c r="A362" s="125" t="s">
        <v>1401</v>
      </c>
      <c r="B362" s="125" t="s">
        <v>791</v>
      </c>
      <c r="C362" s="125" t="s">
        <v>792</v>
      </c>
      <c r="D362" s="125" t="s">
        <v>656</v>
      </c>
      <c r="E362" s="125" t="s">
        <v>793</v>
      </c>
      <c r="F362" s="125" t="s">
        <v>690</v>
      </c>
      <c r="G362" s="125" t="s">
        <v>1412</v>
      </c>
      <c r="H362" s="125">
        <v>57851.24</v>
      </c>
      <c r="I362" s="125">
        <v>0</v>
      </c>
      <c r="J362" s="125">
        <v>0</v>
      </c>
      <c r="K362" s="125">
        <v>0</v>
      </c>
      <c r="L362" s="125">
        <v>0</v>
      </c>
      <c r="M362" s="125">
        <v>12148.76</v>
      </c>
      <c r="N362" s="125">
        <v>0</v>
      </c>
      <c r="O362" s="125">
        <v>0</v>
      </c>
      <c r="P362" s="125">
        <v>0</v>
      </c>
      <c r="Q362" s="125">
        <v>0</v>
      </c>
      <c r="R362" s="125">
        <v>12148.76</v>
      </c>
      <c r="S362" s="125">
        <v>70000</v>
      </c>
      <c r="T362" s="125"/>
    </row>
    <row r="363" spans="1:20" ht="15" customHeight="1" x14ac:dyDescent="0.25">
      <c r="A363" s="125" t="s">
        <v>1401</v>
      </c>
      <c r="B363" s="125" t="s">
        <v>791</v>
      </c>
      <c r="C363" s="125" t="s">
        <v>792</v>
      </c>
      <c r="D363" s="125" t="s">
        <v>656</v>
      </c>
      <c r="E363" s="125" t="s">
        <v>793</v>
      </c>
      <c r="F363" s="125" t="s">
        <v>690</v>
      </c>
      <c r="G363" s="125" t="s">
        <v>1413</v>
      </c>
      <c r="H363" s="125">
        <v>20661.16</v>
      </c>
      <c r="I363" s="125">
        <v>0</v>
      </c>
      <c r="J363" s="125">
        <v>0</v>
      </c>
      <c r="K363" s="125">
        <v>0</v>
      </c>
      <c r="L363" s="125">
        <v>0</v>
      </c>
      <c r="M363" s="125">
        <v>4338.84</v>
      </c>
      <c r="N363" s="125">
        <v>0</v>
      </c>
      <c r="O363" s="125">
        <v>0</v>
      </c>
      <c r="P363" s="125">
        <v>0</v>
      </c>
      <c r="Q363" s="125">
        <v>0</v>
      </c>
      <c r="R363" s="125">
        <v>4338.84</v>
      </c>
      <c r="S363" s="125">
        <v>25000</v>
      </c>
      <c r="T363" s="125"/>
    </row>
    <row r="364" spans="1:20" ht="15" customHeight="1" x14ac:dyDescent="0.25">
      <c r="A364" s="125" t="s">
        <v>1401</v>
      </c>
      <c r="B364" s="125" t="s">
        <v>791</v>
      </c>
      <c r="C364" s="125" t="s">
        <v>792</v>
      </c>
      <c r="D364" s="125" t="s">
        <v>656</v>
      </c>
      <c r="E364" s="125" t="s">
        <v>793</v>
      </c>
      <c r="F364" s="125" t="s">
        <v>690</v>
      </c>
      <c r="G364" s="125" t="s">
        <v>1414</v>
      </c>
      <c r="H364" s="125">
        <v>29752.07</v>
      </c>
      <c r="I364" s="125">
        <v>0</v>
      </c>
      <c r="J364" s="125">
        <v>0</v>
      </c>
      <c r="K364" s="125">
        <v>0</v>
      </c>
      <c r="L364" s="125">
        <v>0</v>
      </c>
      <c r="M364" s="125">
        <v>6247.93</v>
      </c>
      <c r="N364" s="125">
        <v>0</v>
      </c>
      <c r="O364" s="125">
        <v>0</v>
      </c>
      <c r="P364" s="125">
        <v>0</v>
      </c>
      <c r="Q364" s="125">
        <v>0</v>
      </c>
      <c r="R364" s="125">
        <v>6247.93</v>
      </c>
      <c r="S364" s="125">
        <v>36000</v>
      </c>
      <c r="T364" s="125"/>
    </row>
    <row r="365" spans="1:20" ht="15" customHeight="1" x14ac:dyDescent="0.25">
      <c r="A365" s="125" t="s">
        <v>1401</v>
      </c>
      <c r="B365" s="125" t="s">
        <v>791</v>
      </c>
      <c r="C365" s="125" t="s">
        <v>792</v>
      </c>
      <c r="D365" s="125" t="s">
        <v>656</v>
      </c>
      <c r="E365" s="125" t="s">
        <v>793</v>
      </c>
      <c r="F365" s="125" t="s">
        <v>690</v>
      </c>
      <c r="G365" s="125" t="s">
        <v>1415</v>
      </c>
      <c r="H365" s="125">
        <v>41322.31</v>
      </c>
      <c r="I365" s="125">
        <v>0</v>
      </c>
      <c r="J365" s="125">
        <v>0</v>
      </c>
      <c r="K365" s="125">
        <v>0</v>
      </c>
      <c r="L365" s="125">
        <v>0</v>
      </c>
      <c r="M365" s="125">
        <v>8677.69</v>
      </c>
      <c r="N365" s="125">
        <v>0</v>
      </c>
      <c r="O365" s="125">
        <v>0</v>
      </c>
      <c r="P365" s="125">
        <v>0</v>
      </c>
      <c r="Q365" s="125">
        <v>0</v>
      </c>
      <c r="R365" s="125">
        <v>8677.69</v>
      </c>
      <c r="S365" s="125">
        <v>50000</v>
      </c>
      <c r="T365" s="125"/>
    </row>
    <row r="366" spans="1:20" ht="15" customHeight="1" x14ac:dyDescent="0.25">
      <c r="A366" s="125" t="s">
        <v>1401</v>
      </c>
      <c r="B366" s="125" t="s">
        <v>864</v>
      </c>
      <c r="C366" s="125" t="s">
        <v>865</v>
      </c>
      <c r="D366" s="125" t="s">
        <v>656</v>
      </c>
      <c r="E366" s="125" t="s">
        <v>793</v>
      </c>
      <c r="F366" s="125" t="s">
        <v>804</v>
      </c>
      <c r="G366" s="125" t="s">
        <v>1416</v>
      </c>
      <c r="H366" s="125">
        <v>76033.06</v>
      </c>
      <c r="I366" s="125">
        <v>0</v>
      </c>
      <c r="J366" s="125">
        <v>0</v>
      </c>
      <c r="K366" s="125">
        <v>0</v>
      </c>
      <c r="L366" s="125">
        <v>0</v>
      </c>
      <c r="M366" s="125">
        <v>15966.94</v>
      </c>
      <c r="N366" s="125">
        <v>0</v>
      </c>
      <c r="O366" s="125">
        <v>0</v>
      </c>
      <c r="P366" s="125">
        <v>0</v>
      </c>
      <c r="Q366" s="125">
        <v>0</v>
      </c>
      <c r="R366" s="125">
        <v>15966.94</v>
      </c>
      <c r="S366" s="125">
        <v>92000</v>
      </c>
      <c r="T366" s="125"/>
    </row>
    <row r="367" spans="1:20" ht="15" customHeight="1" x14ac:dyDescent="0.25">
      <c r="A367" s="125" t="s">
        <v>1401</v>
      </c>
      <c r="B367" s="125" t="s">
        <v>791</v>
      </c>
      <c r="C367" s="125" t="s">
        <v>792</v>
      </c>
      <c r="D367" s="125" t="s">
        <v>656</v>
      </c>
      <c r="E367" s="125" t="s">
        <v>793</v>
      </c>
      <c r="F367" s="125" t="s">
        <v>690</v>
      </c>
      <c r="G367" s="125" t="s">
        <v>1417</v>
      </c>
      <c r="H367" s="125">
        <v>18595.04</v>
      </c>
      <c r="I367" s="125">
        <v>0</v>
      </c>
      <c r="J367" s="125">
        <v>0</v>
      </c>
      <c r="K367" s="125">
        <v>0</v>
      </c>
      <c r="L367" s="125">
        <v>0</v>
      </c>
      <c r="M367" s="125">
        <v>3904.96</v>
      </c>
      <c r="N367" s="125">
        <v>0</v>
      </c>
      <c r="O367" s="125">
        <v>0</v>
      </c>
      <c r="P367" s="125">
        <v>0</v>
      </c>
      <c r="Q367" s="125">
        <v>0</v>
      </c>
      <c r="R367" s="125">
        <v>3904.96</v>
      </c>
      <c r="S367" s="125">
        <v>22500</v>
      </c>
      <c r="T367" s="125"/>
    </row>
    <row r="368" spans="1:20" ht="15" customHeight="1" x14ac:dyDescent="0.25">
      <c r="A368" s="125" t="s">
        <v>1401</v>
      </c>
      <c r="B368" s="125" t="s">
        <v>791</v>
      </c>
      <c r="C368" s="125" t="s">
        <v>792</v>
      </c>
      <c r="D368" s="125" t="s">
        <v>656</v>
      </c>
      <c r="E368" s="125" t="s">
        <v>793</v>
      </c>
      <c r="F368" s="125" t="s">
        <v>690</v>
      </c>
      <c r="G368" s="125" t="s">
        <v>1418</v>
      </c>
      <c r="H368" s="125">
        <v>18595.04</v>
      </c>
      <c r="I368" s="125">
        <v>0</v>
      </c>
      <c r="J368" s="125">
        <v>0</v>
      </c>
      <c r="K368" s="125">
        <v>0</v>
      </c>
      <c r="L368" s="125">
        <v>0</v>
      </c>
      <c r="M368" s="125">
        <v>3904.96</v>
      </c>
      <c r="N368" s="125">
        <v>0</v>
      </c>
      <c r="O368" s="125">
        <v>0</v>
      </c>
      <c r="P368" s="125">
        <v>0</v>
      </c>
      <c r="Q368" s="125">
        <v>0</v>
      </c>
      <c r="R368" s="125">
        <v>3904.96</v>
      </c>
      <c r="S368" s="125">
        <v>22500</v>
      </c>
      <c r="T368" s="125"/>
    </row>
    <row r="369" spans="1:20" ht="15" customHeight="1" x14ac:dyDescent="0.25">
      <c r="A369" s="125" t="s">
        <v>1401</v>
      </c>
      <c r="B369" s="125" t="s">
        <v>791</v>
      </c>
      <c r="C369" s="125" t="s">
        <v>792</v>
      </c>
      <c r="D369" s="125" t="s">
        <v>656</v>
      </c>
      <c r="E369" s="125" t="s">
        <v>793</v>
      </c>
      <c r="F369" s="125" t="s">
        <v>690</v>
      </c>
      <c r="G369" s="125" t="s">
        <v>1419</v>
      </c>
      <c r="H369" s="125">
        <v>33884.300000000003</v>
      </c>
      <c r="I369" s="125">
        <v>0</v>
      </c>
      <c r="J369" s="125">
        <v>0</v>
      </c>
      <c r="K369" s="125">
        <v>0</v>
      </c>
      <c r="L369" s="125">
        <v>0</v>
      </c>
      <c r="M369" s="125">
        <v>7115.7</v>
      </c>
      <c r="N369" s="125">
        <v>0</v>
      </c>
      <c r="O369" s="125">
        <v>0</v>
      </c>
      <c r="P369" s="125">
        <v>0</v>
      </c>
      <c r="Q369" s="125">
        <v>0</v>
      </c>
      <c r="R369" s="125">
        <v>7115.7</v>
      </c>
      <c r="S369" s="125">
        <v>41000</v>
      </c>
      <c r="T369" s="125"/>
    </row>
    <row r="370" spans="1:20" ht="15" customHeight="1" x14ac:dyDescent="0.25">
      <c r="A370" s="125" t="s">
        <v>1420</v>
      </c>
      <c r="B370" s="125" t="s">
        <v>791</v>
      </c>
      <c r="C370" s="125" t="s">
        <v>792</v>
      </c>
      <c r="D370" s="125" t="s">
        <v>656</v>
      </c>
      <c r="E370" s="125" t="s">
        <v>793</v>
      </c>
      <c r="F370" s="125" t="s">
        <v>690</v>
      </c>
      <c r="G370" s="125" t="s">
        <v>1421</v>
      </c>
      <c r="H370" s="125">
        <v>104132.23</v>
      </c>
      <c r="I370" s="125">
        <v>0</v>
      </c>
      <c r="J370" s="125">
        <v>0</v>
      </c>
      <c r="K370" s="125">
        <v>0</v>
      </c>
      <c r="L370" s="125">
        <v>0</v>
      </c>
      <c r="M370" s="125">
        <v>21867.77</v>
      </c>
      <c r="N370" s="125">
        <v>0</v>
      </c>
      <c r="O370" s="125">
        <v>0</v>
      </c>
      <c r="P370" s="125">
        <v>0</v>
      </c>
      <c r="Q370" s="125">
        <v>0</v>
      </c>
      <c r="R370" s="125">
        <v>21867.77</v>
      </c>
      <c r="S370" s="125">
        <v>126000</v>
      </c>
      <c r="T370" s="125"/>
    </row>
    <row r="371" spans="1:20" ht="15" customHeight="1" x14ac:dyDescent="0.25">
      <c r="A371" s="125" t="s">
        <v>1420</v>
      </c>
      <c r="B371" s="125" t="s">
        <v>206</v>
      </c>
      <c r="C371" s="125" t="s">
        <v>805</v>
      </c>
      <c r="D371" s="125" t="s">
        <v>656</v>
      </c>
      <c r="E371" s="125" t="s">
        <v>793</v>
      </c>
      <c r="F371" s="125" t="s">
        <v>650</v>
      </c>
      <c r="G371" s="125" t="s">
        <v>1422</v>
      </c>
      <c r="H371" s="125">
        <v>-88638.43</v>
      </c>
      <c r="I371" s="125">
        <v>0</v>
      </c>
      <c r="J371" s="125">
        <v>0</v>
      </c>
      <c r="K371" s="125">
        <v>0</v>
      </c>
      <c r="L371" s="125">
        <v>0</v>
      </c>
      <c r="M371" s="125">
        <v>-18614.07</v>
      </c>
      <c r="N371" s="125">
        <v>0</v>
      </c>
      <c r="O371" s="125">
        <v>0</v>
      </c>
      <c r="P371" s="125">
        <v>0</v>
      </c>
      <c r="Q371" s="125">
        <v>0</v>
      </c>
      <c r="R371" s="125">
        <v>-18614.07</v>
      </c>
      <c r="S371" s="125">
        <v>-107252.5</v>
      </c>
      <c r="T371" s="125"/>
    </row>
    <row r="372" spans="1:20" ht="15" customHeight="1" x14ac:dyDescent="0.25">
      <c r="A372" s="125" t="s">
        <v>1420</v>
      </c>
      <c r="B372" s="125" t="s">
        <v>206</v>
      </c>
      <c r="C372" s="125" t="s">
        <v>805</v>
      </c>
      <c r="D372" s="125" t="s">
        <v>656</v>
      </c>
      <c r="E372" s="125" t="s">
        <v>793</v>
      </c>
      <c r="F372" s="125" t="s">
        <v>650</v>
      </c>
      <c r="G372" s="125" t="s">
        <v>1423</v>
      </c>
      <c r="H372" s="125">
        <v>-12734.83</v>
      </c>
      <c r="I372" s="125">
        <v>0</v>
      </c>
      <c r="J372" s="125">
        <v>0</v>
      </c>
      <c r="K372" s="125">
        <v>0</v>
      </c>
      <c r="L372" s="125">
        <v>0</v>
      </c>
      <c r="M372" s="125">
        <v>-2674.31</v>
      </c>
      <c r="N372" s="125">
        <v>0</v>
      </c>
      <c r="O372" s="125">
        <v>0</v>
      </c>
      <c r="P372" s="125">
        <v>0</v>
      </c>
      <c r="Q372" s="125">
        <v>0</v>
      </c>
      <c r="R372" s="125">
        <v>-2674.31</v>
      </c>
      <c r="S372" s="125">
        <v>-15409.14</v>
      </c>
      <c r="T372" s="125"/>
    </row>
    <row r="373" spans="1:20" ht="15" customHeight="1" x14ac:dyDescent="0.25">
      <c r="A373" s="125" t="s">
        <v>1420</v>
      </c>
      <c r="B373" s="125" t="s">
        <v>206</v>
      </c>
      <c r="C373" s="125" t="s">
        <v>805</v>
      </c>
      <c r="D373" s="125" t="s">
        <v>656</v>
      </c>
      <c r="E373" s="125" t="s">
        <v>793</v>
      </c>
      <c r="F373" s="125" t="s">
        <v>650</v>
      </c>
      <c r="G373" s="125" t="s">
        <v>1424</v>
      </c>
      <c r="H373" s="125">
        <v>-80896.350000000006</v>
      </c>
      <c r="I373" s="125">
        <v>0</v>
      </c>
      <c r="J373" s="125">
        <v>0</v>
      </c>
      <c r="K373" s="125">
        <v>0</v>
      </c>
      <c r="L373" s="125">
        <v>0</v>
      </c>
      <c r="M373" s="125">
        <v>-16988.23</v>
      </c>
      <c r="N373" s="125">
        <v>0</v>
      </c>
      <c r="O373" s="125">
        <v>0</v>
      </c>
      <c r="P373" s="125">
        <v>0</v>
      </c>
      <c r="Q373" s="125">
        <v>0</v>
      </c>
      <c r="R373" s="125">
        <v>-16988.23</v>
      </c>
      <c r="S373" s="125">
        <v>-97884.58</v>
      </c>
      <c r="T373" s="125"/>
    </row>
    <row r="374" spans="1:20" ht="15" customHeight="1" x14ac:dyDescent="0.25">
      <c r="A374" s="125" t="s">
        <v>1420</v>
      </c>
      <c r="B374" s="125" t="s">
        <v>791</v>
      </c>
      <c r="C374" s="125" t="s">
        <v>792</v>
      </c>
      <c r="D374" s="125" t="s">
        <v>656</v>
      </c>
      <c r="E374" s="125" t="s">
        <v>793</v>
      </c>
      <c r="F374" s="125" t="s">
        <v>690</v>
      </c>
      <c r="G374" s="125" t="s">
        <v>1425</v>
      </c>
      <c r="H374" s="125">
        <v>22314.05</v>
      </c>
      <c r="I374" s="125">
        <v>0</v>
      </c>
      <c r="J374" s="125">
        <v>0</v>
      </c>
      <c r="K374" s="125">
        <v>0</v>
      </c>
      <c r="L374" s="125">
        <v>0</v>
      </c>
      <c r="M374" s="125">
        <v>4685.95</v>
      </c>
      <c r="N374" s="125">
        <v>0</v>
      </c>
      <c r="O374" s="125">
        <v>0</v>
      </c>
      <c r="P374" s="125">
        <v>0</v>
      </c>
      <c r="Q374" s="125">
        <v>0</v>
      </c>
      <c r="R374" s="125">
        <v>4685.95</v>
      </c>
      <c r="S374" s="125">
        <v>27000</v>
      </c>
      <c r="T374" s="125"/>
    </row>
    <row r="375" spans="1:20" ht="15" customHeight="1" x14ac:dyDescent="0.25">
      <c r="A375" s="125" t="s">
        <v>1420</v>
      </c>
      <c r="B375" s="125" t="s">
        <v>791</v>
      </c>
      <c r="C375" s="125" t="s">
        <v>792</v>
      </c>
      <c r="D375" s="125" t="s">
        <v>656</v>
      </c>
      <c r="E375" s="125" t="s">
        <v>793</v>
      </c>
      <c r="F375" s="125" t="s">
        <v>690</v>
      </c>
      <c r="G375" s="125" t="s">
        <v>1426</v>
      </c>
      <c r="H375" s="125">
        <v>24793.39</v>
      </c>
      <c r="I375" s="125">
        <v>0</v>
      </c>
      <c r="J375" s="125">
        <v>0</v>
      </c>
      <c r="K375" s="125">
        <v>0</v>
      </c>
      <c r="L375" s="125">
        <v>0</v>
      </c>
      <c r="M375" s="125">
        <v>5206.6099999999997</v>
      </c>
      <c r="N375" s="125">
        <v>0</v>
      </c>
      <c r="O375" s="125">
        <v>0</v>
      </c>
      <c r="P375" s="125">
        <v>0</v>
      </c>
      <c r="Q375" s="125">
        <v>0</v>
      </c>
      <c r="R375" s="125">
        <v>5206.6099999999997</v>
      </c>
      <c r="S375" s="125">
        <v>30000</v>
      </c>
      <c r="T375" s="125"/>
    </row>
    <row r="376" spans="1:20" ht="15" customHeight="1" x14ac:dyDescent="0.25">
      <c r="A376" s="125" t="s">
        <v>1420</v>
      </c>
      <c r="B376" s="125" t="s">
        <v>791</v>
      </c>
      <c r="C376" s="125" t="s">
        <v>792</v>
      </c>
      <c r="D376" s="125" t="s">
        <v>656</v>
      </c>
      <c r="E376" s="125" t="s">
        <v>793</v>
      </c>
      <c r="F376" s="125" t="s">
        <v>690</v>
      </c>
      <c r="G376" s="125" t="s">
        <v>1427</v>
      </c>
      <c r="H376" s="125">
        <v>44628.1</v>
      </c>
      <c r="I376" s="125">
        <v>0</v>
      </c>
      <c r="J376" s="125">
        <v>0</v>
      </c>
      <c r="K376" s="125">
        <v>0</v>
      </c>
      <c r="L376" s="125">
        <v>0</v>
      </c>
      <c r="M376" s="125">
        <v>9371.9</v>
      </c>
      <c r="N376" s="125">
        <v>0</v>
      </c>
      <c r="O376" s="125">
        <v>0</v>
      </c>
      <c r="P376" s="125">
        <v>0</v>
      </c>
      <c r="Q376" s="125">
        <v>0</v>
      </c>
      <c r="R376" s="125">
        <v>9371.9</v>
      </c>
      <c r="S376" s="125">
        <v>54000</v>
      </c>
      <c r="T376" s="125"/>
    </row>
    <row r="377" spans="1:20" ht="15" customHeight="1" x14ac:dyDescent="0.25">
      <c r="A377" s="125" t="s">
        <v>1420</v>
      </c>
      <c r="B377" s="125" t="s">
        <v>791</v>
      </c>
      <c r="C377" s="125" t="s">
        <v>792</v>
      </c>
      <c r="D377" s="125" t="s">
        <v>656</v>
      </c>
      <c r="E377" s="125" t="s">
        <v>793</v>
      </c>
      <c r="F377" s="125" t="s">
        <v>690</v>
      </c>
      <c r="G377" s="125" t="s">
        <v>1428</v>
      </c>
      <c r="H377" s="125">
        <v>37190.080000000002</v>
      </c>
      <c r="I377" s="125">
        <v>0</v>
      </c>
      <c r="J377" s="125">
        <v>0</v>
      </c>
      <c r="K377" s="125">
        <v>0</v>
      </c>
      <c r="L377" s="125">
        <v>0</v>
      </c>
      <c r="M377" s="125">
        <v>7809.92</v>
      </c>
      <c r="N377" s="125">
        <v>0</v>
      </c>
      <c r="O377" s="125">
        <v>0</v>
      </c>
      <c r="P377" s="125">
        <v>0</v>
      </c>
      <c r="Q377" s="125">
        <v>0</v>
      </c>
      <c r="R377" s="125">
        <v>7809.92</v>
      </c>
      <c r="S377" s="125">
        <v>45000</v>
      </c>
      <c r="T377" s="125"/>
    </row>
    <row r="378" spans="1:20" ht="15" customHeight="1" x14ac:dyDescent="0.25">
      <c r="A378" s="125" t="s">
        <v>1420</v>
      </c>
      <c r="B378" s="125" t="s">
        <v>894</v>
      </c>
      <c r="C378" s="125" t="s">
        <v>895</v>
      </c>
      <c r="D378" s="125" t="s">
        <v>656</v>
      </c>
      <c r="E378" s="125" t="s">
        <v>793</v>
      </c>
      <c r="F378" s="125" t="s">
        <v>690</v>
      </c>
      <c r="G378" s="125" t="s">
        <v>1429</v>
      </c>
      <c r="H378" s="125">
        <v>18181.82</v>
      </c>
      <c r="I378" s="125">
        <v>0</v>
      </c>
      <c r="J378" s="125">
        <v>0</v>
      </c>
      <c r="K378" s="125">
        <v>0</v>
      </c>
      <c r="L378" s="125">
        <v>0</v>
      </c>
      <c r="M378" s="125">
        <v>3818.18</v>
      </c>
      <c r="N378" s="125">
        <v>0</v>
      </c>
      <c r="O378" s="125">
        <v>0</v>
      </c>
      <c r="P378" s="125">
        <v>0</v>
      </c>
      <c r="Q378" s="125">
        <v>0</v>
      </c>
      <c r="R378" s="125">
        <v>3818.18</v>
      </c>
      <c r="S378" s="125">
        <v>22000</v>
      </c>
      <c r="T378" s="125"/>
    </row>
    <row r="379" spans="1:20" ht="15" customHeight="1" x14ac:dyDescent="0.25">
      <c r="A379" s="125" t="s">
        <v>1420</v>
      </c>
      <c r="B379" s="125" t="s">
        <v>791</v>
      </c>
      <c r="C379" s="125" t="s">
        <v>792</v>
      </c>
      <c r="D379" s="125" t="s">
        <v>656</v>
      </c>
      <c r="E379" s="125" t="s">
        <v>793</v>
      </c>
      <c r="F379" s="125" t="s">
        <v>690</v>
      </c>
      <c r="G379" s="125" t="s">
        <v>1430</v>
      </c>
      <c r="H379" s="125">
        <v>13223.14</v>
      </c>
      <c r="I379" s="125">
        <v>0</v>
      </c>
      <c r="J379" s="125">
        <v>0</v>
      </c>
      <c r="K379" s="125">
        <v>0</v>
      </c>
      <c r="L379" s="125">
        <v>0</v>
      </c>
      <c r="M379" s="125">
        <v>2776.86</v>
      </c>
      <c r="N379" s="125">
        <v>0</v>
      </c>
      <c r="O379" s="125">
        <v>0</v>
      </c>
      <c r="P379" s="125">
        <v>0</v>
      </c>
      <c r="Q379" s="125">
        <v>0</v>
      </c>
      <c r="R379" s="125">
        <v>2776.86</v>
      </c>
      <c r="S379" s="125">
        <v>16000</v>
      </c>
      <c r="T379" s="125"/>
    </row>
    <row r="380" spans="1:20" ht="15" customHeight="1" x14ac:dyDescent="0.25">
      <c r="A380" s="125" t="s">
        <v>1420</v>
      </c>
      <c r="B380" s="125" t="s">
        <v>791</v>
      </c>
      <c r="C380" s="125" t="s">
        <v>792</v>
      </c>
      <c r="D380" s="125" t="s">
        <v>656</v>
      </c>
      <c r="E380" s="125" t="s">
        <v>793</v>
      </c>
      <c r="F380" s="125" t="s">
        <v>690</v>
      </c>
      <c r="G380" s="125" t="s">
        <v>1431</v>
      </c>
      <c r="H380" s="125">
        <v>28925.62</v>
      </c>
      <c r="I380" s="125">
        <v>0</v>
      </c>
      <c r="J380" s="125">
        <v>0</v>
      </c>
      <c r="K380" s="125">
        <v>0</v>
      </c>
      <c r="L380" s="125">
        <v>0</v>
      </c>
      <c r="M380" s="125">
        <v>6074.38</v>
      </c>
      <c r="N380" s="125">
        <v>0</v>
      </c>
      <c r="O380" s="125">
        <v>0</v>
      </c>
      <c r="P380" s="125">
        <v>0</v>
      </c>
      <c r="Q380" s="125">
        <v>0</v>
      </c>
      <c r="R380" s="125">
        <v>6074.38</v>
      </c>
      <c r="S380" s="125">
        <v>35000</v>
      </c>
      <c r="T380" s="125"/>
    </row>
    <row r="381" spans="1:20" ht="15" customHeight="1" x14ac:dyDescent="0.25">
      <c r="A381" s="125" t="s">
        <v>1420</v>
      </c>
      <c r="B381" s="125" t="s">
        <v>791</v>
      </c>
      <c r="C381" s="125" t="s">
        <v>792</v>
      </c>
      <c r="D381" s="125" t="s">
        <v>656</v>
      </c>
      <c r="E381" s="125" t="s">
        <v>793</v>
      </c>
      <c r="F381" s="125" t="s">
        <v>690</v>
      </c>
      <c r="G381" s="125" t="s">
        <v>1432</v>
      </c>
      <c r="H381" s="125">
        <v>28925.62</v>
      </c>
      <c r="I381" s="125">
        <v>0</v>
      </c>
      <c r="J381" s="125">
        <v>0</v>
      </c>
      <c r="K381" s="125">
        <v>0</v>
      </c>
      <c r="L381" s="125">
        <v>0</v>
      </c>
      <c r="M381" s="125">
        <v>6074.38</v>
      </c>
      <c r="N381" s="125">
        <v>0</v>
      </c>
      <c r="O381" s="125">
        <v>0</v>
      </c>
      <c r="P381" s="125">
        <v>0</v>
      </c>
      <c r="Q381" s="125">
        <v>0</v>
      </c>
      <c r="R381" s="125">
        <v>6074.38</v>
      </c>
      <c r="S381" s="125">
        <v>35000</v>
      </c>
      <c r="T381" s="125"/>
    </row>
    <row r="382" spans="1:20" ht="15" customHeight="1" x14ac:dyDescent="0.25">
      <c r="A382" s="125" t="s">
        <v>1420</v>
      </c>
      <c r="B382" s="125" t="s">
        <v>791</v>
      </c>
      <c r="C382" s="125" t="s">
        <v>792</v>
      </c>
      <c r="D382" s="125" t="s">
        <v>656</v>
      </c>
      <c r="E382" s="125" t="s">
        <v>793</v>
      </c>
      <c r="F382" s="125" t="s">
        <v>690</v>
      </c>
      <c r="G382" s="125" t="s">
        <v>1433</v>
      </c>
      <c r="H382" s="125">
        <v>14049.59</v>
      </c>
      <c r="I382" s="125">
        <v>0</v>
      </c>
      <c r="J382" s="125">
        <v>0</v>
      </c>
      <c r="K382" s="125">
        <v>0</v>
      </c>
      <c r="L382" s="125">
        <v>0</v>
      </c>
      <c r="M382" s="125">
        <v>2950.41</v>
      </c>
      <c r="N382" s="125">
        <v>0</v>
      </c>
      <c r="O382" s="125">
        <v>0</v>
      </c>
      <c r="P382" s="125">
        <v>0</v>
      </c>
      <c r="Q382" s="125">
        <v>0</v>
      </c>
      <c r="R382" s="125">
        <v>2950.41</v>
      </c>
      <c r="S382" s="125">
        <v>17000</v>
      </c>
      <c r="T382" s="125"/>
    </row>
    <row r="383" spans="1:20" ht="15" customHeight="1" x14ac:dyDescent="0.25">
      <c r="A383" s="125" t="s">
        <v>1420</v>
      </c>
      <c r="B383" s="125" t="s">
        <v>791</v>
      </c>
      <c r="C383" s="125" t="s">
        <v>792</v>
      </c>
      <c r="D383" s="125" t="s">
        <v>656</v>
      </c>
      <c r="E383" s="125" t="s">
        <v>793</v>
      </c>
      <c r="F383" s="125" t="s">
        <v>690</v>
      </c>
      <c r="G383" s="125" t="s">
        <v>1434</v>
      </c>
      <c r="H383" s="125">
        <v>27520.66</v>
      </c>
      <c r="I383" s="125">
        <v>0</v>
      </c>
      <c r="J383" s="125">
        <v>0</v>
      </c>
      <c r="K383" s="125">
        <v>0</v>
      </c>
      <c r="L383" s="125">
        <v>0</v>
      </c>
      <c r="M383" s="125">
        <v>5779.34</v>
      </c>
      <c r="N383" s="125">
        <v>0</v>
      </c>
      <c r="O383" s="125">
        <v>0</v>
      </c>
      <c r="P383" s="125">
        <v>0</v>
      </c>
      <c r="Q383" s="125">
        <v>0</v>
      </c>
      <c r="R383" s="125">
        <v>5779.34</v>
      </c>
      <c r="S383" s="125">
        <v>33300</v>
      </c>
      <c r="T383" s="125"/>
    </row>
    <row r="384" spans="1:20" ht="15" customHeight="1" x14ac:dyDescent="0.25">
      <c r="A384" s="125" t="s">
        <v>1420</v>
      </c>
      <c r="B384" s="125" t="s">
        <v>791</v>
      </c>
      <c r="C384" s="125" t="s">
        <v>792</v>
      </c>
      <c r="D384" s="125" t="s">
        <v>656</v>
      </c>
      <c r="E384" s="125" t="s">
        <v>793</v>
      </c>
      <c r="F384" s="125" t="s">
        <v>690</v>
      </c>
      <c r="G384" s="125" t="s">
        <v>1435</v>
      </c>
      <c r="H384" s="125">
        <v>28925.62</v>
      </c>
      <c r="I384" s="125">
        <v>0</v>
      </c>
      <c r="J384" s="125">
        <v>0</v>
      </c>
      <c r="K384" s="125">
        <v>0</v>
      </c>
      <c r="L384" s="125">
        <v>0</v>
      </c>
      <c r="M384" s="125">
        <v>6074.38</v>
      </c>
      <c r="N384" s="125">
        <v>0</v>
      </c>
      <c r="O384" s="125">
        <v>0</v>
      </c>
      <c r="P384" s="125">
        <v>0</v>
      </c>
      <c r="Q384" s="125">
        <v>0</v>
      </c>
      <c r="R384" s="125">
        <v>6074.38</v>
      </c>
      <c r="S384" s="125">
        <v>35000</v>
      </c>
      <c r="T384" s="125"/>
    </row>
    <row r="385" spans="1:20" ht="15" customHeight="1" x14ac:dyDescent="0.25">
      <c r="A385" s="125" t="s">
        <v>1420</v>
      </c>
      <c r="B385" s="125" t="s">
        <v>1436</v>
      </c>
      <c r="C385" s="125" t="s">
        <v>1437</v>
      </c>
      <c r="D385" s="125" t="s">
        <v>656</v>
      </c>
      <c r="E385" s="125" t="s">
        <v>793</v>
      </c>
      <c r="F385" s="125" t="s">
        <v>690</v>
      </c>
      <c r="G385" s="125" t="s">
        <v>1438</v>
      </c>
      <c r="H385" s="125">
        <v>25619.83</v>
      </c>
      <c r="I385" s="125">
        <v>0</v>
      </c>
      <c r="J385" s="125">
        <v>0</v>
      </c>
      <c r="K385" s="125">
        <v>0</v>
      </c>
      <c r="L385" s="125">
        <v>0</v>
      </c>
      <c r="M385" s="125">
        <v>5380.17</v>
      </c>
      <c r="N385" s="125">
        <v>0</v>
      </c>
      <c r="O385" s="125">
        <v>0</v>
      </c>
      <c r="P385" s="125">
        <v>0</v>
      </c>
      <c r="Q385" s="125">
        <v>0</v>
      </c>
      <c r="R385" s="125">
        <v>5380.17</v>
      </c>
      <c r="S385" s="125">
        <v>31000</v>
      </c>
      <c r="T385" s="125"/>
    </row>
    <row r="386" spans="1:20" ht="15" customHeight="1" x14ac:dyDescent="0.25">
      <c r="A386" s="125" t="s">
        <v>1420</v>
      </c>
      <c r="B386" s="125" t="s">
        <v>864</v>
      </c>
      <c r="C386" s="125" t="s">
        <v>865</v>
      </c>
      <c r="D386" s="125" t="s">
        <v>656</v>
      </c>
      <c r="E386" s="125" t="s">
        <v>793</v>
      </c>
      <c r="F386" s="125" t="s">
        <v>804</v>
      </c>
      <c r="G386" s="125" t="s">
        <v>1439</v>
      </c>
      <c r="H386" s="125">
        <v>-33057.85</v>
      </c>
      <c r="I386" s="125">
        <v>0</v>
      </c>
      <c r="J386" s="125">
        <v>0</v>
      </c>
      <c r="K386" s="125">
        <v>0</v>
      </c>
      <c r="L386" s="125">
        <v>0</v>
      </c>
      <c r="M386" s="125">
        <v>-6942.15</v>
      </c>
      <c r="N386" s="125">
        <v>0</v>
      </c>
      <c r="O386" s="125">
        <v>0</v>
      </c>
      <c r="P386" s="125">
        <v>0</v>
      </c>
      <c r="Q386" s="125">
        <v>0</v>
      </c>
      <c r="R386" s="125">
        <v>-6942.15</v>
      </c>
      <c r="S386" s="125">
        <v>-40000</v>
      </c>
      <c r="T386" s="125"/>
    </row>
    <row r="387" spans="1:20" ht="15" customHeight="1" x14ac:dyDescent="0.25">
      <c r="A387" s="125" t="s">
        <v>1440</v>
      </c>
      <c r="B387" s="125" t="s">
        <v>791</v>
      </c>
      <c r="C387" s="125" t="s">
        <v>792</v>
      </c>
      <c r="D387" s="125" t="s">
        <v>656</v>
      </c>
      <c r="E387" s="125" t="s">
        <v>793</v>
      </c>
      <c r="F387" s="125" t="s">
        <v>690</v>
      </c>
      <c r="G387" s="125" t="s">
        <v>1441</v>
      </c>
      <c r="H387" s="125">
        <v>5371.9</v>
      </c>
      <c r="I387" s="125">
        <v>0</v>
      </c>
      <c r="J387" s="125">
        <v>0</v>
      </c>
      <c r="K387" s="125">
        <v>0</v>
      </c>
      <c r="L387" s="125">
        <v>0</v>
      </c>
      <c r="M387" s="125">
        <v>1128.0999999999999</v>
      </c>
      <c r="N387" s="125">
        <v>0</v>
      </c>
      <c r="O387" s="125">
        <v>0</v>
      </c>
      <c r="P387" s="125">
        <v>0</v>
      </c>
      <c r="Q387" s="125">
        <v>0</v>
      </c>
      <c r="R387" s="125">
        <v>1128.0999999999999</v>
      </c>
      <c r="S387" s="125">
        <v>6500</v>
      </c>
      <c r="T387" s="125"/>
    </row>
    <row r="388" spans="1:20" ht="15" customHeight="1" x14ac:dyDescent="0.25">
      <c r="A388" s="125" t="s">
        <v>1440</v>
      </c>
      <c r="B388" s="125" t="s">
        <v>791</v>
      </c>
      <c r="C388" s="125" t="s">
        <v>792</v>
      </c>
      <c r="D388" s="125" t="s">
        <v>656</v>
      </c>
      <c r="E388" s="125" t="s">
        <v>793</v>
      </c>
      <c r="F388" s="125" t="s">
        <v>690</v>
      </c>
      <c r="G388" s="125" t="s">
        <v>1442</v>
      </c>
      <c r="H388" s="125">
        <v>20661.16</v>
      </c>
      <c r="I388" s="125">
        <v>0</v>
      </c>
      <c r="J388" s="125">
        <v>0</v>
      </c>
      <c r="K388" s="125">
        <v>0</v>
      </c>
      <c r="L388" s="125">
        <v>0</v>
      </c>
      <c r="M388" s="125">
        <v>4338.84</v>
      </c>
      <c r="N388" s="125">
        <v>0</v>
      </c>
      <c r="O388" s="125">
        <v>0</v>
      </c>
      <c r="P388" s="125">
        <v>0</v>
      </c>
      <c r="Q388" s="125">
        <v>0</v>
      </c>
      <c r="R388" s="125">
        <v>4338.84</v>
      </c>
      <c r="S388" s="125">
        <v>25000</v>
      </c>
      <c r="T388" s="125"/>
    </row>
    <row r="389" spans="1:20" ht="15" customHeight="1" x14ac:dyDescent="0.25">
      <c r="A389" s="125" t="s">
        <v>1440</v>
      </c>
      <c r="B389" s="125" t="s">
        <v>791</v>
      </c>
      <c r="C389" s="125" t="s">
        <v>792</v>
      </c>
      <c r="D389" s="125" t="s">
        <v>656</v>
      </c>
      <c r="E389" s="125" t="s">
        <v>793</v>
      </c>
      <c r="F389" s="125" t="s">
        <v>690</v>
      </c>
      <c r="G389" s="125" t="s">
        <v>1443</v>
      </c>
      <c r="H389" s="125">
        <v>27272.73</v>
      </c>
      <c r="I389" s="125">
        <v>0</v>
      </c>
      <c r="J389" s="125">
        <v>0</v>
      </c>
      <c r="K389" s="125">
        <v>0</v>
      </c>
      <c r="L389" s="125">
        <v>0</v>
      </c>
      <c r="M389" s="125">
        <v>5727.27</v>
      </c>
      <c r="N389" s="125">
        <v>0</v>
      </c>
      <c r="O389" s="125">
        <v>0</v>
      </c>
      <c r="P389" s="125">
        <v>0</v>
      </c>
      <c r="Q389" s="125">
        <v>0</v>
      </c>
      <c r="R389" s="125">
        <v>5727.27</v>
      </c>
      <c r="S389" s="125">
        <v>33000</v>
      </c>
      <c r="T389" s="125"/>
    </row>
    <row r="390" spans="1:20" ht="15" customHeight="1" x14ac:dyDescent="0.25">
      <c r="A390" s="125" t="s">
        <v>1440</v>
      </c>
      <c r="B390" s="125" t="s">
        <v>791</v>
      </c>
      <c r="C390" s="125" t="s">
        <v>792</v>
      </c>
      <c r="D390" s="125" t="s">
        <v>656</v>
      </c>
      <c r="E390" s="125" t="s">
        <v>793</v>
      </c>
      <c r="F390" s="125" t="s">
        <v>690</v>
      </c>
      <c r="G390" s="125" t="s">
        <v>1444</v>
      </c>
      <c r="H390" s="125">
        <v>37190.080000000002</v>
      </c>
      <c r="I390" s="125">
        <v>0</v>
      </c>
      <c r="J390" s="125">
        <v>0</v>
      </c>
      <c r="K390" s="125">
        <v>0</v>
      </c>
      <c r="L390" s="125">
        <v>0</v>
      </c>
      <c r="M390" s="125">
        <v>7809.92</v>
      </c>
      <c r="N390" s="125">
        <v>0</v>
      </c>
      <c r="O390" s="125">
        <v>0</v>
      </c>
      <c r="P390" s="125">
        <v>0</v>
      </c>
      <c r="Q390" s="125">
        <v>0</v>
      </c>
      <c r="R390" s="125">
        <v>7809.92</v>
      </c>
      <c r="S390" s="125">
        <v>45000</v>
      </c>
      <c r="T390" s="125"/>
    </row>
    <row r="391" spans="1:20" ht="15" customHeight="1" x14ac:dyDescent="0.25">
      <c r="A391" s="125" t="s">
        <v>1440</v>
      </c>
      <c r="B391" s="125" t="s">
        <v>791</v>
      </c>
      <c r="C391" s="125" t="s">
        <v>792</v>
      </c>
      <c r="D391" s="125" t="s">
        <v>656</v>
      </c>
      <c r="E391" s="125" t="s">
        <v>793</v>
      </c>
      <c r="F391" s="125" t="s">
        <v>690</v>
      </c>
      <c r="G391" s="125" t="s">
        <v>1445</v>
      </c>
      <c r="H391" s="125">
        <v>12396.69</v>
      </c>
      <c r="I391" s="125">
        <v>0</v>
      </c>
      <c r="J391" s="125">
        <v>0</v>
      </c>
      <c r="K391" s="125">
        <v>0</v>
      </c>
      <c r="L391" s="125">
        <v>0</v>
      </c>
      <c r="M391" s="125">
        <v>2603.31</v>
      </c>
      <c r="N391" s="125">
        <v>0</v>
      </c>
      <c r="O391" s="125">
        <v>0</v>
      </c>
      <c r="P391" s="125">
        <v>0</v>
      </c>
      <c r="Q391" s="125">
        <v>0</v>
      </c>
      <c r="R391" s="125">
        <v>2603.31</v>
      </c>
      <c r="S391" s="125">
        <v>15000</v>
      </c>
      <c r="T391" s="125"/>
    </row>
    <row r="392" spans="1:20" ht="15" customHeight="1" x14ac:dyDescent="0.25">
      <c r="A392" s="125" t="s">
        <v>1440</v>
      </c>
      <c r="B392" s="125" t="s">
        <v>791</v>
      </c>
      <c r="C392" s="125" t="s">
        <v>792</v>
      </c>
      <c r="D392" s="125" t="s">
        <v>656</v>
      </c>
      <c r="E392" s="125" t="s">
        <v>793</v>
      </c>
      <c r="F392" s="125" t="s">
        <v>690</v>
      </c>
      <c r="G392" s="125" t="s">
        <v>1446</v>
      </c>
      <c r="H392" s="125">
        <v>26033.06</v>
      </c>
      <c r="I392" s="125">
        <v>0</v>
      </c>
      <c r="J392" s="125">
        <v>0</v>
      </c>
      <c r="K392" s="125">
        <v>0</v>
      </c>
      <c r="L392" s="125">
        <v>0</v>
      </c>
      <c r="M392" s="125">
        <v>5466.94</v>
      </c>
      <c r="N392" s="125">
        <v>0</v>
      </c>
      <c r="O392" s="125">
        <v>0</v>
      </c>
      <c r="P392" s="125">
        <v>0</v>
      </c>
      <c r="Q392" s="125">
        <v>0</v>
      </c>
      <c r="R392" s="125">
        <v>5466.94</v>
      </c>
      <c r="S392" s="125">
        <v>31500</v>
      </c>
      <c r="T392" s="125"/>
    </row>
    <row r="393" spans="1:20" ht="15" customHeight="1" x14ac:dyDescent="0.25">
      <c r="A393" s="125" t="s">
        <v>1440</v>
      </c>
      <c r="B393" s="125" t="s">
        <v>800</v>
      </c>
      <c r="C393" s="125" t="s">
        <v>801</v>
      </c>
      <c r="D393" s="125" t="s">
        <v>656</v>
      </c>
      <c r="E393" s="125" t="s">
        <v>793</v>
      </c>
      <c r="F393" s="125" t="s">
        <v>650</v>
      </c>
      <c r="G393" s="125" t="s">
        <v>1447</v>
      </c>
      <c r="H393" s="125">
        <v>3810461.4</v>
      </c>
      <c r="I393" s="125">
        <v>0</v>
      </c>
      <c r="J393" s="125">
        <v>0</v>
      </c>
      <c r="K393" s="125">
        <v>0</v>
      </c>
      <c r="L393" s="125">
        <v>0</v>
      </c>
      <c r="M393" s="125">
        <v>800196.9</v>
      </c>
      <c r="N393" s="125">
        <v>0</v>
      </c>
      <c r="O393" s="125">
        <v>0</v>
      </c>
      <c r="P393" s="125">
        <v>0</v>
      </c>
      <c r="Q393" s="125">
        <v>0</v>
      </c>
      <c r="R393" s="125">
        <v>800196.9</v>
      </c>
      <c r="S393" s="125">
        <v>4610658.3</v>
      </c>
      <c r="T393" s="125"/>
    </row>
    <row r="394" spans="1:20" ht="15" customHeight="1" x14ac:dyDescent="0.25">
      <c r="A394" s="125" t="s">
        <v>1440</v>
      </c>
      <c r="B394" s="125" t="s">
        <v>800</v>
      </c>
      <c r="C394" s="125" t="s">
        <v>801</v>
      </c>
      <c r="D394" s="125" t="s">
        <v>656</v>
      </c>
      <c r="E394" s="125" t="s">
        <v>793</v>
      </c>
      <c r="F394" s="125" t="s">
        <v>650</v>
      </c>
      <c r="G394" s="125" t="s">
        <v>1448</v>
      </c>
      <c r="H394" s="125">
        <v>-3810461.4</v>
      </c>
      <c r="I394" s="125">
        <v>0</v>
      </c>
      <c r="J394" s="125">
        <v>0</v>
      </c>
      <c r="K394" s="125">
        <v>0</v>
      </c>
      <c r="L394" s="125">
        <v>0</v>
      </c>
      <c r="M394" s="125">
        <v>-800196.9</v>
      </c>
      <c r="N394" s="125">
        <v>0</v>
      </c>
      <c r="O394" s="125">
        <v>0</v>
      </c>
      <c r="P394" s="125">
        <v>0</v>
      </c>
      <c r="Q394" s="125">
        <v>0</v>
      </c>
      <c r="R394" s="125">
        <v>-800196.9</v>
      </c>
      <c r="S394" s="125">
        <v>-4610658.3</v>
      </c>
      <c r="T394" s="125"/>
    </row>
    <row r="395" spans="1:20" ht="15" customHeight="1" x14ac:dyDescent="0.25">
      <c r="A395" s="125" t="s">
        <v>1440</v>
      </c>
      <c r="B395" s="125" t="s">
        <v>800</v>
      </c>
      <c r="C395" s="125" t="s">
        <v>801</v>
      </c>
      <c r="D395" s="125" t="s">
        <v>656</v>
      </c>
      <c r="E395" s="125" t="s">
        <v>793</v>
      </c>
      <c r="F395" s="125" t="s">
        <v>650</v>
      </c>
      <c r="G395" s="125" t="s">
        <v>1449</v>
      </c>
      <c r="H395" s="125">
        <v>2312231.4</v>
      </c>
      <c r="I395" s="125">
        <v>0</v>
      </c>
      <c r="J395" s="125">
        <v>0</v>
      </c>
      <c r="K395" s="125">
        <v>0</v>
      </c>
      <c r="L395" s="125">
        <v>0</v>
      </c>
      <c r="M395" s="125">
        <v>485568.6</v>
      </c>
      <c r="N395" s="125">
        <v>0</v>
      </c>
      <c r="O395" s="125">
        <v>0</v>
      </c>
      <c r="P395" s="125">
        <v>0</v>
      </c>
      <c r="Q395" s="125">
        <v>0</v>
      </c>
      <c r="R395" s="125">
        <v>485568.6</v>
      </c>
      <c r="S395" s="125">
        <v>2797800</v>
      </c>
      <c r="T395" s="125"/>
    </row>
    <row r="396" spans="1:20" ht="15" customHeight="1" x14ac:dyDescent="0.25">
      <c r="A396" s="125" t="s">
        <v>1440</v>
      </c>
      <c r="B396" s="125" t="s">
        <v>802</v>
      </c>
      <c r="C396" s="125" t="s">
        <v>803</v>
      </c>
      <c r="D396" s="125" t="s">
        <v>656</v>
      </c>
      <c r="E396" s="125" t="s">
        <v>793</v>
      </c>
      <c r="F396" s="125" t="s">
        <v>804</v>
      </c>
      <c r="G396" s="125" t="s">
        <v>1450</v>
      </c>
      <c r="H396" s="125">
        <v>805190.08</v>
      </c>
      <c r="I396" s="125">
        <v>0</v>
      </c>
      <c r="J396" s="125">
        <v>0</v>
      </c>
      <c r="K396" s="125">
        <v>0</v>
      </c>
      <c r="L396" s="125">
        <v>0</v>
      </c>
      <c r="M396" s="125">
        <v>169089.92000000001</v>
      </c>
      <c r="N396" s="125">
        <v>0</v>
      </c>
      <c r="O396" s="125">
        <v>0</v>
      </c>
      <c r="P396" s="125">
        <v>0</v>
      </c>
      <c r="Q396" s="125">
        <v>0</v>
      </c>
      <c r="R396" s="125">
        <v>169089.92000000001</v>
      </c>
      <c r="S396" s="125">
        <v>974280</v>
      </c>
      <c r="T396" s="125"/>
    </row>
    <row r="397" spans="1:20" ht="15" customHeight="1" x14ac:dyDescent="0.25">
      <c r="A397" s="125" t="s">
        <v>1440</v>
      </c>
      <c r="B397" s="125" t="s">
        <v>791</v>
      </c>
      <c r="C397" s="125" t="s">
        <v>792</v>
      </c>
      <c r="D397" s="125" t="s">
        <v>656</v>
      </c>
      <c r="E397" s="125" t="s">
        <v>793</v>
      </c>
      <c r="F397" s="125" t="s">
        <v>690</v>
      </c>
      <c r="G397" s="125" t="s">
        <v>1451</v>
      </c>
      <c r="H397" s="125">
        <v>5785.12</v>
      </c>
      <c r="I397" s="125">
        <v>0</v>
      </c>
      <c r="J397" s="125">
        <v>0</v>
      </c>
      <c r="K397" s="125">
        <v>0</v>
      </c>
      <c r="L397" s="125">
        <v>0</v>
      </c>
      <c r="M397" s="125">
        <v>1214.8800000000001</v>
      </c>
      <c r="N397" s="125">
        <v>0</v>
      </c>
      <c r="O397" s="125">
        <v>0</v>
      </c>
      <c r="P397" s="125">
        <v>0</v>
      </c>
      <c r="Q397" s="125">
        <v>0</v>
      </c>
      <c r="R397" s="125">
        <v>1214.8800000000001</v>
      </c>
      <c r="S397" s="125">
        <v>7000</v>
      </c>
      <c r="T397" s="125"/>
    </row>
    <row r="398" spans="1:20" ht="15" customHeight="1" x14ac:dyDescent="0.25">
      <c r="A398" s="125" t="s">
        <v>1440</v>
      </c>
      <c r="B398" s="125" t="s">
        <v>791</v>
      </c>
      <c r="C398" s="125" t="s">
        <v>792</v>
      </c>
      <c r="D398" s="125" t="s">
        <v>656</v>
      </c>
      <c r="E398" s="125" t="s">
        <v>793</v>
      </c>
      <c r="F398" s="125" t="s">
        <v>690</v>
      </c>
      <c r="G398" s="125" t="s">
        <v>1452</v>
      </c>
      <c r="H398" s="125">
        <v>14214.88</v>
      </c>
      <c r="I398" s="125">
        <v>0</v>
      </c>
      <c r="J398" s="125">
        <v>0</v>
      </c>
      <c r="K398" s="125">
        <v>0</v>
      </c>
      <c r="L398" s="125">
        <v>0</v>
      </c>
      <c r="M398" s="125">
        <v>2985.12</v>
      </c>
      <c r="N398" s="125">
        <v>0</v>
      </c>
      <c r="O398" s="125">
        <v>0</v>
      </c>
      <c r="P398" s="125">
        <v>0</v>
      </c>
      <c r="Q398" s="125">
        <v>0</v>
      </c>
      <c r="R398" s="125">
        <v>2985.12</v>
      </c>
      <c r="S398" s="125">
        <v>17200</v>
      </c>
      <c r="T398" s="125"/>
    </row>
    <row r="399" spans="1:20" ht="15" customHeight="1" x14ac:dyDescent="0.25">
      <c r="A399" s="125" t="s">
        <v>1440</v>
      </c>
      <c r="B399" s="125" t="s">
        <v>798</v>
      </c>
      <c r="C399" s="125" t="s">
        <v>799</v>
      </c>
      <c r="D399" s="125" t="s">
        <v>656</v>
      </c>
      <c r="E399" s="125" t="s">
        <v>793</v>
      </c>
      <c r="F399" s="125" t="s">
        <v>650</v>
      </c>
      <c r="G399" s="125" t="s">
        <v>1453</v>
      </c>
      <c r="H399" s="125">
        <v>571099.17000000004</v>
      </c>
      <c r="I399" s="125">
        <v>0</v>
      </c>
      <c r="J399" s="125">
        <v>0</v>
      </c>
      <c r="K399" s="125">
        <v>0</v>
      </c>
      <c r="L399" s="125">
        <v>0</v>
      </c>
      <c r="M399" s="125">
        <v>119930.83</v>
      </c>
      <c r="N399" s="125">
        <v>0</v>
      </c>
      <c r="O399" s="125">
        <v>0</v>
      </c>
      <c r="P399" s="125">
        <v>0</v>
      </c>
      <c r="Q399" s="125">
        <v>0</v>
      </c>
      <c r="R399" s="125">
        <v>119930.83</v>
      </c>
      <c r="S399" s="125">
        <v>691030</v>
      </c>
      <c r="T399" s="125"/>
    </row>
    <row r="400" spans="1:20" ht="15" customHeight="1" x14ac:dyDescent="0.25">
      <c r="A400" s="125" t="s">
        <v>1440</v>
      </c>
      <c r="B400" s="125" t="s">
        <v>798</v>
      </c>
      <c r="C400" s="125" t="s">
        <v>799</v>
      </c>
      <c r="D400" s="125" t="s">
        <v>656</v>
      </c>
      <c r="E400" s="125" t="s">
        <v>793</v>
      </c>
      <c r="F400" s="125" t="s">
        <v>650</v>
      </c>
      <c r="G400" s="125" t="s">
        <v>1454</v>
      </c>
      <c r="H400" s="125">
        <v>735537.19</v>
      </c>
      <c r="I400" s="125">
        <v>0</v>
      </c>
      <c r="J400" s="125">
        <v>0</v>
      </c>
      <c r="K400" s="125">
        <v>0</v>
      </c>
      <c r="L400" s="125">
        <v>0</v>
      </c>
      <c r="M400" s="125">
        <v>154462.81</v>
      </c>
      <c r="N400" s="125">
        <v>0</v>
      </c>
      <c r="O400" s="125">
        <v>0</v>
      </c>
      <c r="P400" s="125">
        <v>0</v>
      </c>
      <c r="Q400" s="125">
        <v>0</v>
      </c>
      <c r="R400" s="125">
        <v>154462.81</v>
      </c>
      <c r="S400" s="125">
        <v>890000</v>
      </c>
      <c r="T400" s="125"/>
    </row>
    <row r="401" spans="1:20" ht="15" customHeight="1" x14ac:dyDescent="0.25">
      <c r="A401" s="125" t="s">
        <v>1440</v>
      </c>
      <c r="B401" s="125" t="s">
        <v>791</v>
      </c>
      <c r="C401" s="125" t="s">
        <v>792</v>
      </c>
      <c r="D401" s="125" t="s">
        <v>656</v>
      </c>
      <c r="E401" s="125" t="s">
        <v>793</v>
      </c>
      <c r="F401" s="125" t="s">
        <v>690</v>
      </c>
      <c r="G401" s="125" t="s">
        <v>1455</v>
      </c>
      <c r="H401" s="125">
        <v>48347.11</v>
      </c>
      <c r="I401" s="125">
        <v>0</v>
      </c>
      <c r="J401" s="125">
        <v>0</v>
      </c>
      <c r="K401" s="125">
        <v>0</v>
      </c>
      <c r="L401" s="125">
        <v>0</v>
      </c>
      <c r="M401" s="125">
        <v>10152.89</v>
      </c>
      <c r="N401" s="125">
        <v>0</v>
      </c>
      <c r="O401" s="125">
        <v>0</v>
      </c>
      <c r="P401" s="125">
        <v>0</v>
      </c>
      <c r="Q401" s="125">
        <v>0</v>
      </c>
      <c r="R401" s="125">
        <v>10152.89</v>
      </c>
      <c r="S401" s="125">
        <v>58500</v>
      </c>
      <c r="T401" s="125"/>
    </row>
    <row r="402" spans="1:20" ht="15" customHeight="1" x14ac:dyDescent="0.25">
      <c r="A402" s="125" t="s">
        <v>1440</v>
      </c>
      <c r="B402" s="125" t="s">
        <v>206</v>
      </c>
      <c r="C402" s="125" t="s">
        <v>805</v>
      </c>
      <c r="D402" s="125" t="s">
        <v>656</v>
      </c>
      <c r="E402" s="125" t="s">
        <v>793</v>
      </c>
      <c r="F402" s="125" t="s">
        <v>650</v>
      </c>
      <c r="G402" s="125" t="s">
        <v>1456</v>
      </c>
      <c r="H402" s="125">
        <v>2546992.56</v>
      </c>
      <c r="I402" s="125">
        <v>0</v>
      </c>
      <c r="J402" s="125">
        <v>0</v>
      </c>
      <c r="K402" s="125">
        <v>0</v>
      </c>
      <c r="L402" s="125">
        <v>0</v>
      </c>
      <c r="M402" s="125">
        <v>534868.43999999994</v>
      </c>
      <c r="N402" s="125">
        <v>0</v>
      </c>
      <c r="O402" s="125">
        <v>0</v>
      </c>
      <c r="P402" s="125">
        <v>0</v>
      </c>
      <c r="Q402" s="125">
        <v>0</v>
      </c>
      <c r="R402" s="125">
        <v>534868.43999999994</v>
      </c>
      <c r="S402" s="125">
        <v>3081861</v>
      </c>
      <c r="T402" s="125"/>
    </row>
    <row r="403" spans="1:20" ht="15" customHeight="1" x14ac:dyDescent="0.25">
      <c r="A403" s="125" t="s">
        <v>1457</v>
      </c>
      <c r="B403" s="125" t="s">
        <v>791</v>
      </c>
      <c r="C403" s="125" t="s">
        <v>792</v>
      </c>
      <c r="D403" s="125" t="s">
        <v>656</v>
      </c>
      <c r="E403" s="125" t="s">
        <v>793</v>
      </c>
      <c r="F403" s="125" t="s">
        <v>690</v>
      </c>
      <c r="G403" s="125" t="s">
        <v>1458</v>
      </c>
      <c r="H403" s="125">
        <v>43801.65</v>
      </c>
      <c r="I403" s="125">
        <v>0</v>
      </c>
      <c r="J403" s="125">
        <v>0</v>
      </c>
      <c r="K403" s="125">
        <v>0</v>
      </c>
      <c r="L403" s="125">
        <v>0</v>
      </c>
      <c r="M403" s="125">
        <v>9198.35</v>
      </c>
      <c r="N403" s="125">
        <v>0</v>
      </c>
      <c r="O403" s="125">
        <v>0</v>
      </c>
      <c r="P403" s="125">
        <v>0</v>
      </c>
      <c r="Q403" s="125">
        <v>0</v>
      </c>
      <c r="R403" s="125">
        <v>9198.35</v>
      </c>
      <c r="S403" s="125">
        <v>53000</v>
      </c>
      <c r="T403" s="125"/>
    </row>
    <row r="404" spans="1:20" ht="15" customHeight="1" x14ac:dyDescent="0.25">
      <c r="A404" s="125" t="s">
        <v>1457</v>
      </c>
      <c r="B404" s="125" t="s">
        <v>791</v>
      </c>
      <c r="C404" s="125" t="s">
        <v>792</v>
      </c>
      <c r="D404" s="125" t="s">
        <v>656</v>
      </c>
      <c r="E404" s="125" t="s">
        <v>793</v>
      </c>
      <c r="F404" s="125" t="s">
        <v>690</v>
      </c>
      <c r="G404" s="125" t="s">
        <v>1459</v>
      </c>
      <c r="H404" s="125">
        <v>33884.300000000003</v>
      </c>
      <c r="I404" s="125">
        <v>0</v>
      </c>
      <c r="J404" s="125">
        <v>0</v>
      </c>
      <c r="K404" s="125">
        <v>0</v>
      </c>
      <c r="L404" s="125">
        <v>0</v>
      </c>
      <c r="M404" s="125">
        <v>7115.7</v>
      </c>
      <c r="N404" s="125">
        <v>0</v>
      </c>
      <c r="O404" s="125">
        <v>0</v>
      </c>
      <c r="P404" s="125">
        <v>0</v>
      </c>
      <c r="Q404" s="125">
        <v>0</v>
      </c>
      <c r="R404" s="125">
        <v>7115.7</v>
      </c>
      <c r="S404" s="125">
        <v>41000</v>
      </c>
      <c r="T404" s="125"/>
    </row>
    <row r="405" spans="1:20" ht="15" customHeight="1" x14ac:dyDescent="0.25">
      <c r="A405" s="125" t="s">
        <v>1457</v>
      </c>
      <c r="B405" s="125" t="s">
        <v>791</v>
      </c>
      <c r="C405" s="125" t="s">
        <v>792</v>
      </c>
      <c r="D405" s="125" t="s">
        <v>656</v>
      </c>
      <c r="E405" s="125" t="s">
        <v>793</v>
      </c>
      <c r="F405" s="125" t="s">
        <v>690</v>
      </c>
      <c r="G405" s="125" t="s">
        <v>1460</v>
      </c>
      <c r="H405" s="125">
        <v>18595.04</v>
      </c>
      <c r="I405" s="125">
        <v>0</v>
      </c>
      <c r="J405" s="125">
        <v>0</v>
      </c>
      <c r="K405" s="125">
        <v>0</v>
      </c>
      <c r="L405" s="125">
        <v>0</v>
      </c>
      <c r="M405" s="125">
        <v>3904.96</v>
      </c>
      <c r="N405" s="125">
        <v>0</v>
      </c>
      <c r="O405" s="125">
        <v>0</v>
      </c>
      <c r="P405" s="125">
        <v>0</v>
      </c>
      <c r="Q405" s="125">
        <v>0</v>
      </c>
      <c r="R405" s="125">
        <v>3904.96</v>
      </c>
      <c r="S405" s="125">
        <v>22500</v>
      </c>
      <c r="T405" s="125"/>
    </row>
    <row r="406" spans="1:20" ht="15" customHeight="1" x14ac:dyDescent="0.25">
      <c r="A406" s="125" t="s">
        <v>1457</v>
      </c>
      <c r="B406" s="125" t="s">
        <v>791</v>
      </c>
      <c r="C406" s="125" t="s">
        <v>792</v>
      </c>
      <c r="D406" s="125" t="s">
        <v>656</v>
      </c>
      <c r="E406" s="125" t="s">
        <v>793</v>
      </c>
      <c r="F406" s="125" t="s">
        <v>690</v>
      </c>
      <c r="G406" s="125" t="s">
        <v>1461</v>
      </c>
      <c r="H406" s="125">
        <v>19173.55</v>
      </c>
      <c r="I406" s="125">
        <v>0</v>
      </c>
      <c r="J406" s="125">
        <v>0</v>
      </c>
      <c r="K406" s="125">
        <v>0</v>
      </c>
      <c r="L406" s="125">
        <v>0</v>
      </c>
      <c r="M406" s="125">
        <v>4026.45</v>
      </c>
      <c r="N406" s="125">
        <v>0</v>
      </c>
      <c r="O406" s="125">
        <v>0</v>
      </c>
      <c r="P406" s="125">
        <v>0</v>
      </c>
      <c r="Q406" s="125">
        <v>0</v>
      </c>
      <c r="R406" s="125">
        <v>4026.45</v>
      </c>
      <c r="S406" s="125">
        <v>23200</v>
      </c>
      <c r="T406" s="125"/>
    </row>
    <row r="407" spans="1:20" ht="15" customHeight="1" x14ac:dyDescent="0.25">
      <c r="A407" s="125" t="s">
        <v>1457</v>
      </c>
      <c r="B407" s="125" t="s">
        <v>791</v>
      </c>
      <c r="C407" s="125" t="s">
        <v>792</v>
      </c>
      <c r="D407" s="125" t="s">
        <v>656</v>
      </c>
      <c r="E407" s="125" t="s">
        <v>793</v>
      </c>
      <c r="F407" s="125" t="s">
        <v>690</v>
      </c>
      <c r="G407" s="125" t="s">
        <v>1462</v>
      </c>
      <c r="H407" s="125">
        <v>2066.12</v>
      </c>
      <c r="I407" s="125">
        <v>0</v>
      </c>
      <c r="J407" s="125">
        <v>0</v>
      </c>
      <c r="K407" s="125">
        <v>0</v>
      </c>
      <c r="L407" s="125">
        <v>0</v>
      </c>
      <c r="M407" s="125">
        <v>433.88</v>
      </c>
      <c r="N407" s="125">
        <v>0</v>
      </c>
      <c r="O407" s="125">
        <v>0</v>
      </c>
      <c r="P407" s="125">
        <v>0</v>
      </c>
      <c r="Q407" s="125">
        <v>0</v>
      </c>
      <c r="R407" s="125">
        <v>433.88</v>
      </c>
      <c r="S407" s="125">
        <v>2500</v>
      </c>
      <c r="T407" s="125"/>
    </row>
    <row r="408" spans="1:20" ht="15" customHeight="1" x14ac:dyDescent="0.25">
      <c r="A408" s="125" t="s">
        <v>1457</v>
      </c>
      <c r="B408" s="125" t="s">
        <v>791</v>
      </c>
      <c r="C408" s="125" t="s">
        <v>792</v>
      </c>
      <c r="D408" s="125" t="s">
        <v>656</v>
      </c>
      <c r="E408" s="125" t="s">
        <v>793</v>
      </c>
      <c r="F408" s="125" t="s">
        <v>690</v>
      </c>
      <c r="G408" s="125" t="s">
        <v>1463</v>
      </c>
      <c r="H408" s="125">
        <v>26942.15</v>
      </c>
      <c r="I408" s="125">
        <v>0</v>
      </c>
      <c r="J408" s="125">
        <v>0</v>
      </c>
      <c r="K408" s="125">
        <v>0</v>
      </c>
      <c r="L408" s="125">
        <v>0</v>
      </c>
      <c r="M408" s="125">
        <v>5657.85</v>
      </c>
      <c r="N408" s="125">
        <v>0</v>
      </c>
      <c r="O408" s="125">
        <v>0</v>
      </c>
      <c r="P408" s="125">
        <v>0</v>
      </c>
      <c r="Q408" s="125">
        <v>0</v>
      </c>
      <c r="R408" s="125">
        <v>5657.85</v>
      </c>
      <c r="S408" s="125">
        <v>32600</v>
      </c>
      <c r="T408" s="125"/>
    </row>
    <row r="409" spans="1:20" ht="15" customHeight="1" x14ac:dyDescent="0.25">
      <c r="A409" s="125" t="s">
        <v>1457</v>
      </c>
      <c r="B409" s="125" t="s">
        <v>791</v>
      </c>
      <c r="C409" s="125" t="s">
        <v>792</v>
      </c>
      <c r="D409" s="125" t="s">
        <v>656</v>
      </c>
      <c r="E409" s="125" t="s">
        <v>793</v>
      </c>
      <c r="F409" s="125" t="s">
        <v>690</v>
      </c>
      <c r="G409" s="125" t="s">
        <v>1464</v>
      </c>
      <c r="H409" s="125">
        <v>12396.69</v>
      </c>
      <c r="I409" s="125">
        <v>0</v>
      </c>
      <c r="J409" s="125">
        <v>0</v>
      </c>
      <c r="K409" s="125">
        <v>0</v>
      </c>
      <c r="L409" s="125">
        <v>0</v>
      </c>
      <c r="M409" s="125">
        <v>2603.31</v>
      </c>
      <c r="N409" s="125">
        <v>0</v>
      </c>
      <c r="O409" s="125">
        <v>0</v>
      </c>
      <c r="P409" s="125">
        <v>0</v>
      </c>
      <c r="Q409" s="125">
        <v>0</v>
      </c>
      <c r="R409" s="125">
        <v>2603.31</v>
      </c>
      <c r="S409" s="125">
        <v>15000</v>
      </c>
      <c r="T409" s="125"/>
    </row>
    <row r="410" spans="1:20" ht="15" customHeight="1" x14ac:dyDescent="0.25">
      <c r="A410" s="125" t="s">
        <v>1457</v>
      </c>
      <c r="B410" s="125" t="s">
        <v>1465</v>
      </c>
      <c r="C410" s="125" t="s">
        <v>1466</v>
      </c>
      <c r="D410" s="125" t="s">
        <v>656</v>
      </c>
      <c r="E410" s="125" t="s">
        <v>793</v>
      </c>
      <c r="F410" s="125" t="s">
        <v>690</v>
      </c>
      <c r="G410" s="125" t="s">
        <v>1467</v>
      </c>
      <c r="H410" s="125">
        <v>256198.35</v>
      </c>
      <c r="I410" s="125">
        <v>0</v>
      </c>
      <c r="J410" s="125">
        <v>0</v>
      </c>
      <c r="K410" s="125">
        <v>0</v>
      </c>
      <c r="L410" s="125">
        <v>0</v>
      </c>
      <c r="M410" s="125">
        <v>53801.65</v>
      </c>
      <c r="N410" s="125">
        <v>0</v>
      </c>
      <c r="O410" s="125">
        <v>0</v>
      </c>
      <c r="P410" s="125">
        <v>0</v>
      </c>
      <c r="Q410" s="125">
        <v>0</v>
      </c>
      <c r="R410" s="125">
        <v>53801.65</v>
      </c>
      <c r="S410" s="125">
        <v>310000</v>
      </c>
      <c r="T410" s="125"/>
    </row>
    <row r="411" spans="1:20" ht="15" customHeight="1" x14ac:dyDescent="0.25">
      <c r="A411" s="125" t="s">
        <v>1457</v>
      </c>
      <c r="B411" s="125" t="s">
        <v>882</v>
      </c>
      <c r="C411" s="125" t="s">
        <v>883</v>
      </c>
      <c r="D411" s="125" t="s">
        <v>656</v>
      </c>
      <c r="E411" s="125" t="s">
        <v>793</v>
      </c>
      <c r="F411" s="125" t="s">
        <v>650</v>
      </c>
      <c r="G411" s="125" t="s">
        <v>1468</v>
      </c>
      <c r="H411" s="125">
        <v>78078.69</v>
      </c>
      <c r="I411" s="125">
        <v>0</v>
      </c>
      <c r="J411" s="125">
        <v>0</v>
      </c>
      <c r="K411" s="125">
        <v>0</v>
      </c>
      <c r="L411" s="125">
        <v>0</v>
      </c>
      <c r="M411" s="125">
        <v>16396.52</v>
      </c>
      <c r="N411" s="125">
        <v>0</v>
      </c>
      <c r="O411" s="125">
        <v>0</v>
      </c>
      <c r="P411" s="125">
        <v>0</v>
      </c>
      <c r="Q411" s="125">
        <v>0</v>
      </c>
      <c r="R411" s="125">
        <v>16396.52</v>
      </c>
      <c r="S411" s="125">
        <v>94475.21</v>
      </c>
      <c r="T411" s="125"/>
    </row>
    <row r="412" spans="1:20" ht="15" customHeight="1" x14ac:dyDescent="0.25">
      <c r="A412" s="125" t="s">
        <v>1457</v>
      </c>
      <c r="B412" s="125" t="s">
        <v>791</v>
      </c>
      <c r="C412" s="125" t="s">
        <v>792</v>
      </c>
      <c r="D412" s="125" t="s">
        <v>656</v>
      </c>
      <c r="E412" s="125" t="s">
        <v>793</v>
      </c>
      <c r="F412" s="125" t="s">
        <v>690</v>
      </c>
      <c r="G412" s="125" t="s">
        <v>1469</v>
      </c>
      <c r="H412" s="125">
        <v>28925.62</v>
      </c>
      <c r="I412" s="125">
        <v>0</v>
      </c>
      <c r="J412" s="125">
        <v>0</v>
      </c>
      <c r="K412" s="125">
        <v>0</v>
      </c>
      <c r="L412" s="125">
        <v>0</v>
      </c>
      <c r="M412" s="125">
        <v>6074.38</v>
      </c>
      <c r="N412" s="125">
        <v>0</v>
      </c>
      <c r="O412" s="125">
        <v>0</v>
      </c>
      <c r="P412" s="125">
        <v>0</v>
      </c>
      <c r="Q412" s="125">
        <v>0</v>
      </c>
      <c r="R412" s="125">
        <v>6074.38</v>
      </c>
      <c r="S412" s="125">
        <v>35000</v>
      </c>
      <c r="T412" s="125"/>
    </row>
    <row r="413" spans="1:20" ht="15" customHeight="1" x14ac:dyDescent="0.25">
      <c r="A413" s="125" t="s">
        <v>1457</v>
      </c>
      <c r="B413" s="125" t="s">
        <v>791</v>
      </c>
      <c r="C413" s="125" t="s">
        <v>792</v>
      </c>
      <c r="D413" s="125" t="s">
        <v>656</v>
      </c>
      <c r="E413" s="125" t="s">
        <v>793</v>
      </c>
      <c r="F413" s="125" t="s">
        <v>690</v>
      </c>
      <c r="G413" s="125" t="s">
        <v>1470</v>
      </c>
      <c r="H413" s="125">
        <v>41322.31</v>
      </c>
      <c r="I413" s="125">
        <v>0</v>
      </c>
      <c r="J413" s="125">
        <v>0</v>
      </c>
      <c r="K413" s="125">
        <v>0</v>
      </c>
      <c r="L413" s="125">
        <v>0</v>
      </c>
      <c r="M413" s="125">
        <v>8677.69</v>
      </c>
      <c r="N413" s="125">
        <v>0</v>
      </c>
      <c r="O413" s="125">
        <v>0</v>
      </c>
      <c r="P413" s="125">
        <v>0</v>
      </c>
      <c r="Q413" s="125">
        <v>0</v>
      </c>
      <c r="R413" s="125">
        <v>8677.69</v>
      </c>
      <c r="S413" s="125">
        <v>50000</v>
      </c>
      <c r="T413" s="125"/>
    </row>
    <row r="414" spans="1:20" ht="15" customHeight="1" x14ac:dyDescent="0.25">
      <c r="A414" s="125" t="s">
        <v>1471</v>
      </c>
      <c r="B414" s="125" t="s">
        <v>791</v>
      </c>
      <c r="C414" s="125" t="s">
        <v>792</v>
      </c>
      <c r="D414" s="125" t="s">
        <v>656</v>
      </c>
      <c r="E414" s="125" t="s">
        <v>793</v>
      </c>
      <c r="F414" s="125" t="s">
        <v>690</v>
      </c>
      <c r="G414" s="125" t="s">
        <v>1472</v>
      </c>
      <c r="H414" s="125">
        <v>16528.93</v>
      </c>
      <c r="I414" s="125">
        <v>0</v>
      </c>
      <c r="J414" s="125">
        <v>0</v>
      </c>
      <c r="K414" s="125">
        <v>0</v>
      </c>
      <c r="L414" s="125">
        <v>0</v>
      </c>
      <c r="M414" s="125">
        <v>3471.07</v>
      </c>
      <c r="N414" s="125">
        <v>0</v>
      </c>
      <c r="O414" s="125">
        <v>0</v>
      </c>
      <c r="P414" s="125">
        <v>0</v>
      </c>
      <c r="Q414" s="125">
        <v>0</v>
      </c>
      <c r="R414" s="125">
        <v>3471.07</v>
      </c>
      <c r="S414" s="125">
        <v>20000</v>
      </c>
      <c r="T414" s="125"/>
    </row>
    <row r="415" spans="1:20" ht="15" customHeight="1" x14ac:dyDescent="0.25">
      <c r="A415" s="125" t="s">
        <v>1471</v>
      </c>
      <c r="B415" s="125" t="s">
        <v>791</v>
      </c>
      <c r="C415" s="125" t="s">
        <v>792</v>
      </c>
      <c r="D415" s="125" t="s">
        <v>656</v>
      </c>
      <c r="E415" s="125" t="s">
        <v>793</v>
      </c>
      <c r="F415" s="125" t="s">
        <v>690</v>
      </c>
      <c r="G415" s="125" t="s">
        <v>1473</v>
      </c>
      <c r="H415" s="125">
        <v>18595.04</v>
      </c>
      <c r="I415" s="125">
        <v>0</v>
      </c>
      <c r="J415" s="125">
        <v>0</v>
      </c>
      <c r="K415" s="125">
        <v>0</v>
      </c>
      <c r="L415" s="125">
        <v>0</v>
      </c>
      <c r="M415" s="125">
        <v>3904.96</v>
      </c>
      <c r="N415" s="125">
        <v>0</v>
      </c>
      <c r="O415" s="125">
        <v>0</v>
      </c>
      <c r="P415" s="125">
        <v>0</v>
      </c>
      <c r="Q415" s="125">
        <v>0</v>
      </c>
      <c r="R415" s="125">
        <v>3904.96</v>
      </c>
      <c r="S415" s="125">
        <v>22500</v>
      </c>
      <c r="T415" s="125"/>
    </row>
    <row r="416" spans="1:20" ht="15" customHeight="1" x14ac:dyDescent="0.25">
      <c r="A416" s="125" t="s">
        <v>1471</v>
      </c>
      <c r="B416" s="125" t="s">
        <v>791</v>
      </c>
      <c r="C416" s="125" t="s">
        <v>792</v>
      </c>
      <c r="D416" s="125" t="s">
        <v>656</v>
      </c>
      <c r="E416" s="125" t="s">
        <v>793</v>
      </c>
      <c r="F416" s="125" t="s">
        <v>690</v>
      </c>
      <c r="G416" s="125" t="s">
        <v>1474</v>
      </c>
      <c r="H416" s="125">
        <v>53719.01</v>
      </c>
      <c r="I416" s="125">
        <v>0</v>
      </c>
      <c r="J416" s="125">
        <v>0</v>
      </c>
      <c r="K416" s="125">
        <v>0</v>
      </c>
      <c r="L416" s="125">
        <v>0</v>
      </c>
      <c r="M416" s="125">
        <v>11280.99</v>
      </c>
      <c r="N416" s="125">
        <v>0</v>
      </c>
      <c r="O416" s="125">
        <v>0</v>
      </c>
      <c r="P416" s="125">
        <v>0</v>
      </c>
      <c r="Q416" s="125">
        <v>0</v>
      </c>
      <c r="R416" s="125">
        <v>11280.99</v>
      </c>
      <c r="S416" s="125">
        <v>65000</v>
      </c>
      <c r="T416" s="125"/>
    </row>
    <row r="417" spans="1:20" ht="15" customHeight="1" x14ac:dyDescent="0.25">
      <c r="A417" s="125" t="s">
        <v>1471</v>
      </c>
      <c r="B417" s="125" t="s">
        <v>791</v>
      </c>
      <c r="C417" s="125" t="s">
        <v>792</v>
      </c>
      <c r="D417" s="125" t="s">
        <v>656</v>
      </c>
      <c r="E417" s="125" t="s">
        <v>793</v>
      </c>
      <c r="F417" s="125" t="s">
        <v>690</v>
      </c>
      <c r="G417" s="125" t="s">
        <v>1475</v>
      </c>
      <c r="H417" s="125">
        <v>18595.04</v>
      </c>
      <c r="I417" s="125">
        <v>0</v>
      </c>
      <c r="J417" s="125">
        <v>0</v>
      </c>
      <c r="K417" s="125">
        <v>0</v>
      </c>
      <c r="L417" s="125">
        <v>0</v>
      </c>
      <c r="M417" s="125">
        <v>3904.96</v>
      </c>
      <c r="N417" s="125">
        <v>0</v>
      </c>
      <c r="O417" s="125">
        <v>0</v>
      </c>
      <c r="P417" s="125">
        <v>0</v>
      </c>
      <c r="Q417" s="125">
        <v>0</v>
      </c>
      <c r="R417" s="125">
        <v>3904.96</v>
      </c>
      <c r="S417" s="125">
        <v>22500</v>
      </c>
      <c r="T417" s="125"/>
    </row>
    <row r="418" spans="1:20" ht="15" customHeight="1" x14ac:dyDescent="0.25">
      <c r="A418" s="125" t="s">
        <v>1471</v>
      </c>
      <c r="B418" s="125" t="s">
        <v>791</v>
      </c>
      <c r="C418" s="125" t="s">
        <v>792</v>
      </c>
      <c r="D418" s="125" t="s">
        <v>656</v>
      </c>
      <c r="E418" s="125" t="s">
        <v>793</v>
      </c>
      <c r="F418" s="125" t="s">
        <v>690</v>
      </c>
      <c r="G418" s="125" t="s">
        <v>1476</v>
      </c>
      <c r="H418" s="125">
        <v>19834.71</v>
      </c>
      <c r="I418" s="125">
        <v>0</v>
      </c>
      <c r="J418" s="125">
        <v>0</v>
      </c>
      <c r="K418" s="125">
        <v>0</v>
      </c>
      <c r="L418" s="125">
        <v>0</v>
      </c>
      <c r="M418" s="125">
        <v>4165.29</v>
      </c>
      <c r="N418" s="125">
        <v>0</v>
      </c>
      <c r="O418" s="125">
        <v>0</v>
      </c>
      <c r="P418" s="125">
        <v>0</v>
      </c>
      <c r="Q418" s="125">
        <v>0</v>
      </c>
      <c r="R418" s="125">
        <v>4165.29</v>
      </c>
      <c r="S418" s="125">
        <v>24000</v>
      </c>
      <c r="T418" s="125"/>
    </row>
    <row r="419" spans="1:20" ht="15" customHeight="1" x14ac:dyDescent="0.25">
      <c r="A419" s="125" t="s">
        <v>1471</v>
      </c>
      <c r="B419" s="125" t="s">
        <v>791</v>
      </c>
      <c r="C419" s="125" t="s">
        <v>792</v>
      </c>
      <c r="D419" s="125" t="s">
        <v>656</v>
      </c>
      <c r="E419" s="125" t="s">
        <v>793</v>
      </c>
      <c r="F419" s="125" t="s">
        <v>690</v>
      </c>
      <c r="G419" s="125" t="s">
        <v>1477</v>
      </c>
      <c r="H419" s="125">
        <v>82644.63</v>
      </c>
      <c r="I419" s="125">
        <v>0</v>
      </c>
      <c r="J419" s="125">
        <v>0</v>
      </c>
      <c r="K419" s="125">
        <v>0</v>
      </c>
      <c r="L419" s="125">
        <v>0</v>
      </c>
      <c r="M419" s="125">
        <v>17355.37</v>
      </c>
      <c r="N419" s="125">
        <v>0</v>
      </c>
      <c r="O419" s="125">
        <v>0</v>
      </c>
      <c r="P419" s="125">
        <v>0</v>
      </c>
      <c r="Q419" s="125">
        <v>0</v>
      </c>
      <c r="R419" s="125">
        <v>17355.37</v>
      </c>
      <c r="S419" s="125">
        <v>100000</v>
      </c>
      <c r="T419" s="125"/>
    </row>
    <row r="420" spans="1:20" ht="15" customHeight="1" x14ac:dyDescent="0.25">
      <c r="A420" s="125" t="s">
        <v>1471</v>
      </c>
      <c r="B420" s="125" t="s">
        <v>791</v>
      </c>
      <c r="C420" s="125" t="s">
        <v>792</v>
      </c>
      <c r="D420" s="125" t="s">
        <v>656</v>
      </c>
      <c r="E420" s="125" t="s">
        <v>793</v>
      </c>
      <c r="F420" s="125" t="s">
        <v>690</v>
      </c>
      <c r="G420" s="125" t="s">
        <v>1478</v>
      </c>
      <c r="H420" s="125">
        <v>37190.080000000002</v>
      </c>
      <c r="I420" s="125">
        <v>0</v>
      </c>
      <c r="J420" s="125">
        <v>0</v>
      </c>
      <c r="K420" s="125">
        <v>0</v>
      </c>
      <c r="L420" s="125">
        <v>0</v>
      </c>
      <c r="M420" s="125">
        <v>7809.92</v>
      </c>
      <c r="N420" s="125">
        <v>0</v>
      </c>
      <c r="O420" s="125">
        <v>0</v>
      </c>
      <c r="P420" s="125">
        <v>0</v>
      </c>
      <c r="Q420" s="125">
        <v>0</v>
      </c>
      <c r="R420" s="125">
        <v>7809.92</v>
      </c>
      <c r="S420" s="125">
        <v>45000</v>
      </c>
      <c r="T420" s="125"/>
    </row>
    <row r="421" spans="1:20" ht="15" customHeight="1" x14ac:dyDescent="0.25">
      <c r="A421" s="125" t="s">
        <v>1471</v>
      </c>
      <c r="B421" s="125" t="s">
        <v>791</v>
      </c>
      <c r="C421" s="125" t="s">
        <v>792</v>
      </c>
      <c r="D421" s="125" t="s">
        <v>656</v>
      </c>
      <c r="E421" s="125" t="s">
        <v>793</v>
      </c>
      <c r="F421" s="125" t="s">
        <v>690</v>
      </c>
      <c r="G421" s="125" t="s">
        <v>1479</v>
      </c>
      <c r="H421" s="125">
        <v>28925.62</v>
      </c>
      <c r="I421" s="125">
        <v>0</v>
      </c>
      <c r="J421" s="125">
        <v>0</v>
      </c>
      <c r="K421" s="125">
        <v>0</v>
      </c>
      <c r="L421" s="125">
        <v>0</v>
      </c>
      <c r="M421" s="125">
        <v>6074.38</v>
      </c>
      <c r="N421" s="125">
        <v>0</v>
      </c>
      <c r="O421" s="125">
        <v>0</v>
      </c>
      <c r="P421" s="125">
        <v>0</v>
      </c>
      <c r="Q421" s="125">
        <v>0</v>
      </c>
      <c r="R421" s="125">
        <v>6074.38</v>
      </c>
      <c r="S421" s="125">
        <v>35000</v>
      </c>
      <c r="T421" s="125"/>
    </row>
    <row r="422" spans="1:20" ht="15" customHeight="1" x14ac:dyDescent="0.25">
      <c r="A422" s="125" t="s">
        <v>1471</v>
      </c>
      <c r="B422" s="125" t="s">
        <v>791</v>
      </c>
      <c r="C422" s="125" t="s">
        <v>792</v>
      </c>
      <c r="D422" s="125" t="s">
        <v>656</v>
      </c>
      <c r="E422" s="125" t="s">
        <v>793</v>
      </c>
      <c r="F422" s="125" t="s">
        <v>690</v>
      </c>
      <c r="G422" s="125" t="s">
        <v>1480</v>
      </c>
      <c r="H422" s="125">
        <v>14173.55</v>
      </c>
      <c r="I422" s="125">
        <v>0</v>
      </c>
      <c r="J422" s="125">
        <v>0</v>
      </c>
      <c r="K422" s="125">
        <v>0</v>
      </c>
      <c r="L422" s="125">
        <v>0</v>
      </c>
      <c r="M422" s="125">
        <v>2976.45</v>
      </c>
      <c r="N422" s="125">
        <v>0</v>
      </c>
      <c r="O422" s="125">
        <v>0</v>
      </c>
      <c r="P422" s="125">
        <v>0</v>
      </c>
      <c r="Q422" s="125">
        <v>0</v>
      </c>
      <c r="R422" s="125">
        <v>2976.45</v>
      </c>
      <c r="S422" s="125">
        <v>17150</v>
      </c>
      <c r="T422" s="125"/>
    </row>
    <row r="423" spans="1:20" ht="15" customHeight="1" x14ac:dyDescent="0.25">
      <c r="A423" s="125" t="s">
        <v>1471</v>
      </c>
      <c r="B423" s="125" t="s">
        <v>791</v>
      </c>
      <c r="C423" s="125" t="s">
        <v>792</v>
      </c>
      <c r="D423" s="125" t="s">
        <v>656</v>
      </c>
      <c r="E423" s="125" t="s">
        <v>793</v>
      </c>
      <c r="F423" s="125" t="s">
        <v>690</v>
      </c>
      <c r="G423" s="125" t="s">
        <v>1481</v>
      </c>
      <c r="H423" s="125">
        <v>11322.31</v>
      </c>
      <c r="I423" s="125">
        <v>0</v>
      </c>
      <c r="J423" s="125">
        <v>0</v>
      </c>
      <c r="K423" s="125">
        <v>0</v>
      </c>
      <c r="L423" s="125">
        <v>0</v>
      </c>
      <c r="M423" s="125">
        <v>2377.69</v>
      </c>
      <c r="N423" s="125">
        <v>0</v>
      </c>
      <c r="O423" s="125">
        <v>0</v>
      </c>
      <c r="P423" s="125">
        <v>0</v>
      </c>
      <c r="Q423" s="125">
        <v>0</v>
      </c>
      <c r="R423" s="125">
        <v>2377.69</v>
      </c>
      <c r="S423" s="125">
        <v>13700</v>
      </c>
      <c r="T423" s="125"/>
    </row>
    <row r="424" spans="1:20" ht="15" customHeight="1" x14ac:dyDescent="0.25">
      <c r="A424" s="125" t="s">
        <v>1471</v>
      </c>
      <c r="B424" s="125" t="s">
        <v>791</v>
      </c>
      <c r="C424" s="125" t="s">
        <v>792</v>
      </c>
      <c r="D424" s="125" t="s">
        <v>656</v>
      </c>
      <c r="E424" s="125" t="s">
        <v>793</v>
      </c>
      <c r="F424" s="125" t="s">
        <v>690</v>
      </c>
      <c r="G424" s="125" t="s">
        <v>1482</v>
      </c>
      <c r="H424" s="125">
        <v>27520.66</v>
      </c>
      <c r="I424" s="125">
        <v>0</v>
      </c>
      <c r="J424" s="125">
        <v>0</v>
      </c>
      <c r="K424" s="125">
        <v>0</v>
      </c>
      <c r="L424" s="125">
        <v>0</v>
      </c>
      <c r="M424" s="125">
        <v>5779.34</v>
      </c>
      <c r="N424" s="125">
        <v>0</v>
      </c>
      <c r="O424" s="125">
        <v>0</v>
      </c>
      <c r="P424" s="125">
        <v>0</v>
      </c>
      <c r="Q424" s="125">
        <v>0</v>
      </c>
      <c r="R424" s="125">
        <v>5779.34</v>
      </c>
      <c r="S424" s="125">
        <v>33300</v>
      </c>
      <c r="T424" s="125"/>
    </row>
    <row r="425" spans="1:20" ht="15" customHeight="1" x14ac:dyDescent="0.25">
      <c r="A425" s="125" t="s">
        <v>1471</v>
      </c>
      <c r="B425" s="125" t="s">
        <v>791</v>
      </c>
      <c r="C425" s="125" t="s">
        <v>792</v>
      </c>
      <c r="D425" s="125" t="s">
        <v>656</v>
      </c>
      <c r="E425" s="125" t="s">
        <v>793</v>
      </c>
      <c r="F425" s="125" t="s">
        <v>690</v>
      </c>
      <c r="G425" s="125" t="s">
        <v>1483</v>
      </c>
      <c r="H425" s="125">
        <v>82644.63</v>
      </c>
      <c r="I425" s="125">
        <v>0</v>
      </c>
      <c r="J425" s="125">
        <v>0</v>
      </c>
      <c r="K425" s="125">
        <v>0</v>
      </c>
      <c r="L425" s="125">
        <v>0</v>
      </c>
      <c r="M425" s="125">
        <v>17355.37</v>
      </c>
      <c r="N425" s="125">
        <v>0</v>
      </c>
      <c r="O425" s="125">
        <v>0</v>
      </c>
      <c r="P425" s="125">
        <v>0</v>
      </c>
      <c r="Q425" s="125">
        <v>0</v>
      </c>
      <c r="R425" s="125">
        <v>17355.37</v>
      </c>
      <c r="S425" s="125">
        <v>100000</v>
      </c>
      <c r="T425" s="125"/>
    </row>
    <row r="426" spans="1:20" ht="15" customHeight="1" x14ac:dyDescent="0.25">
      <c r="A426" s="125" t="s">
        <v>1471</v>
      </c>
      <c r="B426" s="125" t="s">
        <v>791</v>
      </c>
      <c r="C426" s="125" t="s">
        <v>792</v>
      </c>
      <c r="D426" s="125" t="s">
        <v>656</v>
      </c>
      <c r="E426" s="125" t="s">
        <v>793</v>
      </c>
      <c r="F426" s="125" t="s">
        <v>690</v>
      </c>
      <c r="G426" s="125" t="s">
        <v>1484</v>
      </c>
      <c r="H426" s="125">
        <v>26446.28</v>
      </c>
      <c r="I426" s="125">
        <v>0</v>
      </c>
      <c r="J426" s="125">
        <v>0</v>
      </c>
      <c r="K426" s="125">
        <v>0</v>
      </c>
      <c r="L426" s="125">
        <v>0</v>
      </c>
      <c r="M426" s="125">
        <v>5553.72</v>
      </c>
      <c r="N426" s="125">
        <v>0</v>
      </c>
      <c r="O426" s="125">
        <v>0</v>
      </c>
      <c r="P426" s="125">
        <v>0</v>
      </c>
      <c r="Q426" s="125">
        <v>0</v>
      </c>
      <c r="R426" s="125">
        <v>5553.72</v>
      </c>
      <c r="S426" s="125">
        <v>32000</v>
      </c>
      <c r="T426" s="125"/>
    </row>
    <row r="427" spans="1:20" ht="15" customHeight="1" x14ac:dyDescent="0.25">
      <c r="A427" s="125" t="s">
        <v>1471</v>
      </c>
      <c r="B427" s="125" t="s">
        <v>791</v>
      </c>
      <c r="C427" s="125" t="s">
        <v>792</v>
      </c>
      <c r="D427" s="125" t="s">
        <v>656</v>
      </c>
      <c r="E427" s="125" t="s">
        <v>793</v>
      </c>
      <c r="F427" s="125" t="s">
        <v>690</v>
      </c>
      <c r="G427" s="125" t="s">
        <v>1485</v>
      </c>
      <c r="H427" s="125">
        <v>16528.93</v>
      </c>
      <c r="I427" s="125">
        <v>0</v>
      </c>
      <c r="J427" s="125">
        <v>0</v>
      </c>
      <c r="K427" s="125">
        <v>0</v>
      </c>
      <c r="L427" s="125">
        <v>0</v>
      </c>
      <c r="M427" s="125">
        <v>3471.07</v>
      </c>
      <c r="N427" s="125">
        <v>0</v>
      </c>
      <c r="O427" s="125">
        <v>0</v>
      </c>
      <c r="P427" s="125">
        <v>0</v>
      </c>
      <c r="Q427" s="125">
        <v>0</v>
      </c>
      <c r="R427" s="125">
        <v>3471.07</v>
      </c>
      <c r="S427" s="125">
        <v>20000</v>
      </c>
      <c r="T427" s="125"/>
    </row>
    <row r="428" spans="1:20" ht="15" customHeight="1" x14ac:dyDescent="0.25">
      <c r="A428" s="125" t="s">
        <v>1471</v>
      </c>
      <c r="B428" s="125" t="s">
        <v>1486</v>
      </c>
      <c r="C428" s="125" t="s">
        <v>1487</v>
      </c>
      <c r="D428" s="125" t="s">
        <v>656</v>
      </c>
      <c r="E428" s="125" t="s">
        <v>793</v>
      </c>
      <c r="F428" s="125" t="s">
        <v>690</v>
      </c>
      <c r="G428" s="125" t="s">
        <v>1488</v>
      </c>
      <c r="H428" s="125">
        <v>57851.24</v>
      </c>
      <c r="I428" s="125">
        <v>0</v>
      </c>
      <c r="J428" s="125">
        <v>0</v>
      </c>
      <c r="K428" s="125">
        <v>0</v>
      </c>
      <c r="L428" s="125">
        <v>0</v>
      </c>
      <c r="M428" s="125">
        <v>12148.76</v>
      </c>
      <c r="N428" s="125">
        <v>0</v>
      </c>
      <c r="O428" s="125">
        <v>0</v>
      </c>
      <c r="P428" s="125">
        <v>0</v>
      </c>
      <c r="Q428" s="125">
        <v>0</v>
      </c>
      <c r="R428" s="125">
        <v>12148.76</v>
      </c>
      <c r="S428" s="125">
        <v>70000</v>
      </c>
      <c r="T428" s="125"/>
    </row>
    <row r="429" spans="1:20" ht="15" customHeight="1" x14ac:dyDescent="0.25">
      <c r="A429" s="125" t="s">
        <v>1471</v>
      </c>
      <c r="B429" s="125" t="s">
        <v>1489</v>
      </c>
      <c r="C429" s="125" t="s">
        <v>1490</v>
      </c>
      <c r="D429" s="125" t="s">
        <v>656</v>
      </c>
      <c r="E429" s="125" t="s">
        <v>793</v>
      </c>
      <c r="F429" s="125" t="s">
        <v>690</v>
      </c>
      <c r="G429" s="125" t="s">
        <v>1491</v>
      </c>
      <c r="H429" s="125">
        <v>57851.24</v>
      </c>
      <c r="I429" s="125">
        <v>0</v>
      </c>
      <c r="J429" s="125">
        <v>0</v>
      </c>
      <c r="K429" s="125">
        <v>0</v>
      </c>
      <c r="L429" s="125">
        <v>0</v>
      </c>
      <c r="M429" s="125">
        <v>12148.76</v>
      </c>
      <c r="N429" s="125">
        <v>0</v>
      </c>
      <c r="O429" s="125">
        <v>0</v>
      </c>
      <c r="P429" s="125">
        <v>0</v>
      </c>
      <c r="Q429" s="125">
        <v>0</v>
      </c>
      <c r="R429" s="125">
        <v>12148.76</v>
      </c>
      <c r="S429" s="125">
        <v>70000</v>
      </c>
      <c r="T429" s="125"/>
    </row>
    <row r="430" spans="1:20" ht="15" customHeight="1" x14ac:dyDescent="0.25">
      <c r="A430" s="125" t="s">
        <v>1471</v>
      </c>
      <c r="B430" s="125" t="s">
        <v>92</v>
      </c>
      <c r="C430" s="125" t="s">
        <v>879</v>
      </c>
      <c r="D430" s="125" t="s">
        <v>656</v>
      </c>
      <c r="E430" s="125" t="s">
        <v>793</v>
      </c>
      <c r="F430" s="125" t="s">
        <v>650</v>
      </c>
      <c r="G430" s="125" t="s">
        <v>1492</v>
      </c>
      <c r="H430" s="125">
        <v>229477.06</v>
      </c>
      <c r="I430" s="125">
        <v>0</v>
      </c>
      <c r="J430" s="125">
        <v>0</v>
      </c>
      <c r="K430" s="125">
        <v>0</v>
      </c>
      <c r="L430" s="125">
        <v>0</v>
      </c>
      <c r="M430" s="125">
        <v>48190.18</v>
      </c>
      <c r="N430" s="125">
        <v>0</v>
      </c>
      <c r="O430" s="125">
        <v>0</v>
      </c>
      <c r="P430" s="125">
        <v>0</v>
      </c>
      <c r="Q430" s="125">
        <v>0</v>
      </c>
      <c r="R430" s="125">
        <v>48190.18</v>
      </c>
      <c r="S430" s="125">
        <v>277667.24</v>
      </c>
      <c r="T430" s="125"/>
    </row>
    <row r="431" spans="1:20" ht="15" customHeight="1" x14ac:dyDescent="0.25">
      <c r="A431" s="125" t="s">
        <v>1471</v>
      </c>
      <c r="B431" s="125" t="s">
        <v>1493</v>
      </c>
      <c r="C431" s="125" t="s">
        <v>1494</v>
      </c>
      <c r="D431" s="125" t="s">
        <v>656</v>
      </c>
      <c r="E431" s="125" t="s">
        <v>793</v>
      </c>
      <c r="F431" s="125" t="s">
        <v>690</v>
      </c>
      <c r="G431" s="125" t="s">
        <v>1495</v>
      </c>
      <c r="H431" s="125">
        <v>40165.29</v>
      </c>
      <c r="I431" s="125">
        <v>0</v>
      </c>
      <c r="J431" s="125">
        <v>0</v>
      </c>
      <c r="K431" s="125">
        <v>0</v>
      </c>
      <c r="L431" s="125">
        <v>0</v>
      </c>
      <c r="M431" s="125">
        <v>8434.7099999999991</v>
      </c>
      <c r="N431" s="125">
        <v>0</v>
      </c>
      <c r="O431" s="125">
        <v>0</v>
      </c>
      <c r="P431" s="125">
        <v>0</v>
      </c>
      <c r="Q431" s="125">
        <v>0</v>
      </c>
      <c r="R431" s="125">
        <v>8434.7099999999991</v>
      </c>
      <c r="S431" s="125">
        <v>48600</v>
      </c>
      <c r="T431" s="125"/>
    </row>
    <row r="432" spans="1:20" ht="15" customHeight="1" x14ac:dyDescent="0.25">
      <c r="A432" s="125" t="s">
        <v>1471</v>
      </c>
      <c r="B432" s="125" t="s">
        <v>791</v>
      </c>
      <c r="C432" s="125" t="s">
        <v>792</v>
      </c>
      <c r="D432" s="125" t="s">
        <v>656</v>
      </c>
      <c r="E432" s="125" t="s">
        <v>793</v>
      </c>
      <c r="F432" s="125" t="s">
        <v>690</v>
      </c>
      <c r="G432" s="125" t="s">
        <v>1496</v>
      </c>
      <c r="H432" s="125">
        <v>15619.83</v>
      </c>
      <c r="I432" s="125">
        <v>0</v>
      </c>
      <c r="J432" s="125">
        <v>0</v>
      </c>
      <c r="K432" s="125">
        <v>0</v>
      </c>
      <c r="L432" s="125">
        <v>0</v>
      </c>
      <c r="M432" s="125">
        <v>3280.17</v>
      </c>
      <c r="N432" s="125">
        <v>0</v>
      </c>
      <c r="O432" s="125">
        <v>0</v>
      </c>
      <c r="P432" s="125">
        <v>0</v>
      </c>
      <c r="Q432" s="125">
        <v>0</v>
      </c>
      <c r="R432" s="125">
        <v>3280.17</v>
      </c>
      <c r="S432" s="125">
        <v>18900</v>
      </c>
      <c r="T432" s="125"/>
    </row>
    <row r="433" spans="1:20" ht="15" customHeight="1" x14ac:dyDescent="0.25">
      <c r="A433" s="125" t="s">
        <v>1471</v>
      </c>
      <c r="B433" s="125" t="s">
        <v>791</v>
      </c>
      <c r="C433" s="125" t="s">
        <v>792</v>
      </c>
      <c r="D433" s="125" t="s">
        <v>656</v>
      </c>
      <c r="E433" s="125" t="s">
        <v>793</v>
      </c>
      <c r="F433" s="125" t="s">
        <v>690</v>
      </c>
      <c r="G433" s="125" t="s">
        <v>1497</v>
      </c>
      <c r="H433" s="125">
        <v>22892.560000000001</v>
      </c>
      <c r="I433" s="125">
        <v>0</v>
      </c>
      <c r="J433" s="125">
        <v>0</v>
      </c>
      <c r="K433" s="125">
        <v>0</v>
      </c>
      <c r="L433" s="125">
        <v>0</v>
      </c>
      <c r="M433" s="125">
        <v>4807.4399999999996</v>
      </c>
      <c r="N433" s="125">
        <v>0</v>
      </c>
      <c r="O433" s="125">
        <v>0</v>
      </c>
      <c r="P433" s="125">
        <v>0</v>
      </c>
      <c r="Q433" s="125">
        <v>0</v>
      </c>
      <c r="R433" s="125">
        <v>4807.4399999999996</v>
      </c>
      <c r="S433" s="125">
        <v>27700</v>
      </c>
      <c r="T433" s="125"/>
    </row>
    <row r="434" spans="1:20" ht="15" customHeight="1" x14ac:dyDescent="0.25">
      <c r="A434" s="125" t="s">
        <v>1471</v>
      </c>
      <c r="B434" s="125" t="s">
        <v>791</v>
      </c>
      <c r="C434" s="125" t="s">
        <v>792</v>
      </c>
      <c r="D434" s="125" t="s">
        <v>656</v>
      </c>
      <c r="E434" s="125" t="s">
        <v>793</v>
      </c>
      <c r="F434" s="125" t="s">
        <v>690</v>
      </c>
      <c r="G434" s="125" t="s">
        <v>1498</v>
      </c>
      <c r="H434" s="125">
        <v>11570.25</v>
      </c>
      <c r="I434" s="125">
        <v>0</v>
      </c>
      <c r="J434" s="125">
        <v>0</v>
      </c>
      <c r="K434" s="125">
        <v>0</v>
      </c>
      <c r="L434" s="125">
        <v>0</v>
      </c>
      <c r="M434" s="125">
        <v>2429.75</v>
      </c>
      <c r="N434" s="125">
        <v>0</v>
      </c>
      <c r="O434" s="125">
        <v>0</v>
      </c>
      <c r="P434" s="125">
        <v>0</v>
      </c>
      <c r="Q434" s="125">
        <v>0</v>
      </c>
      <c r="R434" s="125">
        <v>2429.75</v>
      </c>
      <c r="S434" s="125">
        <v>14000</v>
      </c>
      <c r="T434" s="125"/>
    </row>
    <row r="435" spans="1:20" ht="15" customHeight="1" x14ac:dyDescent="0.25">
      <c r="A435" s="125" t="s">
        <v>1471</v>
      </c>
      <c r="B435" s="125" t="s">
        <v>791</v>
      </c>
      <c r="C435" s="125" t="s">
        <v>792</v>
      </c>
      <c r="D435" s="125" t="s">
        <v>656</v>
      </c>
      <c r="E435" s="125" t="s">
        <v>793</v>
      </c>
      <c r="F435" s="125" t="s">
        <v>690</v>
      </c>
      <c r="G435" s="125" t="s">
        <v>1499</v>
      </c>
      <c r="H435" s="125">
        <v>13884.3</v>
      </c>
      <c r="I435" s="125">
        <v>0</v>
      </c>
      <c r="J435" s="125">
        <v>0</v>
      </c>
      <c r="K435" s="125">
        <v>0</v>
      </c>
      <c r="L435" s="125">
        <v>0</v>
      </c>
      <c r="M435" s="125">
        <v>2915.7</v>
      </c>
      <c r="N435" s="125">
        <v>0</v>
      </c>
      <c r="O435" s="125">
        <v>0</v>
      </c>
      <c r="P435" s="125">
        <v>0</v>
      </c>
      <c r="Q435" s="125">
        <v>0</v>
      </c>
      <c r="R435" s="125">
        <v>2915.7</v>
      </c>
      <c r="S435" s="125">
        <v>16800</v>
      </c>
      <c r="T435" s="125"/>
    </row>
    <row r="436" spans="1:20" ht="15" customHeight="1" x14ac:dyDescent="0.25">
      <c r="A436" s="125" t="s">
        <v>1471</v>
      </c>
      <c r="B436" s="125" t="s">
        <v>791</v>
      </c>
      <c r="C436" s="125" t="s">
        <v>792</v>
      </c>
      <c r="D436" s="125" t="s">
        <v>656</v>
      </c>
      <c r="E436" s="125" t="s">
        <v>793</v>
      </c>
      <c r="F436" s="125" t="s">
        <v>690</v>
      </c>
      <c r="G436" s="125" t="s">
        <v>1500</v>
      </c>
      <c r="H436" s="125">
        <v>44628.1</v>
      </c>
      <c r="I436" s="125">
        <v>0</v>
      </c>
      <c r="J436" s="125">
        <v>0</v>
      </c>
      <c r="K436" s="125">
        <v>0</v>
      </c>
      <c r="L436" s="125">
        <v>0</v>
      </c>
      <c r="M436" s="125">
        <v>9371.9</v>
      </c>
      <c r="N436" s="125">
        <v>0</v>
      </c>
      <c r="O436" s="125">
        <v>0</v>
      </c>
      <c r="P436" s="125">
        <v>0</v>
      </c>
      <c r="Q436" s="125">
        <v>0</v>
      </c>
      <c r="R436" s="125">
        <v>9371.9</v>
      </c>
      <c r="S436" s="125">
        <v>54000</v>
      </c>
      <c r="T436" s="125"/>
    </row>
    <row r="437" spans="1:20" ht="15" customHeight="1" x14ac:dyDescent="0.25">
      <c r="A437" s="125" t="s">
        <v>1471</v>
      </c>
      <c r="B437" s="125" t="s">
        <v>791</v>
      </c>
      <c r="C437" s="125" t="s">
        <v>792</v>
      </c>
      <c r="D437" s="125" t="s">
        <v>656</v>
      </c>
      <c r="E437" s="125" t="s">
        <v>793</v>
      </c>
      <c r="F437" s="125" t="s">
        <v>690</v>
      </c>
      <c r="G437" s="125" t="s">
        <v>1501</v>
      </c>
      <c r="H437" s="125">
        <v>37190.080000000002</v>
      </c>
      <c r="I437" s="125">
        <v>0</v>
      </c>
      <c r="J437" s="125">
        <v>0</v>
      </c>
      <c r="K437" s="125">
        <v>0</v>
      </c>
      <c r="L437" s="125">
        <v>0</v>
      </c>
      <c r="M437" s="125">
        <v>7809.92</v>
      </c>
      <c r="N437" s="125">
        <v>0</v>
      </c>
      <c r="O437" s="125">
        <v>0</v>
      </c>
      <c r="P437" s="125">
        <v>0</v>
      </c>
      <c r="Q437" s="125">
        <v>0</v>
      </c>
      <c r="R437" s="125">
        <v>7809.92</v>
      </c>
      <c r="S437" s="125">
        <v>45000</v>
      </c>
      <c r="T437" s="125"/>
    </row>
    <row r="438" spans="1:20" ht="15" customHeight="1" x14ac:dyDescent="0.25">
      <c r="A438" s="125" t="s">
        <v>1502</v>
      </c>
      <c r="B438" s="125" t="s">
        <v>791</v>
      </c>
      <c r="C438" s="125" t="s">
        <v>792</v>
      </c>
      <c r="D438" s="125" t="s">
        <v>656</v>
      </c>
      <c r="E438" s="125" t="s">
        <v>793</v>
      </c>
      <c r="F438" s="125" t="s">
        <v>690</v>
      </c>
      <c r="G438" s="125" t="s">
        <v>1503</v>
      </c>
      <c r="H438" s="125">
        <v>25619.83</v>
      </c>
      <c r="I438" s="125">
        <v>0</v>
      </c>
      <c r="J438" s="125">
        <v>0</v>
      </c>
      <c r="K438" s="125">
        <v>0</v>
      </c>
      <c r="L438" s="125">
        <v>0</v>
      </c>
      <c r="M438" s="125">
        <v>5380.17</v>
      </c>
      <c r="N438" s="125">
        <v>0</v>
      </c>
      <c r="O438" s="125">
        <v>0</v>
      </c>
      <c r="P438" s="125">
        <v>0</v>
      </c>
      <c r="Q438" s="125">
        <v>0</v>
      </c>
      <c r="R438" s="125">
        <v>5380.17</v>
      </c>
      <c r="S438" s="125">
        <v>31000</v>
      </c>
      <c r="T438" s="125"/>
    </row>
    <row r="439" spans="1:20" ht="15" customHeight="1" x14ac:dyDescent="0.25">
      <c r="A439" s="125" t="s">
        <v>1502</v>
      </c>
      <c r="B439" s="125" t="s">
        <v>791</v>
      </c>
      <c r="C439" s="125" t="s">
        <v>792</v>
      </c>
      <c r="D439" s="125" t="s">
        <v>656</v>
      </c>
      <c r="E439" s="125" t="s">
        <v>793</v>
      </c>
      <c r="F439" s="125" t="s">
        <v>690</v>
      </c>
      <c r="G439" s="125" t="s">
        <v>1504</v>
      </c>
      <c r="H439" s="125">
        <v>13223.14</v>
      </c>
      <c r="I439" s="125">
        <v>0</v>
      </c>
      <c r="J439" s="125">
        <v>0</v>
      </c>
      <c r="K439" s="125">
        <v>0</v>
      </c>
      <c r="L439" s="125">
        <v>0</v>
      </c>
      <c r="M439" s="125">
        <v>2776.86</v>
      </c>
      <c r="N439" s="125">
        <v>0</v>
      </c>
      <c r="O439" s="125">
        <v>0</v>
      </c>
      <c r="P439" s="125">
        <v>0</v>
      </c>
      <c r="Q439" s="125">
        <v>0</v>
      </c>
      <c r="R439" s="125">
        <v>2776.86</v>
      </c>
      <c r="S439" s="125">
        <v>16000</v>
      </c>
      <c r="T439" s="125"/>
    </row>
    <row r="440" spans="1:20" ht="15" customHeight="1" x14ac:dyDescent="0.25">
      <c r="A440" s="125" t="s">
        <v>1502</v>
      </c>
      <c r="B440" s="125" t="s">
        <v>791</v>
      </c>
      <c r="C440" s="125" t="s">
        <v>792</v>
      </c>
      <c r="D440" s="125" t="s">
        <v>656</v>
      </c>
      <c r="E440" s="125" t="s">
        <v>793</v>
      </c>
      <c r="F440" s="125" t="s">
        <v>690</v>
      </c>
      <c r="G440" s="125" t="s">
        <v>1505</v>
      </c>
      <c r="H440" s="125">
        <v>24793.39</v>
      </c>
      <c r="I440" s="125">
        <v>0</v>
      </c>
      <c r="J440" s="125">
        <v>0</v>
      </c>
      <c r="K440" s="125">
        <v>0</v>
      </c>
      <c r="L440" s="125">
        <v>0</v>
      </c>
      <c r="M440" s="125">
        <v>5206.6099999999997</v>
      </c>
      <c r="N440" s="125">
        <v>0</v>
      </c>
      <c r="O440" s="125">
        <v>0</v>
      </c>
      <c r="P440" s="125">
        <v>0</v>
      </c>
      <c r="Q440" s="125">
        <v>0</v>
      </c>
      <c r="R440" s="125">
        <v>5206.6099999999997</v>
      </c>
      <c r="S440" s="125">
        <v>30000</v>
      </c>
      <c r="T440" s="125"/>
    </row>
    <row r="441" spans="1:20" ht="15" customHeight="1" x14ac:dyDescent="0.25">
      <c r="A441" s="125" t="s">
        <v>1502</v>
      </c>
      <c r="B441" s="125" t="s">
        <v>791</v>
      </c>
      <c r="C441" s="125" t="s">
        <v>792</v>
      </c>
      <c r="D441" s="125" t="s">
        <v>656</v>
      </c>
      <c r="E441" s="125" t="s">
        <v>793</v>
      </c>
      <c r="F441" s="125" t="s">
        <v>690</v>
      </c>
      <c r="G441" s="125" t="s">
        <v>1506</v>
      </c>
      <c r="H441" s="125">
        <v>19834.71</v>
      </c>
      <c r="I441" s="125">
        <v>0</v>
      </c>
      <c r="J441" s="125">
        <v>0</v>
      </c>
      <c r="K441" s="125">
        <v>0</v>
      </c>
      <c r="L441" s="125">
        <v>0</v>
      </c>
      <c r="M441" s="125">
        <v>4165.29</v>
      </c>
      <c r="N441" s="125">
        <v>0</v>
      </c>
      <c r="O441" s="125">
        <v>0</v>
      </c>
      <c r="P441" s="125">
        <v>0</v>
      </c>
      <c r="Q441" s="125">
        <v>0</v>
      </c>
      <c r="R441" s="125">
        <v>4165.29</v>
      </c>
      <c r="S441" s="125">
        <v>24000</v>
      </c>
      <c r="T441" s="125"/>
    </row>
    <row r="442" spans="1:20" ht="15" customHeight="1" x14ac:dyDescent="0.25">
      <c r="A442" s="125" t="s">
        <v>1502</v>
      </c>
      <c r="B442" s="125" t="s">
        <v>791</v>
      </c>
      <c r="C442" s="125" t="s">
        <v>792</v>
      </c>
      <c r="D442" s="125" t="s">
        <v>656</v>
      </c>
      <c r="E442" s="125" t="s">
        <v>793</v>
      </c>
      <c r="F442" s="125" t="s">
        <v>690</v>
      </c>
      <c r="G442" s="125" t="s">
        <v>1507</v>
      </c>
      <c r="H442" s="125">
        <v>19834.71</v>
      </c>
      <c r="I442" s="125">
        <v>0</v>
      </c>
      <c r="J442" s="125">
        <v>0</v>
      </c>
      <c r="K442" s="125">
        <v>0</v>
      </c>
      <c r="L442" s="125">
        <v>0</v>
      </c>
      <c r="M442" s="125">
        <v>4165.29</v>
      </c>
      <c r="N442" s="125">
        <v>0</v>
      </c>
      <c r="O442" s="125">
        <v>0</v>
      </c>
      <c r="P442" s="125">
        <v>0</v>
      </c>
      <c r="Q442" s="125">
        <v>0</v>
      </c>
      <c r="R442" s="125">
        <v>4165.29</v>
      </c>
      <c r="S442" s="125">
        <v>24000</v>
      </c>
      <c r="T442" s="125"/>
    </row>
    <row r="443" spans="1:20" ht="15" customHeight="1" x14ac:dyDescent="0.25">
      <c r="A443" s="125" t="s">
        <v>1502</v>
      </c>
      <c r="B443" s="125" t="s">
        <v>1508</v>
      </c>
      <c r="C443" s="125" t="s">
        <v>1509</v>
      </c>
      <c r="D443" s="125" t="s">
        <v>656</v>
      </c>
      <c r="E443" s="125" t="s">
        <v>793</v>
      </c>
      <c r="F443" s="125" t="s">
        <v>690</v>
      </c>
      <c r="G443" s="125" t="s">
        <v>1510</v>
      </c>
      <c r="H443" s="125">
        <v>21487.599999999999</v>
      </c>
      <c r="I443" s="125">
        <v>0</v>
      </c>
      <c r="J443" s="125">
        <v>0</v>
      </c>
      <c r="K443" s="125">
        <v>0</v>
      </c>
      <c r="L443" s="125">
        <v>0</v>
      </c>
      <c r="M443" s="125">
        <v>4512.3999999999996</v>
      </c>
      <c r="N443" s="125">
        <v>0</v>
      </c>
      <c r="O443" s="125">
        <v>0</v>
      </c>
      <c r="P443" s="125">
        <v>0</v>
      </c>
      <c r="Q443" s="125">
        <v>0</v>
      </c>
      <c r="R443" s="125">
        <v>4512.3999999999996</v>
      </c>
      <c r="S443" s="125">
        <v>26000</v>
      </c>
      <c r="T443" s="125"/>
    </row>
    <row r="444" spans="1:20" ht="15" customHeight="1" x14ac:dyDescent="0.25">
      <c r="A444" s="125" t="s">
        <v>1502</v>
      </c>
      <c r="B444" s="125" t="s">
        <v>791</v>
      </c>
      <c r="C444" s="125" t="s">
        <v>792</v>
      </c>
      <c r="D444" s="125" t="s">
        <v>656</v>
      </c>
      <c r="E444" s="125" t="s">
        <v>793</v>
      </c>
      <c r="F444" s="125" t="s">
        <v>690</v>
      </c>
      <c r="G444" s="125" t="s">
        <v>1511</v>
      </c>
      <c r="H444" s="125">
        <v>18595.04</v>
      </c>
      <c r="I444" s="125">
        <v>0</v>
      </c>
      <c r="J444" s="125">
        <v>0</v>
      </c>
      <c r="K444" s="125">
        <v>0</v>
      </c>
      <c r="L444" s="125">
        <v>0</v>
      </c>
      <c r="M444" s="125">
        <v>3904.96</v>
      </c>
      <c r="N444" s="125">
        <v>0</v>
      </c>
      <c r="O444" s="125">
        <v>0</v>
      </c>
      <c r="P444" s="125">
        <v>0</v>
      </c>
      <c r="Q444" s="125">
        <v>0</v>
      </c>
      <c r="R444" s="125">
        <v>3904.96</v>
      </c>
      <c r="S444" s="125">
        <v>22500</v>
      </c>
      <c r="T444" s="125"/>
    </row>
    <row r="445" spans="1:20" ht="15" customHeight="1" x14ac:dyDescent="0.25">
      <c r="A445" s="125" t="s">
        <v>1502</v>
      </c>
      <c r="B445" s="125" t="s">
        <v>791</v>
      </c>
      <c r="C445" s="125" t="s">
        <v>792</v>
      </c>
      <c r="D445" s="125" t="s">
        <v>656</v>
      </c>
      <c r="E445" s="125" t="s">
        <v>793</v>
      </c>
      <c r="F445" s="125" t="s">
        <v>690</v>
      </c>
      <c r="G445" s="125" t="s">
        <v>1512</v>
      </c>
      <c r="H445" s="125">
        <v>26446.28</v>
      </c>
      <c r="I445" s="125">
        <v>0</v>
      </c>
      <c r="J445" s="125">
        <v>0</v>
      </c>
      <c r="K445" s="125">
        <v>0</v>
      </c>
      <c r="L445" s="125">
        <v>0</v>
      </c>
      <c r="M445" s="125">
        <v>5553.72</v>
      </c>
      <c r="N445" s="125">
        <v>0</v>
      </c>
      <c r="O445" s="125">
        <v>0</v>
      </c>
      <c r="P445" s="125">
        <v>0</v>
      </c>
      <c r="Q445" s="125">
        <v>0</v>
      </c>
      <c r="R445" s="125">
        <v>5553.72</v>
      </c>
      <c r="S445" s="125">
        <v>32000</v>
      </c>
      <c r="T445" s="125"/>
    </row>
    <row r="446" spans="1:20" ht="15" customHeight="1" x14ac:dyDescent="0.25">
      <c r="A446" s="125" t="s">
        <v>1502</v>
      </c>
      <c r="B446" s="125" t="s">
        <v>791</v>
      </c>
      <c r="C446" s="125" t="s">
        <v>792</v>
      </c>
      <c r="D446" s="125" t="s">
        <v>656</v>
      </c>
      <c r="E446" s="125" t="s">
        <v>793</v>
      </c>
      <c r="F446" s="125" t="s">
        <v>690</v>
      </c>
      <c r="G446" s="125" t="s">
        <v>1513</v>
      </c>
      <c r="H446" s="125">
        <v>26446.28</v>
      </c>
      <c r="I446" s="125">
        <v>0</v>
      </c>
      <c r="J446" s="125">
        <v>0</v>
      </c>
      <c r="K446" s="125">
        <v>0</v>
      </c>
      <c r="L446" s="125">
        <v>0</v>
      </c>
      <c r="M446" s="125">
        <v>5553.72</v>
      </c>
      <c r="N446" s="125">
        <v>0</v>
      </c>
      <c r="O446" s="125">
        <v>0</v>
      </c>
      <c r="P446" s="125">
        <v>0</v>
      </c>
      <c r="Q446" s="125">
        <v>0</v>
      </c>
      <c r="R446" s="125">
        <v>5553.72</v>
      </c>
      <c r="S446" s="125">
        <v>32000</v>
      </c>
      <c r="T446" s="125"/>
    </row>
    <row r="447" spans="1:20" ht="15" customHeight="1" x14ac:dyDescent="0.25">
      <c r="A447" s="125" t="s">
        <v>1514</v>
      </c>
      <c r="B447" s="125" t="s">
        <v>206</v>
      </c>
      <c r="C447" s="125" t="s">
        <v>805</v>
      </c>
      <c r="D447" s="125" t="s">
        <v>656</v>
      </c>
      <c r="E447" s="125" t="s">
        <v>793</v>
      </c>
      <c r="F447" s="125" t="s">
        <v>650</v>
      </c>
      <c r="G447" s="125" t="s">
        <v>1515</v>
      </c>
      <c r="H447" s="125">
        <v>2049008.26</v>
      </c>
      <c r="I447" s="125">
        <v>0</v>
      </c>
      <c r="J447" s="125">
        <v>0</v>
      </c>
      <c r="K447" s="125">
        <v>0</v>
      </c>
      <c r="L447" s="125">
        <v>0</v>
      </c>
      <c r="M447" s="125">
        <v>430291.74</v>
      </c>
      <c r="N447" s="125">
        <v>0</v>
      </c>
      <c r="O447" s="125">
        <v>0</v>
      </c>
      <c r="P447" s="125">
        <v>0</v>
      </c>
      <c r="Q447" s="125">
        <v>0</v>
      </c>
      <c r="R447" s="125">
        <v>430291.74</v>
      </c>
      <c r="S447" s="125">
        <v>2479300</v>
      </c>
      <c r="T447" s="125"/>
    </row>
    <row r="448" spans="1:20" ht="15" customHeight="1" x14ac:dyDescent="0.25">
      <c r="A448" s="125" t="s">
        <v>1514</v>
      </c>
      <c r="B448" s="125" t="s">
        <v>791</v>
      </c>
      <c r="C448" s="125" t="s">
        <v>792</v>
      </c>
      <c r="D448" s="125" t="s">
        <v>656</v>
      </c>
      <c r="E448" s="125" t="s">
        <v>793</v>
      </c>
      <c r="F448" s="125" t="s">
        <v>690</v>
      </c>
      <c r="G448" s="125" t="s">
        <v>1516</v>
      </c>
      <c r="H448" s="125">
        <v>32644.63</v>
      </c>
      <c r="I448" s="125">
        <v>0</v>
      </c>
      <c r="J448" s="125">
        <v>0</v>
      </c>
      <c r="K448" s="125">
        <v>0</v>
      </c>
      <c r="L448" s="125">
        <v>0</v>
      </c>
      <c r="M448" s="125">
        <v>6855.37</v>
      </c>
      <c r="N448" s="125">
        <v>0</v>
      </c>
      <c r="O448" s="125">
        <v>0</v>
      </c>
      <c r="P448" s="125">
        <v>0</v>
      </c>
      <c r="Q448" s="125">
        <v>0</v>
      </c>
      <c r="R448" s="125">
        <v>6855.37</v>
      </c>
      <c r="S448" s="125">
        <v>39500</v>
      </c>
      <c r="T448" s="125"/>
    </row>
    <row r="449" spans="1:20" ht="15" customHeight="1" x14ac:dyDescent="0.25">
      <c r="A449" s="125" t="s">
        <v>1514</v>
      </c>
      <c r="B449" s="125" t="s">
        <v>791</v>
      </c>
      <c r="C449" s="125" t="s">
        <v>792</v>
      </c>
      <c r="D449" s="125" t="s">
        <v>656</v>
      </c>
      <c r="E449" s="125" t="s">
        <v>793</v>
      </c>
      <c r="F449" s="125" t="s">
        <v>690</v>
      </c>
      <c r="G449" s="125" t="s">
        <v>1517</v>
      </c>
      <c r="H449" s="125">
        <v>57851.24</v>
      </c>
      <c r="I449" s="125">
        <v>0</v>
      </c>
      <c r="J449" s="125">
        <v>0</v>
      </c>
      <c r="K449" s="125">
        <v>0</v>
      </c>
      <c r="L449" s="125">
        <v>0</v>
      </c>
      <c r="M449" s="125">
        <v>12148.76</v>
      </c>
      <c r="N449" s="125">
        <v>0</v>
      </c>
      <c r="O449" s="125">
        <v>0</v>
      </c>
      <c r="P449" s="125">
        <v>0</v>
      </c>
      <c r="Q449" s="125">
        <v>0</v>
      </c>
      <c r="R449" s="125">
        <v>12148.76</v>
      </c>
      <c r="S449" s="125">
        <v>70000</v>
      </c>
      <c r="T449" s="125"/>
    </row>
    <row r="450" spans="1:20" ht="15" customHeight="1" x14ac:dyDescent="0.25">
      <c r="A450" s="125" t="s">
        <v>1514</v>
      </c>
      <c r="B450" s="125" t="s">
        <v>800</v>
      </c>
      <c r="C450" s="125" t="s">
        <v>801</v>
      </c>
      <c r="D450" s="125" t="s">
        <v>656</v>
      </c>
      <c r="E450" s="125" t="s">
        <v>793</v>
      </c>
      <c r="F450" s="125" t="s">
        <v>650</v>
      </c>
      <c r="G450" s="125" t="s">
        <v>1518</v>
      </c>
      <c r="H450" s="125">
        <v>1498230</v>
      </c>
      <c r="I450" s="125">
        <v>0</v>
      </c>
      <c r="J450" s="125">
        <v>0</v>
      </c>
      <c r="K450" s="125">
        <v>0</v>
      </c>
      <c r="L450" s="125">
        <v>0</v>
      </c>
      <c r="M450" s="125">
        <v>314628.3</v>
      </c>
      <c r="N450" s="125">
        <v>0</v>
      </c>
      <c r="O450" s="125">
        <v>0</v>
      </c>
      <c r="P450" s="125">
        <v>0</v>
      </c>
      <c r="Q450" s="125">
        <v>0</v>
      </c>
      <c r="R450" s="125">
        <v>314628.3</v>
      </c>
      <c r="S450" s="125">
        <v>1812858.3</v>
      </c>
      <c r="T450" s="125"/>
    </row>
    <row r="451" spans="1:20" ht="15" customHeight="1" x14ac:dyDescent="0.25">
      <c r="A451" s="125" t="s">
        <v>1514</v>
      </c>
      <c r="B451" s="125" t="s">
        <v>791</v>
      </c>
      <c r="C451" s="125" t="s">
        <v>792</v>
      </c>
      <c r="D451" s="125" t="s">
        <v>656</v>
      </c>
      <c r="E451" s="125" t="s">
        <v>793</v>
      </c>
      <c r="F451" s="125" t="s">
        <v>690</v>
      </c>
      <c r="G451" s="125" t="s">
        <v>1519</v>
      </c>
      <c r="H451" s="125">
        <v>7438.02</v>
      </c>
      <c r="I451" s="125">
        <v>0</v>
      </c>
      <c r="J451" s="125">
        <v>0</v>
      </c>
      <c r="K451" s="125">
        <v>0</v>
      </c>
      <c r="L451" s="125">
        <v>0</v>
      </c>
      <c r="M451" s="125">
        <v>1561.98</v>
      </c>
      <c r="N451" s="125">
        <v>0</v>
      </c>
      <c r="O451" s="125">
        <v>0</v>
      </c>
      <c r="P451" s="125">
        <v>0</v>
      </c>
      <c r="Q451" s="125">
        <v>0</v>
      </c>
      <c r="R451" s="125">
        <v>1561.98</v>
      </c>
      <c r="S451" s="125">
        <v>9000</v>
      </c>
      <c r="T451" s="125"/>
    </row>
    <row r="452" spans="1:20" ht="15" customHeight="1" x14ac:dyDescent="0.25">
      <c r="A452" s="125" t="s">
        <v>1514</v>
      </c>
      <c r="B452" s="125" t="s">
        <v>791</v>
      </c>
      <c r="C452" s="125" t="s">
        <v>792</v>
      </c>
      <c r="D452" s="125" t="s">
        <v>656</v>
      </c>
      <c r="E452" s="125" t="s">
        <v>793</v>
      </c>
      <c r="F452" s="125" t="s">
        <v>690</v>
      </c>
      <c r="G452" s="125" t="s">
        <v>1520</v>
      </c>
      <c r="H452" s="125">
        <v>16528.93</v>
      </c>
      <c r="I452" s="125">
        <v>0</v>
      </c>
      <c r="J452" s="125">
        <v>0</v>
      </c>
      <c r="K452" s="125">
        <v>0</v>
      </c>
      <c r="L452" s="125">
        <v>0</v>
      </c>
      <c r="M452" s="125">
        <v>3471.07</v>
      </c>
      <c r="N452" s="125">
        <v>0</v>
      </c>
      <c r="O452" s="125">
        <v>0</v>
      </c>
      <c r="P452" s="125">
        <v>0</v>
      </c>
      <c r="Q452" s="125">
        <v>0</v>
      </c>
      <c r="R452" s="125">
        <v>3471.07</v>
      </c>
      <c r="S452" s="125">
        <v>20000</v>
      </c>
      <c r="T452" s="125"/>
    </row>
    <row r="453" spans="1:20" ht="15" customHeight="1" x14ac:dyDescent="0.25">
      <c r="A453" s="125" t="s">
        <v>1514</v>
      </c>
      <c r="B453" s="125" t="s">
        <v>1521</v>
      </c>
      <c r="C453" s="125" t="s">
        <v>1522</v>
      </c>
      <c r="D453" s="125" t="s">
        <v>656</v>
      </c>
      <c r="E453" s="125" t="s">
        <v>793</v>
      </c>
      <c r="F453" s="125" t="s">
        <v>690</v>
      </c>
      <c r="G453" s="125" t="s">
        <v>1523</v>
      </c>
      <c r="H453" s="125">
        <v>70247.929999999993</v>
      </c>
      <c r="I453" s="125">
        <v>0</v>
      </c>
      <c r="J453" s="125">
        <v>0</v>
      </c>
      <c r="K453" s="125">
        <v>0</v>
      </c>
      <c r="L453" s="125">
        <v>0</v>
      </c>
      <c r="M453" s="125">
        <v>14752.07</v>
      </c>
      <c r="N453" s="125">
        <v>0</v>
      </c>
      <c r="O453" s="125">
        <v>0</v>
      </c>
      <c r="P453" s="125">
        <v>0</v>
      </c>
      <c r="Q453" s="125">
        <v>0</v>
      </c>
      <c r="R453" s="125">
        <v>14752.07</v>
      </c>
      <c r="S453" s="125">
        <v>85000</v>
      </c>
      <c r="T453" s="125"/>
    </row>
    <row r="454" spans="1:20" ht="15" customHeight="1" x14ac:dyDescent="0.25">
      <c r="A454" s="125" t="s">
        <v>1514</v>
      </c>
      <c r="B454" s="125" t="s">
        <v>798</v>
      </c>
      <c r="C454" s="125" t="s">
        <v>799</v>
      </c>
      <c r="D454" s="125" t="s">
        <v>656</v>
      </c>
      <c r="E454" s="125" t="s">
        <v>793</v>
      </c>
      <c r="F454" s="125" t="s">
        <v>650</v>
      </c>
      <c r="G454" s="125" t="s">
        <v>1524</v>
      </c>
      <c r="H454" s="125">
        <v>6285875.3600000003</v>
      </c>
      <c r="I454" s="125">
        <v>0</v>
      </c>
      <c r="J454" s="125">
        <v>0</v>
      </c>
      <c r="K454" s="125">
        <v>0</v>
      </c>
      <c r="L454" s="125">
        <v>0</v>
      </c>
      <c r="M454" s="125">
        <v>1320033.82</v>
      </c>
      <c r="N454" s="125">
        <v>0</v>
      </c>
      <c r="O454" s="125">
        <v>0</v>
      </c>
      <c r="P454" s="125">
        <v>0</v>
      </c>
      <c r="Q454" s="125">
        <v>0</v>
      </c>
      <c r="R454" s="125">
        <v>1320033.82</v>
      </c>
      <c r="S454" s="125">
        <v>7605909.1799999997</v>
      </c>
      <c r="T454" s="125"/>
    </row>
    <row r="455" spans="1:20" ht="15" customHeight="1" x14ac:dyDescent="0.25">
      <c r="A455" s="125" t="s">
        <v>1514</v>
      </c>
      <c r="B455" s="125" t="s">
        <v>791</v>
      </c>
      <c r="C455" s="125" t="s">
        <v>792</v>
      </c>
      <c r="D455" s="125" t="s">
        <v>656</v>
      </c>
      <c r="E455" s="125" t="s">
        <v>793</v>
      </c>
      <c r="F455" s="125" t="s">
        <v>690</v>
      </c>
      <c r="G455" s="125" t="s">
        <v>1525</v>
      </c>
      <c r="H455" s="125">
        <v>37190.080000000002</v>
      </c>
      <c r="I455" s="125">
        <v>0</v>
      </c>
      <c r="J455" s="125">
        <v>0</v>
      </c>
      <c r="K455" s="125">
        <v>0</v>
      </c>
      <c r="L455" s="125">
        <v>0</v>
      </c>
      <c r="M455" s="125">
        <v>7809.92</v>
      </c>
      <c r="N455" s="125">
        <v>0</v>
      </c>
      <c r="O455" s="125">
        <v>0</v>
      </c>
      <c r="P455" s="125">
        <v>0</v>
      </c>
      <c r="Q455" s="125">
        <v>0</v>
      </c>
      <c r="R455" s="125">
        <v>7809.92</v>
      </c>
      <c r="S455" s="125">
        <v>45000</v>
      </c>
      <c r="T455" s="125"/>
    </row>
    <row r="456" spans="1:20" ht="15" customHeight="1" x14ac:dyDescent="0.25">
      <c r="A456" s="125" t="s">
        <v>1514</v>
      </c>
      <c r="B456" s="125" t="s">
        <v>791</v>
      </c>
      <c r="C456" s="125" t="s">
        <v>792</v>
      </c>
      <c r="D456" s="125" t="s">
        <v>656</v>
      </c>
      <c r="E456" s="125" t="s">
        <v>793</v>
      </c>
      <c r="F456" s="125" t="s">
        <v>690</v>
      </c>
      <c r="G456" s="125" t="s">
        <v>1526</v>
      </c>
      <c r="H456" s="125">
        <v>206611.57</v>
      </c>
      <c r="I456" s="125">
        <v>0</v>
      </c>
      <c r="J456" s="125">
        <v>0</v>
      </c>
      <c r="K456" s="125">
        <v>0</v>
      </c>
      <c r="L456" s="125">
        <v>0</v>
      </c>
      <c r="M456" s="125">
        <v>43388.43</v>
      </c>
      <c r="N456" s="125">
        <v>0</v>
      </c>
      <c r="O456" s="125">
        <v>0</v>
      </c>
      <c r="P456" s="125">
        <v>0</v>
      </c>
      <c r="Q456" s="125">
        <v>0</v>
      </c>
      <c r="R456" s="125">
        <v>43388.43</v>
      </c>
      <c r="S456" s="125">
        <v>250000</v>
      </c>
      <c r="T456" s="125"/>
    </row>
    <row r="457" spans="1:20" ht="15" customHeight="1" x14ac:dyDescent="0.25">
      <c r="A457" s="125" t="s">
        <v>1514</v>
      </c>
      <c r="B457" s="125" t="s">
        <v>791</v>
      </c>
      <c r="C457" s="125" t="s">
        <v>792</v>
      </c>
      <c r="D457" s="125" t="s">
        <v>656</v>
      </c>
      <c r="E457" s="125" t="s">
        <v>793</v>
      </c>
      <c r="F457" s="125" t="s">
        <v>690</v>
      </c>
      <c r="G457" s="125" t="s">
        <v>1527</v>
      </c>
      <c r="H457" s="125">
        <v>18595.04</v>
      </c>
      <c r="I457" s="125">
        <v>0</v>
      </c>
      <c r="J457" s="125">
        <v>0</v>
      </c>
      <c r="K457" s="125">
        <v>0</v>
      </c>
      <c r="L457" s="125">
        <v>0</v>
      </c>
      <c r="M457" s="125">
        <v>3904.96</v>
      </c>
      <c r="N457" s="125">
        <v>0</v>
      </c>
      <c r="O457" s="125">
        <v>0</v>
      </c>
      <c r="P457" s="125">
        <v>0</v>
      </c>
      <c r="Q457" s="125">
        <v>0</v>
      </c>
      <c r="R457" s="125">
        <v>3904.96</v>
      </c>
      <c r="S457" s="125">
        <v>22500</v>
      </c>
      <c r="T457" s="125"/>
    </row>
    <row r="458" spans="1:20" ht="15" customHeight="1" x14ac:dyDescent="0.25">
      <c r="A458" s="125" t="s">
        <v>1514</v>
      </c>
      <c r="B458" s="125" t="s">
        <v>791</v>
      </c>
      <c r="C458" s="125" t="s">
        <v>792</v>
      </c>
      <c r="D458" s="125" t="s">
        <v>656</v>
      </c>
      <c r="E458" s="125" t="s">
        <v>793</v>
      </c>
      <c r="F458" s="125" t="s">
        <v>690</v>
      </c>
      <c r="G458" s="125" t="s">
        <v>1528</v>
      </c>
      <c r="H458" s="125">
        <v>44628.1</v>
      </c>
      <c r="I458" s="125">
        <v>0</v>
      </c>
      <c r="J458" s="125">
        <v>0</v>
      </c>
      <c r="K458" s="125">
        <v>0</v>
      </c>
      <c r="L458" s="125">
        <v>0</v>
      </c>
      <c r="M458" s="125">
        <v>9371.9</v>
      </c>
      <c r="N458" s="125">
        <v>0</v>
      </c>
      <c r="O458" s="125">
        <v>0</v>
      </c>
      <c r="P458" s="125">
        <v>0</v>
      </c>
      <c r="Q458" s="125">
        <v>0</v>
      </c>
      <c r="R458" s="125">
        <v>9371.9</v>
      </c>
      <c r="S458" s="125">
        <v>54000</v>
      </c>
      <c r="T458" s="125"/>
    </row>
    <row r="459" spans="1:20" ht="15" customHeight="1" x14ac:dyDescent="0.25">
      <c r="A459" s="125" t="s">
        <v>1514</v>
      </c>
      <c r="B459" s="125" t="s">
        <v>1170</v>
      </c>
      <c r="C459" s="125" t="s">
        <v>1171</v>
      </c>
      <c r="D459" s="125" t="s">
        <v>656</v>
      </c>
      <c r="E459" s="125" t="s">
        <v>793</v>
      </c>
      <c r="F459" s="125" t="s">
        <v>804</v>
      </c>
      <c r="G459" s="125" t="s">
        <v>1529</v>
      </c>
      <c r="H459" s="125">
        <v>-3814049.59</v>
      </c>
      <c r="I459" s="125">
        <v>0</v>
      </c>
      <c r="J459" s="125">
        <v>0</v>
      </c>
      <c r="K459" s="125">
        <v>0</v>
      </c>
      <c r="L459" s="125">
        <v>0</v>
      </c>
      <c r="M459" s="125">
        <v>-800950.41</v>
      </c>
      <c r="N459" s="125">
        <v>0</v>
      </c>
      <c r="O459" s="125">
        <v>0</v>
      </c>
      <c r="P459" s="125">
        <v>0</v>
      </c>
      <c r="Q459" s="125">
        <v>0</v>
      </c>
      <c r="R459" s="125">
        <v>-800950.41</v>
      </c>
      <c r="S459" s="125">
        <v>-4615000</v>
      </c>
      <c r="T459" s="125"/>
    </row>
    <row r="460" spans="1:20" ht="15" customHeight="1" x14ac:dyDescent="0.25">
      <c r="A460" s="125" t="s">
        <v>1514</v>
      </c>
      <c r="B460" s="125" t="s">
        <v>1530</v>
      </c>
      <c r="C460" s="242">
        <v>30522428163</v>
      </c>
      <c r="D460" s="125" t="s">
        <v>656</v>
      </c>
      <c r="E460" s="125" t="s">
        <v>793</v>
      </c>
      <c r="F460" s="125" t="s">
        <v>650</v>
      </c>
      <c r="G460" s="125" t="s">
        <v>1531</v>
      </c>
      <c r="H460" s="243">
        <v>226011.71</v>
      </c>
      <c r="I460" s="125">
        <v>0</v>
      </c>
      <c r="J460" s="125">
        <v>0</v>
      </c>
      <c r="K460" s="125">
        <v>0</v>
      </c>
      <c r="L460" s="125">
        <v>0</v>
      </c>
      <c r="M460" s="243">
        <v>47462.46</v>
      </c>
      <c r="N460" s="125">
        <v>0</v>
      </c>
      <c r="O460" s="125">
        <v>0</v>
      </c>
      <c r="P460" s="125">
        <v>0</v>
      </c>
      <c r="Q460" s="125">
        <v>0</v>
      </c>
      <c r="R460" s="243">
        <v>47462.46</v>
      </c>
      <c r="S460" s="243">
        <v>273474.15999999997</v>
      </c>
      <c r="T460" s="125" t="s">
        <v>1538</v>
      </c>
    </row>
    <row r="461" spans="1:20" ht="15" customHeight="1" x14ac:dyDescent="0.25">
      <c r="A461" s="125" t="s">
        <v>1514</v>
      </c>
      <c r="B461" s="125" t="s">
        <v>798</v>
      </c>
      <c r="C461" s="242">
        <v>30683032227</v>
      </c>
      <c r="D461" s="125" t="s">
        <v>656</v>
      </c>
      <c r="E461" s="125" t="s">
        <v>793</v>
      </c>
      <c r="F461" s="125" t="s">
        <v>650</v>
      </c>
      <c r="G461" s="125" t="s">
        <v>1532</v>
      </c>
      <c r="H461" s="243">
        <v>2681410.33</v>
      </c>
      <c r="I461" s="125">
        <v>0</v>
      </c>
      <c r="J461" s="125">
        <v>0</v>
      </c>
      <c r="K461" s="125">
        <v>0</v>
      </c>
      <c r="L461" s="125">
        <v>0</v>
      </c>
      <c r="M461" s="243">
        <v>563096.17000000004</v>
      </c>
      <c r="N461" s="125">
        <v>0</v>
      </c>
      <c r="O461" s="125">
        <v>0</v>
      </c>
      <c r="P461" s="125">
        <v>0</v>
      </c>
      <c r="Q461" s="125">
        <v>0</v>
      </c>
      <c r="R461" s="243">
        <v>563096.17000000004</v>
      </c>
      <c r="S461" s="243">
        <v>3244506.48</v>
      </c>
      <c r="T461" s="125" t="s">
        <v>1538</v>
      </c>
    </row>
    <row r="462" spans="1:20" ht="15" customHeight="1" x14ac:dyDescent="0.25">
      <c r="A462" s="125" t="s">
        <v>1514</v>
      </c>
      <c r="B462" s="125" t="s">
        <v>1530</v>
      </c>
      <c r="C462" s="242">
        <v>30522428163</v>
      </c>
      <c r="D462" s="125" t="s">
        <v>656</v>
      </c>
      <c r="E462" s="125" t="s">
        <v>793</v>
      </c>
      <c r="F462" s="125" t="s">
        <v>650</v>
      </c>
      <c r="G462" s="125" t="s">
        <v>1533</v>
      </c>
      <c r="H462" s="243">
        <v>1930296.38</v>
      </c>
      <c r="I462" s="125">
        <v>0</v>
      </c>
      <c r="J462" s="125">
        <v>0</v>
      </c>
      <c r="K462" s="125">
        <v>0</v>
      </c>
      <c r="L462" s="125">
        <v>0</v>
      </c>
      <c r="M462" s="243">
        <v>405362.24</v>
      </c>
      <c r="N462" s="125">
        <v>0</v>
      </c>
      <c r="O462" s="125">
        <v>0</v>
      </c>
      <c r="P462" s="125">
        <v>0</v>
      </c>
      <c r="Q462" s="125">
        <v>0</v>
      </c>
      <c r="R462" s="243">
        <v>405362.24</v>
      </c>
      <c r="S462" s="243">
        <v>2335658.62</v>
      </c>
      <c r="T462" s="125" t="s">
        <v>1538</v>
      </c>
    </row>
    <row r="463" spans="1:20" ht="15" customHeight="1" x14ac:dyDescent="0.25">
      <c r="A463" s="125" t="s">
        <v>1514</v>
      </c>
      <c r="B463" s="125" t="s">
        <v>1530</v>
      </c>
      <c r="C463" s="242">
        <v>30522428163</v>
      </c>
      <c r="D463" s="125" t="s">
        <v>656</v>
      </c>
      <c r="E463" s="125" t="s">
        <v>793</v>
      </c>
      <c r="F463" s="125" t="s">
        <v>650</v>
      </c>
      <c r="G463" s="125" t="s">
        <v>1534</v>
      </c>
      <c r="H463" s="243">
        <v>2886275.76</v>
      </c>
      <c r="I463" s="125">
        <v>0</v>
      </c>
      <c r="J463" s="125">
        <v>0</v>
      </c>
      <c r="K463" s="125">
        <v>0</v>
      </c>
      <c r="L463" s="125">
        <v>0</v>
      </c>
      <c r="M463" s="243">
        <v>606117.91</v>
      </c>
      <c r="N463" s="125">
        <v>0</v>
      </c>
      <c r="O463" s="125">
        <v>0</v>
      </c>
      <c r="P463" s="125">
        <v>0</v>
      </c>
      <c r="Q463" s="125">
        <v>0</v>
      </c>
      <c r="R463" s="243">
        <v>606117.91</v>
      </c>
      <c r="S463" s="243">
        <v>3492393.66</v>
      </c>
      <c r="T463" s="125" t="s">
        <v>1538</v>
      </c>
    </row>
    <row r="464" spans="1:20" ht="15" customHeight="1" x14ac:dyDescent="0.25">
      <c r="A464" s="125" t="s">
        <v>1514</v>
      </c>
      <c r="B464" s="125" t="s">
        <v>44</v>
      </c>
      <c r="C464" s="242">
        <v>30590354798</v>
      </c>
      <c r="D464" s="125"/>
      <c r="E464" s="125" t="s">
        <v>793</v>
      </c>
      <c r="F464" s="125" t="s">
        <v>804</v>
      </c>
      <c r="G464" s="125" t="s">
        <v>1535</v>
      </c>
      <c r="H464" s="243">
        <v>2268976.86</v>
      </c>
      <c r="I464" s="125">
        <v>0</v>
      </c>
      <c r="J464" s="125">
        <v>0</v>
      </c>
      <c r="K464" s="125">
        <v>0</v>
      </c>
      <c r="L464" s="125">
        <v>0</v>
      </c>
      <c r="M464" s="243">
        <v>476485.14</v>
      </c>
      <c r="N464" s="125">
        <v>0</v>
      </c>
      <c r="O464" s="125">
        <v>0</v>
      </c>
      <c r="P464" s="125">
        <v>0</v>
      </c>
      <c r="Q464" s="125">
        <v>0</v>
      </c>
      <c r="R464" s="243">
        <v>476485.14</v>
      </c>
      <c r="S464" s="243">
        <v>2745461.99</v>
      </c>
      <c r="T464" s="125" t="s">
        <v>1538</v>
      </c>
    </row>
    <row r="465" spans="1:20" ht="15" customHeight="1" x14ac:dyDescent="0.25">
      <c r="A465" s="125" t="s">
        <v>1514</v>
      </c>
      <c r="B465" s="125" t="s">
        <v>1530</v>
      </c>
      <c r="C465" s="242">
        <v>30522428163</v>
      </c>
      <c r="D465" s="125" t="s">
        <v>656</v>
      </c>
      <c r="E465" s="125" t="s">
        <v>793</v>
      </c>
      <c r="F465" s="125" t="s">
        <v>650</v>
      </c>
      <c r="G465" s="125" t="s">
        <v>1536</v>
      </c>
      <c r="H465" s="243">
        <v>26368794.050000001</v>
      </c>
      <c r="I465" s="125">
        <v>0</v>
      </c>
      <c r="J465" s="125">
        <v>0</v>
      </c>
      <c r="K465" s="125">
        <v>0</v>
      </c>
      <c r="L465" s="125">
        <v>0</v>
      </c>
      <c r="M465" s="243">
        <v>5537446.75</v>
      </c>
      <c r="N465" s="125">
        <v>0</v>
      </c>
      <c r="O465" s="125">
        <v>0</v>
      </c>
      <c r="P465" s="125">
        <v>0</v>
      </c>
      <c r="Q465" s="125">
        <v>0</v>
      </c>
      <c r="R465" s="243">
        <v>5537446.75</v>
      </c>
      <c r="S465" s="243">
        <v>31906240.82</v>
      </c>
      <c r="T465" s="125" t="s">
        <v>1538</v>
      </c>
    </row>
    <row r="466" spans="1:20" ht="15" customHeight="1" x14ac:dyDescent="0.25">
      <c r="A466" s="125" t="s">
        <v>1514</v>
      </c>
      <c r="B466" s="125" t="s">
        <v>1530</v>
      </c>
      <c r="C466" s="242">
        <v>30522428163</v>
      </c>
      <c r="D466" s="125" t="s">
        <v>656</v>
      </c>
      <c r="E466" s="125" t="s">
        <v>793</v>
      </c>
      <c r="F466" s="125" t="s">
        <v>650</v>
      </c>
      <c r="G466" s="125" t="s">
        <v>1537</v>
      </c>
      <c r="H466" s="243">
        <v>3503108.48</v>
      </c>
      <c r="I466" s="125">
        <v>0</v>
      </c>
      <c r="J466" s="125">
        <v>0</v>
      </c>
      <c r="K466" s="125">
        <v>0</v>
      </c>
      <c r="L466" s="125">
        <v>0</v>
      </c>
      <c r="M466" s="243">
        <v>735652.78</v>
      </c>
      <c r="N466" s="125">
        <v>0</v>
      </c>
      <c r="O466" s="125">
        <v>0</v>
      </c>
      <c r="P466" s="125">
        <v>0</v>
      </c>
      <c r="Q466" s="125">
        <v>0</v>
      </c>
      <c r="R466" s="243">
        <v>735652.78</v>
      </c>
      <c r="S466" s="243">
        <v>4238761.25</v>
      </c>
      <c r="T466" s="125" t="s">
        <v>1538</v>
      </c>
    </row>
  </sheetData>
  <autoFilter ref="A11:T466" xr:uid="{00000000-0009-0000-0000-000003000000}"/>
  <mergeCells count="1">
    <mergeCell ref="C2:G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W186"/>
  <sheetViews>
    <sheetView topLeftCell="A153" zoomScale="80" zoomScaleNormal="80" workbookViewId="0">
      <selection activeCell="O181" sqref="O181"/>
    </sheetView>
  </sheetViews>
  <sheetFormatPr baseColWidth="10" defaultColWidth="10.5703125" defaultRowHeight="15" customHeight="1" x14ac:dyDescent="0.25"/>
  <cols>
    <col min="1" max="1" width="13.42578125" customWidth="1"/>
    <col min="2" max="2" width="13.85546875" customWidth="1"/>
    <col min="3" max="3" width="22" customWidth="1"/>
    <col min="4" max="4" width="33.5703125" customWidth="1"/>
    <col min="5" max="5" width="20.5703125" bestFit="1" customWidth="1"/>
    <col min="7" max="7" width="13.28515625" style="280" customWidth="1"/>
    <col min="8" max="8" width="7.7109375" style="280" customWidth="1"/>
    <col min="9" max="9" width="25.5703125" style="280" bestFit="1" customWidth="1"/>
    <col min="10" max="11" width="23.85546875" style="280" bestFit="1" customWidth="1"/>
    <col min="12" max="12" width="33.7109375" style="280" bestFit="1" customWidth="1"/>
    <col min="13" max="13" width="17.28515625" style="280" customWidth="1"/>
    <col min="14" max="14" width="16.5703125" style="280" bestFit="1" customWidth="1"/>
    <col min="15" max="15" width="14.140625" style="280" bestFit="1" customWidth="1"/>
    <col min="16" max="16" width="7.140625" style="280" customWidth="1"/>
    <col min="17" max="17" width="7.5703125" style="280" customWidth="1"/>
    <col min="18" max="18" width="13.85546875" style="280" customWidth="1"/>
    <col min="19" max="19" width="17" style="280" bestFit="1" customWidth="1"/>
    <col min="20" max="20" width="13.85546875" style="280" bestFit="1" customWidth="1"/>
    <col min="21" max="21" width="18" style="280" bestFit="1" customWidth="1"/>
    <col min="22" max="22" width="14.5703125" customWidth="1"/>
  </cols>
  <sheetData>
    <row r="1" spans="1:23" ht="30" x14ac:dyDescent="0.25">
      <c r="A1" s="124" t="s">
        <v>626</v>
      </c>
      <c r="B1" s="124" t="s">
        <v>627</v>
      </c>
      <c r="C1" s="124" t="s">
        <v>628</v>
      </c>
      <c r="D1" s="124" t="s">
        <v>629</v>
      </c>
      <c r="E1" s="124" t="s">
        <v>630</v>
      </c>
      <c r="F1" s="124" t="s">
        <v>631</v>
      </c>
      <c r="G1" s="281" t="s">
        <v>632</v>
      </c>
      <c r="H1" s="281" t="s">
        <v>633</v>
      </c>
      <c r="I1" s="281" t="s">
        <v>634</v>
      </c>
      <c r="J1" s="281" t="s">
        <v>635</v>
      </c>
      <c r="K1" s="281" t="s">
        <v>636</v>
      </c>
      <c r="L1" s="281" t="s">
        <v>637</v>
      </c>
      <c r="M1" s="281" t="s">
        <v>638</v>
      </c>
      <c r="N1" s="281" t="s">
        <v>639</v>
      </c>
      <c r="O1" s="281" t="s">
        <v>640</v>
      </c>
      <c r="P1" s="281" t="s">
        <v>641</v>
      </c>
      <c r="Q1" s="281" t="s">
        <v>642</v>
      </c>
      <c r="R1" s="281" t="s">
        <v>643</v>
      </c>
      <c r="S1" s="281" t="s">
        <v>644</v>
      </c>
      <c r="T1" s="281" t="s">
        <v>619</v>
      </c>
      <c r="U1" s="281" t="s">
        <v>645</v>
      </c>
      <c r="V1" s="124" t="s">
        <v>646</v>
      </c>
      <c r="W1" s="245" t="s">
        <v>942</v>
      </c>
    </row>
    <row r="2" spans="1:23" x14ac:dyDescent="0.25">
      <c r="A2" s="125" t="s">
        <v>1363</v>
      </c>
      <c r="B2" s="125" t="s">
        <v>1363</v>
      </c>
      <c r="C2" s="287" t="s">
        <v>1769</v>
      </c>
      <c r="D2" s="125" t="s">
        <v>1554</v>
      </c>
      <c r="E2" s="125" t="s">
        <v>1770</v>
      </c>
      <c r="F2" s="125" t="s">
        <v>650</v>
      </c>
      <c r="G2" s="279">
        <v>0</v>
      </c>
      <c r="H2" s="279">
        <v>0</v>
      </c>
      <c r="I2" s="279">
        <v>400000</v>
      </c>
      <c r="J2" s="279">
        <v>0</v>
      </c>
      <c r="K2" s="279">
        <v>0</v>
      </c>
      <c r="L2" s="279">
        <v>0</v>
      </c>
      <c r="M2" s="279">
        <v>0</v>
      </c>
      <c r="N2" s="279">
        <v>42000</v>
      </c>
      <c r="O2" s="279">
        <v>0</v>
      </c>
      <c r="P2" s="279">
        <v>0</v>
      </c>
      <c r="Q2" s="279">
        <v>0</v>
      </c>
      <c r="R2" s="279">
        <v>0</v>
      </c>
      <c r="S2" s="279">
        <v>0</v>
      </c>
      <c r="T2" s="279">
        <v>0</v>
      </c>
      <c r="U2" s="279">
        <v>442000</v>
      </c>
      <c r="V2" s="125" t="s">
        <v>655</v>
      </c>
      <c r="W2" s="284"/>
    </row>
    <row r="3" spans="1:23" x14ac:dyDescent="0.25">
      <c r="A3" s="125" t="s">
        <v>1420</v>
      </c>
      <c r="B3" s="125" t="s">
        <v>1420</v>
      </c>
      <c r="C3" s="287" t="s">
        <v>1704</v>
      </c>
      <c r="D3" s="125" t="s">
        <v>428</v>
      </c>
      <c r="E3" s="125" t="s">
        <v>687</v>
      </c>
      <c r="F3" s="125" t="s">
        <v>650</v>
      </c>
      <c r="G3" s="279">
        <v>0</v>
      </c>
      <c r="H3" s="279">
        <v>0</v>
      </c>
      <c r="I3" s="279">
        <v>0</v>
      </c>
      <c r="J3" s="279">
        <v>2411808.75</v>
      </c>
      <c r="K3" s="279">
        <v>0</v>
      </c>
      <c r="L3" s="279">
        <v>0</v>
      </c>
      <c r="M3" s="279">
        <v>0</v>
      </c>
      <c r="N3" s="279">
        <v>506479.84</v>
      </c>
      <c r="O3" s="279">
        <v>0</v>
      </c>
      <c r="P3" s="279">
        <v>0</v>
      </c>
      <c r="Q3" s="279">
        <v>0</v>
      </c>
      <c r="R3" s="279">
        <v>0</v>
      </c>
      <c r="S3" s="279">
        <v>0</v>
      </c>
      <c r="T3" s="279">
        <v>0</v>
      </c>
      <c r="U3" s="279">
        <v>2918288.59</v>
      </c>
      <c r="V3" s="125" t="s">
        <v>651</v>
      </c>
      <c r="W3" s="284"/>
    </row>
    <row r="4" spans="1:23" ht="15" customHeight="1" x14ac:dyDescent="0.25">
      <c r="A4" s="125" t="s">
        <v>1440</v>
      </c>
      <c r="B4" s="125" t="s">
        <v>1440</v>
      </c>
      <c r="C4" s="287" t="s">
        <v>1709</v>
      </c>
      <c r="D4" s="125" t="s">
        <v>428</v>
      </c>
      <c r="E4" s="125" t="s">
        <v>687</v>
      </c>
      <c r="F4" s="125" t="s">
        <v>650</v>
      </c>
      <c r="G4" s="279">
        <v>0</v>
      </c>
      <c r="H4" s="279">
        <v>0</v>
      </c>
      <c r="I4" s="279">
        <v>0</v>
      </c>
      <c r="J4" s="279">
        <v>14480733.75</v>
      </c>
      <c r="K4" s="279">
        <v>0</v>
      </c>
      <c r="L4" s="279">
        <v>0</v>
      </c>
      <c r="M4" s="279">
        <v>0</v>
      </c>
      <c r="N4" s="279">
        <v>3040954.09</v>
      </c>
      <c r="O4" s="279">
        <v>0</v>
      </c>
      <c r="P4" s="279">
        <v>0</v>
      </c>
      <c r="Q4" s="279">
        <v>0</v>
      </c>
      <c r="R4" s="279">
        <v>0</v>
      </c>
      <c r="S4" s="279">
        <v>0</v>
      </c>
      <c r="T4" s="279">
        <v>0</v>
      </c>
      <c r="U4" s="279">
        <v>17521687.84</v>
      </c>
      <c r="V4" s="125" t="s">
        <v>651</v>
      </c>
    </row>
    <row r="5" spans="1:23" ht="15" customHeight="1" x14ac:dyDescent="0.25">
      <c r="A5" s="125" t="s">
        <v>1457</v>
      </c>
      <c r="B5" s="125" t="s">
        <v>1457</v>
      </c>
      <c r="C5" s="287" t="s">
        <v>1718</v>
      </c>
      <c r="D5" s="125" t="s">
        <v>428</v>
      </c>
      <c r="E5" s="125" t="s">
        <v>687</v>
      </c>
      <c r="F5" s="125" t="s">
        <v>650</v>
      </c>
      <c r="G5" s="279">
        <v>0</v>
      </c>
      <c r="H5" s="279">
        <v>0</v>
      </c>
      <c r="I5" s="279">
        <v>0</v>
      </c>
      <c r="J5" s="279">
        <v>1647975</v>
      </c>
      <c r="K5" s="279">
        <v>0</v>
      </c>
      <c r="L5" s="279">
        <v>0</v>
      </c>
      <c r="M5" s="279">
        <v>0</v>
      </c>
      <c r="N5" s="279">
        <v>346074.75</v>
      </c>
      <c r="O5" s="279">
        <v>0</v>
      </c>
      <c r="P5" s="279">
        <v>0</v>
      </c>
      <c r="Q5" s="279">
        <v>0</v>
      </c>
      <c r="R5" s="279">
        <v>0</v>
      </c>
      <c r="S5" s="279">
        <v>0</v>
      </c>
      <c r="T5" s="279">
        <v>0</v>
      </c>
      <c r="U5" s="279">
        <v>1994049.75</v>
      </c>
      <c r="V5" s="125" t="s">
        <v>651</v>
      </c>
    </row>
    <row r="6" spans="1:23" ht="15" customHeight="1" x14ac:dyDescent="0.25">
      <c r="A6" s="125" t="s">
        <v>1457</v>
      </c>
      <c r="B6" s="125" t="s">
        <v>1457</v>
      </c>
      <c r="C6" s="287" t="s">
        <v>1717</v>
      </c>
      <c r="D6" s="125" t="s">
        <v>428</v>
      </c>
      <c r="E6" s="125" t="s">
        <v>687</v>
      </c>
      <c r="F6" s="125" t="s">
        <v>650</v>
      </c>
      <c r="G6" s="279">
        <v>0</v>
      </c>
      <c r="H6" s="279">
        <v>0</v>
      </c>
      <c r="I6" s="279">
        <v>0</v>
      </c>
      <c r="J6" s="279">
        <v>206561.25</v>
      </c>
      <c r="K6" s="279">
        <v>0</v>
      </c>
      <c r="L6" s="279">
        <v>0</v>
      </c>
      <c r="M6" s="279">
        <v>0</v>
      </c>
      <c r="N6" s="279">
        <v>43377.86</v>
      </c>
      <c r="O6" s="279">
        <v>0</v>
      </c>
      <c r="P6" s="279">
        <v>0</v>
      </c>
      <c r="Q6" s="279">
        <v>0</v>
      </c>
      <c r="R6" s="279">
        <v>0</v>
      </c>
      <c r="S6" s="279">
        <v>0</v>
      </c>
      <c r="T6" s="279">
        <v>0</v>
      </c>
      <c r="U6" s="279">
        <v>249939.11</v>
      </c>
      <c r="V6" s="125" t="s">
        <v>651</v>
      </c>
    </row>
    <row r="7" spans="1:23" ht="15" customHeight="1" x14ac:dyDescent="0.25">
      <c r="A7" s="125" t="s">
        <v>960</v>
      </c>
      <c r="B7" s="125" t="s">
        <v>960</v>
      </c>
      <c r="C7" s="287" t="s">
        <v>1564</v>
      </c>
      <c r="D7" s="125" t="s">
        <v>922</v>
      </c>
      <c r="E7" s="125" t="s">
        <v>923</v>
      </c>
      <c r="F7" s="125" t="s">
        <v>650</v>
      </c>
      <c r="G7" s="279">
        <v>0</v>
      </c>
      <c r="H7" s="279">
        <v>0</v>
      </c>
      <c r="I7" s="279">
        <v>0</v>
      </c>
      <c r="J7" s="279">
        <v>184800</v>
      </c>
      <c r="K7" s="279">
        <v>0</v>
      </c>
      <c r="L7" s="279">
        <v>0</v>
      </c>
      <c r="M7" s="279">
        <v>0</v>
      </c>
      <c r="N7" s="279">
        <v>38808</v>
      </c>
      <c r="O7" s="279">
        <v>0</v>
      </c>
      <c r="P7" s="279">
        <v>0</v>
      </c>
      <c r="Q7" s="279">
        <v>0</v>
      </c>
      <c r="R7" s="279">
        <v>0</v>
      </c>
      <c r="S7" s="279">
        <v>0</v>
      </c>
      <c r="T7" s="279">
        <v>0</v>
      </c>
      <c r="U7" s="279">
        <v>223608</v>
      </c>
      <c r="V7" s="125" t="s">
        <v>655</v>
      </c>
    </row>
    <row r="8" spans="1:23" ht="15" customHeight="1" x14ac:dyDescent="0.25">
      <c r="A8" s="125" t="s">
        <v>960</v>
      </c>
      <c r="B8" s="125" t="s">
        <v>1137</v>
      </c>
      <c r="C8" s="287" t="s">
        <v>1599</v>
      </c>
      <c r="D8" s="125" t="s">
        <v>667</v>
      </c>
      <c r="E8" s="125" t="s">
        <v>926</v>
      </c>
      <c r="F8" s="125" t="s">
        <v>650</v>
      </c>
      <c r="G8" s="279">
        <v>0</v>
      </c>
      <c r="H8" s="279">
        <v>0</v>
      </c>
      <c r="I8" s="279">
        <v>0</v>
      </c>
      <c r="J8" s="279">
        <v>62349.01</v>
      </c>
      <c r="K8" s="279">
        <v>0</v>
      </c>
      <c r="L8" s="279">
        <v>0</v>
      </c>
      <c r="M8" s="279">
        <v>0</v>
      </c>
      <c r="N8" s="279">
        <v>13093.29</v>
      </c>
      <c r="O8" s="279">
        <v>0</v>
      </c>
      <c r="P8" s="279">
        <v>0</v>
      </c>
      <c r="Q8" s="279">
        <v>0</v>
      </c>
      <c r="R8" s="279">
        <v>2493.96</v>
      </c>
      <c r="S8" s="279">
        <v>0</v>
      </c>
      <c r="T8" s="279">
        <v>0</v>
      </c>
      <c r="U8" s="279">
        <v>77936.259999999995</v>
      </c>
      <c r="V8" s="125" t="s">
        <v>655</v>
      </c>
    </row>
    <row r="9" spans="1:23" ht="15" customHeight="1" x14ac:dyDescent="0.25">
      <c r="A9" s="125" t="s">
        <v>1471</v>
      </c>
      <c r="B9" s="125" t="s">
        <v>1471</v>
      </c>
      <c r="C9" s="287" t="s">
        <v>1721</v>
      </c>
      <c r="D9" s="125" t="s">
        <v>577</v>
      </c>
      <c r="E9" s="125" t="s">
        <v>694</v>
      </c>
      <c r="F9" s="125" t="s">
        <v>650</v>
      </c>
      <c r="G9" s="279">
        <v>0</v>
      </c>
      <c r="H9" s="279">
        <v>0</v>
      </c>
      <c r="I9" s="279">
        <v>0</v>
      </c>
      <c r="J9" s="279">
        <v>474914.87</v>
      </c>
      <c r="K9" s="279">
        <v>0</v>
      </c>
      <c r="L9" s="279">
        <v>0</v>
      </c>
      <c r="M9" s="279">
        <v>0</v>
      </c>
      <c r="N9" s="279">
        <v>99732.12</v>
      </c>
      <c r="O9" s="279">
        <v>0</v>
      </c>
      <c r="P9" s="279">
        <v>0</v>
      </c>
      <c r="Q9" s="279">
        <v>0</v>
      </c>
      <c r="R9" s="279">
        <v>0</v>
      </c>
      <c r="S9" s="279">
        <v>0</v>
      </c>
      <c r="T9" s="279">
        <v>0</v>
      </c>
      <c r="U9" s="279">
        <v>574646.99</v>
      </c>
      <c r="V9" s="125" t="s">
        <v>665</v>
      </c>
    </row>
    <row r="10" spans="1:23" ht="15" customHeight="1" x14ac:dyDescent="0.25">
      <c r="A10" s="125" t="s">
        <v>1471</v>
      </c>
      <c r="B10" s="125" t="s">
        <v>1471</v>
      </c>
      <c r="C10" s="287" t="s">
        <v>1744</v>
      </c>
      <c r="D10" s="125" t="s">
        <v>577</v>
      </c>
      <c r="E10" s="125" t="s">
        <v>694</v>
      </c>
      <c r="F10" s="125" t="s">
        <v>650</v>
      </c>
      <c r="G10" s="279">
        <v>0</v>
      </c>
      <c r="H10" s="279">
        <v>0</v>
      </c>
      <c r="I10" s="279">
        <v>0</v>
      </c>
      <c r="J10" s="279">
        <v>474914.87</v>
      </c>
      <c r="K10" s="279">
        <v>0</v>
      </c>
      <c r="L10" s="279">
        <v>0</v>
      </c>
      <c r="M10" s="279">
        <v>0</v>
      </c>
      <c r="N10" s="279">
        <v>99732.12</v>
      </c>
      <c r="O10" s="279">
        <v>0</v>
      </c>
      <c r="P10" s="279">
        <v>0</v>
      </c>
      <c r="Q10" s="279">
        <v>0</v>
      </c>
      <c r="R10" s="279">
        <v>0</v>
      </c>
      <c r="S10" s="279">
        <v>0</v>
      </c>
      <c r="T10" s="279">
        <v>0</v>
      </c>
      <c r="U10" s="279">
        <v>574646.99</v>
      </c>
      <c r="V10" s="125" t="s">
        <v>665</v>
      </c>
    </row>
    <row r="11" spans="1:23" ht="15" customHeight="1" x14ac:dyDescent="0.25">
      <c r="A11" s="125" t="s">
        <v>1457</v>
      </c>
      <c r="B11" s="125" t="s">
        <v>1457</v>
      </c>
      <c r="C11" s="287" t="s">
        <v>1712</v>
      </c>
      <c r="D11" s="125" t="s">
        <v>1713</v>
      </c>
      <c r="E11" s="125" t="s">
        <v>1714</v>
      </c>
      <c r="F11" s="125" t="s">
        <v>650</v>
      </c>
      <c r="G11" s="279">
        <v>0</v>
      </c>
      <c r="H11" s="279">
        <v>0</v>
      </c>
      <c r="I11" s="279">
        <v>0</v>
      </c>
      <c r="J11" s="279">
        <v>49950</v>
      </c>
      <c r="K11" s="279">
        <v>0</v>
      </c>
      <c r="L11" s="279">
        <v>0</v>
      </c>
      <c r="M11" s="279">
        <v>0</v>
      </c>
      <c r="N11" s="279">
        <v>10489.5</v>
      </c>
      <c r="O11" s="279">
        <v>0</v>
      </c>
      <c r="P11" s="279">
        <v>0</v>
      </c>
      <c r="Q11" s="279">
        <v>0</v>
      </c>
      <c r="R11" s="279">
        <v>0</v>
      </c>
      <c r="S11" s="279">
        <v>0</v>
      </c>
      <c r="T11" s="279">
        <v>0</v>
      </c>
      <c r="U11" s="279">
        <v>60439.5</v>
      </c>
      <c r="V11" s="125" t="s">
        <v>651</v>
      </c>
    </row>
    <row r="12" spans="1:23" ht="15" customHeight="1" x14ac:dyDescent="0.25">
      <c r="A12" s="125" t="s">
        <v>960</v>
      </c>
      <c r="B12" s="125" t="s">
        <v>1093</v>
      </c>
      <c r="C12" s="287" t="s">
        <v>1582</v>
      </c>
      <c r="D12" s="125" t="s">
        <v>106</v>
      </c>
      <c r="E12" s="125" t="s">
        <v>908</v>
      </c>
      <c r="F12" s="125" t="s">
        <v>650</v>
      </c>
      <c r="G12" s="279">
        <v>0</v>
      </c>
      <c r="H12" s="279">
        <v>0</v>
      </c>
      <c r="I12" s="279">
        <v>0</v>
      </c>
      <c r="J12" s="279">
        <v>2160580.9900000002</v>
      </c>
      <c r="K12" s="279">
        <v>0</v>
      </c>
      <c r="L12" s="279">
        <v>0</v>
      </c>
      <c r="M12" s="279">
        <v>0</v>
      </c>
      <c r="N12" s="279">
        <v>453722.01</v>
      </c>
      <c r="O12" s="279">
        <v>0</v>
      </c>
      <c r="P12" s="279">
        <v>0</v>
      </c>
      <c r="Q12" s="279">
        <v>0</v>
      </c>
      <c r="R12" s="279">
        <v>0</v>
      </c>
      <c r="S12" s="279">
        <v>0</v>
      </c>
      <c r="T12" s="279">
        <v>0</v>
      </c>
      <c r="U12" s="279">
        <v>2614303</v>
      </c>
      <c r="V12" s="125" t="s">
        <v>655</v>
      </c>
    </row>
    <row r="13" spans="1:23" ht="15" customHeight="1" x14ac:dyDescent="0.25">
      <c r="A13" s="125" t="s">
        <v>999</v>
      </c>
      <c r="B13" s="125" t="s">
        <v>999</v>
      </c>
      <c r="C13" s="287" t="s">
        <v>1571</v>
      </c>
      <c r="D13" s="125" t="s">
        <v>660</v>
      </c>
      <c r="E13" s="125" t="s">
        <v>681</v>
      </c>
      <c r="F13" s="125" t="s">
        <v>650</v>
      </c>
      <c r="G13" s="279">
        <v>0</v>
      </c>
      <c r="H13" s="279">
        <v>0</v>
      </c>
      <c r="I13" s="279">
        <v>0</v>
      </c>
      <c r="J13" s="279">
        <v>69400</v>
      </c>
      <c r="K13" s="279">
        <v>0</v>
      </c>
      <c r="L13" s="279">
        <v>0</v>
      </c>
      <c r="M13" s="279">
        <v>0</v>
      </c>
      <c r="N13" s="279">
        <v>14574</v>
      </c>
      <c r="O13" s="279">
        <v>0</v>
      </c>
      <c r="P13" s="279">
        <v>0</v>
      </c>
      <c r="Q13" s="279">
        <v>0</v>
      </c>
      <c r="R13" s="279">
        <v>0</v>
      </c>
      <c r="S13" s="279">
        <v>0</v>
      </c>
      <c r="T13" s="279">
        <v>0</v>
      </c>
      <c r="U13" s="279">
        <v>83974</v>
      </c>
      <c r="V13" s="125" t="s">
        <v>651</v>
      </c>
    </row>
    <row r="14" spans="1:23" ht="15" customHeight="1" x14ac:dyDescent="0.25">
      <c r="A14" s="125" t="s">
        <v>1041</v>
      </c>
      <c r="B14" s="125" t="s">
        <v>1041</v>
      </c>
      <c r="C14" s="287" t="s">
        <v>1573</v>
      </c>
      <c r="D14" s="125" t="s">
        <v>660</v>
      </c>
      <c r="E14" s="125" t="s">
        <v>681</v>
      </c>
      <c r="F14" s="125" t="s">
        <v>650</v>
      </c>
      <c r="G14" s="279">
        <v>0</v>
      </c>
      <c r="H14" s="279">
        <v>0</v>
      </c>
      <c r="I14" s="279">
        <v>0</v>
      </c>
      <c r="J14" s="279">
        <v>309200</v>
      </c>
      <c r="K14" s="279">
        <v>0</v>
      </c>
      <c r="L14" s="279">
        <v>0</v>
      </c>
      <c r="M14" s="279">
        <v>0</v>
      </c>
      <c r="N14" s="279">
        <v>64932</v>
      </c>
      <c r="O14" s="279">
        <v>0</v>
      </c>
      <c r="P14" s="279">
        <v>0</v>
      </c>
      <c r="Q14" s="279">
        <v>0</v>
      </c>
      <c r="R14" s="279">
        <v>0</v>
      </c>
      <c r="S14" s="279">
        <v>0</v>
      </c>
      <c r="T14" s="279">
        <v>0</v>
      </c>
      <c r="U14" s="279">
        <v>374132</v>
      </c>
      <c r="V14" s="125" t="s">
        <v>651</v>
      </c>
    </row>
    <row r="15" spans="1:23" ht="15" customHeight="1" x14ac:dyDescent="0.25">
      <c r="A15" s="125" t="s">
        <v>1137</v>
      </c>
      <c r="B15" s="125" t="s">
        <v>1137</v>
      </c>
      <c r="C15" s="287" t="s">
        <v>1604</v>
      </c>
      <c r="D15" s="125" t="s">
        <v>660</v>
      </c>
      <c r="E15" s="125" t="s">
        <v>681</v>
      </c>
      <c r="F15" s="125" t="s">
        <v>650</v>
      </c>
      <c r="G15" s="279">
        <v>0</v>
      </c>
      <c r="H15" s="279">
        <v>0</v>
      </c>
      <c r="I15" s="279">
        <v>0</v>
      </c>
      <c r="J15" s="279">
        <v>66700</v>
      </c>
      <c r="K15" s="279">
        <v>0</v>
      </c>
      <c r="L15" s="279">
        <v>0</v>
      </c>
      <c r="M15" s="279">
        <v>0</v>
      </c>
      <c r="N15" s="279">
        <v>14007</v>
      </c>
      <c r="O15" s="279">
        <v>0</v>
      </c>
      <c r="P15" s="279">
        <v>0</v>
      </c>
      <c r="Q15" s="279">
        <v>0</v>
      </c>
      <c r="R15" s="279">
        <v>0</v>
      </c>
      <c r="S15" s="279">
        <v>0</v>
      </c>
      <c r="T15" s="279">
        <v>0</v>
      </c>
      <c r="U15" s="279">
        <v>80707</v>
      </c>
      <c r="V15" s="125" t="s">
        <v>651</v>
      </c>
    </row>
    <row r="16" spans="1:23" ht="15" customHeight="1" x14ac:dyDescent="0.25">
      <c r="A16" s="125" t="s">
        <v>1270</v>
      </c>
      <c r="B16" s="125" t="s">
        <v>1270</v>
      </c>
      <c r="C16" s="287" t="s">
        <v>1663</v>
      </c>
      <c r="D16" s="125" t="s">
        <v>660</v>
      </c>
      <c r="E16" s="125" t="s">
        <v>681</v>
      </c>
      <c r="F16" s="125" t="s">
        <v>650</v>
      </c>
      <c r="G16" s="279">
        <v>0</v>
      </c>
      <c r="H16" s="279">
        <v>0</v>
      </c>
      <c r="I16" s="279">
        <v>0</v>
      </c>
      <c r="J16" s="279">
        <v>155200</v>
      </c>
      <c r="K16" s="279">
        <v>0</v>
      </c>
      <c r="L16" s="279">
        <v>0</v>
      </c>
      <c r="M16" s="279">
        <v>0</v>
      </c>
      <c r="N16" s="279">
        <v>32592</v>
      </c>
      <c r="O16" s="279">
        <v>0</v>
      </c>
      <c r="P16" s="279">
        <v>0</v>
      </c>
      <c r="Q16" s="279">
        <v>0</v>
      </c>
      <c r="R16" s="279">
        <v>0</v>
      </c>
      <c r="S16" s="279">
        <v>0</v>
      </c>
      <c r="T16" s="279">
        <v>0</v>
      </c>
      <c r="U16" s="279">
        <v>187792</v>
      </c>
      <c r="V16" s="125" t="s">
        <v>651</v>
      </c>
    </row>
    <row r="17" spans="1:22" ht="15" customHeight="1" x14ac:dyDescent="0.25">
      <c r="A17" s="125" t="s">
        <v>1401</v>
      </c>
      <c r="B17" s="125" t="s">
        <v>1401</v>
      </c>
      <c r="C17" s="287" t="s">
        <v>1743</v>
      </c>
      <c r="D17" s="125" t="s">
        <v>660</v>
      </c>
      <c r="E17" s="125" t="s">
        <v>681</v>
      </c>
      <c r="F17" s="125" t="s">
        <v>650</v>
      </c>
      <c r="G17" s="279">
        <v>0</v>
      </c>
      <c r="H17" s="279">
        <v>0</v>
      </c>
      <c r="I17" s="279">
        <v>0</v>
      </c>
      <c r="J17" s="279">
        <v>157900</v>
      </c>
      <c r="K17" s="279">
        <v>0</v>
      </c>
      <c r="L17" s="279">
        <v>0</v>
      </c>
      <c r="M17" s="279">
        <v>0</v>
      </c>
      <c r="N17" s="279">
        <v>33159</v>
      </c>
      <c r="O17" s="279">
        <v>0</v>
      </c>
      <c r="P17" s="279">
        <v>0</v>
      </c>
      <c r="Q17" s="279">
        <v>0</v>
      </c>
      <c r="R17" s="279">
        <v>0</v>
      </c>
      <c r="S17" s="279">
        <v>0</v>
      </c>
      <c r="T17" s="279">
        <v>0</v>
      </c>
      <c r="U17" s="279">
        <v>191059</v>
      </c>
      <c r="V17" s="125" t="s">
        <v>651</v>
      </c>
    </row>
    <row r="18" spans="1:22" ht="15" customHeight="1" x14ac:dyDescent="0.25">
      <c r="A18" s="125" t="s">
        <v>1502</v>
      </c>
      <c r="B18" s="125" t="s">
        <v>1502</v>
      </c>
      <c r="C18" s="287" t="s">
        <v>1746</v>
      </c>
      <c r="D18" s="125" t="s">
        <v>660</v>
      </c>
      <c r="E18" s="125" t="s">
        <v>681</v>
      </c>
      <c r="F18" s="125" t="s">
        <v>650</v>
      </c>
      <c r="G18" s="279">
        <v>0</v>
      </c>
      <c r="H18" s="279">
        <v>0</v>
      </c>
      <c r="I18" s="279">
        <v>0</v>
      </c>
      <c r="J18" s="279">
        <v>28500</v>
      </c>
      <c r="K18" s="279">
        <v>0</v>
      </c>
      <c r="L18" s="279">
        <v>0</v>
      </c>
      <c r="M18" s="279">
        <v>0</v>
      </c>
      <c r="N18" s="279">
        <v>5985</v>
      </c>
      <c r="O18" s="279">
        <v>0</v>
      </c>
      <c r="P18" s="279">
        <v>0</v>
      </c>
      <c r="Q18" s="279">
        <v>0</v>
      </c>
      <c r="R18" s="279">
        <v>0</v>
      </c>
      <c r="S18" s="279">
        <v>0</v>
      </c>
      <c r="T18" s="279">
        <v>0</v>
      </c>
      <c r="U18" s="279">
        <v>34485</v>
      </c>
      <c r="V18" s="125" t="s">
        <v>651</v>
      </c>
    </row>
    <row r="19" spans="1:22" ht="15" customHeight="1" x14ac:dyDescent="0.25">
      <c r="A19" s="125" t="s">
        <v>1194</v>
      </c>
      <c r="B19" s="125" t="s">
        <v>1194</v>
      </c>
      <c r="C19" s="287" t="s">
        <v>1738</v>
      </c>
      <c r="D19" s="125" t="s">
        <v>1739</v>
      </c>
      <c r="E19" s="125" t="s">
        <v>1740</v>
      </c>
      <c r="F19" s="125" t="s">
        <v>650</v>
      </c>
      <c r="G19" s="279">
        <v>0</v>
      </c>
      <c r="H19" s="279">
        <v>0</v>
      </c>
      <c r="I19" s="279">
        <v>0</v>
      </c>
      <c r="J19" s="279">
        <v>17347.11</v>
      </c>
      <c r="K19" s="279">
        <v>0</v>
      </c>
      <c r="L19" s="279">
        <v>0</v>
      </c>
      <c r="M19" s="279">
        <v>0</v>
      </c>
      <c r="N19" s="279">
        <v>3642.89</v>
      </c>
      <c r="O19" s="279">
        <v>0</v>
      </c>
      <c r="P19" s="279">
        <v>0</v>
      </c>
      <c r="Q19" s="279">
        <v>0</v>
      </c>
      <c r="R19" s="279">
        <v>0</v>
      </c>
      <c r="S19" s="279">
        <v>0</v>
      </c>
      <c r="T19" s="279">
        <v>0</v>
      </c>
      <c r="U19" s="279">
        <v>20990</v>
      </c>
      <c r="V19" s="125" t="s">
        <v>651</v>
      </c>
    </row>
    <row r="20" spans="1:22" ht="15" customHeight="1" x14ac:dyDescent="0.25">
      <c r="A20" s="125" t="s">
        <v>1164</v>
      </c>
      <c r="B20" s="125" t="s">
        <v>1164</v>
      </c>
      <c r="C20" s="287" t="s">
        <v>1618</v>
      </c>
      <c r="D20" s="125" t="s">
        <v>1544</v>
      </c>
      <c r="E20" s="125" t="s">
        <v>1619</v>
      </c>
      <c r="F20" s="125" t="s">
        <v>650</v>
      </c>
      <c r="G20" s="279">
        <v>0</v>
      </c>
      <c r="H20" s="279">
        <v>0</v>
      </c>
      <c r="I20" s="279">
        <v>0</v>
      </c>
      <c r="J20" s="279">
        <v>294876.03000000003</v>
      </c>
      <c r="K20" s="279">
        <v>0</v>
      </c>
      <c r="L20" s="279">
        <v>0</v>
      </c>
      <c r="M20" s="279">
        <v>0</v>
      </c>
      <c r="N20" s="279">
        <v>61923.97</v>
      </c>
      <c r="O20" s="279">
        <v>0</v>
      </c>
      <c r="P20" s="279">
        <v>0</v>
      </c>
      <c r="Q20" s="279">
        <v>0</v>
      </c>
      <c r="R20" s="279">
        <v>0</v>
      </c>
      <c r="S20" s="279">
        <v>0</v>
      </c>
      <c r="T20" s="279">
        <v>0</v>
      </c>
      <c r="U20" s="279">
        <v>356800</v>
      </c>
      <c r="V20" s="125" t="s">
        <v>651</v>
      </c>
    </row>
    <row r="21" spans="1:22" ht="15" customHeight="1" x14ac:dyDescent="0.25">
      <c r="A21" s="125" t="s">
        <v>1401</v>
      </c>
      <c r="B21" s="125" t="s">
        <v>1401</v>
      </c>
      <c r="C21" s="287" t="s">
        <v>1700</v>
      </c>
      <c r="D21" s="125" t="s">
        <v>1544</v>
      </c>
      <c r="E21" s="125" t="s">
        <v>1619</v>
      </c>
      <c r="F21" s="125" t="s">
        <v>650</v>
      </c>
      <c r="G21" s="279">
        <v>0</v>
      </c>
      <c r="H21" s="279">
        <v>0</v>
      </c>
      <c r="I21" s="279">
        <v>0</v>
      </c>
      <c r="J21" s="279">
        <v>255206.61</v>
      </c>
      <c r="K21" s="279">
        <v>0</v>
      </c>
      <c r="L21" s="279">
        <v>0</v>
      </c>
      <c r="M21" s="279">
        <v>0</v>
      </c>
      <c r="N21" s="279">
        <v>53593.39</v>
      </c>
      <c r="O21" s="279">
        <v>0</v>
      </c>
      <c r="P21" s="279">
        <v>0</v>
      </c>
      <c r="Q21" s="279">
        <v>0</v>
      </c>
      <c r="R21" s="279">
        <v>0</v>
      </c>
      <c r="S21" s="279">
        <v>0</v>
      </c>
      <c r="T21" s="279">
        <v>0</v>
      </c>
      <c r="U21" s="279">
        <v>308800</v>
      </c>
      <c r="V21" s="125" t="s">
        <v>651</v>
      </c>
    </row>
    <row r="22" spans="1:22" ht="15" customHeight="1" x14ac:dyDescent="0.25">
      <c r="A22" s="125" t="s">
        <v>1232</v>
      </c>
      <c r="B22" s="125" t="s">
        <v>1232</v>
      </c>
      <c r="C22" s="287" t="s">
        <v>1634</v>
      </c>
      <c r="D22" s="125" t="s">
        <v>666</v>
      </c>
      <c r="E22" s="125" t="s">
        <v>682</v>
      </c>
      <c r="F22" s="125" t="s">
        <v>650</v>
      </c>
      <c r="G22" s="279">
        <v>0</v>
      </c>
      <c r="H22" s="279">
        <v>0</v>
      </c>
      <c r="I22" s="279">
        <v>0</v>
      </c>
      <c r="J22" s="279">
        <v>46159.19</v>
      </c>
      <c r="K22" s="279">
        <v>0</v>
      </c>
      <c r="L22" s="279">
        <v>0</v>
      </c>
      <c r="M22" s="279">
        <v>0</v>
      </c>
      <c r="N22" s="279">
        <v>9693.43</v>
      </c>
      <c r="O22" s="279">
        <v>0</v>
      </c>
      <c r="P22" s="279">
        <v>0</v>
      </c>
      <c r="Q22" s="279">
        <v>0</v>
      </c>
      <c r="R22" s="279">
        <v>0</v>
      </c>
      <c r="S22" s="279">
        <v>0</v>
      </c>
      <c r="T22" s="279">
        <v>0</v>
      </c>
      <c r="U22" s="279">
        <v>55852.62</v>
      </c>
      <c r="V22" s="125" t="s">
        <v>651</v>
      </c>
    </row>
    <row r="23" spans="1:22" ht="15" customHeight="1" x14ac:dyDescent="0.25">
      <c r="A23" s="125" t="s">
        <v>1440</v>
      </c>
      <c r="B23" s="125" t="s">
        <v>1440</v>
      </c>
      <c r="C23" s="287" t="s">
        <v>1710</v>
      </c>
      <c r="D23" s="125" t="s">
        <v>666</v>
      </c>
      <c r="E23" s="125" t="s">
        <v>682</v>
      </c>
      <c r="F23" s="125" t="s">
        <v>650</v>
      </c>
      <c r="G23" s="279">
        <v>0</v>
      </c>
      <c r="H23" s="279">
        <v>0</v>
      </c>
      <c r="I23" s="279">
        <v>0</v>
      </c>
      <c r="J23" s="279">
        <v>979873.56</v>
      </c>
      <c r="K23" s="279">
        <v>0</v>
      </c>
      <c r="L23" s="279">
        <v>0</v>
      </c>
      <c r="M23" s="279">
        <v>0</v>
      </c>
      <c r="N23" s="279">
        <v>205773.45</v>
      </c>
      <c r="O23" s="279">
        <v>0</v>
      </c>
      <c r="P23" s="279">
        <v>0</v>
      </c>
      <c r="Q23" s="279">
        <v>0</v>
      </c>
      <c r="R23" s="279">
        <v>0</v>
      </c>
      <c r="S23" s="279">
        <v>0</v>
      </c>
      <c r="T23" s="279">
        <v>0</v>
      </c>
      <c r="U23" s="279">
        <v>1185647.01</v>
      </c>
      <c r="V23" s="125" t="s">
        <v>651</v>
      </c>
    </row>
    <row r="24" spans="1:22" ht="15" customHeight="1" x14ac:dyDescent="0.25">
      <c r="A24" s="125" t="s">
        <v>1194</v>
      </c>
      <c r="B24" s="125" t="s">
        <v>1194</v>
      </c>
      <c r="C24" s="287" t="s">
        <v>1759</v>
      </c>
      <c r="D24" s="125" t="s">
        <v>1760</v>
      </c>
      <c r="E24" s="125" t="s">
        <v>1761</v>
      </c>
      <c r="F24" s="125" t="s">
        <v>650</v>
      </c>
      <c r="G24" s="279">
        <v>0</v>
      </c>
      <c r="H24" s="279">
        <v>0</v>
      </c>
      <c r="I24" s="279">
        <v>0</v>
      </c>
      <c r="J24" s="279">
        <v>149681</v>
      </c>
      <c r="K24" s="279">
        <v>0</v>
      </c>
      <c r="L24" s="279">
        <v>0</v>
      </c>
      <c r="M24" s="279">
        <v>0</v>
      </c>
      <c r="N24" s="279">
        <v>31433.01</v>
      </c>
      <c r="O24" s="279">
        <v>0</v>
      </c>
      <c r="P24" s="279">
        <v>0</v>
      </c>
      <c r="Q24" s="279">
        <v>0</v>
      </c>
      <c r="R24" s="279">
        <v>0</v>
      </c>
      <c r="S24" s="279">
        <v>0</v>
      </c>
      <c r="T24" s="279">
        <v>0</v>
      </c>
      <c r="U24" s="279">
        <v>181114.01</v>
      </c>
      <c r="V24" s="125" t="s">
        <v>651</v>
      </c>
    </row>
    <row r="25" spans="1:22" ht="15" customHeight="1" x14ac:dyDescent="0.25">
      <c r="A25" s="125" t="s">
        <v>1041</v>
      </c>
      <c r="B25" s="125" t="s">
        <v>1041</v>
      </c>
      <c r="C25" s="287" t="s">
        <v>1778</v>
      </c>
      <c r="D25" s="125" t="s">
        <v>1779</v>
      </c>
      <c r="E25" s="125" t="s">
        <v>1780</v>
      </c>
      <c r="F25" s="125" t="s">
        <v>650</v>
      </c>
      <c r="G25" s="279">
        <v>0</v>
      </c>
      <c r="H25" s="279">
        <v>0</v>
      </c>
      <c r="I25" s="279">
        <v>0</v>
      </c>
      <c r="J25" s="279">
        <v>13223.14</v>
      </c>
      <c r="K25" s="279">
        <v>0</v>
      </c>
      <c r="L25" s="279">
        <v>0</v>
      </c>
      <c r="M25" s="279">
        <v>0</v>
      </c>
      <c r="N25" s="279">
        <v>2776.86</v>
      </c>
      <c r="O25" s="279">
        <v>0</v>
      </c>
      <c r="P25" s="279">
        <v>0</v>
      </c>
      <c r="Q25" s="279">
        <v>0</v>
      </c>
      <c r="R25" s="279">
        <v>0</v>
      </c>
      <c r="S25" s="279">
        <v>0</v>
      </c>
      <c r="T25" s="279">
        <v>0</v>
      </c>
      <c r="U25" s="279">
        <v>16000</v>
      </c>
      <c r="V25" s="125" t="s">
        <v>651</v>
      </c>
    </row>
    <row r="26" spans="1:22" ht="15" customHeight="1" x14ac:dyDescent="0.25">
      <c r="A26" s="125" t="s">
        <v>1502</v>
      </c>
      <c r="B26" s="125" t="s">
        <v>1502</v>
      </c>
      <c r="C26" s="287" t="s">
        <v>1748</v>
      </c>
      <c r="D26" s="125" t="s">
        <v>1557</v>
      </c>
      <c r="E26" s="125" t="s">
        <v>1749</v>
      </c>
      <c r="F26" s="125" t="s">
        <v>650</v>
      </c>
      <c r="G26" s="279">
        <v>0</v>
      </c>
      <c r="H26" s="279">
        <v>0</v>
      </c>
      <c r="I26" s="279">
        <v>0</v>
      </c>
      <c r="J26" s="279">
        <v>355370.25</v>
      </c>
      <c r="K26" s="279">
        <v>0</v>
      </c>
      <c r="L26" s="279">
        <v>0</v>
      </c>
      <c r="M26" s="279">
        <v>0</v>
      </c>
      <c r="N26" s="279">
        <v>74627.75</v>
      </c>
      <c r="O26" s="279">
        <v>0</v>
      </c>
      <c r="P26" s="279">
        <v>0</v>
      </c>
      <c r="Q26" s="279">
        <v>0</v>
      </c>
      <c r="R26" s="279">
        <v>0</v>
      </c>
      <c r="S26" s="279">
        <v>0</v>
      </c>
      <c r="T26" s="279">
        <v>0</v>
      </c>
      <c r="U26" s="279">
        <v>429998</v>
      </c>
      <c r="V26" s="125" t="s">
        <v>651</v>
      </c>
    </row>
    <row r="27" spans="1:22" ht="15" customHeight="1" x14ac:dyDescent="0.25">
      <c r="A27" s="125" t="s">
        <v>1257</v>
      </c>
      <c r="B27" s="125" t="s">
        <v>1257</v>
      </c>
      <c r="C27" s="287" t="s">
        <v>1654</v>
      </c>
      <c r="D27" s="125" t="s">
        <v>659</v>
      </c>
      <c r="E27" s="125" t="s">
        <v>945</v>
      </c>
      <c r="F27" s="125" t="s">
        <v>650</v>
      </c>
      <c r="G27" s="279">
        <v>0</v>
      </c>
      <c r="H27" s="279">
        <v>0</v>
      </c>
      <c r="I27" s="279">
        <v>0</v>
      </c>
      <c r="J27" s="279">
        <v>1600604</v>
      </c>
      <c r="K27" s="279">
        <v>0</v>
      </c>
      <c r="L27" s="279">
        <v>0</v>
      </c>
      <c r="M27" s="279">
        <v>0</v>
      </c>
      <c r="N27" s="279">
        <v>336126.84</v>
      </c>
      <c r="O27" s="279">
        <v>0</v>
      </c>
      <c r="P27" s="279">
        <v>0</v>
      </c>
      <c r="Q27" s="279">
        <v>0</v>
      </c>
      <c r="R27" s="279">
        <v>0</v>
      </c>
      <c r="S27" s="279">
        <v>0</v>
      </c>
      <c r="T27" s="279">
        <v>0</v>
      </c>
      <c r="U27" s="279">
        <v>1936730.84</v>
      </c>
      <c r="V27" s="125" t="s">
        <v>651</v>
      </c>
    </row>
    <row r="28" spans="1:22" ht="15" customHeight="1" x14ac:dyDescent="0.25">
      <c r="A28" s="125" t="s">
        <v>1363</v>
      </c>
      <c r="B28" s="125" t="s">
        <v>1363</v>
      </c>
      <c r="C28" s="287" t="s">
        <v>1691</v>
      </c>
      <c r="D28" s="125" t="s">
        <v>659</v>
      </c>
      <c r="E28" s="125" t="s">
        <v>945</v>
      </c>
      <c r="F28" s="125" t="s">
        <v>650</v>
      </c>
      <c r="G28" s="279">
        <v>0</v>
      </c>
      <c r="H28" s="279">
        <v>0</v>
      </c>
      <c r="I28" s="279">
        <v>0</v>
      </c>
      <c r="J28" s="279">
        <v>80697</v>
      </c>
      <c r="K28" s="279">
        <v>0</v>
      </c>
      <c r="L28" s="279">
        <v>0</v>
      </c>
      <c r="M28" s="279">
        <v>0</v>
      </c>
      <c r="N28" s="279">
        <v>16946.37</v>
      </c>
      <c r="O28" s="279">
        <v>0</v>
      </c>
      <c r="P28" s="279">
        <v>0</v>
      </c>
      <c r="Q28" s="279">
        <v>0</v>
      </c>
      <c r="R28" s="279">
        <v>0</v>
      </c>
      <c r="S28" s="279">
        <v>0</v>
      </c>
      <c r="T28" s="279">
        <v>0</v>
      </c>
      <c r="U28" s="279">
        <v>97643.37</v>
      </c>
      <c r="V28" s="125" t="s">
        <v>651</v>
      </c>
    </row>
    <row r="29" spans="1:22" ht="15" customHeight="1" x14ac:dyDescent="0.25">
      <c r="A29" s="125" t="s">
        <v>1401</v>
      </c>
      <c r="B29" s="125" t="s">
        <v>1401</v>
      </c>
      <c r="C29" s="287" t="s">
        <v>1695</v>
      </c>
      <c r="D29" s="125" t="s">
        <v>305</v>
      </c>
      <c r="E29" s="125" t="s">
        <v>925</v>
      </c>
      <c r="F29" s="125" t="s">
        <v>650</v>
      </c>
      <c r="G29" s="279">
        <v>0</v>
      </c>
      <c r="H29" s="279">
        <v>0</v>
      </c>
      <c r="I29" s="279">
        <v>0</v>
      </c>
      <c r="J29" s="279">
        <v>90000</v>
      </c>
      <c r="K29" s="279">
        <v>0</v>
      </c>
      <c r="L29" s="279">
        <v>0</v>
      </c>
      <c r="M29" s="279">
        <v>0</v>
      </c>
      <c r="N29" s="279">
        <v>18900</v>
      </c>
      <c r="O29" s="279">
        <v>0</v>
      </c>
      <c r="P29" s="279">
        <v>0</v>
      </c>
      <c r="Q29" s="279">
        <v>0</v>
      </c>
      <c r="R29" s="279">
        <v>0</v>
      </c>
      <c r="S29" s="279">
        <v>0</v>
      </c>
      <c r="T29" s="279">
        <v>0</v>
      </c>
      <c r="U29" s="279">
        <v>108900</v>
      </c>
      <c r="V29" s="125" t="s">
        <v>665</v>
      </c>
    </row>
    <row r="30" spans="1:22" ht="15" customHeight="1" x14ac:dyDescent="0.25">
      <c r="A30" s="125" t="s">
        <v>1093</v>
      </c>
      <c r="B30" s="125" t="s">
        <v>1093</v>
      </c>
      <c r="C30" s="287" t="s">
        <v>1757</v>
      </c>
      <c r="D30" s="125" t="s">
        <v>928</v>
      </c>
      <c r="E30" s="125" t="s">
        <v>1758</v>
      </c>
      <c r="F30" s="125" t="s">
        <v>650</v>
      </c>
      <c r="G30" s="279">
        <v>0</v>
      </c>
      <c r="H30" s="279">
        <v>0</v>
      </c>
      <c r="I30" s="279">
        <v>0</v>
      </c>
      <c r="J30" s="279">
        <v>17767.77</v>
      </c>
      <c r="K30" s="279">
        <v>0</v>
      </c>
      <c r="L30" s="279">
        <v>0</v>
      </c>
      <c r="M30" s="279">
        <v>0</v>
      </c>
      <c r="N30" s="279">
        <v>3731.23</v>
      </c>
      <c r="O30" s="279">
        <v>0</v>
      </c>
      <c r="P30" s="279">
        <v>0</v>
      </c>
      <c r="Q30" s="279">
        <v>0</v>
      </c>
      <c r="R30" s="279">
        <v>0</v>
      </c>
      <c r="S30" s="279">
        <v>0</v>
      </c>
      <c r="T30" s="279">
        <v>710.72</v>
      </c>
      <c r="U30" s="279">
        <v>22209.72</v>
      </c>
      <c r="V30" s="125" t="s">
        <v>655</v>
      </c>
    </row>
    <row r="31" spans="1:22" ht="15" customHeight="1" x14ac:dyDescent="0.25">
      <c r="A31" s="125" t="s">
        <v>1457</v>
      </c>
      <c r="B31" s="125" t="s">
        <v>1457</v>
      </c>
      <c r="C31" s="287" t="s">
        <v>1715</v>
      </c>
      <c r="D31" s="125" t="s">
        <v>1783</v>
      </c>
      <c r="E31" s="125" t="s">
        <v>1784</v>
      </c>
      <c r="F31" s="125" t="s">
        <v>650</v>
      </c>
      <c r="G31" s="279">
        <v>0</v>
      </c>
      <c r="H31" s="279">
        <v>0</v>
      </c>
      <c r="I31" s="279">
        <v>0</v>
      </c>
      <c r="J31" s="279">
        <v>210000</v>
      </c>
      <c r="K31" s="279">
        <v>0</v>
      </c>
      <c r="L31" s="279">
        <v>0</v>
      </c>
      <c r="M31" s="279">
        <v>0</v>
      </c>
      <c r="N31" s="279">
        <v>44100</v>
      </c>
      <c r="O31" s="279">
        <v>0</v>
      </c>
      <c r="P31" s="279">
        <v>0</v>
      </c>
      <c r="Q31" s="279">
        <v>0</v>
      </c>
      <c r="R31" s="279">
        <v>0</v>
      </c>
      <c r="S31" s="279">
        <v>0</v>
      </c>
      <c r="T31" s="279">
        <v>0</v>
      </c>
      <c r="U31" s="279">
        <v>254100</v>
      </c>
      <c r="V31" s="125" t="s">
        <v>655</v>
      </c>
    </row>
    <row r="32" spans="1:22" ht="15" customHeight="1" x14ac:dyDescent="0.25">
      <c r="A32" s="125" t="s">
        <v>1257</v>
      </c>
      <c r="B32" s="125" t="s">
        <v>1257</v>
      </c>
      <c r="C32" s="287" t="s">
        <v>1651</v>
      </c>
      <c r="D32" s="125" t="s">
        <v>1652</v>
      </c>
      <c r="E32" s="125" t="s">
        <v>1653</v>
      </c>
      <c r="F32" s="125" t="s">
        <v>650</v>
      </c>
      <c r="G32" s="279">
        <v>0</v>
      </c>
      <c r="H32" s="279">
        <v>0</v>
      </c>
      <c r="I32" s="279">
        <v>0</v>
      </c>
      <c r="J32" s="279">
        <v>199490</v>
      </c>
      <c r="K32" s="279">
        <v>0</v>
      </c>
      <c r="L32" s="279">
        <v>0</v>
      </c>
      <c r="M32" s="279">
        <v>0</v>
      </c>
      <c r="N32" s="279">
        <v>41892.9</v>
      </c>
      <c r="O32" s="279">
        <v>0</v>
      </c>
      <c r="P32" s="279">
        <v>0</v>
      </c>
      <c r="Q32" s="279">
        <v>0</v>
      </c>
      <c r="R32" s="279">
        <v>0</v>
      </c>
      <c r="S32" s="279">
        <v>0</v>
      </c>
      <c r="T32" s="279">
        <v>0</v>
      </c>
      <c r="U32" s="279">
        <v>241382.9</v>
      </c>
      <c r="V32" s="125" t="s">
        <v>651</v>
      </c>
    </row>
    <row r="33" spans="1:23" ht="15" customHeight="1" x14ac:dyDescent="0.25">
      <c r="A33" s="125" t="s">
        <v>1401</v>
      </c>
      <c r="B33" s="125" t="s">
        <v>1401</v>
      </c>
      <c r="C33" s="287" t="s">
        <v>1701</v>
      </c>
      <c r="D33" s="125" t="s">
        <v>671</v>
      </c>
      <c r="E33" s="125" t="s">
        <v>950</v>
      </c>
      <c r="F33" s="125" t="s">
        <v>650</v>
      </c>
      <c r="G33" s="279">
        <v>0</v>
      </c>
      <c r="H33" s="279">
        <v>0</v>
      </c>
      <c r="I33" s="279">
        <v>59600</v>
      </c>
      <c r="J33" s="279">
        <v>3026585.25</v>
      </c>
      <c r="K33" s="279">
        <v>0</v>
      </c>
      <c r="L33" s="279">
        <v>0</v>
      </c>
      <c r="M33" s="279">
        <v>0</v>
      </c>
      <c r="N33" s="279">
        <v>641840.9</v>
      </c>
      <c r="O33" s="279">
        <v>0</v>
      </c>
      <c r="P33" s="279">
        <v>0</v>
      </c>
      <c r="Q33" s="279">
        <v>0</v>
      </c>
      <c r="R33" s="279">
        <v>0</v>
      </c>
      <c r="S33" s="279">
        <v>0</v>
      </c>
      <c r="T33" s="279">
        <v>0</v>
      </c>
      <c r="U33" s="279">
        <v>3728026.15</v>
      </c>
      <c r="V33" s="125" t="s">
        <v>651</v>
      </c>
    </row>
    <row r="34" spans="1:23" ht="15" customHeight="1" x14ac:dyDescent="0.25">
      <c r="A34" s="125" t="s">
        <v>1420</v>
      </c>
      <c r="B34" s="125" t="s">
        <v>1420</v>
      </c>
      <c r="C34" s="287" t="s">
        <v>1703</v>
      </c>
      <c r="D34" s="125" t="s">
        <v>671</v>
      </c>
      <c r="E34" s="125" t="s">
        <v>950</v>
      </c>
      <c r="F34" s="125" t="s">
        <v>650</v>
      </c>
      <c r="G34" s="279">
        <v>0</v>
      </c>
      <c r="H34" s="279">
        <v>0</v>
      </c>
      <c r="I34" s="279">
        <v>0</v>
      </c>
      <c r="J34" s="279">
        <v>674989.25</v>
      </c>
      <c r="K34" s="279">
        <v>0</v>
      </c>
      <c r="L34" s="279">
        <v>0</v>
      </c>
      <c r="M34" s="279">
        <v>0</v>
      </c>
      <c r="N34" s="279">
        <v>141747.74</v>
      </c>
      <c r="O34" s="279">
        <v>0</v>
      </c>
      <c r="P34" s="279">
        <v>0</v>
      </c>
      <c r="Q34" s="279">
        <v>0</v>
      </c>
      <c r="R34" s="279">
        <v>0</v>
      </c>
      <c r="S34" s="279">
        <v>0</v>
      </c>
      <c r="T34" s="279">
        <v>0</v>
      </c>
      <c r="U34" s="279">
        <v>816736.99</v>
      </c>
      <c r="V34" s="125" t="s">
        <v>651</v>
      </c>
    </row>
    <row r="35" spans="1:23" ht="15" customHeight="1" x14ac:dyDescent="0.25">
      <c r="A35" s="125" t="s">
        <v>999</v>
      </c>
      <c r="B35" s="125" t="s">
        <v>999</v>
      </c>
      <c r="C35" s="287" t="s">
        <v>1735</v>
      </c>
      <c r="D35" s="125" t="s">
        <v>1539</v>
      </c>
      <c r="E35" s="125" t="s">
        <v>1736</v>
      </c>
      <c r="F35" s="125" t="s">
        <v>650</v>
      </c>
      <c r="G35" s="279">
        <v>0</v>
      </c>
      <c r="H35" s="279">
        <v>0</v>
      </c>
      <c r="I35" s="279">
        <v>0</v>
      </c>
      <c r="J35" s="279">
        <v>27070.3</v>
      </c>
      <c r="K35" s="279">
        <v>0</v>
      </c>
      <c r="L35" s="279">
        <v>0</v>
      </c>
      <c r="M35" s="279">
        <v>0</v>
      </c>
      <c r="N35" s="279">
        <v>5684.76</v>
      </c>
      <c r="O35" s="279">
        <v>0</v>
      </c>
      <c r="P35" s="279">
        <v>0</v>
      </c>
      <c r="Q35" s="279">
        <v>0</v>
      </c>
      <c r="R35" s="279">
        <v>0</v>
      </c>
      <c r="S35" s="279">
        <v>0</v>
      </c>
      <c r="T35" s="279">
        <v>0</v>
      </c>
      <c r="U35" s="279">
        <v>32755.06</v>
      </c>
      <c r="V35" s="125" t="s">
        <v>651</v>
      </c>
    </row>
    <row r="36" spans="1:23" ht="15" customHeight="1" x14ac:dyDescent="0.25">
      <c r="A36" s="125" t="s">
        <v>1293</v>
      </c>
      <c r="B36" s="125" t="s">
        <v>1293</v>
      </c>
      <c r="C36" s="287" t="s">
        <v>1741</v>
      </c>
      <c r="D36" s="125" t="s">
        <v>1550</v>
      </c>
      <c r="E36" s="125" t="s">
        <v>1742</v>
      </c>
      <c r="F36" s="125" t="s">
        <v>650</v>
      </c>
      <c r="G36" s="279">
        <v>0</v>
      </c>
      <c r="H36" s="279">
        <v>0</v>
      </c>
      <c r="I36" s="279">
        <v>231673.3</v>
      </c>
      <c r="J36" s="279">
        <v>1691.3</v>
      </c>
      <c r="K36" s="279">
        <v>0</v>
      </c>
      <c r="L36" s="279">
        <v>0</v>
      </c>
      <c r="M36" s="279">
        <v>0</v>
      </c>
      <c r="N36" s="279">
        <v>24680.87</v>
      </c>
      <c r="O36" s="279">
        <v>0</v>
      </c>
      <c r="P36" s="279">
        <v>0</v>
      </c>
      <c r="Q36" s="279">
        <v>0</v>
      </c>
      <c r="R36" s="279">
        <v>0</v>
      </c>
      <c r="S36" s="279">
        <v>0</v>
      </c>
      <c r="T36" s="279">
        <v>0</v>
      </c>
      <c r="U36" s="279">
        <v>258045.47</v>
      </c>
      <c r="V36" s="125" t="s">
        <v>651</v>
      </c>
    </row>
    <row r="37" spans="1:23" ht="15" customHeight="1" x14ac:dyDescent="0.25">
      <c r="A37" s="125" t="s">
        <v>1311</v>
      </c>
      <c r="B37" s="125" t="s">
        <v>1311</v>
      </c>
      <c r="C37" s="287" t="s">
        <v>1673</v>
      </c>
      <c r="D37" s="125" t="s">
        <v>677</v>
      </c>
      <c r="E37" s="125" t="s">
        <v>678</v>
      </c>
      <c r="F37" s="125" t="s">
        <v>650</v>
      </c>
      <c r="G37" s="279">
        <v>0</v>
      </c>
      <c r="H37" s="279">
        <v>0</v>
      </c>
      <c r="I37" s="279">
        <v>0</v>
      </c>
      <c r="J37" s="279">
        <v>110000</v>
      </c>
      <c r="K37" s="279">
        <v>0</v>
      </c>
      <c r="L37" s="279">
        <v>0</v>
      </c>
      <c r="M37" s="279">
        <v>0</v>
      </c>
      <c r="N37" s="279">
        <v>23100</v>
      </c>
      <c r="O37" s="279">
        <v>0</v>
      </c>
      <c r="P37" s="279">
        <v>0</v>
      </c>
      <c r="Q37" s="279">
        <v>0</v>
      </c>
      <c r="R37" s="279">
        <v>0</v>
      </c>
      <c r="S37" s="279">
        <v>0</v>
      </c>
      <c r="T37" s="279">
        <v>0</v>
      </c>
      <c r="U37" s="279">
        <v>133100</v>
      </c>
      <c r="V37" s="125" t="s">
        <v>655</v>
      </c>
    </row>
    <row r="38" spans="1:23" ht="15" customHeight="1" x14ac:dyDescent="0.25">
      <c r="A38" s="125" t="s">
        <v>960</v>
      </c>
      <c r="B38" s="125" t="s">
        <v>960</v>
      </c>
      <c r="C38" s="287" t="s">
        <v>1733</v>
      </c>
      <c r="D38" s="125" t="s">
        <v>663</v>
      </c>
      <c r="E38" s="125" t="s">
        <v>901</v>
      </c>
      <c r="F38" s="125" t="s">
        <v>650</v>
      </c>
      <c r="G38" s="279">
        <v>0</v>
      </c>
      <c r="H38" s="279">
        <v>0</v>
      </c>
      <c r="I38" s="279">
        <v>0</v>
      </c>
      <c r="J38" s="279">
        <v>2500000</v>
      </c>
      <c r="K38" s="279">
        <v>0</v>
      </c>
      <c r="L38" s="279">
        <v>0</v>
      </c>
      <c r="M38" s="279">
        <v>0</v>
      </c>
      <c r="N38" s="279">
        <v>525000</v>
      </c>
      <c r="O38" s="279">
        <v>0</v>
      </c>
      <c r="P38" s="279">
        <v>0</v>
      </c>
      <c r="Q38" s="279">
        <v>0</v>
      </c>
      <c r="R38" s="279">
        <v>0</v>
      </c>
      <c r="S38" s="279">
        <v>0</v>
      </c>
      <c r="T38" s="279">
        <v>0</v>
      </c>
      <c r="U38" s="279">
        <v>3025000</v>
      </c>
      <c r="V38" s="125" t="s">
        <v>651</v>
      </c>
    </row>
    <row r="39" spans="1:23" ht="15" customHeight="1" x14ac:dyDescent="0.25">
      <c r="A39" s="125" t="s">
        <v>960</v>
      </c>
      <c r="B39" s="125" t="s">
        <v>1093</v>
      </c>
      <c r="C39" s="287" t="s">
        <v>1588</v>
      </c>
      <c r="D39" s="125" t="s">
        <v>663</v>
      </c>
      <c r="E39" s="125" t="s">
        <v>901</v>
      </c>
      <c r="F39" s="125" t="s">
        <v>650</v>
      </c>
      <c r="G39" s="279">
        <v>0</v>
      </c>
      <c r="H39" s="279">
        <v>0</v>
      </c>
      <c r="I39" s="279">
        <v>0</v>
      </c>
      <c r="J39" s="279">
        <v>125000</v>
      </c>
      <c r="K39" s="279">
        <v>0</v>
      </c>
      <c r="L39" s="279">
        <v>0</v>
      </c>
      <c r="M39" s="279">
        <v>0</v>
      </c>
      <c r="N39" s="279">
        <v>26250</v>
      </c>
      <c r="O39" s="279">
        <v>0</v>
      </c>
      <c r="P39" s="279">
        <v>0</v>
      </c>
      <c r="Q39" s="279">
        <v>0</v>
      </c>
      <c r="R39" s="279">
        <v>0</v>
      </c>
      <c r="S39" s="279">
        <v>0</v>
      </c>
      <c r="T39" s="279">
        <v>0</v>
      </c>
      <c r="U39" s="279">
        <v>151250</v>
      </c>
      <c r="V39" s="125" t="s">
        <v>651</v>
      </c>
    </row>
    <row r="40" spans="1:23" ht="15" customHeight="1" x14ac:dyDescent="0.25">
      <c r="A40" s="125" t="s">
        <v>960</v>
      </c>
      <c r="B40" s="125" t="s">
        <v>1093</v>
      </c>
      <c r="C40" s="287" t="s">
        <v>1587</v>
      </c>
      <c r="D40" s="125" t="s">
        <v>663</v>
      </c>
      <c r="E40" s="125" t="s">
        <v>901</v>
      </c>
      <c r="F40" s="125" t="s">
        <v>650</v>
      </c>
      <c r="G40" s="279">
        <v>0</v>
      </c>
      <c r="H40" s="279">
        <v>0</v>
      </c>
      <c r="I40" s="279">
        <v>0</v>
      </c>
      <c r="J40" s="279">
        <v>1400000</v>
      </c>
      <c r="K40" s="279">
        <v>0</v>
      </c>
      <c r="L40" s="279">
        <v>0</v>
      </c>
      <c r="M40" s="279">
        <v>0</v>
      </c>
      <c r="N40" s="279">
        <v>294000</v>
      </c>
      <c r="O40" s="279">
        <v>0</v>
      </c>
      <c r="P40" s="279">
        <v>0</v>
      </c>
      <c r="Q40" s="279">
        <v>0</v>
      </c>
      <c r="R40" s="279">
        <v>0</v>
      </c>
      <c r="S40" s="279">
        <v>0</v>
      </c>
      <c r="T40" s="279">
        <v>0</v>
      </c>
      <c r="U40" s="279">
        <v>1694000</v>
      </c>
      <c r="V40" s="125" t="s">
        <v>651</v>
      </c>
    </row>
    <row r="41" spans="1:23" ht="15" customHeight="1" x14ac:dyDescent="0.25">
      <c r="A41" s="125" t="s">
        <v>1041</v>
      </c>
      <c r="B41" s="125" t="s">
        <v>1137</v>
      </c>
      <c r="C41" s="287" t="s">
        <v>1602</v>
      </c>
      <c r="D41" s="125" t="s">
        <v>663</v>
      </c>
      <c r="E41" s="125" t="s">
        <v>901</v>
      </c>
      <c r="F41" s="125" t="s">
        <v>650</v>
      </c>
      <c r="G41" s="279">
        <v>0</v>
      </c>
      <c r="H41" s="279">
        <v>0</v>
      </c>
      <c r="I41" s="279">
        <v>0</v>
      </c>
      <c r="J41" s="279">
        <v>1250000</v>
      </c>
      <c r="K41" s="279">
        <v>0</v>
      </c>
      <c r="L41" s="279">
        <v>0</v>
      </c>
      <c r="M41" s="279">
        <v>0</v>
      </c>
      <c r="N41" s="279">
        <v>262500</v>
      </c>
      <c r="O41" s="279">
        <v>0</v>
      </c>
      <c r="P41" s="279">
        <v>0</v>
      </c>
      <c r="Q41" s="279">
        <v>0</v>
      </c>
      <c r="R41" s="279">
        <v>0</v>
      </c>
      <c r="S41" s="279">
        <v>0</v>
      </c>
      <c r="T41" s="279">
        <v>0</v>
      </c>
      <c r="U41" s="279">
        <v>1512500</v>
      </c>
      <c r="V41" s="125" t="s">
        <v>651</v>
      </c>
    </row>
    <row r="42" spans="1:23" ht="15" customHeight="1" x14ac:dyDescent="0.25">
      <c r="A42" s="125" t="s">
        <v>1137</v>
      </c>
      <c r="B42" s="125" t="s">
        <v>1164</v>
      </c>
      <c r="C42" s="287" t="s">
        <v>1615</v>
      </c>
      <c r="D42" s="125" t="s">
        <v>663</v>
      </c>
      <c r="E42" s="125" t="s">
        <v>901</v>
      </c>
      <c r="F42" s="125" t="s">
        <v>650</v>
      </c>
      <c r="G42" s="279">
        <v>0</v>
      </c>
      <c r="H42" s="279">
        <v>0</v>
      </c>
      <c r="I42" s="279">
        <v>0</v>
      </c>
      <c r="J42" s="279">
        <v>1400000</v>
      </c>
      <c r="K42" s="279">
        <v>0</v>
      </c>
      <c r="L42" s="279">
        <v>0</v>
      </c>
      <c r="M42" s="279">
        <v>0</v>
      </c>
      <c r="N42" s="279">
        <v>294000</v>
      </c>
      <c r="O42" s="279">
        <v>0</v>
      </c>
      <c r="P42" s="279">
        <v>0</v>
      </c>
      <c r="Q42" s="279">
        <v>0</v>
      </c>
      <c r="R42" s="279">
        <v>0</v>
      </c>
      <c r="S42" s="279">
        <v>0</v>
      </c>
      <c r="T42" s="279">
        <v>0</v>
      </c>
      <c r="U42" s="279">
        <v>1694000</v>
      </c>
      <c r="V42" s="125" t="s">
        <v>651</v>
      </c>
    </row>
    <row r="43" spans="1:23" ht="15" customHeight="1" x14ac:dyDescent="0.25">
      <c r="A43" s="250" t="s">
        <v>1674</v>
      </c>
      <c r="B43" s="250" t="s">
        <v>1311</v>
      </c>
      <c r="C43" s="287" t="s">
        <v>1675</v>
      </c>
      <c r="D43" s="250" t="s">
        <v>1676</v>
      </c>
      <c r="E43" s="265" t="s">
        <v>1677</v>
      </c>
      <c r="F43" s="265" t="s">
        <v>650</v>
      </c>
      <c r="G43" s="279">
        <v>0</v>
      </c>
      <c r="H43" s="279">
        <v>0</v>
      </c>
      <c r="I43" s="279">
        <v>0</v>
      </c>
      <c r="J43" s="279">
        <v>47207.83</v>
      </c>
      <c r="K43" s="279">
        <v>0</v>
      </c>
      <c r="L43" s="279">
        <v>0</v>
      </c>
      <c r="M43" s="279">
        <v>0</v>
      </c>
      <c r="N43" s="279">
        <v>9913.64</v>
      </c>
      <c r="O43" s="279">
        <v>11223.05</v>
      </c>
      <c r="P43" s="279">
        <v>0</v>
      </c>
      <c r="Q43" s="279">
        <v>0</v>
      </c>
      <c r="R43" s="279">
        <v>687.49</v>
      </c>
      <c r="S43" s="279">
        <v>0</v>
      </c>
      <c r="T43" s="279">
        <v>0</v>
      </c>
      <c r="U43" s="279">
        <v>69032.009999999995</v>
      </c>
      <c r="V43" s="265" t="s">
        <v>655</v>
      </c>
      <c r="W43" s="262">
        <v>81</v>
      </c>
    </row>
    <row r="44" spans="1:23" ht="15" customHeight="1" x14ac:dyDescent="0.25">
      <c r="A44" s="125" t="s">
        <v>1232</v>
      </c>
      <c r="B44" s="125" t="s">
        <v>1232</v>
      </c>
      <c r="C44" s="287" t="s">
        <v>1642</v>
      </c>
      <c r="D44" s="125" t="s">
        <v>748</v>
      </c>
      <c r="E44" s="125" t="s">
        <v>1641</v>
      </c>
      <c r="F44" s="125" t="s">
        <v>650</v>
      </c>
      <c r="G44" s="279">
        <v>0</v>
      </c>
      <c r="H44" s="279">
        <v>0</v>
      </c>
      <c r="I44" s="279">
        <v>0</v>
      </c>
      <c r="J44" s="279">
        <v>378025</v>
      </c>
      <c r="K44" s="279">
        <v>0</v>
      </c>
      <c r="L44" s="279">
        <v>0</v>
      </c>
      <c r="M44" s="279">
        <v>0</v>
      </c>
      <c r="N44" s="279">
        <v>79385.25</v>
      </c>
      <c r="O44" s="279">
        <v>0</v>
      </c>
      <c r="P44" s="279">
        <v>0</v>
      </c>
      <c r="Q44" s="279">
        <v>0</v>
      </c>
      <c r="R44" s="279">
        <v>0</v>
      </c>
      <c r="S44" s="279">
        <v>0</v>
      </c>
      <c r="T44" s="279">
        <v>0</v>
      </c>
      <c r="U44" s="279">
        <v>457410.25</v>
      </c>
      <c r="V44" s="125" t="s">
        <v>651</v>
      </c>
    </row>
    <row r="45" spans="1:23" ht="15" customHeight="1" x14ac:dyDescent="0.25">
      <c r="A45" s="125" t="s">
        <v>1232</v>
      </c>
      <c r="B45" s="125" t="s">
        <v>1232</v>
      </c>
      <c r="C45" s="287" t="s">
        <v>1640</v>
      </c>
      <c r="D45" s="125" t="s">
        <v>748</v>
      </c>
      <c r="E45" s="125" t="s">
        <v>1641</v>
      </c>
      <c r="F45" s="125" t="s">
        <v>650</v>
      </c>
      <c r="G45" s="279">
        <v>0</v>
      </c>
      <c r="H45" s="279">
        <v>0</v>
      </c>
      <c r="I45" s="279">
        <v>0</v>
      </c>
      <c r="J45" s="279">
        <v>115215</v>
      </c>
      <c r="K45" s="279">
        <v>0</v>
      </c>
      <c r="L45" s="279">
        <v>0</v>
      </c>
      <c r="M45" s="279">
        <v>0</v>
      </c>
      <c r="N45" s="279">
        <v>24195.15</v>
      </c>
      <c r="O45" s="279">
        <v>0</v>
      </c>
      <c r="P45" s="279">
        <v>0</v>
      </c>
      <c r="Q45" s="279">
        <v>0</v>
      </c>
      <c r="R45" s="279">
        <v>0</v>
      </c>
      <c r="S45" s="279">
        <v>0</v>
      </c>
      <c r="T45" s="279">
        <v>0</v>
      </c>
      <c r="U45" s="279">
        <v>139410.15</v>
      </c>
      <c r="V45" s="125" t="s">
        <v>651</v>
      </c>
    </row>
    <row r="46" spans="1:23" ht="15" customHeight="1" x14ac:dyDescent="0.25">
      <c r="A46" s="125" t="s">
        <v>1257</v>
      </c>
      <c r="B46" s="125" t="s">
        <v>1257</v>
      </c>
      <c r="C46" s="287" t="s">
        <v>1648</v>
      </c>
      <c r="D46" s="125" t="s">
        <v>748</v>
      </c>
      <c r="E46" s="125" t="s">
        <v>1641</v>
      </c>
      <c r="F46" s="125" t="s">
        <v>650</v>
      </c>
      <c r="G46" s="279">
        <v>0</v>
      </c>
      <c r="H46" s="279">
        <v>0</v>
      </c>
      <c r="I46" s="279">
        <v>0</v>
      </c>
      <c r="J46" s="279">
        <v>102960</v>
      </c>
      <c r="K46" s="279">
        <v>0</v>
      </c>
      <c r="L46" s="279">
        <v>0</v>
      </c>
      <c r="M46" s="279">
        <v>0</v>
      </c>
      <c r="N46" s="279">
        <v>21621.599999999999</v>
      </c>
      <c r="O46" s="279">
        <v>0</v>
      </c>
      <c r="P46" s="279">
        <v>0</v>
      </c>
      <c r="Q46" s="279">
        <v>0</v>
      </c>
      <c r="R46" s="279">
        <v>0</v>
      </c>
      <c r="S46" s="279">
        <v>0</v>
      </c>
      <c r="T46" s="279">
        <v>0</v>
      </c>
      <c r="U46" s="279">
        <v>124581.6</v>
      </c>
      <c r="V46" s="125" t="s">
        <v>651</v>
      </c>
    </row>
    <row r="47" spans="1:23" ht="15" customHeight="1" x14ac:dyDescent="0.25">
      <c r="A47" s="125" t="s">
        <v>1257</v>
      </c>
      <c r="B47" s="125" t="s">
        <v>1257</v>
      </c>
      <c r="C47" s="287" t="s">
        <v>1647</v>
      </c>
      <c r="D47" s="125" t="s">
        <v>748</v>
      </c>
      <c r="E47" s="125" t="s">
        <v>1641</v>
      </c>
      <c r="F47" s="125" t="s">
        <v>650</v>
      </c>
      <c r="G47" s="279">
        <v>0</v>
      </c>
      <c r="H47" s="279">
        <v>0</v>
      </c>
      <c r="I47" s="279">
        <v>0</v>
      </c>
      <c r="J47" s="279">
        <v>33660.78</v>
      </c>
      <c r="K47" s="279">
        <v>0</v>
      </c>
      <c r="L47" s="279">
        <v>0</v>
      </c>
      <c r="M47" s="279">
        <v>0</v>
      </c>
      <c r="N47" s="279">
        <v>7068.76</v>
      </c>
      <c r="O47" s="279">
        <v>0</v>
      </c>
      <c r="P47" s="279">
        <v>0</v>
      </c>
      <c r="Q47" s="279">
        <v>0</v>
      </c>
      <c r="R47" s="279">
        <v>0</v>
      </c>
      <c r="S47" s="279">
        <v>0</v>
      </c>
      <c r="T47" s="279">
        <v>0</v>
      </c>
      <c r="U47" s="279">
        <v>40729.54</v>
      </c>
      <c r="V47" s="125" t="s">
        <v>651</v>
      </c>
    </row>
    <row r="48" spans="1:23" ht="15" customHeight="1" x14ac:dyDescent="0.25">
      <c r="A48" s="125" t="s">
        <v>1270</v>
      </c>
      <c r="B48" s="125" t="s">
        <v>1270</v>
      </c>
      <c r="C48" s="287" t="s">
        <v>1662</v>
      </c>
      <c r="D48" s="125" t="s">
        <v>748</v>
      </c>
      <c r="E48" s="125" t="s">
        <v>1641</v>
      </c>
      <c r="F48" s="125" t="s">
        <v>650</v>
      </c>
      <c r="G48" s="279">
        <v>0</v>
      </c>
      <c r="H48" s="279">
        <v>0</v>
      </c>
      <c r="I48" s="279">
        <v>0</v>
      </c>
      <c r="J48" s="279">
        <v>432231</v>
      </c>
      <c r="K48" s="279">
        <v>0</v>
      </c>
      <c r="L48" s="279">
        <v>0</v>
      </c>
      <c r="M48" s="279">
        <v>0</v>
      </c>
      <c r="N48" s="279">
        <v>90768.51</v>
      </c>
      <c r="O48" s="279">
        <v>0</v>
      </c>
      <c r="P48" s="279">
        <v>0</v>
      </c>
      <c r="Q48" s="279">
        <v>0</v>
      </c>
      <c r="R48" s="279">
        <v>0</v>
      </c>
      <c r="S48" s="279">
        <v>0</v>
      </c>
      <c r="T48" s="279">
        <v>0</v>
      </c>
      <c r="U48" s="279">
        <v>522999.51</v>
      </c>
      <c r="V48" s="125" t="s">
        <v>651</v>
      </c>
    </row>
    <row r="49" spans="1:22" ht="15" customHeight="1" x14ac:dyDescent="0.25">
      <c r="A49" s="125" t="s">
        <v>1363</v>
      </c>
      <c r="B49" s="125" t="s">
        <v>1363</v>
      </c>
      <c r="C49" s="287" t="s">
        <v>1687</v>
      </c>
      <c r="D49" s="125" t="s">
        <v>350</v>
      </c>
      <c r="E49" s="125" t="s">
        <v>689</v>
      </c>
      <c r="F49" s="125" t="s">
        <v>650</v>
      </c>
      <c r="G49" s="279">
        <v>0</v>
      </c>
      <c r="H49" s="279">
        <v>0</v>
      </c>
      <c r="I49" s="279">
        <v>0</v>
      </c>
      <c r="J49" s="279">
        <v>39734.25</v>
      </c>
      <c r="K49" s="279">
        <v>0</v>
      </c>
      <c r="L49" s="279">
        <v>0</v>
      </c>
      <c r="M49" s="279">
        <v>0</v>
      </c>
      <c r="N49" s="279">
        <v>8344.19</v>
      </c>
      <c r="O49" s="279">
        <v>0</v>
      </c>
      <c r="P49" s="279">
        <v>0</v>
      </c>
      <c r="Q49" s="279">
        <v>0</v>
      </c>
      <c r="R49" s="279">
        <v>0</v>
      </c>
      <c r="S49" s="279">
        <v>0</v>
      </c>
      <c r="T49" s="279">
        <v>1589.37</v>
      </c>
      <c r="U49" s="279">
        <v>49667.81</v>
      </c>
      <c r="V49" s="125" t="s">
        <v>655</v>
      </c>
    </row>
    <row r="50" spans="1:22" ht="15" customHeight="1" x14ac:dyDescent="0.25">
      <c r="A50" s="125" t="s">
        <v>1164</v>
      </c>
      <c r="B50" s="125" t="s">
        <v>1164</v>
      </c>
      <c r="C50" s="287" t="s">
        <v>1624</v>
      </c>
      <c r="D50" s="125" t="s">
        <v>662</v>
      </c>
      <c r="E50" s="125" t="s">
        <v>946</v>
      </c>
      <c r="F50" s="125" t="s">
        <v>650</v>
      </c>
      <c r="G50" s="279">
        <v>0</v>
      </c>
      <c r="H50" s="279">
        <v>0</v>
      </c>
      <c r="I50" s="279">
        <v>0</v>
      </c>
      <c r="J50" s="279">
        <v>865620</v>
      </c>
      <c r="K50" s="279">
        <v>0</v>
      </c>
      <c r="L50" s="279">
        <v>0</v>
      </c>
      <c r="M50" s="279">
        <v>0</v>
      </c>
      <c r="N50" s="279">
        <v>181780.2</v>
      </c>
      <c r="O50" s="279">
        <v>0</v>
      </c>
      <c r="P50" s="279">
        <v>0</v>
      </c>
      <c r="Q50" s="279">
        <v>0</v>
      </c>
      <c r="R50" s="279">
        <v>0</v>
      </c>
      <c r="S50" s="279">
        <v>0</v>
      </c>
      <c r="T50" s="279">
        <v>0</v>
      </c>
      <c r="U50" s="279">
        <v>1047400.2</v>
      </c>
      <c r="V50" s="125" t="s">
        <v>651</v>
      </c>
    </row>
    <row r="51" spans="1:22" ht="15" customHeight="1" x14ac:dyDescent="0.25">
      <c r="A51" s="125" t="s">
        <v>1164</v>
      </c>
      <c r="B51" s="125" t="s">
        <v>1164</v>
      </c>
      <c r="C51" s="287" t="s">
        <v>1623</v>
      </c>
      <c r="D51" s="125" t="s">
        <v>662</v>
      </c>
      <c r="E51" s="125" t="s">
        <v>946</v>
      </c>
      <c r="F51" s="125" t="s">
        <v>650</v>
      </c>
      <c r="G51" s="279">
        <v>0</v>
      </c>
      <c r="H51" s="279">
        <v>0</v>
      </c>
      <c r="I51" s="279">
        <v>0</v>
      </c>
      <c r="J51" s="279">
        <v>865620</v>
      </c>
      <c r="K51" s="279">
        <v>0</v>
      </c>
      <c r="L51" s="279">
        <v>0</v>
      </c>
      <c r="M51" s="279">
        <v>0</v>
      </c>
      <c r="N51" s="279">
        <v>181780.2</v>
      </c>
      <c r="O51" s="279">
        <v>0</v>
      </c>
      <c r="P51" s="279">
        <v>0</v>
      </c>
      <c r="Q51" s="279">
        <v>0</v>
      </c>
      <c r="R51" s="279">
        <v>0</v>
      </c>
      <c r="S51" s="279">
        <v>0</v>
      </c>
      <c r="T51" s="279">
        <v>0</v>
      </c>
      <c r="U51" s="279">
        <v>1047400.2</v>
      </c>
      <c r="V51" s="125" t="s">
        <v>651</v>
      </c>
    </row>
    <row r="52" spans="1:22" ht="15" customHeight="1" x14ac:dyDescent="0.25">
      <c r="A52" s="125" t="s">
        <v>1257</v>
      </c>
      <c r="B52" s="125" t="s">
        <v>1257</v>
      </c>
      <c r="C52" s="287" t="s">
        <v>1650</v>
      </c>
      <c r="D52" s="125" t="s">
        <v>662</v>
      </c>
      <c r="E52" s="125" t="s">
        <v>946</v>
      </c>
      <c r="F52" s="125" t="s">
        <v>650</v>
      </c>
      <c r="G52" s="279">
        <v>0</v>
      </c>
      <c r="H52" s="279">
        <v>0</v>
      </c>
      <c r="I52" s="279">
        <v>0</v>
      </c>
      <c r="J52" s="279">
        <v>720000</v>
      </c>
      <c r="K52" s="279">
        <v>0</v>
      </c>
      <c r="L52" s="279">
        <v>0</v>
      </c>
      <c r="M52" s="279">
        <v>0</v>
      </c>
      <c r="N52" s="279">
        <v>151200</v>
      </c>
      <c r="O52" s="279">
        <v>0</v>
      </c>
      <c r="P52" s="279">
        <v>0</v>
      </c>
      <c r="Q52" s="279">
        <v>0</v>
      </c>
      <c r="R52" s="279">
        <v>0</v>
      </c>
      <c r="S52" s="279">
        <v>0</v>
      </c>
      <c r="T52" s="279">
        <v>0</v>
      </c>
      <c r="U52" s="279">
        <v>871200</v>
      </c>
      <c r="V52" s="125" t="s">
        <v>651</v>
      </c>
    </row>
    <row r="53" spans="1:22" ht="15" customHeight="1" x14ac:dyDescent="0.25">
      <c r="A53" s="125" t="s">
        <v>1137</v>
      </c>
      <c r="B53" s="125" t="s">
        <v>1137</v>
      </c>
      <c r="C53" s="287" t="s">
        <v>1605</v>
      </c>
      <c r="D53" s="125" t="s">
        <v>389</v>
      </c>
      <c r="E53" s="125" t="s">
        <v>924</v>
      </c>
      <c r="F53" s="125" t="s">
        <v>650</v>
      </c>
      <c r="G53" s="279">
        <v>0</v>
      </c>
      <c r="H53" s="279">
        <v>0</v>
      </c>
      <c r="I53" s="279">
        <v>0</v>
      </c>
      <c r="J53" s="279">
        <v>26800</v>
      </c>
      <c r="K53" s="279">
        <v>0</v>
      </c>
      <c r="L53" s="279">
        <v>0</v>
      </c>
      <c r="M53" s="279">
        <v>0</v>
      </c>
      <c r="N53" s="279">
        <v>5628</v>
      </c>
      <c r="O53" s="279">
        <v>0</v>
      </c>
      <c r="P53" s="279">
        <v>0</v>
      </c>
      <c r="Q53" s="279">
        <v>0</v>
      </c>
      <c r="R53" s="279">
        <v>0</v>
      </c>
      <c r="S53" s="279">
        <v>0</v>
      </c>
      <c r="T53" s="279">
        <v>0</v>
      </c>
      <c r="U53" s="279">
        <v>32428</v>
      </c>
      <c r="V53" s="125" t="s">
        <v>651</v>
      </c>
    </row>
    <row r="54" spans="1:22" ht="15" customHeight="1" x14ac:dyDescent="0.25">
      <c r="A54" s="125" t="s">
        <v>1093</v>
      </c>
      <c r="B54" s="125" t="s">
        <v>1093</v>
      </c>
      <c r="C54" s="287" t="s">
        <v>1781</v>
      </c>
      <c r="D54" s="125" t="s">
        <v>1542</v>
      </c>
      <c r="E54" s="125" t="s">
        <v>1782</v>
      </c>
      <c r="F54" s="125" t="s">
        <v>650</v>
      </c>
      <c r="G54" s="279">
        <v>0</v>
      </c>
      <c r="H54" s="279">
        <v>0</v>
      </c>
      <c r="I54" s="279">
        <v>38371.040000000001</v>
      </c>
      <c r="J54" s="279">
        <v>0</v>
      </c>
      <c r="K54" s="279">
        <v>0</v>
      </c>
      <c r="L54" s="279">
        <v>0</v>
      </c>
      <c r="M54" s="279">
        <v>0</v>
      </c>
      <c r="N54" s="279">
        <v>4028.96</v>
      </c>
      <c r="O54" s="279">
        <v>0</v>
      </c>
      <c r="P54" s="279">
        <v>0</v>
      </c>
      <c r="Q54" s="279">
        <v>0</v>
      </c>
      <c r="R54" s="279">
        <v>0</v>
      </c>
      <c r="S54" s="279">
        <v>0</v>
      </c>
      <c r="T54" s="279">
        <v>1534.84</v>
      </c>
      <c r="U54" s="279">
        <v>43934.84</v>
      </c>
      <c r="V54" s="125" t="s">
        <v>651</v>
      </c>
    </row>
    <row r="55" spans="1:22" ht="15" customHeight="1" x14ac:dyDescent="0.25">
      <c r="A55" s="125" t="s">
        <v>1232</v>
      </c>
      <c r="B55" s="125" t="s">
        <v>1232</v>
      </c>
      <c r="C55" s="287" t="s">
        <v>1644</v>
      </c>
      <c r="D55" s="125" t="s">
        <v>490</v>
      </c>
      <c r="E55" s="125" t="s">
        <v>917</v>
      </c>
      <c r="F55" s="125" t="s">
        <v>650</v>
      </c>
      <c r="G55" s="279">
        <v>0</v>
      </c>
      <c r="H55" s="279">
        <v>0</v>
      </c>
      <c r="I55" s="279">
        <v>0</v>
      </c>
      <c r="J55" s="279">
        <v>831952</v>
      </c>
      <c r="K55" s="279">
        <v>0</v>
      </c>
      <c r="L55" s="279">
        <v>0</v>
      </c>
      <c r="M55" s="279">
        <v>0</v>
      </c>
      <c r="N55" s="279">
        <v>174709.92</v>
      </c>
      <c r="O55" s="279">
        <v>0</v>
      </c>
      <c r="P55" s="279">
        <v>0</v>
      </c>
      <c r="Q55" s="279">
        <v>0</v>
      </c>
      <c r="R55" s="279">
        <v>0</v>
      </c>
      <c r="S55" s="279">
        <v>0</v>
      </c>
      <c r="T55" s="279">
        <v>33278.080000000002</v>
      </c>
      <c r="U55" s="279">
        <v>1039940</v>
      </c>
      <c r="V55" s="125" t="s">
        <v>651</v>
      </c>
    </row>
    <row r="56" spans="1:22" ht="15" customHeight="1" x14ac:dyDescent="0.25">
      <c r="A56" s="125" t="s">
        <v>1514</v>
      </c>
      <c r="B56" s="125" t="s">
        <v>1514</v>
      </c>
      <c r="C56" s="287" t="s">
        <v>1731</v>
      </c>
      <c r="D56" s="125" t="s">
        <v>490</v>
      </c>
      <c r="E56" s="125" t="s">
        <v>917</v>
      </c>
      <c r="F56" s="125" t="s">
        <v>650</v>
      </c>
      <c r="G56" s="279">
        <v>0</v>
      </c>
      <c r="H56" s="279">
        <v>0</v>
      </c>
      <c r="I56" s="279">
        <v>0</v>
      </c>
      <c r="J56" s="279">
        <v>575200</v>
      </c>
      <c r="K56" s="279">
        <v>0</v>
      </c>
      <c r="L56" s="279">
        <v>0</v>
      </c>
      <c r="M56" s="279">
        <v>0</v>
      </c>
      <c r="N56" s="279">
        <f>J56*0.21</f>
        <v>120792</v>
      </c>
      <c r="O56" s="279">
        <v>0</v>
      </c>
      <c r="P56" s="279">
        <v>0</v>
      </c>
      <c r="Q56" s="279">
        <v>0</v>
      </c>
      <c r="R56" s="279">
        <v>0</v>
      </c>
      <c r="S56" s="279">
        <v>0</v>
      </c>
      <c r="T56" s="279">
        <v>23008</v>
      </c>
      <c r="U56" s="279">
        <f>SUM(G56:T56)</f>
        <v>719000</v>
      </c>
      <c r="V56" s="125" t="s">
        <v>651</v>
      </c>
    </row>
    <row r="57" spans="1:22" ht="15" customHeight="1" x14ac:dyDescent="0.25">
      <c r="A57" s="125" t="s">
        <v>960</v>
      </c>
      <c r="B57" s="125" t="s">
        <v>960</v>
      </c>
      <c r="C57" s="287" t="s">
        <v>1568</v>
      </c>
      <c r="D57" s="125" t="s">
        <v>452</v>
      </c>
      <c r="E57" s="125" t="s">
        <v>918</v>
      </c>
      <c r="F57" s="125" t="s">
        <v>650</v>
      </c>
      <c r="G57" s="279">
        <v>0</v>
      </c>
      <c r="H57" s="279">
        <v>0</v>
      </c>
      <c r="I57" s="279">
        <v>0</v>
      </c>
      <c r="J57" s="279">
        <v>1332279</v>
      </c>
      <c r="K57" s="279">
        <v>0</v>
      </c>
      <c r="L57" s="279">
        <v>0</v>
      </c>
      <c r="M57" s="279">
        <v>0</v>
      </c>
      <c r="N57" s="279">
        <v>279778.59000000003</v>
      </c>
      <c r="O57" s="279">
        <v>0</v>
      </c>
      <c r="P57" s="279">
        <v>0</v>
      </c>
      <c r="Q57" s="279">
        <v>0</v>
      </c>
      <c r="R57" s="279">
        <v>0</v>
      </c>
      <c r="S57" s="279">
        <v>0</v>
      </c>
      <c r="T57" s="279">
        <v>0</v>
      </c>
      <c r="U57" s="279">
        <v>1612057.59</v>
      </c>
      <c r="V57" s="125" t="s">
        <v>651</v>
      </c>
    </row>
    <row r="58" spans="1:22" ht="15" customHeight="1" x14ac:dyDescent="0.25">
      <c r="A58" s="125" t="s">
        <v>960</v>
      </c>
      <c r="B58" s="125" t="s">
        <v>960</v>
      </c>
      <c r="C58" s="287" t="s">
        <v>1565</v>
      </c>
      <c r="D58" s="125" t="s">
        <v>452</v>
      </c>
      <c r="E58" s="125" t="s">
        <v>918</v>
      </c>
      <c r="F58" s="125" t="s">
        <v>650</v>
      </c>
      <c r="G58" s="279">
        <v>0</v>
      </c>
      <c r="H58" s="279">
        <v>0</v>
      </c>
      <c r="I58" s="279">
        <v>0</v>
      </c>
      <c r="J58" s="279">
        <v>702555</v>
      </c>
      <c r="K58" s="279">
        <v>0</v>
      </c>
      <c r="L58" s="279">
        <v>0</v>
      </c>
      <c r="M58" s="279">
        <v>0</v>
      </c>
      <c r="N58" s="279">
        <v>147536.54999999999</v>
      </c>
      <c r="O58" s="279">
        <v>0</v>
      </c>
      <c r="P58" s="279">
        <v>0</v>
      </c>
      <c r="Q58" s="279">
        <v>0</v>
      </c>
      <c r="R58" s="279">
        <v>0</v>
      </c>
      <c r="S58" s="279">
        <v>0</v>
      </c>
      <c r="T58" s="279">
        <v>0</v>
      </c>
      <c r="U58" s="279">
        <v>850091.55</v>
      </c>
      <c r="V58" s="125" t="s">
        <v>651</v>
      </c>
    </row>
    <row r="59" spans="1:22" ht="15" customHeight="1" x14ac:dyDescent="0.25">
      <c r="A59" s="125" t="s">
        <v>960</v>
      </c>
      <c r="B59" s="125" t="s">
        <v>960</v>
      </c>
      <c r="C59" s="287" t="s">
        <v>1566</v>
      </c>
      <c r="D59" s="125" t="s">
        <v>452</v>
      </c>
      <c r="E59" s="125" t="s">
        <v>918</v>
      </c>
      <c r="F59" s="125" t="s">
        <v>650</v>
      </c>
      <c r="G59" s="279">
        <v>0</v>
      </c>
      <c r="H59" s="279">
        <v>0</v>
      </c>
      <c r="I59" s="279">
        <v>0</v>
      </c>
      <c r="J59" s="279">
        <v>30765</v>
      </c>
      <c r="K59" s="279">
        <v>0</v>
      </c>
      <c r="L59" s="279">
        <v>0</v>
      </c>
      <c r="M59" s="279">
        <v>0</v>
      </c>
      <c r="N59" s="279">
        <v>6460.65</v>
      </c>
      <c r="O59" s="279">
        <v>0</v>
      </c>
      <c r="P59" s="279">
        <v>0</v>
      </c>
      <c r="Q59" s="279">
        <v>0</v>
      </c>
      <c r="R59" s="279">
        <v>0</v>
      </c>
      <c r="S59" s="279">
        <v>0</v>
      </c>
      <c r="T59" s="279">
        <v>0</v>
      </c>
      <c r="U59" s="279">
        <v>37225.65</v>
      </c>
      <c r="V59" s="125" t="s">
        <v>651</v>
      </c>
    </row>
    <row r="60" spans="1:22" ht="15" customHeight="1" x14ac:dyDescent="0.25">
      <c r="A60" s="125" t="s">
        <v>1363</v>
      </c>
      <c r="B60" s="125" t="s">
        <v>1363</v>
      </c>
      <c r="C60" s="287" t="s">
        <v>1692</v>
      </c>
      <c r="D60" s="125" t="s">
        <v>452</v>
      </c>
      <c r="E60" s="125" t="s">
        <v>918</v>
      </c>
      <c r="F60" s="125" t="s">
        <v>650</v>
      </c>
      <c r="G60" s="279">
        <v>0</v>
      </c>
      <c r="H60" s="279">
        <v>0</v>
      </c>
      <c r="I60" s="279">
        <v>0</v>
      </c>
      <c r="J60" s="279">
        <v>355304</v>
      </c>
      <c r="K60" s="279">
        <v>0</v>
      </c>
      <c r="L60" s="279">
        <v>0</v>
      </c>
      <c r="M60" s="279">
        <v>0</v>
      </c>
      <c r="N60" s="279">
        <v>74613.84</v>
      </c>
      <c r="O60" s="279">
        <v>0</v>
      </c>
      <c r="P60" s="279">
        <v>0</v>
      </c>
      <c r="Q60" s="279">
        <v>0</v>
      </c>
      <c r="R60" s="279">
        <v>0</v>
      </c>
      <c r="S60" s="279">
        <v>0</v>
      </c>
      <c r="T60" s="279">
        <v>0</v>
      </c>
      <c r="U60" s="279">
        <v>429917.84</v>
      </c>
      <c r="V60" s="125" t="s">
        <v>651</v>
      </c>
    </row>
    <row r="61" spans="1:22" ht="15" customHeight="1" x14ac:dyDescent="0.25">
      <c r="A61" s="125" t="s">
        <v>1502</v>
      </c>
      <c r="B61" s="125" t="s">
        <v>1502</v>
      </c>
      <c r="C61" s="287" t="s">
        <v>1724</v>
      </c>
      <c r="D61" s="125" t="s">
        <v>758</v>
      </c>
      <c r="E61" s="125" t="s">
        <v>956</v>
      </c>
      <c r="F61" s="125" t="s">
        <v>650</v>
      </c>
      <c r="G61" s="279">
        <v>0</v>
      </c>
      <c r="H61" s="279">
        <v>0</v>
      </c>
      <c r="I61" s="279">
        <v>0</v>
      </c>
      <c r="J61" s="279">
        <v>19593.02</v>
      </c>
      <c r="K61" s="279">
        <v>0</v>
      </c>
      <c r="L61" s="279">
        <v>0</v>
      </c>
      <c r="M61" s="279">
        <v>0</v>
      </c>
      <c r="N61" s="279">
        <v>4114.53</v>
      </c>
      <c r="O61" s="279">
        <v>0</v>
      </c>
      <c r="P61" s="279">
        <v>0</v>
      </c>
      <c r="Q61" s="279">
        <v>0</v>
      </c>
      <c r="R61" s="279">
        <v>1371.51</v>
      </c>
      <c r="S61" s="279">
        <v>0</v>
      </c>
      <c r="T61" s="279">
        <v>0</v>
      </c>
      <c r="U61" s="279">
        <v>25079.06</v>
      </c>
      <c r="V61" s="125" t="s">
        <v>655</v>
      </c>
    </row>
    <row r="62" spans="1:22" ht="15" customHeight="1" x14ac:dyDescent="0.25">
      <c r="A62" s="125" t="s">
        <v>999</v>
      </c>
      <c r="B62" s="125" t="s">
        <v>1093</v>
      </c>
      <c r="C62" s="287" t="s">
        <v>1585</v>
      </c>
      <c r="D62" s="125" t="s">
        <v>670</v>
      </c>
      <c r="E62" s="125" t="s">
        <v>904</v>
      </c>
      <c r="F62" s="125" t="s">
        <v>650</v>
      </c>
      <c r="G62" s="279">
        <v>0</v>
      </c>
      <c r="H62" s="279">
        <v>0</v>
      </c>
      <c r="I62" s="279">
        <v>0</v>
      </c>
      <c r="J62" s="279">
        <v>2200000</v>
      </c>
      <c r="K62" s="279">
        <v>0</v>
      </c>
      <c r="L62" s="279">
        <v>0</v>
      </c>
      <c r="M62" s="279">
        <v>0</v>
      </c>
      <c r="N62" s="279">
        <v>462000</v>
      </c>
      <c r="O62" s="279">
        <v>0</v>
      </c>
      <c r="P62" s="279">
        <v>0</v>
      </c>
      <c r="Q62" s="279">
        <v>0</v>
      </c>
      <c r="R62" s="279">
        <v>0</v>
      </c>
      <c r="S62" s="279">
        <v>0</v>
      </c>
      <c r="T62" s="279">
        <v>0</v>
      </c>
      <c r="U62" s="279">
        <v>2662000</v>
      </c>
      <c r="V62" s="125" t="s">
        <v>651</v>
      </c>
    </row>
    <row r="63" spans="1:22" ht="15" customHeight="1" x14ac:dyDescent="0.25">
      <c r="A63" s="125" t="s">
        <v>1137</v>
      </c>
      <c r="B63" s="125" t="s">
        <v>1164</v>
      </c>
      <c r="C63" s="287" t="s">
        <v>1613</v>
      </c>
      <c r="D63" s="125" t="s">
        <v>670</v>
      </c>
      <c r="E63" s="125" t="s">
        <v>904</v>
      </c>
      <c r="F63" s="125" t="s">
        <v>650</v>
      </c>
      <c r="G63" s="279">
        <v>0</v>
      </c>
      <c r="H63" s="279">
        <v>0</v>
      </c>
      <c r="I63" s="279">
        <v>0</v>
      </c>
      <c r="J63" s="279">
        <v>1300000</v>
      </c>
      <c r="K63" s="279">
        <v>0</v>
      </c>
      <c r="L63" s="279">
        <v>0</v>
      </c>
      <c r="M63" s="279">
        <v>0</v>
      </c>
      <c r="N63" s="279">
        <v>273000</v>
      </c>
      <c r="O63" s="279">
        <v>0</v>
      </c>
      <c r="P63" s="279">
        <v>0</v>
      </c>
      <c r="Q63" s="279">
        <v>0</v>
      </c>
      <c r="R63" s="279">
        <v>0</v>
      </c>
      <c r="S63" s="279">
        <v>0</v>
      </c>
      <c r="T63" s="279">
        <v>0</v>
      </c>
      <c r="U63" s="279">
        <v>1573000</v>
      </c>
      <c r="V63" s="125" t="s">
        <v>651</v>
      </c>
    </row>
    <row r="64" spans="1:22" ht="15" customHeight="1" x14ac:dyDescent="0.25">
      <c r="A64" s="125" t="s">
        <v>1457</v>
      </c>
      <c r="B64" s="125" t="s">
        <v>1457</v>
      </c>
      <c r="C64" s="287" t="s">
        <v>1785</v>
      </c>
      <c r="D64" s="125" t="s">
        <v>269</v>
      </c>
      <c r="E64" s="125" t="s">
        <v>695</v>
      </c>
      <c r="F64" s="125" t="s">
        <v>650</v>
      </c>
      <c r="G64" s="279">
        <v>0</v>
      </c>
      <c r="H64" s="279">
        <v>0</v>
      </c>
      <c r="I64" s="279">
        <v>0</v>
      </c>
      <c r="J64" s="279">
        <v>215832.05</v>
      </c>
      <c r="K64" s="279">
        <v>0</v>
      </c>
      <c r="L64" s="279">
        <v>0</v>
      </c>
      <c r="M64" s="279">
        <v>0</v>
      </c>
      <c r="N64" s="279">
        <v>45324.73</v>
      </c>
      <c r="O64" s="279">
        <v>0</v>
      </c>
      <c r="P64" s="279">
        <v>0</v>
      </c>
      <c r="Q64" s="279">
        <v>0</v>
      </c>
      <c r="R64" s="279">
        <v>0</v>
      </c>
      <c r="S64" s="279">
        <v>0</v>
      </c>
      <c r="T64" s="279">
        <v>0</v>
      </c>
      <c r="U64" s="279">
        <v>261156.78</v>
      </c>
      <c r="V64" s="125" t="s">
        <v>651</v>
      </c>
    </row>
    <row r="65" spans="1:23" ht="15" customHeight="1" x14ac:dyDescent="0.25">
      <c r="A65" s="125" t="s">
        <v>1471</v>
      </c>
      <c r="B65" s="125" t="s">
        <v>1471</v>
      </c>
      <c r="C65" s="287" t="s">
        <v>1723</v>
      </c>
      <c r="D65" s="125" t="s">
        <v>269</v>
      </c>
      <c r="E65" s="125" t="s">
        <v>695</v>
      </c>
      <c r="F65" s="125" t="s">
        <v>650</v>
      </c>
      <c r="G65" s="279">
        <v>0</v>
      </c>
      <c r="H65" s="279">
        <v>0</v>
      </c>
      <c r="I65" s="279">
        <v>0</v>
      </c>
      <c r="J65" s="279">
        <v>199854.05</v>
      </c>
      <c r="K65" s="279">
        <v>0</v>
      </c>
      <c r="L65" s="279">
        <v>0</v>
      </c>
      <c r="M65" s="279">
        <v>0</v>
      </c>
      <c r="N65" s="279">
        <v>41969.35</v>
      </c>
      <c r="O65" s="279">
        <v>0</v>
      </c>
      <c r="P65" s="279">
        <v>0</v>
      </c>
      <c r="Q65" s="279">
        <v>0</v>
      </c>
      <c r="R65" s="279">
        <v>0</v>
      </c>
      <c r="S65" s="279">
        <v>0</v>
      </c>
      <c r="T65" s="279">
        <v>0</v>
      </c>
      <c r="U65" s="279">
        <v>241823.4</v>
      </c>
      <c r="V65" s="125" t="s">
        <v>651</v>
      </c>
    </row>
    <row r="66" spans="1:23" ht="15" customHeight="1" x14ac:dyDescent="0.25">
      <c r="A66" s="125" t="s">
        <v>1401</v>
      </c>
      <c r="B66" s="125" t="s">
        <v>1401</v>
      </c>
      <c r="C66" s="287" t="s">
        <v>1697</v>
      </c>
      <c r="D66" s="125" t="s">
        <v>1698</v>
      </c>
      <c r="E66" s="125" t="s">
        <v>1699</v>
      </c>
      <c r="F66" s="125" t="s">
        <v>650</v>
      </c>
      <c r="G66" s="279">
        <v>0</v>
      </c>
      <c r="H66" s="279">
        <v>0</v>
      </c>
      <c r="I66" s="279">
        <v>0</v>
      </c>
      <c r="J66" s="279">
        <v>80594.23</v>
      </c>
      <c r="K66" s="279">
        <v>0</v>
      </c>
      <c r="L66" s="279">
        <v>0</v>
      </c>
      <c r="M66" s="279">
        <v>0</v>
      </c>
      <c r="N66" s="279">
        <v>16924.79</v>
      </c>
      <c r="O66" s="279">
        <v>0</v>
      </c>
      <c r="P66" s="279">
        <v>0</v>
      </c>
      <c r="Q66" s="279">
        <v>0</v>
      </c>
      <c r="R66" s="279">
        <v>0</v>
      </c>
      <c r="S66" s="279">
        <v>0</v>
      </c>
      <c r="T66" s="279">
        <v>0</v>
      </c>
      <c r="U66" s="279">
        <v>97519.02</v>
      </c>
      <c r="V66" s="125" t="s">
        <v>651</v>
      </c>
    </row>
    <row r="67" spans="1:23" ht="15" customHeight="1" x14ac:dyDescent="0.25">
      <c r="A67" s="250" t="s">
        <v>1626</v>
      </c>
      <c r="B67" s="250" t="s">
        <v>1194</v>
      </c>
      <c r="C67" s="287" t="s">
        <v>1627</v>
      </c>
      <c r="D67" s="250" t="s">
        <v>1628</v>
      </c>
      <c r="E67" s="265" t="s">
        <v>1629</v>
      </c>
      <c r="F67" s="265" t="s">
        <v>650</v>
      </c>
      <c r="G67" s="279">
        <v>0</v>
      </c>
      <c r="H67" s="279">
        <v>0</v>
      </c>
      <c r="I67" s="279">
        <v>0</v>
      </c>
      <c r="J67" s="279">
        <v>96169.7</v>
      </c>
      <c r="K67" s="279">
        <v>0</v>
      </c>
      <c r="L67" s="279">
        <v>0</v>
      </c>
      <c r="M67" s="279">
        <v>0</v>
      </c>
      <c r="N67" s="279">
        <v>20195.64</v>
      </c>
      <c r="O67" s="279">
        <v>0</v>
      </c>
      <c r="P67" s="279">
        <v>0</v>
      </c>
      <c r="Q67" s="279">
        <v>0</v>
      </c>
      <c r="R67" s="279">
        <v>13634.67</v>
      </c>
      <c r="S67" s="279">
        <v>0</v>
      </c>
      <c r="T67" s="279">
        <v>0</v>
      </c>
      <c r="U67" s="279">
        <v>130000.01</v>
      </c>
      <c r="V67" s="265"/>
      <c r="W67" s="262">
        <v>81</v>
      </c>
    </row>
    <row r="68" spans="1:23" ht="15" customHeight="1" x14ac:dyDescent="0.25">
      <c r="A68" s="125" t="s">
        <v>1232</v>
      </c>
      <c r="B68" s="125" t="s">
        <v>1232</v>
      </c>
      <c r="C68" s="287" t="s">
        <v>1633</v>
      </c>
      <c r="D68" s="125" t="s">
        <v>760</v>
      </c>
      <c r="E68" s="125" t="s">
        <v>916</v>
      </c>
      <c r="F68" s="125" t="s">
        <v>650</v>
      </c>
      <c r="G68" s="279">
        <v>0</v>
      </c>
      <c r="H68" s="279">
        <v>0</v>
      </c>
      <c r="I68" s="279">
        <v>315560</v>
      </c>
      <c r="J68" s="279">
        <v>0</v>
      </c>
      <c r="K68" s="279">
        <v>0</v>
      </c>
      <c r="L68" s="279">
        <v>0</v>
      </c>
      <c r="M68" s="279">
        <v>0</v>
      </c>
      <c r="N68" s="279">
        <v>33133.800000000003</v>
      </c>
      <c r="O68" s="279">
        <v>0</v>
      </c>
      <c r="P68" s="279">
        <v>0</v>
      </c>
      <c r="Q68" s="279">
        <v>0</v>
      </c>
      <c r="R68" s="279">
        <v>0</v>
      </c>
      <c r="S68" s="279">
        <v>0</v>
      </c>
      <c r="T68" s="279">
        <v>0</v>
      </c>
      <c r="U68" s="279">
        <v>348693.8</v>
      </c>
      <c r="V68" s="125" t="s">
        <v>651</v>
      </c>
    </row>
    <row r="69" spans="1:23" ht="15" customHeight="1" x14ac:dyDescent="0.25">
      <c r="A69" s="125" t="s">
        <v>1257</v>
      </c>
      <c r="B69" s="125" t="s">
        <v>1257</v>
      </c>
      <c r="C69" s="287" t="s">
        <v>1657</v>
      </c>
      <c r="D69" s="125" t="s">
        <v>760</v>
      </c>
      <c r="E69" s="125" t="s">
        <v>916</v>
      </c>
      <c r="F69" s="125" t="s">
        <v>650</v>
      </c>
      <c r="G69" s="279">
        <v>0</v>
      </c>
      <c r="H69" s="279">
        <v>0</v>
      </c>
      <c r="I69" s="279">
        <v>875840</v>
      </c>
      <c r="J69" s="279">
        <v>0</v>
      </c>
      <c r="K69" s="279">
        <v>0</v>
      </c>
      <c r="L69" s="279">
        <v>0</v>
      </c>
      <c r="M69" s="279">
        <v>0</v>
      </c>
      <c r="N69" s="279">
        <v>91963.199999999997</v>
      </c>
      <c r="O69" s="279">
        <v>0</v>
      </c>
      <c r="P69" s="279">
        <v>0</v>
      </c>
      <c r="Q69" s="279">
        <v>0</v>
      </c>
      <c r="R69" s="279">
        <v>0</v>
      </c>
      <c r="S69" s="279">
        <v>0</v>
      </c>
      <c r="T69" s="279">
        <v>0</v>
      </c>
      <c r="U69" s="279">
        <v>967803.2</v>
      </c>
      <c r="V69" s="125" t="s">
        <v>651</v>
      </c>
    </row>
    <row r="70" spans="1:23" ht="15" customHeight="1" x14ac:dyDescent="0.25">
      <c r="A70" s="125" t="s">
        <v>999</v>
      </c>
      <c r="B70" s="125" t="s">
        <v>1093</v>
      </c>
      <c r="C70" s="287" t="s">
        <v>1580</v>
      </c>
      <c r="D70" s="125" t="s">
        <v>750</v>
      </c>
      <c r="E70" s="125" t="s">
        <v>909</v>
      </c>
      <c r="F70" s="125" t="s">
        <v>650</v>
      </c>
      <c r="G70" s="279">
        <v>0</v>
      </c>
      <c r="H70" s="279">
        <v>0</v>
      </c>
      <c r="I70" s="279">
        <v>0</v>
      </c>
      <c r="J70" s="279">
        <v>88750</v>
      </c>
      <c r="K70" s="279">
        <v>0</v>
      </c>
      <c r="L70" s="279">
        <v>0</v>
      </c>
      <c r="M70" s="279">
        <v>0</v>
      </c>
      <c r="N70" s="279">
        <v>18637.5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107387.5</v>
      </c>
      <c r="V70" s="125" t="s">
        <v>651</v>
      </c>
    </row>
    <row r="71" spans="1:23" ht="15" customHeight="1" x14ac:dyDescent="0.25">
      <c r="A71" s="125" t="s">
        <v>1194</v>
      </c>
      <c r="B71" s="125" t="s">
        <v>1194</v>
      </c>
      <c r="C71" s="287" t="s">
        <v>1630</v>
      </c>
      <c r="D71" s="125" t="s">
        <v>1631</v>
      </c>
      <c r="E71" s="125" t="s">
        <v>1632</v>
      </c>
      <c r="F71" s="125" t="s">
        <v>650</v>
      </c>
      <c r="G71" s="279">
        <v>0</v>
      </c>
      <c r="H71" s="279">
        <v>0</v>
      </c>
      <c r="I71" s="279">
        <v>0</v>
      </c>
      <c r="J71" s="279">
        <v>9380.17</v>
      </c>
      <c r="K71" s="279">
        <v>0</v>
      </c>
      <c r="L71" s="279">
        <v>0</v>
      </c>
      <c r="M71" s="279">
        <v>0</v>
      </c>
      <c r="N71" s="279">
        <v>1969.84</v>
      </c>
      <c r="O71" s="279">
        <v>0</v>
      </c>
      <c r="P71" s="279">
        <v>0</v>
      </c>
      <c r="Q71" s="279">
        <v>0</v>
      </c>
      <c r="R71" s="279">
        <v>0</v>
      </c>
      <c r="S71" s="279">
        <v>0</v>
      </c>
      <c r="T71" s="279">
        <v>0</v>
      </c>
      <c r="U71" s="279">
        <v>11350.01</v>
      </c>
      <c r="V71" s="125" t="s">
        <v>651</v>
      </c>
    </row>
    <row r="72" spans="1:23" ht="15" customHeight="1" x14ac:dyDescent="0.25">
      <c r="A72" s="250" t="s">
        <v>999</v>
      </c>
      <c r="B72" s="250" t="s">
        <v>999</v>
      </c>
      <c r="C72" s="287" t="s">
        <v>1572</v>
      </c>
      <c r="D72" s="250" t="s">
        <v>475</v>
      </c>
      <c r="E72" s="265" t="s">
        <v>679</v>
      </c>
      <c r="F72" s="265" t="s">
        <v>650</v>
      </c>
      <c r="G72" s="279">
        <v>0</v>
      </c>
      <c r="H72" s="279">
        <v>0</v>
      </c>
      <c r="I72" s="279">
        <v>0</v>
      </c>
      <c r="J72" s="279">
        <v>73101.039999999994</v>
      </c>
      <c r="K72" s="279">
        <v>0</v>
      </c>
      <c r="L72" s="279">
        <v>0</v>
      </c>
      <c r="M72" s="279">
        <v>0</v>
      </c>
      <c r="N72" s="279">
        <v>15351.22</v>
      </c>
      <c r="O72" s="279">
        <v>10377.9</v>
      </c>
      <c r="P72" s="279">
        <v>0</v>
      </c>
      <c r="Q72" s="279">
        <v>0</v>
      </c>
      <c r="R72" s="279">
        <v>1182.8399999999999</v>
      </c>
      <c r="S72" s="279">
        <v>0</v>
      </c>
      <c r="T72" s="279">
        <v>0</v>
      </c>
      <c r="U72" s="279">
        <v>100013</v>
      </c>
      <c r="V72" s="265" t="s">
        <v>655</v>
      </c>
      <c r="W72" s="262">
        <v>81</v>
      </c>
    </row>
    <row r="73" spans="1:23" ht="15" customHeight="1" x14ac:dyDescent="0.25">
      <c r="A73" s="250" t="s">
        <v>1257</v>
      </c>
      <c r="B73" s="250" t="s">
        <v>1257</v>
      </c>
      <c r="C73" s="287" t="s">
        <v>1655</v>
      </c>
      <c r="D73" s="250" t="s">
        <v>475</v>
      </c>
      <c r="E73" s="265" t="s">
        <v>679</v>
      </c>
      <c r="F73" s="265" t="s">
        <v>650</v>
      </c>
      <c r="G73" s="279">
        <v>0</v>
      </c>
      <c r="H73" s="279">
        <v>0</v>
      </c>
      <c r="I73" s="279">
        <v>0</v>
      </c>
      <c r="J73" s="279">
        <v>47576.46</v>
      </c>
      <c r="K73" s="279">
        <v>0</v>
      </c>
      <c r="L73" s="279">
        <v>0</v>
      </c>
      <c r="M73" s="279">
        <v>0</v>
      </c>
      <c r="N73" s="279">
        <v>9991.06</v>
      </c>
      <c r="O73" s="279">
        <v>6672.07</v>
      </c>
      <c r="P73" s="279">
        <v>0</v>
      </c>
      <c r="Q73" s="279">
        <v>0</v>
      </c>
      <c r="R73" s="279">
        <v>760.46</v>
      </c>
      <c r="S73" s="279">
        <v>0</v>
      </c>
      <c r="T73" s="279">
        <v>0</v>
      </c>
      <c r="U73" s="279">
        <v>65000.05</v>
      </c>
      <c r="V73" s="265" t="s">
        <v>655</v>
      </c>
      <c r="W73" s="262">
        <v>81</v>
      </c>
    </row>
    <row r="74" spans="1:23" ht="15" customHeight="1" x14ac:dyDescent="0.25">
      <c r="A74" s="250" t="s">
        <v>1671</v>
      </c>
      <c r="B74" s="250" t="s">
        <v>1671</v>
      </c>
      <c r="C74" s="287" t="s">
        <v>1672</v>
      </c>
      <c r="D74" s="250" t="s">
        <v>475</v>
      </c>
      <c r="E74" s="265" t="s">
        <v>679</v>
      </c>
      <c r="F74" s="265" t="s">
        <v>650</v>
      </c>
      <c r="G74" s="279">
        <v>0</v>
      </c>
      <c r="H74" s="279">
        <v>0</v>
      </c>
      <c r="I74" s="279">
        <v>0</v>
      </c>
      <c r="J74" s="279">
        <v>43948.61</v>
      </c>
      <c r="K74" s="279">
        <v>0</v>
      </c>
      <c r="L74" s="279">
        <v>0</v>
      </c>
      <c r="M74" s="279">
        <v>0</v>
      </c>
      <c r="N74" s="279">
        <v>9229.2099999999991</v>
      </c>
      <c r="O74" s="279">
        <v>6124.09</v>
      </c>
      <c r="P74" s="279">
        <v>0</v>
      </c>
      <c r="Q74" s="279">
        <v>0</v>
      </c>
      <c r="R74" s="279">
        <v>698</v>
      </c>
      <c r="S74" s="279">
        <v>0</v>
      </c>
      <c r="T74" s="279">
        <v>0</v>
      </c>
      <c r="U74" s="279">
        <v>59999.91</v>
      </c>
      <c r="V74" s="265" t="s">
        <v>655</v>
      </c>
      <c r="W74" s="262">
        <v>81</v>
      </c>
    </row>
    <row r="75" spans="1:23" ht="15" customHeight="1" x14ac:dyDescent="0.25">
      <c r="A75" s="250" t="s">
        <v>1706</v>
      </c>
      <c r="B75" s="250" t="s">
        <v>1706</v>
      </c>
      <c r="C75" s="287" t="s">
        <v>1707</v>
      </c>
      <c r="D75" s="250" t="s">
        <v>475</v>
      </c>
      <c r="E75" s="265" t="s">
        <v>679</v>
      </c>
      <c r="F75" s="265" t="s">
        <v>650</v>
      </c>
      <c r="G75" s="279">
        <v>0</v>
      </c>
      <c r="H75" s="279">
        <v>0</v>
      </c>
      <c r="I75" s="279">
        <v>0</v>
      </c>
      <c r="J75" s="279">
        <v>13063.72</v>
      </c>
      <c r="K75" s="279">
        <v>0</v>
      </c>
      <c r="L75" s="279">
        <v>0</v>
      </c>
      <c r="M75" s="279">
        <v>0</v>
      </c>
      <c r="N75" s="279">
        <v>2743.38</v>
      </c>
      <c r="O75" s="279">
        <v>1820.38</v>
      </c>
      <c r="P75" s="279">
        <v>0</v>
      </c>
      <c r="Q75" s="279">
        <v>0</v>
      </c>
      <c r="R75" s="279">
        <v>207.48</v>
      </c>
      <c r="S75" s="279">
        <v>0</v>
      </c>
      <c r="T75" s="279">
        <v>0</v>
      </c>
      <c r="U75" s="279">
        <v>17834.96</v>
      </c>
      <c r="V75" s="265" t="s">
        <v>655</v>
      </c>
      <c r="W75" s="262">
        <v>81</v>
      </c>
    </row>
    <row r="76" spans="1:23" ht="15" customHeight="1" x14ac:dyDescent="0.25">
      <c r="A76" s="250" t="s">
        <v>1440</v>
      </c>
      <c r="B76" s="250" t="s">
        <v>1440</v>
      </c>
      <c r="C76" s="287" t="s">
        <v>1708</v>
      </c>
      <c r="D76" s="250" t="s">
        <v>475</v>
      </c>
      <c r="E76" s="265" t="s">
        <v>679</v>
      </c>
      <c r="F76" s="265" t="s">
        <v>650</v>
      </c>
      <c r="G76" s="279">
        <v>0</v>
      </c>
      <c r="H76" s="279">
        <v>0</v>
      </c>
      <c r="I76" s="279">
        <v>0</v>
      </c>
      <c r="J76" s="279">
        <v>49810.75</v>
      </c>
      <c r="K76" s="279">
        <v>0</v>
      </c>
      <c r="L76" s="279">
        <v>0</v>
      </c>
      <c r="M76" s="279">
        <v>0</v>
      </c>
      <c r="N76" s="279">
        <v>10460.26</v>
      </c>
      <c r="O76" s="279">
        <v>6940.95</v>
      </c>
      <c r="P76" s="279">
        <v>0</v>
      </c>
      <c r="Q76" s="279">
        <v>0</v>
      </c>
      <c r="R76" s="279">
        <v>791.11</v>
      </c>
      <c r="S76" s="279">
        <v>0</v>
      </c>
      <c r="T76" s="279">
        <v>0</v>
      </c>
      <c r="U76" s="279">
        <v>68003.070000000007</v>
      </c>
      <c r="V76" s="265" t="s">
        <v>655</v>
      </c>
      <c r="W76" s="262">
        <v>81</v>
      </c>
    </row>
    <row r="77" spans="1:23" ht="15" customHeight="1" x14ac:dyDescent="0.25">
      <c r="A77" s="125" t="s">
        <v>1137</v>
      </c>
      <c r="B77" s="125" t="s">
        <v>1137</v>
      </c>
      <c r="C77" s="287" t="s">
        <v>1607</v>
      </c>
      <c r="D77" s="125" t="s">
        <v>1608</v>
      </c>
      <c r="E77" s="125" t="s">
        <v>1609</v>
      </c>
      <c r="F77" s="125" t="s">
        <v>650</v>
      </c>
      <c r="G77" s="279">
        <v>0</v>
      </c>
      <c r="H77" s="279">
        <v>0</v>
      </c>
      <c r="I77" s="279">
        <v>0</v>
      </c>
      <c r="J77" s="279">
        <v>23405.78</v>
      </c>
      <c r="K77" s="279">
        <v>0</v>
      </c>
      <c r="L77" s="279">
        <v>0</v>
      </c>
      <c r="M77" s="279">
        <v>0</v>
      </c>
      <c r="N77" s="279">
        <v>4915.21</v>
      </c>
      <c r="O77" s="279">
        <v>0</v>
      </c>
      <c r="P77" s="279">
        <v>0</v>
      </c>
      <c r="Q77" s="279">
        <v>0</v>
      </c>
      <c r="R77" s="279">
        <v>0</v>
      </c>
      <c r="S77" s="279">
        <v>0</v>
      </c>
      <c r="T77" s="279">
        <v>0</v>
      </c>
      <c r="U77" s="279">
        <v>28320.99</v>
      </c>
      <c r="V77" s="125" t="s">
        <v>651</v>
      </c>
    </row>
    <row r="78" spans="1:23" ht="15" customHeight="1" x14ac:dyDescent="0.25">
      <c r="A78" s="125" t="s">
        <v>1330</v>
      </c>
      <c r="B78" s="125" t="s">
        <v>1330</v>
      </c>
      <c r="C78" s="287" t="s">
        <v>1765</v>
      </c>
      <c r="D78" s="125" t="s">
        <v>1552</v>
      </c>
      <c r="E78" s="125" t="s">
        <v>1766</v>
      </c>
      <c r="F78" s="125" t="s">
        <v>650</v>
      </c>
      <c r="G78" s="279">
        <v>0</v>
      </c>
      <c r="H78" s="279">
        <v>0</v>
      </c>
      <c r="I78" s="279">
        <v>0</v>
      </c>
      <c r="J78" s="279">
        <v>37776.86</v>
      </c>
      <c r="K78" s="279">
        <v>0</v>
      </c>
      <c r="L78" s="279">
        <v>0</v>
      </c>
      <c r="M78" s="279">
        <v>0</v>
      </c>
      <c r="N78" s="279">
        <v>7933.14</v>
      </c>
      <c r="O78" s="279">
        <v>0</v>
      </c>
      <c r="P78" s="279">
        <v>0</v>
      </c>
      <c r="Q78" s="279">
        <v>0</v>
      </c>
      <c r="R78" s="279">
        <v>0</v>
      </c>
      <c r="S78" s="279">
        <v>0</v>
      </c>
      <c r="T78" s="279">
        <v>0</v>
      </c>
      <c r="U78" s="279">
        <v>45710</v>
      </c>
      <c r="V78" s="125" t="s">
        <v>651</v>
      </c>
    </row>
    <row r="79" spans="1:23" ht="15" customHeight="1" x14ac:dyDescent="0.25">
      <c r="A79" s="250" t="s">
        <v>1069</v>
      </c>
      <c r="B79" s="250" t="s">
        <v>1069</v>
      </c>
      <c r="C79" s="287" t="s">
        <v>1575</v>
      </c>
      <c r="D79" s="250" t="s">
        <v>1576</v>
      </c>
      <c r="E79" s="265" t="s">
        <v>1577</v>
      </c>
      <c r="F79" s="265" t="s">
        <v>650</v>
      </c>
      <c r="G79" s="279">
        <v>0</v>
      </c>
      <c r="H79" s="279">
        <v>0</v>
      </c>
      <c r="I79" s="279">
        <v>0</v>
      </c>
      <c r="J79" s="279">
        <v>132090</v>
      </c>
      <c r="K79" s="279">
        <v>0</v>
      </c>
      <c r="L79" s="279">
        <v>0</v>
      </c>
      <c r="M79" s="279">
        <v>0</v>
      </c>
      <c r="N79" s="279">
        <v>27738.9</v>
      </c>
      <c r="O79" s="279">
        <v>0</v>
      </c>
      <c r="P79" s="279">
        <v>0</v>
      </c>
      <c r="Q79" s="279">
        <v>0</v>
      </c>
      <c r="R79" s="279">
        <v>0</v>
      </c>
      <c r="S79" s="279">
        <v>0</v>
      </c>
      <c r="T79" s="279">
        <v>5283.6</v>
      </c>
      <c r="U79" s="279">
        <v>165112.5</v>
      </c>
      <c r="V79" s="265" t="s">
        <v>651</v>
      </c>
      <c r="W79" s="262">
        <v>81</v>
      </c>
    </row>
    <row r="80" spans="1:23" ht="15" customHeight="1" x14ac:dyDescent="0.25">
      <c r="A80" s="125" t="s">
        <v>1514</v>
      </c>
      <c r="B80" s="125" t="s">
        <v>1514</v>
      </c>
      <c r="C80" s="287" t="s">
        <v>1754</v>
      </c>
      <c r="D80" s="125" t="s">
        <v>1752</v>
      </c>
      <c r="E80" s="125" t="s">
        <v>1753</v>
      </c>
      <c r="F80" s="125" t="s">
        <v>650</v>
      </c>
      <c r="G80" s="279">
        <v>0</v>
      </c>
      <c r="H80" s="279">
        <v>0</v>
      </c>
      <c r="I80" s="279">
        <v>0</v>
      </c>
      <c r="J80" s="279">
        <v>315000</v>
      </c>
      <c r="K80" s="279">
        <v>0</v>
      </c>
      <c r="L80" s="279">
        <v>0</v>
      </c>
      <c r="M80" s="279">
        <v>0</v>
      </c>
      <c r="N80" s="279">
        <v>66150</v>
      </c>
      <c r="O80" s="279">
        <v>0</v>
      </c>
      <c r="P80" s="279">
        <v>0</v>
      </c>
      <c r="Q80" s="279">
        <v>0</v>
      </c>
      <c r="R80" s="279">
        <v>0</v>
      </c>
      <c r="S80" s="279">
        <v>0</v>
      </c>
      <c r="T80" s="279">
        <v>0</v>
      </c>
      <c r="U80" s="279">
        <v>381150</v>
      </c>
      <c r="V80" s="125" t="s">
        <v>651</v>
      </c>
    </row>
    <row r="81" spans="1:22" ht="15" customHeight="1" x14ac:dyDescent="0.25">
      <c r="A81" s="125" t="s">
        <v>1514</v>
      </c>
      <c r="B81" s="125" t="s">
        <v>1514</v>
      </c>
      <c r="C81" s="287" t="s">
        <v>1751</v>
      </c>
      <c r="D81" s="125" t="s">
        <v>1752</v>
      </c>
      <c r="E81" s="125" t="s">
        <v>1753</v>
      </c>
      <c r="F81" s="125" t="s">
        <v>650</v>
      </c>
      <c r="G81" s="279">
        <v>0</v>
      </c>
      <c r="H81" s="279">
        <v>0</v>
      </c>
      <c r="I81" s="279">
        <v>0</v>
      </c>
      <c r="J81" s="279">
        <v>357000</v>
      </c>
      <c r="K81" s="279">
        <v>0</v>
      </c>
      <c r="L81" s="279">
        <v>0</v>
      </c>
      <c r="M81" s="279">
        <v>0</v>
      </c>
      <c r="N81" s="279">
        <v>74970</v>
      </c>
      <c r="O81" s="279">
        <v>0</v>
      </c>
      <c r="P81" s="279">
        <v>0</v>
      </c>
      <c r="Q81" s="279">
        <v>0</v>
      </c>
      <c r="R81" s="279">
        <v>0</v>
      </c>
      <c r="S81" s="279">
        <v>0</v>
      </c>
      <c r="T81" s="279">
        <v>0</v>
      </c>
      <c r="U81" s="279">
        <v>431970</v>
      </c>
      <c r="V81" s="125" t="s">
        <v>651</v>
      </c>
    </row>
    <row r="82" spans="1:22" ht="15" customHeight="1" x14ac:dyDescent="0.25">
      <c r="A82" s="125" t="s">
        <v>1471</v>
      </c>
      <c r="B82" s="125" t="s">
        <v>1471</v>
      </c>
      <c r="C82" s="287" t="s">
        <v>1771</v>
      </c>
      <c r="D82" s="125" t="s">
        <v>757</v>
      </c>
      <c r="E82" s="125" t="s">
        <v>1772</v>
      </c>
      <c r="F82" s="125" t="s">
        <v>650</v>
      </c>
      <c r="G82" s="279">
        <v>0</v>
      </c>
      <c r="H82" s="279">
        <v>0</v>
      </c>
      <c r="I82" s="279">
        <v>0</v>
      </c>
      <c r="J82" s="279">
        <v>83568.600000000006</v>
      </c>
      <c r="K82" s="279">
        <v>0</v>
      </c>
      <c r="L82" s="279">
        <v>0</v>
      </c>
      <c r="M82" s="279">
        <v>0</v>
      </c>
      <c r="N82" s="279">
        <v>17549.41</v>
      </c>
      <c r="O82" s="279">
        <v>0</v>
      </c>
      <c r="P82" s="279">
        <v>0</v>
      </c>
      <c r="Q82" s="279">
        <v>0</v>
      </c>
      <c r="R82" s="279">
        <v>0</v>
      </c>
      <c r="S82" s="279">
        <v>2507.06</v>
      </c>
      <c r="T82" s="279">
        <v>3342.74</v>
      </c>
      <c r="U82" s="279">
        <v>106967.81</v>
      </c>
      <c r="V82" s="125" t="s">
        <v>655</v>
      </c>
    </row>
    <row r="83" spans="1:22" ht="15" customHeight="1" x14ac:dyDescent="0.25">
      <c r="A83" s="125" t="s">
        <v>1093</v>
      </c>
      <c r="B83" s="125" t="s">
        <v>1093</v>
      </c>
      <c r="C83" s="287" t="s">
        <v>1594</v>
      </c>
      <c r="D83" s="125" t="s">
        <v>102</v>
      </c>
      <c r="E83" s="125" t="s">
        <v>1595</v>
      </c>
      <c r="F83" s="125" t="s">
        <v>650</v>
      </c>
      <c r="G83" s="279">
        <v>0</v>
      </c>
      <c r="H83" s="279">
        <v>0</v>
      </c>
      <c r="I83" s="279">
        <v>0</v>
      </c>
      <c r="J83" s="279">
        <v>126761.5</v>
      </c>
      <c r="K83" s="279">
        <v>0</v>
      </c>
      <c r="L83" s="279">
        <v>0</v>
      </c>
      <c r="M83" s="279">
        <v>0</v>
      </c>
      <c r="N83" s="279">
        <v>26619.919999999998</v>
      </c>
      <c r="O83" s="279">
        <v>0</v>
      </c>
      <c r="P83" s="279">
        <v>0</v>
      </c>
      <c r="Q83" s="279">
        <v>0</v>
      </c>
      <c r="R83" s="279">
        <v>0</v>
      </c>
      <c r="S83" s="279">
        <v>0</v>
      </c>
      <c r="T83" s="279">
        <v>0</v>
      </c>
      <c r="U83" s="279">
        <v>153381.42000000001</v>
      </c>
      <c r="V83" s="125" t="s">
        <v>651</v>
      </c>
    </row>
    <row r="84" spans="1:22" ht="15" customHeight="1" x14ac:dyDescent="0.25">
      <c r="A84" s="125" t="s">
        <v>1514</v>
      </c>
      <c r="B84" s="125" t="s">
        <v>1514</v>
      </c>
      <c r="C84" s="287" t="s">
        <v>1775</v>
      </c>
      <c r="D84" s="125" t="s">
        <v>1776</v>
      </c>
      <c r="E84" s="125" t="s">
        <v>1777</v>
      </c>
      <c r="F84" s="125" t="s">
        <v>650</v>
      </c>
      <c r="G84" s="279">
        <v>0</v>
      </c>
      <c r="H84" s="279">
        <v>0</v>
      </c>
      <c r="I84" s="279">
        <v>0</v>
      </c>
      <c r="J84" s="279">
        <v>190248.57</v>
      </c>
      <c r="K84" s="279">
        <v>0</v>
      </c>
      <c r="L84" s="279">
        <v>0</v>
      </c>
      <c r="M84" s="279">
        <v>0</v>
      </c>
      <c r="N84" s="279">
        <v>39952.199999999997</v>
      </c>
      <c r="O84" s="279">
        <v>0</v>
      </c>
      <c r="P84" s="279">
        <v>0</v>
      </c>
      <c r="Q84" s="279">
        <v>0</v>
      </c>
      <c r="R84" s="279">
        <v>0</v>
      </c>
      <c r="S84" s="279">
        <v>0</v>
      </c>
      <c r="T84" s="279">
        <v>0</v>
      </c>
      <c r="U84" s="279">
        <v>230200.77</v>
      </c>
      <c r="V84" s="125" t="s">
        <v>651</v>
      </c>
    </row>
    <row r="85" spans="1:22" ht="15" customHeight="1" x14ac:dyDescent="0.25">
      <c r="A85" s="125" t="s">
        <v>1069</v>
      </c>
      <c r="B85" s="125" t="s">
        <v>1093</v>
      </c>
      <c r="C85" s="287" t="s">
        <v>1596</v>
      </c>
      <c r="D85" s="125" t="s">
        <v>743</v>
      </c>
      <c r="E85" s="125" t="s">
        <v>919</v>
      </c>
      <c r="F85" s="125" t="s">
        <v>650</v>
      </c>
      <c r="G85" s="279">
        <v>0</v>
      </c>
      <c r="H85" s="279">
        <v>0</v>
      </c>
      <c r="I85" s="279">
        <v>0</v>
      </c>
      <c r="J85" s="279">
        <v>210051</v>
      </c>
      <c r="K85" s="279">
        <v>0</v>
      </c>
      <c r="L85" s="279">
        <v>0</v>
      </c>
      <c r="M85" s="279">
        <v>0</v>
      </c>
      <c r="N85" s="279">
        <v>44110.71</v>
      </c>
      <c r="O85" s="279">
        <v>0</v>
      </c>
      <c r="P85" s="279">
        <v>0</v>
      </c>
      <c r="Q85" s="279">
        <v>0</v>
      </c>
      <c r="R85" s="279">
        <v>0</v>
      </c>
      <c r="S85" s="279">
        <v>0</v>
      </c>
      <c r="T85" s="279">
        <v>0</v>
      </c>
      <c r="U85" s="279">
        <v>254161.71</v>
      </c>
      <c r="V85" s="125" t="s">
        <v>651</v>
      </c>
    </row>
    <row r="86" spans="1:22" ht="15" customHeight="1" x14ac:dyDescent="0.25">
      <c r="A86" s="125" t="s">
        <v>999</v>
      </c>
      <c r="B86" s="125" t="s">
        <v>1093</v>
      </c>
      <c r="C86" s="287" t="s">
        <v>1586</v>
      </c>
      <c r="D86" s="125" t="s">
        <v>366</v>
      </c>
      <c r="E86" s="125" t="s">
        <v>911</v>
      </c>
      <c r="F86" s="125" t="s">
        <v>650</v>
      </c>
      <c r="G86" s="279">
        <v>0</v>
      </c>
      <c r="H86" s="279">
        <v>0</v>
      </c>
      <c r="I86" s="279">
        <v>0</v>
      </c>
      <c r="J86" s="279">
        <v>102800</v>
      </c>
      <c r="K86" s="279">
        <v>0</v>
      </c>
      <c r="L86" s="279">
        <v>0</v>
      </c>
      <c r="M86" s="279">
        <v>0</v>
      </c>
      <c r="N86" s="279">
        <v>21588</v>
      </c>
      <c r="O86" s="279">
        <v>0</v>
      </c>
      <c r="P86" s="279">
        <v>0</v>
      </c>
      <c r="Q86" s="279">
        <v>0</v>
      </c>
      <c r="R86" s="279">
        <v>4112</v>
      </c>
      <c r="S86" s="279">
        <v>0</v>
      </c>
      <c r="T86" s="279">
        <v>0</v>
      </c>
      <c r="U86" s="279">
        <v>128500</v>
      </c>
      <c r="V86" s="125" t="s">
        <v>651</v>
      </c>
    </row>
    <row r="87" spans="1:22" ht="15" customHeight="1" x14ac:dyDescent="0.25">
      <c r="A87" s="125" t="s">
        <v>1363</v>
      </c>
      <c r="B87" s="125" t="s">
        <v>1363</v>
      </c>
      <c r="C87" s="287" t="s">
        <v>1767</v>
      </c>
      <c r="D87" s="125" t="s">
        <v>1553</v>
      </c>
      <c r="E87" s="125" t="s">
        <v>1768</v>
      </c>
      <c r="F87" s="125" t="s">
        <v>650</v>
      </c>
      <c r="G87" s="279">
        <v>0</v>
      </c>
      <c r="H87" s="279">
        <v>0</v>
      </c>
      <c r="I87" s="279">
        <v>0</v>
      </c>
      <c r="J87" s="279">
        <v>27267.360000000001</v>
      </c>
      <c r="K87" s="279">
        <v>0</v>
      </c>
      <c r="L87" s="279">
        <v>0</v>
      </c>
      <c r="M87" s="279">
        <v>0</v>
      </c>
      <c r="N87" s="279">
        <v>5726.15</v>
      </c>
      <c r="O87" s="279">
        <v>0</v>
      </c>
      <c r="P87" s="279">
        <v>0</v>
      </c>
      <c r="Q87" s="279">
        <v>0</v>
      </c>
      <c r="R87" s="279">
        <v>0</v>
      </c>
      <c r="S87" s="279">
        <v>0</v>
      </c>
      <c r="T87" s="279">
        <v>0</v>
      </c>
      <c r="U87" s="279">
        <v>32993.51</v>
      </c>
      <c r="V87" s="125" t="s">
        <v>651</v>
      </c>
    </row>
    <row r="88" spans="1:22" ht="15" customHeight="1" x14ac:dyDescent="0.25">
      <c r="A88" s="125" t="s">
        <v>1041</v>
      </c>
      <c r="B88" s="125" t="s">
        <v>1093</v>
      </c>
      <c r="C88" s="287" t="s">
        <v>1593</v>
      </c>
      <c r="D88" s="125" t="s">
        <v>542</v>
      </c>
      <c r="E88" s="125" t="s">
        <v>915</v>
      </c>
      <c r="F88" s="125" t="s">
        <v>650</v>
      </c>
      <c r="G88" s="279">
        <v>0</v>
      </c>
      <c r="H88" s="279">
        <v>0</v>
      </c>
      <c r="I88" s="279">
        <v>0</v>
      </c>
      <c r="J88" s="279">
        <v>74779.13</v>
      </c>
      <c r="K88" s="279">
        <v>0</v>
      </c>
      <c r="L88" s="279">
        <v>0</v>
      </c>
      <c r="M88" s="279">
        <v>0</v>
      </c>
      <c r="N88" s="279">
        <v>15703.62</v>
      </c>
      <c r="O88" s="279">
        <v>0</v>
      </c>
      <c r="P88" s="279">
        <v>0</v>
      </c>
      <c r="Q88" s="279">
        <v>0</v>
      </c>
      <c r="R88" s="279">
        <v>2991.17</v>
      </c>
      <c r="S88" s="279">
        <v>0</v>
      </c>
      <c r="T88" s="279">
        <v>0</v>
      </c>
      <c r="U88" s="279">
        <v>93473.919999999998</v>
      </c>
      <c r="V88" s="125" t="s">
        <v>655</v>
      </c>
    </row>
    <row r="89" spans="1:22" ht="15" customHeight="1" x14ac:dyDescent="0.25">
      <c r="A89" s="125" t="s">
        <v>1257</v>
      </c>
      <c r="B89" s="125" t="s">
        <v>1257</v>
      </c>
      <c r="C89" s="287" t="s">
        <v>1649</v>
      </c>
      <c r="D89" s="125" t="s">
        <v>586</v>
      </c>
      <c r="E89" s="125" t="s">
        <v>953</v>
      </c>
      <c r="F89" s="125" t="s">
        <v>650</v>
      </c>
      <c r="G89" s="279">
        <v>0</v>
      </c>
      <c r="H89" s="279">
        <v>0</v>
      </c>
      <c r="I89" s="279">
        <v>0</v>
      </c>
      <c r="J89" s="279">
        <v>4911.22</v>
      </c>
      <c r="K89" s="279">
        <v>0</v>
      </c>
      <c r="L89" s="279">
        <v>0</v>
      </c>
      <c r="M89" s="279">
        <v>0</v>
      </c>
      <c r="N89" s="279">
        <v>1031.3599999999999</v>
      </c>
      <c r="O89" s="279">
        <v>0</v>
      </c>
      <c r="P89" s="279">
        <v>0</v>
      </c>
      <c r="Q89" s="279">
        <v>0</v>
      </c>
      <c r="R89" s="279">
        <v>0</v>
      </c>
      <c r="S89" s="279">
        <v>147.34</v>
      </c>
      <c r="T89" s="279">
        <v>0</v>
      </c>
      <c r="U89" s="279">
        <v>6089.92</v>
      </c>
      <c r="V89" s="125" t="s">
        <v>655</v>
      </c>
    </row>
    <row r="90" spans="1:22" ht="15" customHeight="1" x14ac:dyDescent="0.25">
      <c r="A90" s="125" t="s">
        <v>1514</v>
      </c>
      <c r="B90" s="125" t="s">
        <v>1514</v>
      </c>
      <c r="C90" s="287" t="s">
        <v>1728</v>
      </c>
      <c r="D90" s="125" t="s">
        <v>586</v>
      </c>
      <c r="E90" s="125" t="s">
        <v>953</v>
      </c>
      <c r="F90" s="125" t="s">
        <v>650</v>
      </c>
      <c r="G90" s="279">
        <v>0</v>
      </c>
      <c r="H90" s="279">
        <v>0</v>
      </c>
      <c r="I90" s="279">
        <v>0</v>
      </c>
      <c r="J90" s="279">
        <v>1637.07</v>
      </c>
      <c r="K90" s="279">
        <v>0</v>
      </c>
      <c r="L90" s="279">
        <v>0</v>
      </c>
      <c r="M90" s="279">
        <v>0</v>
      </c>
      <c r="N90" s="279">
        <v>343.78</v>
      </c>
      <c r="O90" s="279">
        <v>0</v>
      </c>
      <c r="P90" s="279">
        <v>0</v>
      </c>
      <c r="Q90" s="279">
        <v>0</v>
      </c>
      <c r="R90" s="279">
        <v>0</v>
      </c>
      <c r="S90" s="279">
        <v>0</v>
      </c>
      <c r="T90" s="279">
        <v>0</v>
      </c>
      <c r="U90" s="279">
        <v>1980.85</v>
      </c>
      <c r="V90" s="125" t="s">
        <v>655</v>
      </c>
    </row>
    <row r="91" spans="1:22" ht="15" customHeight="1" x14ac:dyDescent="0.25">
      <c r="A91" s="125" t="s">
        <v>1471</v>
      </c>
      <c r="B91" s="125" t="s">
        <v>1471</v>
      </c>
      <c r="C91" s="287" t="s">
        <v>1773</v>
      </c>
      <c r="D91" s="125" t="s">
        <v>757</v>
      </c>
      <c r="E91" s="125" t="s">
        <v>1772</v>
      </c>
      <c r="F91" s="125" t="s">
        <v>650</v>
      </c>
      <c r="G91" s="279">
        <v>0</v>
      </c>
      <c r="H91" s="279">
        <v>0</v>
      </c>
      <c r="I91" s="279">
        <v>0</v>
      </c>
      <c r="J91" s="279">
        <v>140500.92000000001</v>
      </c>
      <c r="K91" s="279">
        <v>0</v>
      </c>
      <c r="L91" s="279">
        <v>0</v>
      </c>
      <c r="M91" s="279">
        <v>0</v>
      </c>
      <c r="N91" s="279">
        <v>29505.19</v>
      </c>
      <c r="O91" s="279">
        <v>0</v>
      </c>
      <c r="P91" s="279">
        <v>0</v>
      </c>
      <c r="Q91" s="279">
        <v>0</v>
      </c>
      <c r="R91" s="279">
        <v>0</v>
      </c>
      <c r="S91" s="279">
        <v>4215.03</v>
      </c>
      <c r="T91" s="279">
        <v>5620.03</v>
      </c>
      <c r="U91" s="279">
        <v>179841.17</v>
      </c>
      <c r="V91" s="125" t="s">
        <v>655</v>
      </c>
    </row>
    <row r="92" spans="1:22" ht="15" customHeight="1" x14ac:dyDescent="0.25">
      <c r="A92" s="125" t="s">
        <v>1137</v>
      </c>
      <c r="B92" s="125" t="s">
        <v>1137</v>
      </c>
      <c r="C92" s="287" t="s">
        <v>1610</v>
      </c>
      <c r="D92" s="125" t="s">
        <v>1611</v>
      </c>
      <c r="E92" s="125" t="s">
        <v>1612</v>
      </c>
      <c r="F92" s="125" t="s">
        <v>650</v>
      </c>
      <c r="G92" s="279">
        <v>0</v>
      </c>
      <c r="H92" s="279">
        <v>0</v>
      </c>
      <c r="I92" s="279">
        <v>0</v>
      </c>
      <c r="J92" s="279">
        <v>80996.100000000006</v>
      </c>
      <c r="K92" s="279">
        <v>0</v>
      </c>
      <c r="L92" s="279">
        <v>0</v>
      </c>
      <c r="M92" s="279">
        <v>0</v>
      </c>
      <c r="N92" s="279">
        <v>17009.18</v>
      </c>
      <c r="O92" s="279">
        <v>1349.98</v>
      </c>
      <c r="P92" s="279">
        <v>0</v>
      </c>
      <c r="Q92" s="279">
        <v>0</v>
      </c>
      <c r="R92" s="279">
        <v>11844.3</v>
      </c>
      <c r="S92" s="279">
        <v>0</v>
      </c>
      <c r="T92" s="279">
        <v>2825.71</v>
      </c>
      <c r="U92" s="279">
        <v>114025.27</v>
      </c>
      <c r="V92" s="125" t="s">
        <v>655</v>
      </c>
    </row>
    <row r="93" spans="1:22" ht="15" customHeight="1" x14ac:dyDescent="0.25">
      <c r="A93" s="125" t="s">
        <v>1232</v>
      </c>
      <c r="B93" s="125" t="s">
        <v>1232</v>
      </c>
      <c r="C93" s="287" t="s">
        <v>1638</v>
      </c>
      <c r="D93" s="125" t="s">
        <v>588</v>
      </c>
      <c r="E93" s="125" t="s">
        <v>693</v>
      </c>
      <c r="F93" s="125" t="s">
        <v>650</v>
      </c>
      <c r="G93" s="279">
        <v>0</v>
      </c>
      <c r="H93" s="279">
        <v>0</v>
      </c>
      <c r="I93" s="279">
        <v>0</v>
      </c>
      <c r="J93" s="279">
        <v>4159.9399999999996</v>
      </c>
      <c r="K93" s="279">
        <v>0</v>
      </c>
      <c r="L93" s="279">
        <v>0</v>
      </c>
      <c r="M93" s="279">
        <v>0</v>
      </c>
      <c r="N93" s="279">
        <v>873.59</v>
      </c>
      <c r="O93" s="279">
        <v>0</v>
      </c>
      <c r="P93" s="279">
        <v>0</v>
      </c>
      <c r="Q93" s="279">
        <v>0</v>
      </c>
      <c r="R93" s="279">
        <v>0</v>
      </c>
      <c r="S93" s="279">
        <v>0</v>
      </c>
      <c r="T93" s="279">
        <v>166.4</v>
      </c>
      <c r="U93" s="279">
        <v>5199.93</v>
      </c>
      <c r="V93" s="125" t="s">
        <v>651</v>
      </c>
    </row>
    <row r="94" spans="1:22" ht="15" customHeight="1" x14ac:dyDescent="0.25">
      <c r="A94" s="125" t="s">
        <v>1232</v>
      </c>
      <c r="B94" s="125" t="s">
        <v>1232</v>
      </c>
      <c r="C94" s="287" t="s">
        <v>1639</v>
      </c>
      <c r="D94" s="125" t="s">
        <v>588</v>
      </c>
      <c r="E94" s="125" t="s">
        <v>693</v>
      </c>
      <c r="F94" s="125" t="s">
        <v>650</v>
      </c>
      <c r="G94" s="279">
        <v>0</v>
      </c>
      <c r="H94" s="279">
        <v>0</v>
      </c>
      <c r="I94" s="279">
        <v>0</v>
      </c>
      <c r="J94" s="279">
        <v>2079.9699999999998</v>
      </c>
      <c r="K94" s="279">
        <v>0</v>
      </c>
      <c r="L94" s="279">
        <v>0</v>
      </c>
      <c r="M94" s="279">
        <v>0</v>
      </c>
      <c r="N94" s="279">
        <v>436.79</v>
      </c>
      <c r="O94" s="279">
        <v>0</v>
      </c>
      <c r="P94" s="279">
        <v>0</v>
      </c>
      <c r="Q94" s="279">
        <v>0</v>
      </c>
      <c r="R94" s="279">
        <v>0</v>
      </c>
      <c r="S94" s="279">
        <v>0</v>
      </c>
      <c r="T94" s="279">
        <v>83.2</v>
      </c>
      <c r="U94" s="279">
        <v>2599.96</v>
      </c>
      <c r="V94" s="125" t="s">
        <v>651</v>
      </c>
    </row>
    <row r="95" spans="1:22" ht="15" customHeight="1" x14ac:dyDescent="0.25">
      <c r="A95" s="125" t="s">
        <v>1471</v>
      </c>
      <c r="B95" s="125" t="s">
        <v>1471</v>
      </c>
      <c r="C95" s="287" t="s">
        <v>1722</v>
      </c>
      <c r="D95" s="125" t="s">
        <v>588</v>
      </c>
      <c r="E95" s="125" t="s">
        <v>693</v>
      </c>
      <c r="F95" s="125" t="s">
        <v>650</v>
      </c>
      <c r="G95" s="279">
        <v>0</v>
      </c>
      <c r="H95" s="279">
        <v>0</v>
      </c>
      <c r="I95" s="279">
        <v>0</v>
      </c>
      <c r="J95" s="279">
        <v>1039.98</v>
      </c>
      <c r="K95" s="279">
        <v>0</v>
      </c>
      <c r="L95" s="279">
        <v>0</v>
      </c>
      <c r="M95" s="279">
        <v>0</v>
      </c>
      <c r="N95" s="279">
        <v>218.4</v>
      </c>
      <c r="O95" s="279">
        <v>0</v>
      </c>
      <c r="P95" s="279">
        <v>0</v>
      </c>
      <c r="Q95" s="279">
        <v>0</v>
      </c>
      <c r="R95" s="279">
        <v>0</v>
      </c>
      <c r="S95" s="279">
        <v>0</v>
      </c>
      <c r="T95" s="279">
        <v>41.6</v>
      </c>
      <c r="U95" s="279">
        <v>1299.98</v>
      </c>
      <c r="V95" s="125" t="s">
        <v>651</v>
      </c>
    </row>
    <row r="96" spans="1:22" ht="15" customHeight="1" x14ac:dyDescent="0.25">
      <c r="A96" s="125" t="s">
        <v>1069</v>
      </c>
      <c r="B96" s="125" t="s">
        <v>1069</v>
      </c>
      <c r="C96" s="287" t="s">
        <v>1578</v>
      </c>
      <c r="D96" s="125" t="s">
        <v>387</v>
      </c>
      <c r="E96" s="125" t="s">
        <v>907</v>
      </c>
      <c r="F96" s="125" t="s">
        <v>650</v>
      </c>
      <c r="G96" s="279">
        <v>0</v>
      </c>
      <c r="H96" s="279">
        <v>0</v>
      </c>
      <c r="I96" s="279">
        <v>0</v>
      </c>
      <c r="J96" s="279">
        <v>148760.32999999999</v>
      </c>
      <c r="K96" s="279">
        <v>0</v>
      </c>
      <c r="L96" s="279">
        <v>0</v>
      </c>
      <c r="M96" s="279">
        <v>0</v>
      </c>
      <c r="N96" s="279">
        <v>31239.67</v>
      </c>
      <c r="O96" s="279">
        <v>0</v>
      </c>
      <c r="P96" s="279">
        <v>0</v>
      </c>
      <c r="Q96" s="279">
        <v>0</v>
      </c>
      <c r="R96" s="279">
        <v>0</v>
      </c>
      <c r="S96" s="279">
        <v>0</v>
      </c>
      <c r="T96" s="279">
        <v>5950.41</v>
      </c>
      <c r="U96" s="279">
        <v>185950.41</v>
      </c>
      <c r="V96" s="125" t="s">
        <v>655</v>
      </c>
    </row>
    <row r="97" spans="1:22" ht="15" customHeight="1" x14ac:dyDescent="0.25">
      <c r="A97" s="125" t="s">
        <v>1257</v>
      </c>
      <c r="B97" s="125" t="s">
        <v>1257</v>
      </c>
      <c r="C97" s="287" t="s">
        <v>1656</v>
      </c>
      <c r="D97" s="125" t="s">
        <v>676</v>
      </c>
      <c r="E97" s="125" t="s">
        <v>952</v>
      </c>
      <c r="F97" s="125" t="s">
        <v>650</v>
      </c>
      <c r="G97" s="279">
        <v>0</v>
      </c>
      <c r="H97" s="279">
        <v>0</v>
      </c>
      <c r="I97" s="279">
        <v>0</v>
      </c>
      <c r="J97" s="279">
        <v>1487.6</v>
      </c>
      <c r="K97" s="279">
        <v>0</v>
      </c>
      <c r="L97" s="279">
        <v>0</v>
      </c>
      <c r="M97" s="279">
        <v>0</v>
      </c>
      <c r="N97" s="279">
        <v>312.39999999999998</v>
      </c>
      <c r="O97" s="279">
        <v>0</v>
      </c>
      <c r="P97" s="279">
        <v>0</v>
      </c>
      <c r="Q97" s="279">
        <v>0</v>
      </c>
      <c r="R97" s="279">
        <v>0</v>
      </c>
      <c r="S97" s="279">
        <v>0</v>
      </c>
      <c r="T97" s="279">
        <v>0</v>
      </c>
      <c r="U97" s="279">
        <v>1800</v>
      </c>
      <c r="V97" s="125" t="s">
        <v>651</v>
      </c>
    </row>
    <row r="98" spans="1:22" ht="15" customHeight="1" x14ac:dyDescent="0.25">
      <c r="A98" s="125" t="s">
        <v>1502</v>
      </c>
      <c r="B98" s="125" t="s">
        <v>1502</v>
      </c>
      <c r="C98" s="287" t="s">
        <v>1726</v>
      </c>
      <c r="D98" s="125" t="s">
        <v>676</v>
      </c>
      <c r="E98" s="125" t="s">
        <v>952</v>
      </c>
      <c r="F98" s="125" t="s">
        <v>650</v>
      </c>
      <c r="G98" s="279">
        <v>0</v>
      </c>
      <c r="H98" s="279">
        <v>0</v>
      </c>
      <c r="I98" s="279">
        <v>0</v>
      </c>
      <c r="J98" s="279">
        <v>10423.14</v>
      </c>
      <c r="K98" s="279">
        <v>0</v>
      </c>
      <c r="L98" s="279">
        <v>0</v>
      </c>
      <c r="M98" s="279">
        <v>0</v>
      </c>
      <c r="N98" s="279">
        <v>2188.86</v>
      </c>
      <c r="O98" s="279">
        <v>0</v>
      </c>
      <c r="P98" s="279">
        <v>0</v>
      </c>
      <c r="Q98" s="279">
        <v>0</v>
      </c>
      <c r="R98" s="279">
        <v>312.69</v>
      </c>
      <c r="S98" s="279">
        <v>0</v>
      </c>
      <c r="T98" s="279">
        <v>0</v>
      </c>
      <c r="U98" s="279">
        <v>12924.69</v>
      </c>
      <c r="V98" s="125" t="s">
        <v>651</v>
      </c>
    </row>
    <row r="99" spans="1:22" ht="15" customHeight="1" x14ac:dyDescent="0.25">
      <c r="A99" s="125" t="s">
        <v>960</v>
      </c>
      <c r="B99" s="125" t="s">
        <v>1137</v>
      </c>
      <c r="C99" s="287" t="s">
        <v>1601</v>
      </c>
      <c r="D99" s="125" t="s">
        <v>473</v>
      </c>
      <c r="E99" s="125" t="s">
        <v>910</v>
      </c>
      <c r="F99" s="125" t="s">
        <v>650</v>
      </c>
      <c r="G99" s="279">
        <v>0</v>
      </c>
      <c r="H99" s="279">
        <v>0</v>
      </c>
      <c r="I99" s="279">
        <v>0</v>
      </c>
      <c r="J99" s="279">
        <v>165623.79</v>
      </c>
      <c r="K99" s="279">
        <v>0</v>
      </c>
      <c r="L99" s="279">
        <v>0</v>
      </c>
      <c r="M99" s="279">
        <v>0</v>
      </c>
      <c r="N99" s="279">
        <v>34781</v>
      </c>
      <c r="O99" s="279">
        <v>0</v>
      </c>
      <c r="P99" s="279">
        <v>0</v>
      </c>
      <c r="Q99" s="279">
        <v>0</v>
      </c>
      <c r="R99" s="279">
        <v>0</v>
      </c>
      <c r="S99" s="279">
        <v>0</v>
      </c>
      <c r="T99" s="279">
        <v>6624.95</v>
      </c>
      <c r="U99" s="279">
        <v>207029.74</v>
      </c>
      <c r="V99" s="125" t="s">
        <v>651</v>
      </c>
    </row>
    <row r="100" spans="1:22" ht="15" customHeight="1" x14ac:dyDescent="0.25">
      <c r="A100" s="125" t="s">
        <v>960</v>
      </c>
      <c r="B100" s="125" t="s">
        <v>960</v>
      </c>
      <c r="C100" s="287" t="s">
        <v>1569</v>
      </c>
      <c r="D100" s="125" t="s">
        <v>235</v>
      </c>
      <c r="E100" s="125" t="s">
        <v>912</v>
      </c>
      <c r="F100" s="125" t="s">
        <v>650</v>
      </c>
      <c r="G100" s="279">
        <v>0</v>
      </c>
      <c r="H100" s="279">
        <v>0</v>
      </c>
      <c r="I100" s="279">
        <v>0</v>
      </c>
      <c r="J100" s="279">
        <v>3466.56</v>
      </c>
      <c r="K100" s="279">
        <v>0</v>
      </c>
      <c r="L100" s="279">
        <v>0</v>
      </c>
      <c r="M100" s="279">
        <v>0</v>
      </c>
      <c r="N100" s="279">
        <v>727.98</v>
      </c>
      <c r="O100" s="279">
        <v>0</v>
      </c>
      <c r="P100" s="279">
        <v>0</v>
      </c>
      <c r="Q100" s="279">
        <v>0</v>
      </c>
      <c r="R100" s="279">
        <v>0</v>
      </c>
      <c r="S100" s="279">
        <v>0</v>
      </c>
      <c r="T100" s="279">
        <v>138.66</v>
      </c>
      <c r="U100" s="279">
        <v>4333.2</v>
      </c>
      <c r="V100" s="125" t="s">
        <v>655</v>
      </c>
    </row>
    <row r="101" spans="1:22" ht="15" customHeight="1" x14ac:dyDescent="0.25">
      <c r="A101" s="125" t="s">
        <v>1270</v>
      </c>
      <c r="B101" s="125" t="s">
        <v>1270</v>
      </c>
      <c r="C101" s="287" t="s">
        <v>1665</v>
      </c>
      <c r="D101" s="125" t="s">
        <v>235</v>
      </c>
      <c r="E101" s="125" t="s">
        <v>912</v>
      </c>
      <c r="F101" s="125" t="s">
        <v>650</v>
      </c>
      <c r="G101" s="279">
        <v>0</v>
      </c>
      <c r="H101" s="279">
        <v>0</v>
      </c>
      <c r="I101" s="279">
        <v>0</v>
      </c>
      <c r="J101" s="279">
        <v>4968.79</v>
      </c>
      <c r="K101" s="279">
        <v>0</v>
      </c>
      <c r="L101" s="279">
        <v>0</v>
      </c>
      <c r="M101" s="279">
        <v>0</v>
      </c>
      <c r="N101" s="279">
        <v>1043.45</v>
      </c>
      <c r="O101" s="279">
        <v>0</v>
      </c>
      <c r="P101" s="279">
        <v>0</v>
      </c>
      <c r="Q101" s="279">
        <v>0</v>
      </c>
      <c r="R101" s="279">
        <v>0</v>
      </c>
      <c r="S101" s="279">
        <v>0</v>
      </c>
      <c r="T101" s="279">
        <v>198.75</v>
      </c>
      <c r="U101" s="279">
        <v>6210.99</v>
      </c>
      <c r="V101" s="125" t="s">
        <v>655</v>
      </c>
    </row>
    <row r="102" spans="1:22" ht="15" customHeight="1" x14ac:dyDescent="0.25">
      <c r="A102" s="125" t="s">
        <v>1164</v>
      </c>
      <c r="B102" s="125" t="s">
        <v>1164</v>
      </c>
      <c r="C102" s="287" t="s">
        <v>1622</v>
      </c>
      <c r="D102" s="125" t="s">
        <v>588</v>
      </c>
      <c r="E102" s="125" t="s">
        <v>693</v>
      </c>
      <c r="F102" s="125" t="s">
        <v>650</v>
      </c>
      <c r="G102" s="279">
        <v>0</v>
      </c>
      <c r="H102" s="279">
        <v>0</v>
      </c>
      <c r="I102" s="279">
        <v>0</v>
      </c>
      <c r="J102" s="279">
        <v>12479.78</v>
      </c>
      <c r="K102" s="279">
        <v>0</v>
      </c>
      <c r="L102" s="279">
        <v>0</v>
      </c>
      <c r="M102" s="279">
        <v>0</v>
      </c>
      <c r="N102" s="279">
        <v>2620.75</v>
      </c>
      <c r="O102" s="279">
        <v>0</v>
      </c>
      <c r="P102" s="279">
        <v>0</v>
      </c>
      <c r="Q102" s="279">
        <v>0</v>
      </c>
      <c r="R102" s="279">
        <v>0</v>
      </c>
      <c r="S102" s="279">
        <v>0</v>
      </c>
      <c r="T102" s="279">
        <v>499.19</v>
      </c>
      <c r="U102" s="279">
        <v>15599.72</v>
      </c>
      <c r="V102" s="125" t="s">
        <v>651</v>
      </c>
    </row>
    <row r="103" spans="1:22" ht="15" customHeight="1" x14ac:dyDescent="0.25">
      <c r="A103" s="125" t="s">
        <v>1330</v>
      </c>
      <c r="B103" s="125" t="s">
        <v>1330</v>
      </c>
      <c r="C103" s="287" t="s">
        <v>1683</v>
      </c>
      <c r="D103" s="125" t="s">
        <v>588</v>
      </c>
      <c r="E103" s="125" t="s">
        <v>693</v>
      </c>
      <c r="F103" s="125" t="s">
        <v>650</v>
      </c>
      <c r="G103" s="279">
        <v>0</v>
      </c>
      <c r="H103" s="279">
        <v>0</v>
      </c>
      <c r="I103" s="279">
        <v>0</v>
      </c>
      <c r="J103" s="279">
        <v>15807.73</v>
      </c>
      <c r="K103" s="279">
        <v>0</v>
      </c>
      <c r="L103" s="279">
        <v>0</v>
      </c>
      <c r="M103" s="279">
        <v>0</v>
      </c>
      <c r="N103" s="279">
        <v>3319.62</v>
      </c>
      <c r="O103" s="279">
        <v>0</v>
      </c>
      <c r="P103" s="279">
        <v>0</v>
      </c>
      <c r="Q103" s="279">
        <v>0</v>
      </c>
      <c r="R103" s="279">
        <v>0</v>
      </c>
      <c r="S103" s="279">
        <v>0</v>
      </c>
      <c r="T103" s="279">
        <v>632.30999999999995</v>
      </c>
      <c r="U103" s="279">
        <v>19759.66</v>
      </c>
      <c r="V103" s="125" t="s">
        <v>651</v>
      </c>
    </row>
    <row r="104" spans="1:22" ht="15" customHeight="1" x14ac:dyDescent="0.25">
      <c r="A104" s="125" t="s">
        <v>960</v>
      </c>
      <c r="B104" s="125" t="s">
        <v>1137</v>
      </c>
      <c r="C104" s="287" t="s">
        <v>1600</v>
      </c>
      <c r="D104" s="125" t="s">
        <v>48</v>
      </c>
      <c r="E104" s="125" t="s">
        <v>913</v>
      </c>
      <c r="F104" s="125" t="s">
        <v>650</v>
      </c>
      <c r="G104" s="279">
        <v>0</v>
      </c>
      <c r="H104" s="279">
        <v>0</v>
      </c>
      <c r="I104" s="279">
        <v>0</v>
      </c>
      <c r="J104" s="279">
        <v>9244.34</v>
      </c>
      <c r="K104" s="279">
        <v>0</v>
      </c>
      <c r="L104" s="279">
        <v>0</v>
      </c>
      <c r="M104" s="279">
        <v>0</v>
      </c>
      <c r="N104" s="279">
        <v>1941.31</v>
      </c>
      <c r="O104" s="279">
        <v>0</v>
      </c>
      <c r="P104" s="279">
        <v>0</v>
      </c>
      <c r="Q104" s="279">
        <v>0</v>
      </c>
      <c r="R104" s="279">
        <v>277.33</v>
      </c>
      <c r="S104" s="279">
        <v>369.77</v>
      </c>
      <c r="T104" s="279">
        <v>0</v>
      </c>
      <c r="U104" s="279">
        <v>11832.75</v>
      </c>
      <c r="V104" s="125" t="s">
        <v>655</v>
      </c>
    </row>
    <row r="105" spans="1:22" ht="15" customHeight="1" x14ac:dyDescent="0.25">
      <c r="A105" s="125" t="s">
        <v>1270</v>
      </c>
      <c r="B105" s="125" t="s">
        <v>1270</v>
      </c>
      <c r="C105" s="287" t="s">
        <v>1664</v>
      </c>
      <c r="D105" s="125" t="s">
        <v>48</v>
      </c>
      <c r="E105" s="125" t="s">
        <v>913</v>
      </c>
      <c r="F105" s="125" t="s">
        <v>650</v>
      </c>
      <c r="G105" s="279">
        <v>0</v>
      </c>
      <c r="H105" s="279">
        <v>0</v>
      </c>
      <c r="I105" s="279">
        <v>0</v>
      </c>
      <c r="J105" s="279">
        <v>6124.31</v>
      </c>
      <c r="K105" s="279">
        <v>0</v>
      </c>
      <c r="L105" s="279">
        <v>0</v>
      </c>
      <c r="M105" s="279">
        <v>0</v>
      </c>
      <c r="N105" s="279">
        <v>1286.1099999999999</v>
      </c>
      <c r="O105" s="279">
        <v>0</v>
      </c>
      <c r="P105" s="279">
        <v>0</v>
      </c>
      <c r="Q105" s="279">
        <v>0</v>
      </c>
      <c r="R105" s="279">
        <v>0</v>
      </c>
      <c r="S105" s="279">
        <v>183.73</v>
      </c>
      <c r="T105" s="279">
        <v>244.97</v>
      </c>
      <c r="U105" s="279">
        <v>7839.12</v>
      </c>
      <c r="V105" s="125" t="s">
        <v>655</v>
      </c>
    </row>
    <row r="106" spans="1:22" ht="15" customHeight="1" x14ac:dyDescent="0.25">
      <c r="A106" s="125" t="s">
        <v>1420</v>
      </c>
      <c r="B106" s="125" t="s">
        <v>1420</v>
      </c>
      <c r="C106" s="287" t="s">
        <v>1702</v>
      </c>
      <c r="D106" s="125" t="s">
        <v>664</v>
      </c>
      <c r="E106" s="125" t="s">
        <v>949</v>
      </c>
      <c r="F106" s="125" t="s">
        <v>650</v>
      </c>
      <c r="G106" s="279">
        <v>0</v>
      </c>
      <c r="H106" s="279">
        <v>0</v>
      </c>
      <c r="I106" s="279">
        <v>0</v>
      </c>
      <c r="J106" s="279">
        <v>1983884.3</v>
      </c>
      <c r="K106" s="279">
        <v>0</v>
      </c>
      <c r="L106" s="279">
        <v>0</v>
      </c>
      <c r="M106" s="279">
        <v>0</v>
      </c>
      <c r="N106" s="279">
        <v>416615.7</v>
      </c>
      <c r="O106" s="279">
        <v>0</v>
      </c>
      <c r="P106" s="279">
        <v>0</v>
      </c>
      <c r="Q106" s="279">
        <v>0</v>
      </c>
      <c r="R106" s="279">
        <v>0</v>
      </c>
      <c r="S106" s="279">
        <v>0</v>
      </c>
      <c r="T106" s="279">
        <v>0</v>
      </c>
      <c r="U106" s="279">
        <v>2400500</v>
      </c>
      <c r="V106" s="125" t="s">
        <v>665</v>
      </c>
    </row>
    <row r="107" spans="1:22" ht="15" customHeight="1" x14ac:dyDescent="0.25">
      <c r="A107" s="125" t="s">
        <v>1502</v>
      </c>
      <c r="B107" s="125" t="s">
        <v>1502</v>
      </c>
      <c r="C107" s="287" t="s">
        <v>1750</v>
      </c>
      <c r="D107" s="125" t="s">
        <v>657</v>
      </c>
      <c r="E107" s="125" t="s">
        <v>921</v>
      </c>
      <c r="F107" s="125" t="s">
        <v>650</v>
      </c>
      <c r="G107" s="279">
        <v>0</v>
      </c>
      <c r="H107" s="279">
        <v>0</v>
      </c>
      <c r="I107" s="279">
        <v>0</v>
      </c>
      <c r="J107" s="279">
        <v>84755.7</v>
      </c>
      <c r="K107" s="279">
        <v>0</v>
      </c>
      <c r="L107" s="279">
        <v>0</v>
      </c>
      <c r="M107" s="279">
        <v>0</v>
      </c>
      <c r="N107" s="279">
        <v>17798.7</v>
      </c>
      <c r="O107" s="279">
        <v>0</v>
      </c>
      <c r="P107" s="279">
        <v>0</v>
      </c>
      <c r="Q107" s="279">
        <v>0</v>
      </c>
      <c r="R107" s="279">
        <v>13482.57</v>
      </c>
      <c r="S107" s="279">
        <v>0</v>
      </c>
      <c r="T107" s="279">
        <v>0</v>
      </c>
      <c r="U107" s="279">
        <v>116036.97</v>
      </c>
      <c r="V107" s="125" t="s">
        <v>651</v>
      </c>
    </row>
    <row r="108" spans="1:22" ht="15" customHeight="1" x14ac:dyDescent="0.25">
      <c r="A108" s="125" t="s">
        <v>1041</v>
      </c>
      <c r="B108" s="125" t="s">
        <v>1093</v>
      </c>
      <c r="C108" s="287" t="s">
        <v>1584</v>
      </c>
      <c r="D108" s="125" t="s">
        <v>685</v>
      </c>
      <c r="E108" s="125" t="s">
        <v>686</v>
      </c>
      <c r="F108" s="125" t="s">
        <v>650</v>
      </c>
      <c r="G108" s="279">
        <v>0</v>
      </c>
      <c r="H108" s="279">
        <v>0</v>
      </c>
      <c r="I108" s="279">
        <v>0</v>
      </c>
      <c r="J108" s="279">
        <v>5396.69</v>
      </c>
      <c r="K108" s="279">
        <v>0</v>
      </c>
      <c r="L108" s="279">
        <v>0</v>
      </c>
      <c r="M108" s="279">
        <v>0</v>
      </c>
      <c r="N108" s="279">
        <v>1133.3</v>
      </c>
      <c r="O108" s="279">
        <v>0</v>
      </c>
      <c r="P108" s="279">
        <v>0</v>
      </c>
      <c r="Q108" s="279">
        <v>0</v>
      </c>
      <c r="R108" s="279">
        <v>215.87</v>
      </c>
      <c r="S108" s="279">
        <v>0</v>
      </c>
      <c r="T108" s="279">
        <v>0</v>
      </c>
      <c r="U108" s="279">
        <v>6745.86</v>
      </c>
      <c r="V108" s="125" t="s">
        <v>651</v>
      </c>
    </row>
    <row r="109" spans="1:22" ht="15" customHeight="1" x14ac:dyDescent="0.25">
      <c r="A109" s="125" t="s">
        <v>1363</v>
      </c>
      <c r="B109" s="125" t="s">
        <v>1363</v>
      </c>
      <c r="C109" s="287" t="s">
        <v>1693</v>
      </c>
      <c r="D109" s="125" t="s">
        <v>685</v>
      </c>
      <c r="E109" s="125" t="s">
        <v>686</v>
      </c>
      <c r="F109" s="125" t="s">
        <v>650</v>
      </c>
      <c r="G109" s="279">
        <v>0</v>
      </c>
      <c r="H109" s="279">
        <v>0</v>
      </c>
      <c r="I109" s="279">
        <v>0</v>
      </c>
      <c r="J109" s="279">
        <v>1636.36</v>
      </c>
      <c r="K109" s="279">
        <v>0</v>
      </c>
      <c r="L109" s="279">
        <v>0</v>
      </c>
      <c r="M109" s="279">
        <v>0</v>
      </c>
      <c r="N109" s="279">
        <v>343.64</v>
      </c>
      <c r="O109" s="279">
        <v>0</v>
      </c>
      <c r="P109" s="279">
        <v>0</v>
      </c>
      <c r="Q109" s="279">
        <v>0</v>
      </c>
      <c r="R109" s="279">
        <v>0</v>
      </c>
      <c r="S109" s="279">
        <v>0</v>
      </c>
      <c r="T109" s="279">
        <v>0</v>
      </c>
      <c r="U109" s="279">
        <v>1980</v>
      </c>
      <c r="V109" s="125" t="s">
        <v>651</v>
      </c>
    </row>
    <row r="110" spans="1:22" ht="15" customHeight="1" x14ac:dyDescent="0.25">
      <c r="A110" s="125" t="s">
        <v>1420</v>
      </c>
      <c r="B110" s="125" t="s">
        <v>1420</v>
      </c>
      <c r="C110" s="287" t="s">
        <v>1705</v>
      </c>
      <c r="D110" s="125" t="s">
        <v>685</v>
      </c>
      <c r="E110" s="125" t="s">
        <v>686</v>
      </c>
      <c r="F110" s="125" t="s">
        <v>650</v>
      </c>
      <c r="G110" s="279">
        <v>0</v>
      </c>
      <c r="H110" s="279">
        <v>0</v>
      </c>
      <c r="I110" s="279">
        <v>0</v>
      </c>
      <c r="J110" s="279">
        <v>7123.96</v>
      </c>
      <c r="K110" s="279">
        <v>0</v>
      </c>
      <c r="L110" s="279">
        <v>0</v>
      </c>
      <c r="M110" s="279">
        <v>0</v>
      </c>
      <c r="N110" s="279">
        <v>1496.03</v>
      </c>
      <c r="O110" s="279">
        <v>0</v>
      </c>
      <c r="P110" s="279">
        <v>0</v>
      </c>
      <c r="Q110" s="279">
        <v>0</v>
      </c>
      <c r="R110" s="279">
        <v>0</v>
      </c>
      <c r="S110" s="279">
        <v>0</v>
      </c>
      <c r="T110" s="279">
        <v>284.95999999999998</v>
      </c>
      <c r="U110" s="279">
        <v>8904.9500000000007</v>
      </c>
      <c r="V110" s="125" t="s">
        <v>651</v>
      </c>
    </row>
    <row r="111" spans="1:22" ht="15" customHeight="1" x14ac:dyDescent="0.25">
      <c r="A111" s="125" t="s">
        <v>1457</v>
      </c>
      <c r="B111" s="125" t="s">
        <v>1457</v>
      </c>
      <c r="C111" s="287" t="s">
        <v>1719</v>
      </c>
      <c r="D111" s="125" t="s">
        <v>685</v>
      </c>
      <c r="E111" s="125" t="s">
        <v>686</v>
      </c>
      <c r="F111" s="125" t="s">
        <v>650</v>
      </c>
      <c r="G111" s="279">
        <v>0</v>
      </c>
      <c r="H111" s="279">
        <v>0</v>
      </c>
      <c r="I111" s="279">
        <v>0</v>
      </c>
      <c r="J111" s="279">
        <v>7028.93</v>
      </c>
      <c r="K111" s="279">
        <v>0</v>
      </c>
      <c r="L111" s="279">
        <v>0</v>
      </c>
      <c r="M111" s="279">
        <v>0</v>
      </c>
      <c r="N111" s="279">
        <v>1476.08</v>
      </c>
      <c r="O111" s="279">
        <v>0</v>
      </c>
      <c r="P111" s="279">
        <v>0</v>
      </c>
      <c r="Q111" s="279">
        <v>0</v>
      </c>
      <c r="R111" s="279">
        <v>0</v>
      </c>
      <c r="S111" s="279">
        <v>0</v>
      </c>
      <c r="T111" s="279">
        <v>281.16000000000003</v>
      </c>
      <c r="U111" s="279">
        <v>8786.17</v>
      </c>
      <c r="V111" s="125" t="s">
        <v>651</v>
      </c>
    </row>
    <row r="112" spans="1:22" ht="15" customHeight="1" x14ac:dyDescent="0.25">
      <c r="A112" s="125" t="s">
        <v>1137</v>
      </c>
      <c r="B112" s="125" t="s">
        <v>1164</v>
      </c>
      <c r="C112" s="287" t="s">
        <v>1614</v>
      </c>
      <c r="D112" s="125" t="s">
        <v>685</v>
      </c>
      <c r="E112" s="125" t="s">
        <v>686</v>
      </c>
      <c r="F112" s="125" t="s">
        <v>650</v>
      </c>
      <c r="G112" s="279">
        <v>0</v>
      </c>
      <c r="H112" s="279">
        <v>0</v>
      </c>
      <c r="I112" s="279">
        <v>0</v>
      </c>
      <c r="J112" s="279">
        <v>5407</v>
      </c>
      <c r="K112" s="279">
        <v>0</v>
      </c>
      <c r="L112" s="279">
        <v>0</v>
      </c>
      <c r="M112" s="279">
        <v>0</v>
      </c>
      <c r="N112" s="279">
        <v>1135.47</v>
      </c>
      <c r="O112" s="279">
        <v>0</v>
      </c>
      <c r="P112" s="279">
        <v>0</v>
      </c>
      <c r="Q112" s="279">
        <v>0</v>
      </c>
      <c r="R112" s="279">
        <v>216.3</v>
      </c>
      <c r="S112" s="279">
        <v>0</v>
      </c>
      <c r="T112" s="279">
        <v>0</v>
      </c>
      <c r="U112" s="279">
        <v>6758.77</v>
      </c>
      <c r="V112" s="125" t="s">
        <v>651</v>
      </c>
    </row>
    <row r="113" spans="1:23" ht="15" customHeight="1" x14ac:dyDescent="0.25">
      <c r="A113" s="125" t="s">
        <v>1164</v>
      </c>
      <c r="B113" s="125" t="s">
        <v>1164</v>
      </c>
      <c r="C113" s="287" t="s">
        <v>1625</v>
      </c>
      <c r="D113" s="125" t="s">
        <v>685</v>
      </c>
      <c r="E113" s="125" t="s">
        <v>686</v>
      </c>
      <c r="F113" s="125" t="s">
        <v>650</v>
      </c>
      <c r="G113" s="279">
        <v>0</v>
      </c>
      <c r="H113" s="279">
        <v>0</v>
      </c>
      <c r="I113" s="279">
        <v>0</v>
      </c>
      <c r="J113" s="279">
        <v>1636.36</v>
      </c>
      <c r="K113" s="279">
        <v>0</v>
      </c>
      <c r="L113" s="279">
        <v>0</v>
      </c>
      <c r="M113" s="279">
        <v>0</v>
      </c>
      <c r="N113" s="279">
        <v>343.64</v>
      </c>
      <c r="O113" s="279">
        <v>0</v>
      </c>
      <c r="P113" s="279">
        <v>0</v>
      </c>
      <c r="Q113" s="279">
        <v>0</v>
      </c>
      <c r="R113" s="279">
        <v>0</v>
      </c>
      <c r="S113" s="279">
        <v>0</v>
      </c>
      <c r="T113" s="279">
        <v>0</v>
      </c>
      <c r="U113" s="279">
        <v>1980</v>
      </c>
      <c r="V113" s="125" t="s">
        <v>651</v>
      </c>
    </row>
    <row r="114" spans="1:23" ht="15" customHeight="1" x14ac:dyDescent="0.25">
      <c r="A114" s="125" t="s">
        <v>1293</v>
      </c>
      <c r="B114" s="125" t="s">
        <v>1293</v>
      </c>
      <c r="C114" s="287" t="s">
        <v>1786</v>
      </c>
      <c r="D114" s="125" t="s">
        <v>685</v>
      </c>
      <c r="E114" s="125" t="s">
        <v>686</v>
      </c>
      <c r="F114" s="125" t="s">
        <v>650</v>
      </c>
      <c r="G114" s="279">
        <v>0</v>
      </c>
      <c r="H114" s="279">
        <v>0</v>
      </c>
      <c r="I114" s="279">
        <v>0</v>
      </c>
      <c r="J114" s="279">
        <v>1636.36</v>
      </c>
      <c r="K114" s="279">
        <v>0</v>
      </c>
      <c r="L114" s="279">
        <v>0</v>
      </c>
      <c r="M114" s="279">
        <v>0</v>
      </c>
      <c r="N114" s="279">
        <v>343.64</v>
      </c>
      <c r="O114" s="279">
        <v>0</v>
      </c>
      <c r="P114" s="279">
        <v>0</v>
      </c>
      <c r="Q114" s="279">
        <v>0</v>
      </c>
      <c r="R114" s="279">
        <v>0</v>
      </c>
      <c r="S114" s="279">
        <v>0</v>
      </c>
      <c r="T114" s="279">
        <v>0</v>
      </c>
      <c r="U114" s="279">
        <v>1980</v>
      </c>
      <c r="V114" s="125" t="s">
        <v>651</v>
      </c>
    </row>
    <row r="115" spans="1:23" ht="15" customHeight="1" x14ac:dyDescent="0.25">
      <c r="A115" s="125" t="s">
        <v>1330</v>
      </c>
      <c r="B115" s="125" t="s">
        <v>1330</v>
      </c>
      <c r="C115" s="287" t="s">
        <v>1686</v>
      </c>
      <c r="D115" s="125" t="s">
        <v>685</v>
      </c>
      <c r="E115" s="125" t="s">
        <v>686</v>
      </c>
      <c r="F115" s="125" t="s">
        <v>650</v>
      </c>
      <c r="G115" s="279">
        <v>0</v>
      </c>
      <c r="H115" s="279">
        <v>0</v>
      </c>
      <c r="I115" s="279">
        <v>0</v>
      </c>
      <c r="J115" s="279">
        <v>3611.57</v>
      </c>
      <c r="K115" s="279">
        <v>0</v>
      </c>
      <c r="L115" s="279">
        <v>0</v>
      </c>
      <c r="M115" s="279">
        <v>0</v>
      </c>
      <c r="N115" s="279">
        <v>758.43</v>
      </c>
      <c r="O115" s="279">
        <v>0</v>
      </c>
      <c r="P115" s="279">
        <v>0</v>
      </c>
      <c r="Q115" s="279">
        <v>0</v>
      </c>
      <c r="R115" s="279">
        <v>0</v>
      </c>
      <c r="S115" s="279">
        <v>0</v>
      </c>
      <c r="T115" s="279">
        <v>144.46</v>
      </c>
      <c r="U115" s="279">
        <v>4514.46</v>
      </c>
      <c r="V115" s="125" t="s">
        <v>651</v>
      </c>
    </row>
    <row r="116" spans="1:23" ht="15" customHeight="1" x14ac:dyDescent="0.25">
      <c r="A116" s="125" t="s">
        <v>1502</v>
      </c>
      <c r="B116" s="125" t="s">
        <v>1502</v>
      </c>
      <c r="C116" s="287" t="s">
        <v>1725</v>
      </c>
      <c r="D116" s="125" t="s">
        <v>685</v>
      </c>
      <c r="E116" s="125" t="s">
        <v>686</v>
      </c>
      <c r="F116" s="125" t="s">
        <v>650</v>
      </c>
      <c r="G116" s="279">
        <v>0</v>
      </c>
      <c r="H116" s="279">
        <v>0</v>
      </c>
      <c r="I116" s="279">
        <v>0</v>
      </c>
      <c r="J116" s="279">
        <v>3991.73</v>
      </c>
      <c r="K116" s="279">
        <v>0</v>
      </c>
      <c r="L116" s="279">
        <v>0</v>
      </c>
      <c r="M116" s="279">
        <v>0</v>
      </c>
      <c r="N116" s="279">
        <v>838.26</v>
      </c>
      <c r="O116" s="279">
        <v>0</v>
      </c>
      <c r="P116" s="279">
        <v>0</v>
      </c>
      <c r="Q116" s="279">
        <v>0</v>
      </c>
      <c r="R116" s="279">
        <v>0</v>
      </c>
      <c r="S116" s="279">
        <v>0</v>
      </c>
      <c r="T116" s="279">
        <v>159.66999999999999</v>
      </c>
      <c r="U116" s="279">
        <v>4989.66</v>
      </c>
      <c r="V116" s="125" t="s">
        <v>651</v>
      </c>
    </row>
    <row r="117" spans="1:23" ht="15" customHeight="1" x14ac:dyDescent="0.25">
      <c r="A117" s="125" t="s">
        <v>1257</v>
      </c>
      <c r="B117" s="125" t="s">
        <v>1257</v>
      </c>
      <c r="C117" s="287" t="s">
        <v>1645</v>
      </c>
      <c r="D117" s="125" t="s">
        <v>668</v>
      </c>
      <c r="E117" s="125" t="s">
        <v>906</v>
      </c>
      <c r="F117" s="125" t="s">
        <v>650</v>
      </c>
      <c r="G117" s="279">
        <v>0</v>
      </c>
      <c r="H117" s="279">
        <v>0</v>
      </c>
      <c r="I117" s="279">
        <v>0</v>
      </c>
      <c r="J117" s="279">
        <v>51235.1</v>
      </c>
      <c r="K117" s="279">
        <v>0</v>
      </c>
      <c r="L117" s="279">
        <v>0</v>
      </c>
      <c r="M117" s="279">
        <v>0</v>
      </c>
      <c r="N117" s="279">
        <v>10759.37</v>
      </c>
      <c r="O117" s="279">
        <v>693.02</v>
      </c>
      <c r="P117" s="279">
        <v>0</v>
      </c>
      <c r="Q117" s="279">
        <v>0</v>
      </c>
      <c r="R117" s="279">
        <v>11313.41</v>
      </c>
      <c r="S117" s="279">
        <v>1537.05</v>
      </c>
      <c r="T117" s="279">
        <v>2529.66</v>
      </c>
      <c r="U117" s="279">
        <v>78067.61</v>
      </c>
      <c r="V117" s="125" t="s">
        <v>655</v>
      </c>
    </row>
    <row r="118" spans="1:23" ht="15" customHeight="1" x14ac:dyDescent="0.25">
      <c r="A118" s="125" t="s">
        <v>1330</v>
      </c>
      <c r="B118" s="125" t="s">
        <v>1330</v>
      </c>
      <c r="C118" s="287" t="s">
        <v>1685</v>
      </c>
      <c r="D118" s="125" t="s">
        <v>668</v>
      </c>
      <c r="E118" s="125" t="s">
        <v>906</v>
      </c>
      <c r="F118" s="125" t="s">
        <v>650</v>
      </c>
      <c r="G118" s="279">
        <v>0</v>
      </c>
      <c r="H118" s="279">
        <v>0</v>
      </c>
      <c r="I118" s="279">
        <v>0</v>
      </c>
      <c r="J118" s="279">
        <v>47476.05</v>
      </c>
      <c r="K118" s="279">
        <v>0</v>
      </c>
      <c r="L118" s="279">
        <v>0</v>
      </c>
      <c r="M118" s="279">
        <v>0</v>
      </c>
      <c r="N118" s="279">
        <v>9969.9699999999993</v>
      </c>
      <c r="O118" s="279">
        <v>772.72</v>
      </c>
      <c r="P118" s="279">
        <v>0</v>
      </c>
      <c r="Q118" s="279">
        <v>0</v>
      </c>
      <c r="R118" s="279">
        <v>6779.57</v>
      </c>
      <c r="S118" s="279">
        <v>1424.28</v>
      </c>
      <c r="T118" s="279">
        <v>2201.13</v>
      </c>
      <c r="U118" s="279">
        <v>68623.72</v>
      </c>
      <c r="V118" s="125" t="s">
        <v>655</v>
      </c>
    </row>
    <row r="119" spans="1:23" ht="15" customHeight="1" x14ac:dyDescent="0.25">
      <c r="A119" s="125" t="s">
        <v>960</v>
      </c>
      <c r="B119" s="125" t="s">
        <v>1093</v>
      </c>
      <c r="C119" s="287" t="s">
        <v>1583</v>
      </c>
      <c r="D119" s="125" t="s">
        <v>116</v>
      </c>
      <c r="E119" s="125" t="s">
        <v>697</v>
      </c>
      <c r="F119" s="125" t="s">
        <v>650</v>
      </c>
      <c r="G119" s="279">
        <v>0</v>
      </c>
      <c r="H119" s="279">
        <v>0</v>
      </c>
      <c r="I119" s="279">
        <v>0</v>
      </c>
      <c r="J119" s="279">
        <v>5480.36</v>
      </c>
      <c r="K119" s="279">
        <v>0</v>
      </c>
      <c r="L119" s="279">
        <v>0</v>
      </c>
      <c r="M119" s="279">
        <v>0</v>
      </c>
      <c r="N119" s="279">
        <v>1150.8800000000001</v>
      </c>
      <c r="O119" s="279">
        <v>0</v>
      </c>
      <c r="P119" s="279">
        <v>0</v>
      </c>
      <c r="Q119" s="279">
        <v>0</v>
      </c>
      <c r="R119" s="279">
        <v>219.21</v>
      </c>
      <c r="S119" s="279">
        <v>164.41</v>
      </c>
      <c r="T119" s="279">
        <v>0</v>
      </c>
      <c r="U119" s="279">
        <v>7014.86</v>
      </c>
      <c r="V119" s="125" t="s">
        <v>651</v>
      </c>
    </row>
    <row r="120" spans="1:23" ht="15" customHeight="1" x14ac:dyDescent="0.25">
      <c r="A120" s="125" t="s">
        <v>1232</v>
      </c>
      <c r="B120" s="125" t="s">
        <v>1232</v>
      </c>
      <c r="C120" s="287" t="s">
        <v>1643</v>
      </c>
      <c r="D120" s="125" t="s">
        <v>116</v>
      </c>
      <c r="E120" s="125" t="s">
        <v>697</v>
      </c>
      <c r="F120" s="125" t="s">
        <v>650</v>
      </c>
      <c r="G120" s="279">
        <v>0</v>
      </c>
      <c r="H120" s="279">
        <v>0</v>
      </c>
      <c r="I120" s="279">
        <v>0</v>
      </c>
      <c r="J120" s="279">
        <v>11933.46</v>
      </c>
      <c r="K120" s="279">
        <v>0</v>
      </c>
      <c r="L120" s="279">
        <v>0</v>
      </c>
      <c r="M120" s="279">
        <v>0</v>
      </c>
      <c r="N120" s="279">
        <v>2506.0300000000002</v>
      </c>
      <c r="O120" s="279">
        <v>0</v>
      </c>
      <c r="P120" s="279">
        <v>0</v>
      </c>
      <c r="Q120" s="279">
        <v>0</v>
      </c>
      <c r="R120" s="279">
        <v>0</v>
      </c>
      <c r="S120" s="279">
        <v>477.34</v>
      </c>
      <c r="T120" s="279">
        <v>477.34</v>
      </c>
      <c r="U120" s="279">
        <v>15394.17</v>
      </c>
      <c r="V120" s="125" t="s">
        <v>651</v>
      </c>
    </row>
    <row r="121" spans="1:23" ht="15" customHeight="1" x14ac:dyDescent="0.25">
      <c r="A121" s="125" t="s">
        <v>1330</v>
      </c>
      <c r="B121" s="125" t="s">
        <v>1330</v>
      </c>
      <c r="C121" s="287" t="s">
        <v>1684</v>
      </c>
      <c r="D121" s="125" t="s">
        <v>116</v>
      </c>
      <c r="E121" s="125" t="s">
        <v>697</v>
      </c>
      <c r="F121" s="125" t="s">
        <v>650</v>
      </c>
      <c r="G121" s="279">
        <v>0</v>
      </c>
      <c r="H121" s="279">
        <v>0</v>
      </c>
      <c r="I121" s="279">
        <v>42691.29</v>
      </c>
      <c r="J121" s="279">
        <v>2169.42</v>
      </c>
      <c r="K121" s="279">
        <v>0</v>
      </c>
      <c r="L121" s="279">
        <v>0</v>
      </c>
      <c r="M121" s="279">
        <v>0</v>
      </c>
      <c r="N121" s="279">
        <v>4938.16</v>
      </c>
      <c r="O121" s="279">
        <v>0</v>
      </c>
      <c r="P121" s="279">
        <v>0</v>
      </c>
      <c r="Q121" s="279">
        <v>0</v>
      </c>
      <c r="R121" s="279">
        <v>0</v>
      </c>
      <c r="S121" s="279">
        <v>676.81</v>
      </c>
      <c r="T121" s="279">
        <v>354.73</v>
      </c>
      <c r="U121" s="279">
        <v>50830.41</v>
      </c>
      <c r="V121" s="125" t="s">
        <v>651</v>
      </c>
    </row>
    <row r="122" spans="1:23" ht="15" customHeight="1" x14ac:dyDescent="0.25">
      <c r="A122" s="250" t="s">
        <v>1257</v>
      </c>
      <c r="B122" s="250" t="s">
        <v>1257</v>
      </c>
      <c r="C122" s="287" t="s">
        <v>1646</v>
      </c>
      <c r="D122" s="250" t="s">
        <v>113</v>
      </c>
      <c r="E122" s="265" t="s">
        <v>684</v>
      </c>
      <c r="F122" s="265" t="s">
        <v>650</v>
      </c>
      <c r="G122" s="279">
        <v>0</v>
      </c>
      <c r="H122" s="279">
        <v>0</v>
      </c>
      <c r="I122" s="279">
        <v>0</v>
      </c>
      <c r="J122" s="279">
        <v>0</v>
      </c>
      <c r="K122" s="279">
        <v>0</v>
      </c>
      <c r="L122" s="279">
        <v>17400</v>
      </c>
      <c r="M122" s="279">
        <v>0</v>
      </c>
      <c r="N122" s="279">
        <v>0</v>
      </c>
      <c r="O122" s="279">
        <v>0</v>
      </c>
      <c r="P122" s="279">
        <v>0</v>
      </c>
      <c r="Q122" s="279">
        <v>0</v>
      </c>
      <c r="R122" s="279">
        <v>0</v>
      </c>
      <c r="S122" s="279">
        <v>0</v>
      </c>
      <c r="T122" s="279">
        <v>0</v>
      </c>
      <c r="U122" s="279">
        <v>17400</v>
      </c>
      <c r="V122" s="265" t="s">
        <v>655</v>
      </c>
      <c r="W122" s="262">
        <v>81</v>
      </c>
    </row>
    <row r="123" spans="1:23" ht="15" customHeight="1" x14ac:dyDescent="0.25">
      <c r="A123" s="250" t="s">
        <v>1502</v>
      </c>
      <c r="B123" s="250" t="s">
        <v>1502</v>
      </c>
      <c r="C123" s="287" t="s">
        <v>1747</v>
      </c>
      <c r="D123" s="250" t="s">
        <v>113</v>
      </c>
      <c r="E123" s="265" t="s">
        <v>684</v>
      </c>
      <c r="F123" s="265" t="s">
        <v>650</v>
      </c>
      <c r="G123" s="279">
        <v>0</v>
      </c>
      <c r="H123" s="279">
        <v>0</v>
      </c>
      <c r="I123" s="279">
        <v>0</v>
      </c>
      <c r="J123" s="279">
        <v>0</v>
      </c>
      <c r="K123" s="279">
        <v>0</v>
      </c>
      <c r="L123" s="279">
        <v>19900</v>
      </c>
      <c r="M123" s="279">
        <v>0</v>
      </c>
      <c r="N123" s="279">
        <v>0</v>
      </c>
      <c r="O123" s="279">
        <v>0</v>
      </c>
      <c r="P123" s="279">
        <v>0</v>
      </c>
      <c r="Q123" s="279">
        <v>0</v>
      </c>
      <c r="R123" s="279">
        <v>0</v>
      </c>
      <c r="S123" s="279">
        <v>0</v>
      </c>
      <c r="T123" s="279">
        <v>0</v>
      </c>
      <c r="U123" s="279">
        <v>19900</v>
      </c>
      <c r="V123" s="265" t="s">
        <v>655</v>
      </c>
      <c r="W123" s="262">
        <v>81</v>
      </c>
    </row>
    <row r="124" spans="1:23" ht="15" customHeight="1" x14ac:dyDescent="0.25">
      <c r="A124" s="250" t="s">
        <v>1311</v>
      </c>
      <c r="B124" s="250" t="s">
        <v>1311</v>
      </c>
      <c r="C124" s="287" t="s">
        <v>1682</v>
      </c>
      <c r="D124" s="250" t="s">
        <v>113</v>
      </c>
      <c r="E124" s="265" t="s">
        <v>684</v>
      </c>
      <c r="F124" s="265" t="s">
        <v>650</v>
      </c>
      <c r="G124" s="279">
        <v>0</v>
      </c>
      <c r="H124" s="279">
        <v>0</v>
      </c>
      <c r="I124" s="279">
        <v>0</v>
      </c>
      <c r="J124" s="279">
        <v>0</v>
      </c>
      <c r="K124" s="279">
        <v>0</v>
      </c>
      <c r="L124" s="279">
        <v>18950</v>
      </c>
      <c r="M124" s="279">
        <v>0</v>
      </c>
      <c r="N124" s="279">
        <v>0</v>
      </c>
      <c r="O124" s="279">
        <v>0</v>
      </c>
      <c r="P124" s="279">
        <v>0</v>
      </c>
      <c r="Q124" s="279">
        <v>0</v>
      </c>
      <c r="R124" s="279">
        <v>0</v>
      </c>
      <c r="S124" s="279">
        <v>0</v>
      </c>
      <c r="T124" s="279">
        <v>0</v>
      </c>
      <c r="U124" s="279">
        <v>18950</v>
      </c>
      <c r="V124" s="265" t="s">
        <v>655</v>
      </c>
      <c r="W124" s="262">
        <v>81</v>
      </c>
    </row>
    <row r="125" spans="1:23" ht="15" customHeight="1" x14ac:dyDescent="0.25">
      <c r="A125" s="125" t="s">
        <v>999</v>
      </c>
      <c r="B125" s="125" t="s">
        <v>1093</v>
      </c>
      <c r="C125" s="287" t="s">
        <v>1589</v>
      </c>
      <c r="D125" s="125" t="s">
        <v>497</v>
      </c>
      <c r="E125" s="125" t="s">
        <v>914</v>
      </c>
      <c r="F125" s="125" t="s">
        <v>650</v>
      </c>
      <c r="G125" s="279">
        <v>0</v>
      </c>
      <c r="H125" s="279">
        <v>0</v>
      </c>
      <c r="I125" s="279">
        <v>0</v>
      </c>
      <c r="J125" s="279">
        <v>0</v>
      </c>
      <c r="K125" s="279">
        <v>57907</v>
      </c>
      <c r="L125" s="279">
        <v>0</v>
      </c>
      <c r="M125" s="279">
        <v>0</v>
      </c>
      <c r="N125" s="279">
        <v>15634.89</v>
      </c>
      <c r="O125" s="279">
        <v>3047.7</v>
      </c>
      <c r="P125" s="279">
        <v>0</v>
      </c>
      <c r="Q125" s="279">
        <v>0</v>
      </c>
      <c r="R125" s="279">
        <v>0</v>
      </c>
      <c r="S125" s="279">
        <v>1737.21</v>
      </c>
      <c r="T125" s="279">
        <v>2438.19</v>
      </c>
      <c r="U125" s="279">
        <v>80764.990000000005</v>
      </c>
      <c r="V125" s="125" t="s">
        <v>655</v>
      </c>
    </row>
    <row r="126" spans="1:23" ht="15" customHeight="1" x14ac:dyDescent="0.25">
      <c r="A126" s="125" t="s">
        <v>1164</v>
      </c>
      <c r="B126" s="125" t="s">
        <v>1164</v>
      </c>
      <c r="C126" s="287" t="s">
        <v>1620</v>
      </c>
      <c r="D126" s="125" t="s">
        <v>497</v>
      </c>
      <c r="E126" s="125" t="s">
        <v>914</v>
      </c>
      <c r="F126" s="125" t="s">
        <v>650</v>
      </c>
      <c r="G126" s="279">
        <v>0</v>
      </c>
      <c r="H126" s="279">
        <v>0</v>
      </c>
      <c r="I126" s="279">
        <v>0</v>
      </c>
      <c r="J126" s="279">
        <v>0</v>
      </c>
      <c r="K126" s="279">
        <v>61222.8</v>
      </c>
      <c r="L126" s="279">
        <v>0</v>
      </c>
      <c r="M126" s="279">
        <v>0</v>
      </c>
      <c r="N126" s="279">
        <v>16530.16</v>
      </c>
      <c r="O126" s="279">
        <v>0</v>
      </c>
      <c r="P126" s="279">
        <v>0</v>
      </c>
      <c r="Q126" s="279">
        <v>0</v>
      </c>
      <c r="R126" s="279">
        <v>0</v>
      </c>
      <c r="S126" s="279">
        <v>1836.68</v>
      </c>
      <c r="T126" s="279">
        <v>2448.91</v>
      </c>
      <c r="U126" s="279">
        <v>82038.55</v>
      </c>
      <c r="V126" s="125" t="s">
        <v>655</v>
      </c>
    </row>
    <row r="127" spans="1:23" ht="15" customHeight="1" x14ac:dyDescent="0.25">
      <c r="A127" s="125" t="s">
        <v>1457</v>
      </c>
      <c r="B127" s="125" t="s">
        <v>1457</v>
      </c>
      <c r="C127" s="287" t="s">
        <v>1716</v>
      </c>
      <c r="D127" s="125" t="s">
        <v>495</v>
      </c>
      <c r="E127" s="125" t="s">
        <v>680</v>
      </c>
      <c r="F127" s="125" t="s">
        <v>650</v>
      </c>
      <c r="G127" s="279">
        <v>0</v>
      </c>
      <c r="H127" s="279">
        <v>0</v>
      </c>
      <c r="I127" s="279">
        <v>0</v>
      </c>
      <c r="J127" s="279">
        <v>46766.15</v>
      </c>
      <c r="K127" s="279">
        <v>0</v>
      </c>
      <c r="L127" s="279">
        <v>0</v>
      </c>
      <c r="M127" s="279">
        <v>0</v>
      </c>
      <c r="N127" s="279">
        <v>9820.89</v>
      </c>
      <c r="O127" s="279">
        <v>0</v>
      </c>
      <c r="P127" s="279">
        <v>0</v>
      </c>
      <c r="Q127" s="279">
        <v>0</v>
      </c>
      <c r="R127" s="279">
        <v>0</v>
      </c>
      <c r="S127" s="279">
        <v>1402.98</v>
      </c>
      <c r="T127" s="279">
        <v>1870.65</v>
      </c>
      <c r="U127" s="279">
        <v>59860.67</v>
      </c>
      <c r="V127" s="125" t="s">
        <v>655</v>
      </c>
    </row>
    <row r="128" spans="1:23" ht="15" customHeight="1" x14ac:dyDescent="0.25">
      <c r="A128" s="125" t="s">
        <v>1514</v>
      </c>
      <c r="B128" s="125" t="s">
        <v>1514</v>
      </c>
      <c r="C128" s="287" t="s">
        <v>1729</v>
      </c>
      <c r="D128" s="125" t="s">
        <v>50</v>
      </c>
      <c r="E128" s="125" t="s">
        <v>688</v>
      </c>
      <c r="F128" s="125" t="s">
        <v>650</v>
      </c>
      <c r="G128" s="279">
        <v>0</v>
      </c>
      <c r="H128" s="279">
        <v>0</v>
      </c>
      <c r="I128" s="279">
        <v>0</v>
      </c>
      <c r="J128" s="279">
        <v>5891.09</v>
      </c>
      <c r="K128" s="279">
        <v>0</v>
      </c>
      <c r="L128" s="279">
        <v>0</v>
      </c>
      <c r="M128" s="279">
        <v>0</v>
      </c>
      <c r="N128" s="279">
        <v>1237.1300000000001</v>
      </c>
      <c r="O128" s="279">
        <v>0</v>
      </c>
      <c r="P128" s="279">
        <v>0</v>
      </c>
      <c r="Q128" s="279">
        <v>0</v>
      </c>
      <c r="R128" s="279">
        <v>765.84</v>
      </c>
      <c r="S128" s="279">
        <v>0</v>
      </c>
      <c r="T128" s="279">
        <v>0</v>
      </c>
      <c r="U128" s="279">
        <v>7894.06</v>
      </c>
      <c r="V128" s="125" t="s">
        <v>655</v>
      </c>
    </row>
    <row r="129" spans="1:22" ht="15" customHeight="1" x14ac:dyDescent="0.25">
      <c r="A129" s="125" t="s">
        <v>1137</v>
      </c>
      <c r="B129" s="125" t="s">
        <v>1137</v>
      </c>
      <c r="C129" s="287" t="s">
        <v>1606</v>
      </c>
      <c r="D129" s="125" t="s">
        <v>50</v>
      </c>
      <c r="E129" s="125" t="s">
        <v>688</v>
      </c>
      <c r="F129" s="125" t="s">
        <v>650</v>
      </c>
      <c r="G129" s="279">
        <v>0</v>
      </c>
      <c r="H129" s="279">
        <v>0</v>
      </c>
      <c r="I129" s="279">
        <v>0</v>
      </c>
      <c r="J129" s="279">
        <v>35885.79</v>
      </c>
      <c r="K129" s="279">
        <v>0</v>
      </c>
      <c r="L129" s="279">
        <v>0.2</v>
      </c>
      <c r="M129" s="279">
        <v>0</v>
      </c>
      <c r="N129" s="279">
        <v>7536.02</v>
      </c>
      <c r="O129" s="279">
        <v>3588.59</v>
      </c>
      <c r="P129" s="279">
        <v>0</v>
      </c>
      <c r="Q129" s="279">
        <v>0</v>
      </c>
      <c r="R129" s="279">
        <v>1076.57</v>
      </c>
      <c r="S129" s="279">
        <v>0</v>
      </c>
      <c r="T129" s="279">
        <v>0</v>
      </c>
      <c r="U129" s="279">
        <v>48087.17</v>
      </c>
      <c r="V129" s="125" t="s">
        <v>655</v>
      </c>
    </row>
    <row r="130" spans="1:22" ht="15" customHeight="1" x14ac:dyDescent="0.25">
      <c r="A130" s="125" t="s">
        <v>1471</v>
      </c>
      <c r="B130" s="125" t="s">
        <v>1471</v>
      </c>
      <c r="C130" s="287" t="s">
        <v>1720</v>
      </c>
      <c r="D130" s="125" t="s">
        <v>50</v>
      </c>
      <c r="E130" s="125" t="s">
        <v>688</v>
      </c>
      <c r="F130" s="125" t="s">
        <v>650</v>
      </c>
      <c r="G130" s="279">
        <v>0</v>
      </c>
      <c r="H130" s="279">
        <v>0</v>
      </c>
      <c r="I130" s="279">
        <v>0</v>
      </c>
      <c r="J130" s="279">
        <v>18677.599999999999</v>
      </c>
      <c r="K130" s="279">
        <v>0</v>
      </c>
      <c r="L130" s="279">
        <v>0.09</v>
      </c>
      <c r="M130" s="279">
        <v>0</v>
      </c>
      <c r="N130" s="279">
        <v>3922.3</v>
      </c>
      <c r="O130" s="279">
        <v>1867.76</v>
      </c>
      <c r="P130" s="279">
        <v>0</v>
      </c>
      <c r="Q130" s="279">
        <v>0</v>
      </c>
      <c r="R130" s="279">
        <v>560.33000000000004</v>
      </c>
      <c r="S130" s="279">
        <v>0</v>
      </c>
      <c r="T130" s="279">
        <v>0</v>
      </c>
      <c r="U130" s="279">
        <v>25028.080000000002</v>
      </c>
      <c r="V130" s="125" t="s">
        <v>655</v>
      </c>
    </row>
    <row r="131" spans="1:22" ht="15" customHeight="1" x14ac:dyDescent="0.25">
      <c r="A131" s="125" t="s">
        <v>1401</v>
      </c>
      <c r="B131" s="125" t="s">
        <v>1401</v>
      </c>
      <c r="C131" s="287" t="s">
        <v>1696</v>
      </c>
      <c r="D131" s="125" t="s">
        <v>50</v>
      </c>
      <c r="E131" s="125" t="s">
        <v>688</v>
      </c>
      <c r="F131" s="125" t="s">
        <v>650</v>
      </c>
      <c r="G131" s="279">
        <v>0</v>
      </c>
      <c r="H131" s="279">
        <v>0</v>
      </c>
      <c r="I131" s="279">
        <v>0</v>
      </c>
      <c r="J131" s="279">
        <v>35776.78</v>
      </c>
      <c r="K131" s="279">
        <v>0</v>
      </c>
      <c r="L131" s="279">
        <v>0.22</v>
      </c>
      <c r="M131" s="279">
        <v>0</v>
      </c>
      <c r="N131" s="279">
        <v>7513.12</v>
      </c>
      <c r="O131" s="279">
        <v>3577.69</v>
      </c>
      <c r="P131" s="279">
        <v>0</v>
      </c>
      <c r="Q131" s="279">
        <v>0</v>
      </c>
      <c r="R131" s="279">
        <v>1073.3</v>
      </c>
      <c r="S131" s="279">
        <v>0</v>
      </c>
      <c r="T131" s="279">
        <v>0</v>
      </c>
      <c r="U131" s="279">
        <v>47941.11</v>
      </c>
      <c r="V131" s="125" t="s">
        <v>655</v>
      </c>
    </row>
    <row r="132" spans="1:22" ht="15" customHeight="1" x14ac:dyDescent="0.25">
      <c r="A132" s="125" t="s">
        <v>1514</v>
      </c>
      <c r="B132" s="125" t="s">
        <v>1514</v>
      </c>
      <c r="C132" s="287" t="s">
        <v>1730</v>
      </c>
      <c r="D132" s="125" t="s">
        <v>50</v>
      </c>
      <c r="E132" s="125" t="s">
        <v>688</v>
      </c>
      <c r="F132" s="125" t="s">
        <v>650</v>
      </c>
      <c r="G132" s="279">
        <v>0</v>
      </c>
      <c r="H132" s="279">
        <v>0</v>
      </c>
      <c r="I132" s="279">
        <v>0</v>
      </c>
      <c r="J132" s="279">
        <v>9832.17</v>
      </c>
      <c r="K132" s="279">
        <v>0</v>
      </c>
      <c r="L132" s="279">
        <v>0</v>
      </c>
      <c r="M132" s="279">
        <v>0</v>
      </c>
      <c r="N132" s="279">
        <v>2064.7600000000002</v>
      </c>
      <c r="O132" s="279">
        <v>0</v>
      </c>
      <c r="P132" s="279">
        <v>0</v>
      </c>
      <c r="Q132" s="279">
        <v>0</v>
      </c>
      <c r="R132" s="279">
        <v>1278.19</v>
      </c>
      <c r="S132" s="279">
        <v>0</v>
      </c>
      <c r="T132" s="279">
        <v>0</v>
      </c>
      <c r="U132" s="279">
        <v>13175.12</v>
      </c>
      <c r="V132" s="125" t="s">
        <v>655</v>
      </c>
    </row>
    <row r="133" spans="1:22" ht="15" customHeight="1" x14ac:dyDescent="0.25">
      <c r="A133" s="125" t="s">
        <v>1164</v>
      </c>
      <c r="B133" s="125" t="s">
        <v>1164</v>
      </c>
      <c r="C133" s="287" t="s">
        <v>1621</v>
      </c>
      <c r="D133" s="125" t="s">
        <v>672</v>
      </c>
      <c r="E133" s="125" t="s">
        <v>951</v>
      </c>
      <c r="F133" s="125" t="s">
        <v>650</v>
      </c>
      <c r="G133" s="279">
        <v>0</v>
      </c>
      <c r="H133" s="279">
        <v>0</v>
      </c>
      <c r="I133" s="279">
        <v>0</v>
      </c>
      <c r="J133" s="279">
        <v>29752.07</v>
      </c>
      <c r="K133" s="279">
        <v>0</v>
      </c>
      <c r="L133" s="279">
        <v>0</v>
      </c>
      <c r="M133" s="279">
        <v>0</v>
      </c>
      <c r="N133" s="279">
        <v>6247.93</v>
      </c>
      <c r="O133" s="279">
        <v>0</v>
      </c>
      <c r="P133" s="279">
        <v>0</v>
      </c>
      <c r="Q133" s="279">
        <v>0</v>
      </c>
      <c r="R133" s="279">
        <v>0</v>
      </c>
      <c r="S133" s="279">
        <v>0</v>
      </c>
      <c r="T133" s="279">
        <v>0</v>
      </c>
      <c r="U133" s="279">
        <v>36000</v>
      </c>
      <c r="V133" s="125" t="s">
        <v>655</v>
      </c>
    </row>
    <row r="134" spans="1:22" ht="15" customHeight="1" x14ac:dyDescent="0.25">
      <c r="A134" s="125" t="s">
        <v>1311</v>
      </c>
      <c r="B134" s="125" t="s">
        <v>1311</v>
      </c>
      <c r="C134" s="287" t="s">
        <v>1679</v>
      </c>
      <c r="D134" s="125" t="s">
        <v>672</v>
      </c>
      <c r="E134" s="125" t="s">
        <v>951</v>
      </c>
      <c r="F134" s="125" t="s">
        <v>650</v>
      </c>
      <c r="G134" s="279">
        <v>0</v>
      </c>
      <c r="H134" s="279">
        <v>0</v>
      </c>
      <c r="I134" s="279">
        <v>0</v>
      </c>
      <c r="J134" s="279">
        <v>19008.27</v>
      </c>
      <c r="K134" s="279">
        <v>0</v>
      </c>
      <c r="L134" s="279">
        <v>0</v>
      </c>
      <c r="M134" s="279">
        <v>0</v>
      </c>
      <c r="N134" s="279">
        <v>3991.74</v>
      </c>
      <c r="O134" s="279">
        <v>0</v>
      </c>
      <c r="P134" s="279">
        <v>0</v>
      </c>
      <c r="Q134" s="279">
        <v>0</v>
      </c>
      <c r="R134" s="279">
        <v>0</v>
      </c>
      <c r="S134" s="279">
        <v>0</v>
      </c>
      <c r="T134" s="279">
        <v>0</v>
      </c>
      <c r="U134" s="279">
        <v>23000.01</v>
      </c>
      <c r="V134" s="125" t="s">
        <v>655</v>
      </c>
    </row>
    <row r="135" spans="1:22" ht="15" customHeight="1" x14ac:dyDescent="0.25">
      <c r="A135" s="125" t="s">
        <v>1232</v>
      </c>
      <c r="B135" s="125" t="s">
        <v>1232</v>
      </c>
      <c r="C135" s="287" t="s">
        <v>1635</v>
      </c>
      <c r="D135" s="125" t="s">
        <v>1636</v>
      </c>
      <c r="E135" s="125" t="s">
        <v>1637</v>
      </c>
      <c r="F135" s="125" t="s">
        <v>654</v>
      </c>
      <c r="G135" s="279">
        <v>0</v>
      </c>
      <c r="H135" s="279">
        <v>0</v>
      </c>
      <c r="I135" s="279">
        <v>0</v>
      </c>
      <c r="J135" s="279">
        <v>0</v>
      </c>
      <c r="K135" s="279">
        <v>0</v>
      </c>
      <c r="L135" s="279">
        <v>0</v>
      </c>
      <c r="M135" s="279">
        <v>260000</v>
      </c>
      <c r="N135" s="279">
        <v>0</v>
      </c>
      <c r="O135" s="279">
        <v>0</v>
      </c>
      <c r="P135" s="279">
        <v>0</v>
      </c>
      <c r="Q135" s="279">
        <v>0</v>
      </c>
      <c r="R135" s="279">
        <v>0</v>
      </c>
      <c r="S135" s="279">
        <v>0</v>
      </c>
      <c r="T135" s="279">
        <v>0</v>
      </c>
      <c r="U135" s="279">
        <v>260000</v>
      </c>
      <c r="V135" s="125" t="s">
        <v>655</v>
      </c>
    </row>
    <row r="136" spans="1:22" ht="15" customHeight="1" x14ac:dyDescent="0.25">
      <c r="A136" s="125" t="s">
        <v>1093</v>
      </c>
      <c r="B136" s="125" t="s">
        <v>1164</v>
      </c>
      <c r="C136" s="287" t="s">
        <v>1616</v>
      </c>
      <c r="D136" s="125" t="s">
        <v>947</v>
      </c>
      <c r="E136" s="125" t="s">
        <v>948</v>
      </c>
      <c r="F136" s="125" t="s">
        <v>654</v>
      </c>
      <c r="G136" s="279">
        <v>0</v>
      </c>
      <c r="H136" s="279">
        <v>0</v>
      </c>
      <c r="I136" s="279">
        <v>0</v>
      </c>
      <c r="J136" s="279">
        <v>0</v>
      </c>
      <c r="K136" s="279">
        <v>0</v>
      </c>
      <c r="L136" s="279">
        <v>0</v>
      </c>
      <c r="M136" s="279">
        <v>4365000</v>
      </c>
      <c r="N136" s="279">
        <v>0</v>
      </c>
      <c r="O136" s="279">
        <v>0</v>
      </c>
      <c r="P136" s="279">
        <v>0</v>
      </c>
      <c r="Q136" s="279">
        <v>0</v>
      </c>
      <c r="R136" s="279">
        <v>0</v>
      </c>
      <c r="S136" s="279">
        <v>0</v>
      </c>
      <c r="T136" s="279">
        <v>0</v>
      </c>
      <c r="U136" s="279">
        <v>4365000</v>
      </c>
      <c r="V136" s="125" t="s">
        <v>655</v>
      </c>
    </row>
    <row r="137" spans="1:22" ht="15" customHeight="1" x14ac:dyDescent="0.25">
      <c r="A137" s="125" t="s">
        <v>1093</v>
      </c>
      <c r="B137" s="125" t="s">
        <v>1093</v>
      </c>
      <c r="C137" s="287" t="s">
        <v>1598</v>
      </c>
      <c r="D137" s="125" t="s">
        <v>943</v>
      </c>
      <c r="E137" s="125" t="s">
        <v>944</v>
      </c>
      <c r="F137" s="125" t="s">
        <v>654</v>
      </c>
      <c r="G137" s="279">
        <v>0</v>
      </c>
      <c r="H137" s="279">
        <v>0</v>
      </c>
      <c r="I137" s="279">
        <v>0</v>
      </c>
      <c r="J137" s="279">
        <v>0</v>
      </c>
      <c r="K137" s="279">
        <v>0</v>
      </c>
      <c r="L137" s="279">
        <v>0</v>
      </c>
      <c r="M137" s="279">
        <v>870000</v>
      </c>
      <c r="N137" s="279">
        <v>0</v>
      </c>
      <c r="O137" s="279">
        <v>0</v>
      </c>
      <c r="P137" s="279">
        <v>0</v>
      </c>
      <c r="Q137" s="279">
        <v>0</v>
      </c>
      <c r="R137" s="279">
        <v>0</v>
      </c>
      <c r="S137" s="279">
        <v>0</v>
      </c>
      <c r="T137" s="279">
        <v>0</v>
      </c>
      <c r="U137" s="279">
        <v>870000</v>
      </c>
      <c r="V137" s="125" t="s">
        <v>651</v>
      </c>
    </row>
    <row r="138" spans="1:22" ht="15" customHeight="1" x14ac:dyDescent="0.25">
      <c r="A138" s="125" t="s">
        <v>1164</v>
      </c>
      <c r="B138" s="125" t="s">
        <v>1164</v>
      </c>
      <c r="C138" s="287" t="s">
        <v>899</v>
      </c>
      <c r="D138" s="125" t="s">
        <v>673</v>
      </c>
      <c r="E138" s="125" t="s">
        <v>905</v>
      </c>
      <c r="F138" s="125" t="s">
        <v>654</v>
      </c>
      <c r="G138" s="279">
        <v>0</v>
      </c>
      <c r="H138" s="279">
        <v>0</v>
      </c>
      <c r="I138" s="279">
        <v>0</v>
      </c>
      <c r="J138" s="279">
        <v>0</v>
      </c>
      <c r="K138" s="279">
        <v>0</v>
      </c>
      <c r="L138" s="279">
        <v>0</v>
      </c>
      <c r="M138" s="279">
        <v>900000</v>
      </c>
      <c r="N138" s="279">
        <v>0</v>
      </c>
      <c r="O138" s="279">
        <v>0</v>
      </c>
      <c r="P138" s="279">
        <v>0</v>
      </c>
      <c r="Q138" s="279">
        <v>0</v>
      </c>
      <c r="R138" s="279">
        <v>0</v>
      </c>
      <c r="S138" s="279">
        <v>0</v>
      </c>
      <c r="T138" s="279">
        <v>0</v>
      </c>
      <c r="U138" s="279">
        <v>900000</v>
      </c>
      <c r="V138" s="125" t="s">
        <v>665</v>
      </c>
    </row>
    <row r="139" spans="1:22" ht="15" customHeight="1" x14ac:dyDescent="0.25">
      <c r="A139" s="125" t="s">
        <v>999</v>
      </c>
      <c r="B139" s="125" t="s">
        <v>1093</v>
      </c>
      <c r="C139" s="125" t="s">
        <v>1579</v>
      </c>
      <c r="D139" s="125" t="s">
        <v>669</v>
      </c>
      <c r="E139" s="125" t="s">
        <v>696</v>
      </c>
      <c r="F139" s="125" t="s">
        <v>654</v>
      </c>
      <c r="G139" s="279">
        <v>0</v>
      </c>
      <c r="H139" s="279">
        <v>0</v>
      </c>
      <c r="I139" s="279">
        <v>0</v>
      </c>
      <c r="J139" s="279">
        <v>0</v>
      </c>
      <c r="K139" s="279">
        <v>0</v>
      </c>
      <c r="L139" s="279">
        <v>0</v>
      </c>
      <c r="M139" s="279">
        <v>290000</v>
      </c>
      <c r="N139" s="279">
        <v>0</v>
      </c>
      <c r="O139" s="279">
        <v>0</v>
      </c>
      <c r="P139" s="279">
        <v>0</v>
      </c>
      <c r="Q139" s="279">
        <v>0</v>
      </c>
      <c r="R139" s="279">
        <v>0</v>
      </c>
      <c r="S139" s="279">
        <v>0</v>
      </c>
      <c r="T139" s="279">
        <v>0</v>
      </c>
      <c r="U139" s="279">
        <v>290000</v>
      </c>
      <c r="V139" s="125" t="s">
        <v>651</v>
      </c>
    </row>
    <row r="140" spans="1:22" ht="15" customHeight="1" x14ac:dyDescent="0.25">
      <c r="A140" s="125" t="s">
        <v>1270</v>
      </c>
      <c r="B140" s="125" t="s">
        <v>1270</v>
      </c>
      <c r="C140" s="125" t="s">
        <v>1667</v>
      </c>
      <c r="D140" s="125" t="s">
        <v>669</v>
      </c>
      <c r="E140" s="125" t="s">
        <v>696</v>
      </c>
      <c r="F140" s="125" t="s">
        <v>654</v>
      </c>
      <c r="G140" s="279">
        <v>0</v>
      </c>
      <c r="H140" s="279">
        <v>0</v>
      </c>
      <c r="I140" s="279">
        <v>0</v>
      </c>
      <c r="J140" s="279">
        <v>0</v>
      </c>
      <c r="K140" s="279">
        <v>0</v>
      </c>
      <c r="L140" s="279">
        <v>0</v>
      </c>
      <c r="M140" s="279">
        <v>557300</v>
      </c>
      <c r="N140" s="279">
        <v>0</v>
      </c>
      <c r="O140" s="279">
        <v>0</v>
      </c>
      <c r="P140" s="279">
        <v>0</v>
      </c>
      <c r="Q140" s="279">
        <v>0</v>
      </c>
      <c r="R140" s="279">
        <v>0</v>
      </c>
      <c r="S140" s="279">
        <v>0</v>
      </c>
      <c r="T140" s="279">
        <v>0</v>
      </c>
      <c r="U140" s="279">
        <v>557300</v>
      </c>
      <c r="V140" s="125" t="s">
        <v>651</v>
      </c>
    </row>
    <row r="141" spans="1:22" ht="15" customHeight="1" x14ac:dyDescent="0.25">
      <c r="A141" s="125" t="s">
        <v>1514</v>
      </c>
      <c r="B141" s="125" t="s">
        <v>1514</v>
      </c>
      <c r="C141" s="125" t="s">
        <v>1727</v>
      </c>
      <c r="D141" s="125" t="s">
        <v>669</v>
      </c>
      <c r="E141" s="125" t="s">
        <v>696</v>
      </c>
      <c r="F141" s="125" t="s">
        <v>654</v>
      </c>
      <c r="G141" s="279">
        <v>0</v>
      </c>
      <c r="H141" s="279">
        <v>0</v>
      </c>
      <c r="I141" s="279">
        <v>0</v>
      </c>
      <c r="J141" s="279">
        <v>0</v>
      </c>
      <c r="K141" s="279">
        <v>0</v>
      </c>
      <c r="L141" s="279">
        <v>0</v>
      </c>
      <c r="M141" s="279">
        <v>717200</v>
      </c>
      <c r="N141" s="279">
        <v>0</v>
      </c>
      <c r="O141" s="279">
        <v>0</v>
      </c>
      <c r="P141" s="279">
        <v>0</v>
      </c>
      <c r="Q141" s="279">
        <v>0</v>
      </c>
      <c r="R141" s="279">
        <v>0</v>
      </c>
      <c r="S141" s="279">
        <v>0</v>
      </c>
      <c r="T141" s="279">
        <v>0</v>
      </c>
      <c r="U141" s="279">
        <v>717200</v>
      </c>
      <c r="V141" s="125" t="s">
        <v>651</v>
      </c>
    </row>
    <row r="142" spans="1:22" ht="15" customHeight="1" x14ac:dyDescent="0.25">
      <c r="A142" s="125" t="s">
        <v>1363</v>
      </c>
      <c r="B142" s="125" t="s">
        <v>1363</v>
      </c>
      <c r="C142" s="125" t="s">
        <v>1689</v>
      </c>
      <c r="D142" s="125" t="s">
        <v>674</v>
      </c>
      <c r="E142" s="125" t="s">
        <v>900</v>
      </c>
      <c r="F142" s="125" t="s">
        <v>654</v>
      </c>
      <c r="G142" s="279">
        <v>0</v>
      </c>
      <c r="H142" s="279">
        <v>0</v>
      </c>
      <c r="I142" s="279">
        <v>0</v>
      </c>
      <c r="J142" s="279">
        <v>0</v>
      </c>
      <c r="K142" s="279">
        <v>0</v>
      </c>
      <c r="L142" s="279">
        <v>0</v>
      </c>
      <c r="M142" s="279">
        <v>300000</v>
      </c>
      <c r="N142" s="279">
        <v>0</v>
      </c>
      <c r="O142" s="279">
        <v>0</v>
      </c>
      <c r="P142" s="279">
        <v>0</v>
      </c>
      <c r="Q142" s="279">
        <v>0</v>
      </c>
      <c r="R142" s="279">
        <v>0</v>
      </c>
      <c r="S142" s="279">
        <v>0</v>
      </c>
      <c r="T142" s="279">
        <v>0</v>
      </c>
      <c r="U142" s="279">
        <v>300000</v>
      </c>
      <c r="V142" s="125" t="s">
        <v>655</v>
      </c>
    </row>
    <row r="143" spans="1:22" ht="15" customHeight="1" x14ac:dyDescent="0.25">
      <c r="A143" s="125" t="s">
        <v>1363</v>
      </c>
      <c r="B143" s="125" t="s">
        <v>1363</v>
      </c>
      <c r="C143" s="125" t="s">
        <v>1688</v>
      </c>
      <c r="D143" s="125" t="s">
        <v>674</v>
      </c>
      <c r="E143" s="125" t="s">
        <v>900</v>
      </c>
      <c r="F143" s="125" t="s">
        <v>654</v>
      </c>
      <c r="G143" s="279">
        <v>0</v>
      </c>
      <c r="H143" s="279">
        <v>0</v>
      </c>
      <c r="I143" s="279">
        <v>0</v>
      </c>
      <c r="J143" s="279">
        <v>0</v>
      </c>
      <c r="K143" s="279">
        <v>0</v>
      </c>
      <c r="L143" s="279">
        <v>0</v>
      </c>
      <c r="M143" s="279">
        <v>300000</v>
      </c>
      <c r="N143" s="279">
        <v>0</v>
      </c>
      <c r="O143" s="279">
        <v>0</v>
      </c>
      <c r="P143" s="279">
        <v>0</v>
      </c>
      <c r="Q143" s="279">
        <v>0</v>
      </c>
      <c r="R143" s="279">
        <v>0</v>
      </c>
      <c r="S143" s="279">
        <v>0</v>
      </c>
      <c r="T143" s="279">
        <v>0</v>
      </c>
      <c r="U143" s="279">
        <v>300000</v>
      </c>
      <c r="V143" s="125" t="s">
        <v>655</v>
      </c>
    </row>
    <row r="144" spans="1:22" ht="15" customHeight="1" x14ac:dyDescent="0.25">
      <c r="A144" s="125" t="s">
        <v>1311</v>
      </c>
      <c r="B144" s="125" t="s">
        <v>1311</v>
      </c>
      <c r="C144" s="125" t="s">
        <v>1680</v>
      </c>
      <c r="D144" s="125" t="s">
        <v>675</v>
      </c>
      <c r="E144" s="125" t="s">
        <v>683</v>
      </c>
      <c r="F144" s="125" t="s">
        <v>654</v>
      </c>
      <c r="G144" s="279">
        <v>0</v>
      </c>
      <c r="H144" s="279">
        <v>0</v>
      </c>
      <c r="I144" s="279">
        <v>0</v>
      </c>
      <c r="J144" s="279">
        <v>0</v>
      </c>
      <c r="K144" s="279">
        <v>0</v>
      </c>
      <c r="L144" s="279">
        <v>0</v>
      </c>
      <c r="M144" s="279">
        <v>123000</v>
      </c>
      <c r="N144" s="279">
        <v>0</v>
      </c>
      <c r="O144" s="279">
        <v>0</v>
      </c>
      <c r="P144" s="279">
        <v>0</v>
      </c>
      <c r="Q144" s="279">
        <v>0</v>
      </c>
      <c r="R144" s="279">
        <v>0</v>
      </c>
      <c r="S144" s="279">
        <v>0</v>
      </c>
      <c r="T144" s="279">
        <v>0</v>
      </c>
      <c r="U144" s="279">
        <v>123000</v>
      </c>
      <c r="V144" s="125" t="s">
        <v>651</v>
      </c>
    </row>
    <row r="145" spans="1:23" ht="15" customHeight="1" x14ac:dyDescent="0.25">
      <c r="A145" s="125" t="s">
        <v>1311</v>
      </c>
      <c r="B145" s="125" t="s">
        <v>1311</v>
      </c>
      <c r="C145" s="125" t="s">
        <v>1681</v>
      </c>
      <c r="D145" s="125" t="s">
        <v>675</v>
      </c>
      <c r="E145" s="125" t="s">
        <v>683</v>
      </c>
      <c r="F145" s="125" t="s">
        <v>654</v>
      </c>
      <c r="G145" s="279">
        <v>0</v>
      </c>
      <c r="H145" s="279">
        <v>0</v>
      </c>
      <c r="I145" s="279">
        <v>0</v>
      </c>
      <c r="J145" s="279">
        <v>0</v>
      </c>
      <c r="K145" s="279">
        <v>0</v>
      </c>
      <c r="L145" s="279">
        <v>0</v>
      </c>
      <c r="M145" s="279">
        <v>295000</v>
      </c>
      <c r="N145" s="279">
        <v>0</v>
      </c>
      <c r="O145" s="279">
        <v>0</v>
      </c>
      <c r="P145" s="279">
        <v>0</v>
      </c>
      <c r="Q145" s="279">
        <v>0</v>
      </c>
      <c r="R145" s="279">
        <v>0</v>
      </c>
      <c r="S145" s="279">
        <v>0</v>
      </c>
      <c r="T145" s="279">
        <v>0</v>
      </c>
      <c r="U145" s="279">
        <v>295000</v>
      </c>
      <c r="V145" s="125" t="s">
        <v>651</v>
      </c>
    </row>
    <row r="146" spans="1:23" ht="15" customHeight="1" x14ac:dyDescent="0.25">
      <c r="A146" s="125" t="s">
        <v>1311</v>
      </c>
      <c r="B146" s="125" t="s">
        <v>1311</v>
      </c>
      <c r="C146" s="125" t="s">
        <v>1678</v>
      </c>
      <c r="D146" s="125" t="s">
        <v>954</v>
      </c>
      <c r="E146" s="125" t="s">
        <v>955</v>
      </c>
      <c r="F146" s="125" t="s">
        <v>654</v>
      </c>
      <c r="G146" s="279">
        <v>0</v>
      </c>
      <c r="H146" s="279">
        <v>0</v>
      </c>
      <c r="I146" s="279">
        <v>0</v>
      </c>
      <c r="J146" s="279">
        <v>0</v>
      </c>
      <c r="K146" s="279">
        <v>0</v>
      </c>
      <c r="L146" s="279">
        <v>0</v>
      </c>
      <c r="M146" s="279">
        <v>600000</v>
      </c>
      <c r="N146" s="279">
        <v>0</v>
      </c>
      <c r="O146" s="279">
        <v>0</v>
      </c>
      <c r="P146" s="279">
        <v>0</v>
      </c>
      <c r="Q146" s="279">
        <v>0</v>
      </c>
      <c r="R146" s="279">
        <v>0</v>
      </c>
      <c r="S146" s="279">
        <v>0</v>
      </c>
      <c r="T146" s="279">
        <v>0</v>
      </c>
      <c r="U146" s="279">
        <v>600000</v>
      </c>
      <c r="V146" s="125" t="s">
        <v>655</v>
      </c>
    </row>
    <row r="147" spans="1:23" ht="15" customHeight="1" x14ac:dyDescent="0.25">
      <c r="A147" s="125" t="s">
        <v>1363</v>
      </c>
      <c r="B147" s="125" t="s">
        <v>1363</v>
      </c>
      <c r="C147" s="125" t="s">
        <v>1690</v>
      </c>
      <c r="D147" s="125" t="s">
        <v>954</v>
      </c>
      <c r="E147" s="125" t="s">
        <v>955</v>
      </c>
      <c r="F147" s="125" t="s">
        <v>654</v>
      </c>
      <c r="G147" s="279">
        <v>0</v>
      </c>
      <c r="H147" s="279">
        <v>0</v>
      </c>
      <c r="I147" s="279">
        <v>0</v>
      </c>
      <c r="J147" s="279">
        <v>0</v>
      </c>
      <c r="K147" s="279">
        <v>0</v>
      </c>
      <c r="L147" s="279">
        <v>0</v>
      </c>
      <c r="M147" s="279">
        <v>170000</v>
      </c>
      <c r="N147" s="279">
        <v>0</v>
      </c>
      <c r="O147" s="279">
        <v>0</v>
      </c>
      <c r="P147" s="279">
        <v>0</v>
      </c>
      <c r="Q147" s="279">
        <v>0</v>
      </c>
      <c r="R147" s="279">
        <v>0</v>
      </c>
      <c r="S147" s="279">
        <v>0</v>
      </c>
      <c r="T147" s="279">
        <v>0</v>
      </c>
      <c r="U147" s="279">
        <v>170000</v>
      </c>
      <c r="V147" s="125" t="s">
        <v>655</v>
      </c>
    </row>
    <row r="148" spans="1:23" ht="15" customHeight="1" x14ac:dyDescent="0.25">
      <c r="A148" s="125" t="s">
        <v>1457</v>
      </c>
      <c r="B148" s="125" t="s">
        <v>1457</v>
      </c>
      <c r="C148" s="125" t="s">
        <v>1711</v>
      </c>
      <c r="D148" s="125" t="s">
        <v>954</v>
      </c>
      <c r="E148" s="125" t="s">
        <v>955</v>
      </c>
      <c r="F148" s="125" t="s">
        <v>654</v>
      </c>
      <c r="G148" s="279">
        <v>0</v>
      </c>
      <c r="H148" s="279">
        <v>0</v>
      </c>
      <c r="I148" s="279">
        <v>0</v>
      </c>
      <c r="J148" s="279">
        <v>0</v>
      </c>
      <c r="K148" s="279">
        <v>0</v>
      </c>
      <c r="L148" s="279">
        <v>0</v>
      </c>
      <c r="M148" s="279">
        <v>980000</v>
      </c>
      <c r="N148" s="279">
        <v>0</v>
      </c>
      <c r="O148" s="279">
        <v>0</v>
      </c>
      <c r="P148" s="279">
        <v>0</v>
      </c>
      <c r="Q148" s="279">
        <v>0</v>
      </c>
      <c r="R148" s="279">
        <v>0</v>
      </c>
      <c r="S148" s="279">
        <v>0</v>
      </c>
      <c r="T148" s="279">
        <v>0</v>
      </c>
      <c r="U148" s="279">
        <v>980000</v>
      </c>
      <c r="V148" s="125" t="s">
        <v>655</v>
      </c>
    </row>
    <row r="149" spans="1:23" ht="15" customHeight="1" x14ac:dyDescent="0.25">
      <c r="A149" s="125" t="s">
        <v>1137</v>
      </c>
      <c r="B149" s="125" t="s">
        <v>1137</v>
      </c>
      <c r="C149" s="125" t="s">
        <v>1603</v>
      </c>
      <c r="D149" s="125" t="s">
        <v>661</v>
      </c>
      <c r="E149" s="125" t="s">
        <v>903</v>
      </c>
      <c r="F149" s="125" t="s">
        <v>654</v>
      </c>
      <c r="G149" s="279">
        <v>0</v>
      </c>
      <c r="H149" s="279">
        <v>0</v>
      </c>
      <c r="I149" s="279">
        <v>0</v>
      </c>
      <c r="J149" s="279">
        <v>0</v>
      </c>
      <c r="K149" s="279">
        <v>0</v>
      </c>
      <c r="L149" s="279">
        <v>0</v>
      </c>
      <c r="M149" s="279">
        <v>51030</v>
      </c>
      <c r="N149" s="279">
        <v>0</v>
      </c>
      <c r="O149" s="279">
        <v>0</v>
      </c>
      <c r="P149" s="279">
        <v>0</v>
      </c>
      <c r="Q149" s="279">
        <v>0</v>
      </c>
      <c r="R149" s="279">
        <v>0</v>
      </c>
      <c r="S149" s="279">
        <v>0</v>
      </c>
      <c r="T149" s="279">
        <v>0</v>
      </c>
      <c r="U149" s="279">
        <v>51030</v>
      </c>
      <c r="V149" s="125" t="s">
        <v>655</v>
      </c>
    </row>
    <row r="150" spans="1:23" ht="15" customHeight="1" x14ac:dyDescent="0.25">
      <c r="A150" s="125" t="s">
        <v>1069</v>
      </c>
      <c r="B150" s="125" t="s">
        <v>1164</v>
      </c>
      <c r="C150" s="125" t="s">
        <v>1617</v>
      </c>
      <c r="D150" s="125" t="s">
        <v>653</v>
      </c>
      <c r="E150" s="125" t="s">
        <v>902</v>
      </c>
      <c r="F150" s="125" t="s">
        <v>654</v>
      </c>
      <c r="G150" s="279">
        <v>0</v>
      </c>
      <c r="H150" s="279">
        <v>0</v>
      </c>
      <c r="I150" s="279">
        <v>0</v>
      </c>
      <c r="J150" s="279">
        <v>0</v>
      </c>
      <c r="K150" s="279">
        <v>0</v>
      </c>
      <c r="L150" s="279">
        <v>0</v>
      </c>
      <c r="M150" s="279">
        <v>3200000</v>
      </c>
      <c r="N150" s="279">
        <v>0</v>
      </c>
      <c r="O150" s="279">
        <v>0</v>
      </c>
      <c r="P150" s="279">
        <v>0</v>
      </c>
      <c r="Q150" s="279">
        <v>0</v>
      </c>
      <c r="R150" s="279">
        <v>0</v>
      </c>
      <c r="S150" s="279">
        <v>0</v>
      </c>
      <c r="T150" s="279">
        <v>0</v>
      </c>
      <c r="U150" s="279">
        <v>3200000</v>
      </c>
      <c r="V150" s="125" t="s">
        <v>655</v>
      </c>
    </row>
    <row r="151" spans="1:23" ht="15" customHeight="1" x14ac:dyDescent="0.25">
      <c r="A151" s="125" t="s">
        <v>1041</v>
      </c>
      <c r="B151" s="125" t="s">
        <v>1093</v>
      </c>
      <c r="C151" s="125" t="s">
        <v>1590</v>
      </c>
      <c r="D151" s="125" t="s">
        <v>1591</v>
      </c>
      <c r="E151" s="125" t="s">
        <v>1592</v>
      </c>
      <c r="F151" s="125" t="s">
        <v>654</v>
      </c>
      <c r="G151" s="279">
        <v>0</v>
      </c>
      <c r="H151" s="279">
        <v>0</v>
      </c>
      <c r="I151" s="279">
        <v>0</v>
      </c>
      <c r="J151" s="279">
        <v>0</v>
      </c>
      <c r="K151" s="279">
        <v>0</v>
      </c>
      <c r="L151" s="279">
        <v>0</v>
      </c>
      <c r="M151" s="279">
        <v>13400</v>
      </c>
      <c r="N151" s="279">
        <v>0</v>
      </c>
      <c r="O151" s="279">
        <v>0</v>
      </c>
      <c r="P151" s="279">
        <v>0</v>
      </c>
      <c r="Q151" s="279">
        <v>0</v>
      </c>
      <c r="R151" s="279">
        <v>0</v>
      </c>
      <c r="S151" s="279">
        <v>0</v>
      </c>
      <c r="T151" s="279">
        <v>0</v>
      </c>
      <c r="U151" s="279">
        <v>13400</v>
      </c>
      <c r="V151" s="125"/>
    </row>
    <row r="152" spans="1:23" ht="15" customHeight="1" x14ac:dyDescent="0.25">
      <c r="A152" s="125" t="s">
        <v>1270</v>
      </c>
      <c r="B152" s="125" t="s">
        <v>1270</v>
      </c>
      <c r="C152" s="125" t="s">
        <v>1668</v>
      </c>
      <c r="D152" s="125" t="s">
        <v>1591</v>
      </c>
      <c r="E152" s="125" t="s">
        <v>1592</v>
      </c>
      <c r="F152" s="125" t="s">
        <v>654</v>
      </c>
      <c r="G152" s="279">
        <v>0</v>
      </c>
      <c r="H152" s="279">
        <v>0</v>
      </c>
      <c r="I152" s="279">
        <v>0</v>
      </c>
      <c r="J152" s="279">
        <v>0</v>
      </c>
      <c r="K152" s="279">
        <v>0</v>
      </c>
      <c r="L152" s="279">
        <v>0</v>
      </c>
      <c r="M152" s="279">
        <v>21300</v>
      </c>
      <c r="N152" s="279">
        <v>0</v>
      </c>
      <c r="O152" s="279">
        <v>0</v>
      </c>
      <c r="P152" s="279">
        <v>0</v>
      </c>
      <c r="Q152" s="279">
        <v>0</v>
      </c>
      <c r="R152" s="279">
        <v>0</v>
      </c>
      <c r="S152" s="279">
        <v>0</v>
      </c>
      <c r="T152" s="279">
        <v>0</v>
      </c>
      <c r="U152" s="279">
        <v>21300</v>
      </c>
      <c r="V152" s="125" t="s">
        <v>651</v>
      </c>
    </row>
    <row r="153" spans="1:23" ht="15" customHeight="1" x14ac:dyDescent="0.25">
      <c r="A153" s="125" t="s">
        <v>1270</v>
      </c>
      <c r="B153" s="125" t="s">
        <v>1270</v>
      </c>
      <c r="C153" s="125" t="s">
        <v>1666</v>
      </c>
      <c r="D153" s="125" t="s">
        <v>691</v>
      </c>
      <c r="E153" s="125" t="s">
        <v>692</v>
      </c>
      <c r="F153" s="125" t="s">
        <v>654</v>
      </c>
      <c r="G153" s="279">
        <v>0</v>
      </c>
      <c r="H153" s="279">
        <v>0</v>
      </c>
      <c r="I153" s="279">
        <v>0</v>
      </c>
      <c r="J153" s="279">
        <v>0</v>
      </c>
      <c r="K153" s="279">
        <v>0</v>
      </c>
      <c r="L153" s="279">
        <v>0</v>
      </c>
      <c r="M153" s="279">
        <v>922580</v>
      </c>
      <c r="N153" s="279">
        <v>0</v>
      </c>
      <c r="O153" s="279">
        <v>0</v>
      </c>
      <c r="P153" s="279">
        <v>0</v>
      </c>
      <c r="Q153" s="279">
        <v>0</v>
      </c>
      <c r="R153" s="279">
        <v>0</v>
      </c>
      <c r="S153" s="279">
        <v>0</v>
      </c>
      <c r="T153" s="279">
        <v>0</v>
      </c>
      <c r="U153" s="279">
        <v>922580</v>
      </c>
      <c r="V153" s="125" t="s">
        <v>651</v>
      </c>
    </row>
    <row r="154" spans="1:23" ht="15" customHeight="1" x14ac:dyDescent="0.25">
      <c r="A154" s="125" t="s">
        <v>1293</v>
      </c>
      <c r="B154" s="125" t="s">
        <v>1293</v>
      </c>
      <c r="C154" s="125" t="s">
        <v>1670</v>
      </c>
      <c r="D154" s="125" t="s">
        <v>691</v>
      </c>
      <c r="E154" s="125" t="s">
        <v>692</v>
      </c>
      <c r="F154" s="125" t="s">
        <v>654</v>
      </c>
      <c r="G154" s="279">
        <v>0</v>
      </c>
      <c r="H154" s="279">
        <v>0</v>
      </c>
      <c r="I154" s="279">
        <v>0</v>
      </c>
      <c r="J154" s="279">
        <v>0</v>
      </c>
      <c r="K154" s="279">
        <v>0</v>
      </c>
      <c r="L154" s="279">
        <v>0</v>
      </c>
      <c r="M154" s="279">
        <v>500000</v>
      </c>
      <c r="N154" s="279">
        <v>0</v>
      </c>
      <c r="O154" s="279">
        <v>0</v>
      </c>
      <c r="P154" s="279">
        <v>0</v>
      </c>
      <c r="Q154" s="279">
        <v>0</v>
      </c>
      <c r="R154" s="279">
        <v>0</v>
      </c>
      <c r="S154" s="279">
        <v>0</v>
      </c>
      <c r="T154" s="279">
        <v>0</v>
      </c>
      <c r="U154" s="279">
        <v>500000</v>
      </c>
      <c r="V154" s="125" t="s">
        <v>651</v>
      </c>
    </row>
    <row r="155" spans="1:23" ht="15" customHeight="1" x14ac:dyDescent="0.25">
      <c r="A155" s="125" t="s">
        <v>960</v>
      </c>
      <c r="B155" s="125" t="s">
        <v>1093</v>
      </c>
      <c r="C155" s="125" t="s">
        <v>1581</v>
      </c>
      <c r="D155" s="125" t="s">
        <v>658</v>
      </c>
      <c r="E155" s="125" t="s">
        <v>897</v>
      </c>
      <c r="F155" s="125" t="s">
        <v>654</v>
      </c>
      <c r="G155" s="279">
        <v>0</v>
      </c>
      <c r="H155" s="279">
        <v>0</v>
      </c>
      <c r="I155" s="279">
        <v>0</v>
      </c>
      <c r="J155" s="279">
        <v>0</v>
      </c>
      <c r="K155" s="279">
        <v>0</v>
      </c>
      <c r="L155" s="279">
        <v>0</v>
      </c>
      <c r="M155" s="279">
        <v>300000</v>
      </c>
      <c r="N155" s="279">
        <v>0</v>
      </c>
      <c r="O155" s="279">
        <v>0</v>
      </c>
      <c r="P155" s="279">
        <v>0</v>
      </c>
      <c r="Q155" s="279">
        <v>0</v>
      </c>
      <c r="R155" s="279">
        <v>0</v>
      </c>
      <c r="S155" s="279">
        <v>0</v>
      </c>
      <c r="T155" s="279">
        <v>0</v>
      </c>
      <c r="U155" s="279">
        <v>300000</v>
      </c>
      <c r="V155" s="125" t="s">
        <v>651</v>
      </c>
    </row>
    <row r="156" spans="1:23" ht="15" customHeight="1" x14ac:dyDescent="0.25">
      <c r="A156" s="125" t="s">
        <v>960</v>
      </c>
      <c r="B156" s="125" t="s">
        <v>1093</v>
      </c>
      <c r="C156" s="125" t="s">
        <v>1597</v>
      </c>
      <c r="D156" s="125" t="s">
        <v>658</v>
      </c>
      <c r="E156" s="125" t="s">
        <v>897</v>
      </c>
      <c r="F156" s="125" t="s">
        <v>654</v>
      </c>
      <c r="G156" s="279">
        <v>0</v>
      </c>
      <c r="H156" s="279">
        <v>0</v>
      </c>
      <c r="I156" s="279">
        <v>0</v>
      </c>
      <c r="J156" s="279">
        <v>0</v>
      </c>
      <c r="K156" s="279">
        <v>0</v>
      </c>
      <c r="L156" s="279">
        <v>0</v>
      </c>
      <c r="M156" s="279">
        <v>300000</v>
      </c>
      <c r="N156" s="279">
        <v>0</v>
      </c>
      <c r="O156" s="279">
        <v>0</v>
      </c>
      <c r="P156" s="279">
        <v>0</v>
      </c>
      <c r="Q156" s="279">
        <v>0</v>
      </c>
      <c r="R156" s="279">
        <v>0</v>
      </c>
      <c r="S156" s="279">
        <v>0</v>
      </c>
      <c r="T156" s="279">
        <v>0</v>
      </c>
      <c r="U156" s="279">
        <v>300000</v>
      </c>
      <c r="V156" s="125" t="s">
        <v>651</v>
      </c>
    </row>
    <row r="157" spans="1:23" ht="15" customHeight="1" x14ac:dyDescent="0.25">
      <c r="A157" s="125" t="s">
        <v>1270</v>
      </c>
      <c r="B157" s="125" t="s">
        <v>1270</v>
      </c>
      <c r="C157" s="125" t="s">
        <v>1658</v>
      </c>
      <c r="D157" s="125" t="s">
        <v>1659</v>
      </c>
      <c r="E157" s="125" t="s">
        <v>1660</v>
      </c>
      <c r="F157" s="125" t="s">
        <v>654</v>
      </c>
      <c r="G157" s="279">
        <v>0</v>
      </c>
      <c r="H157" s="279">
        <v>0</v>
      </c>
      <c r="I157" s="279">
        <v>0</v>
      </c>
      <c r="J157" s="279">
        <v>0</v>
      </c>
      <c r="K157" s="279">
        <v>0</v>
      </c>
      <c r="L157" s="279">
        <v>0</v>
      </c>
      <c r="M157" s="279">
        <v>600000</v>
      </c>
      <c r="N157" s="279">
        <v>0</v>
      </c>
      <c r="O157" s="279">
        <v>0</v>
      </c>
      <c r="P157" s="279">
        <v>0</v>
      </c>
      <c r="Q157" s="279">
        <v>0</v>
      </c>
      <c r="R157" s="279">
        <v>0</v>
      </c>
      <c r="S157" s="279">
        <v>0</v>
      </c>
      <c r="T157" s="279">
        <v>0</v>
      </c>
      <c r="U157" s="279">
        <v>600000</v>
      </c>
      <c r="V157" s="125" t="s">
        <v>665</v>
      </c>
    </row>
    <row r="158" spans="1:23" ht="15" customHeight="1" x14ac:dyDescent="0.25">
      <c r="A158" s="125" t="s">
        <v>1270</v>
      </c>
      <c r="B158" s="125" t="s">
        <v>1270</v>
      </c>
      <c r="C158" s="125" t="s">
        <v>1661</v>
      </c>
      <c r="D158" s="125" t="s">
        <v>1659</v>
      </c>
      <c r="E158" s="125" t="s">
        <v>1660</v>
      </c>
      <c r="F158" s="125" t="s">
        <v>654</v>
      </c>
      <c r="G158" s="279">
        <v>0</v>
      </c>
      <c r="H158" s="279">
        <v>0</v>
      </c>
      <c r="I158" s="279">
        <v>0</v>
      </c>
      <c r="J158" s="279">
        <v>0</v>
      </c>
      <c r="K158" s="279">
        <v>0</v>
      </c>
      <c r="L158" s="279">
        <v>0</v>
      </c>
      <c r="M158" s="279">
        <v>700000</v>
      </c>
      <c r="N158" s="279">
        <v>0</v>
      </c>
      <c r="O158" s="279">
        <v>0</v>
      </c>
      <c r="P158" s="279">
        <v>0</v>
      </c>
      <c r="Q158" s="279">
        <v>0</v>
      </c>
      <c r="R158" s="279">
        <v>0</v>
      </c>
      <c r="S158" s="279">
        <v>0</v>
      </c>
      <c r="T158" s="279">
        <v>0</v>
      </c>
      <c r="U158" s="279">
        <v>700000</v>
      </c>
      <c r="V158" s="125" t="s">
        <v>665</v>
      </c>
    </row>
    <row r="159" spans="1:23" ht="15" customHeight="1" x14ac:dyDescent="0.25">
      <c r="A159" s="125" t="s">
        <v>1311</v>
      </c>
      <c r="B159" s="125" t="s">
        <v>1311</v>
      </c>
      <c r="C159" s="125" t="s">
        <v>1762</v>
      </c>
      <c r="D159" s="125" t="s">
        <v>1763</v>
      </c>
      <c r="E159" s="125" t="s">
        <v>1764</v>
      </c>
      <c r="F159" s="125" t="s">
        <v>654</v>
      </c>
      <c r="G159" s="279">
        <v>0</v>
      </c>
      <c r="H159" s="279">
        <v>0</v>
      </c>
      <c r="I159" s="279">
        <v>0</v>
      </c>
      <c r="J159" s="279">
        <v>0</v>
      </c>
      <c r="K159" s="279">
        <v>0</v>
      </c>
      <c r="L159" s="279">
        <v>0</v>
      </c>
      <c r="M159" s="279">
        <v>170000</v>
      </c>
      <c r="N159" s="279">
        <v>0</v>
      </c>
      <c r="O159" s="279">
        <v>0</v>
      </c>
      <c r="P159" s="279">
        <v>0</v>
      </c>
      <c r="Q159" s="279">
        <v>0</v>
      </c>
      <c r="R159" s="279">
        <v>0</v>
      </c>
      <c r="S159" s="279">
        <v>0</v>
      </c>
      <c r="T159" s="279">
        <v>0</v>
      </c>
      <c r="U159" s="279">
        <v>170000</v>
      </c>
      <c r="V159" s="125" t="s">
        <v>651</v>
      </c>
    </row>
    <row r="160" spans="1:23" ht="15" customHeight="1" x14ac:dyDescent="0.25">
      <c r="A160" s="247">
        <v>45930</v>
      </c>
      <c r="B160" s="247">
        <v>45930</v>
      </c>
      <c r="C160" s="248" t="s">
        <v>647</v>
      </c>
      <c r="D160" s="248" t="s">
        <v>648</v>
      </c>
      <c r="E160" s="246"/>
      <c r="F160" s="246"/>
      <c r="G160" s="282"/>
      <c r="H160" s="282"/>
      <c r="I160" s="282"/>
      <c r="J160" s="282">
        <f>N160*100/21</f>
        <v>59218.285714285717</v>
      </c>
      <c r="K160" s="282"/>
      <c r="L160" s="282"/>
      <c r="M160" s="282"/>
      <c r="N160" s="282">
        <f>1410+11025.84</f>
        <v>12435.84</v>
      </c>
      <c r="O160" s="282"/>
      <c r="P160" s="282"/>
      <c r="Q160" s="282"/>
      <c r="R160" s="282"/>
      <c r="S160" s="282"/>
      <c r="T160" s="282"/>
      <c r="U160" s="282">
        <f>SUM(J160:T160)</f>
        <v>71654.125714285721</v>
      </c>
      <c r="V160" s="246"/>
      <c r="W160" s="285"/>
    </row>
    <row r="161" spans="1:23" ht="15" customHeight="1" x14ac:dyDescent="0.25">
      <c r="A161" s="247">
        <v>45930</v>
      </c>
      <c r="B161" s="247">
        <v>45930</v>
      </c>
      <c r="C161" s="248" t="s">
        <v>647</v>
      </c>
      <c r="D161" s="248" t="s">
        <v>649</v>
      </c>
      <c r="E161" s="246"/>
      <c r="F161" s="246"/>
      <c r="G161" s="282"/>
      <c r="H161" s="282"/>
      <c r="I161" s="282"/>
      <c r="J161" s="282">
        <f>N161*100/21</f>
        <v>41775</v>
      </c>
      <c r="K161" s="282"/>
      <c r="L161" s="282"/>
      <c r="M161" s="282"/>
      <c r="N161" s="282">
        <f>7722.75+1050</f>
        <v>8772.75</v>
      </c>
      <c r="O161" s="282"/>
      <c r="P161" s="282"/>
      <c r="Q161" s="282"/>
      <c r="R161" s="282"/>
      <c r="S161" s="282"/>
      <c r="T161" s="282"/>
      <c r="U161" s="282">
        <f>SUM(J161:T161)</f>
        <v>50547.75</v>
      </c>
      <c r="V161" s="246"/>
      <c r="W161" s="285"/>
    </row>
    <row r="162" spans="1:23" ht="15" customHeight="1" x14ac:dyDescent="0.25">
      <c r="A162" s="125" t="s">
        <v>1471</v>
      </c>
      <c r="B162" s="125" t="s">
        <v>1471</v>
      </c>
      <c r="C162" s="287" t="s">
        <v>1745</v>
      </c>
      <c r="D162" s="125" t="s">
        <v>577</v>
      </c>
      <c r="E162" s="125" t="s">
        <v>694</v>
      </c>
      <c r="F162" s="125" t="s">
        <v>650</v>
      </c>
      <c r="G162" s="279">
        <v>0</v>
      </c>
      <c r="H162" s="279">
        <v>0</v>
      </c>
      <c r="I162" s="279">
        <v>0</v>
      </c>
      <c r="J162" s="279">
        <v>-474914.86</v>
      </c>
      <c r="K162" s="279">
        <v>0</v>
      </c>
      <c r="L162" s="279">
        <v>0</v>
      </c>
      <c r="M162" s="279">
        <v>0</v>
      </c>
      <c r="N162" s="279">
        <v>-99732.12</v>
      </c>
      <c r="O162" s="279">
        <v>0</v>
      </c>
      <c r="P162" s="279">
        <v>0</v>
      </c>
      <c r="Q162" s="279">
        <v>0</v>
      </c>
      <c r="R162" s="279">
        <v>0</v>
      </c>
      <c r="S162" s="279">
        <v>0</v>
      </c>
      <c r="T162" s="279">
        <v>0</v>
      </c>
      <c r="U162" s="279">
        <v>-574646.98</v>
      </c>
      <c r="V162" s="125" t="s">
        <v>665</v>
      </c>
    </row>
    <row r="163" spans="1:23" ht="15" customHeight="1" x14ac:dyDescent="0.25">
      <c r="A163" s="125" t="s">
        <v>1164</v>
      </c>
      <c r="B163" s="125" t="s">
        <v>1164</v>
      </c>
      <c r="C163" s="287" t="s">
        <v>1737</v>
      </c>
      <c r="D163" s="125" t="s">
        <v>660</v>
      </c>
      <c r="E163" s="125" t="s">
        <v>681</v>
      </c>
      <c r="F163" s="125" t="s">
        <v>650</v>
      </c>
      <c r="G163" s="279">
        <v>0</v>
      </c>
      <c r="H163" s="279">
        <v>0</v>
      </c>
      <c r="I163" s="279">
        <v>0</v>
      </c>
      <c r="J163" s="279">
        <v>-13300</v>
      </c>
      <c r="K163" s="279">
        <v>0</v>
      </c>
      <c r="L163" s="279">
        <v>0</v>
      </c>
      <c r="M163" s="279">
        <v>0</v>
      </c>
      <c r="N163" s="279">
        <v>-2793</v>
      </c>
      <c r="O163" s="279">
        <v>0</v>
      </c>
      <c r="P163" s="279">
        <v>0</v>
      </c>
      <c r="Q163" s="279">
        <v>0</v>
      </c>
      <c r="R163" s="279">
        <v>0</v>
      </c>
      <c r="S163" s="279">
        <v>0</v>
      </c>
      <c r="T163" s="279">
        <v>0</v>
      </c>
      <c r="U163" s="279">
        <v>-16093</v>
      </c>
      <c r="V163" s="125" t="s">
        <v>651</v>
      </c>
    </row>
    <row r="164" spans="1:23" ht="15" customHeight="1" x14ac:dyDescent="0.25">
      <c r="A164" s="125" t="s">
        <v>1293</v>
      </c>
      <c r="B164" s="125" t="s">
        <v>1293</v>
      </c>
      <c r="C164" s="287" t="s">
        <v>1669</v>
      </c>
      <c r="D164" s="125" t="s">
        <v>659</v>
      </c>
      <c r="E164" s="125" t="s">
        <v>945</v>
      </c>
      <c r="F164" s="125" t="s">
        <v>650</v>
      </c>
      <c r="G164" s="279">
        <v>0</v>
      </c>
      <c r="H164" s="279">
        <v>0</v>
      </c>
      <c r="I164" s="279">
        <v>0</v>
      </c>
      <c r="J164" s="279">
        <v>-1600604</v>
      </c>
      <c r="K164" s="279">
        <v>0</v>
      </c>
      <c r="L164" s="279">
        <v>0</v>
      </c>
      <c r="M164" s="279">
        <v>0</v>
      </c>
      <c r="N164" s="279">
        <v>-336126.84</v>
      </c>
      <c r="O164" s="279">
        <v>0</v>
      </c>
      <c r="P164" s="279">
        <v>0</v>
      </c>
      <c r="Q164" s="279">
        <v>0</v>
      </c>
      <c r="R164" s="279">
        <v>0</v>
      </c>
      <c r="S164" s="279">
        <v>0</v>
      </c>
      <c r="T164" s="279">
        <v>0</v>
      </c>
      <c r="U164" s="279">
        <v>-1936730.84</v>
      </c>
      <c r="V164" s="125" t="s">
        <v>651</v>
      </c>
    </row>
    <row r="165" spans="1:23" ht="15" customHeight="1" x14ac:dyDescent="0.25">
      <c r="A165" s="125" t="s">
        <v>960</v>
      </c>
      <c r="B165" s="125" t="s">
        <v>960</v>
      </c>
      <c r="C165" s="287" t="s">
        <v>1734</v>
      </c>
      <c r="D165" s="125" t="s">
        <v>663</v>
      </c>
      <c r="E165" s="125" t="s">
        <v>901</v>
      </c>
      <c r="F165" s="125" t="s">
        <v>650</v>
      </c>
      <c r="G165" s="279">
        <v>0</v>
      </c>
      <c r="H165" s="279">
        <v>0</v>
      </c>
      <c r="I165" s="279">
        <v>0</v>
      </c>
      <c r="J165" s="279">
        <v>-2500000</v>
      </c>
      <c r="K165" s="279">
        <v>0</v>
      </c>
      <c r="L165" s="279">
        <v>0</v>
      </c>
      <c r="M165" s="279">
        <v>0</v>
      </c>
      <c r="N165" s="279">
        <v>-525000</v>
      </c>
      <c r="O165" s="279">
        <v>0</v>
      </c>
      <c r="P165" s="279">
        <v>0</v>
      </c>
      <c r="Q165" s="279">
        <v>0</v>
      </c>
      <c r="R165" s="279">
        <v>0</v>
      </c>
      <c r="S165" s="279">
        <v>0</v>
      </c>
      <c r="T165" s="279">
        <v>0</v>
      </c>
      <c r="U165" s="279">
        <v>-3025000</v>
      </c>
      <c r="V165" s="125" t="s">
        <v>651</v>
      </c>
    </row>
    <row r="166" spans="1:23" ht="15" customHeight="1" x14ac:dyDescent="0.25">
      <c r="A166" s="125" t="s">
        <v>1041</v>
      </c>
      <c r="B166" s="125" t="s">
        <v>1041</v>
      </c>
      <c r="C166" s="287" t="s">
        <v>1574</v>
      </c>
      <c r="D166" s="125" t="s">
        <v>663</v>
      </c>
      <c r="E166" s="125" t="s">
        <v>901</v>
      </c>
      <c r="F166" s="125" t="s">
        <v>650</v>
      </c>
      <c r="G166" s="279">
        <v>0</v>
      </c>
      <c r="H166" s="279">
        <v>0</v>
      </c>
      <c r="I166" s="279">
        <v>0</v>
      </c>
      <c r="J166" s="279">
        <v>-125000</v>
      </c>
      <c r="K166" s="279">
        <v>0</v>
      </c>
      <c r="L166" s="279">
        <v>0</v>
      </c>
      <c r="M166" s="279">
        <v>0</v>
      </c>
      <c r="N166" s="279">
        <v>-26250</v>
      </c>
      <c r="O166" s="279">
        <v>0</v>
      </c>
      <c r="P166" s="279">
        <v>0</v>
      </c>
      <c r="Q166" s="279">
        <v>0</v>
      </c>
      <c r="R166" s="279">
        <v>0</v>
      </c>
      <c r="S166" s="279">
        <v>0</v>
      </c>
      <c r="T166" s="279">
        <v>0</v>
      </c>
      <c r="U166" s="279">
        <v>-151250</v>
      </c>
      <c r="V166" s="125" t="s">
        <v>651</v>
      </c>
    </row>
    <row r="167" spans="1:23" ht="15" customHeight="1" x14ac:dyDescent="0.25">
      <c r="A167" s="125" t="s">
        <v>960</v>
      </c>
      <c r="B167" s="125" t="s">
        <v>960</v>
      </c>
      <c r="C167" s="287" t="s">
        <v>1567</v>
      </c>
      <c r="D167" s="125" t="s">
        <v>452</v>
      </c>
      <c r="E167" s="125" t="s">
        <v>918</v>
      </c>
      <c r="F167" s="125" t="s">
        <v>650</v>
      </c>
      <c r="G167" s="279">
        <v>0</v>
      </c>
      <c r="H167" s="279">
        <v>0</v>
      </c>
      <c r="I167" s="279">
        <v>0</v>
      </c>
      <c r="J167" s="279">
        <v>-137991</v>
      </c>
      <c r="K167" s="279">
        <v>0</v>
      </c>
      <c r="L167" s="279">
        <v>0</v>
      </c>
      <c r="M167" s="279">
        <v>0</v>
      </c>
      <c r="N167" s="279">
        <v>-28978.11</v>
      </c>
      <c r="O167" s="279">
        <v>0</v>
      </c>
      <c r="P167" s="279">
        <v>0</v>
      </c>
      <c r="Q167" s="279">
        <v>0</v>
      </c>
      <c r="R167" s="279">
        <v>0</v>
      </c>
      <c r="S167" s="279">
        <v>0</v>
      </c>
      <c r="T167" s="279">
        <v>0</v>
      </c>
      <c r="U167" s="279">
        <v>-166969.10999999999</v>
      </c>
      <c r="V167" s="125" t="s">
        <v>651</v>
      </c>
    </row>
    <row r="168" spans="1:23" ht="15" customHeight="1" x14ac:dyDescent="0.25">
      <c r="A168" s="125" t="s">
        <v>1471</v>
      </c>
      <c r="B168" s="125" t="s">
        <v>1471</v>
      </c>
      <c r="C168" s="287" t="s">
        <v>1774</v>
      </c>
      <c r="D168" s="125" t="s">
        <v>757</v>
      </c>
      <c r="E168" s="125" t="s">
        <v>1772</v>
      </c>
      <c r="F168" s="125" t="s">
        <v>650</v>
      </c>
      <c r="G168" s="279">
        <v>0</v>
      </c>
      <c r="H168" s="279">
        <v>0</v>
      </c>
      <c r="I168" s="279">
        <v>0</v>
      </c>
      <c r="J168" s="279">
        <v>-1626.45</v>
      </c>
      <c r="K168" s="279">
        <v>0</v>
      </c>
      <c r="L168" s="279">
        <v>0</v>
      </c>
      <c r="M168" s="279">
        <v>0</v>
      </c>
      <c r="N168" s="279">
        <v>-341.55</v>
      </c>
      <c r="O168" s="279">
        <v>0</v>
      </c>
      <c r="P168" s="279">
        <v>0</v>
      </c>
      <c r="Q168" s="279">
        <v>0</v>
      </c>
      <c r="R168" s="279">
        <v>0</v>
      </c>
      <c r="S168" s="279">
        <v>-48.79</v>
      </c>
      <c r="T168" s="279">
        <v>0</v>
      </c>
      <c r="U168" s="279">
        <v>-2016.79</v>
      </c>
      <c r="V168" s="125" t="s">
        <v>655</v>
      </c>
    </row>
    <row r="169" spans="1:23" ht="15" customHeight="1" x14ac:dyDescent="0.25">
      <c r="A169" s="125" t="s">
        <v>1514</v>
      </c>
      <c r="B169" s="125" t="s">
        <v>1514</v>
      </c>
      <c r="C169" s="287" t="s">
        <v>1755</v>
      </c>
      <c r="D169" s="125" t="s">
        <v>1752</v>
      </c>
      <c r="E169" s="125" t="s">
        <v>1753</v>
      </c>
      <c r="F169" s="125" t="s">
        <v>650</v>
      </c>
      <c r="G169" s="279">
        <v>0</v>
      </c>
      <c r="H169" s="279">
        <v>0</v>
      </c>
      <c r="I169" s="279">
        <v>0</v>
      </c>
      <c r="J169" s="279">
        <v>-315000</v>
      </c>
      <c r="K169" s="279">
        <v>0</v>
      </c>
      <c r="L169" s="279">
        <v>0</v>
      </c>
      <c r="M169" s="279">
        <v>0</v>
      </c>
      <c r="N169" s="279">
        <v>-66150</v>
      </c>
      <c r="O169" s="279">
        <v>0</v>
      </c>
      <c r="P169" s="279">
        <v>0</v>
      </c>
      <c r="Q169" s="279">
        <v>0</v>
      </c>
      <c r="R169" s="279">
        <v>0</v>
      </c>
      <c r="S169" s="279">
        <v>0</v>
      </c>
      <c r="T169" s="279">
        <v>0</v>
      </c>
      <c r="U169" s="279">
        <v>-381150</v>
      </c>
      <c r="V169" s="125" t="s">
        <v>651</v>
      </c>
    </row>
    <row r="170" spans="1:23" ht="15" customHeight="1" x14ac:dyDescent="0.25">
      <c r="A170" s="286">
        <v>45960</v>
      </c>
      <c r="B170" s="125"/>
      <c r="C170" s="287" t="s">
        <v>1787</v>
      </c>
      <c r="D170" s="125" t="s">
        <v>758</v>
      </c>
      <c r="E170" s="125">
        <v>30620177497</v>
      </c>
      <c r="F170" s="125"/>
      <c r="G170" s="279"/>
      <c r="H170" s="279"/>
      <c r="I170" s="279"/>
      <c r="J170" s="279">
        <v>0</v>
      </c>
      <c r="K170" s="279"/>
      <c r="L170" s="279"/>
      <c r="M170" s="279">
        <v>0</v>
      </c>
      <c r="N170" s="279"/>
      <c r="O170" s="279"/>
      <c r="P170" s="279"/>
      <c r="Q170" s="279"/>
      <c r="R170" s="279"/>
      <c r="S170" s="279"/>
      <c r="T170" s="279"/>
      <c r="U170" s="279">
        <v>0</v>
      </c>
      <c r="V170" s="125"/>
    </row>
    <row r="171" spans="1:23" ht="15" customHeight="1" x14ac:dyDescent="0.25">
      <c r="A171" s="125" t="s">
        <v>1401</v>
      </c>
      <c r="B171" s="125" t="s">
        <v>1401</v>
      </c>
      <c r="C171" s="125" t="s">
        <v>1694</v>
      </c>
      <c r="D171" s="125" t="s">
        <v>674</v>
      </c>
      <c r="E171" s="125" t="s">
        <v>900</v>
      </c>
      <c r="F171" s="125" t="s">
        <v>654</v>
      </c>
      <c r="G171" s="279">
        <v>0</v>
      </c>
      <c r="H171" s="279">
        <v>0</v>
      </c>
      <c r="I171" s="279">
        <v>0</v>
      </c>
      <c r="J171" s="279">
        <v>0</v>
      </c>
      <c r="K171" s="279">
        <v>0</v>
      </c>
      <c r="L171" s="279">
        <v>0</v>
      </c>
      <c r="M171" s="279">
        <v>-300000</v>
      </c>
      <c r="N171" s="279">
        <v>0</v>
      </c>
      <c r="O171" s="279">
        <v>0</v>
      </c>
      <c r="P171" s="279">
        <v>0</v>
      </c>
      <c r="Q171" s="279">
        <v>0</v>
      </c>
      <c r="R171" s="279">
        <v>0</v>
      </c>
      <c r="S171" s="279">
        <v>0</v>
      </c>
      <c r="T171" s="279">
        <v>0</v>
      </c>
      <c r="U171" s="279">
        <v>-300000</v>
      </c>
      <c r="V171" s="125" t="s">
        <v>655</v>
      </c>
    </row>
    <row r="172" spans="1:23" ht="15" customHeight="1" x14ac:dyDescent="0.25">
      <c r="A172" s="125" t="s">
        <v>960</v>
      </c>
      <c r="B172" s="125" t="s">
        <v>960</v>
      </c>
      <c r="C172" s="125" t="s">
        <v>1570</v>
      </c>
      <c r="D172" s="125" t="s">
        <v>658</v>
      </c>
      <c r="E172" s="125" t="s">
        <v>897</v>
      </c>
      <c r="F172" s="125" t="s">
        <v>654</v>
      </c>
      <c r="G172" s="279">
        <v>0</v>
      </c>
      <c r="H172" s="279">
        <v>0</v>
      </c>
      <c r="I172" s="279">
        <v>0</v>
      </c>
      <c r="J172" s="279">
        <v>0</v>
      </c>
      <c r="K172" s="279">
        <v>0</v>
      </c>
      <c r="L172" s="279">
        <v>0</v>
      </c>
      <c r="M172" s="279">
        <v>-300000</v>
      </c>
      <c r="N172" s="279">
        <v>0</v>
      </c>
      <c r="O172" s="279">
        <v>0</v>
      </c>
      <c r="P172" s="279">
        <v>0</v>
      </c>
      <c r="Q172" s="279">
        <v>0</v>
      </c>
      <c r="R172" s="279">
        <v>0</v>
      </c>
      <c r="S172" s="279">
        <v>0</v>
      </c>
      <c r="T172" s="279">
        <v>0</v>
      </c>
      <c r="U172" s="279">
        <v>-300000</v>
      </c>
      <c r="V172" s="125" t="s">
        <v>651</v>
      </c>
    </row>
    <row r="173" spans="1:23" ht="15" customHeight="1" x14ac:dyDescent="0.25">
      <c r="A173" s="286">
        <v>45947</v>
      </c>
      <c r="B173" s="279"/>
      <c r="C173" s="279" t="s">
        <v>1793</v>
      </c>
      <c r="D173" s="279" t="s">
        <v>1794</v>
      </c>
      <c r="E173" s="292">
        <v>30716815710</v>
      </c>
      <c r="F173" s="279"/>
      <c r="G173" s="279"/>
      <c r="H173" s="279"/>
      <c r="I173" s="279"/>
      <c r="J173" s="279">
        <v>7750</v>
      </c>
      <c r="K173" s="279"/>
      <c r="L173" s="279"/>
      <c r="M173" s="279"/>
      <c r="N173" s="279">
        <f>J173*0.21</f>
        <v>1627.5</v>
      </c>
      <c r="O173" s="279"/>
      <c r="P173" s="279"/>
      <c r="Q173" s="279"/>
      <c r="R173" s="279"/>
      <c r="S173" s="279"/>
      <c r="T173" s="279"/>
      <c r="U173" s="279">
        <f>SUM(J173:T173)</f>
        <v>9377.5</v>
      </c>
      <c r="V173" s="291"/>
    </row>
    <row r="174" spans="1:23" ht="15" customHeight="1" x14ac:dyDescent="0.25">
      <c r="A174" s="286">
        <v>45931</v>
      </c>
      <c r="B174" s="279"/>
      <c r="C174" s="279" t="s">
        <v>1795</v>
      </c>
      <c r="D174" s="279" t="s">
        <v>1794</v>
      </c>
      <c r="E174" s="292">
        <v>30716815710</v>
      </c>
      <c r="F174" s="279"/>
      <c r="G174" s="279"/>
      <c r="H174" s="279"/>
      <c r="I174" s="279"/>
      <c r="J174" s="279">
        <v>14000</v>
      </c>
      <c r="K174" s="279"/>
      <c r="L174" s="279"/>
      <c r="M174" s="279"/>
      <c r="N174" s="279">
        <f>J174*0.21</f>
        <v>2940</v>
      </c>
      <c r="O174" s="279"/>
      <c r="P174" s="279"/>
      <c r="Q174" s="279"/>
      <c r="R174" s="279"/>
      <c r="S174" s="279"/>
      <c r="T174" s="279"/>
      <c r="U174" s="279">
        <f>SUM(J174:T174)</f>
        <v>16940</v>
      </c>
      <c r="V174" s="291"/>
    </row>
    <row r="175" spans="1:23" ht="15" customHeight="1" x14ac:dyDescent="0.25">
      <c r="A175" s="286">
        <v>45952</v>
      </c>
      <c r="B175" s="279"/>
      <c r="C175" s="279" t="s">
        <v>1796</v>
      </c>
      <c r="D175" s="279" t="s">
        <v>1797</v>
      </c>
      <c r="E175" s="292">
        <v>30572234300</v>
      </c>
      <c r="F175" s="279"/>
      <c r="G175" s="279"/>
      <c r="H175" s="279"/>
      <c r="I175" s="279"/>
      <c r="J175" s="279">
        <v>46363.1</v>
      </c>
      <c r="K175" s="279"/>
      <c r="L175" s="279"/>
      <c r="M175" s="279"/>
      <c r="N175" s="293">
        <f>J175*0.21</f>
        <v>9736.2510000000002</v>
      </c>
      <c r="O175" s="279"/>
      <c r="P175" s="279"/>
      <c r="Q175" s="279"/>
      <c r="R175" s="279">
        <v>11930.68</v>
      </c>
      <c r="S175" s="279"/>
      <c r="T175" s="279"/>
      <c r="U175" s="279">
        <f>SUM(J175:T175)</f>
        <v>68030.030999999988</v>
      </c>
      <c r="V175" s="291"/>
    </row>
    <row r="176" spans="1:23" ht="15" customHeight="1" x14ac:dyDescent="0.25">
      <c r="A176" s="286">
        <v>2.2999999999999998</v>
      </c>
      <c r="B176" s="279"/>
      <c r="C176" s="279" t="s">
        <v>1798</v>
      </c>
      <c r="D176" s="279" t="s">
        <v>1799</v>
      </c>
      <c r="E176" s="292">
        <v>33715594949</v>
      </c>
      <c r="F176" s="279"/>
      <c r="G176" s="279"/>
      <c r="H176" s="279"/>
      <c r="I176" s="279"/>
      <c r="J176" s="279">
        <v>71790.19</v>
      </c>
      <c r="K176" s="279"/>
      <c r="L176" s="279"/>
      <c r="M176" s="279"/>
      <c r="N176" s="293">
        <f>J176*0.21</f>
        <v>15075.939899999999</v>
      </c>
      <c r="O176" s="279"/>
      <c r="P176" s="279"/>
      <c r="Q176" s="279"/>
      <c r="R176" s="279">
        <v>10003.709999999999</v>
      </c>
      <c r="S176" s="279"/>
      <c r="T176" s="279">
        <v>1140.19</v>
      </c>
      <c r="U176" s="279">
        <f>SUM(J176:T176)</f>
        <v>98010.029899999994</v>
      </c>
      <c r="V176" s="291"/>
    </row>
    <row r="177" spans="7:21" ht="15" customHeight="1" x14ac:dyDescent="0.25">
      <c r="G177" s="279">
        <f>SUM(G2:G172)</f>
        <v>0</v>
      </c>
      <c r="H177" s="279">
        <f>SUM(H2:H172)</f>
        <v>0</v>
      </c>
      <c r="I177" s="283">
        <f t="shared" ref="I177:M177" si="0">SUM(I2:I176)</f>
        <v>1963735.6300000001</v>
      </c>
      <c r="J177" s="283">
        <f t="shared" si="0"/>
        <v>49452836.815714285</v>
      </c>
      <c r="K177" s="283">
        <f t="shared" si="0"/>
        <v>119129.8</v>
      </c>
      <c r="L177" s="283">
        <f t="shared" si="0"/>
        <v>56250.509999999995</v>
      </c>
      <c r="M177" s="283">
        <f t="shared" si="0"/>
        <v>16905810</v>
      </c>
      <c r="N177" s="283">
        <f>SUM(N2:N176)</f>
        <v>10623453.060900001</v>
      </c>
      <c r="O177" s="283">
        <f t="shared" ref="O177:U177" si="1">SUM(O2:O176)</f>
        <v>58055.9</v>
      </c>
      <c r="P177" s="283">
        <f t="shared" si="1"/>
        <v>0</v>
      </c>
      <c r="Q177" s="283">
        <f t="shared" si="1"/>
        <v>0</v>
      </c>
      <c r="R177" s="283">
        <f t="shared" si="1"/>
        <v>100280.56000000003</v>
      </c>
      <c r="S177" s="283">
        <f t="shared" si="1"/>
        <v>16630.899999999998</v>
      </c>
      <c r="T177" s="283">
        <f t="shared" si="1"/>
        <v>106104.58000000003</v>
      </c>
      <c r="U177" s="283">
        <f t="shared" si="1"/>
        <v>79402287.756614283</v>
      </c>
    </row>
    <row r="182" spans="7:21" ht="15" customHeight="1" x14ac:dyDescent="0.25">
      <c r="K182" s="279"/>
      <c r="L182" s="279" t="s">
        <v>1790</v>
      </c>
      <c r="M182" s="279" t="s">
        <v>1792</v>
      </c>
      <c r="N182" s="279" t="s">
        <v>1791</v>
      </c>
    </row>
    <row r="183" spans="7:21" ht="15" customHeight="1" x14ac:dyDescent="0.25">
      <c r="K183" s="279" t="s">
        <v>602</v>
      </c>
      <c r="L183" s="279">
        <f>J177</f>
        <v>49452836.815714285</v>
      </c>
      <c r="M183" s="279">
        <f>K177</f>
        <v>119129.8</v>
      </c>
      <c r="N183" s="279">
        <f>I177</f>
        <v>1963735.6300000001</v>
      </c>
    </row>
    <row r="184" spans="7:21" ht="15" customHeight="1" x14ac:dyDescent="0.25">
      <c r="K184" s="279" t="s">
        <v>612</v>
      </c>
      <c r="L184" s="279">
        <f>L183*0.21</f>
        <v>10385095.7313</v>
      </c>
      <c r="M184" s="279">
        <f>M183*0.27</f>
        <v>32165.046000000002</v>
      </c>
      <c r="N184" s="279">
        <f>N183*0.105</f>
        <v>206192.24115000002</v>
      </c>
    </row>
    <row r="185" spans="7:21" ht="15" customHeight="1" x14ac:dyDescent="0.25">
      <c r="K185" s="279" t="s">
        <v>1788</v>
      </c>
      <c r="L185" s="288">
        <f>SUM(L183:N183)</f>
        <v>51535702.245714284</v>
      </c>
      <c r="M185" s="289"/>
      <c r="N185" s="290"/>
    </row>
    <row r="186" spans="7:21" ht="15" customHeight="1" x14ac:dyDescent="0.25">
      <c r="K186" s="279" t="s">
        <v>1789</v>
      </c>
      <c r="L186" s="288">
        <f>SUM(L184:N184)</f>
        <v>10623453.018449999</v>
      </c>
      <c r="M186" s="289"/>
      <c r="N186" s="290"/>
    </row>
  </sheetData>
  <autoFilter ref="A1:W177" xr:uid="{00000000-0001-0000-0400-000000000000}">
    <sortState xmlns:xlrd2="http://schemas.microsoft.com/office/spreadsheetml/2017/richdata2" ref="A2:W177">
      <sortCondition ref="C1:C177"/>
    </sortState>
  </autoFilter>
  <sortState xmlns:xlrd2="http://schemas.microsoft.com/office/spreadsheetml/2017/richdata2" ref="A9:X19">
    <sortCondition ref="D9:D19"/>
  </sortState>
  <mergeCells count="2">
    <mergeCell ref="L185:N185"/>
    <mergeCell ref="L186:N186"/>
  </mergeCells>
  <phoneticPr fontId="67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2:AE162"/>
  <sheetViews>
    <sheetView workbookViewId="0">
      <selection activeCell="I138" sqref="I138"/>
    </sheetView>
  </sheetViews>
  <sheetFormatPr baseColWidth="10" defaultRowHeight="15" x14ac:dyDescent="0.25"/>
  <cols>
    <col min="2" max="2" width="14.140625" customWidth="1"/>
    <col min="3" max="3" width="8.7109375" customWidth="1"/>
    <col min="4" max="4" width="4.42578125" customWidth="1"/>
    <col min="6" max="6" width="2.85546875" customWidth="1"/>
    <col min="7" max="7" width="8" customWidth="1"/>
    <col min="8" max="8" width="16.42578125" customWidth="1"/>
    <col min="9" max="9" width="35" customWidth="1"/>
    <col min="10" max="10" width="2.85546875" customWidth="1"/>
    <col min="11" max="11" width="3.85546875" customWidth="1"/>
    <col min="12" max="12" width="6.28515625" customWidth="1"/>
    <col min="13" max="13" width="5.5703125" customWidth="1"/>
    <col min="14" max="14" width="3.7109375" customWidth="1"/>
    <col min="15" max="15" width="5.28515625" customWidth="1"/>
    <col min="16" max="16" width="4.140625" customWidth="1"/>
    <col min="17" max="17" width="3.5703125" customWidth="1"/>
    <col min="18" max="18" width="2.7109375" customWidth="1"/>
    <col min="19" max="19" width="4.28515625" customWidth="1"/>
    <col min="20" max="20" width="4.5703125" customWidth="1"/>
    <col min="23" max="23" width="6.140625" customWidth="1"/>
    <col min="24" max="24" width="6.28515625" customWidth="1"/>
    <col min="26" max="26" width="5" customWidth="1"/>
    <col min="27" max="27" width="6.7109375" customWidth="1"/>
    <col min="28" max="28" width="7.5703125" customWidth="1"/>
    <col min="29" max="29" width="13" bestFit="1" customWidth="1"/>
  </cols>
  <sheetData>
    <row r="2" spans="1:31" x14ac:dyDescent="0.25">
      <c r="B2" s="252" t="s">
        <v>1561</v>
      </c>
      <c r="H2" s="125" t="s">
        <v>957</v>
      </c>
      <c r="I2" s="125">
        <v>118</v>
      </c>
    </row>
    <row r="3" spans="1:31" x14ac:dyDescent="0.25">
      <c r="B3" s="255" t="s">
        <v>1562</v>
      </c>
      <c r="H3" s="125" t="s">
        <v>1560</v>
      </c>
      <c r="I3" s="125">
        <v>8</v>
      </c>
      <c r="L3">
        <v>8</v>
      </c>
    </row>
    <row r="4" spans="1:31" x14ac:dyDescent="0.25">
      <c r="H4" s="125" t="s">
        <v>958</v>
      </c>
      <c r="I4" s="125">
        <v>25</v>
      </c>
      <c r="L4">
        <v>25</v>
      </c>
    </row>
    <row r="5" spans="1:31" x14ac:dyDescent="0.25">
      <c r="H5" s="125" t="s">
        <v>1559</v>
      </c>
      <c r="I5" s="125">
        <v>2</v>
      </c>
      <c r="L5">
        <v>2</v>
      </c>
    </row>
    <row r="6" spans="1:31" x14ac:dyDescent="0.25">
      <c r="H6" s="249" t="s">
        <v>959</v>
      </c>
      <c r="I6" s="249">
        <f>SUBTOTAL(9,I2:I5)</f>
        <v>153</v>
      </c>
    </row>
    <row r="7" spans="1:31" x14ac:dyDescent="0.25">
      <c r="H7" s="260" t="s">
        <v>1732</v>
      </c>
      <c r="I7" s="261">
        <v>149</v>
      </c>
    </row>
    <row r="9" spans="1:31" x14ac:dyDescent="0.25">
      <c r="A9" s="244" t="s">
        <v>712</v>
      </c>
      <c r="B9" s="244" t="s">
        <v>726</v>
      </c>
      <c r="C9" s="244" t="s">
        <v>727</v>
      </c>
      <c r="D9" s="244" t="s">
        <v>728</v>
      </c>
      <c r="E9" s="244" t="s">
        <v>729</v>
      </c>
      <c r="F9" s="244" t="s">
        <v>730</v>
      </c>
      <c r="G9" s="244" t="s">
        <v>731</v>
      </c>
      <c r="H9" s="244" t="s">
        <v>732</v>
      </c>
      <c r="I9" s="244" t="s">
        <v>733</v>
      </c>
      <c r="J9" s="244" t="s">
        <v>929</v>
      </c>
      <c r="K9" s="244" t="s">
        <v>930</v>
      </c>
      <c r="L9" s="244" t="s">
        <v>734</v>
      </c>
      <c r="M9" s="244" t="s">
        <v>735</v>
      </c>
      <c r="N9" s="244" t="s">
        <v>931</v>
      </c>
      <c r="O9" s="244" t="s">
        <v>932</v>
      </c>
      <c r="P9" s="244" t="s">
        <v>933</v>
      </c>
      <c r="Q9" s="244" t="s">
        <v>934</v>
      </c>
      <c r="R9" s="244" t="s">
        <v>935</v>
      </c>
      <c r="S9" s="244" t="s">
        <v>605</v>
      </c>
      <c r="T9" s="244" t="s">
        <v>936</v>
      </c>
      <c r="U9" s="244" t="s">
        <v>603</v>
      </c>
      <c r="V9" s="244" t="s">
        <v>937</v>
      </c>
      <c r="W9" s="244" t="s">
        <v>604</v>
      </c>
      <c r="X9" s="244" t="s">
        <v>938</v>
      </c>
      <c r="Y9" s="244" t="s">
        <v>939</v>
      </c>
      <c r="Z9" s="244" t="s">
        <v>940</v>
      </c>
      <c r="AA9" s="244" t="s">
        <v>941</v>
      </c>
      <c r="AB9" s="244" t="s">
        <v>736</v>
      </c>
      <c r="AC9" s="244" t="s">
        <v>789</v>
      </c>
      <c r="AD9" s="244" t="s">
        <v>737</v>
      </c>
      <c r="AE9" s="244" t="s">
        <v>1756</v>
      </c>
    </row>
    <row r="10" spans="1:31" hidden="1" x14ac:dyDescent="0.25">
      <c r="A10" s="246" t="s">
        <v>960</v>
      </c>
      <c r="B10" s="246" t="s">
        <v>738</v>
      </c>
      <c r="C10" s="253">
        <v>500</v>
      </c>
      <c r="D10" s="253">
        <v>1791477</v>
      </c>
      <c r="E10" s="253">
        <v>1791477</v>
      </c>
      <c r="F10" s="253">
        <v>75397766663182</v>
      </c>
      <c r="G10" s="246" t="s">
        <v>0</v>
      </c>
      <c r="H10" s="253">
        <v>30654118767</v>
      </c>
      <c r="I10" s="246" t="s">
        <v>741</v>
      </c>
      <c r="J10" s="246" t="s">
        <v>0</v>
      </c>
      <c r="K10" s="253">
        <v>30710473168</v>
      </c>
      <c r="L10" s="253">
        <v>1</v>
      </c>
      <c r="M10" s="246" t="s">
        <v>740</v>
      </c>
      <c r="N10" s="246"/>
      <c r="O10" s="246"/>
      <c r="P10" s="246"/>
      <c r="Q10" s="246"/>
      <c r="R10" s="246"/>
      <c r="S10" s="246"/>
      <c r="T10" s="246"/>
      <c r="U10" s="253">
        <v>34781</v>
      </c>
      <c r="V10" s="254">
        <v>165623.79</v>
      </c>
      <c r="W10" s="246"/>
      <c r="X10" s="246"/>
      <c r="Y10" s="254">
        <v>165623.79</v>
      </c>
      <c r="Z10" s="253">
        <v>0</v>
      </c>
      <c r="AA10" s="253">
        <v>0</v>
      </c>
      <c r="AB10" s="254">
        <v>6624.95</v>
      </c>
      <c r="AC10" s="253">
        <v>34781</v>
      </c>
      <c r="AD10" s="254">
        <v>207029.74</v>
      </c>
    </row>
    <row r="11" spans="1:31" hidden="1" x14ac:dyDescent="0.25">
      <c r="A11" s="246" t="s">
        <v>960</v>
      </c>
      <c r="B11" s="246" t="s">
        <v>738</v>
      </c>
      <c r="C11" s="253">
        <v>2059</v>
      </c>
      <c r="D11" s="253">
        <v>34131</v>
      </c>
      <c r="E11" s="253">
        <v>34131</v>
      </c>
      <c r="F11" s="253">
        <v>75406205517570</v>
      </c>
      <c r="G11" s="246" t="s">
        <v>0</v>
      </c>
      <c r="H11" s="253">
        <v>30548083156</v>
      </c>
      <c r="I11" s="246" t="s">
        <v>739</v>
      </c>
      <c r="J11" s="246" t="s">
        <v>0</v>
      </c>
      <c r="K11" s="253">
        <v>30710473168</v>
      </c>
      <c r="L11" s="253">
        <v>1</v>
      </c>
      <c r="M11" s="246" t="s">
        <v>740</v>
      </c>
      <c r="N11" s="246"/>
      <c r="O11" s="246"/>
      <c r="P11" s="246"/>
      <c r="Q11" s="246"/>
      <c r="R11" s="246"/>
      <c r="S11" s="246"/>
      <c r="T11" s="246"/>
      <c r="U11" s="254">
        <v>1150.8800000000001</v>
      </c>
      <c r="V11" s="254">
        <v>5480.36</v>
      </c>
      <c r="W11" s="246"/>
      <c r="X11" s="246"/>
      <c r="Y11" s="254">
        <v>5480.36</v>
      </c>
      <c r="Z11" s="253">
        <v>0</v>
      </c>
      <c r="AA11" s="253">
        <v>0</v>
      </c>
      <c r="AB11" s="254">
        <v>383.62</v>
      </c>
      <c r="AC11" s="254">
        <v>1150.8800000000001</v>
      </c>
      <c r="AD11" s="254">
        <v>7014.86</v>
      </c>
    </row>
    <row r="12" spans="1:31" hidden="1" x14ac:dyDescent="0.25">
      <c r="A12" s="125" t="s">
        <v>960</v>
      </c>
      <c r="B12" s="125" t="s">
        <v>738</v>
      </c>
      <c r="C12" s="242">
        <v>5</v>
      </c>
      <c r="D12" s="242">
        <v>1679</v>
      </c>
      <c r="E12" s="253">
        <v>1679</v>
      </c>
      <c r="F12" s="253">
        <v>75405209208340</v>
      </c>
      <c r="G12" s="246" t="s">
        <v>0</v>
      </c>
      <c r="H12" s="253">
        <v>27265302225</v>
      </c>
      <c r="I12" s="246" t="s">
        <v>409</v>
      </c>
      <c r="J12" s="125" t="s">
        <v>0</v>
      </c>
      <c r="K12" s="242">
        <v>30710473168</v>
      </c>
      <c r="L12" s="242">
        <v>1</v>
      </c>
      <c r="M12" s="125" t="s">
        <v>740</v>
      </c>
      <c r="N12" s="125"/>
      <c r="O12" s="125"/>
      <c r="P12" s="125"/>
      <c r="Q12" s="125"/>
      <c r="R12" s="125"/>
      <c r="S12" s="125"/>
      <c r="T12" s="125"/>
      <c r="U12" s="242">
        <v>26250</v>
      </c>
      <c r="V12" s="242">
        <v>125000</v>
      </c>
      <c r="W12" s="125"/>
      <c r="X12" s="125"/>
      <c r="Y12" s="242">
        <v>125000</v>
      </c>
      <c r="Z12" s="242">
        <v>0</v>
      </c>
      <c r="AA12" s="242">
        <v>0</v>
      </c>
      <c r="AB12" s="242">
        <v>0</v>
      </c>
      <c r="AC12" s="242">
        <v>26250</v>
      </c>
      <c r="AD12" s="242">
        <v>151250</v>
      </c>
    </row>
    <row r="13" spans="1:31" hidden="1" x14ac:dyDescent="0.25">
      <c r="A13" s="246" t="s">
        <v>960</v>
      </c>
      <c r="B13" s="246" t="s">
        <v>738</v>
      </c>
      <c r="C13" s="253">
        <v>1</v>
      </c>
      <c r="D13" s="253">
        <v>140551</v>
      </c>
      <c r="E13" s="253">
        <v>140551</v>
      </c>
      <c r="F13" s="253">
        <v>75409140621749</v>
      </c>
      <c r="G13" s="246" t="s">
        <v>0</v>
      </c>
      <c r="H13" s="253">
        <v>30714864269</v>
      </c>
      <c r="I13" s="246" t="s">
        <v>759</v>
      </c>
      <c r="J13" s="246" t="s">
        <v>0</v>
      </c>
      <c r="K13" s="253">
        <v>30710473168</v>
      </c>
      <c r="L13" s="253">
        <v>1</v>
      </c>
      <c r="M13" s="246" t="s">
        <v>740</v>
      </c>
      <c r="N13" s="246"/>
      <c r="O13" s="246"/>
      <c r="P13" s="246"/>
      <c r="Q13" s="246"/>
      <c r="R13" s="246"/>
      <c r="S13" s="246"/>
      <c r="T13" s="246"/>
      <c r="U13" s="253">
        <v>38808</v>
      </c>
      <c r="V13" s="253">
        <v>184800</v>
      </c>
      <c r="W13" s="246"/>
      <c r="X13" s="246"/>
      <c r="Y13" s="253">
        <v>184800</v>
      </c>
      <c r="Z13" s="253">
        <v>0</v>
      </c>
      <c r="AA13" s="253">
        <v>0</v>
      </c>
      <c r="AB13" s="253">
        <v>0</v>
      </c>
      <c r="AC13" s="253">
        <v>38808</v>
      </c>
      <c r="AD13" s="253">
        <v>223608</v>
      </c>
    </row>
    <row r="14" spans="1:31" hidden="1" x14ac:dyDescent="0.25">
      <c r="A14" s="125" t="s">
        <v>960</v>
      </c>
      <c r="B14" s="125" t="s">
        <v>738</v>
      </c>
      <c r="C14" s="242">
        <v>5</v>
      </c>
      <c r="D14" s="242">
        <v>1680</v>
      </c>
      <c r="E14" s="253">
        <v>1680</v>
      </c>
      <c r="F14" s="253">
        <v>75405214018996</v>
      </c>
      <c r="G14" s="246" t="s">
        <v>0</v>
      </c>
      <c r="H14" s="253">
        <v>27265302225</v>
      </c>
      <c r="I14" s="246" t="s">
        <v>409</v>
      </c>
      <c r="J14" s="125" t="s">
        <v>0</v>
      </c>
      <c r="K14" s="242">
        <v>30710473168</v>
      </c>
      <c r="L14" s="242">
        <v>1</v>
      </c>
      <c r="M14" s="125" t="s">
        <v>740</v>
      </c>
      <c r="N14" s="125"/>
      <c r="O14" s="125"/>
      <c r="P14" s="125"/>
      <c r="Q14" s="125"/>
      <c r="R14" s="125"/>
      <c r="S14" s="125"/>
      <c r="T14" s="125"/>
      <c r="U14" s="242">
        <v>294000</v>
      </c>
      <c r="V14" s="242">
        <v>1400000</v>
      </c>
      <c r="W14" s="125"/>
      <c r="X14" s="125"/>
      <c r="Y14" s="242">
        <v>1400000</v>
      </c>
      <c r="Z14" s="242">
        <v>0</v>
      </c>
      <c r="AA14" s="242">
        <v>0</v>
      </c>
      <c r="AB14" s="242">
        <v>0</v>
      </c>
      <c r="AC14" s="242">
        <v>294000</v>
      </c>
      <c r="AD14" s="242">
        <v>1694000</v>
      </c>
    </row>
    <row r="15" spans="1:31" hidden="1" x14ac:dyDescent="0.25">
      <c r="A15" s="125" t="s">
        <v>960</v>
      </c>
      <c r="B15" s="125" t="s">
        <v>738</v>
      </c>
      <c r="C15" s="242">
        <v>5</v>
      </c>
      <c r="D15" s="242">
        <v>1676</v>
      </c>
      <c r="E15" s="253">
        <v>1676</v>
      </c>
      <c r="F15" s="253">
        <v>75405186336334</v>
      </c>
      <c r="G15" s="246" t="s">
        <v>0</v>
      </c>
      <c r="H15" s="253">
        <v>27265302225</v>
      </c>
      <c r="I15" s="246" t="s">
        <v>409</v>
      </c>
      <c r="J15" s="125" t="s">
        <v>0</v>
      </c>
      <c r="K15" s="242">
        <v>30710473168</v>
      </c>
      <c r="L15" s="242">
        <v>1</v>
      </c>
      <c r="M15" s="125" t="s">
        <v>740</v>
      </c>
      <c r="N15" s="125"/>
      <c r="O15" s="125"/>
      <c r="P15" s="125"/>
      <c r="Q15" s="125"/>
      <c r="R15" s="125"/>
      <c r="S15" s="125"/>
      <c r="T15" s="125"/>
      <c r="U15" s="242">
        <v>525000</v>
      </c>
      <c r="V15" s="242">
        <v>2500000</v>
      </c>
      <c r="W15" s="125"/>
      <c r="X15" s="125"/>
      <c r="Y15" s="242">
        <v>2500000</v>
      </c>
      <c r="Z15" s="242">
        <v>0</v>
      </c>
      <c r="AA15" s="242">
        <v>0</v>
      </c>
      <c r="AB15" s="242">
        <v>0</v>
      </c>
      <c r="AC15" s="242">
        <v>525000</v>
      </c>
      <c r="AD15" s="242">
        <v>3025000</v>
      </c>
    </row>
    <row r="16" spans="1:31" hidden="1" x14ac:dyDescent="0.25">
      <c r="A16" s="246" t="s">
        <v>960</v>
      </c>
      <c r="B16" s="246" t="s">
        <v>738</v>
      </c>
      <c r="C16" s="253">
        <v>6</v>
      </c>
      <c r="D16" s="253">
        <v>96490</v>
      </c>
      <c r="E16" s="253">
        <v>96490</v>
      </c>
      <c r="F16" s="253">
        <v>75404218156994</v>
      </c>
      <c r="G16" s="246" t="s">
        <v>0</v>
      </c>
      <c r="H16" s="253">
        <v>30711553564</v>
      </c>
      <c r="I16" s="246" t="s">
        <v>452</v>
      </c>
      <c r="J16" s="246" t="s">
        <v>0</v>
      </c>
      <c r="K16" s="253">
        <v>30710473168</v>
      </c>
      <c r="L16" s="253">
        <v>1</v>
      </c>
      <c r="M16" s="246" t="s">
        <v>740</v>
      </c>
      <c r="N16" s="246"/>
      <c r="O16" s="246"/>
      <c r="P16" s="246"/>
      <c r="Q16" s="246"/>
      <c r="R16" s="246"/>
      <c r="S16" s="246"/>
      <c r="T16" s="246"/>
      <c r="U16" s="254">
        <v>279778.59000000003</v>
      </c>
      <c r="V16" s="253">
        <v>1332279</v>
      </c>
      <c r="W16" s="246"/>
      <c r="X16" s="246"/>
      <c r="Y16" s="253">
        <v>1332279</v>
      </c>
      <c r="Z16" s="253">
        <v>0</v>
      </c>
      <c r="AA16" s="253">
        <v>0</v>
      </c>
      <c r="AB16" s="253">
        <v>0</v>
      </c>
      <c r="AC16" s="254">
        <v>279778.59000000003</v>
      </c>
      <c r="AD16" s="254">
        <v>1612057.59</v>
      </c>
    </row>
    <row r="17" spans="1:31" hidden="1" x14ac:dyDescent="0.25">
      <c r="A17" s="246" t="s">
        <v>960</v>
      </c>
      <c r="B17" s="246" t="s">
        <v>738</v>
      </c>
      <c r="C17" s="253">
        <v>6</v>
      </c>
      <c r="D17" s="253">
        <v>96491</v>
      </c>
      <c r="E17" s="253">
        <v>96491</v>
      </c>
      <c r="F17" s="253">
        <v>75404218271756</v>
      </c>
      <c r="G17" s="246" t="s">
        <v>0</v>
      </c>
      <c r="H17" s="253">
        <v>30711553564</v>
      </c>
      <c r="I17" s="246" t="s">
        <v>452</v>
      </c>
      <c r="J17" s="246" t="s">
        <v>0</v>
      </c>
      <c r="K17" s="253">
        <v>30710473168</v>
      </c>
      <c r="L17" s="253">
        <v>1</v>
      </c>
      <c r="M17" s="246" t="s">
        <v>740</v>
      </c>
      <c r="N17" s="246"/>
      <c r="O17" s="246"/>
      <c r="P17" s="246"/>
      <c r="Q17" s="246"/>
      <c r="R17" s="246"/>
      <c r="S17" s="246"/>
      <c r="T17" s="246"/>
      <c r="U17" s="254">
        <v>147536.54999999999</v>
      </c>
      <c r="V17" s="253">
        <v>702555</v>
      </c>
      <c r="W17" s="246"/>
      <c r="X17" s="246"/>
      <c r="Y17" s="253">
        <v>702555</v>
      </c>
      <c r="Z17" s="253">
        <v>0</v>
      </c>
      <c r="AA17" s="253">
        <v>0</v>
      </c>
      <c r="AB17" s="253">
        <v>0</v>
      </c>
      <c r="AC17" s="254">
        <v>147536.54999999999</v>
      </c>
      <c r="AD17" s="254">
        <v>850091.55</v>
      </c>
    </row>
    <row r="18" spans="1:31" hidden="1" x14ac:dyDescent="0.25">
      <c r="A18" s="246" t="s">
        <v>960</v>
      </c>
      <c r="B18" s="246" t="s">
        <v>738</v>
      </c>
      <c r="C18" s="253">
        <v>6</v>
      </c>
      <c r="D18" s="253">
        <v>96492</v>
      </c>
      <c r="E18" s="253">
        <v>96492</v>
      </c>
      <c r="F18" s="253">
        <v>75404218424004</v>
      </c>
      <c r="G18" s="246" t="s">
        <v>0</v>
      </c>
      <c r="H18" s="253">
        <v>30711553564</v>
      </c>
      <c r="I18" s="246" t="s">
        <v>452</v>
      </c>
      <c r="J18" s="246" t="s">
        <v>0</v>
      </c>
      <c r="K18" s="253">
        <v>30710473168</v>
      </c>
      <c r="L18" s="253">
        <v>1</v>
      </c>
      <c r="M18" s="246" t="s">
        <v>740</v>
      </c>
      <c r="N18" s="246"/>
      <c r="O18" s="246"/>
      <c r="P18" s="246"/>
      <c r="Q18" s="246"/>
      <c r="R18" s="246"/>
      <c r="S18" s="246"/>
      <c r="T18" s="246"/>
      <c r="U18" s="254">
        <v>6460.65</v>
      </c>
      <c r="V18" s="253">
        <v>30765</v>
      </c>
      <c r="W18" s="246"/>
      <c r="X18" s="246"/>
      <c r="Y18" s="253">
        <v>30765</v>
      </c>
      <c r="Z18" s="253">
        <v>0</v>
      </c>
      <c r="AA18" s="253">
        <v>0</v>
      </c>
      <c r="AB18" s="253">
        <v>0</v>
      </c>
      <c r="AC18" s="254">
        <v>6460.65</v>
      </c>
      <c r="AD18" s="254">
        <v>37225.65</v>
      </c>
    </row>
    <row r="19" spans="1:31" hidden="1" x14ac:dyDescent="0.25">
      <c r="A19" s="246" t="s">
        <v>1257</v>
      </c>
      <c r="B19" s="246" t="s">
        <v>738</v>
      </c>
      <c r="C19" s="253">
        <v>50</v>
      </c>
      <c r="D19" s="253">
        <v>4670040</v>
      </c>
      <c r="E19" s="253">
        <v>4670040</v>
      </c>
      <c r="F19" s="253">
        <v>75426230181879</v>
      </c>
      <c r="G19" s="246" t="s">
        <v>0</v>
      </c>
      <c r="H19" s="253">
        <v>30714112836</v>
      </c>
      <c r="I19" s="246" t="s">
        <v>765</v>
      </c>
      <c r="J19" s="246" t="s">
        <v>0</v>
      </c>
      <c r="K19" s="253">
        <v>30710473168</v>
      </c>
      <c r="L19" s="253">
        <v>1</v>
      </c>
      <c r="M19" s="246" t="s">
        <v>740</v>
      </c>
      <c r="N19" s="246"/>
      <c r="O19" s="246"/>
      <c r="P19" s="246"/>
      <c r="Q19" s="246"/>
      <c r="R19" s="246"/>
      <c r="S19" s="246"/>
      <c r="T19" s="246"/>
      <c r="U19" s="254">
        <v>1031.3599999999999</v>
      </c>
      <c r="V19" s="254">
        <v>4911.22</v>
      </c>
      <c r="W19" s="246"/>
      <c r="X19" s="246"/>
      <c r="Y19" s="254">
        <v>4911.22</v>
      </c>
      <c r="Z19" s="253">
        <v>0</v>
      </c>
      <c r="AA19" s="253">
        <v>0</v>
      </c>
      <c r="AB19" s="254">
        <v>147.34</v>
      </c>
      <c r="AC19" s="254">
        <v>1031.3599999999999</v>
      </c>
      <c r="AD19" s="254">
        <v>6089.92</v>
      </c>
    </row>
    <row r="20" spans="1:31" hidden="1" x14ac:dyDescent="0.25">
      <c r="A20" s="246" t="s">
        <v>1514</v>
      </c>
      <c r="B20" s="246" t="s">
        <v>738</v>
      </c>
      <c r="C20" s="253">
        <v>50</v>
      </c>
      <c r="D20" s="253">
        <v>4706524</v>
      </c>
      <c r="E20" s="253">
        <v>4706524</v>
      </c>
      <c r="F20" s="253">
        <v>75446229190253</v>
      </c>
      <c r="G20" s="246" t="s">
        <v>0</v>
      </c>
      <c r="H20" s="253">
        <v>30714112836</v>
      </c>
      <c r="I20" s="246" t="s">
        <v>765</v>
      </c>
      <c r="J20" s="246" t="s">
        <v>0</v>
      </c>
      <c r="K20" s="253">
        <v>30710473168</v>
      </c>
      <c r="L20" s="253">
        <v>1</v>
      </c>
      <c r="M20" s="246" t="s">
        <v>740</v>
      </c>
      <c r="N20" s="246"/>
      <c r="O20" s="246"/>
      <c r="P20" s="246"/>
      <c r="Q20" s="246"/>
      <c r="R20" s="246"/>
      <c r="S20" s="246"/>
      <c r="T20" s="246"/>
      <c r="U20" s="254">
        <v>343.78</v>
      </c>
      <c r="V20" s="257">
        <v>1637.07</v>
      </c>
      <c r="W20" s="246"/>
      <c r="X20" s="246"/>
      <c r="Y20" s="254">
        <v>1637.07</v>
      </c>
      <c r="Z20" s="253">
        <v>0</v>
      </c>
      <c r="AA20" s="253">
        <v>0</v>
      </c>
      <c r="AB20" s="253">
        <v>0</v>
      </c>
      <c r="AC20" s="254">
        <v>343.78</v>
      </c>
      <c r="AD20" s="254">
        <v>1980.85</v>
      </c>
      <c r="AE20" s="256" t="s">
        <v>1563</v>
      </c>
    </row>
    <row r="21" spans="1:31" hidden="1" x14ac:dyDescent="0.25">
      <c r="A21" s="246" t="s">
        <v>960</v>
      </c>
      <c r="B21" s="246" t="s">
        <v>738</v>
      </c>
      <c r="C21" s="253">
        <v>2</v>
      </c>
      <c r="D21" s="253">
        <v>252</v>
      </c>
      <c r="E21" s="253">
        <v>252</v>
      </c>
      <c r="F21" s="253">
        <v>75402211250599</v>
      </c>
      <c r="G21" s="246" t="s">
        <v>0</v>
      </c>
      <c r="H21" s="253">
        <v>30605344352</v>
      </c>
      <c r="I21" s="246" t="s">
        <v>746</v>
      </c>
      <c r="J21" s="246" t="s">
        <v>0</v>
      </c>
      <c r="K21" s="253">
        <v>30710473168</v>
      </c>
      <c r="L21" s="253">
        <v>1</v>
      </c>
      <c r="M21" s="246" t="s">
        <v>740</v>
      </c>
      <c r="N21" s="246"/>
      <c r="O21" s="246"/>
      <c r="P21" s="246"/>
      <c r="Q21" s="246"/>
      <c r="R21" s="246"/>
      <c r="S21" s="246"/>
      <c r="T21" s="246"/>
      <c r="U21" s="254">
        <v>453722.01</v>
      </c>
      <c r="V21" s="253">
        <v>2160581</v>
      </c>
      <c r="W21" s="246"/>
      <c r="X21" s="246"/>
      <c r="Y21" s="253">
        <v>2160581</v>
      </c>
      <c r="Z21" s="253">
        <v>0</v>
      </c>
      <c r="AA21" s="253">
        <v>0</v>
      </c>
      <c r="AB21" s="253">
        <v>0</v>
      </c>
      <c r="AC21" s="254">
        <v>453722.01</v>
      </c>
      <c r="AD21" s="242">
        <v>2614303</v>
      </c>
    </row>
    <row r="22" spans="1:31" hidden="1" x14ac:dyDescent="0.25">
      <c r="A22" s="246" t="s">
        <v>960</v>
      </c>
      <c r="B22" s="246" t="s">
        <v>749</v>
      </c>
      <c r="C22" s="253">
        <v>5</v>
      </c>
      <c r="D22" s="253">
        <v>131</v>
      </c>
      <c r="E22" s="253">
        <v>131</v>
      </c>
      <c r="F22" s="253">
        <v>75405208440708</v>
      </c>
      <c r="G22" s="246" t="s">
        <v>0</v>
      </c>
      <c r="H22" s="253">
        <v>27265302225</v>
      </c>
      <c r="I22" s="246" t="s">
        <v>409</v>
      </c>
      <c r="J22" s="246" t="s">
        <v>0</v>
      </c>
      <c r="K22" s="253">
        <v>30710473168</v>
      </c>
      <c r="L22" s="253">
        <v>1</v>
      </c>
      <c r="M22" s="246" t="s">
        <v>740</v>
      </c>
      <c r="N22" s="246"/>
      <c r="O22" s="246"/>
      <c r="P22" s="246"/>
      <c r="Q22" s="246"/>
      <c r="R22" s="246"/>
      <c r="S22" s="246"/>
      <c r="T22" s="246"/>
      <c r="U22" s="253">
        <v>525000</v>
      </c>
      <c r="V22" s="253">
        <v>2500000</v>
      </c>
      <c r="W22" s="246"/>
      <c r="X22" s="246"/>
      <c r="Y22" s="253">
        <v>2500000</v>
      </c>
      <c r="Z22" s="253">
        <v>0</v>
      </c>
      <c r="AA22" s="253">
        <v>0</v>
      </c>
      <c r="AB22" s="253">
        <v>0</v>
      </c>
      <c r="AC22" s="253">
        <v>525000</v>
      </c>
      <c r="AD22" s="253">
        <v>3025000</v>
      </c>
    </row>
    <row r="23" spans="1:31" hidden="1" x14ac:dyDescent="0.25">
      <c r="A23" s="246" t="s">
        <v>960</v>
      </c>
      <c r="B23" s="246" t="s">
        <v>749</v>
      </c>
      <c r="C23" s="253">
        <v>6</v>
      </c>
      <c r="D23" s="253">
        <v>13998</v>
      </c>
      <c r="E23" s="253">
        <v>13998</v>
      </c>
      <c r="F23" s="253">
        <v>75404232088366</v>
      </c>
      <c r="G23" s="246" t="s">
        <v>0</v>
      </c>
      <c r="H23" s="253">
        <v>30711553564</v>
      </c>
      <c r="I23" s="246" t="s">
        <v>452</v>
      </c>
      <c r="J23" s="246" t="s">
        <v>0</v>
      </c>
      <c r="K23" s="253">
        <v>30710473168</v>
      </c>
      <c r="L23" s="253">
        <v>1</v>
      </c>
      <c r="M23" s="246" t="s">
        <v>740</v>
      </c>
      <c r="N23" s="246"/>
      <c r="O23" s="246"/>
      <c r="P23" s="246"/>
      <c r="Q23" s="246"/>
      <c r="R23" s="246"/>
      <c r="S23" s="246"/>
      <c r="T23" s="246"/>
      <c r="U23" s="254">
        <v>28978.11</v>
      </c>
      <c r="V23" s="253">
        <v>137991</v>
      </c>
      <c r="W23" s="246"/>
      <c r="X23" s="246"/>
      <c r="Y23" s="253">
        <v>137991</v>
      </c>
      <c r="Z23" s="253">
        <v>0</v>
      </c>
      <c r="AA23" s="253">
        <v>0</v>
      </c>
      <c r="AB23" s="253">
        <v>0</v>
      </c>
      <c r="AC23" s="254">
        <v>28978.11</v>
      </c>
      <c r="AD23" s="254">
        <v>166969.10999999999</v>
      </c>
    </row>
    <row r="24" spans="1:31" hidden="1" x14ac:dyDescent="0.25">
      <c r="A24" s="246" t="s">
        <v>960</v>
      </c>
      <c r="B24" s="246" t="s">
        <v>745</v>
      </c>
      <c r="C24" s="253">
        <v>4</v>
      </c>
      <c r="D24" s="253">
        <v>67</v>
      </c>
      <c r="E24" s="253">
        <v>67</v>
      </c>
      <c r="F24" s="253">
        <v>75403183061118</v>
      </c>
      <c r="G24" s="246" t="s">
        <v>0</v>
      </c>
      <c r="H24" s="253">
        <v>20086277523</v>
      </c>
      <c r="I24" s="246" t="s">
        <v>768</v>
      </c>
      <c r="J24" s="246" t="s">
        <v>0</v>
      </c>
      <c r="K24" s="253">
        <v>30710473168</v>
      </c>
      <c r="L24" s="253">
        <v>1</v>
      </c>
      <c r="M24" s="246" t="s">
        <v>740</v>
      </c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53">
        <v>0</v>
      </c>
      <c r="AC24" s="246"/>
      <c r="AD24" s="253">
        <v>300000</v>
      </c>
    </row>
    <row r="25" spans="1:31" hidden="1" x14ac:dyDescent="0.25">
      <c r="A25" s="246" t="s">
        <v>960</v>
      </c>
      <c r="B25" s="246" t="s">
        <v>745</v>
      </c>
      <c r="C25" s="253">
        <v>4</v>
      </c>
      <c r="D25" s="253">
        <v>66</v>
      </c>
      <c r="E25" s="253">
        <v>66</v>
      </c>
      <c r="F25" s="253">
        <v>75403179949716</v>
      </c>
      <c r="G25" s="246" t="s">
        <v>0</v>
      </c>
      <c r="H25" s="253">
        <v>20086277523</v>
      </c>
      <c r="I25" s="246" t="s">
        <v>68</v>
      </c>
      <c r="J25" s="246" t="s">
        <v>0</v>
      </c>
      <c r="K25" s="253">
        <v>30710473168</v>
      </c>
      <c r="L25" s="253">
        <v>1</v>
      </c>
      <c r="M25" s="246" t="s">
        <v>740</v>
      </c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53">
        <v>0</v>
      </c>
      <c r="AC25" s="246"/>
      <c r="AD25" s="253">
        <v>300000</v>
      </c>
    </row>
    <row r="26" spans="1:31" hidden="1" x14ac:dyDescent="0.25">
      <c r="A26" s="246" t="s">
        <v>960</v>
      </c>
      <c r="B26" s="246" t="s">
        <v>766</v>
      </c>
      <c r="C26" s="253">
        <v>4</v>
      </c>
      <c r="D26" s="253">
        <v>2</v>
      </c>
      <c r="E26" s="253">
        <v>2</v>
      </c>
      <c r="F26" s="253">
        <v>75403184483403</v>
      </c>
      <c r="G26" s="246" t="s">
        <v>0</v>
      </c>
      <c r="H26" s="253">
        <v>20086277523</v>
      </c>
      <c r="I26" s="246" t="s">
        <v>68</v>
      </c>
      <c r="J26" s="246" t="s">
        <v>0</v>
      </c>
      <c r="K26" s="253">
        <v>30710473168</v>
      </c>
      <c r="L26" s="253">
        <v>1</v>
      </c>
      <c r="M26" s="246" t="s">
        <v>740</v>
      </c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53">
        <v>0</v>
      </c>
      <c r="AC26" s="246"/>
      <c r="AD26" s="253">
        <v>300000</v>
      </c>
    </row>
    <row r="27" spans="1:31" hidden="1" x14ac:dyDescent="0.25">
      <c r="A27" s="246" t="s">
        <v>999</v>
      </c>
      <c r="B27" s="246" t="s">
        <v>738</v>
      </c>
      <c r="C27" s="253">
        <v>3051</v>
      </c>
      <c r="D27" s="253">
        <v>982461</v>
      </c>
      <c r="E27" s="253">
        <v>982461</v>
      </c>
      <c r="F27" s="253">
        <v>75407377852221</v>
      </c>
      <c r="G27" s="246" t="s">
        <v>0</v>
      </c>
      <c r="H27" s="253">
        <v>30678814357</v>
      </c>
      <c r="I27" s="246" t="s">
        <v>744</v>
      </c>
      <c r="J27" s="246" t="s">
        <v>0</v>
      </c>
      <c r="K27" s="253">
        <v>30710473168</v>
      </c>
      <c r="L27" s="253">
        <v>1</v>
      </c>
      <c r="M27" s="246" t="s">
        <v>740</v>
      </c>
      <c r="N27" s="246"/>
      <c r="O27" s="246"/>
      <c r="P27" s="246"/>
      <c r="Q27" s="246"/>
      <c r="R27" s="246"/>
      <c r="S27" s="246"/>
      <c r="T27" s="246"/>
      <c r="U27" s="246"/>
      <c r="V27" s="246"/>
      <c r="W27" s="254">
        <v>15634.89</v>
      </c>
      <c r="X27" s="253">
        <v>57907</v>
      </c>
      <c r="Y27" s="253">
        <v>57907</v>
      </c>
      <c r="Z27" s="253">
        <v>0</v>
      </c>
      <c r="AA27" s="253">
        <v>0</v>
      </c>
      <c r="AB27" s="246">
        <v>7223.1</v>
      </c>
      <c r="AC27" s="254">
        <v>15634.89</v>
      </c>
      <c r="AD27" s="254">
        <v>80764.990000000005</v>
      </c>
      <c r="AE27" s="255"/>
    </row>
    <row r="28" spans="1:31" hidden="1" x14ac:dyDescent="0.25">
      <c r="A28" s="246" t="s">
        <v>999</v>
      </c>
      <c r="B28" s="246" t="s">
        <v>738</v>
      </c>
      <c r="C28" s="253">
        <v>8</v>
      </c>
      <c r="D28" s="253">
        <v>476</v>
      </c>
      <c r="E28" s="253">
        <v>476</v>
      </c>
      <c r="F28" s="253">
        <v>75404371927575</v>
      </c>
      <c r="G28" s="246" t="s">
        <v>0</v>
      </c>
      <c r="H28" s="253">
        <v>30643518364</v>
      </c>
      <c r="I28" s="246" t="s">
        <v>750</v>
      </c>
      <c r="J28" s="246" t="s">
        <v>0</v>
      </c>
      <c r="K28" s="253">
        <v>30710473168</v>
      </c>
      <c r="L28" s="253">
        <v>1</v>
      </c>
      <c r="M28" s="246" t="s">
        <v>740</v>
      </c>
      <c r="N28" s="246"/>
      <c r="O28" s="246"/>
      <c r="P28" s="246"/>
      <c r="Q28" s="246"/>
      <c r="R28" s="246"/>
      <c r="S28" s="246"/>
      <c r="T28" s="246"/>
      <c r="U28" s="246">
        <v>18637.5</v>
      </c>
      <c r="V28" s="253">
        <v>88750</v>
      </c>
      <c r="W28" s="246"/>
      <c r="X28" s="246"/>
      <c r="Y28" s="253">
        <v>88750</v>
      </c>
      <c r="Z28" s="253">
        <v>0</v>
      </c>
      <c r="AA28" s="253">
        <v>0</v>
      </c>
      <c r="AB28" s="253">
        <v>0</v>
      </c>
      <c r="AC28" s="246">
        <v>18637.5</v>
      </c>
      <c r="AD28" s="246">
        <v>107387.5</v>
      </c>
    </row>
    <row r="29" spans="1:31" hidden="1" x14ac:dyDescent="0.25">
      <c r="A29" s="246" t="s">
        <v>999</v>
      </c>
      <c r="B29" s="246" t="s">
        <v>738</v>
      </c>
      <c r="C29" s="253">
        <v>2</v>
      </c>
      <c r="D29" s="253">
        <v>1576</v>
      </c>
      <c r="E29" s="253">
        <v>1576</v>
      </c>
      <c r="F29" s="253">
        <v>75409356956133</v>
      </c>
      <c r="G29" s="246" t="s">
        <v>0</v>
      </c>
      <c r="H29" s="253">
        <v>20272865869</v>
      </c>
      <c r="I29" s="246" t="s">
        <v>561</v>
      </c>
      <c r="J29" s="246" t="s">
        <v>0</v>
      </c>
      <c r="K29" s="253">
        <v>30710473168</v>
      </c>
      <c r="L29" s="253">
        <v>1</v>
      </c>
      <c r="M29" s="246" t="s">
        <v>740</v>
      </c>
      <c r="N29" s="246"/>
      <c r="O29" s="246"/>
      <c r="P29" s="246"/>
      <c r="Q29" s="246"/>
      <c r="R29" s="246"/>
      <c r="S29" s="246"/>
      <c r="T29" s="246"/>
      <c r="U29" s="253">
        <v>14574</v>
      </c>
      <c r="V29" s="253">
        <v>69400</v>
      </c>
      <c r="W29" s="246"/>
      <c r="X29" s="246"/>
      <c r="Y29" s="253">
        <v>69400</v>
      </c>
      <c r="Z29" s="253">
        <v>0</v>
      </c>
      <c r="AA29" s="253">
        <v>0</v>
      </c>
      <c r="AB29" s="253">
        <v>0</v>
      </c>
      <c r="AC29" s="253">
        <v>14574</v>
      </c>
      <c r="AD29" s="253">
        <v>83974</v>
      </c>
    </row>
    <row r="30" spans="1:31" hidden="1" x14ac:dyDescent="0.25">
      <c r="A30" s="246" t="s">
        <v>999</v>
      </c>
      <c r="B30" s="246" t="s">
        <v>738</v>
      </c>
      <c r="C30" s="253">
        <v>17</v>
      </c>
      <c r="D30" s="253">
        <v>13744</v>
      </c>
      <c r="E30" s="253">
        <v>13744</v>
      </c>
      <c r="F30" s="253">
        <v>75400375536461</v>
      </c>
      <c r="G30" s="246" t="s">
        <v>0</v>
      </c>
      <c r="H30" s="253">
        <v>30661143610</v>
      </c>
      <c r="I30" s="246" t="s">
        <v>366</v>
      </c>
      <c r="J30" s="246" t="s">
        <v>0</v>
      </c>
      <c r="K30" s="253">
        <v>30710473168</v>
      </c>
      <c r="L30" s="253">
        <v>1</v>
      </c>
      <c r="M30" s="246" t="s">
        <v>740</v>
      </c>
      <c r="N30" s="246"/>
      <c r="O30" s="246"/>
      <c r="P30" s="246"/>
      <c r="Q30" s="246"/>
      <c r="R30" s="246"/>
      <c r="S30" s="246"/>
      <c r="T30" s="246"/>
      <c r="U30" s="253">
        <v>21588</v>
      </c>
      <c r="V30" s="253">
        <v>102800</v>
      </c>
      <c r="W30" s="246"/>
      <c r="X30" s="246"/>
      <c r="Y30" s="253">
        <v>102800</v>
      </c>
      <c r="Z30" s="253">
        <v>0</v>
      </c>
      <c r="AA30" s="253">
        <v>0</v>
      </c>
      <c r="AB30" s="253">
        <v>4112</v>
      </c>
      <c r="AC30" s="253">
        <v>21588</v>
      </c>
      <c r="AD30" s="253">
        <v>128500</v>
      </c>
    </row>
    <row r="31" spans="1:31" hidden="1" x14ac:dyDescent="0.25">
      <c r="A31" s="125" t="s">
        <v>999</v>
      </c>
      <c r="B31" s="125" t="s">
        <v>738</v>
      </c>
      <c r="C31" s="242">
        <v>4</v>
      </c>
      <c r="D31" s="242">
        <v>19861</v>
      </c>
      <c r="E31" s="253">
        <v>19861</v>
      </c>
      <c r="F31" s="253">
        <v>75403288996009</v>
      </c>
      <c r="G31" s="246" t="s">
        <v>0</v>
      </c>
      <c r="H31" s="253">
        <v>30714440183</v>
      </c>
      <c r="I31" s="246" t="s">
        <v>1539</v>
      </c>
      <c r="J31" s="246" t="s">
        <v>0</v>
      </c>
      <c r="K31" s="253">
        <v>30710473168</v>
      </c>
      <c r="L31" s="253">
        <v>1</v>
      </c>
      <c r="M31" s="246" t="s">
        <v>740</v>
      </c>
      <c r="N31" s="246"/>
      <c r="O31" s="246"/>
      <c r="P31" s="246"/>
      <c r="Q31" s="246"/>
      <c r="R31" s="246"/>
      <c r="S31" s="246"/>
      <c r="T31" s="246"/>
      <c r="U31" s="254">
        <v>5684.76</v>
      </c>
      <c r="V31" s="246">
        <v>27070.3</v>
      </c>
      <c r="W31" s="246"/>
      <c r="X31" s="246"/>
      <c r="Y31" s="246">
        <v>27070.3</v>
      </c>
      <c r="Z31" s="253">
        <v>0</v>
      </c>
      <c r="AA31" s="253">
        <v>0</v>
      </c>
      <c r="AB31" s="253">
        <v>0</v>
      </c>
      <c r="AC31" s="254">
        <v>5684.76</v>
      </c>
      <c r="AD31" s="254">
        <v>32755.06</v>
      </c>
    </row>
    <row r="32" spans="1:31" hidden="1" x14ac:dyDescent="0.25">
      <c r="A32" s="246" t="s">
        <v>999</v>
      </c>
      <c r="B32" s="246" t="s">
        <v>738</v>
      </c>
      <c r="C32" s="253">
        <v>1</v>
      </c>
      <c r="D32" s="253">
        <v>1031096</v>
      </c>
      <c r="E32" s="253">
        <v>1031096</v>
      </c>
      <c r="F32" s="253">
        <v>75419072334708</v>
      </c>
      <c r="G32" s="246" t="s">
        <v>0</v>
      </c>
      <c r="H32" s="253">
        <v>33716307749</v>
      </c>
      <c r="I32" s="246" t="s">
        <v>667</v>
      </c>
      <c r="J32" s="246" t="s">
        <v>0</v>
      </c>
      <c r="K32" s="253">
        <v>30710473168</v>
      </c>
      <c r="L32" s="253">
        <v>1</v>
      </c>
      <c r="M32" s="246" t="s">
        <v>740</v>
      </c>
      <c r="N32" s="246"/>
      <c r="O32" s="246"/>
      <c r="P32" s="246"/>
      <c r="Q32" s="246"/>
      <c r="R32" s="246"/>
      <c r="S32" s="246"/>
      <c r="T32" s="246"/>
      <c r="U32" s="254">
        <v>13093.29</v>
      </c>
      <c r="V32" s="254">
        <v>62349.01</v>
      </c>
      <c r="W32" s="246"/>
      <c r="X32" s="246"/>
      <c r="Y32" s="254">
        <v>62349.01</v>
      </c>
      <c r="Z32" s="253">
        <v>0</v>
      </c>
      <c r="AA32" s="253">
        <v>0</v>
      </c>
      <c r="AB32" s="254">
        <v>2493.96</v>
      </c>
      <c r="AC32" s="254">
        <v>13093.29</v>
      </c>
      <c r="AD32" s="254">
        <v>77936.259999999995</v>
      </c>
    </row>
    <row r="33" spans="1:31" hidden="1" x14ac:dyDescent="0.25">
      <c r="A33" s="246" t="s">
        <v>999</v>
      </c>
      <c r="B33" s="246" t="s">
        <v>738</v>
      </c>
      <c r="C33" s="253">
        <v>7</v>
      </c>
      <c r="D33" s="253">
        <v>55</v>
      </c>
      <c r="E33" s="253">
        <v>55</v>
      </c>
      <c r="F33" s="253">
        <v>75403337698338</v>
      </c>
      <c r="G33" s="246" t="s">
        <v>0</v>
      </c>
      <c r="H33" s="253">
        <v>27325223273</v>
      </c>
      <c r="I33" s="246" t="s">
        <v>767</v>
      </c>
      <c r="J33" s="246" t="s">
        <v>0</v>
      </c>
      <c r="K33" s="253">
        <v>30710473168</v>
      </c>
      <c r="L33" s="253">
        <v>1</v>
      </c>
      <c r="M33" s="246" t="s">
        <v>740</v>
      </c>
      <c r="N33" s="246"/>
      <c r="O33" s="246"/>
      <c r="P33" s="246"/>
      <c r="Q33" s="246"/>
      <c r="R33" s="246"/>
      <c r="S33" s="246"/>
      <c r="T33" s="246"/>
      <c r="U33" s="253">
        <v>462000</v>
      </c>
      <c r="V33" s="253">
        <v>2200000</v>
      </c>
      <c r="W33" s="246"/>
      <c r="X33" s="246"/>
      <c r="Y33" s="253">
        <v>2200000</v>
      </c>
      <c r="Z33" s="253">
        <v>0</v>
      </c>
      <c r="AA33" s="253">
        <v>0</v>
      </c>
      <c r="AB33" s="253">
        <v>0</v>
      </c>
      <c r="AC33" s="253">
        <v>462000</v>
      </c>
      <c r="AD33" s="253">
        <v>2662000</v>
      </c>
    </row>
    <row r="34" spans="1:31" hidden="1" x14ac:dyDescent="0.25">
      <c r="A34" s="246" t="s">
        <v>999</v>
      </c>
      <c r="B34" s="246" t="s">
        <v>745</v>
      </c>
      <c r="C34" s="253">
        <v>1</v>
      </c>
      <c r="D34" s="253">
        <v>43</v>
      </c>
      <c r="E34" s="253">
        <v>43</v>
      </c>
      <c r="F34" s="253">
        <v>75401342703675</v>
      </c>
      <c r="G34" s="246" t="s">
        <v>0</v>
      </c>
      <c r="H34" s="253">
        <v>20311855671</v>
      </c>
      <c r="I34" s="246" t="s">
        <v>768</v>
      </c>
      <c r="J34" s="246" t="s">
        <v>0</v>
      </c>
      <c r="K34" s="253">
        <v>30710473168</v>
      </c>
      <c r="L34" s="253">
        <v>1</v>
      </c>
      <c r="M34" s="246" t="s">
        <v>740</v>
      </c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53">
        <v>0</v>
      </c>
      <c r="AC34" s="246"/>
      <c r="AD34" s="253">
        <v>290000</v>
      </c>
    </row>
    <row r="35" spans="1:31" hidden="1" x14ac:dyDescent="0.25">
      <c r="A35" s="246" t="s">
        <v>1041</v>
      </c>
      <c r="B35" s="246" t="s">
        <v>738</v>
      </c>
      <c r="C35" s="253">
        <v>2</v>
      </c>
      <c r="D35" s="253">
        <v>1582</v>
      </c>
      <c r="E35" s="253">
        <v>1582</v>
      </c>
      <c r="F35" s="253">
        <v>75409440515122</v>
      </c>
      <c r="G35" s="246" t="s">
        <v>0</v>
      </c>
      <c r="H35" s="253">
        <v>20272865869</v>
      </c>
      <c r="I35" s="246" t="s">
        <v>561</v>
      </c>
      <c r="J35" s="246" t="s">
        <v>0</v>
      </c>
      <c r="K35" s="253">
        <v>30710473168</v>
      </c>
      <c r="L35" s="253">
        <v>1</v>
      </c>
      <c r="M35" s="246" t="s">
        <v>740</v>
      </c>
      <c r="N35" s="246"/>
      <c r="O35" s="246"/>
      <c r="P35" s="246"/>
      <c r="Q35" s="246"/>
      <c r="R35" s="246"/>
      <c r="S35" s="246"/>
      <c r="T35" s="246"/>
      <c r="U35" s="253">
        <v>64932</v>
      </c>
      <c r="V35" s="253">
        <v>309200</v>
      </c>
      <c r="W35" s="246"/>
      <c r="X35" s="246"/>
      <c r="Y35" s="253">
        <v>309200</v>
      </c>
      <c r="Z35" s="253">
        <v>0</v>
      </c>
      <c r="AA35" s="253">
        <v>0</v>
      </c>
      <c r="AB35" s="253">
        <v>0</v>
      </c>
      <c r="AC35" s="253">
        <v>64932</v>
      </c>
      <c r="AD35" s="253">
        <v>374132</v>
      </c>
    </row>
    <row r="36" spans="1:31" hidden="1" x14ac:dyDescent="0.25">
      <c r="A36" s="125" t="s">
        <v>1041</v>
      </c>
      <c r="B36" s="125" t="s">
        <v>738</v>
      </c>
      <c r="C36" s="242">
        <v>26</v>
      </c>
      <c r="D36" s="242">
        <v>215680</v>
      </c>
      <c r="E36" s="242">
        <v>215680</v>
      </c>
      <c r="F36" s="242">
        <v>75407512016610</v>
      </c>
      <c r="G36" s="125" t="s">
        <v>0</v>
      </c>
      <c r="H36" s="242">
        <v>30708847247</v>
      </c>
      <c r="I36" s="125" t="s">
        <v>763</v>
      </c>
      <c r="J36" s="125" t="s">
        <v>0</v>
      </c>
      <c r="K36" s="242">
        <v>30710473168</v>
      </c>
      <c r="L36" s="242">
        <v>1</v>
      </c>
      <c r="M36" s="125" t="s">
        <v>740</v>
      </c>
      <c r="N36" s="125"/>
      <c r="O36" s="125"/>
      <c r="P36" s="125"/>
      <c r="Q36" s="125"/>
      <c r="R36" s="125"/>
      <c r="S36" s="125"/>
      <c r="T36" s="125"/>
      <c r="U36" s="243">
        <v>15703.62</v>
      </c>
      <c r="V36" s="243">
        <v>74779.14</v>
      </c>
      <c r="W36" s="125"/>
      <c r="X36" s="125"/>
      <c r="Y36" s="243">
        <v>74779.14</v>
      </c>
      <c r="Z36" s="242">
        <v>0</v>
      </c>
      <c r="AA36" s="242">
        <v>0</v>
      </c>
      <c r="AB36" s="243">
        <v>2991.17</v>
      </c>
      <c r="AC36" s="243">
        <v>15703.62</v>
      </c>
      <c r="AD36" s="243">
        <v>93473.93</v>
      </c>
    </row>
    <row r="37" spans="1:31" hidden="1" x14ac:dyDescent="0.25">
      <c r="A37" s="125" t="s">
        <v>1041</v>
      </c>
      <c r="B37" s="125" t="s">
        <v>738</v>
      </c>
      <c r="C37" s="242">
        <v>5</v>
      </c>
      <c r="D37" s="242">
        <v>1682</v>
      </c>
      <c r="E37" s="253">
        <v>1682</v>
      </c>
      <c r="F37" s="253">
        <v>75405522210939</v>
      </c>
      <c r="G37" s="246" t="s">
        <v>0</v>
      </c>
      <c r="H37" s="253">
        <v>27265302225</v>
      </c>
      <c r="I37" s="246" t="s">
        <v>409</v>
      </c>
      <c r="J37" s="125" t="s">
        <v>0</v>
      </c>
      <c r="K37" s="242">
        <v>30710473168</v>
      </c>
      <c r="L37" s="242">
        <v>1</v>
      </c>
      <c r="M37" s="125" t="s">
        <v>740</v>
      </c>
      <c r="N37" s="125"/>
      <c r="O37" s="125"/>
      <c r="P37" s="125"/>
      <c r="Q37" s="125"/>
      <c r="R37" s="125"/>
      <c r="S37" s="125"/>
      <c r="T37" s="125"/>
      <c r="U37" s="242">
        <v>262500</v>
      </c>
      <c r="V37" s="242">
        <v>1250000</v>
      </c>
      <c r="W37" s="125"/>
      <c r="X37" s="125"/>
      <c r="Y37" s="242">
        <v>1250000</v>
      </c>
      <c r="Z37" s="242">
        <v>0</v>
      </c>
      <c r="AA37" s="242">
        <v>0</v>
      </c>
      <c r="AB37" s="242">
        <v>0</v>
      </c>
      <c r="AC37" s="242">
        <v>262500</v>
      </c>
      <c r="AD37" s="242">
        <v>1512500</v>
      </c>
    </row>
    <row r="38" spans="1:31" hidden="1" x14ac:dyDescent="0.25">
      <c r="A38" s="125" t="s">
        <v>1041</v>
      </c>
      <c r="B38" s="125" t="s">
        <v>738</v>
      </c>
      <c r="C38" s="242">
        <v>1054</v>
      </c>
      <c r="D38" s="242">
        <v>381</v>
      </c>
      <c r="E38" s="242">
        <v>381</v>
      </c>
      <c r="F38" s="242">
        <v>75401449551620</v>
      </c>
      <c r="G38" s="125" t="s">
        <v>0</v>
      </c>
      <c r="H38" s="242">
        <v>30685849751</v>
      </c>
      <c r="I38" s="125" t="s">
        <v>685</v>
      </c>
      <c r="J38" s="125" t="s">
        <v>0</v>
      </c>
      <c r="K38" s="242">
        <v>30710473168</v>
      </c>
      <c r="L38" s="242">
        <v>1</v>
      </c>
      <c r="M38" s="125" t="s">
        <v>740</v>
      </c>
      <c r="N38" s="125"/>
      <c r="O38" s="125"/>
      <c r="P38" s="125"/>
      <c r="Q38" s="125"/>
      <c r="R38" s="125"/>
      <c r="S38" s="125"/>
      <c r="T38" s="125"/>
      <c r="U38" s="243">
        <v>1133.31</v>
      </c>
      <c r="V38" s="243">
        <v>5396.69</v>
      </c>
      <c r="W38" s="125"/>
      <c r="X38" s="125"/>
      <c r="Y38" s="243">
        <v>5396.69</v>
      </c>
      <c r="Z38" s="242">
        <v>0</v>
      </c>
      <c r="AA38" s="242">
        <v>0</v>
      </c>
      <c r="AB38" s="243">
        <v>215.87</v>
      </c>
      <c r="AC38" s="243">
        <v>1133.31</v>
      </c>
      <c r="AD38" s="243">
        <v>6745.87</v>
      </c>
    </row>
    <row r="39" spans="1:31" hidden="1" x14ac:dyDescent="0.25">
      <c r="A39" s="125" t="s">
        <v>1041</v>
      </c>
      <c r="B39" s="125" t="s">
        <v>738</v>
      </c>
      <c r="C39" s="242">
        <v>3</v>
      </c>
      <c r="D39" s="242">
        <v>930</v>
      </c>
      <c r="E39" s="242">
        <v>930</v>
      </c>
      <c r="F39" s="242">
        <v>75409454635742</v>
      </c>
      <c r="G39" s="125" t="s">
        <v>0</v>
      </c>
      <c r="H39" s="242">
        <v>23076996989</v>
      </c>
      <c r="I39" s="125" t="s">
        <v>220</v>
      </c>
      <c r="J39" s="125" t="s">
        <v>0</v>
      </c>
      <c r="K39" s="242">
        <v>30710473168</v>
      </c>
      <c r="L39" s="242">
        <v>1</v>
      </c>
      <c r="M39" s="125" t="s">
        <v>740</v>
      </c>
      <c r="N39" s="125"/>
      <c r="O39" s="125"/>
      <c r="P39" s="125"/>
      <c r="Q39" s="125"/>
      <c r="R39" s="125"/>
      <c r="S39" s="125"/>
      <c r="T39" s="125"/>
      <c r="U39" s="243">
        <v>2776.86</v>
      </c>
      <c r="V39" s="243">
        <v>13223.14</v>
      </c>
      <c r="W39" s="125"/>
      <c r="X39" s="125"/>
      <c r="Y39" s="243">
        <v>13223.14</v>
      </c>
      <c r="Z39" s="242">
        <v>0</v>
      </c>
      <c r="AA39" s="242">
        <v>0</v>
      </c>
      <c r="AB39" s="242">
        <v>0</v>
      </c>
      <c r="AC39" s="243">
        <v>2776.86</v>
      </c>
      <c r="AD39" s="242">
        <v>16000</v>
      </c>
    </row>
    <row r="40" spans="1:31" hidden="1" x14ac:dyDescent="0.25">
      <c r="A40" s="246" t="s">
        <v>1041</v>
      </c>
      <c r="B40" s="246" t="s">
        <v>749</v>
      </c>
      <c r="C40" s="253">
        <v>5</v>
      </c>
      <c r="D40" s="253">
        <v>132</v>
      </c>
      <c r="E40" s="253">
        <v>132</v>
      </c>
      <c r="F40" s="253">
        <v>75405520316587</v>
      </c>
      <c r="G40" s="246" t="s">
        <v>0</v>
      </c>
      <c r="H40" s="253">
        <v>27265302225</v>
      </c>
      <c r="I40" s="246" t="s">
        <v>409</v>
      </c>
      <c r="J40" s="246" t="s">
        <v>0</v>
      </c>
      <c r="K40" s="253">
        <v>30710473168</v>
      </c>
      <c r="L40" s="253">
        <v>1</v>
      </c>
      <c r="M40" s="246" t="s">
        <v>740</v>
      </c>
      <c r="N40" s="246"/>
      <c r="O40" s="246"/>
      <c r="P40" s="246"/>
      <c r="Q40" s="246"/>
      <c r="R40" s="246"/>
      <c r="S40" s="246"/>
      <c r="T40" s="246"/>
      <c r="U40" s="253">
        <v>26250</v>
      </c>
      <c r="V40" s="253">
        <v>125000</v>
      </c>
      <c r="W40" s="246"/>
      <c r="X40" s="246"/>
      <c r="Y40" s="253">
        <v>125000</v>
      </c>
      <c r="Z40" s="253">
        <v>0</v>
      </c>
      <c r="AA40" s="253">
        <v>0</v>
      </c>
      <c r="AB40" s="253">
        <v>0</v>
      </c>
      <c r="AC40" s="253">
        <v>26250</v>
      </c>
      <c r="AD40" s="253">
        <v>151250</v>
      </c>
    </row>
    <row r="41" spans="1:31" hidden="1" x14ac:dyDescent="0.25">
      <c r="A41" s="246" t="s">
        <v>1041</v>
      </c>
      <c r="B41" s="246" t="s">
        <v>745</v>
      </c>
      <c r="C41" s="253">
        <v>2</v>
      </c>
      <c r="D41" s="253">
        <v>634</v>
      </c>
      <c r="E41" s="253">
        <v>634</v>
      </c>
      <c r="F41" s="253">
        <v>75407495074987</v>
      </c>
      <c r="G41" s="246" t="s">
        <v>0</v>
      </c>
      <c r="H41" s="253">
        <v>20247881957</v>
      </c>
      <c r="I41" s="246" t="s">
        <v>1540</v>
      </c>
      <c r="J41" s="246" t="s">
        <v>0</v>
      </c>
      <c r="K41" s="253">
        <v>30710473168</v>
      </c>
      <c r="L41" s="253">
        <v>1</v>
      </c>
      <c r="M41" s="246" t="s">
        <v>740</v>
      </c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53">
        <v>0</v>
      </c>
      <c r="AC41" s="246"/>
      <c r="AD41" s="253">
        <v>13400</v>
      </c>
    </row>
    <row r="42" spans="1:31" hidden="1" x14ac:dyDescent="0.25">
      <c r="A42" s="246" t="s">
        <v>1541</v>
      </c>
      <c r="B42" s="246" t="s">
        <v>745</v>
      </c>
      <c r="C42" s="253">
        <v>2</v>
      </c>
      <c r="D42" s="253">
        <v>138</v>
      </c>
      <c r="E42" s="253">
        <v>138</v>
      </c>
      <c r="F42" s="253">
        <v>75408636655570</v>
      </c>
      <c r="G42" s="246" t="s">
        <v>0</v>
      </c>
      <c r="H42" s="253">
        <v>27315710508</v>
      </c>
      <c r="I42" s="246" t="s">
        <v>764</v>
      </c>
      <c r="J42" s="246" t="s">
        <v>0</v>
      </c>
      <c r="K42" s="253">
        <v>30710473168</v>
      </c>
      <c r="L42" s="253">
        <v>1</v>
      </c>
      <c r="M42" s="246" t="s">
        <v>740</v>
      </c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53">
        <v>0</v>
      </c>
      <c r="AC42" s="246"/>
      <c r="AD42" s="253">
        <v>51030</v>
      </c>
    </row>
    <row r="43" spans="1:31" hidden="1" x14ac:dyDescent="0.25">
      <c r="A43" s="125" t="s">
        <v>1069</v>
      </c>
      <c r="B43" s="125" t="s">
        <v>738</v>
      </c>
      <c r="C43" s="242">
        <v>17</v>
      </c>
      <c r="D43" s="242">
        <v>3413</v>
      </c>
      <c r="E43" s="242">
        <v>3413</v>
      </c>
      <c r="F43" s="242">
        <v>75401861436133</v>
      </c>
      <c r="G43" s="125" t="s">
        <v>0</v>
      </c>
      <c r="H43" s="242">
        <v>30711764921</v>
      </c>
      <c r="I43" s="125" t="s">
        <v>743</v>
      </c>
      <c r="J43" s="125" t="s">
        <v>0</v>
      </c>
      <c r="K43" s="242">
        <v>30710473168</v>
      </c>
      <c r="L43" s="242">
        <v>1</v>
      </c>
      <c r="M43" s="125" t="s">
        <v>740</v>
      </c>
      <c r="N43" s="125"/>
      <c r="O43" s="125"/>
      <c r="P43" s="125"/>
      <c r="Q43" s="125"/>
      <c r="R43" s="125"/>
      <c r="S43" s="125"/>
      <c r="T43" s="125"/>
      <c r="U43" s="243">
        <v>44110.71</v>
      </c>
      <c r="V43" s="242">
        <v>210051</v>
      </c>
      <c r="W43" s="125"/>
      <c r="X43" s="125"/>
      <c r="Y43" s="242">
        <v>210051</v>
      </c>
      <c r="Z43" s="242">
        <v>0</v>
      </c>
      <c r="AA43" s="242">
        <v>0</v>
      </c>
      <c r="AB43" s="242">
        <v>0</v>
      </c>
      <c r="AC43" s="243">
        <v>44110.71</v>
      </c>
      <c r="AD43" s="243">
        <v>254161.71</v>
      </c>
    </row>
    <row r="44" spans="1:31" hidden="1" x14ac:dyDescent="0.25">
      <c r="A44" s="125" t="s">
        <v>1069</v>
      </c>
      <c r="B44" s="125" t="s">
        <v>738</v>
      </c>
      <c r="C44" s="242">
        <v>120</v>
      </c>
      <c r="D44" s="242">
        <v>5947</v>
      </c>
      <c r="E44" s="242">
        <v>5947</v>
      </c>
      <c r="F44" s="242">
        <v>75405819860121</v>
      </c>
      <c r="G44" s="125" t="s">
        <v>0</v>
      </c>
      <c r="H44" s="242">
        <v>30587197215</v>
      </c>
      <c r="I44" s="125" t="s">
        <v>387</v>
      </c>
      <c r="J44" s="125" t="s">
        <v>0</v>
      </c>
      <c r="K44" s="242">
        <v>30710473168</v>
      </c>
      <c r="L44" s="242">
        <v>1</v>
      </c>
      <c r="M44" s="125" t="s">
        <v>740</v>
      </c>
      <c r="N44" s="125"/>
      <c r="O44" s="125"/>
      <c r="P44" s="125"/>
      <c r="Q44" s="125"/>
      <c r="R44" s="125"/>
      <c r="S44" s="125"/>
      <c r="T44" s="125"/>
      <c r="U44" s="243">
        <v>31239.67</v>
      </c>
      <c r="V44" s="243">
        <v>148760.32999999999</v>
      </c>
      <c r="W44" s="125"/>
      <c r="X44" s="125"/>
      <c r="Y44" s="243">
        <v>148760.32999999999</v>
      </c>
      <c r="Z44" s="242">
        <v>0</v>
      </c>
      <c r="AA44" s="242">
        <v>0</v>
      </c>
      <c r="AB44" s="243">
        <v>5950.41</v>
      </c>
      <c r="AC44" s="243">
        <v>31239.67</v>
      </c>
      <c r="AD44" s="243">
        <v>185950.41</v>
      </c>
    </row>
    <row r="45" spans="1:31" hidden="1" x14ac:dyDescent="0.25">
      <c r="A45" s="246" t="s">
        <v>1069</v>
      </c>
      <c r="B45" s="246" t="s">
        <v>745</v>
      </c>
      <c r="C45" s="253">
        <v>2</v>
      </c>
      <c r="D45" s="253">
        <v>380</v>
      </c>
      <c r="E45" s="253">
        <v>380</v>
      </c>
      <c r="F45" s="253">
        <v>75418135005567</v>
      </c>
      <c r="G45" s="246" t="s">
        <v>0</v>
      </c>
      <c r="H45" s="253">
        <v>27265832178</v>
      </c>
      <c r="I45" s="246" t="s">
        <v>65</v>
      </c>
      <c r="J45" s="246" t="s">
        <v>0</v>
      </c>
      <c r="K45" s="253">
        <v>30710473168</v>
      </c>
      <c r="L45" s="253">
        <v>1</v>
      </c>
      <c r="M45" s="246" t="s">
        <v>740</v>
      </c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  <c r="AA45" s="246"/>
      <c r="AB45" s="253">
        <v>0</v>
      </c>
      <c r="AC45" s="246"/>
      <c r="AD45" s="253">
        <v>3200000</v>
      </c>
    </row>
    <row r="46" spans="1:31" hidden="1" x14ac:dyDescent="0.25">
      <c r="A46" s="125" t="s">
        <v>1093</v>
      </c>
      <c r="B46" s="125" t="s">
        <v>738</v>
      </c>
      <c r="C46" s="242">
        <v>15</v>
      </c>
      <c r="D46" s="242">
        <v>5031</v>
      </c>
      <c r="E46" s="242">
        <v>5031</v>
      </c>
      <c r="F46" s="242">
        <v>75403963974821</v>
      </c>
      <c r="G46" s="125" t="s">
        <v>0</v>
      </c>
      <c r="H46" s="242">
        <v>30688140923</v>
      </c>
      <c r="I46" s="125" t="s">
        <v>769</v>
      </c>
      <c r="J46" s="125" t="s">
        <v>0</v>
      </c>
      <c r="K46" s="242">
        <v>30710473168</v>
      </c>
      <c r="L46" s="242">
        <v>1</v>
      </c>
      <c r="M46" s="125" t="s">
        <v>740</v>
      </c>
      <c r="N46" s="125"/>
      <c r="O46" s="125"/>
      <c r="P46" s="125"/>
      <c r="Q46" s="125"/>
      <c r="R46" s="125"/>
      <c r="S46" s="125"/>
      <c r="T46" s="125"/>
      <c r="U46" s="243">
        <v>26619.919999999998</v>
      </c>
      <c r="V46" s="125">
        <v>126761.5</v>
      </c>
      <c r="W46" s="125"/>
      <c r="X46" s="125"/>
      <c r="Y46" s="125">
        <v>126761.5</v>
      </c>
      <c r="Z46" s="242">
        <v>0</v>
      </c>
      <c r="AA46" s="242">
        <v>0</v>
      </c>
      <c r="AB46" s="242">
        <v>0</v>
      </c>
      <c r="AC46" s="243">
        <v>26619.919999999998</v>
      </c>
      <c r="AD46" s="243">
        <v>153381.42000000001</v>
      </c>
    </row>
    <row r="47" spans="1:31" hidden="1" x14ac:dyDescent="0.25">
      <c r="A47" s="250" t="s">
        <v>1093</v>
      </c>
      <c r="B47" s="250" t="s">
        <v>738</v>
      </c>
      <c r="C47" s="263">
        <v>3</v>
      </c>
      <c r="D47" s="263">
        <v>3479058</v>
      </c>
      <c r="E47" s="263">
        <v>3479058</v>
      </c>
      <c r="F47" s="263">
        <v>75409982100194</v>
      </c>
      <c r="G47" s="250" t="s">
        <v>0</v>
      </c>
      <c r="H47" s="263">
        <v>30712019359</v>
      </c>
      <c r="I47" s="250" t="s">
        <v>928</v>
      </c>
      <c r="J47" s="250" t="s">
        <v>0</v>
      </c>
      <c r="K47" s="263">
        <v>30710473168</v>
      </c>
      <c r="L47" s="263">
        <v>1</v>
      </c>
      <c r="M47" s="250" t="s">
        <v>740</v>
      </c>
      <c r="N47" s="250"/>
      <c r="O47" s="250"/>
      <c r="P47" s="250"/>
      <c r="Q47" s="250"/>
      <c r="R47" s="250"/>
      <c r="S47" s="250"/>
      <c r="T47" s="250"/>
      <c r="U47" s="264">
        <v>3731.23</v>
      </c>
      <c r="V47" s="264">
        <v>17767.77</v>
      </c>
      <c r="W47" s="250"/>
      <c r="X47" s="250"/>
      <c r="Y47" s="264">
        <v>17767.77</v>
      </c>
      <c r="Z47" s="263">
        <v>0</v>
      </c>
      <c r="AA47" s="263"/>
      <c r="AB47" s="264">
        <v>710.72</v>
      </c>
      <c r="AC47" s="264">
        <v>3731.23</v>
      </c>
      <c r="AD47" s="264">
        <v>22209.72</v>
      </c>
      <c r="AE47" t="s">
        <v>1563</v>
      </c>
    </row>
    <row r="48" spans="1:31" hidden="1" x14ac:dyDescent="0.25">
      <c r="A48" s="125" t="s">
        <v>1093</v>
      </c>
      <c r="B48" s="125" t="s">
        <v>738</v>
      </c>
      <c r="C48" s="242">
        <v>6</v>
      </c>
      <c r="D48" s="242">
        <v>3443</v>
      </c>
      <c r="E48" s="242">
        <v>3443</v>
      </c>
      <c r="F48" s="242">
        <v>75404953036460</v>
      </c>
      <c r="G48" s="125" t="s">
        <v>0</v>
      </c>
      <c r="H48" s="242">
        <v>30715775014</v>
      </c>
      <c r="I48" s="125" t="s">
        <v>1542</v>
      </c>
      <c r="J48" s="125" t="s">
        <v>0</v>
      </c>
      <c r="K48" s="242">
        <v>30710473168</v>
      </c>
      <c r="L48" s="242">
        <v>1</v>
      </c>
      <c r="M48" s="125" t="s">
        <v>740</v>
      </c>
      <c r="N48" s="125"/>
      <c r="O48" s="125"/>
      <c r="P48" s="125"/>
      <c r="Q48" s="125"/>
      <c r="R48" s="125"/>
      <c r="S48" s="243">
        <v>4028.96</v>
      </c>
      <c r="T48" s="243">
        <v>38371.040000000001</v>
      </c>
      <c r="U48" s="125"/>
      <c r="V48" s="125"/>
      <c r="W48" s="125"/>
      <c r="X48" s="125"/>
      <c r="Y48" s="243">
        <v>38371.040000000001</v>
      </c>
      <c r="Z48" s="242">
        <v>0</v>
      </c>
      <c r="AA48" s="242">
        <v>0</v>
      </c>
      <c r="AB48" s="243">
        <v>1534.84</v>
      </c>
      <c r="AC48" s="243">
        <v>4028.96</v>
      </c>
      <c r="AD48" s="243">
        <v>43934.84</v>
      </c>
    </row>
    <row r="49" spans="1:30" hidden="1" x14ac:dyDescent="0.25">
      <c r="A49" s="246" t="s">
        <v>1093</v>
      </c>
      <c r="B49" s="246" t="s">
        <v>745</v>
      </c>
      <c r="C49" s="253">
        <v>1</v>
      </c>
      <c r="D49" s="253">
        <v>5</v>
      </c>
      <c r="E49" s="253">
        <v>5</v>
      </c>
      <c r="F49" s="253">
        <v>75402996095252</v>
      </c>
      <c r="G49" s="246" t="s">
        <v>0</v>
      </c>
      <c r="H49" s="253">
        <v>27380284052</v>
      </c>
      <c r="I49" s="246" t="s">
        <v>927</v>
      </c>
      <c r="J49" s="246" t="s">
        <v>0</v>
      </c>
      <c r="K49" s="253">
        <v>30710473168</v>
      </c>
      <c r="L49" s="253">
        <v>1</v>
      </c>
      <c r="M49" s="246" t="s">
        <v>740</v>
      </c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53">
        <v>0</v>
      </c>
      <c r="AC49" s="246"/>
      <c r="AD49" s="253">
        <v>4365000</v>
      </c>
    </row>
    <row r="50" spans="1:30" hidden="1" x14ac:dyDescent="0.25">
      <c r="A50" s="246" t="s">
        <v>1093</v>
      </c>
      <c r="B50" s="246" t="s">
        <v>745</v>
      </c>
      <c r="C50" s="253">
        <v>1</v>
      </c>
      <c r="D50" s="253">
        <v>19</v>
      </c>
      <c r="E50" s="253">
        <v>19</v>
      </c>
      <c r="F50" s="253">
        <v>75403997414283</v>
      </c>
      <c r="G50" s="246" t="s">
        <v>0</v>
      </c>
      <c r="H50" s="253">
        <v>27443612713</v>
      </c>
      <c r="I50" s="246" t="s">
        <v>761</v>
      </c>
      <c r="J50" s="246" t="s">
        <v>0</v>
      </c>
      <c r="K50" s="253">
        <v>30710473168</v>
      </c>
      <c r="L50" s="253">
        <v>1</v>
      </c>
      <c r="M50" s="246" t="s">
        <v>740</v>
      </c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  <c r="AA50" s="246"/>
      <c r="AB50" s="253">
        <v>0</v>
      </c>
      <c r="AC50" s="246"/>
      <c r="AD50" s="253">
        <v>870000</v>
      </c>
    </row>
    <row r="51" spans="1:30" hidden="1" x14ac:dyDescent="0.25">
      <c r="A51" s="125" t="s">
        <v>1137</v>
      </c>
      <c r="B51" s="125" t="s">
        <v>738</v>
      </c>
      <c r="C51" s="242">
        <v>5</v>
      </c>
      <c r="D51" s="242">
        <v>1694</v>
      </c>
      <c r="E51" s="253">
        <v>1694</v>
      </c>
      <c r="F51" s="253">
        <v>75415156068683</v>
      </c>
      <c r="G51" s="246" t="s">
        <v>0</v>
      </c>
      <c r="H51" s="253">
        <v>27265302225</v>
      </c>
      <c r="I51" s="246" t="s">
        <v>409</v>
      </c>
      <c r="J51" s="125" t="s">
        <v>0</v>
      </c>
      <c r="K51" s="242">
        <v>30710473168</v>
      </c>
      <c r="L51" s="242">
        <v>1</v>
      </c>
      <c r="M51" s="125" t="s">
        <v>740</v>
      </c>
      <c r="N51" s="125"/>
      <c r="O51" s="125"/>
      <c r="P51" s="125"/>
      <c r="Q51" s="125"/>
      <c r="R51" s="125"/>
      <c r="S51" s="125"/>
      <c r="T51" s="125"/>
      <c r="U51" s="242">
        <v>294000</v>
      </c>
      <c r="V51" s="242">
        <v>1400000</v>
      </c>
      <c r="W51" s="125"/>
      <c r="X51" s="125"/>
      <c r="Y51" s="242">
        <v>1400000</v>
      </c>
      <c r="Z51" s="242">
        <v>0</v>
      </c>
      <c r="AA51" s="242">
        <v>0</v>
      </c>
      <c r="AB51" s="242">
        <v>0</v>
      </c>
      <c r="AC51" s="242">
        <v>294000</v>
      </c>
      <c r="AD51" s="242">
        <v>1694000</v>
      </c>
    </row>
    <row r="52" spans="1:30" hidden="1" x14ac:dyDescent="0.25">
      <c r="A52" s="246" t="s">
        <v>1137</v>
      </c>
      <c r="B52" s="246" t="s">
        <v>738</v>
      </c>
      <c r="C52" s="253">
        <v>9</v>
      </c>
      <c r="D52" s="253">
        <v>23056</v>
      </c>
      <c r="E52" s="253">
        <v>23056</v>
      </c>
      <c r="F52" s="253">
        <v>75412180556662</v>
      </c>
      <c r="G52" s="246" t="s">
        <v>0</v>
      </c>
      <c r="H52" s="253">
        <v>20207044262</v>
      </c>
      <c r="I52" s="246" t="s">
        <v>1543</v>
      </c>
      <c r="J52" s="246" t="s">
        <v>0</v>
      </c>
      <c r="K52" s="253">
        <v>30710473168</v>
      </c>
      <c r="L52" s="253">
        <v>1</v>
      </c>
      <c r="M52" s="246" t="s">
        <v>740</v>
      </c>
      <c r="N52" s="246"/>
      <c r="O52" s="246"/>
      <c r="P52" s="246"/>
      <c r="Q52" s="246"/>
      <c r="R52" s="246"/>
      <c r="S52" s="246"/>
      <c r="T52" s="246"/>
      <c r="U52" s="254">
        <v>4915.21</v>
      </c>
      <c r="V52" s="254">
        <v>23405.78</v>
      </c>
      <c r="W52" s="246"/>
      <c r="X52" s="246"/>
      <c r="Y52" s="254">
        <v>23405.78</v>
      </c>
      <c r="Z52" s="253">
        <v>0</v>
      </c>
      <c r="AA52" s="253">
        <v>0</v>
      </c>
      <c r="AB52" s="253">
        <v>0</v>
      </c>
      <c r="AC52" s="254">
        <v>4915.21</v>
      </c>
      <c r="AD52" s="254">
        <v>28320.99</v>
      </c>
    </row>
    <row r="53" spans="1:30" hidden="1" x14ac:dyDescent="0.25">
      <c r="A53" s="246" t="s">
        <v>1137</v>
      </c>
      <c r="B53" s="246" t="s">
        <v>738</v>
      </c>
      <c r="C53" s="253">
        <v>2</v>
      </c>
      <c r="D53" s="253">
        <v>1598</v>
      </c>
      <c r="E53" s="253">
        <v>1598</v>
      </c>
      <c r="F53" s="253">
        <v>75419162856166</v>
      </c>
      <c r="G53" s="246" t="s">
        <v>0</v>
      </c>
      <c r="H53" s="253">
        <v>20272865869</v>
      </c>
      <c r="I53" s="246" t="s">
        <v>561</v>
      </c>
      <c r="J53" s="246" t="s">
        <v>0</v>
      </c>
      <c r="K53" s="253">
        <v>30710473168</v>
      </c>
      <c r="L53" s="253">
        <v>1</v>
      </c>
      <c r="M53" s="246" t="s">
        <v>740</v>
      </c>
      <c r="N53" s="246"/>
      <c r="O53" s="246"/>
      <c r="P53" s="246"/>
      <c r="Q53" s="246"/>
      <c r="R53" s="246"/>
      <c r="S53" s="246"/>
      <c r="T53" s="246"/>
      <c r="U53" s="253">
        <v>14007</v>
      </c>
      <c r="V53" s="253">
        <v>66700</v>
      </c>
      <c r="W53" s="246"/>
      <c r="X53" s="246"/>
      <c r="Y53" s="253">
        <v>66700</v>
      </c>
      <c r="Z53" s="253">
        <v>0</v>
      </c>
      <c r="AA53" s="253">
        <v>0</v>
      </c>
      <c r="AB53" s="253">
        <v>0</v>
      </c>
      <c r="AC53" s="253">
        <v>14007</v>
      </c>
      <c r="AD53" s="253">
        <v>80707</v>
      </c>
    </row>
    <row r="54" spans="1:30" hidden="1" x14ac:dyDescent="0.25">
      <c r="A54" s="125" t="s">
        <v>1137</v>
      </c>
      <c r="B54" s="125" t="s">
        <v>738</v>
      </c>
      <c r="C54" s="242">
        <v>1055</v>
      </c>
      <c r="D54" s="242">
        <v>908</v>
      </c>
      <c r="E54" s="242">
        <v>908</v>
      </c>
      <c r="F54" s="242">
        <v>75411108275705</v>
      </c>
      <c r="G54" s="125" t="s">
        <v>0</v>
      </c>
      <c r="H54" s="242">
        <v>30685849751</v>
      </c>
      <c r="I54" s="125" t="s">
        <v>685</v>
      </c>
      <c r="J54" s="125" t="s">
        <v>0</v>
      </c>
      <c r="K54" s="242">
        <v>30710473168</v>
      </c>
      <c r="L54" s="242">
        <v>1</v>
      </c>
      <c r="M54" s="125" t="s">
        <v>740</v>
      </c>
      <c r="N54" s="125"/>
      <c r="O54" s="125"/>
      <c r="P54" s="125"/>
      <c r="Q54" s="125"/>
      <c r="R54" s="125"/>
      <c r="S54" s="125"/>
      <c r="T54" s="125"/>
      <c r="U54" s="243">
        <v>1135.56</v>
      </c>
      <c r="V54" s="243">
        <v>5407.44</v>
      </c>
      <c r="W54" s="125"/>
      <c r="X54" s="125"/>
      <c r="Y54" s="243">
        <v>5407.44</v>
      </c>
      <c r="Z54" s="242">
        <v>0</v>
      </c>
      <c r="AA54" s="242">
        <v>0</v>
      </c>
      <c r="AB54" s="125">
        <v>216.3</v>
      </c>
      <c r="AC54" s="243">
        <v>1135.56</v>
      </c>
      <c r="AD54" s="125">
        <v>6759.3</v>
      </c>
    </row>
    <row r="55" spans="1:30" hidden="1" x14ac:dyDescent="0.25">
      <c r="A55" s="246" t="s">
        <v>960</v>
      </c>
      <c r="B55" s="246" t="s">
        <v>738</v>
      </c>
      <c r="C55" s="253">
        <v>711</v>
      </c>
      <c r="D55" s="253">
        <v>7668587</v>
      </c>
      <c r="E55" s="253">
        <v>7668587</v>
      </c>
      <c r="F55" s="253">
        <v>35399087215211</v>
      </c>
      <c r="G55" s="246" t="s">
        <v>0</v>
      </c>
      <c r="H55" s="253">
        <v>30677237119</v>
      </c>
      <c r="I55" s="246" t="s">
        <v>584</v>
      </c>
      <c r="J55" s="246" t="s">
        <v>0</v>
      </c>
      <c r="K55" s="253">
        <v>30710473168</v>
      </c>
      <c r="L55" s="253">
        <v>1</v>
      </c>
      <c r="M55" s="246" t="s">
        <v>740</v>
      </c>
      <c r="N55" s="246"/>
      <c r="O55" s="246"/>
      <c r="P55" s="246"/>
      <c r="Q55" s="246"/>
      <c r="R55" s="246"/>
      <c r="S55" s="246"/>
      <c r="T55" s="246"/>
      <c r="U55" s="254">
        <v>1941.32</v>
      </c>
      <c r="V55" s="254">
        <v>9244.34</v>
      </c>
      <c r="W55" s="246"/>
      <c r="X55" s="246"/>
      <c r="Y55" s="254">
        <v>9244.34</v>
      </c>
      <c r="Z55" s="253">
        <v>0</v>
      </c>
      <c r="AA55" s="254">
        <v>277.33</v>
      </c>
      <c r="AB55" s="254">
        <v>369.77</v>
      </c>
      <c r="AC55" s="254">
        <v>1941.32</v>
      </c>
      <c r="AD55" s="254">
        <v>11832.76</v>
      </c>
    </row>
    <row r="56" spans="1:30" hidden="1" x14ac:dyDescent="0.25">
      <c r="A56" s="246" t="s">
        <v>1137</v>
      </c>
      <c r="B56" s="246" t="s">
        <v>738</v>
      </c>
      <c r="C56" s="253">
        <v>7</v>
      </c>
      <c r="D56" s="253">
        <v>56</v>
      </c>
      <c r="E56" s="253">
        <v>56</v>
      </c>
      <c r="F56" s="253">
        <v>75413107535128</v>
      </c>
      <c r="G56" s="246" t="s">
        <v>0</v>
      </c>
      <c r="H56" s="253">
        <v>27325223273</v>
      </c>
      <c r="I56" s="246" t="s">
        <v>767</v>
      </c>
      <c r="J56" s="246" t="s">
        <v>0</v>
      </c>
      <c r="K56" s="253">
        <v>30710473168</v>
      </c>
      <c r="L56" s="253">
        <v>1</v>
      </c>
      <c r="M56" s="246" t="s">
        <v>740</v>
      </c>
      <c r="N56" s="246"/>
      <c r="O56" s="246"/>
      <c r="P56" s="246"/>
      <c r="Q56" s="246"/>
      <c r="R56" s="246"/>
      <c r="S56" s="246"/>
      <c r="T56" s="246"/>
      <c r="U56" s="253">
        <v>273000</v>
      </c>
      <c r="V56" s="253">
        <v>1300000</v>
      </c>
      <c r="W56" s="246"/>
      <c r="X56" s="246"/>
      <c r="Y56" s="253">
        <v>1300000</v>
      </c>
      <c r="Z56" s="253">
        <v>0</v>
      </c>
      <c r="AA56" s="253">
        <v>0</v>
      </c>
      <c r="AB56" s="253">
        <v>0</v>
      </c>
      <c r="AC56" s="253">
        <v>273000</v>
      </c>
      <c r="AD56" s="253">
        <v>1573000</v>
      </c>
    </row>
    <row r="57" spans="1:30" hidden="1" x14ac:dyDescent="0.25">
      <c r="A57" s="125" t="s">
        <v>1164</v>
      </c>
      <c r="B57" s="125" t="s">
        <v>738</v>
      </c>
      <c r="C57" s="242">
        <v>1055</v>
      </c>
      <c r="D57" s="242">
        <v>910</v>
      </c>
      <c r="E57" s="242">
        <v>910</v>
      </c>
      <c r="F57" s="242">
        <v>75411242633841</v>
      </c>
      <c r="G57" s="125" t="s">
        <v>0</v>
      </c>
      <c r="H57" s="242">
        <v>30685849751</v>
      </c>
      <c r="I57" s="125" t="s">
        <v>685</v>
      </c>
      <c r="J57" s="125" t="s">
        <v>0</v>
      </c>
      <c r="K57" s="242">
        <v>30710473168</v>
      </c>
      <c r="L57" s="242">
        <v>1</v>
      </c>
      <c r="M57" s="125" t="s">
        <v>740</v>
      </c>
      <c r="N57" s="125"/>
      <c r="O57" s="125"/>
      <c r="P57" s="125"/>
      <c r="Q57" s="125"/>
      <c r="R57" s="125"/>
      <c r="S57" s="125"/>
      <c r="T57" s="125"/>
      <c r="U57" s="243">
        <v>343.64</v>
      </c>
      <c r="V57" s="243">
        <v>1636.36</v>
      </c>
      <c r="W57" s="125"/>
      <c r="X57" s="125"/>
      <c r="Y57" s="243">
        <v>1636.36</v>
      </c>
      <c r="Z57" s="242">
        <v>0</v>
      </c>
      <c r="AA57" s="242">
        <v>0</v>
      </c>
      <c r="AB57" s="242">
        <v>0</v>
      </c>
      <c r="AC57" s="243">
        <v>343.64</v>
      </c>
      <c r="AD57" s="242">
        <v>1980</v>
      </c>
    </row>
    <row r="58" spans="1:30" hidden="1" x14ac:dyDescent="0.25">
      <c r="A58" s="125" t="s">
        <v>1164</v>
      </c>
      <c r="B58" s="125" t="s">
        <v>738</v>
      </c>
      <c r="C58" s="242">
        <v>3101</v>
      </c>
      <c r="D58" s="242">
        <v>390491</v>
      </c>
      <c r="E58" s="242">
        <v>390491</v>
      </c>
      <c r="F58" s="242">
        <v>75417293327196</v>
      </c>
      <c r="G58" s="125" t="s">
        <v>0</v>
      </c>
      <c r="H58" s="242">
        <v>30678814357</v>
      </c>
      <c r="I58" s="125" t="s">
        <v>744</v>
      </c>
      <c r="J58" s="125" t="s">
        <v>0</v>
      </c>
      <c r="K58" s="242">
        <v>30710473168</v>
      </c>
      <c r="L58" s="242">
        <v>1</v>
      </c>
      <c r="M58" s="125" t="s">
        <v>740</v>
      </c>
      <c r="N58" s="125"/>
      <c r="O58" s="125"/>
      <c r="P58" s="125"/>
      <c r="Q58" s="125"/>
      <c r="R58" s="125"/>
      <c r="S58" s="125"/>
      <c r="T58" s="125"/>
      <c r="U58" s="125"/>
      <c r="V58" s="125"/>
      <c r="W58" s="243">
        <v>16530.150000000001</v>
      </c>
      <c r="X58" s="125">
        <v>61222.8</v>
      </c>
      <c r="Y58" s="125">
        <v>61222.8</v>
      </c>
      <c r="Z58" s="242">
        <v>0</v>
      </c>
      <c r="AA58" s="242">
        <v>0</v>
      </c>
      <c r="AB58" s="243">
        <v>4285.59</v>
      </c>
      <c r="AC58" s="243">
        <v>16530.150000000001</v>
      </c>
      <c r="AD58" s="243">
        <v>82038.539999999994</v>
      </c>
    </row>
    <row r="59" spans="1:30" hidden="1" x14ac:dyDescent="0.25">
      <c r="A59" s="125" t="s">
        <v>1164</v>
      </c>
      <c r="B59" s="125" t="s">
        <v>738</v>
      </c>
      <c r="C59" s="242">
        <v>2</v>
      </c>
      <c r="D59" s="242">
        <v>8600</v>
      </c>
      <c r="E59" s="242">
        <v>8600</v>
      </c>
      <c r="F59" s="242">
        <v>75418292258895</v>
      </c>
      <c r="G59" s="125" t="s">
        <v>0</v>
      </c>
      <c r="H59" s="242">
        <v>30643862928</v>
      </c>
      <c r="I59" s="125" t="s">
        <v>1544</v>
      </c>
      <c r="J59" s="125" t="s">
        <v>0</v>
      </c>
      <c r="K59" s="242">
        <v>30710473168</v>
      </c>
      <c r="L59" s="242">
        <v>1</v>
      </c>
      <c r="M59" s="125" t="s">
        <v>740</v>
      </c>
      <c r="N59" s="125"/>
      <c r="O59" s="125"/>
      <c r="P59" s="125"/>
      <c r="Q59" s="125"/>
      <c r="R59" s="125"/>
      <c r="S59" s="125"/>
      <c r="T59" s="125"/>
      <c r="U59" s="243">
        <v>61923.97</v>
      </c>
      <c r="V59" s="243">
        <v>294876.03000000003</v>
      </c>
      <c r="W59" s="125"/>
      <c r="X59" s="125"/>
      <c r="Y59" s="243">
        <v>294876.03000000003</v>
      </c>
      <c r="Z59" s="242">
        <v>0</v>
      </c>
      <c r="AA59" s="242">
        <v>0</v>
      </c>
      <c r="AB59" s="242">
        <v>0</v>
      </c>
      <c r="AC59" s="243">
        <v>61923.97</v>
      </c>
      <c r="AD59" s="242">
        <v>356800</v>
      </c>
    </row>
    <row r="60" spans="1:30" hidden="1" x14ac:dyDescent="0.25">
      <c r="A60" s="246" t="s">
        <v>1164</v>
      </c>
      <c r="B60" s="246" t="s">
        <v>738</v>
      </c>
      <c r="C60" s="253">
        <v>700</v>
      </c>
      <c r="D60" s="253">
        <v>2758592</v>
      </c>
      <c r="E60" s="253">
        <v>2758592</v>
      </c>
      <c r="F60" s="253">
        <v>75412448694790</v>
      </c>
      <c r="G60" s="246" t="s">
        <v>0</v>
      </c>
      <c r="H60" s="253">
        <v>30715804812</v>
      </c>
      <c r="I60" s="246" t="s">
        <v>751</v>
      </c>
      <c r="J60" s="246" t="s">
        <v>0</v>
      </c>
      <c r="K60" s="253">
        <v>30710473168</v>
      </c>
      <c r="L60" s="253">
        <v>1</v>
      </c>
      <c r="M60" s="246" t="s">
        <v>740</v>
      </c>
      <c r="N60" s="246"/>
      <c r="O60" s="246"/>
      <c r="P60" s="246"/>
      <c r="Q60" s="246"/>
      <c r="R60" s="246"/>
      <c r="S60" s="246"/>
      <c r="T60" s="246"/>
      <c r="U60" s="254">
        <v>2620.7600000000002</v>
      </c>
      <c r="V60" s="254">
        <v>12479.78</v>
      </c>
      <c r="W60" s="246"/>
      <c r="X60" s="246"/>
      <c r="Y60" s="254">
        <v>12479.78</v>
      </c>
      <c r="Z60" s="253">
        <v>0</v>
      </c>
      <c r="AA60" s="253">
        <v>0</v>
      </c>
      <c r="AB60" s="254">
        <v>499.19</v>
      </c>
      <c r="AC60" s="254">
        <v>2620.7600000000002</v>
      </c>
      <c r="AD60" s="254">
        <v>15599.73</v>
      </c>
    </row>
    <row r="61" spans="1:30" hidden="1" x14ac:dyDescent="0.25">
      <c r="A61" s="246" t="s">
        <v>1164</v>
      </c>
      <c r="B61" s="246" t="s">
        <v>738</v>
      </c>
      <c r="C61" s="253">
        <v>6</v>
      </c>
      <c r="D61" s="253">
        <v>123</v>
      </c>
      <c r="E61" s="253">
        <v>123</v>
      </c>
      <c r="F61" s="253">
        <v>75416306146099</v>
      </c>
      <c r="G61" s="246" t="s">
        <v>0</v>
      </c>
      <c r="H61" s="253">
        <v>30711610096</v>
      </c>
      <c r="I61" s="246" t="s">
        <v>662</v>
      </c>
      <c r="J61" s="246" t="s">
        <v>0</v>
      </c>
      <c r="K61" s="253">
        <v>30710473168</v>
      </c>
      <c r="L61" s="253">
        <v>1</v>
      </c>
      <c r="M61" s="246" t="s">
        <v>740</v>
      </c>
      <c r="N61" s="246"/>
      <c r="O61" s="246"/>
      <c r="P61" s="246"/>
      <c r="Q61" s="246"/>
      <c r="R61" s="246"/>
      <c r="S61" s="246"/>
      <c r="T61" s="246"/>
      <c r="U61" s="246">
        <v>181780.2</v>
      </c>
      <c r="V61" s="253">
        <v>865620</v>
      </c>
      <c r="W61" s="246"/>
      <c r="X61" s="246"/>
      <c r="Y61" s="253">
        <v>865620</v>
      </c>
      <c r="Z61" s="253">
        <v>0</v>
      </c>
      <c r="AA61" s="253">
        <v>0</v>
      </c>
      <c r="AB61" s="253">
        <v>0</v>
      </c>
      <c r="AC61" s="246">
        <v>181780.2</v>
      </c>
      <c r="AD61" s="246">
        <v>1047400.2</v>
      </c>
    </row>
    <row r="62" spans="1:30" hidden="1" x14ac:dyDescent="0.25">
      <c r="A62" s="246" t="s">
        <v>1164</v>
      </c>
      <c r="B62" s="246" t="s">
        <v>738</v>
      </c>
      <c r="C62" s="253">
        <v>6</v>
      </c>
      <c r="D62" s="253">
        <v>121</v>
      </c>
      <c r="E62" s="253">
        <v>121</v>
      </c>
      <c r="F62" s="253">
        <v>75416296869603</v>
      </c>
      <c r="G62" s="246" t="s">
        <v>0</v>
      </c>
      <c r="H62" s="253">
        <v>30711610096</v>
      </c>
      <c r="I62" s="246" t="s">
        <v>662</v>
      </c>
      <c r="J62" s="246" t="s">
        <v>0</v>
      </c>
      <c r="K62" s="253">
        <v>30710473168</v>
      </c>
      <c r="L62" s="253">
        <v>1</v>
      </c>
      <c r="M62" s="246" t="s">
        <v>740</v>
      </c>
      <c r="N62" s="246"/>
      <c r="O62" s="246"/>
      <c r="P62" s="246"/>
      <c r="Q62" s="246"/>
      <c r="R62" s="246"/>
      <c r="S62" s="246"/>
      <c r="T62" s="246"/>
      <c r="U62" s="246">
        <v>181780.2</v>
      </c>
      <c r="V62" s="253">
        <v>865620</v>
      </c>
      <c r="W62" s="246"/>
      <c r="X62" s="246"/>
      <c r="Y62" s="253">
        <v>865620</v>
      </c>
      <c r="Z62" s="253">
        <v>0</v>
      </c>
      <c r="AA62" s="253">
        <v>0</v>
      </c>
      <c r="AB62" s="253">
        <v>0</v>
      </c>
      <c r="AC62" s="246">
        <v>181780.2</v>
      </c>
      <c r="AD62" s="246">
        <v>1047400.2</v>
      </c>
    </row>
    <row r="63" spans="1:30" hidden="1" x14ac:dyDescent="0.25">
      <c r="A63" s="246" t="s">
        <v>1164</v>
      </c>
      <c r="B63" s="246" t="s">
        <v>749</v>
      </c>
      <c r="C63" s="253">
        <v>2</v>
      </c>
      <c r="D63" s="253">
        <v>101</v>
      </c>
      <c r="E63" s="253">
        <v>101</v>
      </c>
      <c r="F63" s="253">
        <v>75419233862932</v>
      </c>
      <c r="G63" s="246" t="s">
        <v>0</v>
      </c>
      <c r="H63" s="253">
        <v>20272865869</v>
      </c>
      <c r="I63" s="246" t="s">
        <v>561</v>
      </c>
      <c r="J63" s="246" t="s">
        <v>0</v>
      </c>
      <c r="K63" s="253">
        <v>30710473168</v>
      </c>
      <c r="L63" s="253">
        <v>1</v>
      </c>
      <c r="M63" s="246" t="s">
        <v>740</v>
      </c>
      <c r="N63" s="246"/>
      <c r="O63" s="246"/>
      <c r="P63" s="246"/>
      <c r="Q63" s="246"/>
      <c r="R63" s="246"/>
      <c r="S63" s="246"/>
      <c r="T63" s="246"/>
      <c r="U63" s="253">
        <v>2793</v>
      </c>
      <c r="V63" s="253">
        <v>13300</v>
      </c>
      <c r="W63" s="246"/>
      <c r="X63" s="246"/>
      <c r="Y63" s="253">
        <v>13300</v>
      </c>
      <c r="Z63" s="253">
        <v>0</v>
      </c>
      <c r="AA63" s="253">
        <v>0</v>
      </c>
      <c r="AB63" s="253">
        <v>0</v>
      </c>
      <c r="AC63" s="253">
        <v>2793</v>
      </c>
      <c r="AD63" s="253">
        <v>16093</v>
      </c>
    </row>
    <row r="64" spans="1:30" hidden="1" x14ac:dyDescent="0.25">
      <c r="A64" s="246" t="s">
        <v>1164</v>
      </c>
      <c r="B64" s="246" t="s">
        <v>745</v>
      </c>
      <c r="C64" s="253">
        <v>1</v>
      </c>
      <c r="D64" s="253">
        <v>30</v>
      </c>
      <c r="E64" s="253">
        <v>30</v>
      </c>
      <c r="F64" s="253">
        <v>75415290283482</v>
      </c>
      <c r="G64" s="246" t="s">
        <v>0</v>
      </c>
      <c r="H64" s="253">
        <v>27443612705</v>
      </c>
      <c r="I64" s="246" t="s">
        <v>755</v>
      </c>
      <c r="J64" s="246" t="s">
        <v>0</v>
      </c>
      <c r="K64" s="253">
        <v>30710473168</v>
      </c>
      <c r="L64" s="253">
        <v>1</v>
      </c>
      <c r="M64" s="246" t="s">
        <v>740</v>
      </c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  <c r="AA64" s="246"/>
      <c r="AB64" s="253">
        <v>0</v>
      </c>
      <c r="AC64" s="246"/>
      <c r="AD64" s="253">
        <v>900000</v>
      </c>
    </row>
    <row r="65" spans="1:31" hidden="1" x14ac:dyDescent="0.25">
      <c r="A65" s="125" t="s">
        <v>1194</v>
      </c>
      <c r="B65" s="125" t="s">
        <v>738</v>
      </c>
      <c r="C65" s="242">
        <v>8</v>
      </c>
      <c r="D65" s="242">
        <v>2509</v>
      </c>
      <c r="E65" s="242">
        <v>2509</v>
      </c>
      <c r="F65" s="242">
        <v>75419789475716</v>
      </c>
      <c r="G65" s="125" t="s">
        <v>0</v>
      </c>
      <c r="H65" s="242">
        <v>23288035059</v>
      </c>
      <c r="I65" s="125" t="s">
        <v>1545</v>
      </c>
      <c r="J65" s="125" t="s">
        <v>0</v>
      </c>
      <c r="K65" s="242">
        <v>30710473168</v>
      </c>
      <c r="L65" s="242">
        <v>1</v>
      </c>
      <c r="M65" s="125" t="s">
        <v>740</v>
      </c>
      <c r="N65" s="125"/>
      <c r="O65" s="125"/>
      <c r="P65" s="125"/>
      <c r="Q65" s="125"/>
      <c r="R65" s="125"/>
      <c r="S65" s="125"/>
      <c r="T65" s="125"/>
      <c r="U65" s="243">
        <v>1969.83</v>
      </c>
      <c r="V65" s="243">
        <v>9380.17</v>
      </c>
      <c r="W65" s="125"/>
      <c r="X65" s="125"/>
      <c r="Y65" s="243">
        <v>9380.17</v>
      </c>
      <c r="Z65" s="242">
        <v>0</v>
      </c>
      <c r="AA65" s="242">
        <v>0</v>
      </c>
      <c r="AB65" s="242">
        <v>0</v>
      </c>
      <c r="AC65" s="243">
        <v>1969.83</v>
      </c>
      <c r="AD65" s="242">
        <v>11350</v>
      </c>
    </row>
    <row r="66" spans="1:31" hidden="1" x14ac:dyDescent="0.25">
      <c r="A66" s="246" t="s">
        <v>1194</v>
      </c>
      <c r="B66" s="246" t="s">
        <v>738</v>
      </c>
      <c r="C66" s="253">
        <v>2</v>
      </c>
      <c r="D66" s="253">
        <v>6499</v>
      </c>
      <c r="E66" s="253">
        <v>6499</v>
      </c>
      <c r="F66" s="253">
        <v>75417753007542</v>
      </c>
      <c r="G66" s="246" t="s">
        <v>0</v>
      </c>
      <c r="H66" s="253">
        <v>20263170017</v>
      </c>
      <c r="I66" s="246" t="s">
        <v>1546</v>
      </c>
      <c r="J66" s="246" t="s">
        <v>0</v>
      </c>
      <c r="K66" s="253">
        <v>30710473168</v>
      </c>
      <c r="L66" s="253">
        <v>1</v>
      </c>
      <c r="M66" s="246" t="s">
        <v>740</v>
      </c>
      <c r="N66" s="246"/>
      <c r="O66" s="246"/>
      <c r="P66" s="246"/>
      <c r="Q66" s="246"/>
      <c r="R66" s="246"/>
      <c r="S66" s="246"/>
      <c r="T66" s="246"/>
      <c r="U66" s="254">
        <v>3642.89</v>
      </c>
      <c r="V66" s="254">
        <v>17347.11</v>
      </c>
      <c r="W66" s="246"/>
      <c r="X66" s="246"/>
      <c r="Y66" s="254">
        <v>17347.11</v>
      </c>
      <c r="Z66" s="253">
        <v>0</v>
      </c>
      <c r="AA66" s="253">
        <v>0</v>
      </c>
      <c r="AB66" s="253">
        <v>0</v>
      </c>
      <c r="AC66" s="254">
        <v>3642.89</v>
      </c>
      <c r="AD66" s="253">
        <v>20990</v>
      </c>
      <c r="AE66" t="s">
        <v>1563</v>
      </c>
    </row>
    <row r="67" spans="1:31" hidden="1" x14ac:dyDescent="0.25">
      <c r="A67" s="125" t="s">
        <v>1194</v>
      </c>
      <c r="B67" s="125" t="s">
        <v>738</v>
      </c>
      <c r="C67" s="242">
        <v>3</v>
      </c>
      <c r="D67" s="242">
        <v>149</v>
      </c>
      <c r="E67" s="242">
        <v>149</v>
      </c>
      <c r="F67" s="242">
        <v>75412711422997</v>
      </c>
      <c r="G67" s="125" t="s">
        <v>0</v>
      </c>
      <c r="H67" s="242">
        <v>27160577652</v>
      </c>
      <c r="I67" s="125" t="s">
        <v>1547</v>
      </c>
      <c r="J67" s="125" t="s">
        <v>0</v>
      </c>
      <c r="K67" s="242">
        <v>30710473168</v>
      </c>
      <c r="L67" s="242">
        <v>1</v>
      </c>
      <c r="M67" s="125" t="s">
        <v>740</v>
      </c>
      <c r="N67" s="125"/>
      <c r="O67" s="125"/>
      <c r="P67" s="125"/>
      <c r="Q67" s="125"/>
      <c r="R67" s="125"/>
      <c r="S67" s="125"/>
      <c r="T67" s="125"/>
      <c r="U67" s="243">
        <v>31433.01</v>
      </c>
      <c r="V67" s="242">
        <v>149681</v>
      </c>
      <c r="W67" s="125"/>
      <c r="X67" s="125"/>
      <c r="Y67" s="242">
        <v>149681</v>
      </c>
      <c r="Z67" s="242">
        <v>0</v>
      </c>
      <c r="AA67" s="242">
        <v>0</v>
      </c>
      <c r="AB67" s="242">
        <v>0</v>
      </c>
      <c r="AC67" s="243">
        <v>31433.01</v>
      </c>
      <c r="AD67" s="243">
        <v>181114.01</v>
      </c>
      <c r="AE67" t="s">
        <v>1563</v>
      </c>
    </row>
    <row r="68" spans="1:31" hidden="1" x14ac:dyDescent="0.25">
      <c r="A68" s="246" t="s">
        <v>1232</v>
      </c>
      <c r="B68" s="246" t="s">
        <v>738</v>
      </c>
      <c r="C68" s="253">
        <v>2</v>
      </c>
      <c r="D68" s="253">
        <v>12960</v>
      </c>
      <c r="E68" s="253">
        <v>12960</v>
      </c>
      <c r="F68" s="253">
        <v>75412840648970</v>
      </c>
      <c r="G68" s="246" t="s">
        <v>0</v>
      </c>
      <c r="H68" s="253">
        <v>30714331082</v>
      </c>
      <c r="I68" s="246" t="s">
        <v>666</v>
      </c>
      <c r="J68" s="246" t="s">
        <v>0</v>
      </c>
      <c r="K68" s="253">
        <v>30710473168</v>
      </c>
      <c r="L68" s="253">
        <v>1</v>
      </c>
      <c r="M68" s="246" t="s">
        <v>740</v>
      </c>
      <c r="N68" s="246"/>
      <c r="O68" s="246"/>
      <c r="P68" s="246"/>
      <c r="Q68" s="246"/>
      <c r="R68" s="246"/>
      <c r="S68" s="246"/>
      <c r="T68" s="246"/>
      <c r="U68" s="254">
        <v>9693.43</v>
      </c>
      <c r="V68" s="254">
        <v>46159.19</v>
      </c>
      <c r="W68" s="246"/>
      <c r="X68" s="246"/>
      <c r="Y68" s="254">
        <v>46159.19</v>
      </c>
      <c r="Z68" s="253">
        <v>0</v>
      </c>
      <c r="AA68" s="253">
        <v>0</v>
      </c>
      <c r="AB68" s="253">
        <v>0</v>
      </c>
      <c r="AC68" s="254">
        <v>9693.43</v>
      </c>
      <c r="AD68" s="254">
        <v>55852.62</v>
      </c>
    </row>
    <row r="69" spans="1:31" hidden="1" x14ac:dyDescent="0.25">
      <c r="A69" s="246" t="s">
        <v>1232</v>
      </c>
      <c r="B69" s="246" t="s">
        <v>738</v>
      </c>
      <c r="C69" s="253">
        <v>104</v>
      </c>
      <c r="D69" s="253">
        <v>10864512</v>
      </c>
      <c r="E69" s="253">
        <v>10864512</v>
      </c>
      <c r="F69" s="253">
        <v>75412938430375</v>
      </c>
      <c r="G69" s="246" t="s">
        <v>0</v>
      </c>
      <c r="H69" s="253">
        <v>30715804812</v>
      </c>
      <c r="I69" s="246" t="s">
        <v>751</v>
      </c>
      <c r="J69" s="246" t="s">
        <v>0</v>
      </c>
      <c r="K69" s="253">
        <v>30710473168</v>
      </c>
      <c r="L69" s="253">
        <v>1</v>
      </c>
      <c r="M69" s="246" t="s">
        <v>740</v>
      </c>
      <c r="N69" s="246"/>
      <c r="O69" s="246"/>
      <c r="P69" s="246"/>
      <c r="Q69" s="246"/>
      <c r="R69" s="246"/>
      <c r="S69" s="246"/>
      <c r="T69" s="246"/>
      <c r="U69" s="254">
        <v>873.58</v>
      </c>
      <c r="V69" s="257">
        <v>4159.9399999999996</v>
      </c>
      <c r="W69" s="246"/>
      <c r="X69" s="246"/>
      <c r="Y69" s="254">
        <v>4159.9399999999996</v>
      </c>
      <c r="Z69" s="253">
        <v>0</v>
      </c>
      <c r="AA69" s="253">
        <v>0</v>
      </c>
      <c r="AB69" s="246">
        <v>166.4</v>
      </c>
      <c r="AC69" s="254">
        <v>873.58</v>
      </c>
      <c r="AD69" s="254">
        <v>5199.92</v>
      </c>
      <c r="AE69" s="256" t="s">
        <v>1563</v>
      </c>
    </row>
    <row r="70" spans="1:31" hidden="1" x14ac:dyDescent="0.25">
      <c r="A70" s="125" t="s">
        <v>1232</v>
      </c>
      <c r="B70" s="125" t="s">
        <v>738</v>
      </c>
      <c r="C70" s="242">
        <v>5</v>
      </c>
      <c r="D70" s="242">
        <v>6507</v>
      </c>
      <c r="E70" s="242">
        <v>6507</v>
      </c>
      <c r="F70" s="242">
        <v>75413860583282</v>
      </c>
      <c r="G70" s="125" t="s">
        <v>0</v>
      </c>
      <c r="H70" s="242">
        <v>30715833243</v>
      </c>
      <c r="I70" s="125" t="s">
        <v>1548</v>
      </c>
      <c r="J70" s="125" t="s">
        <v>0</v>
      </c>
      <c r="K70" s="242">
        <v>30710473168</v>
      </c>
      <c r="L70" s="242">
        <v>1</v>
      </c>
      <c r="M70" s="125" t="s">
        <v>740</v>
      </c>
      <c r="N70" s="125"/>
      <c r="O70" s="125"/>
      <c r="P70" s="125"/>
      <c r="Q70" s="125"/>
      <c r="R70" s="125"/>
      <c r="S70" s="125"/>
      <c r="T70" s="125"/>
      <c r="U70" s="243">
        <v>79385.25</v>
      </c>
      <c r="V70" s="242">
        <v>378025</v>
      </c>
      <c r="W70" s="125"/>
      <c r="X70" s="125"/>
      <c r="Y70" s="242">
        <v>378025</v>
      </c>
      <c r="Z70" s="242">
        <v>0</v>
      </c>
      <c r="AA70" s="242">
        <v>0</v>
      </c>
      <c r="AB70" s="242">
        <v>0</v>
      </c>
      <c r="AC70" s="243">
        <v>79385.25</v>
      </c>
      <c r="AD70" s="243">
        <v>457410.25</v>
      </c>
    </row>
    <row r="71" spans="1:31" hidden="1" x14ac:dyDescent="0.25">
      <c r="A71" s="125" t="s">
        <v>1232</v>
      </c>
      <c r="B71" s="125" t="s">
        <v>738</v>
      </c>
      <c r="C71" s="242">
        <v>7</v>
      </c>
      <c r="D71" s="242">
        <v>22647</v>
      </c>
      <c r="E71" s="242">
        <v>22647</v>
      </c>
      <c r="F71" s="242">
        <v>75418838773231</v>
      </c>
      <c r="G71" s="125" t="s">
        <v>0</v>
      </c>
      <c r="H71" s="242">
        <v>30709214078</v>
      </c>
      <c r="I71" s="125" t="s">
        <v>760</v>
      </c>
      <c r="J71" s="125" t="s">
        <v>0</v>
      </c>
      <c r="K71" s="242">
        <v>30710473168</v>
      </c>
      <c r="L71" s="242">
        <v>1</v>
      </c>
      <c r="M71" s="125" t="s">
        <v>740</v>
      </c>
      <c r="N71" s="125"/>
      <c r="O71" s="125"/>
      <c r="P71" s="125"/>
      <c r="Q71" s="125"/>
      <c r="R71" s="125"/>
      <c r="S71" s="125">
        <v>33133.800000000003</v>
      </c>
      <c r="T71" s="242">
        <v>315560</v>
      </c>
      <c r="U71" s="125"/>
      <c r="V71" s="125"/>
      <c r="W71" s="125"/>
      <c r="X71" s="125"/>
      <c r="Y71" s="242">
        <v>315560</v>
      </c>
      <c r="Z71" s="242">
        <v>0</v>
      </c>
      <c r="AA71" s="242">
        <v>0</v>
      </c>
      <c r="AB71" s="242">
        <v>0</v>
      </c>
      <c r="AC71" s="125">
        <v>33133.800000000003</v>
      </c>
      <c r="AD71" s="125">
        <v>348693.8</v>
      </c>
    </row>
    <row r="72" spans="1:31" hidden="1" x14ac:dyDescent="0.25">
      <c r="A72" s="246" t="s">
        <v>1232</v>
      </c>
      <c r="B72" s="246" t="s">
        <v>738</v>
      </c>
      <c r="C72" s="253">
        <v>2059</v>
      </c>
      <c r="D72" s="253">
        <v>34334</v>
      </c>
      <c r="E72" s="253">
        <v>34334</v>
      </c>
      <c r="F72" s="253">
        <v>75416897570101</v>
      </c>
      <c r="G72" s="246" t="s">
        <v>0</v>
      </c>
      <c r="H72" s="253">
        <v>30548083156</v>
      </c>
      <c r="I72" s="246" t="s">
        <v>739</v>
      </c>
      <c r="J72" s="246" t="s">
        <v>0</v>
      </c>
      <c r="K72" s="253">
        <v>30710473168</v>
      </c>
      <c r="L72" s="253">
        <v>1</v>
      </c>
      <c r="M72" s="246" t="s">
        <v>740</v>
      </c>
      <c r="N72" s="246"/>
      <c r="O72" s="246"/>
      <c r="P72" s="246"/>
      <c r="Q72" s="246"/>
      <c r="R72" s="246"/>
      <c r="S72" s="246"/>
      <c r="T72" s="246"/>
      <c r="U72" s="254">
        <v>2506.0300000000002</v>
      </c>
      <c r="V72" s="254">
        <v>11933.46</v>
      </c>
      <c r="W72" s="246"/>
      <c r="X72" s="246"/>
      <c r="Y72" s="254">
        <v>11933.46</v>
      </c>
      <c r="Z72" s="253">
        <v>0</v>
      </c>
      <c r="AA72" s="253">
        <v>0</v>
      </c>
      <c r="AB72" s="254">
        <v>835.34</v>
      </c>
      <c r="AC72" s="254">
        <v>2506.0300000000002</v>
      </c>
      <c r="AD72" s="254">
        <v>15274.83</v>
      </c>
    </row>
    <row r="73" spans="1:31" hidden="1" x14ac:dyDescent="0.25">
      <c r="A73" s="125" t="s">
        <v>1232</v>
      </c>
      <c r="B73" s="125" t="s">
        <v>738</v>
      </c>
      <c r="C73" s="242">
        <v>5</v>
      </c>
      <c r="D73" s="242">
        <v>6509</v>
      </c>
      <c r="E73" s="242">
        <v>6509</v>
      </c>
      <c r="F73" s="242">
        <v>75413867140825</v>
      </c>
      <c r="G73" s="125" t="s">
        <v>0</v>
      </c>
      <c r="H73" s="242">
        <v>30715833243</v>
      </c>
      <c r="I73" s="125" t="s">
        <v>1548</v>
      </c>
      <c r="J73" s="125" t="s">
        <v>0</v>
      </c>
      <c r="K73" s="242">
        <v>30710473168</v>
      </c>
      <c r="L73" s="242">
        <v>1</v>
      </c>
      <c r="M73" s="125" t="s">
        <v>740</v>
      </c>
      <c r="N73" s="125"/>
      <c r="O73" s="125"/>
      <c r="P73" s="125"/>
      <c r="Q73" s="125"/>
      <c r="R73" s="125"/>
      <c r="S73" s="125"/>
      <c r="T73" s="125"/>
      <c r="U73" s="243">
        <v>24195.15</v>
      </c>
      <c r="V73" s="242">
        <v>115215</v>
      </c>
      <c r="W73" s="125"/>
      <c r="X73" s="125"/>
      <c r="Y73" s="242">
        <v>115215</v>
      </c>
      <c r="Z73" s="242">
        <v>0</v>
      </c>
      <c r="AA73" s="242">
        <v>0</v>
      </c>
      <c r="AB73" s="242">
        <v>0</v>
      </c>
      <c r="AC73" s="243">
        <v>24195.15</v>
      </c>
      <c r="AD73" s="243">
        <v>139410.15</v>
      </c>
    </row>
    <row r="74" spans="1:31" hidden="1" x14ac:dyDescent="0.25">
      <c r="A74" s="246" t="s">
        <v>1232</v>
      </c>
      <c r="B74" s="246" t="s">
        <v>738</v>
      </c>
      <c r="C74" s="253">
        <v>104</v>
      </c>
      <c r="D74" s="253">
        <v>10907502</v>
      </c>
      <c r="E74" s="253">
        <v>10907502</v>
      </c>
      <c r="F74" s="253">
        <v>75412951609330</v>
      </c>
      <c r="G74" s="246" t="s">
        <v>0</v>
      </c>
      <c r="H74" s="253">
        <v>30715804812</v>
      </c>
      <c r="I74" s="246" t="s">
        <v>751</v>
      </c>
      <c r="J74" s="246" t="s">
        <v>0</v>
      </c>
      <c r="K74" s="253">
        <v>30710473168</v>
      </c>
      <c r="L74" s="253">
        <v>1</v>
      </c>
      <c r="M74" s="246" t="s">
        <v>740</v>
      </c>
      <c r="N74" s="246"/>
      <c r="O74" s="246"/>
      <c r="P74" s="246"/>
      <c r="Q74" s="246"/>
      <c r="R74" s="246"/>
      <c r="S74" s="246"/>
      <c r="T74" s="246"/>
      <c r="U74" s="254">
        <v>436.79</v>
      </c>
      <c r="V74" s="257">
        <v>2079.9699999999998</v>
      </c>
      <c r="W74" s="246"/>
      <c r="X74" s="246"/>
      <c r="Y74" s="254">
        <v>2079.9699999999998</v>
      </c>
      <c r="Z74" s="253">
        <v>0</v>
      </c>
      <c r="AA74" s="253">
        <v>0</v>
      </c>
      <c r="AB74" s="246">
        <v>83.2</v>
      </c>
      <c r="AC74" s="254">
        <v>436.79</v>
      </c>
      <c r="AD74" s="254">
        <v>2599.96</v>
      </c>
      <c r="AE74" s="256" t="s">
        <v>1563</v>
      </c>
    </row>
    <row r="75" spans="1:31" hidden="1" x14ac:dyDescent="0.25">
      <c r="A75" s="125" t="s">
        <v>1232</v>
      </c>
      <c r="B75" s="125" t="s">
        <v>738</v>
      </c>
      <c r="C75" s="242">
        <v>6</v>
      </c>
      <c r="D75" s="242">
        <v>59344</v>
      </c>
      <c r="E75" s="242">
        <v>59344</v>
      </c>
      <c r="F75" s="242">
        <v>75418898964636</v>
      </c>
      <c r="G75" s="125" t="s">
        <v>0</v>
      </c>
      <c r="H75" s="242">
        <v>30710177658</v>
      </c>
      <c r="I75" s="125" t="s">
        <v>752</v>
      </c>
      <c r="J75" s="125" t="s">
        <v>0</v>
      </c>
      <c r="K75" s="242">
        <v>30710473168</v>
      </c>
      <c r="L75" s="242">
        <v>1</v>
      </c>
      <c r="M75" s="125" t="s">
        <v>740</v>
      </c>
      <c r="N75" s="125"/>
      <c r="O75" s="125"/>
      <c r="P75" s="125"/>
      <c r="Q75" s="125"/>
      <c r="R75" s="125"/>
      <c r="S75" s="125"/>
      <c r="T75" s="125"/>
      <c r="U75" s="243">
        <v>174709.92</v>
      </c>
      <c r="V75" s="242">
        <v>831952</v>
      </c>
      <c r="W75" s="125"/>
      <c r="X75" s="125"/>
      <c r="Y75" s="242">
        <v>831952</v>
      </c>
      <c r="Z75" s="242">
        <v>0</v>
      </c>
      <c r="AA75" s="242">
        <v>0</v>
      </c>
      <c r="AB75" s="243">
        <v>33278.080000000002</v>
      </c>
      <c r="AC75" s="243">
        <v>174709.92</v>
      </c>
      <c r="AD75" s="242">
        <v>1039940</v>
      </c>
    </row>
    <row r="76" spans="1:31" hidden="1" x14ac:dyDescent="0.25">
      <c r="A76" s="246" t="s">
        <v>1232</v>
      </c>
      <c r="B76" s="246" t="s">
        <v>745</v>
      </c>
      <c r="C76" s="253">
        <v>1</v>
      </c>
      <c r="D76" s="253">
        <v>1</v>
      </c>
      <c r="E76" s="253">
        <v>1</v>
      </c>
      <c r="F76" s="253">
        <v>75410883457213</v>
      </c>
      <c r="G76" s="246" t="s">
        <v>0</v>
      </c>
      <c r="H76" s="253">
        <v>20421434450</v>
      </c>
      <c r="I76" s="246" t="s">
        <v>1549</v>
      </c>
      <c r="J76" s="246" t="s">
        <v>0</v>
      </c>
      <c r="K76" s="253">
        <v>30710473168</v>
      </c>
      <c r="L76" s="253">
        <v>1</v>
      </c>
      <c r="M76" s="246" t="s">
        <v>740</v>
      </c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  <c r="AA76" s="246"/>
      <c r="AB76" s="253">
        <v>0</v>
      </c>
      <c r="AC76" s="246"/>
      <c r="AD76" s="253">
        <v>260000</v>
      </c>
    </row>
    <row r="77" spans="1:31" hidden="1" x14ac:dyDescent="0.25">
      <c r="A77" s="125" t="s">
        <v>1257</v>
      </c>
      <c r="B77" s="125" t="s">
        <v>738</v>
      </c>
      <c r="C77" s="242">
        <v>5</v>
      </c>
      <c r="D77" s="242">
        <v>6522</v>
      </c>
      <c r="E77" s="242">
        <v>6522</v>
      </c>
      <c r="F77" s="242">
        <v>75423002311217</v>
      </c>
      <c r="G77" s="125" t="s">
        <v>0</v>
      </c>
      <c r="H77" s="242">
        <v>30715833243</v>
      </c>
      <c r="I77" s="125" t="s">
        <v>1548</v>
      </c>
      <c r="J77" s="125" t="s">
        <v>0</v>
      </c>
      <c r="K77" s="242">
        <v>30710473168</v>
      </c>
      <c r="L77" s="242">
        <v>1</v>
      </c>
      <c r="M77" s="125" t="s">
        <v>740</v>
      </c>
      <c r="N77" s="125"/>
      <c r="O77" s="125"/>
      <c r="P77" s="125"/>
      <c r="Q77" s="125"/>
      <c r="R77" s="125"/>
      <c r="S77" s="125"/>
      <c r="T77" s="125"/>
      <c r="U77" s="125">
        <v>21621.599999999999</v>
      </c>
      <c r="V77" s="242">
        <v>102960</v>
      </c>
      <c r="W77" s="125"/>
      <c r="X77" s="125"/>
      <c r="Y77" s="242">
        <v>102960</v>
      </c>
      <c r="Z77" s="242">
        <v>0</v>
      </c>
      <c r="AA77" s="242">
        <v>0</v>
      </c>
      <c r="AB77" s="242">
        <v>0</v>
      </c>
      <c r="AC77" s="125">
        <v>21621.599999999999</v>
      </c>
      <c r="AD77" s="125">
        <v>124581.6</v>
      </c>
    </row>
    <row r="78" spans="1:31" hidden="1" x14ac:dyDescent="0.25">
      <c r="A78" s="125" t="s">
        <v>1257</v>
      </c>
      <c r="B78" s="125" t="s">
        <v>738</v>
      </c>
      <c r="C78" s="242">
        <v>5</v>
      </c>
      <c r="D78" s="242">
        <v>6523</v>
      </c>
      <c r="E78" s="242">
        <v>6523</v>
      </c>
      <c r="F78" s="242">
        <v>75423008286348</v>
      </c>
      <c r="G78" s="125" t="s">
        <v>0</v>
      </c>
      <c r="H78" s="242">
        <v>30715833243</v>
      </c>
      <c r="I78" s="125" t="s">
        <v>1548</v>
      </c>
      <c r="J78" s="125" t="s">
        <v>0</v>
      </c>
      <c r="K78" s="242">
        <v>30710473168</v>
      </c>
      <c r="L78" s="242">
        <v>1</v>
      </c>
      <c r="M78" s="125" t="s">
        <v>740</v>
      </c>
      <c r="N78" s="125"/>
      <c r="O78" s="125"/>
      <c r="P78" s="125"/>
      <c r="Q78" s="125"/>
      <c r="R78" s="125"/>
      <c r="S78" s="125"/>
      <c r="T78" s="125"/>
      <c r="U78" s="243">
        <v>7068.76</v>
      </c>
      <c r="V78" s="243">
        <v>33660.78</v>
      </c>
      <c r="W78" s="125"/>
      <c r="X78" s="125"/>
      <c r="Y78" s="243">
        <v>33660.78</v>
      </c>
      <c r="Z78" s="242">
        <v>0</v>
      </c>
      <c r="AA78" s="242">
        <v>0</v>
      </c>
      <c r="AB78" s="242">
        <v>0</v>
      </c>
      <c r="AC78" s="243">
        <v>7068.76</v>
      </c>
      <c r="AD78" s="243">
        <v>40729.54</v>
      </c>
    </row>
    <row r="79" spans="1:31" hidden="1" x14ac:dyDescent="0.25">
      <c r="A79" s="125" t="s">
        <v>1257</v>
      </c>
      <c r="B79" s="125" t="s">
        <v>738</v>
      </c>
      <c r="C79" s="242">
        <v>2031</v>
      </c>
      <c r="D79" s="242">
        <v>230808</v>
      </c>
      <c r="E79" s="242">
        <v>230808</v>
      </c>
      <c r="F79" s="242">
        <v>75420966246058</v>
      </c>
      <c r="G79" s="125" t="s">
        <v>0</v>
      </c>
      <c r="H79" s="242">
        <v>30516186670</v>
      </c>
      <c r="I79" s="125" t="s">
        <v>668</v>
      </c>
      <c r="J79" s="125" t="s">
        <v>0</v>
      </c>
      <c r="K79" s="242">
        <v>30710473168</v>
      </c>
      <c r="L79" s="242">
        <v>1</v>
      </c>
      <c r="M79" s="125" t="s">
        <v>740</v>
      </c>
      <c r="N79" s="125"/>
      <c r="O79" s="125"/>
      <c r="P79" s="125"/>
      <c r="Q79" s="125"/>
      <c r="R79" s="125"/>
      <c r="S79" s="125"/>
      <c r="T79" s="125"/>
      <c r="U79" s="243">
        <v>10759.37</v>
      </c>
      <c r="V79" s="125">
        <v>51235.1</v>
      </c>
      <c r="W79" s="125"/>
      <c r="X79" s="125"/>
      <c r="Y79" s="125">
        <v>51235.1</v>
      </c>
      <c r="Z79" s="242">
        <v>0</v>
      </c>
      <c r="AA79" s="242">
        <v>0</v>
      </c>
      <c r="AB79" s="243">
        <v>16073.15</v>
      </c>
      <c r="AC79" s="243">
        <v>10759.37</v>
      </c>
      <c r="AD79" s="243">
        <v>78067.62</v>
      </c>
    </row>
    <row r="80" spans="1:31" hidden="1" x14ac:dyDescent="0.25">
      <c r="A80" s="125" t="s">
        <v>1257</v>
      </c>
      <c r="B80" s="125" t="s">
        <v>738</v>
      </c>
      <c r="C80" s="242">
        <v>7</v>
      </c>
      <c r="D80" s="242">
        <v>22677</v>
      </c>
      <c r="E80" s="242">
        <v>22677</v>
      </c>
      <c r="F80" s="242">
        <v>75428036459085</v>
      </c>
      <c r="G80" s="125" t="s">
        <v>0</v>
      </c>
      <c r="H80" s="242">
        <v>30709214078</v>
      </c>
      <c r="I80" s="125" t="s">
        <v>760</v>
      </c>
      <c r="J80" s="125" t="s">
        <v>0</v>
      </c>
      <c r="K80" s="242">
        <v>30710473168</v>
      </c>
      <c r="L80" s="242">
        <v>1</v>
      </c>
      <c r="M80" s="125" t="s">
        <v>740</v>
      </c>
      <c r="N80" s="125"/>
      <c r="O80" s="125"/>
      <c r="P80" s="125"/>
      <c r="Q80" s="125"/>
      <c r="R80" s="125"/>
      <c r="S80" s="125">
        <v>91963.199999999997</v>
      </c>
      <c r="T80" s="242">
        <v>875840</v>
      </c>
      <c r="U80" s="125"/>
      <c r="V80" s="125"/>
      <c r="W80" s="125"/>
      <c r="X80" s="125"/>
      <c r="Y80" s="242">
        <v>875840</v>
      </c>
      <c r="Z80" s="242">
        <v>0</v>
      </c>
      <c r="AA80" s="242">
        <v>0</v>
      </c>
      <c r="AB80" s="242">
        <v>0</v>
      </c>
      <c r="AC80" s="125">
        <v>91963.199999999997</v>
      </c>
      <c r="AD80" s="125">
        <v>967803.2</v>
      </c>
    </row>
    <row r="81" spans="1:31" hidden="1" x14ac:dyDescent="0.25">
      <c r="A81" s="246" t="s">
        <v>1270</v>
      </c>
      <c r="B81" s="246" t="s">
        <v>738</v>
      </c>
      <c r="C81" s="253">
        <v>711</v>
      </c>
      <c r="D81" s="253">
        <v>7729611</v>
      </c>
      <c r="E81" s="253">
        <v>7729611</v>
      </c>
      <c r="F81" s="253">
        <v>35419067819498</v>
      </c>
      <c r="G81" s="246" t="s">
        <v>0</v>
      </c>
      <c r="H81" s="253">
        <v>30677237119</v>
      </c>
      <c r="I81" s="246" t="s">
        <v>584</v>
      </c>
      <c r="J81" s="246" t="s">
        <v>0</v>
      </c>
      <c r="K81" s="253">
        <v>30710473168</v>
      </c>
      <c r="L81" s="253">
        <v>1</v>
      </c>
      <c r="M81" s="246" t="s">
        <v>740</v>
      </c>
      <c r="N81" s="246"/>
      <c r="O81" s="246"/>
      <c r="P81" s="246"/>
      <c r="Q81" s="246"/>
      <c r="R81" s="246"/>
      <c r="S81" s="246"/>
      <c r="T81" s="246"/>
      <c r="U81" s="254">
        <v>1286.1099999999999</v>
      </c>
      <c r="V81" s="254">
        <v>6124.31</v>
      </c>
      <c r="W81" s="246"/>
      <c r="X81" s="246"/>
      <c r="Y81" s="254">
        <v>6124.31</v>
      </c>
      <c r="Z81" s="253">
        <v>0</v>
      </c>
      <c r="AA81" s="254">
        <v>183.73</v>
      </c>
      <c r="AB81" s="254">
        <v>244.97</v>
      </c>
      <c r="AC81" s="254">
        <v>1286.1099999999999</v>
      </c>
      <c r="AD81" s="254">
        <v>7839.12</v>
      </c>
    </row>
    <row r="82" spans="1:31" hidden="1" x14ac:dyDescent="0.25">
      <c r="A82" s="246" t="s">
        <v>1137</v>
      </c>
      <c r="B82" s="246" t="s">
        <v>738</v>
      </c>
      <c r="C82" s="253">
        <v>5015</v>
      </c>
      <c r="D82" s="253">
        <v>1018189</v>
      </c>
      <c r="E82" s="253">
        <v>1018189</v>
      </c>
      <c r="F82" s="253">
        <v>75414111787024</v>
      </c>
      <c r="G82" s="246" t="s">
        <v>0</v>
      </c>
      <c r="H82" s="253">
        <v>30574876474</v>
      </c>
      <c r="I82" s="246" t="s">
        <v>896</v>
      </c>
      <c r="J82" s="246" t="s">
        <v>0</v>
      </c>
      <c r="K82" s="253">
        <v>30710473168</v>
      </c>
      <c r="L82" s="253">
        <v>1</v>
      </c>
      <c r="M82" s="246" t="s">
        <v>740</v>
      </c>
      <c r="N82" s="246">
        <v>0.2</v>
      </c>
      <c r="O82" s="246"/>
      <c r="P82" s="246"/>
      <c r="Q82" s="246"/>
      <c r="R82" s="246"/>
      <c r="S82" s="246"/>
      <c r="T82" s="246"/>
      <c r="U82" s="254">
        <v>7536.02</v>
      </c>
      <c r="V82" s="254">
        <v>35885.79</v>
      </c>
      <c r="W82" s="246"/>
      <c r="X82" s="246"/>
      <c r="Y82" s="254">
        <v>35885.99</v>
      </c>
      <c r="Z82" s="253">
        <v>0</v>
      </c>
      <c r="AA82" s="253">
        <v>0</v>
      </c>
      <c r="AB82" s="254">
        <v>4665.16</v>
      </c>
      <c r="AC82" s="254">
        <v>7536.02</v>
      </c>
      <c r="AD82" s="254">
        <v>48087.17</v>
      </c>
    </row>
    <row r="83" spans="1:31" hidden="1" x14ac:dyDescent="0.25">
      <c r="A83" s="246" t="s">
        <v>1257</v>
      </c>
      <c r="B83" s="246" t="s">
        <v>738</v>
      </c>
      <c r="C83" s="253">
        <v>5015</v>
      </c>
      <c r="D83" s="253">
        <v>1027855</v>
      </c>
      <c r="E83" s="253">
        <v>1027855</v>
      </c>
      <c r="F83" s="253">
        <v>75424112493005</v>
      </c>
      <c r="G83" s="246" t="s">
        <v>0</v>
      </c>
      <c r="H83" s="253">
        <v>30574876474</v>
      </c>
      <c r="I83" s="246" t="s">
        <v>896</v>
      </c>
      <c r="J83" s="246" t="s">
        <v>0</v>
      </c>
      <c r="K83" s="253">
        <v>30710473168</v>
      </c>
      <c r="L83" s="253">
        <v>1</v>
      </c>
      <c r="M83" s="246" t="s">
        <v>740</v>
      </c>
      <c r="N83" s="254">
        <v>0.09</v>
      </c>
      <c r="O83" s="246"/>
      <c r="P83" s="246"/>
      <c r="Q83" s="246"/>
      <c r="R83" s="246"/>
      <c r="S83" s="246"/>
      <c r="T83" s="246"/>
      <c r="U83" s="246">
        <v>3922.3</v>
      </c>
      <c r="V83" s="246">
        <v>18677.599999999999</v>
      </c>
      <c r="W83" s="246"/>
      <c r="X83" s="246"/>
      <c r="Y83" s="254">
        <v>18677.689999999999</v>
      </c>
      <c r="Z83" s="253">
        <v>0</v>
      </c>
      <c r="AA83" s="253">
        <v>0</v>
      </c>
      <c r="AB83" s="254">
        <v>2428.09</v>
      </c>
      <c r="AC83" s="246">
        <v>3922.3</v>
      </c>
      <c r="AD83" s="254">
        <v>25028.080000000002</v>
      </c>
    </row>
    <row r="84" spans="1:31" hidden="1" x14ac:dyDescent="0.25">
      <c r="A84" s="246" t="s">
        <v>1257</v>
      </c>
      <c r="B84" s="246" t="s">
        <v>738</v>
      </c>
      <c r="C84" s="253">
        <v>6</v>
      </c>
      <c r="D84" s="253">
        <v>127</v>
      </c>
      <c r="E84" s="253">
        <v>127</v>
      </c>
      <c r="F84" s="253">
        <v>75426020272672</v>
      </c>
      <c r="G84" s="246" t="s">
        <v>0</v>
      </c>
      <c r="H84" s="253">
        <v>30711610096</v>
      </c>
      <c r="I84" s="246" t="s">
        <v>662</v>
      </c>
      <c r="J84" s="246" t="s">
        <v>0</v>
      </c>
      <c r="K84" s="253">
        <v>30710473168</v>
      </c>
      <c r="L84" s="253">
        <v>1</v>
      </c>
      <c r="M84" s="246" t="s">
        <v>740</v>
      </c>
      <c r="N84" s="246"/>
      <c r="O84" s="246"/>
      <c r="P84" s="246"/>
      <c r="Q84" s="246"/>
      <c r="R84" s="246"/>
      <c r="S84" s="246"/>
      <c r="T84" s="246"/>
      <c r="U84" s="253">
        <v>151200</v>
      </c>
      <c r="V84" s="253">
        <v>720000</v>
      </c>
      <c r="W84" s="246"/>
      <c r="X84" s="246"/>
      <c r="Y84" s="253">
        <v>720000</v>
      </c>
      <c r="Z84" s="253">
        <v>0</v>
      </c>
      <c r="AA84" s="253">
        <v>0</v>
      </c>
      <c r="AB84" s="253">
        <v>0</v>
      </c>
      <c r="AC84" s="253">
        <v>151200</v>
      </c>
      <c r="AD84" s="253">
        <v>871200</v>
      </c>
    </row>
    <row r="85" spans="1:31" hidden="1" x14ac:dyDescent="0.25">
      <c r="A85" s="125" t="s">
        <v>1257</v>
      </c>
      <c r="B85" s="125" t="s">
        <v>738</v>
      </c>
      <c r="C85" s="242">
        <v>3</v>
      </c>
      <c r="D85" s="242">
        <v>7009</v>
      </c>
      <c r="E85" s="242">
        <v>7009</v>
      </c>
      <c r="F85" s="242">
        <v>75429006101848</v>
      </c>
      <c r="G85" s="125" t="s">
        <v>0</v>
      </c>
      <c r="H85" s="242">
        <v>30707042679</v>
      </c>
      <c r="I85" s="125" t="s">
        <v>659</v>
      </c>
      <c r="J85" s="125" t="s">
        <v>0</v>
      </c>
      <c r="K85" s="242">
        <v>30710473168</v>
      </c>
      <c r="L85" s="242">
        <v>1</v>
      </c>
      <c r="M85" s="125" t="s">
        <v>740</v>
      </c>
      <c r="N85" s="125"/>
      <c r="O85" s="125"/>
      <c r="P85" s="125"/>
      <c r="Q85" s="125"/>
      <c r="R85" s="125"/>
      <c r="S85" s="125"/>
      <c r="T85" s="125"/>
      <c r="U85" s="243">
        <v>336126.84</v>
      </c>
      <c r="V85" s="242">
        <v>1600604</v>
      </c>
      <c r="W85" s="125"/>
      <c r="X85" s="125"/>
      <c r="Y85" s="242">
        <v>1600604</v>
      </c>
      <c r="Z85" s="242">
        <v>0</v>
      </c>
      <c r="AA85" s="242">
        <v>0</v>
      </c>
      <c r="AB85" s="242">
        <v>0</v>
      </c>
      <c r="AC85" s="243">
        <v>336126.84</v>
      </c>
      <c r="AD85" s="243">
        <v>1936730.84</v>
      </c>
    </row>
    <row r="86" spans="1:31" hidden="1" x14ac:dyDescent="0.25">
      <c r="A86" s="246" t="s">
        <v>1257</v>
      </c>
      <c r="B86" s="246" t="s">
        <v>738</v>
      </c>
      <c r="C86" s="253">
        <v>4</v>
      </c>
      <c r="D86" s="253">
        <v>555</v>
      </c>
      <c r="E86" s="253">
        <v>555</v>
      </c>
      <c r="F86" s="253">
        <v>75425969134392</v>
      </c>
      <c r="G86" s="246" t="s">
        <v>0</v>
      </c>
      <c r="H86" s="253">
        <v>20379223185</v>
      </c>
      <c r="I86" s="246" t="s">
        <v>51</v>
      </c>
      <c r="J86" s="246" t="s">
        <v>0</v>
      </c>
      <c r="K86" s="253">
        <v>30710473168</v>
      </c>
      <c r="L86" s="253">
        <v>1</v>
      </c>
      <c r="M86" s="246" t="s">
        <v>740</v>
      </c>
      <c r="N86" s="246"/>
      <c r="O86" s="246"/>
      <c r="P86" s="246"/>
      <c r="Q86" s="246"/>
      <c r="R86" s="246"/>
      <c r="S86" s="246"/>
      <c r="T86" s="246"/>
      <c r="U86" s="246">
        <v>41892.9</v>
      </c>
      <c r="V86" s="253">
        <v>199490</v>
      </c>
      <c r="W86" s="246"/>
      <c r="X86" s="246"/>
      <c r="Y86" s="253">
        <v>199490</v>
      </c>
      <c r="Z86" s="253">
        <v>0</v>
      </c>
      <c r="AA86" s="253">
        <v>0</v>
      </c>
      <c r="AB86" s="253">
        <v>0</v>
      </c>
      <c r="AC86" s="246">
        <v>41892.9</v>
      </c>
      <c r="AD86" s="246">
        <v>241382.9</v>
      </c>
    </row>
    <row r="87" spans="1:31" hidden="1" x14ac:dyDescent="0.25">
      <c r="A87" s="246" t="s">
        <v>1270</v>
      </c>
      <c r="B87" s="246" t="s">
        <v>738</v>
      </c>
      <c r="C87" s="253">
        <v>2</v>
      </c>
      <c r="D87" s="253">
        <v>1613</v>
      </c>
      <c r="E87" s="253">
        <v>1613</v>
      </c>
      <c r="F87" s="253">
        <v>75429183332107</v>
      </c>
      <c r="G87" s="246" t="s">
        <v>0</v>
      </c>
      <c r="H87" s="253">
        <v>20272865869</v>
      </c>
      <c r="I87" s="246" t="s">
        <v>561</v>
      </c>
      <c r="J87" s="246" t="s">
        <v>0</v>
      </c>
      <c r="K87" s="253">
        <v>30710473168</v>
      </c>
      <c r="L87" s="253">
        <v>1</v>
      </c>
      <c r="M87" s="246" t="s">
        <v>740</v>
      </c>
      <c r="N87" s="246"/>
      <c r="O87" s="246"/>
      <c r="P87" s="246"/>
      <c r="Q87" s="246"/>
      <c r="R87" s="246"/>
      <c r="S87" s="246"/>
      <c r="T87" s="246"/>
      <c r="U87" s="253">
        <v>32592</v>
      </c>
      <c r="V87" s="253">
        <v>155200</v>
      </c>
      <c r="W87" s="246"/>
      <c r="X87" s="246"/>
      <c r="Y87" s="253">
        <v>155200</v>
      </c>
      <c r="Z87" s="253">
        <v>0</v>
      </c>
      <c r="AA87" s="253">
        <v>0</v>
      </c>
      <c r="AB87" s="253">
        <v>0</v>
      </c>
      <c r="AC87" s="253">
        <v>32592</v>
      </c>
      <c r="AD87" s="253">
        <v>187792</v>
      </c>
    </row>
    <row r="88" spans="1:31" hidden="1" x14ac:dyDescent="0.25">
      <c r="A88" s="125" t="s">
        <v>1270</v>
      </c>
      <c r="B88" s="125" t="s">
        <v>738</v>
      </c>
      <c r="C88" s="242">
        <v>5</v>
      </c>
      <c r="D88" s="242">
        <v>6531</v>
      </c>
      <c r="E88" s="242">
        <v>6531</v>
      </c>
      <c r="F88" s="242">
        <v>75423125367040</v>
      </c>
      <c r="G88" s="125" t="s">
        <v>0</v>
      </c>
      <c r="H88" s="242">
        <v>30715833243</v>
      </c>
      <c r="I88" s="125" t="s">
        <v>1548</v>
      </c>
      <c r="J88" s="125" t="s">
        <v>0</v>
      </c>
      <c r="K88" s="242">
        <v>30710473168</v>
      </c>
      <c r="L88" s="242">
        <v>1</v>
      </c>
      <c r="M88" s="125" t="s">
        <v>740</v>
      </c>
      <c r="N88" s="125"/>
      <c r="O88" s="125"/>
      <c r="P88" s="125"/>
      <c r="Q88" s="125"/>
      <c r="R88" s="125"/>
      <c r="S88" s="125"/>
      <c r="T88" s="125"/>
      <c r="U88" s="243">
        <v>90768.51</v>
      </c>
      <c r="V88" s="242">
        <v>432231</v>
      </c>
      <c r="W88" s="125"/>
      <c r="X88" s="125"/>
      <c r="Y88" s="242">
        <v>432231</v>
      </c>
      <c r="Z88" s="242">
        <v>0</v>
      </c>
      <c r="AA88" s="242">
        <v>0</v>
      </c>
      <c r="AB88" s="242">
        <v>0</v>
      </c>
      <c r="AC88" s="243">
        <v>90768.51</v>
      </c>
      <c r="AD88" s="243">
        <v>522999.51</v>
      </c>
    </row>
    <row r="89" spans="1:31" hidden="1" x14ac:dyDescent="0.25">
      <c r="A89" s="246" t="s">
        <v>1401</v>
      </c>
      <c r="B89" s="246" t="s">
        <v>738</v>
      </c>
      <c r="C89" s="253">
        <v>5015</v>
      </c>
      <c r="D89" s="253">
        <v>1036311</v>
      </c>
      <c r="E89" s="253">
        <v>1036311</v>
      </c>
      <c r="F89" s="253">
        <v>75434997968381</v>
      </c>
      <c r="G89" s="246" t="s">
        <v>0</v>
      </c>
      <c r="H89" s="253">
        <v>30574876474</v>
      </c>
      <c r="I89" s="246" t="s">
        <v>896</v>
      </c>
      <c r="J89" s="246" t="s">
        <v>0</v>
      </c>
      <c r="K89" s="253">
        <v>30710473168</v>
      </c>
      <c r="L89" s="253">
        <v>1</v>
      </c>
      <c r="M89" s="246" t="s">
        <v>740</v>
      </c>
      <c r="N89" s="254">
        <v>0.22</v>
      </c>
      <c r="O89" s="246"/>
      <c r="P89" s="246"/>
      <c r="Q89" s="246"/>
      <c r="R89" s="246"/>
      <c r="S89" s="246"/>
      <c r="T89" s="246"/>
      <c r="U89" s="254">
        <v>7513.12</v>
      </c>
      <c r="V89" s="254">
        <v>35776.78</v>
      </c>
      <c r="W89" s="246"/>
      <c r="X89" s="246"/>
      <c r="Y89" s="253">
        <v>35777</v>
      </c>
      <c r="Z89" s="253">
        <v>0</v>
      </c>
      <c r="AA89" s="253">
        <v>0</v>
      </c>
      <c r="AB89" s="254">
        <v>4650.99</v>
      </c>
      <c r="AC89" s="254">
        <v>7513.12</v>
      </c>
      <c r="AD89" s="254">
        <v>47941.11</v>
      </c>
    </row>
    <row r="90" spans="1:31" hidden="1" x14ac:dyDescent="0.25">
      <c r="A90" s="246" t="s">
        <v>1514</v>
      </c>
      <c r="B90" s="246" t="s">
        <v>738</v>
      </c>
      <c r="C90" s="253">
        <v>5009</v>
      </c>
      <c r="D90" s="253">
        <v>1680484</v>
      </c>
      <c r="E90" s="253">
        <v>1680484</v>
      </c>
      <c r="F90" s="253">
        <v>75444155618397</v>
      </c>
      <c r="G90" s="246" t="s">
        <v>0</v>
      </c>
      <c r="H90" s="253">
        <v>30574876474</v>
      </c>
      <c r="I90" s="246" t="s">
        <v>896</v>
      </c>
      <c r="J90" s="246" t="s">
        <v>0</v>
      </c>
      <c r="K90" s="253">
        <v>30710473168</v>
      </c>
      <c r="L90" s="253">
        <v>1</v>
      </c>
      <c r="M90" s="246" t="s">
        <v>740</v>
      </c>
      <c r="N90" s="254">
        <v>0.03</v>
      </c>
      <c r="O90" s="246"/>
      <c r="P90" s="246"/>
      <c r="Q90" s="246"/>
      <c r="R90" s="246"/>
      <c r="S90" s="246"/>
      <c r="T90" s="246"/>
      <c r="U90" s="254">
        <v>1237.1300000000001</v>
      </c>
      <c r="V90" s="257">
        <v>5891.09</v>
      </c>
      <c r="W90" s="246"/>
      <c r="X90" s="246"/>
      <c r="Y90" s="254">
        <v>5891.12</v>
      </c>
      <c r="Z90" s="253">
        <v>0</v>
      </c>
      <c r="AA90" s="253">
        <f>+V90*0.04</f>
        <v>235.64360000000002</v>
      </c>
      <c r="AB90" s="254">
        <v>765.84</v>
      </c>
      <c r="AC90" s="254">
        <v>1237.1300000000001</v>
      </c>
      <c r="AD90" s="254">
        <v>7894.09</v>
      </c>
      <c r="AE90" s="256" t="s">
        <v>1563</v>
      </c>
    </row>
    <row r="91" spans="1:31" hidden="1" x14ac:dyDescent="0.25">
      <c r="A91" s="246" t="s">
        <v>1270</v>
      </c>
      <c r="B91" s="246" t="s">
        <v>745</v>
      </c>
      <c r="C91" s="253">
        <v>2</v>
      </c>
      <c r="D91" s="253">
        <v>651</v>
      </c>
      <c r="E91" s="253">
        <v>651</v>
      </c>
      <c r="F91" s="253">
        <v>75427155899920</v>
      </c>
      <c r="G91" s="246" t="s">
        <v>0</v>
      </c>
      <c r="H91" s="253">
        <v>20247881957</v>
      </c>
      <c r="I91" s="246" t="s">
        <v>1540</v>
      </c>
      <c r="J91" s="246" t="s">
        <v>0</v>
      </c>
      <c r="K91" s="253">
        <v>30710473168</v>
      </c>
      <c r="L91" s="253">
        <v>1</v>
      </c>
      <c r="M91" s="246" t="s">
        <v>740</v>
      </c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  <c r="AA91" s="246"/>
      <c r="AB91" s="253">
        <v>0</v>
      </c>
      <c r="AC91" s="246"/>
      <c r="AD91" s="253">
        <v>21300</v>
      </c>
    </row>
    <row r="92" spans="1:31" hidden="1" x14ac:dyDescent="0.25">
      <c r="A92" s="246" t="s">
        <v>1270</v>
      </c>
      <c r="B92" s="246" t="s">
        <v>745</v>
      </c>
      <c r="C92" s="253">
        <v>1</v>
      </c>
      <c r="D92" s="253">
        <v>44</v>
      </c>
      <c r="E92" s="253">
        <v>44</v>
      </c>
      <c r="F92" s="253">
        <v>75421150383363</v>
      </c>
      <c r="G92" s="246" t="s">
        <v>0</v>
      </c>
      <c r="H92" s="253">
        <v>20311855671</v>
      </c>
      <c r="I92" s="246" t="s">
        <v>768</v>
      </c>
      <c r="J92" s="246" t="s">
        <v>0</v>
      </c>
      <c r="K92" s="253">
        <v>30710473168</v>
      </c>
      <c r="L92" s="253">
        <v>1</v>
      </c>
      <c r="M92" s="246" t="s">
        <v>740</v>
      </c>
      <c r="N92" s="246"/>
      <c r="O92" s="246"/>
      <c r="P92" s="246"/>
      <c r="Q92" s="246"/>
      <c r="R92" s="246"/>
      <c r="S92" s="246"/>
      <c r="T92" s="246"/>
      <c r="U92" s="246"/>
      <c r="V92" s="246"/>
      <c r="W92" s="246"/>
      <c r="X92" s="246"/>
      <c r="Y92" s="246"/>
      <c r="Z92" s="246"/>
      <c r="AA92" s="246"/>
      <c r="AB92" s="253">
        <v>0</v>
      </c>
      <c r="AC92" s="246"/>
      <c r="AD92" s="253">
        <v>557300</v>
      </c>
    </row>
    <row r="93" spans="1:31" hidden="1" x14ac:dyDescent="0.25">
      <c r="A93" s="246" t="s">
        <v>1270</v>
      </c>
      <c r="B93" s="246" t="s">
        <v>745</v>
      </c>
      <c r="C93" s="253">
        <v>5</v>
      </c>
      <c r="D93" s="253">
        <v>183</v>
      </c>
      <c r="E93" s="253">
        <v>183</v>
      </c>
      <c r="F93" s="253">
        <v>75429173819933</v>
      </c>
      <c r="G93" s="246" t="s">
        <v>0</v>
      </c>
      <c r="H93" s="253">
        <v>27062343449</v>
      </c>
      <c r="I93" s="246" t="s">
        <v>189</v>
      </c>
      <c r="J93" s="246" t="s">
        <v>0</v>
      </c>
      <c r="K93" s="253">
        <v>30710473168</v>
      </c>
      <c r="L93" s="253">
        <v>1</v>
      </c>
      <c r="M93" s="246" t="s">
        <v>740</v>
      </c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  <c r="AA93" s="246"/>
      <c r="AB93" s="253">
        <v>0</v>
      </c>
      <c r="AC93" s="246"/>
      <c r="AD93" s="253">
        <v>600000</v>
      </c>
    </row>
    <row r="94" spans="1:31" hidden="1" x14ac:dyDescent="0.25">
      <c r="A94" s="246" t="s">
        <v>1270</v>
      </c>
      <c r="B94" s="246" t="s">
        <v>745</v>
      </c>
      <c r="C94" s="253">
        <v>3</v>
      </c>
      <c r="D94" s="253">
        <v>12</v>
      </c>
      <c r="E94" s="253">
        <v>12</v>
      </c>
      <c r="F94" s="253">
        <v>75420162876634</v>
      </c>
      <c r="G94" s="246" t="s">
        <v>0</v>
      </c>
      <c r="H94" s="253">
        <v>20310489930</v>
      </c>
      <c r="I94" s="246" t="s">
        <v>898</v>
      </c>
      <c r="J94" s="246" t="s">
        <v>0</v>
      </c>
      <c r="K94" s="253">
        <v>30710473168</v>
      </c>
      <c r="L94" s="253">
        <v>1</v>
      </c>
      <c r="M94" s="246" t="s">
        <v>740</v>
      </c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  <c r="AA94" s="246"/>
      <c r="AB94" s="253">
        <v>0</v>
      </c>
      <c r="AC94" s="246"/>
      <c r="AD94" s="253">
        <v>922580</v>
      </c>
    </row>
    <row r="95" spans="1:31" hidden="1" x14ac:dyDescent="0.25">
      <c r="A95" s="246" t="s">
        <v>1270</v>
      </c>
      <c r="B95" s="246" t="s">
        <v>745</v>
      </c>
      <c r="C95" s="253">
        <v>5</v>
      </c>
      <c r="D95" s="253">
        <v>184</v>
      </c>
      <c r="E95" s="253">
        <v>184</v>
      </c>
      <c r="F95" s="253">
        <v>75429173906219</v>
      </c>
      <c r="G95" s="246" t="s">
        <v>0</v>
      </c>
      <c r="H95" s="253">
        <v>27062343449</v>
      </c>
      <c r="I95" s="246" t="s">
        <v>189</v>
      </c>
      <c r="J95" s="246" t="s">
        <v>0</v>
      </c>
      <c r="K95" s="253">
        <v>30710473168</v>
      </c>
      <c r="L95" s="253">
        <v>1</v>
      </c>
      <c r="M95" s="246" t="s">
        <v>740</v>
      </c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  <c r="AA95" s="246"/>
      <c r="AB95" s="253">
        <v>0</v>
      </c>
      <c r="AC95" s="246"/>
      <c r="AD95" s="253">
        <v>700000</v>
      </c>
    </row>
    <row r="96" spans="1:31" hidden="1" x14ac:dyDescent="0.25">
      <c r="A96" s="246" t="s">
        <v>1293</v>
      </c>
      <c r="B96" s="246" t="s">
        <v>738</v>
      </c>
      <c r="C96" s="253">
        <v>4</v>
      </c>
      <c r="D96" s="253">
        <v>88963</v>
      </c>
      <c r="E96" s="253">
        <v>88963</v>
      </c>
      <c r="F96" s="253">
        <v>75426318002119</v>
      </c>
      <c r="G96" s="246" t="s">
        <v>0</v>
      </c>
      <c r="H96" s="253">
        <v>30714749206</v>
      </c>
      <c r="I96" s="246" t="s">
        <v>1550</v>
      </c>
      <c r="J96" s="246" t="s">
        <v>0</v>
      </c>
      <c r="K96" s="253">
        <v>30710473168</v>
      </c>
      <c r="L96" s="253">
        <v>1</v>
      </c>
      <c r="M96" s="246" t="s">
        <v>740</v>
      </c>
      <c r="N96" s="246"/>
      <c r="O96" s="246"/>
      <c r="P96" s="246"/>
      <c r="Q96" s="246"/>
      <c r="R96" s="246"/>
      <c r="S96" s="246">
        <v>24325.7</v>
      </c>
      <c r="T96" s="246">
        <v>231673.3</v>
      </c>
      <c r="U96" s="254">
        <v>355.17</v>
      </c>
      <c r="V96" s="246">
        <v>1691.3</v>
      </c>
      <c r="W96" s="246"/>
      <c r="X96" s="246"/>
      <c r="Y96" s="246">
        <v>233364.6</v>
      </c>
      <c r="Z96" s="253">
        <v>0</v>
      </c>
      <c r="AA96" s="253">
        <v>0</v>
      </c>
      <c r="AB96" s="253">
        <v>0</v>
      </c>
      <c r="AC96" s="254">
        <v>24680.87</v>
      </c>
      <c r="AD96" s="254">
        <v>258045.47</v>
      </c>
      <c r="AE96" t="s">
        <v>1563</v>
      </c>
    </row>
    <row r="97" spans="1:31" hidden="1" x14ac:dyDescent="0.25">
      <c r="A97" s="125" t="s">
        <v>1293</v>
      </c>
      <c r="B97" s="125" t="s">
        <v>738</v>
      </c>
      <c r="C97" s="242">
        <v>1055</v>
      </c>
      <c r="D97" s="242">
        <v>918</v>
      </c>
      <c r="E97" s="242">
        <v>918</v>
      </c>
      <c r="F97" s="242">
        <v>75421304979446</v>
      </c>
      <c r="G97" s="125" t="s">
        <v>0</v>
      </c>
      <c r="H97" s="242">
        <v>30685849751</v>
      </c>
      <c r="I97" s="125" t="s">
        <v>685</v>
      </c>
      <c r="J97" s="125" t="s">
        <v>0</v>
      </c>
      <c r="K97" s="242">
        <v>30710473168</v>
      </c>
      <c r="L97" s="242">
        <v>1</v>
      </c>
      <c r="M97" s="125" t="s">
        <v>740</v>
      </c>
      <c r="N97" s="125"/>
      <c r="O97" s="125"/>
      <c r="P97" s="125"/>
      <c r="Q97" s="125"/>
      <c r="R97" s="125"/>
      <c r="S97" s="125"/>
      <c r="T97" s="125"/>
      <c r="U97" s="243">
        <v>343.64</v>
      </c>
      <c r="V97" s="243">
        <v>1636.36</v>
      </c>
      <c r="W97" s="125"/>
      <c r="X97" s="125"/>
      <c r="Y97" s="243">
        <v>1636.36</v>
      </c>
      <c r="Z97" s="242">
        <v>0</v>
      </c>
      <c r="AA97" s="242">
        <v>0</v>
      </c>
      <c r="AB97" s="242">
        <v>0</v>
      </c>
      <c r="AC97" s="243">
        <v>343.64</v>
      </c>
      <c r="AD97" s="242">
        <v>1980</v>
      </c>
    </row>
    <row r="98" spans="1:31" hidden="1" x14ac:dyDescent="0.25">
      <c r="A98" s="246" t="s">
        <v>1293</v>
      </c>
      <c r="B98" s="246" t="s">
        <v>749</v>
      </c>
      <c r="C98" s="253">
        <v>3</v>
      </c>
      <c r="D98" s="253">
        <v>503</v>
      </c>
      <c r="E98" s="253">
        <v>503</v>
      </c>
      <c r="F98" s="253">
        <v>75429317561410</v>
      </c>
      <c r="G98" s="246" t="s">
        <v>0</v>
      </c>
      <c r="H98" s="253">
        <v>30707042679</v>
      </c>
      <c r="I98" s="246" t="s">
        <v>659</v>
      </c>
      <c r="J98" s="246" t="s">
        <v>0</v>
      </c>
      <c r="K98" s="253">
        <v>30710473168</v>
      </c>
      <c r="L98" s="253">
        <v>1</v>
      </c>
      <c r="M98" s="246" t="s">
        <v>740</v>
      </c>
      <c r="N98" s="246"/>
      <c r="O98" s="246"/>
      <c r="P98" s="246"/>
      <c r="Q98" s="246"/>
      <c r="R98" s="246"/>
      <c r="S98" s="246"/>
      <c r="T98" s="246"/>
      <c r="U98" s="254">
        <v>336126.84</v>
      </c>
      <c r="V98" s="253">
        <v>1600604</v>
      </c>
      <c r="W98" s="246"/>
      <c r="X98" s="246"/>
      <c r="Y98" s="253">
        <v>1600604</v>
      </c>
      <c r="Z98" s="253">
        <v>0</v>
      </c>
      <c r="AA98" s="253">
        <v>0</v>
      </c>
      <c r="AB98" s="253">
        <v>0</v>
      </c>
      <c r="AC98" s="254">
        <v>336126.84</v>
      </c>
      <c r="AD98" s="254">
        <v>1936730.84</v>
      </c>
    </row>
    <row r="99" spans="1:31" hidden="1" x14ac:dyDescent="0.25">
      <c r="A99" s="246" t="s">
        <v>1293</v>
      </c>
      <c r="B99" s="246" t="s">
        <v>745</v>
      </c>
      <c r="C99" s="253">
        <v>3</v>
      </c>
      <c r="D99" s="253">
        <v>13</v>
      </c>
      <c r="E99" s="253">
        <v>13</v>
      </c>
      <c r="F99" s="253">
        <v>75420308126642</v>
      </c>
      <c r="G99" s="246" t="s">
        <v>0</v>
      </c>
      <c r="H99" s="253">
        <v>20310489930</v>
      </c>
      <c r="I99" s="246" t="s">
        <v>898</v>
      </c>
      <c r="J99" s="246" t="s">
        <v>0</v>
      </c>
      <c r="K99" s="253">
        <v>30710473168</v>
      </c>
      <c r="L99" s="253">
        <v>1</v>
      </c>
      <c r="M99" s="246" t="s">
        <v>740</v>
      </c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  <c r="AA99" s="246"/>
      <c r="AB99" s="253">
        <v>0</v>
      </c>
      <c r="AC99" s="246"/>
      <c r="AD99" s="253">
        <v>500000</v>
      </c>
    </row>
    <row r="100" spans="1:31" hidden="1" x14ac:dyDescent="0.25">
      <c r="A100" s="125" t="s">
        <v>1311</v>
      </c>
      <c r="B100" s="125" t="s">
        <v>738</v>
      </c>
      <c r="C100" s="242">
        <v>5</v>
      </c>
      <c r="D100" s="242">
        <v>67</v>
      </c>
      <c r="E100" s="242">
        <v>67</v>
      </c>
      <c r="F100" s="242">
        <v>75423624068395</v>
      </c>
      <c r="G100" s="125" t="s">
        <v>0</v>
      </c>
      <c r="H100" s="242">
        <v>20929183143</v>
      </c>
      <c r="I100" s="125" t="s">
        <v>300</v>
      </c>
      <c r="J100" s="125" t="s">
        <v>0</v>
      </c>
      <c r="K100" s="242">
        <v>30710473168</v>
      </c>
      <c r="L100" s="242">
        <v>1</v>
      </c>
      <c r="M100" s="125" t="s">
        <v>740</v>
      </c>
      <c r="N100" s="125"/>
      <c r="O100" s="125"/>
      <c r="P100" s="125"/>
      <c r="Q100" s="125"/>
      <c r="R100" s="125"/>
      <c r="S100" s="125"/>
      <c r="T100" s="125"/>
      <c r="U100" s="242">
        <v>23100</v>
      </c>
      <c r="V100" s="242">
        <v>110000</v>
      </c>
      <c r="W100" s="125"/>
      <c r="X100" s="125"/>
      <c r="Y100" s="242">
        <v>110000</v>
      </c>
      <c r="Z100" s="242">
        <v>0</v>
      </c>
      <c r="AA100" s="242">
        <v>0</v>
      </c>
      <c r="AB100" s="242">
        <v>0</v>
      </c>
      <c r="AC100" s="242">
        <v>23100</v>
      </c>
      <c r="AD100" s="242">
        <v>133100</v>
      </c>
    </row>
    <row r="101" spans="1:31" hidden="1" x14ac:dyDescent="0.25">
      <c r="A101" s="246" t="s">
        <v>1311</v>
      </c>
      <c r="B101" s="246" t="s">
        <v>745</v>
      </c>
      <c r="C101" s="253">
        <v>2</v>
      </c>
      <c r="D101" s="253">
        <v>14</v>
      </c>
      <c r="E101" s="253">
        <v>14</v>
      </c>
      <c r="F101" s="253">
        <v>75421570215782</v>
      </c>
      <c r="G101" s="246" t="s">
        <v>0</v>
      </c>
      <c r="H101" s="253">
        <v>27344304551</v>
      </c>
      <c r="I101" s="246" t="s">
        <v>762</v>
      </c>
      <c r="J101" s="246" t="s">
        <v>0</v>
      </c>
      <c r="K101" s="253">
        <v>30710473168</v>
      </c>
      <c r="L101" s="253">
        <v>1</v>
      </c>
      <c r="M101" s="246" t="s">
        <v>740</v>
      </c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  <c r="AA101" s="246"/>
      <c r="AB101" s="253">
        <v>0</v>
      </c>
      <c r="AC101" s="246"/>
      <c r="AD101" s="253">
        <v>600000</v>
      </c>
    </row>
    <row r="102" spans="1:31" hidden="1" x14ac:dyDescent="0.25">
      <c r="A102" s="246" t="s">
        <v>1311</v>
      </c>
      <c r="B102" s="246" t="s">
        <v>745</v>
      </c>
      <c r="C102" s="253">
        <v>2001</v>
      </c>
      <c r="D102" s="253">
        <v>971</v>
      </c>
      <c r="E102" s="253">
        <v>971</v>
      </c>
      <c r="F102" s="253">
        <v>75428615213447</v>
      </c>
      <c r="G102" s="246" t="s">
        <v>0</v>
      </c>
      <c r="H102" s="253">
        <v>27167641798</v>
      </c>
      <c r="I102" s="246" t="s">
        <v>1551</v>
      </c>
      <c r="J102" s="246" t="s">
        <v>0</v>
      </c>
      <c r="K102" s="253">
        <v>30710473168</v>
      </c>
      <c r="L102" s="253">
        <v>1</v>
      </c>
      <c r="M102" s="246" t="s">
        <v>740</v>
      </c>
      <c r="N102" s="246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  <c r="AA102" s="246"/>
      <c r="AB102" s="253">
        <v>0</v>
      </c>
      <c r="AC102" s="246"/>
      <c r="AD102" s="253">
        <v>170000</v>
      </c>
    </row>
    <row r="103" spans="1:31" hidden="1" x14ac:dyDescent="0.25">
      <c r="A103" s="246" t="s">
        <v>1311</v>
      </c>
      <c r="B103" s="246" t="s">
        <v>745</v>
      </c>
      <c r="C103" s="253">
        <v>1</v>
      </c>
      <c r="D103" s="253">
        <v>192</v>
      </c>
      <c r="E103" s="253">
        <v>192</v>
      </c>
      <c r="F103" s="253">
        <v>75420661119354</v>
      </c>
      <c r="G103" s="246" t="s">
        <v>0</v>
      </c>
      <c r="H103" s="253">
        <v>27338342840</v>
      </c>
      <c r="I103" s="246" t="s">
        <v>77</v>
      </c>
      <c r="J103" s="246" t="s">
        <v>0</v>
      </c>
      <c r="K103" s="253">
        <v>30710473168</v>
      </c>
      <c r="L103" s="253">
        <v>1</v>
      </c>
      <c r="M103" s="246" t="s">
        <v>740</v>
      </c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  <c r="AA103" s="246"/>
      <c r="AB103" s="253">
        <v>0</v>
      </c>
      <c r="AC103" s="246"/>
      <c r="AD103" s="253">
        <v>123000</v>
      </c>
    </row>
    <row r="104" spans="1:31" hidden="1" x14ac:dyDescent="0.25">
      <c r="A104" s="246" t="s">
        <v>1311</v>
      </c>
      <c r="B104" s="246" t="s">
        <v>745</v>
      </c>
      <c r="C104" s="253">
        <v>1</v>
      </c>
      <c r="D104" s="253">
        <v>193</v>
      </c>
      <c r="E104" s="253">
        <v>193</v>
      </c>
      <c r="F104" s="253">
        <v>75420663801786</v>
      </c>
      <c r="G104" s="246" t="s">
        <v>0</v>
      </c>
      <c r="H104" s="253">
        <v>27338342840</v>
      </c>
      <c r="I104" s="246" t="s">
        <v>77</v>
      </c>
      <c r="J104" s="246" t="s">
        <v>0</v>
      </c>
      <c r="K104" s="253">
        <v>30710473168</v>
      </c>
      <c r="L104" s="253">
        <v>1</v>
      </c>
      <c r="M104" s="246" t="s">
        <v>740</v>
      </c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  <c r="AA104" s="246"/>
      <c r="AB104" s="253">
        <v>0</v>
      </c>
      <c r="AC104" s="246"/>
      <c r="AD104" s="253">
        <v>295000</v>
      </c>
    </row>
    <row r="105" spans="1:31" hidden="1" x14ac:dyDescent="0.25">
      <c r="A105" s="125" t="s">
        <v>1330</v>
      </c>
      <c r="B105" s="125" t="s">
        <v>738</v>
      </c>
      <c r="C105" s="242">
        <v>2036</v>
      </c>
      <c r="D105" s="242">
        <v>88688</v>
      </c>
      <c r="E105" s="242">
        <v>88688</v>
      </c>
      <c r="F105" s="242">
        <v>75420782555758</v>
      </c>
      <c r="G105" s="125" t="s">
        <v>0</v>
      </c>
      <c r="H105" s="242">
        <v>30516186670</v>
      </c>
      <c r="I105" s="125" t="s">
        <v>668</v>
      </c>
      <c r="J105" s="125" t="s">
        <v>0</v>
      </c>
      <c r="K105" s="242">
        <v>30710473168</v>
      </c>
      <c r="L105" s="242">
        <v>1</v>
      </c>
      <c r="M105" s="125" t="s">
        <v>740</v>
      </c>
      <c r="N105" s="125"/>
      <c r="O105" s="125"/>
      <c r="P105" s="125"/>
      <c r="Q105" s="125"/>
      <c r="R105" s="125"/>
      <c r="S105" s="125"/>
      <c r="T105" s="125"/>
      <c r="U105" s="243">
        <v>9969.9699999999993</v>
      </c>
      <c r="V105" s="243">
        <v>47476.05</v>
      </c>
      <c r="W105" s="125"/>
      <c r="X105" s="125"/>
      <c r="Y105" s="243">
        <v>47476.05</v>
      </c>
      <c r="Z105" s="242">
        <v>0</v>
      </c>
      <c r="AA105" s="242">
        <v>0</v>
      </c>
      <c r="AB105" s="125">
        <v>11177.7</v>
      </c>
      <c r="AC105" s="243">
        <v>9969.9699999999993</v>
      </c>
      <c r="AD105" s="243">
        <v>68623.72</v>
      </c>
    </row>
    <row r="106" spans="1:31" hidden="1" x14ac:dyDescent="0.25">
      <c r="A106" s="125" t="s">
        <v>1330</v>
      </c>
      <c r="B106" s="125" t="s">
        <v>738</v>
      </c>
      <c r="C106" s="242">
        <v>1055</v>
      </c>
      <c r="D106" s="242">
        <v>921</v>
      </c>
      <c r="E106" s="242">
        <v>921</v>
      </c>
      <c r="F106" s="242">
        <v>75421699274172</v>
      </c>
      <c r="G106" s="125" t="s">
        <v>0</v>
      </c>
      <c r="H106" s="242">
        <v>30685849751</v>
      </c>
      <c r="I106" s="125" t="s">
        <v>685</v>
      </c>
      <c r="J106" s="125" t="s">
        <v>0</v>
      </c>
      <c r="K106" s="242">
        <v>30710473168</v>
      </c>
      <c r="L106" s="242">
        <v>1</v>
      </c>
      <c r="M106" s="125" t="s">
        <v>740</v>
      </c>
      <c r="N106" s="125"/>
      <c r="O106" s="125"/>
      <c r="P106" s="125"/>
      <c r="Q106" s="125"/>
      <c r="R106" s="125"/>
      <c r="S106" s="125"/>
      <c r="T106" s="125"/>
      <c r="U106" s="243">
        <v>758.43</v>
      </c>
      <c r="V106" s="243">
        <v>3611.57</v>
      </c>
      <c r="W106" s="125"/>
      <c r="X106" s="125"/>
      <c r="Y106" s="243">
        <v>3611.57</v>
      </c>
      <c r="Z106" s="242">
        <v>0</v>
      </c>
      <c r="AA106" s="242">
        <v>0</v>
      </c>
      <c r="AB106" s="243">
        <v>144.46</v>
      </c>
      <c r="AC106" s="243">
        <v>758.43</v>
      </c>
      <c r="AD106" s="243">
        <v>4514.46</v>
      </c>
    </row>
    <row r="107" spans="1:31" hidden="1" x14ac:dyDescent="0.25">
      <c r="A107" s="246" t="s">
        <v>1330</v>
      </c>
      <c r="B107" s="246" t="s">
        <v>738</v>
      </c>
      <c r="C107" s="253">
        <v>2168</v>
      </c>
      <c r="D107" s="253">
        <v>25156</v>
      </c>
      <c r="E107" s="253">
        <v>25156</v>
      </c>
      <c r="F107" s="253">
        <v>75426801814809</v>
      </c>
      <c r="G107" s="246" t="s">
        <v>0</v>
      </c>
      <c r="H107" s="253">
        <v>30548083156</v>
      </c>
      <c r="I107" s="246" t="s">
        <v>739</v>
      </c>
      <c r="J107" s="246" t="s">
        <v>0</v>
      </c>
      <c r="K107" s="253">
        <v>30710473168</v>
      </c>
      <c r="L107" s="253">
        <v>1</v>
      </c>
      <c r="M107" s="246" t="s">
        <v>740</v>
      </c>
      <c r="N107" s="246"/>
      <c r="O107" s="246"/>
      <c r="P107" s="246"/>
      <c r="Q107" s="246"/>
      <c r="R107" s="246"/>
      <c r="S107" s="254">
        <v>4482.59</v>
      </c>
      <c r="T107" s="254">
        <v>42691.29</v>
      </c>
      <c r="U107" s="254">
        <v>455.58</v>
      </c>
      <c r="V107" s="254">
        <v>2169.42</v>
      </c>
      <c r="W107" s="246"/>
      <c r="X107" s="246"/>
      <c r="Y107" s="254">
        <v>44860.71</v>
      </c>
      <c r="Z107" s="253">
        <v>0</v>
      </c>
      <c r="AA107" s="253">
        <v>0</v>
      </c>
      <c r="AB107" s="254">
        <v>1031.54</v>
      </c>
      <c r="AC107" s="254">
        <v>4938.17</v>
      </c>
      <c r="AD107" s="254">
        <v>50830.42</v>
      </c>
    </row>
    <row r="108" spans="1:31" hidden="1" x14ac:dyDescent="0.25">
      <c r="A108" s="125" t="s">
        <v>1330</v>
      </c>
      <c r="B108" s="125" t="s">
        <v>738</v>
      </c>
      <c r="C108" s="242">
        <v>10</v>
      </c>
      <c r="D108" s="242">
        <v>2818</v>
      </c>
      <c r="E108" s="242">
        <v>2818</v>
      </c>
      <c r="F108" s="242">
        <v>75436835739224</v>
      </c>
      <c r="G108" s="125" t="s">
        <v>0</v>
      </c>
      <c r="H108" s="242">
        <v>30716886766</v>
      </c>
      <c r="I108" s="125" t="s">
        <v>1552</v>
      </c>
      <c r="J108" s="125" t="s">
        <v>0</v>
      </c>
      <c r="K108" s="242">
        <v>30710473168</v>
      </c>
      <c r="L108" s="242">
        <v>1</v>
      </c>
      <c r="M108" s="125" t="s">
        <v>740</v>
      </c>
      <c r="N108" s="125"/>
      <c r="O108" s="125"/>
      <c r="P108" s="125"/>
      <c r="Q108" s="125"/>
      <c r="R108" s="125"/>
      <c r="S108" s="125"/>
      <c r="T108" s="125"/>
      <c r="U108" s="243">
        <v>7933.14</v>
      </c>
      <c r="V108" s="243">
        <v>37776.86</v>
      </c>
      <c r="W108" s="125"/>
      <c r="X108" s="125"/>
      <c r="Y108" s="243">
        <v>37776.86</v>
      </c>
      <c r="Z108" s="242">
        <v>0</v>
      </c>
      <c r="AA108" s="242">
        <v>0</v>
      </c>
      <c r="AB108" s="242">
        <v>0</v>
      </c>
      <c r="AC108" s="243">
        <v>7933.14</v>
      </c>
      <c r="AD108" s="242">
        <v>45710</v>
      </c>
      <c r="AE108" t="s">
        <v>1563</v>
      </c>
    </row>
    <row r="109" spans="1:31" hidden="1" x14ac:dyDescent="0.25">
      <c r="A109" s="246" t="s">
        <v>1330</v>
      </c>
      <c r="B109" s="246" t="s">
        <v>738</v>
      </c>
      <c r="C109" s="253">
        <v>700</v>
      </c>
      <c r="D109" s="253">
        <v>2790948</v>
      </c>
      <c r="E109" s="253">
        <v>2790948</v>
      </c>
      <c r="F109" s="253">
        <v>75432830422417</v>
      </c>
      <c r="G109" s="246" t="s">
        <v>0</v>
      </c>
      <c r="H109" s="253">
        <v>30715804812</v>
      </c>
      <c r="I109" s="246" t="s">
        <v>751</v>
      </c>
      <c r="J109" s="246" t="s">
        <v>0</v>
      </c>
      <c r="K109" s="253">
        <v>30710473168</v>
      </c>
      <c r="L109" s="253">
        <v>1</v>
      </c>
      <c r="M109" s="246" t="s">
        <v>740</v>
      </c>
      <c r="N109" s="246"/>
      <c r="O109" s="246"/>
      <c r="P109" s="246"/>
      <c r="Q109" s="246"/>
      <c r="R109" s="246"/>
      <c r="S109" s="246"/>
      <c r="T109" s="246"/>
      <c r="U109" s="254">
        <v>3319.63</v>
      </c>
      <c r="V109" s="254">
        <v>15807.73</v>
      </c>
      <c r="W109" s="246"/>
      <c r="X109" s="246"/>
      <c r="Y109" s="254">
        <v>15807.73</v>
      </c>
      <c r="Z109" s="253">
        <v>0</v>
      </c>
      <c r="AA109" s="253">
        <v>0</v>
      </c>
      <c r="AB109" s="254">
        <v>632.30999999999995</v>
      </c>
      <c r="AC109" s="254">
        <v>3319.63</v>
      </c>
      <c r="AD109" s="254">
        <v>19759.669999999998</v>
      </c>
    </row>
    <row r="110" spans="1:31" hidden="1" x14ac:dyDescent="0.25">
      <c r="A110" s="125" t="s">
        <v>1363</v>
      </c>
      <c r="B110" s="125" t="s">
        <v>738</v>
      </c>
      <c r="C110" s="242">
        <v>5</v>
      </c>
      <c r="D110" s="242">
        <v>3410705</v>
      </c>
      <c r="E110" s="242">
        <v>3410705</v>
      </c>
      <c r="F110" s="242">
        <v>75435864770896</v>
      </c>
      <c r="G110" s="125" t="s">
        <v>0</v>
      </c>
      <c r="H110" s="242">
        <v>30702652975</v>
      </c>
      <c r="I110" s="125" t="s">
        <v>756</v>
      </c>
      <c r="J110" s="125" t="s">
        <v>0</v>
      </c>
      <c r="K110" s="242">
        <v>30710473168</v>
      </c>
      <c r="L110" s="242">
        <v>1</v>
      </c>
      <c r="M110" s="125" t="s">
        <v>740</v>
      </c>
      <c r="N110" s="125"/>
      <c r="O110" s="125"/>
      <c r="P110" s="125"/>
      <c r="Q110" s="125"/>
      <c r="R110" s="125"/>
      <c r="S110" s="125"/>
      <c r="T110" s="125"/>
      <c r="U110" s="243">
        <v>8344.19</v>
      </c>
      <c r="V110" s="243">
        <v>39734.25</v>
      </c>
      <c r="W110" s="125"/>
      <c r="X110" s="125"/>
      <c r="Y110" s="243">
        <v>39734.25</v>
      </c>
      <c r="Z110" s="242">
        <v>0</v>
      </c>
      <c r="AA110" s="242">
        <v>0</v>
      </c>
      <c r="AB110" s="243">
        <v>1589.37</v>
      </c>
      <c r="AC110" s="243">
        <v>8344.19</v>
      </c>
      <c r="AD110" s="243">
        <v>49667.82</v>
      </c>
    </row>
    <row r="111" spans="1:31" hidden="1" x14ac:dyDescent="0.25">
      <c r="A111" s="125" t="s">
        <v>1363</v>
      </c>
      <c r="B111" s="125" t="s">
        <v>738</v>
      </c>
      <c r="C111" s="242">
        <v>1054</v>
      </c>
      <c r="D111" s="242">
        <v>383</v>
      </c>
      <c r="E111" s="242">
        <v>383</v>
      </c>
      <c r="F111" s="242">
        <v>75431903531693</v>
      </c>
      <c r="G111" s="125" t="s">
        <v>0</v>
      </c>
      <c r="H111" s="242">
        <v>30685849751</v>
      </c>
      <c r="I111" s="125" t="s">
        <v>685</v>
      </c>
      <c r="J111" s="125" t="s">
        <v>0</v>
      </c>
      <c r="K111" s="242">
        <v>30710473168</v>
      </c>
      <c r="L111" s="242">
        <v>1</v>
      </c>
      <c r="M111" s="125" t="s">
        <v>740</v>
      </c>
      <c r="N111" s="125"/>
      <c r="O111" s="125"/>
      <c r="P111" s="125"/>
      <c r="Q111" s="125"/>
      <c r="R111" s="125"/>
      <c r="S111" s="125"/>
      <c r="T111" s="125"/>
      <c r="U111" s="243">
        <v>343.64</v>
      </c>
      <c r="V111" s="243">
        <v>1636.36</v>
      </c>
      <c r="W111" s="125"/>
      <c r="X111" s="125"/>
      <c r="Y111" s="243">
        <v>1636.36</v>
      </c>
      <c r="Z111" s="242">
        <v>0</v>
      </c>
      <c r="AA111" s="242">
        <v>0</v>
      </c>
      <c r="AB111" s="242">
        <v>0</v>
      </c>
      <c r="AC111" s="243">
        <v>343.64</v>
      </c>
      <c r="AD111" s="242">
        <v>1980</v>
      </c>
    </row>
    <row r="112" spans="1:31" hidden="1" x14ac:dyDescent="0.25">
      <c r="A112" s="125" t="s">
        <v>1363</v>
      </c>
      <c r="B112" s="125" t="s">
        <v>738</v>
      </c>
      <c r="C112" s="242">
        <v>23</v>
      </c>
      <c r="D112" s="242">
        <v>8977</v>
      </c>
      <c r="E112" s="242">
        <v>8977</v>
      </c>
      <c r="F112" s="242">
        <v>75431841107015</v>
      </c>
      <c r="G112" s="125" t="s">
        <v>0</v>
      </c>
      <c r="H112" s="242">
        <v>30679067431</v>
      </c>
      <c r="I112" s="125" t="s">
        <v>1553</v>
      </c>
      <c r="J112" s="125" t="s">
        <v>0</v>
      </c>
      <c r="K112" s="242">
        <v>30710473168</v>
      </c>
      <c r="L112" s="242">
        <v>1</v>
      </c>
      <c r="M112" s="125" t="s">
        <v>740</v>
      </c>
      <c r="N112" s="125"/>
      <c r="O112" s="125"/>
      <c r="P112" s="125"/>
      <c r="Q112" s="125"/>
      <c r="R112" s="125"/>
      <c r="S112" s="125"/>
      <c r="T112" s="125"/>
      <c r="U112" s="243">
        <v>5726.14</v>
      </c>
      <c r="V112" s="243">
        <v>27267.360000000001</v>
      </c>
      <c r="W112" s="125"/>
      <c r="X112" s="125"/>
      <c r="Y112" s="243">
        <v>27267.360000000001</v>
      </c>
      <c r="Z112" s="242">
        <v>0</v>
      </c>
      <c r="AA112" s="242">
        <v>0</v>
      </c>
      <c r="AB112" s="242">
        <v>0</v>
      </c>
      <c r="AC112" s="243">
        <v>5726.14</v>
      </c>
      <c r="AD112" s="125">
        <v>32993.5</v>
      </c>
      <c r="AE112" t="s">
        <v>1563</v>
      </c>
    </row>
    <row r="113" spans="1:31" hidden="1" x14ac:dyDescent="0.25">
      <c r="A113" s="246" t="s">
        <v>1363</v>
      </c>
      <c r="B113" s="246" t="s">
        <v>738</v>
      </c>
      <c r="C113" s="253">
        <v>6</v>
      </c>
      <c r="D113" s="253">
        <v>97166</v>
      </c>
      <c r="E113" s="253">
        <v>97166</v>
      </c>
      <c r="F113" s="253">
        <v>75434887924580</v>
      </c>
      <c r="G113" s="246" t="s">
        <v>0</v>
      </c>
      <c r="H113" s="253">
        <v>30711553564</v>
      </c>
      <c r="I113" s="246" t="s">
        <v>452</v>
      </c>
      <c r="J113" s="246" t="s">
        <v>0</v>
      </c>
      <c r="K113" s="253">
        <v>30710473168</v>
      </c>
      <c r="L113" s="253">
        <v>1</v>
      </c>
      <c r="M113" s="246" t="s">
        <v>740</v>
      </c>
      <c r="N113" s="246"/>
      <c r="O113" s="246"/>
      <c r="P113" s="246"/>
      <c r="Q113" s="246"/>
      <c r="R113" s="246"/>
      <c r="S113" s="246"/>
      <c r="T113" s="246"/>
      <c r="U113" s="254">
        <v>74613.84</v>
      </c>
      <c r="V113" s="253">
        <v>355304</v>
      </c>
      <c r="W113" s="246"/>
      <c r="X113" s="246"/>
      <c r="Y113" s="253">
        <v>355304</v>
      </c>
      <c r="Z113" s="253">
        <v>0</v>
      </c>
      <c r="AA113" s="253">
        <v>0</v>
      </c>
      <c r="AB113" s="253">
        <v>0</v>
      </c>
      <c r="AC113" s="254">
        <v>74613.84</v>
      </c>
      <c r="AD113" s="254">
        <v>429917.84</v>
      </c>
    </row>
    <row r="114" spans="1:31" hidden="1" x14ac:dyDescent="0.25">
      <c r="A114" s="125" t="s">
        <v>1363</v>
      </c>
      <c r="B114" s="125" t="s">
        <v>738</v>
      </c>
      <c r="C114" s="242">
        <v>1</v>
      </c>
      <c r="D114" s="242">
        <v>142</v>
      </c>
      <c r="E114" s="242">
        <v>142</v>
      </c>
      <c r="F114" s="242">
        <v>75431907662893</v>
      </c>
      <c r="G114" s="125" t="s">
        <v>0</v>
      </c>
      <c r="H114" s="242">
        <v>30716046091</v>
      </c>
      <c r="I114" s="125" t="s">
        <v>1554</v>
      </c>
      <c r="J114" s="125" t="s">
        <v>0</v>
      </c>
      <c r="K114" s="242">
        <v>30710473168</v>
      </c>
      <c r="L114" s="242">
        <v>1</v>
      </c>
      <c r="M114" s="125" t="s">
        <v>740</v>
      </c>
      <c r="N114" s="125"/>
      <c r="O114" s="125"/>
      <c r="P114" s="125"/>
      <c r="Q114" s="125"/>
      <c r="R114" s="125"/>
      <c r="S114" s="242">
        <v>42000</v>
      </c>
      <c r="T114" s="242">
        <v>400000</v>
      </c>
      <c r="U114" s="125"/>
      <c r="V114" s="125"/>
      <c r="W114" s="125"/>
      <c r="X114" s="125"/>
      <c r="Y114" s="242">
        <v>400000</v>
      </c>
      <c r="Z114" s="242">
        <v>0</v>
      </c>
      <c r="AA114" s="242">
        <v>0</v>
      </c>
      <c r="AB114" s="242">
        <v>0</v>
      </c>
      <c r="AC114" s="242">
        <v>42000</v>
      </c>
      <c r="AD114" s="242">
        <v>442000</v>
      </c>
      <c r="AE114" t="s">
        <v>1563</v>
      </c>
    </row>
    <row r="115" spans="1:31" hidden="1" x14ac:dyDescent="0.25">
      <c r="A115" s="125" t="s">
        <v>1363</v>
      </c>
      <c r="B115" s="125" t="s">
        <v>738</v>
      </c>
      <c r="C115" s="242">
        <v>3</v>
      </c>
      <c r="D115" s="242">
        <v>7024</v>
      </c>
      <c r="E115" s="242">
        <v>7024</v>
      </c>
      <c r="F115" s="242">
        <v>75439869048788</v>
      </c>
      <c r="G115" s="125" t="s">
        <v>0</v>
      </c>
      <c r="H115" s="242">
        <v>30707042679</v>
      </c>
      <c r="I115" s="125" t="s">
        <v>659</v>
      </c>
      <c r="J115" s="125" t="s">
        <v>0</v>
      </c>
      <c r="K115" s="242">
        <v>30710473168</v>
      </c>
      <c r="L115" s="242">
        <v>1</v>
      </c>
      <c r="M115" s="125" t="s">
        <v>740</v>
      </c>
      <c r="N115" s="125"/>
      <c r="O115" s="125"/>
      <c r="P115" s="125"/>
      <c r="Q115" s="125"/>
      <c r="R115" s="125"/>
      <c r="S115" s="125"/>
      <c r="T115" s="125"/>
      <c r="U115" s="243">
        <v>16946.37</v>
      </c>
      <c r="V115" s="242">
        <v>80697</v>
      </c>
      <c r="W115" s="125"/>
      <c r="X115" s="125"/>
      <c r="Y115" s="242">
        <v>80697</v>
      </c>
      <c r="Z115" s="242">
        <v>0</v>
      </c>
      <c r="AA115" s="242">
        <v>0</v>
      </c>
      <c r="AB115" s="242">
        <v>0</v>
      </c>
      <c r="AC115" s="243">
        <v>16946.37</v>
      </c>
      <c r="AD115" s="243">
        <v>97643.37</v>
      </c>
    </row>
    <row r="116" spans="1:31" hidden="1" x14ac:dyDescent="0.25">
      <c r="A116" s="246" t="s">
        <v>1363</v>
      </c>
      <c r="B116" s="246" t="s">
        <v>745</v>
      </c>
      <c r="C116" s="253">
        <v>1</v>
      </c>
      <c r="D116" s="253">
        <v>85</v>
      </c>
      <c r="E116" s="253">
        <v>85</v>
      </c>
      <c r="F116" s="253">
        <v>75434906732886</v>
      </c>
      <c r="G116" s="246" t="s">
        <v>0</v>
      </c>
      <c r="H116" s="253">
        <v>23281233084</v>
      </c>
      <c r="I116" s="246" t="s">
        <v>152</v>
      </c>
      <c r="J116" s="246" t="s">
        <v>0</v>
      </c>
      <c r="K116" s="253">
        <v>30710473168</v>
      </c>
      <c r="L116" s="253">
        <v>1</v>
      </c>
      <c r="M116" s="246" t="s">
        <v>740</v>
      </c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  <c r="AA116" s="246"/>
      <c r="AB116" s="253">
        <v>0</v>
      </c>
      <c r="AC116" s="246"/>
      <c r="AD116" s="253">
        <v>300000</v>
      </c>
    </row>
    <row r="117" spans="1:31" hidden="1" x14ac:dyDescent="0.25">
      <c r="A117" s="246" t="s">
        <v>1363</v>
      </c>
      <c r="B117" s="246" t="s">
        <v>745</v>
      </c>
      <c r="C117" s="253">
        <v>2</v>
      </c>
      <c r="D117" s="253">
        <v>15</v>
      </c>
      <c r="E117" s="253">
        <v>15</v>
      </c>
      <c r="F117" s="253">
        <v>75431918633406</v>
      </c>
      <c r="G117" s="246" t="s">
        <v>0</v>
      </c>
      <c r="H117" s="253">
        <v>27344304551</v>
      </c>
      <c r="I117" s="246" t="s">
        <v>762</v>
      </c>
      <c r="J117" s="246" t="s">
        <v>0</v>
      </c>
      <c r="K117" s="253">
        <v>30710473168</v>
      </c>
      <c r="L117" s="253">
        <v>1</v>
      </c>
      <c r="M117" s="246" t="s">
        <v>740</v>
      </c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  <c r="AB117" s="253">
        <v>0</v>
      </c>
      <c r="AC117" s="246"/>
      <c r="AD117" s="253">
        <v>170000</v>
      </c>
    </row>
    <row r="118" spans="1:31" hidden="1" x14ac:dyDescent="0.25">
      <c r="A118" s="246" t="s">
        <v>1401</v>
      </c>
      <c r="B118" s="246" t="s">
        <v>738</v>
      </c>
      <c r="C118" s="253">
        <v>2</v>
      </c>
      <c r="D118" s="253">
        <v>1628</v>
      </c>
      <c r="E118" s="253">
        <v>1628</v>
      </c>
      <c r="F118" s="253">
        <v>75439019991512</v>
      </c>
      <c r="G118" s="246" t="s">
        <v>0</v>
      </c>
      <c r="H118" s="253">
        <v>20272865869</v>
      </c>
      <c r="I118" s="246" t="s">
        <v>561</v>
      </c>
      <c r="J118" s="246" t="s">
        <v>0</v>
      </c>
      <c r="K118" s="253">
        <v>30710473168</v>
      </c>
      <c r="L118" s="253">
        <v>1</v>
      </c>
      <c r="M118" s="246" t="s">
        <v>740</v>
      </c>
      <c r="N118" s="246"/>
      <c r="O118" s="246"/>
      <c r="P118" s="246"/>
      <c r="Q118" s="246"/>
      <c r="R118" s="246"/>
      <c r="S118" s="246"/>
      <c r="T118" s="246"/>
      <c r="U118" s="253">
        <v>33159</v>
      </c>
      <c r="V118" s="253">
        <v>157900</v>
      </c>
      <c r="W118" s="246"/>
      <c r="X118" s="246"/>
      <c r="Y118" s="253">
        <v>157900</v>
      </c>
      <c r="Z118" s="253">
        <v>0</v>
      </c>
      <c r="AA118" s="253">
        <v>0</v>
      </c>
      <c r="AB118" s="253">
        <v>0</v>
      </c>
      <c r="AC118" s="253">
        <v>33159</v>
      </c>
      <c r="AD118" s="253">
        <v>191059</v>
      </c>
    </row>
    <row r="119" spans="1:31" hidden="1" x14ac:dyDescent="0.25">
      <c r="A119" s="246" t="s">
        <v>1514</v>
      </c>
      <c r="B119" s="246" t="s">
        <v>738</v>
      </c>
      <c r="C119" s="253">
        <v>5015</v>
      </c>
      <c r="D119" s="253">
        <v>1051683</v>
      </c>
      <c r="E119" s="253">
        <v>1051683</v>
      </c>
      <c r="F119" s="253">
        <v>75444203590437</v>
      </c>
      <c r="G119" s="246" t="s">
        <v>0</v>
      </c>
      <c r="H119" s="253">
        <v>30574876474</v>
      </c>
      <c r="I119" s="246" t="s">
        <v>896</v>
      </c>
      <c r="J119" s="246" t="s">
        <v>0</v>
      </c>
      <c r="K119" s="253">
        <v>30710473168</v>
      </c>
      <c r="L119" s="253">
        <v>1</v>
      </c>
      <c r="M119" s="246" t="s">
        <v>740</v>
      </c>
      <c r="N119" s="254">
        <v>0.04</v>
      </c>
      <c r="O119" s="246"/>
      <c r="P119" s="246"/>
      <c r="Q119" s="246"/>
      <c r="R119" s="246"/>
      <c r="S119" s="246"/>
      <c r="T119" s="246"/>
      <c r="U119" s="254">
        <v>2064.7600000000002</v>
      </c>
      <c r="V119" s="257">
        <v>9832.17</v>
      </c>
      <c r="W119" s="246"/>
      <c r="X119" s="246"/>
      <c r="Y119" s="254">
        <v>9832.2099999999991</v>
      </c>
      <c r="Z119" s="253">
        <v>0</v>
      </c>
      <c r="AA119" s="253">
        <f>+V119*0.04</f>
        <v>393.28680000000003</v>
      </c>
      <c r="AB119" s="254">
        <v>1278.19</v>
      </c>
      <c r="AC119" s="254">
        <v>2064.7600000000002</v>
      </c>
      <c r="AD119" s="254">
        <v>13175.16</v>
      </c>
      <c r="AE119" s="256" t="s">
        <v>1563</v>
      </c>
    </row>
    <row r="120" spans="1:31" hidden="1" x14ac:dyDescent="0.25">
      <c r="A120" s="125" t="s">
        <v>1401</v>
      </c>
      <c r="B120" s="125" t="s">
        <v>738</v>
      </c>
      <c r="C120" s="242">
        <v>4</v>
      </c>
      <c r="D120" s="242">
        <v>16131</v>
      </c>
      <c r="E120" s="242">
        <v>16131</v>
      </c>
      <c r="F120" s="242">
        <v>75433995827179</v>
      </c>
      <c r="G120" s="125" t="s">
        <v>0</v>
      </c>
      <c r="H120" s="242">
        <v>30712305513</v>
      </c>
      <c r="I120" s="125" t="s">
        <v>671</v>
      </c>
      <c r="J120" s="125" t="s">
        <v>0</v>
      </c>
      <c r="K120" s="242">
        <v>30710473168</v>
      </c>
      <c r="L120" s="242">
        <v>1</v>
      </c>
      <c r="M120" s="125" t="s">
        <v>740</v>
      </c>
      <c r="N120" s="125"/>
      <c r="O120" s="125"/>
      <c r="P120" s="125"/>
      <c r="Q120" s="125"/>
      <c r="R120" s="125"/>
      <c r="S120" s="242">
        <v>6258</v>
      </c>
      <c r="T120" s="242">
        <v>59600</v>
      </c>
      <c r="U120" s="125">
        <v>635582.9</v>
      </c>
      <c r="V120" s="243">
        <v>3026585.25</v>
      </c>
      <c r="W120" s="125"/>
      <c r="X120" s="125"/>
      <c r="Y120" s="243">
        <v>3086185.25</v>
      </c>
      <c r="Z120" s="242">
        <v>0</v>
      </c>
      <c r="AA120" s="242">
        <v>0</v>
      </c>
      <c r="AB120" s="242">
        <v>0</v>
      </c>
      <c r="AC120" s="125">
        <v>641840.9</v>
      </c>
      <c r="AD120" s="243">
        <v>3728026.15</v>
      </c>
    </row>
    <row r="121" spans="1:31" hidden="1" x14ac:dyDescent="0.25">
      <c r="A121" s="125" t="s">
        <v>1401</v>
      </c>
      <c r="B121" s="125" t="s">
        <v>738</v>
      </c>
      <c r="C121" s="242">
        <v>7</v>
      </c>
      <c r="D121" s="242">
        <v>5934</v>
      </c>
      <c r="E121" s="242">
        <v>5934</v>
      </c>
      <c r="F121" s="242">
        <v>75432998736718</v>
      </c>
      <c r="G121" s="125" t="s">
        <v>0</v>
      </c>
      <c r="H121" s="242">
        <v>20347228002</v>
      </c>
      <c r="I121" s="125" t="s">
        <v>1555</v>
      </c>
      <c r="J121" s="125" t="s">
        <v>0</v>
      </c>
      <c r="K121" s="242">
        <v>30710473168</v>
      </c>
      <c r="L121" s="242">
        <v>1</v>
      </c>
      <c r="M121" s="125" t="s">
        <v>740</v>
      </c>
      <c r="N121" s="125"/>
      <c r="O121" s="125"/>
      <c r="P121" s="125"/>
      <c r="Q121" s="125"/>
      <c r="R121" s="125"/>
      <c r="S121" s="125"/>
      <c r="T121" s="125"/>
      <c r="U121" s="243">
        <v>16924.79</v>
      </c>
      <c r="V121" s="243">
        <v>80594.23</v>
      </c>
      <c r="W121" s="125"/>
      <c r="X121" s="125"/>
      <c r="Y121" s="243">
        <v>80594.23</v>
      </c>
      <c r="Z121" s="242">
        <v>0</v>
      </c>
      <c r="AA121" s="242">
        <v>0</v>
      </c>
      <c r="AB121" s="242">
        <v>0</v>
      </c>
      <c r="AC121" s="243">
        <v>16924.79</v>
      </c>
      <c r="AD121" s="243">
        <v>97519.02</v>
      </c>
    </row>
    <row r="122" spans="1:31" hidden="1" x14ac:dyDescent="0.25">
      <c r="A122" s="125" t="s">
        <v>1401</v>
      </c>
      <c r="B122" s="125" t="s">
        <v>738</v>
      </c>
      <c r="C122" s="242">
        <v>2</v>
      </c>
      <c r="D122" s="242">
        <v>8615</v>
      </c>
      <c r="E122" s="242">
        <v>8615</v>
      </c>
      <c r="F122" s="242">
        <v>75438979466948</v>
      </c>
      <c r="G122" s="125" t="s">
        <v>0</v>
      </c>
      <c r="H122" s="242">
        <v>30643862928</v>
      </c>
      <c r="I122" s="125" t="s">
        <v>1544</v>
      </c>
      <c r="J122" s="125" t="s">
        <v>0</v>
      </c>
      <c r="K122" s="242">
        <v>30710473168</v>
      </c>
      <c r="L122" s="242">
        <v>1</v>
      </c>
      <c r="M122" s="125" t="s">
        <v>740</v>
      </c>
      <c r="N122" s="125"/>
      <c r="O122" s="125"/>
      <c r="P122" s="125"/>
      <c r="Q122" s="125"/>
      <c r="R122" s="125"/>
      <c r="S122" s="125"/>
      <c r="T122" s="125"/>
      <c r="U122" s="243">
        <v>53593.39</v>
      </c>
      <c r="V122" s="243">
        <v>255206.61</v>
      </c>
      <c r="W122" s="125"/>
      <c r="X122" s="125"/>
      <c r="Y122" s="243">
        <v>255206.61</v>
      </c>
      <c r="Z122" s="242">
        <v>0</v>
      </c>
      <c r="AA122" s="242">
        <v>0</v>
      </c>
      <c r="AB122" s="242">
        <v>0</v>
      </c>
      <c r="AC122" s="243">
        <v>53593.39</v>
      </c>
      <c r="AD122" s="242">
        <v>308800</v>
      </c>
    </row>
    <row r="123" spans="1:31" hidden="1" x14ac:dyDescent="0.25">
      <c r="A123" s="125" t="s">
        <v>1401</v>
      </c>
      <c r="B123" s="125" t="s">
        <v>738</v>
      </c>
      <c r="C123" s="242">
        <v>3</v>
      </c>
      <c r="D123" s="242">
        <v>9893</v>
      </c>
      <c r="E123" s="242">
        <v>9893</v>
      </c>
      <c r="F123" s="242">
        <v>75439023959533</v>
      </c>
      <c r="G123" s="125" t="s">
        <v>0</v>
      </c>
      <c r="H123" s="242">
        <v>33708218699</v>
      </c>
      <c r="I123" s="125" t="s">
        <v>753</v>
      </c>
      <c r="J123" s="125" t="s">
        <v>0</v>
      </c>
      <c r="K123" s="242">
        <v>30710473168</v>
      </c>
      <c r="L123" s="242">
        <v>1</v>
      </c>
      <c r="M123" s="125" t="s">
        <v>740</v>
      </c>
      <c r="N123" s="125"/>
      <c r="O123" s="125"/>
      <c r="P123" s="125"/>
      <c r="Q123" s="125"/>
      <c r="R123" s="125"/>
      <c r="S123" s="125"/>
      <c r="T123" s="125"/>
      <c r="U123" s="242">
        <v>18900</v>
      </c>
      <c r="V123" s="242">
        <v>90000</v>
      </c>
      <c r="W123" s="125"/>
      <c r="X123" s="125"/>
      <c r="Y123" s="242">
        <v>90000</v>
      </c>
      <c r="Z123" s="242">
        <v>0</v>
      </c>
      <c r="AA123" s="242">
        <v>0</v>
      </c>
      <c r="AB123" s="242">
        <v>0</v>
      </c>
      <c r="AC123" s="242">
        <v>18900</v>
      </c>
      <c r="AD123" s="242">
        <v>108900</v>
      </c>
    </row>
    <row r="124" spans="1:31" hidden="1" x14ac:dyDescent="0.25">
      <c r="A124" s="246" t="s">
        <v>1401</v>
      </c>
      <c r="B124" s="246" t="s">
        <v>745</v>
      </c>
      <c r="C124" s="253">
        <v>1</v>
      </c>
      <c r="D124" s="253">
        <v>86</v>
      </c>
      <c r="E124" s="253">
        <v>86</v>
      </c>
      <c r="F124" s="253">
        <v>75434024063062</v>
      </c>
      <c r="G124" s="246" t="s">
        <v>0</v>
      </c>
      <c r="H124" s="253">
        <v>23281233084</v>
      </c>
      <c r="I124" s="246" t="s">
        <v>152</v>
      </c>
      <c r="J124" s="246" t="s">
        <v>0</v>
      </c>
      <c r="K124" s="253">
        <v>30710473168</v>
      </c>
      <c r="L124" s="253">
        <v>1</v>
      </c>
      <c r="M124" s="246" t="s">
        <v>740</v>
      </c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  <c r="AA124" s="246"/>
      <c r="AB124" s="253">
        <v>0</v>
      </c>
      <c r="AC124" s="246"/>
      <c r="AD124" s="253">
        <v>300000</v>
      </c>
    </row>
    <row r="125" spans="1:31" hidden="1" x14ac:dyDescent="0.25">
      <c r="A125" s="246" t="s">
        <v>1401</v>
      </c>
      <c r="B125" s="246" t="s">
        <v>766</v>
      </c>
      <c r="C125" s="253">
        <v>1</v>
      </c>
      <c r="D125" s="253">
        <v>1</v>
      </c>
      <c r="E125" s="253">
        <v>1</v>
      </c>
      <c r="F125" s="253">
        <v>75434023793145</v>
      </c>
      <c r="G125" s="246" t="s">
        <v>0</v>
      </c>
      <c r="H125" s="253">
        <v>23281233084</v>
      </c>
      <c r="I125" s="246" t="s">
        <v>152</v>
      </c>
      <c r="J125" s="246" t="s">
        <v>0</v>
      </c>
      <c r="K125" s="253">
        <v>30710473168</v>
      </c>
      <c r="L125" s="253">
        <v>1</v>
      </c>
      <c r="M125" s="246" t="s">
        <v>740</v>
      </c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  <c r="AA125" s="246"/>
      <c r="AB125" s="253">
        <v>0</v>
      </c>
      <c r="AC125" s="246"/>
      <c r="AD125" s="253">
        <v>300000</v>
      </c>
    </row>
    <row r="126" spans="1:31" hidden="1" x14ac:dyDescent="0.25">
      <c r="A126" s="246" t="s">
        <v>1420</v>
      </c>
      <c r="B126" s="246" t="s">
        <v>738</v>
      </c>
      <c r="C126" s="253">
        <v>1</v>
      </c>
      <c r="D126" s="253">
        <v>9186</v>
      </c>
      <c r="E126" s="253">
        <v>9186</v>
      </c>
      <c r="F126" s="253">
        <v>75431147836117</v>
      </c>
      <c r="G126" s="246" t="s">
        <v>0</v>
      </c>
      <c r="H126" s="253">
        <v>30715141201</v>
      </c>
      <c r="I126" s="246" t="s">
        <v>742</v>
      </c>
      <c r="J126" s="246" t="s">
        <v>0</v>
      </c>
      <c r="K126" s="253">
        <v>30710473168</v>
      </c>
      <c r="L126" s="253">
        <v>1</v>
      </c>
      <c r="M126" s="246" t="s">
        <v>740</v>
      </c>
      <c r="N126" s="246"/>
      <c r="O126" s="246"/>
      <c r="P126" s="246"/>
      <c r="Q126" s="246"/>
      <c r="R126" s="246"/>
      <c r="S126" s="246"/>
      <c r="T126" s="246"/>
      <c r="U126" s="254">
        <v>506479.84</v>
      </c>
      <c r="V126" s="254">
        <v>2411808.75</v>
      </c>
      <c r="W126" s="246"/>
      <c r="X126" s="246"/>
      <c r="Y126" s="254">
        <v>2411808.75</v>
      </c>
      <c r="Z126" s="253">
        <v>0</v>
      </c>
      <c r="AA126" s="253">
        <v>0</v>
      </c>
      <c r="AB126" s="253">
        <v>0</v>
      </c>
      <c r="AC126" s="254">
        <v>506479.84</v>
      </c>
      <c r="AD126" s="254">
        <v>2918288.59</v>
      </c>
    </row>
    <row r="127" spans="1:31" hidden="1" x14ac:dyDescent="0.25">
      <c r="A127" s="125" t="s">
        <v>1420</v>
      </c>
      <c r="B127" s="125" t="s">
        <v>738</v>
      </c>
      <c r="C127" s="242">
        <v>4</v>
      </c>
      <c r="D127" s="242">
        <v>16140</v>
      </c>
      <c r="E127" s="242">
        <v>16140</v>
      </c>
      <c r="F127" s="242">
        <v>75433156064778</v>
      </c>
      <c r="G127" s="125" t="s">
        <v>0</v>
      </c>
      <c r="H127" s="242">
        <v>30712305513</v>
      </c>
      <c r="I127" s="125" t="s">
        <v>671</v>
      </c>
      <c r="J127" s="125" t="s">
        <v>0</v>
      </c>
      <c r="K127" s="242">
        <v>30710473168</v>
      </c>
      <c r="L127" s="242">
        <v>1</v>
      </c>
      <c r="M127" s="125" t="s">
        <v>740</v>
      </c>
      <c r="N127" s="125"/>
      <c r="O127" s="125"/>
      <c r="P127" s="125"/>
      <c r="Q127" s="125"/>
      <c r="R127" s="125"/>
      <c r="S127" s="125"/>
      <c r="T127" s="125"/>
      <c r="U127" s="243">
        <v>141747.74</v>
      </c>
      <c r="V127" s="243">
        <v>674989.25</v>
      </c>
      <c r="W127" s="125"/>
      <c r="X127" s="125"/>
      <c r="Y127" s="243">
        <v>674989.25</v>
      </c>
      <c r="Z127" s="242">
        <v>0</v>
      </c>
      <c r="AA127" s="242">
        <v>0</v>
      </c>
      <c r="AB127" s="242">
        <v>0</v>
      </c>
      <c r="AC127" s="243">
        <v>141747.74</v>
      </c>
      <c r="AD127" s="243">
        <v>816736.99</v>
      </c>
    </row>
    <row r="128" spans="1:31" hidden="1" x14ac:dyDescent="0.25">
      <c r="A128" s="125" t="s">
        <v>1420</v>
      </c>
      <c r="B128" s="125" t="s">
        <v>738</v>
      </c>
      <c r="C128" s="242">
        <v>1054</v>
      </c>
      <c r="D128" s="242">
        <v>384</v>
      </c>
      <c r="E128" s="242">
        <v>384</v>
      </c>
      <c r="F128" s="242">
        <v>75431135472076</v>
      </c>
      <c r="G128" s="125" t="s">
        <v>0</v>
      </c>
      <c r="H128" s="242">
        <v>30685849751</v>
      </c>
      <c r="I128" s="125" t="s">
        <v>685</v>
      </c>
      <c r="J128" s="125" t="s">
        <v>0</v>
      </c>
      <c r="K128" s="242">
        <v>30710473168</v>
      </c>
      <c r="L128" s="242">
        <v>1</v>
      </c>
      <c r="M128" s="125" t="s">
        <v>740</v>
      </c>
      <c r="N128" s="125"/>
      <c r="O128" s="125"/>
      <c r="P128" s="125"/>
      <c r="Q128" s="125"/>
      <c r="R128" s="125"/>
      <c r="S128" s="125"/>
      <c r="T128" s="125"/>
      <c r="U128" s="243">
        <v>1496.03</v>
      </c>
      <c r="V128" s="243">
        <v>7123.97</v>
      </c>
      <c r="W128" s="125"/>
      <c r="X128" s="125"/>
      <c r="Y128" s="243">
        <v>7123.97</v>
      </c>
      <c r="Z128" s="242">
        <v>0</v>
      </c>
      <c r="AA128" s="242">
        <v>0</v>
      </c>
      <c r="AB128" s="243">
        <v>284.95999999999998</v>
      </c>
      <c r="AC128" s="243">
        <v>1496.03</v>
      </c>
      <c r="AD128" s="243">
        <v>8904.9599999999991</v>
      </c>
    </row>
    <row r="129" spans="1:31" hidden="1" x14ac:dyDescent="0.25">
      <c r="A129" s="125" t="s">
        <v>1420</v>
      </c>
      <c r="B129" s="125" t="s">
        <v>738</v>
      </c>
      <c r="C129" s="242">
        <v>1001</v>
      </c>
      <c r="D129" s="242">
        <v>596</v>
      </c>
      <c r="E129" s="242">
        <v>596</v>
      </c>
      <c r="F129" s="242">
        <v>75432115158625</v>
      </c>
      <c r="G129" s="125" t="s">
        <v>0</v>
      </c>
      <c r="H129" s="242">
        <v>30707370552</v>
      </c>
      <c r="I129" s="125" t="s">
        <v>664</v>
      </c>
      <c r="J129" s="125" t="s">
        <v>0</v>
      </c>
      <c r="K129" s="242">
        <v>30710473168</v>
      </c>
      <c r="L129" s="242">
        <v>1</v>
      </c>
      <c r="M129" s="125" t="s">
        <v>740</v>
      </c>
      <c r="N129" s="125"/>
      <c r="O129" s="125"/>
      <c r="P129" s="125"/>
      <c r="Q129" s="125"/>
      <c r="R129" s="125"/>
      <c r="S129" s="125"/>
      <c r="T129" s="125"/>
      <c r="U129" s="125">
        <v>416615.7</v>
      </c>
      <c r="V129" s="125">
        <v>1983884.3</v>
      </c>
      <c r="W129" s="125"/>
      <c r="X129" s="125"/>
      <c r="Y129" s="125">
        <v>1983884.3</v>
      </c>
      <c r="Z129" s="242">
        <v>0</v>
      </c>
      <c r="AA129" s="242">
        <v>0</v>
      </c>
      <c r="AB129" s="242">
        <v>0</v>
      </c>
      <c r="AC129" s="125">
        <v>416615.7</v>
      </c>
      <c r="AD129" s="242">
        <v>2400500</v>
      </c>
    </row>
    <row r="130" spans="1:31" hidden="1" x14ac:dyDescent="0.25">
      <c r="A130" s="246" t="s">
        <v>1440</v>
      </c>
      <c r="B130" s="246" t="s">
        <v>738</v>
      </c>
      <c r="C130" s="253">
        <v>1</v>
      </c>
      <c r="D130" s="253">
        <v>9201</v>
      </c>
      <c r="E130" s="253">
        <v>9201</v>
      </c>
      <c r="F130" s="253">
        <v>75431411213120</v>
      </c>
      <c r="G130" s="246" t="s">
        <v>0</v>
      </c>
      <c r="H130" s="253">
        <v>30715141201</v>
      </c>
      <c r="I130" s="246" t="s">
        <v>742</v>
      </c>
      <c r="J130" s="246" t="s">
        <v>0</v>
      </c>
      <c r="K130" s="253">
        <v>30710473168</v>
      </c>
      <c r="L130" s="253">
        <v>1</v>
      </c>
      <c r="M130" s="246" t="s">
        <v>740</v>
      </c>
      <c r="N130" s="246"/>
      <c r="O130" s="246"/>
      <c r="P130" s="246"/>
      <c r="Q130" s="246"/>
      <c r="R130" s="246"/>
      <c r="S130" s="246"/>
      <c r="T130" s="246"/>
      <c r="U130" s="254">
        <v>3040954.09</v>
      </c>
      <c r="V130" s="254">
        <v>14480733.75</v>
      </c>
      <c r="W130" s="246"/>
      <c r="X130" s="246"/>
      <c r="Y130" s="254">
        <v>14480733.75</v>
      </c>
      <c r="Z130" s="253">
        <v>0</v>
      </c>
      <c r="AA130" s="253">
        <v>0</v>
      </c>
      <c r="AB130" s="253">
        <v>0</v>
      </c>
      <c r="AC130" s="254">
        <v>3040954.09</v>
      </c>
      <c r="AD130" s="254">
        <v>17521687.84</v>
      </c>
    </row>
    <row r="131" spans="1:31" hidden="1" x14ac:dyDescent="0.25">
      <c r="A131" s="246" t="s">
        <v>1440</v>
      </c>
      <c r="B131" s="246" t="s">
        <v>738</v>
      </c>
      <c r="C131" s="253">
        <v>2</v>
      </c>
      <c r="D131" s="253">
        <v>13032</v>
      </c>
      <c r="E131" s="253">
        <v>13032</v>
      </c>
      <c r="F131" s="253">
        <v>75432402555412</v>
      </c>
      <c r="G131" s="246" t="s">
        <v>0</v>
      </c>
      <c r="H131" s="253">
        <v>30714331082</v>
      </c>
      <c r="I131" s="246" t="s">
        <v>666</v>
      </c>
      <c r="J131" s="246" t="s">
        <v>0</v>
      </c>
      <c r="K131" s="253">
        <v>30710473168</v>
      </c>
      <c r="L131" s="253">
        <v>1</v>
      </c>
      <c r="M131" s="246" t="s">
        <v>740</v>
      </c>
      <c r="N131" s="246"/>
      <c r="O131" s="246"/>
      <c r="P131" s="246"/>
      <c r="Q131" s="246"/>
      <c r="R131" s="246"/>
      <c r="S131" s="246"/>
      <c r="T131" s="246"/>
      <c r="U131" s="254">
        <v>205773.45</v>
      </c>
      <c r="V131" s="254">
        <v>979873.56</v>
      </c>
      <c r="W131" s="246"/>
      <c r="X131" s="246"/>
      <c r="Y131" s="254">
        <v>979873.56</v>
      </c>
      <c r="Z131" s="253">
        <v>0</v>
      </c>
      <c r="AA131" s="253">
        <v>0</v>
      </c>
      <c r="AB131" s="253">
        <v>0</v>
      </c>
      <c r="AC131" s="254">
        <v>205773.45</v>
      </c>
      <c r="AD131" s="254">
        <v>1185647.01</v>
      </c>
    </row>
    <row r="132" spans="1:31" hidden="1" x14ac:dyDescent="0.25">
      <c r="A132" s="125" t="s">
        <v>1457</v>
      </c>
      <c r="B132" s="125" t="s">
        <v>738</v>
      </c>
      <c r="C132" s="242">
        <v>7</v>
      </c>
      <c r="D132" s="242">
        <v>1773</v>
      </c>
      <c r="E132" s="242">
        <v>1773</v>
      </c>
      <c r="F132" s="242">
        <v>75436584238916</v>
      </c>
      <c r="G132" s="125" t="s">
        <v>0</v>
      </c>
      <c r="H132" s="242">
        <v>30712187316</v>
      </c>
      <c r="I132" s="125" t="s">
        <v>269</v>
      </c>
      <c r="J132" s="125" t="s">
        <v>0</v>
      </c>
      <c r="K132" s="242">
        <v>30710473168</v>
      </c>
      <c r="L132" s="242">
        <v>1505</v>
      </c>
      <c r="M132" s="125" t="s">
        <v>747</v>
      </c>
      <c r="N132" s="125"/>
      <c r="O132" s="125"/>
      <c r="P132" s="125"/>
      <c r="Q132" s="125"/>
      <c r="R132" s="125"/>
      <c r="S132" s="125"/>
      <c r="T132" s="125"/>
      <c r="U132" s="243">
        <v>30.12</v>
      </c>
      <c r="V132" s="243">
        <v>143.41</v>
      </c>
      <c r="W132" s="125"/>
      <c r="X132" s="125"/>
      <c r="Y132" s="243">
        <v>143.41</v>
      </c>
      <c r="Z132" s="242">
        <v>0</v>
      </c>
      <c r="AA132" s="242">
        <v>0</v>
      </c>
      <c r="AB132" s="242">
        <v>0</v>
      </c>
      <c r="AC132" s="243">
        <v>30.12</v>
      </c>
      <c r="AD132" s="243">
        <v>173.53</v>
      </c>
    </row>
    <row r="133" spans="1:31" hidden="1" x14ac:dyDescent="0.25">
      <c r="A133" s="246" t="s">
        <v>1457</v>
      </c>
      <c r="B133" s="246" t="s">
        <v>738</v>
      </c>
      <c r="C133" s="253">
        <v>1</v>
      </c>
      <c r="D133" s="253">
        <v>9213</v>
      </c>
      <c r="E133" s="253">
        <v>9213</v>
      </c>
      <c r="F133" s="253">
        <v>75431523017650</v>
      </c>
      <c r="G133" s="246" t="s">
        <v>0</v>
      </c>
      <c r="H133" s="253">
        <v>30715141201</v>
      </c>
      <c r="I133" s="246" t="s">
        <v>742</v>
      </c>
      <c r="J133" s="246" t="s">
        <v>0</v>
      </c>
      <c r="K133" s="253">
        <v>30710473168</v>
      </c>
      <c r="L133" s="253">
        <v>1</v>
      </c>
      <c r="M133" s="246" t="s">
        <v>740</v>
      </c>
      <c r="N133" s="246"/>
      <c r="O133" s="246"/>
      <c r="P133" s="246"/>
      <c r="Q133" s="246"/>
      <c r="R133" s="246"/>
      <c r="S133" s="246"/>
      <c r="T133" s="246"/>
      <c r="U133" s="254">
        <v>346074.75</v>
      </c>
      <c r="V133" s="253">
        <v>1647975</v>
      </c>
      <c r="W133" s="246"/>
      <c r="X133" s="246"/>
      <c r="Y133" s="253">
        <v>1647975</v>
      </c>
      <c r="Z133" s="253">
        <v>0</v>
      </c>
      <c r="AA133" s="253">
        <v>0</v>
      </c>
      <c r="AB133" s="253">
        <v>0</v>
      </c>
      <c r="AC133" s="254">
        <v>346074.75</v>
      </c>
      <c r="AD133" s="254">
        <v>1994049.75</v>
      </c>
    </row>
    <row r="134" spans="1:31" hidden="1" x14ac:dyDescent="0.25">
      <c r="A134" s="246" t="s">
        <v>1457</v>
      </c>
      <c r="B134" s="246" t="s">
        <v>738</v>
      </c>
      <c r="C134" s="253">
        <v>1</v>
      </c>
      <c r="D134" s="253">
        <v>9214</v>
      </c>
      <c r="E134" s="253">
        <v>9214</v>
      </c>
      <c r="F134" s="253">
        <v>75431523222628</v>
      </c>
      <c r="G134" s="246" t="s">
        <v>0</v>
      </c>
      <c r="H134" s="253">
        <v>30715141201</v>
      </c>
      <c r="I134" s="246" t="s">
        <v>742</v>
      </c>
      <c r="J134" s="246" t="s">
        <v>0</v>
      </c>
      <c r="K134" s="253">
        <v>30710473168</v>
      </c>
      <c r="L134" s="253">
        <v>1</v>
      </c>
      <c r="M134" s="246" t="s">
        <v>740</v>
      </c>
      <c r="N134" s="246"/>
      <c r="O134" s="246"/>
      <c r="P134" s="246"/>
      <c r="Q134" s="246"/>
      <c r="R134" s="246"/>
      <c r="S134" s="246"/>
      <c r="T134" s="246"/>
      <c r="U134" s="254">
        <v>43377.86</v>
      </c>
      <c r="V134" s="254">
        <v>206561.25</v>
      </c>
      <c r="W134" s="246"/>
      <c r="X134" s="246"/>
      <c r="Y134" s="254">
        <v>206561.25</v>
      </c>
      <c r="Z134" s="253">
        <v>0</v>
      </c>
      <c r="AA134" s="253">
        <v>0</v>
      </c>
      <c r="AB134" s="253">
        <v>0</v>
      </c>
      <c r="AC134" s="254">
        <v>43377.86</v>
      </c>
      <c r="AD134" s="254">
        <v>249939.11</v>
      </c>
    </row>
    <row r="135" spans="1:31" hidden="1" x14ac:dyDescent="0.25">
      <c r="A135" s="125" t="s">
        <v>1457</v>
      </c>
      <c r="B135" s="125" t="s">
        <v>738</v>
      </c>
      <c r="C135" s="242">
        <v>1054</v>
      </c>
      <c r="D135" s="242">
        <v>386</v>
      </c>
      <c r="E135" s="242">
        <v>386</v>
      </c>
      <c r="F135" s="242">
        <v>75431531319834</v>
      </c>
      <c r="G135" s="125" t="s">
        <v>0</v>
      </c>
      <c r="H135" s="242">
        <v>30685849751</v>
      </c>
      <c r="I135" s="125" t="s">
        <v>685</v>
      </c>
      <c r="J135" s="125" t="s">
        <v>0</v>
      </c>
      <c r="K135" s="242">
        <v>30710473168</v>
      </c>
      <c r="L135" s="242">
        <v>1</v>
      </c>
      <c r="M135" s="125" t="s">
        <v>740</v>
      </c>
      <c r="N135" s="125"/>
      <c r="O135" s="125"/>
      <c r="P135" s="125"/>
      <c r="Q135" s="125"/>
      <c r="R135" s="125"/>
      <c r="S135" s="125"/>
      <c r="T135" s="125"/>
      <c r="U135" s="243">
        <v>1476.07</v>
      </c>
      <c r="V135" s="243">
        <v>7028.93</v>
      </c>
      <c r="W135" s="125"/>
      <c r="X135" s="125"/>
      <c r="Y135" s="243">
        <v>7028.93</v>
      </c>
      <c r="Z135" s="242">
        <v>0</v>
      </c>
      <c r="AA135" s="242">
        <v>0</v>
      </c>
      <c r="AB135" s="243">
        <v>281.16000000000003</v>
      </c>
      <c r="AC135" s="243">
        <v>1476.07</v>
      </c>
      <c r="AD135" s="243">
        <v>8786.16</v>
      </c>
    </row>
    <row r="136" spans="1:31" hidden="1" x14ac:dyDescent="0.25">
      <c r="A136" s="125" t="s">
        <v>1457</v>
      </c>
      <c r="B136" s="125" t="s">
        <v>738</v>
      </c>
      <c r="C136" s="242">
        <v>3950</v>
      </c>
      <c r="D136" s="242">
        <v>5311093</v>
      </c>
      <c r="E136" s="242">
        <v>5311093</v>
      </c>
      <c r="F136" s="242">
        <v>75448725405660</v>
      </c>
      <c r="G136" s="125" t="s">
        <v>0</v>
      </c>
      <c r="H136" s="242">
        <v>30639453738</v>
      </c>
      <c r="I136" s="125" t="s">
        <v>754</v>
      </c>
      <c r="J136" s="125" t="s">
        <v>0</v>
      </c>
      <c r="K136" s="242">
        <v>30710473168</v>
      </c>
      <c r="L136" s="242">
        <v>1</v>
      </c>
      <c r="M136" s="125" t="s">
        <v>740</v>
      </c>
      <c r="N136" s="125"/>
      <c r="O136" s="125"/>
      <c r="P136" s="125"/>
      <c r="Q136" s="125"/>
      <c r="R136" s="125"/>
      <c r="S136" s="125"/>
      <c r="T136" s="125"/>
      <c r="U136" s="243">
        <v>9820.89</v>
      </c>
      <c r="V136" s="243">
        <v>46766.15</v>
      </c>
      <c r="W136" s="125"/>
      <c r="X136" s="125"/>
      <c r="Y136" s="243">
        <v>46766.15</v>
      </c>
      <c r="Z136" s="242">
        <v>0</v>
      </c>
      <c r="AA136" s="242">
        <v>0</v>
      </c>
      <c r="AB136" s="243">
        <v>3273.63</v>
      </c>
      <c r="AC136" s="243">
        <v>9820.89</v>
      </c>
      <c r="AD136" s="243">
        <v>59860.67</v>
      </c>
    </row>
    <row r="137" spans="1:31" hidden="1" x14ac:dyDescent="0.25">
      <c r="A137" s="246" t="s">
        <v>1457</v>
      </c>
      <c r="B137" s="246" t="s">
        <v>738</v>
      </c>
      <c r="C137" s="253">
        <v>2</v>
      </c>
      <c r="D137" s="253">
        <v>141</v>
      </c>
      <c r="E137" s="253">
        <v>141</v>
      </c>
      <c r="F137" s="253">
        <v>75431586050239</v>
      </c>
      <c r="G137" s="246" t="s">
        <v>0</v>
      </c>
      <c r="H137" s="253">
        <v>20276761111</v>
      </c>
      <c r="I137" s="246" t="s">
        <v>1556</v>
      </c>
      <c r="J137" s="246" t="s">
        <v>0</v>
      </c>
      <c r="K137" s="253">
        <v>30710473168</v>
      </c>
      <c r="L137" s="253">
        <v>1</v>
      </c>
      <c r="M137" s="246" t="s">
        <v>740</v>
      </c>
      <c r="N137" s="246"/>
      <c r="O137" s="246"/>
      <c r="P137" s="246"/>
      <c r="Q137" s="246"/>
      <c r="R137" s="246"/>
      <c r="S137" s="246"/>
      <c r="T137" s="246"/>
      <c r="U137" s="246">
        <v>10489.5</v>
      </c>
      <c r="V137" s="253">
        <v>49950</v>
      </c>
      <c r="W137" s="246"/>
      <c r="X137" s="246"/>
      <c r="Y137" s="253">
        <v>49950</v>
      </c>
      <c r="Z137" s="253">
        <v>0</v>
      </c>
      <c r="AA137" s="253">
        <v>0</v>
      </c>
      <c r="AB137" s="253">
        <v>0</v>
      </c>
      <c r="AC137" s="246">
        <v>10489.5</v>
      </c>
      <c r="AD137" s="246">
        <v>60439.5</v>
      </c>
    </row>
    <row r="138" spans="1:31" x14ac:dyDescent="0.25">
      <c r="A138" s="125" t="s">
        <v>1457</v>
      </c>
      <c r="B138" s="125" t="s">
        <v>738</v>
      </c>
      <c r="C138" s="242">
        <v>4</v>
      </c>
      <c r="D138" s="242">
        <v>137</v>
      </c>
      <c r="E138" s="242">
        <v>137</v>
      </c>
      <c r="F138" s="242">
        <v>75456938678624</v>
      </c>
      <c r="G138" s="125" t="s">
        <v>0</v>
      </c>
      <c r="H138" s="242">
        <v>20174004146</v>
      </c>
      <c r="I138" s="125" t="s">
        <v>339</v>
      </c>
      <c r="J138" s="125" t="s">
        <v>0</v>
      </c>
      <c r="K138" s="242">
        <v>30710473168</v>
      </c>
      <c r="L138" s="242">
        <v>1</v>
      </c>
      <c r="M138" s="125" t="s">
        <v>740</v>
      </c>
      <c r="N138" s="125"/>
      <c r="O138" s="125"/>
      <c r="P138" s="125"/>
      <c r="Q138" s="125"/>
      <c r="R138" s="125"/>
      <c r="S138" s="125"/>
      <c r="T138" s="125"/>
      <c r="U138" s="242">
        <v>44100</v>
      </c>
      <c r="V138" s="242">
        <v>210000</v>
      </c>
      <c r="W138" s="125"/>
      <c r="X138" s="125"/>
      <c r="Y138" s="242">
        <v>210000</v>
      </c>
      <c r="Z138" s="242">
        <v>0</v>
      </c>
      <c r="AA138" s="242">
        <v>0</v>
      </c>
      <c r="AB138" s="242">
        <v>0</v>
      </c>
      <c r="AC138" s="242">
        <v>44100</v>
      </c>
      <c r="AD138" s="242">
        <v>254100</v>
      </c>
    </row>
    <row r="139" spans="1:31" hidden="1" x14ac:dyDescent="0.25">
      <c r="A139" s="246" t="s">
        <v>1457</v>
      </c>
      <c r="B139" s="246" t="s">
        <v>745</v>
      </c>
      <c r="C139" s="253">
        <v>2</v>
      </c>
      <c r="D139" s="253">
        <v>16</v>
      </c>
      <c r="E139" s="253">
        <v>16</v>
      </c>
      <c r="F139" s="253">
        <v>75431606237209</v>
      </c>
      <c r="G139" s="246" t="s">
        <v>0</v>
      </c>
      <c r="H139" s="253">
        <v>27344304551</v>
      </c>
      <c r="I139" s="246" t="s">
        <v>762</v>
      </c>
      <c r="J139" s="246" t="s">
        <v>0</v>
      </c>
      <c r="K139" s="253">
        <v>30710473168</v>
      </c>
      <c r="L139" s="253">
        <v>1</v>
      </c>
      <c r="M139" s="246" t="s">
        <v>740</v>
      </c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  <c r="AA139" s="246"/>
      <c r="AB139" s="253">
        <v>0</v>
      </c>
      <c r="AC139" s="246"/>
      <c r="AD139" s="253">
        <v>980000</v>
      </c>
    </row>
    <row r="140" spans="1:31" hidden="1" x14ac:dyDescent="0.25">
      <c r="A140" s="246" t="s">
        <v>1471</v>
      </c>
      <c r="B140" s="246" t="s">
        <v>738</v>
      </c>
      <c r="C140" s="253">
        <v>104</v>
      </c>
      <c r="D140" s="253">
        <v>10982086</v>
      </c>
      <c r="E140" s="253">
        <v>10982086</v>
      </c>
      <c r="F140" s="253">
        <v>75442703183690</v>
      </c>
      <c r="G140" s="246" t="s">
        <v>0</v>
      </c>
      <c r="H140" s="253">
        <v>30715804812</v>
      </c>
      <c r="I140" s="246" t="s">
        <v>751</v>
      </c>
      <c r="J140" s="246" t="s">
        <v>0</v>
      </c>
      <c r="K140" s="253">
        <v>30710473168</v>
      </c>
      <c r="L140" s="253">
        <v>1</v>
      </c>
      <c r="M140" s="246" t="s">
        <v>740</v>
      </c>
      <c r="N140" s="246"/>
      <c r="O140" s="246"/>
      <c r="P140" s="246"/>
      <c r="Q140" s="246"/>
      <c r="R140" s="246"/>
      <c r="S140" s="246"/>
      <c r="T140" s="246"/>
      <c r="U140" s="246">
        <v>218.4</v>
      </c>
      <c r="V140" s="257">
        <v>1039.98</v>
      </c>
      <c r="W140" s="246"/>
      <c r="X140" s="246"/>
      <c r="Y140" s="254">
        <v>1039.98</v>
      </c>
      <c r="Z140" s="253">
        <v>0</v>
      </c>
      <c r="AA140" s="258">
        <f>+V140*0.04</f>
        <v>41.599200000000003</v>
      </c>
      <c r="AB140" s="246">
        <v>41.6</v>
      </c>
      <c r="AC140" s="246">
        <v>218.4</v>
      </c>
      <c r="AD140" s="254">
        <v>1299.98</v>
      </c>
      <c r="AE140" s="256" t="s">
        <v>1563</v>
      </c>
    </row>
    <row r="141" spans="1:31" hidden="1" x14ac:dyDescent="0.25">
      <c r="A141" s="125" t="s">
        <v>1471</v>
      </c>
      <c r="B141" s="125" t="s">
        <v>738</v>
      </c>
      <c r="C141" s="242">
        <v>7</v>
      </c>
      <c r="D141" s="242">
        <v>1777</v>
      </c>
      <c r="E141" s="242">
        <v>1777</v>
      </c>
      <c r="F141" s="242">
        <v>75446701357725</v>
      </c>
      <c r="G141" s="125" t="s">
        <v>0</v>
      </c>
      <c r="H141" s="242">
        <v>30712187316</v>
      </c>
      <c r="I141" s="125" t="s">
        <v>269</v>
      </c>
      <c r="J141" s="125" t="s">
        <v>0</v>
      </c>
      <c r="K141" s="242">
        <v>30710473168</v>
      </c>
      <c r="L141" s="242">
        <v>1505</v>
      </c>
      <c r="M141" s="125" t="s">
        <v>747</v>
      </c>
      <c r="N141" s="125"/>
      <c r="O141" s="125"/>
      <c r="P141" s="125"/>
      <c r="Q141" s="125"/>
      <c r="R141" s="125"/>
      <c r="S141" s="125"/>
      <c r="T141" s="125"/>
      <c r="U141" s="243">
        <v>27.89</v>
      </c>
      <c r="V141" s="243">
        <v>132.79</v>
      </c>
      <c r="W141" s="125"/>
      <c r="X141" s="125"/>
      <c r="Y141" s="243">
        <v>132.79</v>
      </c>
      <c r="Z141" s="242">
        <v>0</v>
      </c>
      <c r="AA141" s="242">
        <v>0</v>
      </c>
      <c r="AB141" s="242">
        <v>0</v>
      </c>
      <c r="AC141" s="243">
        <v>27.89</v>
      </c>
      <c r="AD141" s="243">
        <v>160.68</v>
      </c>
    </row>
    <row r="142" spans="1:31" hidden="1" x14ac:dyDescent="0.25">
      <c r="A142" s="246" t="s">
        <v>1471</v>
      </c>
      <c r="B142" s="246" t="s">
        <v>738</v>
      </c>
      <c r="C142" s="253">
        <v>11</v>
      </c>
      <c r="D142" s="253">
        <v>4698716</v>
      </c>
      <c r="E142" s="253">
        <v>4698716</v>
      </c>
      <c r="F142" s="253">
        <v>75444850276631</v>
      </c>
      <c r="G142" s="246" t="s">
        <v>0</v>
      </c>
      <c r="H142" s="253">
        <v>30703088534</v>
      </c>
      <c r="I142" s="246" t="s">
        <v>757</v>
      </c>
      <c r="J142" s="246" t="s">
        <v>0</v>
      </c>
      <c r="K142" s="253">
        <v>30710473168</v>
      </c>
      <c r="L142" s="253">
        <v>1</v>
      </c>
      <c r="M142" s="246" t="s">
        <v>740</v>
      </c>
      <c r="N142" s="246"/>
      <c r="O142" s="246"/>
      <c r="P142" s="246"/>
      <c r="Q142" s="246"/>
      <c r="R142" s="246"/>
      <c r="S142" s="246"/>
      <c r="T142" s="246"/>
      <c r="U142" s="246">
        <v>17549.400000000001</v>
      </c>
      <c r="V142" s="246">
        <v>83568.600000000006</v>
      </c>
      <c r="W142" s="246"/>
      <c r="X142" s="246"/>
      <c r="Y142" s="246">
        <v>83568.600000000006</v>
      </c>
      <c r="Z142" s="253">
        <v>0</v>
      </c>
      <c r="AA142" s="253">
        <v>0</v>
      </c>
      <c r="AB142" s="246">
        <v>5849.8</v>
      </c>
      <c r="AC142" s="246">
        <v>17549.400000000001</v>
      </c>
      <c r="AD142" s="246">
        <v>106967.8</v>
      </c>
    </row>
    <row r="143" spans="1:31" hidden="1" x14ac:dyDescent="0.25">
      <c r="A143" s="246" t="s">
        <v>1471</v>
      </c>
      <c r="B143" s="246" t="s">
        <v>738</v>
      </c>
      <c r="C143" s="253">
        <v>66</v>
      </c>
      <c r="D143" s="253">
        <v>440765</v>
      </c>
      <c r="E143" s="253">
        <v>440765</v>
      </c>
      <c r="F143" s="253">
        <v>75444845329929</v>
      </c>
      <c r="G143" s="246" t="s">
        <v>0</v>
      </c>
      <c r="H143" s="253">
        <v>30703088534</v>
      </c>
      <c r="I143" s="246" t="s">
        <v>757</v>
      </c>
      <c r="J143" s="246" t="s">
        <v>0</v>
      </c>
      <c r="K143" s="253">
        <v>30710473168</v>
      </c>
      <c r="L143" s="253">
        <v>1</v>
      </c>
      <c r="M143" s="246" t="s">
        <v>740</v>
      </c>
      <c r="N143" s="246"/>
      <c r="O143" s="246"/>
      <c r="P143" s="246"/>
      <c r="Q143" s="246"/>
      <c r="R143" s="246"/>
      <c r="S143" s="246"/>
      <c r="T143" s="246"/>
      <c r="U143" s="254">
        <v>29505.19</v>
      </c>
      <c r="V143" s="254">
        <v>140500.92000000001</v>
      </c>
      <c r="W143" s="246"/>
      <c r="X143" s="246"/>
      <c r="Y143" s="254">
        <v>140500.92000000001</v>
      </c>
      <c r="Z143" s="253">
        <v>0</v>
      </c>
      <c r="AA143" s="253">
        <v>0</v>
      </c>
      <c r="AB143" s="254">
        <v>9835.06</v>
      </c>
      <c r="AC143" s="254">
        <v>29505.19</v>
      </c>
      <c r="AD143" s="254">
        <v>179841.17</v>
      </c>
    </row>
    <row r="144" spans="1:31" hidden="1" x14ac:dyDescent="0.25">
      <c r="A144" s="246" t="s">
        <v>1471</v>
      </c>
      <c r="B144" s="246" t="s">
        <v>738</v>
      </c>
      <c r="C144" s="253">
        <v>2</v>
      </c>
      <c r="D144" s="253">
        <v>49</v>
      </c>
      <c r="E144" s="253">
        <v>49</v>
      </c>
      <c r="F144" s="253">
        <v>75445680672711</v>
      </c>
      <c r="G144" s="246" t="s">
        <v>0</v>
      </c>
      <c r="H144" s="253">
        <v>27243660535</v>
      </c>
      <c r="I144" s="246" t="s">
        <v>577</v>
      </c>
      <c r="J144" s="246" t="s">
        <v>0</v>
      </c>
      <c r="K144" s="253">
        <v>30710473168</v>
      </c>
      <c r="L144" s="253">
        <v>1</v>
      </c>
      <c r="M144" s="246" t="s">
        <v>740</v>
      </c>
      <c r="N144" s="246"/>
      <c r="O144" s="246"/>
      <c r="P144" s="246"/>
      <c r="Q144" s="246"/>
      <c r="R144" s="246"/>
      <c r="S144" s="246"/>
      <c r="T144" s="246"/>
      <c r="U144" s="254">
        <v>99732.12</v>
      </c>
      <c r="V144" s="254">
        <v>474914.86</v>
      </c>
      <c r="W144" s="246"/>
      <c r="X144" s="246"/>
      <c r="Y144" s="254">
        <v>474914.86</v>
      </c>
      <c r="Z144" s="253">
        <v>0</v>
      </c>
      <c r="AA144" s="253">
        <v>0</v>
      </c>
      <c r="AB144" s="253">
        <v>0</v>
      </c>
      <c r="AC144" s="254">
        <v>99732.12</v>
      </c>
      <c r="AD144" s="254">
        <v>574646.99</v>
      </c>
    </row>
    <row r="145" spans="1:31" hidden="1" x14ac:dyDescent="0.25">
      <c r="A145" s="246" t="s">
        <v>1471</v>
      </c>
      <c r="B145" s="246" t="s">
        <v>738</v>
      </c>
      <c r="C145" s="253">
        <v>2</v>
      </c>
      <c r="D145" s="253">
        <v>50</v>
      </c>
      <c r="E145" s="253">
        <v>50</v>
      </c>
      <c r="F145" s="253">
        <v>75445680830415</v>
      </c>
      <c r="G145" s="246" t="s">
        <v>0</v>
      </c>
      <c r="H145" s="253">
        <v>27243660535</v>
      </c>
      <c r="I145" s="246" t="s">
        <v>577</v>
      </c>
      <c r="J145" s="246" t="s">
        <v>0</v>
      </c>
      <c r="K145" s="253">
        <v>30710473168</v>
      </c>
      <c r="L145" s="253">
        <v>1</v>
      </c>
      <c r="M145" s="246" t="s">
        <v>740</v>
      </c>
      <c r="N145" s="246"/>
      <c r="O145" s="246"/>
      <c r="P145" s="246"/>
      <c r="Q145" s="246"/>
      <c r="R145" s="246"/>
      <c r="S145" s="246"/>
      <c r="T145" s="246"/>
      <c r="U145" s="254">
        <v>99732.12</v>
      </c>
      <c r="V145" s="254">
        <v>474914.86</v>
      </c>
      <c r="W145" s="246"/>
      <c r="X145" s="246"/>
      <c r="Y145" s="254">
        <v>474914.86</v>
      </c>
      <c r="Z145" s="253">
        <v>0</v>
      </c>
      <c r="AA145" s="253">
        <v>0</v>
      </c>
      <c r="AB145" s="253">
        <v>0</v>
      </c>
      <c r="AC145" s="254">
        <v>99732.12</v>
      </c>
      <c r="AD145" s="254">
        <v>574646.99</v>
      </c>
    </row>
    <row r="146" spans="1:31" hidden="1" x14ac:dyDescent="0.25">
      <c r="A146" s="246" t="s">
        <v>1471</v>
      </c>
      <c r="B146" s="246" t="s">
        <v>749</v>
      </c>
      <c r="C146" s="253">
        <v>28</v>
      </c>
      <c r="D146" s="253">
        <v>109556</v>
      </c>
      <c r="E146" s="253">
        <v>109556</v>
      </c>
      <c r="F146" s="253">
        <v>75444852669416</v>
      </c>
      <c r="G146" s="246" t="s">
        <v>0</v>
      </c>
      <c r="H146" s="253">
        <v>30703088534</v>
      </c>
      <c r="I146" s="246" t="s">
        <v>757</v>
      </c>
      <c r="J146" s="246" t="s">
        <v>0</v>
      </c>
      <c r="K146" s="253">
        <v>30710473168</v>
      </c>
      <c r="L146" s="253">
        <v>1</v>
      </c>
      <c r="M146" s="246" t="s">
        <v>740</v>
      </c>
      <c r="N146" s="246"/>
      <c r="O146" s="246"/>
      <c r="P146" s="246"/>
      <c r="Q146" s="246"/>
      <c r="R146" s="246"/>
      <c r="S146" s="246"/>
      <c r="T146" s="246"/>
      <c r="U146" s="254">
        <v>341.55</v>
      </c>
      <c r="V146" s="254">
        <v>1626.45</v>
      </c>
      <c r="W146" s="246"/>
      <c r="X146" s="246"/>
      <c r="Y146" s="254">
        <v>1626.45</v>
      </c>
      <c r="Z146" s="253">
        <v>0</v>
      </c>
      <c r="AA146" s="253">
        <v>0</v>
      </c>
      <c r="AB146" s="254">
        <v>48.79</v>
      </c>
      <c r="AC146" s="254">
        <v>341.55</v>
      </c>
      <c r="AD146" s="254">
        <v>2016.79</v>
      </c>
    </row>
    <row r="147" spans="1:31" hidden="1" x14ac:dyDescent="0.25">
      <c r="A147" s="246" t="s">
        <v>1471</v>
      </c>
      <c r="B147" s="246" t="s">
        <v>749</v>
      </c>
      <c r="C147" s="253">
        <v>2</v>
      </c>
      <c r="D147" s="253">
        <v>2</v>
      </c>
      <c r="E147" s="253">
        <v>2</v>
      </c>
      <c r="F147" s="253">
        <v>75445682987644</v>
      </c>
      <c r="G147" s="246" t="s">
        <v>0</v>
      </c>
      <c r="H147" s="253">
        <v>27243660535</v>
      </c>
      <c r="I147" s="246" t="s">
        <v>577</v>
      </c>
      <c r="J147" s="246" t="s">
        <v>0</v>
      </c>
      <c r="K147" s="253">
        <v>30710473168</v>
      </c>
      <c r="L147" s="253">
        <v>1</v>
      </c>
      <c r="M147" s="246" t="s">
        <v>740</v>
      </c>
      <c r="N147" s="246"/>
      <c r="O147" s="246"/>
      <c r="P147" s="246"/>
      <c r="Q147" s="246"/>
      <c r="R147" s="246"/>
      <c r="S147" s="246"/>
      <c r="T147" s="246"/>
      <c r="U147" s="254">
        <v>99732.12</v>
      </c>
      <c r="V147" s="254">
        <v>474914.86</v>
      </c>
      <c r="W147" s="246"/>
      <c r="X147" s="246"/>
      <c r="Y147" s="254">
        <v>474914.86</v>
      </c>
      <c r="Z147" s="253">
        <v>0</v>
      </c>
      <c r="AA147" s="253">
        <v>0</v>
      </c>
      <c r="AB147" s="253">
        <v>0</v>
      </c>
      <c r="AC147" s="254">
        <v>99732.12</v>
      </c>
      <c r="AD147" s="254">
        <v>574646.99</v>
      </c>
    </row>
    <row r="148" spans="1:31" hidden="1" x14ac:dyDescent="0.25">
      <c r="A148" s="246" t="s">
        <v>1502</v>
      </c>
      <c r="B148" s="246" t="s">
        <v>738</v>
      </c>
      <c r="C148" s="253">
        <v>6</v>
      </c>
      <c r="D148" s="253">
        <v>21005478</v>
      </c>
      <c r="E148" s="253">
        <v>21005478</v>
      </c>
      <c r="F148" s="253">
        <v>75437584095096</v>
      </c>
      <c r="G148" s="246" t="s">
        <v>0</v>
      </c>
      <c r="H148" s="253">
        <v>30620177497</v>
      </c>
      <c r="I148" s="246" t="s">
        <v>758</v>
      </c>
      <c r="J148" s="246" t="s">
        <v>0</v>
      </c>
      <c r="K148" s="253">
        <v>30710473168</v>
      </c>
      <c r="L148" s="253">
        <v>1</v>
      </c>
      <c r="M148" s="246" t="s">
        <v>740</v>
      </c>
      <c r="N148" s="246"/>
      <c r="O148" s="246"/>
      <c r="P148" s="246"/>
      <c r="Q148" s="246"/>
      <c r="R148" s="246"/>
      <c r="S148" s="246"/>
      <c r="T148" s="246"/>
      <c r="U148" s="254">
        <v>4114.53</v>
      </c>
      <c r="V148" s="254">
        <v>19593.02</v>
      </c>
      <c r="W148" s="246"/>
      <c r="X148" s="246"/>
      <c r="Y148" s="254">
        <v>19593.02</v>
      </c>
      <c r="Z148" s="253">
        <v>0</v>
      </c>
      <c r="AA148" s="253">
        <v>0</v>
      </c>
      <c r="AB148" s="254">
        <v>1371.51</v>
      </c>
      <c r="AC148" s="254">
        <v>4114.53</v>
      </c>
      <c r="AD148" s="254">
        <v>25079.06</v>
      </c>
    </row>
    <row r="149" spans="1:31" hidden="1" x14ac:dyDescent="0.25">
      <c r="A149" s="125" t="s">
        <v>1502</v>
      </c>
      <c r="B149" s="125" t="s">
        <v>738</v>
      </c>
      <c r="C149" s="242">
        <v>1055</v>
      </c>
      <c r="D149" s="242">
        <v>925</v>
      </c>
      <c r="E149" s="242">
        <v>925</v>
      </c>
      <c r="F149" s="242">
        <v>75441814813417</v>
      </c>
      <c r="G149" s="125" t="s">
        <v>0</v>
      </c>
      <c r="H149" s="242">
        <v>30685849751</v>
      </c>
      <c r="I149" s="125" t="s">
        <v>685</v>
      </c>
      <c r="J149" s="125" t="s">
        <v>0</v>
      </c>
      <c r="K149" s="242">
        <v>30710473168</v>
      </c>
      <c r="L149" s="242">
        <v>1</v>
      </c>
      <c r="M149" s="125" t="s">
        <v>740</v>
      </c>
      <c r="N149" s="125"/>
      <c r="O149" s="125"/>
      <c r="P149" s="125"/>
      <c r="Q149" s="125"/>
      <c r="R149" s="125"/>
      <c r="S149" s="125"/>
      <c r="T149" s="125"/>
      <c r="U149" s="243">
        <v>838.26</v>
      </c>
      <c r="V149" s="243">
        <v>3991.74</v>
      </c>
      <c r="W149" s="125"/>
      <c r="X149" s="125"/>
      <c r="Y149" s="243">
        <v>3991.74</v>
      </c>
      <c r="Z149" s="242">
        <v>0</v>
      </c>
      <c r="AA149" s="242">
        <v>0</v>
      </c>
      <c r="AB149" s="243">
        <v>159.66999999999999</v>
      </c>
      <c r="AC149" s="243">
        <v>838.26</v>
      </c>
      <c r="AD149" s="243">
        <v>4989.67</v>
      </c>
    </row>
    <row r="150" spans="1:31" hidden="1" x14ac:dyDescent="0.25">
      <c r="A150" s="246" t="s">
        <v>1502</v>
      </c>
      <c r="B150" s="246" t="s">
        <v>738</v>
      </c>
      <c r="C150" s="253">
        <v>1002</v>
      </c>
      <c r="D150" s="253">
        <v>28165</v>
      </c>
      <c r="E150" s="253">
        <v>28165</v>
      </c>
      <c r="F150" s="253">
        <v>75446868078594</v>
      </c>
      <c r="G150" s="246" t="s">
        <v>0</v>
      </c>
      <c r="H150" s="253">
        <v>30712289046</v>
      </c>
      <c r="I150" s="246" t="s">
        <v>920</v>
      </c>
      <c r="J150" s="246" t="s">
        <v>0</v>
      </c>
      <c r="K150" s="253">
        <v>30710473168</v>
      </c>
      <c r="L150" s="253">
        <v>1</v>
      </c>
      <c r="M150" s="246" t="s">
        <v>740</v>
      </c>
      <c r="N150" s="246"/>
      <c r="O150" s="246"/>
      <c r="P150" s="246"/>
      <c r="Q150" s="246"/>
      <c r="R150" s="246"/>
      <c r="S150" s="246"/>
      <c r="T150" s="246"/>
      <c r="U150" s="246">
        <v>17798.7</v>
      </c>
      <c r="V150" s="246">
        <v>84755.7</v>
      </c>
      <c r="W150" s="246"/>
      <c r="X150" s="246"/>
      <c r="Y150" s="246">
        <v>84755.7</v>
      </c>
      <c r="Z150" s="253">
        <v>0</v>
      </c>
      <c r="AA150" s="253">
        <v>0</v>
      </c>
      <c r="AB150" s="254">
        <v>13482.57</v>
      </c>
      <c r="AC150" s="246">
        <v>17798.7</v>
      </c>
      <c r="AD150" s="254">
        <v>116036.97</v>
      </c>
    </row>
    <row r="151" spans="1:31" hidden="1" x14ac:dyDescent="0.25">
      <c r="A151" s="246" t="s">
        <v>1502</v>
      </c>
      <c r="B151" s="246" t="s">
        <v>738</v>
      </c>
      <c r="C151" s="253">
        <v>3</v>
      </c>
      <c r="D151" s="253">
        <v>2462</v>
      </c>
      <c r="E151" s="253">
        <v>2462</v>
      </c>
      <c r="F151" s="253">
        <v>75442899072806</v>
      </c>
      <c r="G151" s="246" t="s">
        <v>0</v>
      </c>
      <c r="H151" s="253">
        <v>30718627792</v>
      </c>
      <c r="I151" s="246" t="s">
        <v>1557</v>
      </c>
      <c r="J151" s="246" t="s">
        <v>0</v>
      </c>
      <c r="K151" s="253">
        <v>30710473168</v>
      </c>
      <c r="L151" s="253">
        <v>1</v>
      </c>
      <c r="M151" s="246" t="s">
        <v>740</v>
      </c>
      <c r="N151" s="246"/>
      <c r="O151" s="246"/>
      <c r="P151" s="246"/>
      <c r="Q151" s="246"/>
      <c r="R151" s="246"/>
      <c r="S151" s="246"/>
      <c r="T151" s="246"/>
      <c r="U151" s="254">
        <v>74627.75</v>
      </c>
      <c r="V151" s="254">
        <v>355370.25</v>
      </c>
      <c r="W151" s="246"/>
      <c r="X151" s="246"/>
      <c r="Y151" s="254">
        <v>355370.25</v>
      </c>
      <c r="Z151" s="253">
        <v>0</v>
      </c>
      <c r="AA151" s="253">
        <v>0</v>
      </c>
      <c r="AB151" s="253">
        <v>0</v>
      </c>
      <c r="AC151" s="254">
        <v>74627.75</v>
      </c>
      <c r="AD151" s="253">
        <v>429998</v>
      </c>
    </row>
    <row r="152" spans="1:31" hidden="1" x14ac:dyDescent="0.25">
      <c r="A152" s="246" t="s">
        <v>1502</v>
      </c>
      <c r="B152" s="246" t="s">
        <v>738</v>
      </c>
      <c r="C152" s="253">
        <v>2</v>
      </c>
      <c r="D152" s="253">
        <v>1638</v>
      </c>
      <c r="E152" s="253">
        <v>1638</v>
      </c>
      <c r="F152" s="253">
        <v>75449855211188</v>
      </c>
      <c r="G152" s="246" t="s">
        <v>0</v>
      </c>
      <c r="H152" s="253">
        <v>20272865869</v>
      </c>
      <c r="I152" s="246" t="s">
        <v>561</v>
      </c>
      <c r="J152" s="246" t="s">
        <v>0</v>
      </c>
      <c r="K152" s="253">
        <v>30710473168</v>
      </c>
      <c r="L152" s="253">
        <v>1</v>
      </c>
      <c r="M152" s="246" t="s">
        <v>740</v>
      </c>
      <c r="N152" s="246"/>
      <c r="O152" s="246"/>
      <c r="P152" s="246"/>
      <c r="Q152" s="246"/>
      <c r="R152" s="246"/>
      <c r="S152" s="246"/>
      <c r="T152" s="246"/>
      <c r="U152" s="253">
        <v>5985</v>
      </c>
      <c r="V152" s="253">
        <v>28500</v>
      </c>
      <c r="W152" s="246"/>
      <c r="X152" s="246"/>
      <c r="Y152" s="253">
        <v>28500</v>
      </c>
      <c r="Z152" s="253">
        <v>0</v>
      </c>
      <c r="AA152" s="253">
        <v>0</v>
      </c>
      <c r="AB152" s="253">
        <v>0</v>
      </c>
      <c r="AC152" s="253">
        <v>5985</v>
      </c>
      <c r="AD152" s="253">
        <v>34485</v>
      </c>
    </row>
    <row r="153" spans="1:31" hidden="1" x14ac:dyDescent="0.25">
      <c r="A153" s="125" t="s">
        <v>1514</v>
      </c>
      <c r="B153" s="125" t="s">
        <v>738</v>
      </c>
      <c r="C153" s="242">
        <v>6</v>
      </c>
      <c r="D153" s="242">
        <v>59569</v>
      </c>
      <c r="E153" s="242">
        <v>59569</v>
      </c>
      <c r="F153" s="242">
        <v>75448978661892</v>
      </c>
      <c r="G153" s="125" t="s">
        <v>0</v>
      </c>
      <c r="H153" s="242">
        <v>30710177658</v>
      </c>
      <c r="I153" s="125" t="s">
        <v>752</v>
      </c>
      <c r="J153" s="125" t="s">
        <v>0</v>
      </c>
      <c r="K153" s="242">
        <v>30710473168</v>
      </c>
      <c r="L153" s="242">
        <v>1438</v>
      </c>
      <c r="M153" s="125" t="s">
        <v>747</v>
      </c>
      <c r="N153" s="125"/>
      <c r="O153" s="125"/>
      <c r="P153" s="125"/>
      <c r="Q153" s="125"/>
      <c r="R153" s="125"/>
      <c r="S153" s="125"/>
      <c r="T153" s="125"/>
      <c r="U153" s="242">
        <v>84</v>
      </c>
      <c r="V153" s="242">
        <v>400</v>
      </c>
      <c r="W153" s="125"/>
      <c r="X153" s="125"/>
      <c r="Y153" s="242">
        <v>400</v>
      </c>
      <c r="Z153" s="242">
        <v>0</v>
      </c>
      <c r="AA153" s="242">
        <v>0</v>
      </c>
      <c r="AB153" s="242">
        <v>16</v>
      </c>
      <c r="AC153" s="242">
        <v>84</v>
      </c>
      <c r="AD153" s="242">
        <v>500</v>
      </c>
    </row>
    <row r="154" spans="1:31" hidden="1" x14ac:dyDescent="0.25">
      <c r="A154" s="246" t="s">
        <v>1514</v>
      </c>
      <c r="B154" s="246" t="s">
        <v>738</v>
      </c>
      <c r="C154" s="253">
        <v>16</v>
      </c>
      <c r="D154" s="253">
        <v>64</v>
      </c>
      <c r="E154" s="253">
        <v>64</v>
      </c>
      <c r="F154" s="253">
        <v>75443970780508</v>
      </c>
      <c r="G154" s="246" t="s">
        <v>0</v>
      </c>
      <c r="H154" s="253">
        <v>27310367813</v>
      </c>
      <c r="I154" s="246" t="s">
        <v>280</v>
      </c>
      <c r="J154" s="246" t="s">
        <v>0</v>
      </c>
      <c r="K154" s="253">
        <v>30710473168</v>
      </c>
      <c r="L154" s="253">
        <v>1</v>
      </c>
      <c r="M154" s="246" t="s">
        <v>740</v>
      </c>
      <c r="N154" s="246"/>
      <c r="O154" s="246"/>
      <c r="P154" s="246"/>
      <c r="Q154" s="246"/>
      <c r="R154" s="246"/>
      <c r="S154" s="246"/>
      <c r="T154" s="246"/>
      <c r="U154" s="246">
        <v>39952.199999999997</v>
      </c>
      <c r="V154" s="254">
        <v>190248.57</v>
      </c>
      <c r="W154" s="246"/>
      <c r="X154" s="246"/>
      <c r="Y154" s="254">
        <v>190248.57</v>
      </c>
      <c r="Z154" s="253">
        <v>0</v>
      </c>
      <c r="AA154" s="253">
        <v>0</v>
      </c>
      <c r="AB154" s="253">
        <v>0</v>
      </c>
      <c r="AC154" s="246">
        <v>39952.199999999997</v>
      </c>
      <c r="AD154" s="254">
        <v>230200.77</v>
      </c>
      <c r="AE154" t="s">
        <v>1563</v>
      </c>
    </row>
    <row r="155" spans="1:31" hidden="1" x14ac:dyDescent="0.25">
      <c r="A155" s="246" t="s">
        <v>1257</v>
      </c>
      <c r="B155" s="246" t="s">
        <v>738</v>
      </c>
      <c r="C155" s="253">
        <v>126</v>
      </c>
      <c r="D155" s="253">
        <v>196908</v>
      </c>
      <c r="E155" s="253">
        <v>196908</v>
      </c>
      <c r="F155" s="253">
        <v>75420187399625</v>
      </c>
      <c r="G155" s="246" t="s">
        <v>0</v>
      </c>
      <c r="H155" s="253">
        <v>30577207190</v>
      </c>
      <c r="I155" s="246" t="s">
        <v>676</v>
      </c>
      <c r="J155" s="246" t="s">
        <v>0</v>
      </c>
      <c r="K155" s="253">
        <v>30710473168</v>
      </c>
      <c r="L155" s="253">
        <v>1</v>
      </c>
      <c r="M155" s="246" t="s">
        <v>740</v>
      </c>
      <c r="N155" s="246"/>
      <c r="O155" s="246"/>
      <c r="P155" s="246"/>
      <c r="Q155" s="246"/>
      <c r="R155" s="246"/>
      <c r="S155" s="246"/>
      <c r="T155" s="246"/>
      <c r="U155" s="246">
        <v>312.39999999999998</v>
      </c>
      <c r="V155" s="259">
        <v>1487.6</v>
      </c>
      <c r="W155" s="246"/>
      <c r="X155" s="246"/>
      <c r="Y155" s="246">
        <v>1487.6</v>
      </c>
      <c r="Z155" s="253">
        <v>0</v>
      </c>
      <c r="AA155" s="253"/>
      <c r="AB155" s="253">
        <v>0</v>
      </c>
      <c r="AC155" s="246">
        <v>312.39999999999998</v>
      </c>
      <c r="AD155" s="253">
        <v>1800</v>
      </c>
      <c r="AE155" s="256" t="s">
        <v>1563</v>
      </c>
    </row>
    <row r="156" spans="1:31" hidden="1" x14ac:dyDescent="0.25">
      <c r="A156" s="246" t="s">
        <v>1514</v>
      </c>
      <c r="B156" s="246" t="s">
        <v>738</v>
      </c>
      <c r="C156" s="253">
        <v>126</v>
      </c>
      <c r="D156" s="253">
        <v>225855</v>
      </c>
      <c r="E156" s="253">
        <v>225855</v>
      </c>
      <c r="F156" s="253">
        <v>75440344644350</v>
      </c>
      <c r="G156" s="246" t="s">
        <v>0</v>
      </c>
      <c r="H156" s="253">
        <v>30577207190</v>
      </c>
      <c r="I156" s="246" t="s">
        <v>676</v>
      </c>
      <c r="J156" s="246" t="s">
        <v>0</v>
      </c>
      <c r="K156" s="253">
        <v>30710473168</v>
      </c>
      <c r="L156" s="253">
        <v>1</v>
      </c>
      <c r="M156" s="246" t="s">
        <v>740</v>
      </c>
      <c r="N156" s="246"/>
      <c r="O156" s="246"/>
      <c r="P156" s="246"/>
      <c r="Q156" s="246"/>
      <c r="R156" s="246"/>
      <c r="S156" s="246"/>
      <c r="T156" s="246"/>
      <c r="U156" s="254">
        <v>2188.86</v>
      </c>
      <c r="V156" s="257">
        <v>10423.14</v>
      </c>
      <c r="W156" s="246"/>
      <c r="X156" s="246"/>
      <c r="Y156" s="254">
        <v>10423.14</v>
      </c>
      <c r="Z156" s="253">
        <v>0</v>
      </c>
      <c r="AA156" s="253"/>
      <c r="AB156" s="254">
        <v>312.69</v>
      </c>
      <c r="AC156" s="254">
        <v>2188.86</v>
      </c>
      <c r="AD156" s="254">
        <v>12924.69</v>
      </c>
      <c r="AE156" s="256" t="s">
        <v>1563</v>
      </c>
    </row>
    <row r="157" spans="1:31" hidden="1" x14ac:dyDescent="0.25">
      <c r="A157" s="246" t="s">
        <v>960</v>
      </c>
      <c r="B157" s="246" t="s">
        <v>738</v>
      </c>
      <c r="C157" s="253">
        <v>629</v>
      </c>
      <c r="D157" s="253">
        <v>6496049</v>
      </c>
      <c r="E157" s="253">
        <v>6496049</v>
      </c>
      <c r="F157" s="253">
        <v>35393317450680</v>
      </c>
      <c r="G157" s="246" t="s">
        <v>0</v>
      </c>
      <c r="H157" s="253">
        <v>30663498513</v>
      </c>
      <c r="I157" s="246" t="s">
        <v>587</v>
      </c>
      <c r="J157" s="246" t="s">
        <v>0</v>
      </c>
      <c r="K157" s="253">
        <v>30710473168</v>
      </c>
      <c r="L157" s="253">
        <v>1</v>
      </c>
      <c r="M157" s="246" t="s">
        <v>740</v>
      </c>
      <c r="N157" s="246"/>
      <c r="O157" s="246"/>
      <c r="P157" s="246"/>
      <c r="Q157" s="246"/>
      <c r="R157" s="246"/>
      <c r="S157" s="246"/>
      <c r="T157" s="246"/>
      <c r="U157" s="254">
        <v>727.98</v>
      </c>
      <c r="V157" s="254">
        <v>3466.56</v>
      </c>
      <c r="W157" s="246"/>
      <c r="X157" s="246"/>
      <c r="Y157" s="254">
        <v>3466.56</v>
      </c>
      <c r="Z157" s="253">
        <v>0</v>
      </c>
      <c r="AA157" s="253">
        <v>0</v>
      </c>
      <c r="AB157" s="254">
        <v>138.66</v>
      </c>
      <c r="AC157" s="254">
        <v>727.98</v>
      </c>
      <c r="AD157" s="246">
        <v>4333.2</v>
      </c>
    </row>
    <row r="158" spans="1:31" hidden="1" x14ac:dyDescent="0.25">
      <c r="A158" s="246" t="s">
        <v>1270</v>
      </c>
      <c r="B158" s="246" t="s">
        <v>738</v>
      </c>
      <c r="C158" s="253">
        <v>629</v>
      </c>
      <c r="D158" s="253">
        <v>6537785</v>
      </c>
      <c r="E158" s="253">
        <v>6537785</v>
      </c>
      <c r="F158" s="253">
        <v>35413809042717</v>
      </c>
      <c r="G158" s="246" t="s">
        <v>0</v>
      </c>
      <c r="H158" s="253">
        <v>30663498513</v>
      </c>
      <c r="I158" s="246" t="s">
        <v>587</v>
      </c>
      <c r="J158" s="246" t="s">
        <v>0</v>
      </c>
      <c r="K158" s="253">
        <v>30710473168</v>
      </c>
      <c r="L158" s="253">
        <v>1</v>
      </c>
      <c r="M158" s="246" t="s">
        <v>740</v>
      </c>
      <c r="N158" s="246"/>
      <c r="O158" s="246"/>
      <c r="P158" s="246"/>
      <c r="Q158" s="246"/>
      <c r="R158" s="246"/>
      <c r="S158" s="246"/>
      <c r="T158" s="246"/>
      <c r="U158" s="254">
        <v>1043.45</v>
      </c>
      <c r="V158" s="254">
        <v>4968.79</v>
      </c>
      <c r="W158" s="246"/>
      <c r="X158" s="246"/>
      <c r="Y158" s="254">
        <v>4968.79</v>
      </c>
      <c r="Z158" s="253">
        <v>0</v>
      </c>
      <c r="AA158" s="253">
        <v>0</v>
      </c>
      <c r="AB158" s="254">
        <v>198.75</v>
      </c>
      <c r="AC158" s="254">
        <v>1043.45</v>
      </c>
      <c r="AD158" s="254">
        <v>6210.99</v>
      </c>
    </row>
    <row r="159" spans="1:31" hidden="1" x14ac:dyDescent="0.25">
      <c r="A159" s="246" t="s">
        <v>1514</v>
      </c>
      <c r="B159" s="246" t="s">
        <v>738</v>
      </c>
      <c r="C159" s="253">
        <v>11</v>
      </c>
      <c r="D159" s="253">
        <v>834</v>
      </c>
      <c r="E159" s="253">
        <v>834</v>
      </c>
      <c r="F159" s="253">
        <v>75441953464612</v>
      </c>
      <c r="G159" s="246" t="s">
        <v>0</v>
      </c>
      <c r="H159" s="253">
        <v>27167838001</v>
      </c>
      <c r="I159" s="246" t="s">
        <v>1558</v>
      </c>
      <c r="J159" s="246" t="s">
        <v>0</v>
      </c>
      <c r="K159" s="253">
        <v>30710473168</v>
      </c>
      <c r="L159" s="253">
        <v>1</v>
      </c>
      <c r="M159" s="246" t="s">
        <v>740</v>
      </c>
      <c r="N159" s="246"/>
      <c r="O159" s="246"/>
      <c r="P159" s="246"/>
      <c r="Q159" s="246"/>
      <c r="R159" s="246"/>
      <c r="S159" s="246"/>
      <c r="T159" s="246"/>
      <c r="U159" s="253">
        <v>66150</v>
      </c>
      <c r="V159" s="253">
        <v>315000</v>
      </c>
      <c r="W159" s="246"/>
      <c r="X159" s="246"/>
      <c r="Y159" s="253">
        <v>315000</v>
      </c>
      <c r="Z159" s="253">
        <v>0</v>
      </c>
      <c r="AA159" s="253">
        <v>0</v>
      </c>
      <c r="AB159" s="253">
        <v>0</v>
      </c>
      <c r="AC159" s="253">
        <v>66150</v>
      </c>
      <c r="AD159" s="253">
        <v>381150</v>
      </c>
    </row>
    <row r="160" spans="1:31" hidden="1" x14ac:dyDescent="0.25">
      <c r="A160" s="246" t="s">
        <v>1514</v>
      </c>
      <c r="B160" s="246" t="s">
        <v>738</v>
      </c>
      <c r="C160" s="253">
        <v>11</v>
      </c>
      <c r="D160" s="253">
        <v>835</v>
      </c>
      <c r="E160" s="253">
        <v>835</v>
      </c>
      <c r="F160" s="253">
        <v>75441954483600</v>
      </c>
      <c r="G160" s="246" t="s">
        <v>0</v>
      </c>
      <c r="H160" s="253">
        <v>27167838001</v>
      </c>
      <c r="I160" s="246" t="s">
        <v>1558</v>
      </c>
      <c r="J160" s="246" t="s">
        <v>0</v>
      </c>
      <c r="K160" s="253">
        <v>30710473168</v>
      </c>
      <c r="L160" s="253">
        <v>1</v>
      </c>
      <c r="M160" s="246" t="s">
        <v>740</v>
      </c>
      <c r="N160" s="246"/>
      <c r="O160" s="246"/>
      <c r="P160" s="246"/>
      <c r="Q160" s="246"/>
      <c r="R160" s="246"/>
      <c r="S160" s="246"/>
      <c r="T160" s="246"/>
      <c r="U160" s="253">
        <v>74970</v>
      </c>
      <c r="V160" s="253">
        <v>357000</v>
      </c>
      <c r="W160" s="246"/>
      <c r="X160" s="246"/>
      <c r="Y160" s="253">
        <v>357000</v>
      </c>
      <c r="Z160" s="253">
        <v>0</v>
      </c>
      <c r="AA160" s="253">
        <v>0</v>
      </c>
      <c r="AB160" s="253">
        <v>0</v>
      </c>
      <c r="AC160" s="253">
        <v>74970</v>
      </c>
      <c r="AD160" s="253">
        <v>431970</v>
      </c>
    </row>
    <row r="161" spans="1:30" hidden="1" x14ac:dyDescent="0.25">
      <c r="A161" s="246" t="s">
        <v>1514</v>
      </c>
      <c r="B161" s="246" t="s">
        <v>749</v>
      </c>
      <c r="C161" s="253">
        <v>11</v>
      </c>
      <c r="D161" s="253">
        <v>33</v>
      </c>
      <c r="E161" s="253">
        <v>33</v>
      </c>
      <c r="F161" s="253">
        <v>75441954032876</v>
      </c>
      <c r="G161" s="246" t="s">
        <v>0</v>
      </c>
      <c r="H161" s="253">
        <v>27167838001</v>
      </c>
      <c r="I161" s="246" t="s">
        <v>1558</v>
      </c>
      <c r="J161" s="246" t="s">
        <v>0</v>
      </c>
      <c r="K161" s="253">
        <v>30710473168</v>
      </c>
      <c r="L161" s="253">
        <v>1</v>
      </c>
      <c r="M161" s="246" t="s">
        <v>740</v>
      </c>
      <c r="N161" s="246"/>
      <c r="O161" s="246"/>
      <c r="P161" s="246"/>
      <c r="Q161" s="246"/>
      <c r="R161" s="246"/>
      <c r="S161" s="246"/>
      <c r="T161" s="246"/>
      <c r="U161" s="253">
        <v>66150</v>
      </c>
      <c r="V161" s="253">
        <v>315000</v>
      </c>
      <c r="W161" s="246"/>
      <c r="X161" s="246"/>
      <c r="Y161" s="253">
        <v>315000</v>
      </c>
      <c r="Z161" s="253">
        <v>0</v>
      </c>
      <c r="AA161" s="253">
        <v>0</v>
      </c>
      <c r="AB161" s="253">
        <v>0</v>
      </c>
      <c r="AC161" s="253">
        <v>66150</v>
      </c>
      <c r="AD161" s="253">
        <v>381150</v>
      </c>
    </row>
    <row r="162" spans="1:30" hidden="1" x14ac:dyDescent="0.25">
      <c r="A162" s="246" t="s">
        <v>1514</v>
      </c>
      <c r="B162" s="246" t="s">
        <v>745</v>
      </c>
      <c r="C162" s="253">
        <v>1</v>
      </c>
      <c r="D162" s="253">
        <v>45</v>
      </c>
      <c r="E162" s="253">
        <v>45</v>
      </c>
      <c r="F162" s="253">
        <v>75441972536946</v>
      </c>
      <c r="G162" s="246" t="s">
        <v>0</v>
      </c>
      <c r="H162" s="253">
        <v>20311855671</v>
      </c>
      <c r="I162" s="246" t="s">
        <v>768</v>
      </c>
      <c r="J162" s="246" t="s">
        <v>0</v>
      </c>
      <c r="K162" s="253">
        <v>30710473168</v>
      </c>
      <c r="L162" s="253">
        <v>1</v>
      </c>
      <c r="M162" s="246" t="s">
        <v>740</v>
      </c>
      <c r="N162" s="246"/>
      <c r="O162" s="246"/>
      <c r="P162" s="246"/>
      <c r="Q162" s="246"/>
      <c r="R162" s="246"/>
      <c r="S162" s="246"/>
      <c r="T162" s="246"/>
      <c r="U162" s="246"/>
      <c r="V162" s="246"/>
      <c r="W162" s="246"/>
      <c r="X162" s="246"/>
      <c r="Y162" s="246"/>
      <c r="Z162" s="246"/>
      <c r="AA162" s="246"/>
      <c r="AB162" s="253">
        <v>0</v>
      </c>
      <c r="AC162" s="246"/>
      <c r="AD162" s="253">
        <v>717200</v>
      </c>
    </row>
  </sheetData>
  <autoFilter ref="A9:AE162" xr:uid="{00000000-0009-0000-0000-000005000000}">
    <filterColumn colId="1">
      <filters>
        <filter val="1 - Factura A"/>
      </filters>
    </filterColumn>
    <filterColumn colId="8">
      <customFilters>
        <customFilter val="*nardomarino*"/>
      </customFilters>
    </filterColumn>
  </autoFilter>
  <sortState xmlns:xlrd2="http://schemas.microsoft.com/office/spreadsheetml/2017/richdata2" ref="A18:AD157">
    <sortCondition ref="I18:I15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Configuracion</vt:lpstr>
      <vt:lpstr>Octubre 25</vt:lpstr>
      <vt:lpstr>Calculo IVA</vt:lpstr>
      <vt:lpstr>Ventas 10</vt:lpstr>
      <vt:lpstr>Compras 10</vt:lpstr>
      <vt:lpstr>arcasss</vt:lpstr>
      <vt:lpstr>'Octubre 25'!Área_de_impresión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Mercedes Botindari</cp:lastModifiedBy>
  <cp:revision>14</cp:revision>
  <cp:lastPrinted>2018-04-24T16:39:23Z</cp:lastPrinted>
  <dcterms:created xsi:type="dcterms:W3CDTF">2006-09-16T00:00:00Z</dcterms:created>
  <dcterms:modified xsi:type="dcterms:W3CDTF">2025-11-17T16:24:06Z</dcterms:modified>
  <dc:language>es-AR</dc:language>
</cp:coreProperties>
</file>